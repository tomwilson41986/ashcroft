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Non-runners" sheetId="3" state="visible" r:id="rId5"/>
    <sheet name="gated 13.43 vs 12.48" sheetId="4" state="visible" r:id="rId6"/>
    <sheet name="All runners" sheetId="5" state="visible" r:id="rId7"/>
    <sheet name="Down Royal" sheetId="6" state="visible" r:id="rId8"/>
    <sheet name="Brighton" sheetId="7" state="visible" r:id="rId9"/>
    <sheet name="Roscommon" sheetId="8" state="visible" r:id="rId10"/>
    <sheet name="Hamilton" sheetId="9" state="visible" r:id="rId11"/>
    <sheet name="Newton Abbot" sheetId="10" state="visible" r:id="rId12"/>
    <sheet name="Wolverhampton" sheetId="11" state="visible" r:id="rId13"/>
  </sheets>
  <definedNames>
    <definedName function="false" hidden="true" localSheetId="4" name="_xlnm._FilterDatabase" vbProcedure="false">'All runners'!$A$1:$T$435</definedName>
    <definedName function="false" hidden="true" localSheetId="6" name="_xlnm._FilterDatabase" vbProcedure="false">Brighton!$A$1:$T$64</definedName>
    <definedName function="false" hidden="true" localSheetId="5" name="_xlnm._FilterDatabase" vbProcedure="false">'Down Royal'!$A$1:$T$91</definedName>
    <definedName function="false" hidden="true" localSheetId="3" name="_xlnm._FilterDatabase" vbProcedure="false">'gated 13.43 vs 12.48'!$A$1:$K$46</definedName>
    <definedName function="false" hidden="true" localSheetId="8" name="_xlnm._FilterDatabase" vbProcedure="false">Hamilton!$A$1:$T$60</definedName>
    <definedName function="false" hidden="true" localSheetId="9" name="_xlnm._FilterDatabase" vbProcedure="false">'Newton Abbot'!$A$1:$T$31</definedName>
    <definedName function="false" hidden="true" localSheetId="7" name="_xlnm._FilterDatabase" vbProcedure="false">Roscommon!$A$1:$T$102</definedName>
    <definedName function="false" hidden="true" localSheetId="1" name="_xlnm._FilterDatabase" vbProcedure="false">'Top picks'!$A$1:$O$46</definedName>
    <definedName function="false" hidden="true" localSheetId="10" name="_xlnm._FilterDatabase" vbProcedure="false">Wolverhampton!$A$1:$T$92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<sst xmlns="http://schemas.openxmlformats.org/spreadsheetml/2006/main" count="7408" uniqueCount="1098">
  <si>
    <t xml:space="preserve">Predictions for 2026-09-28</t>
  </si>
  <si>
    <t xml:space="preserve">Runners</t>
  </si>
  <si>
    <t xml:space="preserve">Races</t>
  </si>
  <si>
    <t xml:space="preserve">Meetings</t>
  </si>
  <si>
    <t xml:space="preserve">The model</t>
  </si>
  <si>
    <t xml:space="preserve">gated 13:43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</si>
  <si>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</si>
  <si>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</si>
  <si>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</si>
  <si>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</si>
  <si>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</si>
  <si>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</si>
  <si>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</si>
  <si>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</si>
  <si>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</si>
  <si>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</si>
  <si>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</si>
  <si>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</si>
  <si>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</si>
  <si>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</si>
  <si>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</si>
  <si>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</si>
  <si>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</si>
  <si>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</si>
  <si>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</si>
  <si>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</si>
  <si>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</si>
  <si>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</si>
  <si>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</si>
  <si>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</si>
  <si>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served model from 29 Sep (the complete-careers pair gated with race_xent), re-run in full on horseracebase's card as it stood at 13:43 UTC (predict-now run 34): 434 runners in 45 races, every one priced. Races already run are included for reference. Each non-runner's price and share of the book are from the last run that priced it (05:08 to 12:48 UTC). 34 non-runners since the prices were first made, in 20 races (sheet Non-runners). The prices here are without them, each race a book of 100%: a non-runner's share of the book goes to the rest of its race, whose prices shorten by about that share.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</si>
  <si>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</si>
  <si>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</si>
  <si>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</si>
  <si>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</si>
  <si>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</si>
  <si>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</si>
  <si>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</si>
  <si>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</si>
  <si>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</si>
  <si>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</si>
  <si>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1:24</t>
  </si>
  <si>
    <t xml:space="preserve">Down Royal</t>
  </si>
  <si>
    <t xml:space="preserve">Molson Coors Beverage Company Nursery Handicap</t>
  </si>
  <si>
    <t xml:space="preserve">Santo Parvenue (IRE)</t>
  </si>
  <si>
    <t xml:space="preserve">Lee, W J</t>
  </si>
  <si>
    <t xml:space="preserve">Harty, Edward and Patrick</t>
  </si>
  <si>
    <t xml:space="preserve">Premier View (IRE)</t>
  </si>
  <si>
    <t xml:space="preserve">1:30</t>
  </si>
  <si>
    <t xml:space="preserve">Brighton</t>
  </si>
  <si>
    <t xml:space="preserve">Matchbook SignUp - Get 20% Back On Losses Handicap</t>
  </si>
  <si>
    <t xml:space="preserve">Bated Breeze (IRE)</t>
  </si>
  <si>
    <t xml:space="preserve">Marsh, Finley</t>
  </si>
  <si>
    <t xml:space="preserve">Moore, Gary and Josh</t>
  </si>
  <si>
    <t xml:space="preserve">Roman Spring (IRE)</t>
  </si>
  <si>
    <t xml:space="preserve">1:35</t>
  </si>
  <si>
    <t xml:space="preserve">Roscommon</t>
  </si>
  <si>
    <t xml:space="preserve">Athleague Maiden Hurdle</t>
  </si>
  <si>
    <t xml:space="preserve">Direct Approach (IRE)</t>
  </si>
  <si>
    <t xml:space="preserve">Kennedy, J W</t>
  </si>
  <si>
    <t xml:space="preserve">Elliott, Gordon</t>
  </si>
  <si>
    <t xml:space="preserve">Telegram Sam (IRE)</t>
  </si>
  <si>
    <t xml:space="preserve">1:44</t>
  </si>
  <si>
    <t xml:space="preserve">Hamilton</t>
  </si>
  <si>
    <t xml:space="preserve">Clearwater DC Ltd Environmental Solutions Amateur Jockeys Handicap</t>
  </si>
  <si>
    <t xml:space="preserve">Annie Edson Taylor</t>
  </si>
  <si>
    <t xml:space="preserve">Brown, Pippa</t>
  </si>
  <si>
    <t xml:space="preserve">Makin, Phillip</t>
  </si>
  <si>
    <t xml:space="preserve">Bay Breeze</t>
  </si>
  <si>
    <t xml:space="preserve">1:50</t>
  </si>
  <si>
    <t xml:space="preserve">Newton Abbot</t>
  </si>
  <si>
    <t xml:space="preserve">Celebrating Devon Women In Business Handicap Chase (GBB Race)</t>
  </si>
  <si>
    <t xml:space="preserve">Depalma (IRE)</t>
  </si>
  <si>
    <t xml:space="preserve">Skelton, Harry</t>
  </si>
  <si>
    <t xml:space="preserve">Skelton, Daniel</t>
  </si>
  <si>
    <t xml:space="preserve">Muskerry Rock (IRE)</t>
  </si>
  <si>
    <t xml:space="preserve">1:59</t>
  </si>
  <si>
    <t xml:space="preserve">Coors Fillies Handicap</t>
  </si>
  <si>
    <t xml:space="preserve">Nellcote (IRE)</t>
  </si>
  <si>
    <t xml:space="preserve">McDonogh, D P</t>
  </si>
  <si>
    <t xml:space="preserve">OBrien, Joseph Patrick</t>
  </si>
  <si>
    <t xml:space="preserve">Stellar Moment (IRE)</t>
  </si>
  <si>
    <t xml:space="preserve">2:05</t>
  </si>
  <si>
    <t xml:space="preserve">Matchbook Betting Exchange Supporting UK Racing Maiden Stakes (GBB Race)</t>
  </si>
  <si>
    <t xml:space="preserve">Galileo Star</t>
  </si>
  <si>
    <t xml:space="preserve">Ryan, Rossa</t>
  </si>
  <si>
    <t xml:space="preserve">Tate, James</t>
  </si>
  <si>
    <t xml:space="preserve">River Nile (IRE)</t>
  </si>
  <si>
    <t xml:space="preserve">2:10</t>
  </si>
  <si>
    <t xml:space="preserve">Garys Gardening Services Handicap Hurdle (0-100)</t>
  </si>
  <si>
    <t xml:space="preserve">Cool Summer (IRE)</t>
  </si>
  <si>
    <t xml:space="preserve">Enright, P T</t>
  </si>
  <si>
    <t xml:space="preserve">McLoughlin, Hilary</t>
  </si>
  <si>
    <t xml:space="preserve">Colesberg (IRE)</t>
  </si>
  <si>
    <t xml:space="preserve">2:19</t>
  </si>
  <si>
    <t xml:space="preserve">Moira Stein Memorial EBF Restricted Maiden Stakes (GBB Race)</t>
  </si>
  <si>
    <t xml:space="preserve">Cyberspace</t>
  </si>
  <si>
    <t xml:space="preserve">Mulrennan, Paul</t>
  </si>
  <si>
    <t xml:space="preserve">Smart, B</t>
  </si>
  <si>
    <t xml:space="preserve">Ponte Carlo (IRE)</t>
  </si>
  <si>
    <t xml:space="preserve">2:25</t>
  </si>
  <si>
    <t xml:space="preserve">Jodie Standings Point-To-Point Recruits Novices Hurdle (GBB Race)</t>
  </si>
  <si>
    <t xml:space="preserve">Matiwo (FR)</t>
  </si>
  <si>
    <t xml:space="preserve">Gethings, Ciaran</t>
  </si>
  <si>
    <t xml:space="preserve">Williams, Mrs Jane</t>
  </si>
  <si>
    <t xml:space="preserve">Scotts Legacy (IRE)</t>
  </si>
  <si>
    <t xml:space="preserve">2:34</t>
  </si>
  <si>
    <t xml:space="preserve">Irish EBF Auction Series Fillies Maiden</t>
  </si>
  <si>
    <t xml:space="preserve">Essence Of Time</t>
  </si>
  <si>
    <t xml:space="preserve">Lordan, W M</t>
  </si>
  <si>
    <t xml:space="preserve">Oliver, Andrew</t>
  </si>
  <si>
    <t xml:space="preserve">Ladrona (IRE)</t>
  </si>
  <si>
    <t xml:space="preserve">2:40</t>
  </si>
  <si>
    <t xml:space="preserve">Follow Matchbook On X Nursery</t>
  </si>
  <si>
    <t xml:space="preserve">Magical Life</t>
  </si>
  <si>
    <t xml:space="preserve">Moore, J S</t>
  </si>
  <si>
    <t xml:space="preserve">Hello You Ten (IRE)</t>
  </si>
  <si>
    <t xml:space="preserve">2:45</t>
  </si>
  <si>
    <t xml:space="preserve">Kelly Hearing Specialists Mares Maiden Hurdle</t>
  </si>
  <si>
    <t xml:space="preserve">Kimi De Mai (FR)</t>
  </si>
  <si>
    <t xml:space="preserve">Townend, P</t>
  </si>
  <si>
    <t xml:space="preserve">Mullins, W P</t>
  </si>
  <si>
    <t xml:space="preserve">Brave Lady (IRE)</t>
  </si>
  <si>
    <t xml:space="preserve">2:54</t>
  </si>
  <si>
    <t xml:space="preserve">Rotary Club East Kilbride Nursery Selling Handicap</t>
  </si>
  <si>
    <t xml:space="preserve">Fern Clyde</t>
  </si>
  <si>
    <t xml:space="preserve">Allan, David</t>
  </si>
  <si>
    <t xml:space="preserve">Easterby, T D</t>
  </si>
  <si>
    <t xml:space="preserve">Bonjour Belle</t>
  </si>
  <si>
    <t xml:space="preserve">3:00</t>
  </si>
  <si>
    <t xml:space="preserve">Shelley Coles - Setting the Pace at 60 Novices Limited Handicap Chase (GBB Race)</t>
  </si>
  <si>
    <t xml:space="preserve">Gore Point</t>
  </si>
  <si>
    <t xml:space="preserve">Cobden, Harry</t>
  </si>
  <si>
    <t xml:space="preserve">Honeyball, A J</t>
  </si>
  <si>
    <t xml:space="preserve">Juggernaut (FR)</t>
  </si>
  <si>
    <t xml:space="preserve">3:09</t>
  </si>
  <si>
    <t xml:space="preserve">Madri Excepcional Maiden</t>
  </si>
  <si>
    <t xml:space="preserve">Daring Heart (IRE)</t>
  </si>
  <si>
    <t xml:space="preserve">Carroll, G F</t>
  </si>
  <si>
    <t xml:space="preserve">Lyons, G M</t>
  </si>
  <si>
    <t xml:space="preserve">Blooming Rose (IRE)</t>
  </si>
  <si>
    <t xml:space="preserve">3:15</t>
  </si>
  <si>
    <t xml:space="preserve">Bet 20 Pound Get 40 Pound In Free Bets At matchbook.com Handicap</t>
  </si>
  <si>
    <t xml:space="preserve">Newfangled (IRE)</t>
  </si>
  <si>
    <t xml:space="preserve">Hornby, Rob</t>
  </si>
  <si>
    <t xml:space="preserve">Portman, J G</t>
  </si>
  <si>
    <t xml:space="preserve">Danehill Star (IRE)</t>
  </si>
  <si>
    <t xml:space="preserve">3:20</t>
  </si>
  <si>
    <t xml:space="preserve">Railway Bar Handicap Hurdle (0-100)</t>
  </si>
  <si>
    <t xml:space="preserve">Duce Bigalow (IRE)</t>
  </si>
  <si>
    <t xml:space="preserve">OKeeffe, Darragh</t>
  </si>
  <si>
    <t xml:space="preserve">Ryan, Colm</t>
  </si>
  <si>
    <t xml:space="preserve">Bruise Hill (IRE)</t>
  </si>
  <si>
    <t xml:space="preserve">3:29</t>
  </si>
  <si>
    <t xml:space="preserve">John MacKenzie And Hamish MacGregor Memorial Handicap</t>
  </si>
  <si>
    <t xml:space="preserve">Impartiality</t>
  </si>
  <si>
    <t xml:space="preserve">Gray, S A</t>
  </si>
  <si>
    <t xml:space="preserve">El Matador (IRE)</t>
  </si>
  <si>
    <t xml:space="preserve">3:35</t>
  </si>
  <si>
    <t xml:space="preserve">Final Furlong Before I Do Selling Handicap Hurdle</t>
  </si>
  <si>
    <t xml:space="preserve">Berry Edge (IRE)</t>
  </si>
  <si>
    <t xml:space="preserve">Saint Polo (FR)</t>
  </si>
  <si>
    <t xml:space="preserve">3:44</t>
  </si>
  <si>
    <t xml:space="preserve">Molson Coors Beverage Company Handicap</t>
  </si>
  <si>
    <t xml:space="preserve">Send Harry (IRE)</t>
  </si>
  <si>
    <t xml:space="preserve">Dalton, J S</t>
  </si>
  <si>
    <t xml:space="preserve">McCutcheon, Miss Evanna</t>
  </si>
  <si>
    <t xml:space="preserve">Barbapapa (IRE)</t>
  </si>
  <si>
    <t xml:space="preserve">3:50</t>
  </si>
  <si>
    <t xml:space="preserve">Matchbook Monthly Bet-Builder Rebate Handicap</t>
  </si>
  <si>
    <t xml:space="preserve">Love You Back (IRE)</t>
  </si>
  <si>
    <t xml:space="preserve">Fentiman, Warren</t>
  </si>
  <si>
    <t xml:space="preserve">Darkest Red</t>
  </si>
  <si>
    <t xml:space="preserve">3:55</t>
  </si>
  <si>
    <t xml:space="preserve">Castlecoote Handicap Hurdle</t>
  </si>
  <si>
    <t xml:space="preserve">Adaliz (GER)</t>
  </si>
  <si>
    <t xml:space="preserve">Bromhead, Henry De</t>
  </si>
  <si>
    <t xml:space="preserve">Ilbdare (IRE)</t>
  </si>
  <si>
    <t xml:space="preserve">4:04</t>
  </si>
  <si>
    <t xml:space="preserve">Barbara Ann Letham And Son Johnathan Memorial Handicap</t>
  </si>
  <si>
    <t xml:space="preserve">City Captain</t>
  </si>
  <si>
    <t xml:space="preserve">Tudhope, Daniel</t>
  </si>
  <si>
    <t xml:space="preserve">Bethell, Harriet</t>
  </si>
  <si>
    <t xml:space="preserve">Franciscos Piece</t>
  </si>
  <si>
    <t xml:space="preserve">4:10</t>
  </si>
  <si>
    <t xml:space="preserve">Paul Fergusons Jumpers To Follow Handicap Hurdle</t>
  </si>
  <si>
    <t xml:space="preserve">Kom Tu Voudras (FR)</t>
  </si>
  <si>
    <t xml:space="preserve">Bramley, Faye</t>
  </si>
  <si>
    <t xml:space="preserve">Kilnew Supreme (IRE)</t>
  </si>
  <si>
    <t xml:space="preserve">4:19</t>
  </si>
  <si>
    <t xml:space="preserve">Pravha Handicap (0-60) (Div 1)</t>
  </si>
  <si>
    <t xml:space="preserve">No More Hiding</t>
  </si>
  <si>
    <t xml:space="preserve">Chapel Island (IRE)</t>
  </si>
  <si>
    <t xml:space="preserve">4:22</t>
  </si>
  <si>
    <t xml:space="preserve">Wolverhampton</t>
  </si>
  <si>
    <t xml:space="preserve">Free Tips On attheraces.com Amateur Jockeys Handicap</t>
  </si>
  <si>
    <t xml:space="preserve">No Knee Never (IRE)</t>
  </si>
  <si>
    <t xml:space="preserve">Callan, Mr Henry</t>
  </si>
  <si>
    <t xml:space="preserve">Owen, J P</t>
  </si>
  <si>
    <t xml:space="preserve">Pursuit Of Truth (IRE)</t>
  </si>
  <si>
    <t xml:space="preserve">4:27</t>
  </si>
  <si>
    <t xml:space="preserve">Play Your Multiples At matchbook.com Handicap</t>
  </si>
  <si>
    <t xml:space="preserve">Campani</t>
  </si>
  <si>
    <t xml:space="preserve">Muscutt, D</t>
  </si>
  <si>
    <t xml:space="preserve">Simcock, D M</t>
  </si>
  <si>
    <t xml:space="preserve">Royal County Glory (IRE)</t>
  </si>
  <si>
    <t xml:space="preserve">4:30</t>
  </si>
  <si>
    <t xml:space="preserve">Mon 28th Sep 2026</t>
  </si>
  <si>
    <t xml:space="preserve">Wild Bill Hickok (IRE)</t>
  </si>
  <si>
    <t xml:space="preserve">Finegan, Eoghan</t>
  </si>
  <si>
    <t xml:space="preserve">Murphy, Ciaran</t>
  </si>
  <si>
    <t xml:space="preserve">Femme Magnifique (IRE)</t>
  </si>
  <si>
    <t xml:space="preserve">4:38</t>
  </si>
  <si>
    <t xml:space="preserve">Phoenix Drilling Ground Investigation Handicap</t>
  </si>
  <si>
    <t xml:space="preserve">Roach Power (IRE)</t>
  </si>
  <si>
    <t xml:space="preserve">Wigham, M</t>
  </si>
  <si>
    <t xml:space="preserve">Thunderstorm Katie</t>
  </si>
  <si>
    <t xml:space="preserve">4:43</t>
  </si>
  <si>
    <t xml:space="preserve">Par Inn Bulpin Cup Amateur Jockeys Handicap Hurdle</t>
  </si>
  <si>
    <t xml:space="preserve">Pooroldmackley (IRE)</t>
  </si>
  <si>
    <t xml:space="preserve">Williams, Eleanor</t>
  </si>
  <si>
    <t xml:space="preserve">Williams, Mrs C</t>
  </si>
  <si>
    <t xml:space="preserve">Final Entry (IRE)</t>
  </si>
  <si>
    <t xml:space="preserve">4:50</t>
  </si>
  <si>
    <t xml:space="preserve">Pravha Handicap (0-60) (Div 2)</t>
  </si>
  <si>
    <t xml:space="preserve">Connecteo (IRE)</t>
  </si>
  <si>
    <t xml:space="preserve">Coen, Ben M</t>
  </si>
  <si>
    <t xml:space="preserve">Flagstone Lady (IRE)</t>
  </si>
  <si>
    <t xml:space="preserve">4:55</t>
  </si>
  <si>
    <t xml:space="preserve">Download The At The Races App Novice Stakes (GBB Race)</t>
  </si>
  <si>
    <t xml:space="preserve">Najidi Storm</t>
  </si>
  <si>
    <t xml:space="preserve">Keane, C T</t>
  </si>
  <si>
    <t xml:space="preserve">Charlton, Roger/Harry</t>
  </si>
  <si>
    <t xml:space="preserve">Al Jolson</t>
  </si>
  <si>
    <t xml:space="preserve">5:00</t>
  </si>
  <si>
    <t xml:space="preserve">Download The Matchbook Exchange App Apprentice Handicap</t>
  </si>
  <si>
    <t xml:space="preserve">My Mate Mackley</t>
  </si>
  <si>
    <t xml:space="preserve">Langley, Taryn</t>
  </si>
  <si>
    <t xml:space="preserve">Kirby, Adam</t>
  </si>
  <si>
    <t xml:space="preserve">Candy Warhol (USA)</t>
  </si>
  <si>
    <t xml:space="preserve">5:05</t>
  </si>
  <si>
    <t xml:space="preserve">Irish Stallion Farms EBF Mares Handicap Chase</t>
  </si>
  <si>
    <t xml:space="preserve">Jolie Jewel (FR)</t>
  </si>
  <si>
    <t xml:space="preserve">Smith, James</t>
  </si>
  <si>
    <t xml:space="preserve">McMahon, Brian M</t>
  </si>
  <si>
    <t xml:space="preserve">Ladies Well (IRE)</t>
  </si>
  <si>
    <t xml:space="preserve">5:13</t>
  </si>
  <si>
    <t xml:space="preserve">Annual Members Of Hamilton Park Handicap</t>
  </si>
  <si>
    <t xml:space="preserve">Uncle Liam (IRE)</t>
  </si>
  <si>
    <t xml:space="preserve">Young, Lauren</t>
  </si>
  <si>
    <t xml:space="preserve">Goldie, J S</t>
  </si>
  <si>
    <t xml:space="preserve">Hansteen</t>
  </si>
  <si>
    <t xml:space="preserve">5:25</t>
  </si>
  <si>
    <t xml:space="preserve">Molson Coors Beverage Handicap</t>
  </si>
  <si>
    <t xml:space="preserve">Cooleys Mist (IRE)</t>
  </si>
  <si>
    <t xml:space="preserve">Hayes, C D</t>
  </si>
  <si>
    <t xml:space="preserve">Rogers, H</t>
  </si>
  <si>
    <t xml:space="preserve">Youcansaythatagain (IRE)</t>
  </si>
  <si>
    <t xml:space="preserve">5:30</t>
  </si>
  <si>
    <t xml:space="preserve">Follow AtTheRaces On Instagram EBF Fillies Novice Stakes (GBB Race)</t>
  </si>
  <si>
    <t xml:space="preserve">Speed Nation (IRE)</t>
  </si>
  <si>
    <t xml:space="preserve">Murphy, Oisin</t>
  </si>
  <si>
    <t xml:space="preserve">Crisford, Simon</t>
  </si>
  <si>
    <t xml:space="preserve">Majestic Flame</t>
  </si>
  <si>
    <t xml:space="preserve">5:40</t>
  </si>
  <si>
    <t xml:space="preserve">GavinLynchRacing.com Flat Race</t>
  </si>
  <si>
    <t xml:space="preserve">Dr Bones (IRE)</t>
  </si>
  <si>
    <t xml:space="preserve">Mullins, Mr P W</t>
  </si>
  <si>
    <t xml:space="preserve">Touch The Clouds (IRE)</t>
  </si>
  <si>
    <t xml:space="preserve">6:00</t>
  </si>
  <si>
    <t xml:space="preserve">Cavani Style &amp; Speed Handicap (Div 1)</t>
  </si>
  <si>
    <t xml:space="preserve">Ridger (IRE)</t>
  </si>
  <si>
    <t xml:space="preserve">Sangster, Ollie</t>
  </si>
  <si>
    <t xml:space="preserve">Escape Magic</t>
  </si>
  <si>
    <t xml:space="preserve">6:30</t>
  </si>
  <si>
    <t xml:space="preserve">Cavani Style &amp; Speed Handicap (Div 2)</t>
  </si>
  <si>
    <t xml:space="preserve">Bungle Bay (IRE)</t>
  </si>
  <si>
    <t xml:space="preserve">Leavy, Joe</t>
  </si>
  <si>
    <t xml:space="preserve">Evans, H J</t>
  </si>
  <si>
    <t xml:space="preserve">Aspire To Glory (IRE)</t>
  </si>
  <si>
    <t xml:space="preserve">7:00</t>
  </si>
  <si>
    <t xml:space="preserve">Sky Sports Racing Sky 415 Handicap</t>
  </si>
  <si>
    <t xml:space="preserve">Zafaan (IRE)</t>
  </si>
  <si>
    <t xml:space="preserve">Loughnane, Billy</t>
  </si>
  <si>
    <t xml:space="preserve">Clover, Charlie</t>
  </si>
  <si>
    <t xml:space="preserve">Dijon Gone</t>
  </si>
  <si>
    <t xml:space="preserve">7:30</t>
  </si>
  <si>
    <t xml:space="preserve">Free Race Replays On attheraces.com Handicap</t>
  </si>
  <si>
    <t xml:space="preserve">Roserunner</t>
  </si>
  <si>
    <t xml:space="preserve">Botti, M</t>
  </si>
  <si>
    <t xml:space="preserve">Yes Waliim (IRE)</t>
  </si>
  <si>
    <t xml:space="preserve">8:00</t>
  </si>
  <si>
    <t xml:space="preserve">Cavani Winning Form Handicap</t>
  </si>
  <si>
    <t xml:space="preserve">Bona Fortuna (IRE)</t>
  </si>
  <si>
    <t xml:space="preserve">Morris, Luke</t>
  </si>
  <si>
    <t xml:space="preserve">Appleby, M</t>
  </si>
  <si>
    <t xml:space="preserve">Nogos Dream</t>
  </si>
  <si>
    <t xml:space="preserve">8:30</t>
  </si>
  <si>
    <t xml:space="preserve">Free Digital Racecard At raceday-ready.com Handicap</t>
  </si>
  <si>
    <t xml:space="preserve">The Anthony Gover</t>
  </si>
  <si>
    <t xml:space="preserve">Newland, Dr R D P</t>
  </si>
  <si>
    <t xml:space="preserve">Back At One (IRE)</t>
  </si>
  <si>
    <t xml:space="preserve">Horse</t>
  </si>
  <si>
    <t xml:space="preserve">Its predicted BSP</t>
  </si>
  <si>
    <t xml:space="preserve">Share of the book</t>
  </si>
  <si>
    <t xml:space="preserve">Others' prices ×</t>
  </si>
  <si>
    <t xml:space="preserve">Stellar Path (IRE)</t>
  </si>
  <si>
    <t xml:space="preserve">The Drambling Man (IRE)</t>
  </si>
  <si>
    <t xml:space="preserve">Easy Listening (IRE)</t>
  </si>
  <si>
    <t xml:space="preserve">The Farmers Bar (IRE)</t>
  </si>
  <si>
    <t xml:space="preserve">Poor Relation (FR)</t>
  </si>
  <si>
    <t xml:space="preserve">Sakura Impact (IRE)</t>
  </si>
  <si>
    <t xml:space="preserve">Arctic Piper (IRE)</t>
  </si>
  <si>
    <t xml:space="preserve">Colins Friend (IRE)</t>
  </si>
  <si>
    <t xml:space="preserve">Kome Dans Un Reve (FR)</t>
  </si>
  <si>
    <t xml:space="preserve">Ride Like A Girl (FR)</t>
  </si>
  <si>
    <t xml:space="preserve">Star Glory (IRE)</t>
  </si>
  <si>
    <t xml:space="preserve">Bigcitydreams (IRE)</t>
  </si>
  <si>
    <t xml:space="preserve">Castle Garden (IRE)</t>
  </si>
  <si>
    <t xml:space="preserve">Getaway Tobin (IRE)</t>
  </si>
  <si>
    <t xml:space="preserve">Shadonagh (IRE)</t>
  </si>
  <si>
    <t xml:space="preserve">Keogie (IRE)</t>
  </si>
  <si>
    <t xml:space="preserve">Ballyminnion Boy (IRE)</t>
  </si>
  <si>
    <t xml:space="preserve">Blackwater Soldier (IRE)</t>
  </si>
  <si>
    <t xml:space="preserve">Chanceitlucky (IRE)</t>
  </si>
  <si>
    <t xml:space="preserve">Go Out (FR)</t>
  </si>
  <si>
    <t xml:space="preserve">Lar Na Coille (IRE)</t>
  </si>
  <si>
    <t xml:space="preserve">Paradise Lost (IRE)</t>
  </si>
  <si>
    <t xml:space="preserve">Positive Thinker (IRE)</t>
  </si>
  <si>
    <t xml:space="preserve">Dandy Magic (IRE)</t>
  </si>
  <si>
    <t xml:space="preserve">Baloos Blues</t>
  </si>
  <si>
    <t xml:space="preserve">Barnsnape Boy</t>
  </si>
  <si>
    <t xml:space="preserve">Daddy Long Legs (FR)</t>
  </si>
  <si>
    <t xml:space="preserve">Cleopatras Needle (IRE)</t>
  </si>
  <si>
    <t xml:space="preserve">Earthsong (IRE)</t>
  </si>
  <si>
    <t xml:space="preserve">Flying Fortress</t>
  </si>
  <si>
    <t xml:space="preserve">Neo Smart (IRE)</t>
  </si>
  <si>
    <t xml:space="preserve">Miss Raincloud (IRE)</t>
  </si>
  <si>
    <t xml:space="preserve">Sonbelievable</t>
  </si>
  <si>
    <t xml:space="preserve">Vega Storm (IRE)</t>
  </si>
  <si>
    <t xml:space="preserve">Runners (now)</t>
  </si>
  <si>
    <t xml:space="preserve">gated 13:43 top pick</t>
  </si>
  <si>
    <t xml:space="preserve">gated 13:43 BSP</t>
  </si>
  <si>
    <t xml:space="preserve">Its 12:48 BSP</t>
  </si>
  <si>
    <t xml:space="preserve">12:48 top pick (runners still declared)</t>
  </si>
  <si>
    <t xml:space="preserve">12:48 BSP</t>
  </si>
  <si>
    <t xml:space="preserve">Same pick?</t>
  </si>
  <si>
    <t xml:space="preserve">gated 13:43 vs 12:48 on the gated 13:43's pick</t>
  </si>
  <si>
    <t xml:space="preserve">Races with the same top pick</t>
  </si>
  <si>
    <t xml:space="preserve">12:48: the same model on horseracebase's card at 12:48 UTC (predict-now run 33), the workbook sent then. Since then one non-runner (Sakura Impact, Brighton 2:05, a race already run).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</si>
  <si>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</si>
  <si>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</si>
  <si>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</si>
  <si>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</si>
  <si>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</si>
  <si>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</si>
  <si>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</si>
  <si>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Good</t>
  </si>
  <si>
    <t xml:space="preserve">Cusack, C</t>
  </si>
  <si>
    <t xml:space="preserve">Invincible Irish (IRE)</t>
  </si>
  <si>
    <t xml:space="preserve">McLoughlin, Daniel</t>
  </si>
  <si>
    <t xml:space="preserve">Rathbran Lady (IRE)</t>
  </si>
  <si>
    <t xml:space="preserve">Joyce, Wesley</t>
  </si>
  <si>
    <t xml:space="preserve">Mulvany, Michael</t>
  </si>
  <si>
    <t xml:space="preserve">Annie Tips (IRE)</t>
  </si>
  <si>
    <t xml:space="preserve">McAteer, L T</t>
  </si>
  <si>
    <t xml:space="preserve">Dowling, James</t>
  </si>
  <si>
    <t xml:space="preserve">Syrah (IRE)</t>
  </si>
  <si>
    <t xml:space="preserve">Mulligan, R M</t>
  </si>
  <si>
    <t xml:space="preserve">Weld, Charles</t>
  </si>
  <si>
    <t xml:space="preserve">Class 6</t>
  </si>
  <si>
    <t xml:space="preserve">Good To Firm</t>
  </si>
  <si>
    <t xml:space="preserve">ONeill, K T</t>
  </si>
  <si>
    <t xml:space="preserve">Bridger, J / Cook, R</t>
  </si>
  <si>
    <t xml:space="preserve">Dreambird Dolly</t>
  </si>
  <si>
    <t xml:space="preserve">Gallagher, J</t>
  </si>
  <si>
    <t xml:space="preserve">Danger Alert</t>
  </si>
  <si>
    <t xml:space="preserve">Beach Partee</t>
  </si>
  <si>
    <t xml:space="preserve">Howarth, Christian</t>
  </si>
  <si>
    <t xml:space="preserve">Dixon, Scott</t>
  </si>
  <si>
    <t xml:space="preserve">Harry Brown</t>
  </si>
  <si>
    <t xml:space="preserve">Crate, Peter</t>
  </si>
  <si>
    <t xml:space="preserve">Diamond Dreamer</t>
  </si>
  <si>
    <t xml:space="preserve">Probert, David</t>
  </si>
  <si>
    <t xml:space="preserve">Chamings, P R</t>
  </si>
  <si>
    <t xml:space="preserve">Stapleford Park</t>
  </si>
  <si>
    <t xml:space="preserve">Fox, Kieren</t>
  </si>
  <si>
    <t xml:space="preserve">Attwater, M J</t>
  </si>
  <si>
    <t xml:space="preserve">Anglesey Lad (IRE)</t>
  </si>
  <si>
    <t xml:space="preserve">Cox, William</t>
  </si>
  <si>
    <t xml:space="preserve">Desdemona</t>
  </si>
  <si>
    <t xml:space="preserve">Flanagan, S W</t>
  </si>
  <si>
    <t xml:space="preserve">Murray, Adrian</t>
  </si>
  <si>
    <t xml:space="preserve">Sonas (IRE)</t>
  </si>
  <si>
    <t xml:space="preserve">God The Highness (IRE)</t>
  </si>
  <si>
    <t xml:space="preserve">Meyler, D</t>
  </si>
  <si>
    <t xml:space="preserve">Harrington, Mrs John</t>
  </si>
  <si>
    <t xml:space="preserve">The Flying Rambler (IRE)</t>
  </si>
  <si>
    <t xml:space="preserve">King, D</t>
  </si>
  <si>
    <t xml:space="preserve">Dempsey, J P</t>
  </si>
  <si>
    <t xml:space="preserve">Pallatine Hills (IRE)</t>
  </si>
  <si>
    <t xml:space="preserve">Buckley, Kieran</t>
  </si>
  <si>
    <t xml:space="preserve">Abando (GER)</t>
  </si>
  <si>
    <t xml:space="preserve">McCann, Anthony</t>
  </si>
  <si>
    <t xml:space="preserve">Lucky Signal (FR)</t>
  </si>
  <si>
    <t xml:space="preserve">Ewing, Sam</t>
  </si>
  <si>
    <t xml:space="preserve">Gratitudeforgrace (FR)</t>
  </si>
  <si>
    <t xml:space="preserve">Gilligan, D J</t>
  </si>
  <si>
    <t xml:space="preserve">Hill Of Berries (IRE)</t>
  </si>
  <si>
    <t xml:space="preserve">Gainford, Jordan</t>
  </si>
  <si>
    <t xml:space="preserve">Everin Dream (IRE)</t>
  </si>
  <si>
    <t xml:space="preserve">Smithers, P T</t>
  </si>
  <si>
    <t xml:space="preserve">Fahey, Jarlath P</t>
  </si>
  <si>
    <t xml:space="preserve">Neat As A Pin (IRE)</t>
  </si>
  <si>
    <t xml:space="preserve">Lane, R J</t>
  </si>
  <si>
    <t xml:space="preserve">Bolger, E</t>
  </si>
  <si>
    <t xml:space="preserve">Emmamia (IRE)</t>
  </si>
  <si>
    <t xml:space="preserve">McNiff, Mark Michael</t>
  </si>
  <si>
    <t xml:space="preserve">Class 5</t>
  </si>
  <si>
    <t xml:space="preserve">Soft</t>
  </si>
  <si>
    <t xml:space="preserve">Burley, Miss Rebecca</t>
  </si>
  <si>
    <t xml:space="preserve">Lumenbourg</t>
  </si>
  <si>
    <t xml:space="preserve">Barlow, Patrick</t>
  </si>
  <si>
    <t xml:space="preserve">Camacho, Miss J A</t>
  </si>
  <si>
    <t xml:space="preserve">Thistle Nil (IRE)</t>
  </si>
  <si>
    <t xml:space="preserve">Cagney, Eireann</t>
  </si>
  <si>
    <t xml:space="preserve">Maldevious (IRE)</t>
  </si>
  <si>
    <t xml:space="preserve">Brown, Mr M W</t>
  </si>
  <si>
    <t xml:space="preserve">Ellison, B</t>
  </si>
  <si>
    <t xml:space="preserve">Punchbowl Flyer (IRE)</t>
  </si>
  <si>
    <t xml:space="preserve">Hampson, Brodie</t>
  </si>
  <si>
    <t xml:space="preserve">Oshea, J G M</t>
  </si>
  <si>
    <t xml:space="preserve">Class 3</t>
  </si>
  <si>
    <t xml:space="preserve">Bowen, Sean P</t>
  </si>
  <si>
    <t xml:space="preserve">Bowen, Mickey</t>
  </si>
  <si>
    <t xml:space="preserve">Limerick Leader (FR)</t>
  </si>
  <si>
    <t xml:space="preserve">Bowen, James C</t>
  </si>
  <si>
    <t xml:space="preserve">Scholfield, Nick</t>
  </si>
  <si>
    <t xml:space="preserve">Whelan, R P</t>
  </si>
  <si>
    <t xml:space="preserve">ODonoghue, John</t>
  </si>
  <si>
    <t xml:space="preserve">Lady Plimsoll (IRE)</t>
  </si>
  <si>
    <t xml:space="preserve">Holohan, Reese</t>
  </si>
  <si>
    <t xml:space="preserve">OCallaghan, M D</t>
  </si>
  <si>
    <t xml:space="preserve">Navy Waters (IRE)</t>
  </si>
  <si>
    <t xml:space="preserve">McCreery, W</t>
  </si>
  <si>
    <t xml:space="preserve">Vanir (IRE)</t>
  </si>
  <si>
    <t xml:space="preserve">Murtagh, J P</t>
  </si>
  <si>
    <t xml:space="preserve">Just Keep Flying (USA)</t>
  </si>
  <si>
    <t xml:space="preserve">Kennedy, K G</t>
  </si>
  <si>
    <t xml:space="preserve">Denim And Diamonds (IRE)</t>
  </si>
  <si>
    <t xml:space="preserve">Sheridan, J M</t>
  </si>
  <si>
    <t xml:space="preserve">Tatum (IRE)</t>
  </si>
  <si>
    <t xml:space="preserve">Meade, Noel</t>
  </si>
  <si>
    <t xml:space="preserve">Narlita (GER)</t>
  </si>
  <si>
    <t xml:space="preserve">Ankara (FR)</t>
  </si>
  <si>
    <t xml:space="preserve">Wallace, S A</t>
  </si>
  <si>
    <t xml:space="preserve">Class 4</t>
  </si>
  <si>
    <t xml:space="preserve">Watson, Jason</t>
  </si>
  <si>
    <t xml:space="preserve">Balding, A M</t>
  </si>
  <si>
    <t xml:space="preserve">All Shall Be Well</t>
  </si>
  <si>
    <t xml:space="preserve">Shoemark, Kieran</t>
  </si>
  <si>
    <t xml:space="preserve">Jones, Jack</t>
  </si>
  <si>
    <t xml:space="preserve">Irish Spring</t>
  </si>
  <si>
    <t xml:space="preserve">Hogan, D E</t>
  </si>
  <si>
    <t xml:space="preserve">Jewell, Karen</t>
  </si>
  <si>
    <t xml:space="preserve">Canavan, Jordan J</t>
  </si>
  <si>
    <t xml:space="preserve">Flavin, J P</t>
  </si>
  <si>
    <t xml:space="preserve">Patrick Street</t>
  </si>
  <si>
    <t xml:space="preserve">Kinirons, A</t>
  </si>
  <si>
    <t xml:space="preserve">Classy Cc (IRE)</t>
  </si>
  <si>
    <t xml:space="preserve">Brassil, C</t>
  </si>
  <si>
    <t xml:space="preserve">Brassil, Martin</t>
  </si>
  <si>
    <t xml:space="preserve">Eyetrap</t>
  </si>
  <si>
    <t xml:space="preserve">Smithers, C D</t>
  </si>
  <si>
    <t xml:space="preserve">Melia, Aidan</t>
  </si>
  <si>
    <t xml:space="preserve">Patty Ofarrell (IRE)</t>
  </si>
  <si>
    <t xml:space="preserve">Maher, Peter</t>
  </si>
  <si>
    <t xml:space="preserve">Our Girl Ellie (IRE)</t>
  </si>
  <si>
    <t xml:space="preserve">Slevin, J J</t>
  </si>
  <si>
    <t xml:space="preserve">Ryan, Stephen</t>
  </si>
  <si>
    <t xml:space="preserve">Avandra (IRE)</t>
  </si>
  <si>
    <t xml:space="preserve">OCallaghan, Shane</t>
  </si>
  <si>
    <t xml:space="preserve">Rothwell, P J</t>
  </si>
  <si>
    <t xml:space="preserve">Speakasyoufind (IRE)</t>
  </si>
  <si>
    <t xml:space="preserve">Sugrue, R</t>
  </si>
  <si>
    <t xml:space="preserve">Dalmatic (IRE)</t>
  </si>
  <si>
    <t xml:space="preserve">Byrnes, Philip</t>
  </si>
  <si>
    <t xml:space="preserve">Odoherty, William Joseph</t>
  </si>
  <si>
    <t xml:space="preserve">Another Blunder (IRE)</t>
  </si>
  <si>
    <t xml:space="preserve">OConnor, M P</t>
  </si>
  <si>
    <t xml:space="preserve">Barry, Michael</t>
  </si>
  <si>
    <t xml:space="preserve">Atlantic Wonder (IRE)</t>
  </si>
  <si>
    <t xml:space="preserve">Costello, Mr J</t>
  </si>
  <si>
    <t xml:space="preserve">Martin, A J</t>
  </si>
  <si>
    <t xml:space="preserve">Nukies Artic (IRE)</t>
  </si>
  <si>
    <t xml:space="preserve">OConnor, Thomas</t>
  </si>
  <si>
    <t xml:space="preserve">McCarthy, Eoin Christopher</t>
  </si>
  <si>
    <t xml:space="preserve">Graces Legacy (IRE)</t>
  </si>
  <si>
    <t xml:space="preserve">Collins, C M</t>
  </si>
  <si>
    <t xml:space="preserve">Inver Bay (IRE)</t>
  </si>
  <si>
    <t xml:space="preserve">Torrens, Simon</t>
  </si>
  <si>
    <t xml:space="preserve">Howard, Aidan Anthony</t>
  </si>
  <si>
    <t xml:space="preserve">Grennanstown Lady (IRE)</t>
  </si>
  <si>
    <t xml:space="preserve">Keane, Gerard</t>
  </si>
  <si>
    <t xml:space="preserve">Kompozitor</t>
  </si>
  <si>
    <t xml:space="preserve">Beasley, Connor</t>
  </si>
  <si>
    <t xml:space="preserve">Barron, T D</t>
  </si>
  <si>
    <t xml:space="preserve">Youngheartsrunfree (IRE)</t>
  </si>
  <si>
    <t xml:space="preserve">Wheatley, Zak</t>
  </si>
  <si>
    <t xml:space="preserve">Carroll, D</t>
  </si>
  <si>
    <t xml:space="preserve">Valentina Bonita (IRE)</t>
  </si>
  <si>
    <t xml:space="preserve">Garritty, Billy</t>
  </si>
  <si>
    <t xml:space="preserve">Easterby, M W</t>
  </si>
  <si>
    <t xml:space="preserve">Justice Time (IRE)</t>
  </si>
  <si>
    <t xml:space="preserve">Marshall, Tom Kiely</t>
  </si>
  <si>
    <t xml:space="preserve">Twiston-Davies, Sam</t>
  </si>
  <si>
    <t xml:space="preserve">Twiston-Davies, N A</t>
  </si>
  <si>
    <t xml:space="preserve">Silver Whisper</t>
  </si>
  <si>
    <t xml:space="preserve">Noonan, David G</t>
  </si>
  <si>
    <t xml:space="preserve">Clarke, Ben</t>
  </si>
  <si>
    <t xml:space="preserve">Happy Chandler</t>
  </si>
  <si>
    <t xml:space="preserve">Reed, Harry</t>
  </si>
  <si>
    <t xml:space="preserve">Blake, Michael</t>
  </si>
  <si>
    <t xml:space="preserve">Savanna Storm (IRE)</t>
  </si>
  <si>
    <t xml:space="preserve">Corcoran, Rian</t>
  </si>
  <si>
    <t xml:space="preserve">Pipe, D E</t>
  </si>
  <si>
    <t xml:space="preserve">Pappano</t>
  </si>
  <si>
    <t xml:space="preserve">Collier, Ellis</t>
  </si>
  <si>
    <t xml:space="preserve">Hosie, Syd</t>
  </si>
  <si>
    <t xml:space="preserve">Twomey, P</t>
  </si>
  <si>
    <t xml:space="preserve">Hip Hop Chrissy (IRE)</t>
  </si>
  <si>
    <t xml:space="preserve">Ryan, Gavin</t>
  </si>
  <si>
    <t xml:space="preserve">Obrien, Donnacha</t>
  </si>
  <si>
    <t xml:space="preserve">Little Scotch (IRE)</t>
  </si>
  <si>
    <t xml:space="preserve">Cromwell, Gavin Patrick</t>
  </si>
  <si>
    <t xml:space="preserve">Leap Of Light (IRE)</t>
  </si>
  <si>
    <t xml:space="preserve">Shadowbelle (IRE)</t>
  </si>
  <si>
    <t xml:space="preserve">Handsoffshesmine (IRE)</t>
  </si>
  <si>
    <t xml:space="preserve">Slattery, Andrew</t>
  </si>
  <si>
    <t xml:space="preserve">Spectrolyte (IRE)</t>
  </si>
  <si>
    <t xml:space="preserve">Slattery, A J</t>
  </si>
  <si>
    <t xml:space="preserve">Alpha Betty (IRE)</t>
  </si>
  <si>
    <t xml:space="preserve">Cleary, R P</t>
  </si>
  <si>
    <t xml:space="preserve">Farrell, C W J</t>
  </si>
  <si>
    <t xml:space="preserve">Osborne, Saffie</t>
  </si>
  <si>
    <t xml:space="preserve">Osborne, J A</t>
  </si>
  <si>
    <t xml:space="preserve">Banged Up</t>
  </si>
  <si>
    <t xml:space="preserve">Bishop, Charles</t>
  </si>
  <si>
    <t xml:space="preserve">Houghton, Eve Johnson</t>
  </si>
  <si>
    <t xml:space="preserve">Wild Orchid</t>
  </si>
  <si>
    <t xml:space="preserve">Callan, Jack</t>
  </si>
  <si>
    <t xml:space="preserve">Johnston, Charlie</t>
  </si>
  <si>
    <t xml:space="preserve">Blue Skies Above</t>
  </si>
  <si>
    <t xml:space="preserve">Cole, Oliver</t>
  </si>
  <si>
    <t xml:space="preserve">Mandolin Rain (IRE)</t>
  </si>
  <si>
    <t xml:space="preserve">Cunha, Dylan</t>
  </si>
  <si>
    <t xml:space="preserve">Allaboutthelunch</t>
  </si>
  <si>
    <t xml:space="preserve">Chalmers, Isobelle</t>
  </si>
  <si>
    <t xml:space="preserve">Smyth-Osbourne, Edward</t>
  </si>
  <si>
    <t xml:space="preserve">Enhancing</t>
  </si>
  <si>
    <t xml:space="preserve">Fallon, Cieren</t>
  </si>
  <si>
    <t xml:space="preserve">Palmer, Hugo</t>
  </si>
  <si>
    <t xml:space="preserve">Best Yet</t>
  </si>
  <si>
    <t xml:space="preserve">Hughes, Richard</t>
  </si>
  <si>
    <t xml:space="preserve">Golden Oasis</t>
  </si>
  <si>
    <t xml:space="preserve">Edwards, Robert</t>
  </si>
  <si>
    <t xml:space="preserve">Beach Ahead</t>
  </si>
  <si>
    <t xml:space="preserve">Courage Best (IRE)</t>
  </si>
  <si>
    <t xml:space="preserve">Keenan, Darragh</t>
  </si>
  <si>
    <t xml:space="preserve">Millman, B R</t>
  </si>
  <si>
    <t xml:space="preserve">Zonneveld</t>
  </si>
  <si>
    <t xml:space="preserve">Egan, John</t>
  </si>
  <si>
    <t xml:space="preserve">Fahey, Peter</t>
  </si>
  <si>
    <t xml:space="preserve">Culldoo (FR)</t>
  </si>
  <si>
    <t xml:space="preserve">Mullins, D E</t>
  </si>
  <si>
    <t xml:space="preserve">Wicked Pleasure (IRE)</t>
  </si>
  <si>
    <t xml:space="preserve">Born Believing (IRE)</t>
  </si>
  <si>
    <t xml:space="preserve">OConnell, Ms Claire</t>
  </si>
  <si>
    <t xml:space="preserve">Forceonmyown (IRE)</t>
  </si>
  <si>
    <t xml:space="preserve">I Dont Really Care (IRE)</t>
  </si>
  <si>
    <t xml:space="preserve">Hackett, Ray</t>
  </si>
  <si>
    <t xml:space="preserve">Everyday Life (IRE)</t>
  </si>
  <si>
    <t xml:space="preserve">Williamson, Josh</t>
  </si>
  <si>
    <t xml:space="preserve">Donoghue, Ian</t>
  </si>
  <si>
    <t xml:space="preserve">Bluebell Breeze (IRE)</t>
  </si>
  <si>
    <t xml:space="preserve">OConnor, Dylan</t>
  </si>
  <si>
    <t xml:space="preserve">Leahy, A D</t>
  </si>
  <si>
    <t xml:space="preserve">Withmylittleeye (IRE)</t>
  </si>
  <si>
    <t xml:space="preserve">Magee, Patrick</t>
  </si>
  <si>
    <t xml:space="preserve">Rebel Queen (IRE)</t>
  </si>
  <si>
    <t xml:space="preserve">Kenneally, Michael</t>
  </si>
  <si>
    <t xml:space="preserve">Motherway, C</t>
  </si>
  <si>
    <t xml:space="preserve">Mystic Rose (IRE)</t>
  </si>
  <si>
    <t xml:space="preserve">Walsh, E</t>
  </si>
  <si>
    <t xml:space="preserve">Dusky Night (IRE)</t>
  </si>
  <si>
    <t xml:space="preserve">OSullivan, Ross</t>
  </si>
  <si>
    <t xml:space="preserve">Robindeepot (IRE)</t>
  </si>
  <si>
    <t xml:space="preserve">Kelly, Aidan</t>
  </si>
  <si>
    <t xml:space="preserve">Daphne Blake (IRE)</t>
  </si>
  <si>
    <t xml:space="preserve">Shinnick, J P</t>
  </si>
  <si>
    <t xml:space="preserve">Stay On Tab</t>
  </si>
  <si>
    <t xml:space="preserve">Mullen, Andrew</t>
  </si>
  <si>
    <t xml:space="preserve">Jardine, I</t>
  </si>
  <si>
    <t xml:space="preserve">Lady Titania</t>
  </si>
  <si>
    <t xml:space="preserve">Nicholls, Jack</t>
  </si>
  <si>
    <t xml:space="preserve">Burke, K R</t>
  </si>
  <si>
    <t xml:space="preserve">Or Another (IRE)</t>
  </si>
  <si>
    <t xml:space="preserve">Hart, Jason</t>
  </si>
  <si>
    <t xml:space="preserve">Scott, Miss Katie</t>
  </si>
  <si>
    <t xml:space="preserve">Dadawada (IRE)</t>
  </si>
  <si>
    <t xml:space="preserve">Kellett, C N</t>
  </si>
  <si>
    <t xml:space="preserve">North Coates</t>
  </si>
  <si>
    <t xml:space="preserve">Sullivan, James P</t>
  </si>
  <si>
    <t xml:space="preserve">Bament, Chad</t>
  </si>
  <si>
    <t xml:space="preserve">Inside Man (FR)</t>
  </si>
  <si>
    <t xml:space="preserve">Minella Jury (IRE)</t>
  </si>
  <si>
    <t xml:space="preserve">Monmouth (IRE)</t>
  </si>
  <si>
    <t xml:space="preserve">OBrien, A P</t>
  </si>
  <si>
    <t xml:space="preserve">Orellana (IRE)</t>
  </si>
  <si>
    <t xml:space="preserve">Rutledge, Siobhan</t>
  </si>
  <si>
    <t xml:space="preserve">Mac An Luais (IRE)</t>
  </si>
  <si>
    <t xml:space="preserve">Foley, Patrick T</t>
  </si>
  <si>
    <t xml:space="preserve">Monty Bear (IRE)</t>
  </si>
  <si>
    <t xml:space="preserve">Fahey, Mark</t>
  </si>
  <si>
    <t xml:space="preserve">Caption This (IRE)</t>
  </si>
  <si>
    <t xml:space="preserve">Colgan, R C</t>
  </si>
  <si>
    <t xml:space="preserve">Nash, J A</t>
  </si>
  <si>
    <t xml:space="preserve">Freddiesadienray (IRE)</t>
  </si>
  <si>
    <t xml:space="preserve">Burns, Nicola</t>
  </si>
  <si>
    <t xml:space="preserve">Notahairoutofplace</t>
  </si>
  <si>
    <t xml:space="preserve">Ryan, J J G</t>
  </si>
  <si>
    <t xml:space="preserve">Watson, R K</t>
  </si>
  <si>
    <t xml:space="preserve">Carroll, A W</t>
  </si>
  <si>
    <t xml:space="preserve">Marsh Benham (IRE)</t>
  </si>
  <si>
    <t xml:space="preserve">Cosgrave, Pat</t>
  </si>
  <si>
    <t xml:space="preserve">Baker, George</t>
  </si>
  <si>
    <t xml:space="preserve">Gone Rogue (IRE)</t>
  </si>
  <si>
    <t xml:space="preserve">Queally, T P</t>
  </si>
  <si>
    <t xml:space="preserve">On The Inlet (IRE)</t>
  </si>
  <si>
    <t xml:space="preserve">Hamdas Joy (IRE)</t>
  </si>
  <si>
    <t xml:space="preserve">Clover, Tom</t>
  </si>
  <si>
    <t xml:space="preserve">Dion Baker (IRE)</t>
  </si>
  <si>
    <t xml:space="preserve">Alterity</t>
  </si>
  <si>
    <t xml:space="preserve">Darvel (IRE)</t>
  </si>
  <si>
    <t xml:space="preserve">Pints In Peace (IRE)</t>
  </si>
  <si>
    <t xml:space="preserve">Best, Jim/Suzi</t>
  </si>
  <si>
    <t xml:space="preserve">Burke, W J</t>
  </si>
  <si>
    <t xml:space="preserve">Jurality</t>
  </si>
  <si>
    <t xml:space="preserve">Flynn, Paul W</t>
  </si>
  <si>
    <t xml:space="preserve">Kellys Corner (IRE)</t>
  </si>
  <si>
    <t xml:space="preserve">Ardgillan (IRE)</t>
  </si>
  <si>
    <t xml:space="preserve">Harvey, A</t>
  </si>
  <si>
    <t xml:space="preserve">Lynch, M M</t>
  </si>
  <si>
    <t xml:space="preserve">Stily (FR)</t>
  </si>
  <si>
    <t xml:space="preserve">Quirke, Cian</t>
  </si>
  <si>
    <t xml:space="preserve">McDonagh, Michael J</t>
  </si>
  <si>
    <t xml:space="preserve">Go To The Moon (IRE)</t>
  </si>
  <si>
    <t xml:space="preserve">Ancient Myth (IRE)</t>
  </si>
  <si>
    <t xml:space="preserve">Glynn, N F</t>
  </si>
  <si>
    <t xml:space="preserve">Move It On Over (IRE)</t>
  </si>
  <si>
    <t xml:space="preserve">ONeill, John F</t>
  </si>
  <si>
    <t xml:space="preserve">Let Him B (IRE)</t>
  </si>
  <si>
    <t xml:space="preserve">Byrnes, C</t>
  </si>
  <si>
    <t xml:space="preserve">Kilashee (IRE)</t>
  </si>
  <si>
    <t xml:space="preserve">Healy, Kevin</t>
  </si>
  <si>
    <t xml:space="preserve">Ryan, John Patrick</t>
  </si>
  <si>
    <t xml:space="preserve">Amron Diamond (IRE)</t>
  </si>
  <si>
    <t xml:space="preserve">Barcoe, James M</t>
  </si>
  <si>
    <t xml:space="preserve">Getaway Charlie (IRE)</t>
  </si>
  <si>
    <t xml:space="preserve">Doyle, Mr D</t>
  </si>
  <si>
    <t xml:space="preserve">Doyle, Timothy</t>
  </si>
  <si>
    <t xml:space="preserve">Max Time (IRE)</t>
  </si>
  <si>
    <t xml:space="preserve">Kelly, T Joseph</t>
  </si>
  <si>
    <t xml:space="preserve">Madden, I</t>
  </si>
  <si>
    <t xml:space="preserve">Granda George (IRE)</t>
  </si>
  <si>
    <t xml:space="preserve">Trackman Tommy (IRE)</t>
  </si>
  <si>
    <t xml:space="preserve">Donovan, Philip</t>
  </si>
  <si>
    <t xml:space="preserve">Broderick, J P</t>
  </si>
  <si>
    <t xml:space="preserve">Crouch, Hector</t>
  </si>
  <si>
    <t xml:space="preserve">Beckett, R M</t>
  </si>
  <si>
    <t xml:space="preserve">Rhoscolyn</t>
  </si>
  <si>
    <t xml:space="preserve">OMeara, D</t>
  </si>
  <si>
    <t xml:space="preserve">Hot Cash</t>
  </si>
  <si>
    <t xml:space="preserve">Stott, Kevin</t>
  </si>
  <si>
    <t xml:space="preserve">Channon, Jack</t>
  </si>
  <si>
    <t xml:space="preserve">Strength of Spirit (IRE)</t>
  </si>
  <si>
    <t xml:space="preserve">Thunder Roar</t>
  </si>
  <si>
    <t xml:space="preserve">Nolan, D</t>
  </si>
  <si>
    <t xml:space="preserve">Coyle, Tony</t>
  </si>
  <si>
    <t xml:space="preserve">Lir Speciale (IRE)</t>
  </si>
  <si>
    <t xml:space="preserve">Good Morning Alex</t>
  </si>
  <si>
    <t xml:space="preserve">Callisto Dream (IRE)</t>
  </si>
  <si>
    <t xml:space="preserve">Orr, Oisin</t>
  </si>
  <si>
    <t xml:space="preserve">Bethell, Ed</t>
  </si>
  <si>
    <t xml:space="preserve">Daydreama</t>
  </si>
  <si>
    <t xml:space="preserve">Milteye</t>
  </si>
  <si>
    <t xml:space="preserve">Tindall, Ethan</t>
  </si>
  <si>
    <t xml:space="preserve">Geo (IRE)</t>
  </si>
  <si>
    <t xml:space="preserve">Sujet</t>
  </si>
  <si>
    <t xml:space="preserve">Scott, Luke</t>
  </si>
  <si>
    <t xml:space="preserve">Candlish, Jennie</t>
  </si>
  <si>
    <t xml:space="preserve">Saucats (FR)</t>
  </si>
  <si>
    <t xml:space="preserve">Pritchard, Callum</t>
  </si>
  <si>
    <t xml:space="preserve">Tickle, J</t>
  </si>
  <si>
    <t xml:space="preserve">Lightning Flash (IRE)</t>
  </si>
  <si>
    <t xml:space="preserve">Cogital</t>
  </si>
  <si>
    <t xml:space="preserve">Atkins, Harry</t>
  </si>
  <si>
    <t xml:space="preserve">Llewellyn, B J</t>
  </si>
  <si>
    <t xml:space="preserve">Princess Of Ballea (IRE)</t>
  </si>
  <si>
    <t xml:space="preserve">Hitchins, Daisy</t>
  </si>
  <si>
    <t xml:space="preserve">Grant, A S</t>
  </si>
  <si>
    <t xml:space="preserve">Faoladh (IRE)</t>
  </si>
  <si>
    <t xml:space="preserve">Coen, S</t>
  </si>
  <si>
    <t xml:space="preserve">Minaun View</t>
  </si>
  <si>
    <t xml:space="preserve">McGettigan, P</t>
  </si>
  <si>
    <t xml:space="preserve">McGuinness, Adrian</t>
  </si>
  <si>
    <t xml:space="preserve">Greek Flower (IRE)</t>
  </si>
  <si>
    <t xml:space="preserve">Powell, J A</t>
  </si>
  <si>
    <t xml:space="preserve">Feane, John James</t>
  </si>
  <si>
    <t xml:space="preserve">Venetian Star (IRE)</t>
  </si>
  <si>
    <t xml:space="preserve">Thru And Thru (IRE)</t>
  </si>
  <si>
    <t xml:space="preserve">Devine, Rory</t>
  </si>
  <si>
    <t xml:space="preserve">Zheleznaya Dama (USA)</t>
  </si>
  <si>
    <t xml:space="preserve">Duke, B W</t>
  </si>
  <si>
    <t xml:space="preserve">Una Matata (IRE)</t>
  </si>
  <si>
    <t xml:space="preserve">Kearney, J</t>
  </si>
  <si>
    <t xml:space="preserve">Fortuity (IRE)</t>
  </si>
  <si>
    <t xml:space="preserve">Alex Belardo (IRE)</t>
  </si>
  <si>
    <t xml:space="preserve">McConnell, John C</t>
  </si>
  <si>
    <t xml:space="preserve">In The Gloaming (IRE)</t>
  </si>
  <si>
    <t xml:space="preserve">King Of Eze</t>
  </si>
  <si>
    <t xml:space="preserve">Whearty, R</t>
  </si>
  <si>
    <t xml:space="preserve">Thaloria</t>
  </si>
  <si>
    <t xml:space="preserve">McNally, Kian</t>
  </si>
  <si>
    <t xml:space="preserve">Lupini, Miss Natalia</t>
  </si>
  <si>
    <t xml:space="preserve">Murphy, D J</t>
  </si>
  <si>
    <t xml:space="preserve">Boyle, J R</t>
  </si>
  <si>
    <t xml:space="preserve">Gallant Lion</t>
  </si>
  <si>
    <t xml:space="preserve">Williams, Ian</t>
  </si>
  <si>
    <t xml:space="preserve">Miss Guinevere (IRE)</t>
  </si>
  <si>
    <t xml:space="preserve">Bradley, Paddy</t>
  </si>
  <si>
    <t xml:space="preserve">Fellowes, Charlie</t>
  </si>
  <si>
    <t xml:space="preserve">Crackergee</t>
  </si>
  <si>
    <t xml:space="preserve">Morrison, H</t>
  </si>
  <si>
    <t xml:space="preserve">Bohemian Breeze (IRE)</t>
  </si>
  <si>
    <t xml:space="preserve">Skimming Along (IRE)</t>
  </si>
  <si>
    <t xml:space="preserve">Voikhansky, Alexander</t>
  </si>
  <si>
    <t xml:space="preserve">Steele, Daniel</t>
  </si>
  <si>
    <t xml:space="preserve">Watching The Clock (IRE)</t>
  </si>
  <si>
    <t xml:space="preserve">Roche, Padraig</t>
  </si>
  <si>
    <t xml:space="preserve">Smallcraftwarning (IRE)</t>
  </si>
  <si>
    <t xml:space="preserve">Charlie Luciano (IRE)</t>
  </si>
  <si>
    <t xml:space="preserve">Milan Forth (IRE)</t>
  </si>
  <si>
    <t xml:space="preserve">Cavanagh, S</t>
  </si>
  <si>
    <t xml:space="preserve">Roc My Haarth (IRE)</t>
  </si>
  <si>
    <t xml:space="preserve">Quinlan, Liam</t>
  </si>
  <si>
    <t xml:space="preserve">Thornleigh Frank (IRE)</t>
  </si>
  <si>
    <t xml:space="preserve">OSullivan, Alan</t>
  </si>
  <si>
    <t xml:space="preserve">McParlan, S</t>
  </si>
  <si>
    <t xml:space="preserve">West Is Awake (IRE)</t>
  </si>
  <si>
    <t xml:space="preserve">Cawley, Edward</t>
  </si>
  <si>
    <t xml:space="preserve">Starzov (IRE)</t>
  </si>
  <si>
    <t xml:space="preserve">Free Flowing (IRE)</t>
  </si>
  <si>
    <t xml:space="preserve">Nugent, Mr E M</t>
  </si>
  <si>
    <t xml:space="preserve">Lee, Norman</t>
  </si>
  <si>
    <t xml:space="preserve">Sheehy, M P</t>
  </si>
  <si>
    <t xml:space="preserve">Keatley, Adrian Paul</t>
  </si>
  <si>
    <t xml:space="preserve">Jordan Electrics</t>
  </si>
  <si>
    <t xml:space="preserve">Temple Of Athena</t>
  </si>
  <si>
    <t xml:space="preserve">Parisiac (IRE)</t>
  </si>
  <si>
    <t xml:space="preserve">Topwarrior</t>
  </si>
  <si>
    <t xml:space="preserve">Copper Knight (IRE)</t>
  </si>
  <si>
    <t xml:space="preserve">Fentiman, Duran</t>
  </si>
  <si>
    <t xml:space="preserve">Changeofmind (IRE)</t>
  </si>
  <si>
    <t xml:space="preserve">Gaeli (ITY)</t>
  </si>
  <si>
    <t xml:space="preserve">Kirby, P A</t>
  </si>
  <si>
    <t xml:space="preserve">Nicholls, P F</t>
  </si>
  <si>
    <t xml:space="preserve">Kittys Glance</t>
  </si>
  <si>
    <t xml:space="preserve">Cannon, Tom J</t>
  </si>
  <si>
    <t xml:space="preserve">King, A</t>
  </si>
  <si>
    <t xml:space="preserve">Ellerton (FR)</t>
  </si>
  <si>
    <t xml:space="preserve">Powell, Brendan</t>
  </si>
  <si>
    <t xml:space="preserve">Tizzard, Joe</t>
  </si>
  <si>
    <t xml:space="preserve">Aiteall (IRE)</t>
  </si>
  <si>
    <t xml:space="preserve">Limestone Red (IRE)</t>
  </si>
  <si>
    <t xml:space="preserve">Collins, Tracey</t>
  </si>
  <si>
    <t xml:space="preserve">Chloes Boy (IRE)</t>
  </si>
  <si>
    <t xml:space="preserve">Tassarolo</t>
  </si>
  <si>
    <t xml:space="preserve">Sheridan, Mel</t>
  </si>
  <si>
    <t xml:space="preserve">Hogan, Denis Gerard</t>
  </si>
  <si>
    <t xml:space="preserve">Pettus Bridge (FR)</t>
  </si>
  <si>
    <t xml:space="preserve">Foster, Mrs Denise</t>
  </si>
  <si>
    <t xml:space="preserve">Autocrat (IRE)</t>
  </si>
  <si>
    <t xml:space="preserve">Pietropaolo, J</t>
  </si>
  <si>
    <t xml:space="preserve">Sweeney, P</t>
  </si>
  <si>
    <t xml:space="preserve">Idomything (IRE)</t>
  </si>
  <si>
    <t xml:space="preserve">Cleary, Jack</t>
  </si>
  <si>
    <t xml:space="preserve">Cleary, Thomas</t>
  </si>
  <si>
    <t xml:space="preserve">All Is Bright (IRE)</t>
  </si>
  <si>
    <t xml:space="preserve">Bolger, J S</t>
  </si>
  <si>
    <t xml:space="preserve">Ellens Bay (IRE)</t>
  </si>
  <si>
    <t xml:space="preserve">The Monday Club</t>
  </si>
  <si>
    <t xml:space="preserve">Jazz Dreamers (IRE)</t>
  </si>
  <si>
    <t xml:space="preserve">Fahey, Seamus</t>
  </si>
  <si>
    <t xml:space="preserve">Annacroft (IRE)</t>
  </si>
  <si>
    <t xml:space="preserve">Standard</t>
  </si>
  <si>
    <t xml:space="preserve">Easterby, Mr Thomas</t>
  </si>
  <si>
    <t xml:space="preserve">Menzies, Rebecca</t>
  </si>
  <si>
    <t xml:space="preserve">Little She (FR)</t>
  </si>
  <si>
    <t xml:space="preserve">Tregoning, Miss Alice</t>
  </si>
  <si>
    <t xml:space="preserve">Tregoning, M P</t>
  </si>
  <si>
    <t xml:space="preserve">Stipulation (IRE)</t>
  </si>
  <si>
    <t xml:space="preserve">Loughnane, Mr Jack</t>
  </si>
  <si>
    <t xml:space="preserve">Loughnane, Daniel Mark</t>
  </si>
  <si>
    <t xml:space="preserve">Star Start (IRE)</t>
  </si>
  <si>
    <t xml:space="preserve">Parker, Miss C</t>
  </si>
  <si>
    <t xml:space="preserve">Carr, Mrs R A</t>
  </si>
  <si>
    <t xml:space="preserve">Wrist Art (IRE)</t>
  </si>
  <si>
    <t xml:space="preserve">Criscuolo, Miss Ruby</t>
  </si>
  <si>
    <t xml:space="preserve">Popeye Doyle (FR)</t>
  </si>
  <si>
    <t xml:space="preserve">Bedi, Miss J</t>
  </si>
  <si>
    <t xml:space="preserve">Harbour Vision</t>
  </si>
  <si>
    <t xml:space="preserve">Tett, Frederick</t>
  </si>
  <si>
    <t xml:space="preserve">Redredrobin</t>
  </si>
  <si>
    <t xml:space="preserve">Wingrove, Miss Jodie</t>
  </si>
  <si>
    <t xml:space="preserve">Wingrove, D</t>
  </si>
  <si>
    <t xml:space="preserve">Molly Valentine (IRE)</t>
  </si>
  <si>
    <t xml:space="preserve">Holman, Jake</t>
  </si>
  <si>
    <t xml:space="preserve">Cassidy, Stephanie</t>
  </si>
  <si>
    <t xml:space="preserve">Shes Got The Blues (IRE)</t>
  </si>
  <si>
    <t xml:space="preserve">Superstorm</t>
  </si>
  <si>
    <t xml:space="preserve">Mortensen, Mikkel</t>
  </si>
  <si>
    <t xml:space="preserve">Viking Glory (IRE)</t>
  </si>
  <si>
    <t xml:space="preserve">King David (IRE)</t>
  </si>
  <si>
    <t xml:space="preserve">Kelleway, Miss Gay</t>
  </si>
  <si>
    <t xml:space="preserve">Split Elevens</t>
  </si>
  <si>
    <t xml:space="preserve">Butler, John</t>
  </si>
  <si>
    <t xml:space="preserve">Dark Sun</t>
  </si>
  <si>
    <t xml:space="preserve">Coughlan, Laura</t>
  </si>
  <si>
    <t xml:space="preserve">Bennett, J A</t>
  </si>
  <si>
    <t xml:space="preserve">Pennine Way</t>
  </si>
  <si>
    <t xml:space="preserve">Cixi (USA)</t>
  </si>
  <si>
    <t xml:space="preserve">Amathus (IRE)</t>
  </si>
  <si>
    <t xml:space="preserve">Grade 3</t>
  </si>
  <si>
    <t xml:space="preserve">Yielding</t>
  </si>
  <si>
    <t xml:space="preserve">Kelly, David Harry</t>
  </si>
  <si>
    <t xml:space="preserve">A Snow White Park (IRE)</t>
  </si>
  <si>
    <t xml:space="preserve">Mullins, Ms Margaret</t>
  </si>
  <si>
    <t xml:space="preserve">Miss Fourie (IRE)</t>
  </si>
  <si>
    <t xml:space="preserve">Vince Lamour (IRE)</t>
  </si>
  <si>
    <t xml:space="preserve">Impressor (IRE)</t>
  </si>
  <si>
    <t xml:space="preserve">Great Profit (IRE)</t>
  </si>
  <si>
    <t xml:space="preserve">McHugh, B</t>
  </si>
  <si>
    <t xml:space="preserve">Hanlon, Stephen</t>
  </si>
  <si>
    <t xml:space="preserve">Supremissy (IRE)</t>
  </si>
  <si>
    <t xml:space="preserve">Never Dark</t>
  </si>
  <si>
    <t xml:space="preserve">Jary, Alex</t>
  </si>
  <si>
    <t xml:space="preserve">Solid Bond (IRE)</t>
  </si>
  <si>
    <t xml:space="preserve">Shaw, Mr James</t>
  </si>
  <si>
    <t xml:space="preserve">French Diablo (FR)</t>
  </si>
  <si>
    <t xml:space="preserve">Jones, Miss Aimee</t>
  </si>
  <si>
    <t xml:space="preserve">Comley, Max</t>
  </si>
  <si>
    <t xml:space="preserve">Bits Ballou</t>
  </si>
  <si>
    <t xml:space="preserve">Murphy, Mr Lucas</t>
  </si>
  <si>
    <t xml:space="preserve">Glitz And Glamour (IRE)</t>
  </si>
  <si>
    <t xml:space="preserve">Lonergan, Mr Evan</t>
  </si>
  <si>
    <t xml:space="preserve">King, N B</t>
  </si>
  <si>
    <t xml:space="preserve">Ask Peter (FR)</t>
  </si>
  <si>
    <t xml:space="preserve">Higgs, William</t>
  </si>
  <si>
    <t xml:space="preserve">Poets Muse (IRE)</t>
  </si>
  <si>
    <t xml:space="preserve">King, Mr James</t>
  </si>
  <si>
    <t xml:space="preserve">Chanin, I</t>
  </si>
  <si>
    <t xml:space="preserve">Augusta Rock (IRE)</t>
  </si>
  <si>
    <t xml:space="preserve">Folk Warrior (IRE)</t>
  </si>
  <si>
    <t xml:space="preserve">Ballaghkeen (IRE)</t>
  </si>
  <si>
    <t xml:space="preserve">Trishuli River (IRE)</t>
  </si>
  <si>
    <t xml:space="preserve">Crawley, Shane</t>
  </si>
  <si>
    <t xml:space="preserve">Thegooseiscooked (IRE)</t>
  </si>
  <si>
    <t xml:space="preserve">Sweetie Too (IRE)</t>
  </si>
  <si>
    <t xml:space="preserve">Curious Jane (IRE)</t>
  </si>
  <si>
    <t xml:space="preserve">Big Bill (FR)</t>
  </si>
  <si>
    <t xml:space="preserve">Shays Dream (IRE)</t>
  </si>
  <si>
    <t xml:space="preserve">Strike De Vega</t>
  </si>
  <si>
    <t xml:space="preserve">Haeret In Pectore (IRE)</t>
  </si>
  <si>
    <t xml:space="preserve">Kartayaz (IRE)</t>
  </si>
  <si>
    <t xml:space="preserve">McMullan, Zoe</t>
  </si>
  <si>
    <t xml:space="preserve">Kingston, G A</t>
  </si>
  <si>
    <t xml:space="preserve">Davies, Harry</t>
  </si>
  <si>
    <t xml:space="preserve">Shadow Boxer (FR)</t>
  </si>
  <si>
    <t xml:space="preserve">Wootz (IRE)</t>
  </si>
  <si>
    <t xml:space="preserve">Dawson, R</t>
  </si>
  <si>
    <t xml:space="preserve">Varian, Roger</t>
  </si>
  <si>
    <t xml:space="preserve">Petworth (GER)</t>
  </si>
  <si>
    <t xml:space="preserve">Hutchinson, Callum</t>
  </si>
  <si>
    <t xml:space="preserve">North Beach (IRE)</t>
  </si>
  <si>
    <t xml:space="preserve">Mashkur (USA)</t>
  </si>
  <si>
    <t xml:space="preserve">Carver, William</t>
  </si>
  <si>
    <t xml:space="preserve">Herstmonceux</t>
  </si>
  <si>
    <t xml:space="preserve">Edmunds, Lewis</t>
  </si>
  <si>
    <t xml:space="preserve">Muir, W R &amp; Grassick, C</t>
  </si>
  <si>
    <t xml:space="preserve">Khachaturian</t>
  </si>
  <si>
    <t xml:space="preserve">Heard, Tyler</t>
  </si>
  <si>
    <t xml:space="preserve">Mackie, J</t>
  </si>
  <si>
    <t xml:space="preserve">Elsa Tan</t>
  </si>
  <si>
    <t xml:space="preserve">Sayette, B D L</t>
  </si>
  <si>
    <t xml:space="preserve">Circle Of Secrets (FR)</t>
  </si>
  <si>
    <t xml:space="preserve">Mangan, Gina</t>
  </si>
  <si>
    <t xml:space="preserve">OBrien, Fergal</t>
  </si>
  <si>
    <t xml:space="preserve">Macanudo (IRE)</t>
  </si>
  <si>
    <t xml:space="preserve">Nordic Glory (IRE)</t>
  </si>
  <si>
    <t xml:space="preserve">Glennon, James</t>
  </si>
  <si>
    <t xml:space="preserve">Port Hedland</t>
  </si>
  <si>
    <t xml:space="preserve">Coppins, Myla</t>
  </si>
  <si>
    <t xml:space="preserve">Pure Passion</t>
  </si>
  <si>
    <t xml:space="preserve">Tucker, Charlie</t>
  </si>
  <si>
    <t xml:space="preserve">Williams, S C</t>
  </si>
  <si>
    <t xml:space="preserve">Lynwood Lad</t>
  </si>
  <si>
    <t xml:space="preserve">Daley T (IRE)</t>
  </si>
  <si>
    <t xml:space="preserve">Gunn, Molly</t>
  </si>
  <si>
    <t xml:space="preserve">Chosen Shant (IRE)</t>
  </si>
  <si>
    <t xml:space="preserve">King, Aengus</t>
  </si>
  <si>
    <t xml:space="preserve">Miss Lia (IRE)</t>
  </si>
  <si>
    <t xml:space="preserve">Nastya (IRE)</t>
  </si>
  <si>
    <t xml:space="preserve">Shannon Bank (IRE)</t>
  </si>
  <si>
    <t xml:space="preserve">Ad Caelum (IRE)</t>
  </si>
  <si>
    <t xml:space="preserve">Bynx (IRE)</t>
  </si>
  <si>
    <t xml:space="preserve">Hassett, Martin</t>
  </si>
  <si>
    <t xml:space="preserve">Neon Diamond (IRE)</t>
  </si>
  <si>
    <t xml:space="preserve">Beauforts Storm (IRE)</t>
  </si>
  <si>
    <t xml:space="preserve">Quinn, J J</t>
  </si>
  <si>
    <t xml:space="preserve">Off Spin (IRE)</t>
  </si>
  <si>
    <t xml:space="preserve">African Gib</t>
  </si>
  <si>
    <t xml:space="preserve">Dace, Jack</t>
  </si>
  <si>
    <t xml:space="preserve">Menuisier, David</t>
  </si>
  <si>
    <t xml:space="preserve">Hickton (IRE)</t>
  </si>
  <si>
    <t xml:space="preserve">Crown Inn To Win (IRE)</t>
  </si>
  <si>
    <t xml:space="preserve">Furtado, Ivan</t>
  </si>
  <si>
    <t xml:space="preserve">Sunnysideofdstreet (GER)</t>
  </si>
  <si>
    <t xml:space="preserve">Mason, Joanna</t>
  </si>
  <si>
    <t xml:space="preserve">Storm On Jura</t>
  </si>
  <si>
    <t xml:space="preserve">Elliott, Rhys</t>
  </si>
  <si>
    <t xml:space="preserve">Due To Shine</t>
  </si>
  <si>
    <t xml:space="preserve">Masekela (IRE)</t>
  </si>
  <si>
    <t xml:space="preserve">Moffatt, James</t>
  </si>
  <si>
    <t xml:space="preserve">Rakki</t>
  </si>
  <si>
    <t xml:space="preserve">Nod Of Approval (IRE)</t>
  </si>
  <si>
    <t xml:space="preserve">Genoah (IRE)</t>
  </si>
  <si>
    <t xml:space="preserve">Rock Of Ireland (IRE)</t>
  </si>
  <si>
    <t xml:space="preserve">Faro Island</t>
  </si>
  <si>
    <t xml:space="preserve">Open Secret</t>
  </si>
  <si>
    <t xml:space="preserve">Doherty, Nina</t>
  </si>
  <si>
    <t xml:space="preserve">Ephesus (IRE)</t>
  </si>
  <si>
    <t xml:space="preserve">Neptunes Staircase (IRE)</t>
  </si>
  <si>
    <t xml:space="preserve">Pillar Of Hope</t>
  </si>
  <si>
    <t xml:space="preserve">Sarangpur (IRE)</t>
  </si>
  <si>
    <t xml:space="preserve">Mulligan, Paul</t>
  </si>
  <si>
    <t xml:space="preserve">Sea Eagle</t>
  </si>
  <si>
    <t xml:space="preserve">OLeary, Danny</t>
  </si>
  <si>
    <t xml:space="preserve">Bunyan, Darren / OLeary, G</t>
  </si>
  <si>
    <t xml:space="preserve">Michinaga (IRE)</t>
  </si>
  <si>
    <t xml:space="preserve">Quintana</t>
  </si>
  <si>
    <t xml:space="preserve">Ambience</t>
  </si>
  <si>
    <t xml:space="preserve">Scott, Rowan</t>
  </si>
  <si>
    <t xml:space="preserve">Foy, Kevin</t>
  </si>
  <si>
    <t xml:space="preserve">Sax Symbol</t>
  </si>
  <si>
    <t xml:space="preserve">Shepherd, Callum</t>
  </si>
  <si>
    <t xml:space="preserve">Rubyroo (IRE)</t>
  </si>
  <si>
    <t xml:space="preserve">Marquand, Tom</t>
  </si>
  <si>
    <t xml:space="preserve">Appassionata</t>
  </si>
  <si>
    <t xml:space="preserve">Prescott, Sir Mark</t>
  </si>
  <si>
    <t xml:space="preserve">Shanahan, Mr L P</t>
  </si>
  <si>
    <t xml:space="preserve">The Last Line (IRE)</t>
  </si>
  <si>
    <t xml:space="preserve">Lillingston, Mr Hugh</t>
  </si>
  <si>
    <t xml:space="preserve">Kiely, J E and Thomas</t>
  </si>
  <si>
    <t xml:space="preserve">Finest Band (FR)</t>
  </si>
  <si>
    <t xml:space="preserve">Maguire, Mr F</t>
  </si>
  <si>
    <t xml:space="preserve">Connell, B</t>
  </si>
  <si>
    <t xml:space="preserve">Aruntotheace (IRE)</t>
  </si>
  <si>
    <t xml:space="preserve">Gleeson, Mr J L</t>
  </si>
  <si>
    <t xml:space="preserve">Tale Of Intrigue (IRE)</t>
  </si>
  <si>
    <t xml:space="preserve">Halford, Mr T A</t>
  </si>
  <si>
    <t xml:space="preserve">Buckley, D</t>
  </si>
  <si>
    <t xml:space="preserve">Greattobeable (IRE)</t>
  </si>
  <si>
    <t xml:space="preserve">Curling, S</t>
  </si>
  <si>
    <t xml:space="preserve">Peat Sounds (IRE)</t>
  </si>
  <si>
    <t xml:space="preserve">Townend, Miss J</t>
  </si>
  <si>
    <t xml:space="preserve">Thrill A Minute (IRE)</t>
  </si>
  <si>
    <t xml:space="preserve">Ryan, Mr A P</t>
  </si>
  <si>
    <t xml:space="preserve">Doyle, Jack</t>
  </si>
  <si>
    <t xml:space="preserve">Our Sonny (IRE)</t>
  </si>
  <si>
    <t xml:space="preserve">Mullins, Mr C</t>
  </si>
  <si>
    <t xml:space="preserve">Mullins, Thomas</t>
  </si>
  <si>
    <t xml:space="preserve">Madison Twist (FR)</t>
  </si>
  <si>
    <t xml:space="preserve">Murphy, Mr B Doyle</t>
  </si>
  <si>
    <t xml:space="preserve">Doyle, Miss Elizabeth</t>
  </si>
  <si>
    <t xml:space="preserve">Champagne Order (IRE)</t>
  </si>
  <si>
    <t xml:space="preserve">Swan, H C</t>
  </si>
  <si>
    <t xml:space="preserve">OMara, T J</t>
  </si>
  <si>
    <t xml:space="preserve">Ilens Dream (IRE)</t>
  </si>
  <si>
    <t xml:space="preserve">James, Mr R</t>
  </si>
  <si>
    <t xml:space="preserve">OLoughlin, G</t>
  </si>
  <si>
    <t xml:space="preserve">Pillars Presence (IRE)</t>
  </si>
  <si>
    <t xml:space="preserve">Conheady, Mr J</t>
  </si>
  <si>
    <t xml:space="preserve">Conheady, James</t>
  </si>
  <si>
    <t xml:space="preserve">Long Story (IRE)</t>
  </si>
  <si>
    <t xml:space="preserve">Mahon, Mr E</t>
  </si>
  <si>
    <t xml:space="preserve">Neilan, John</t>
  </si>
  <si>
    <t xml:space="preserve">Throwmedownsomthin (IRE)</t>
  </si>
  <si>
    <t xml:space="preserve">Sampson, Mr J P</t>
  </si>
  <si>
    <t xml:space="preserve">Rodriguez, Callum</t>
  </si>
  <si>
    <t xml:space="preserve">Burrows, Owen</t>
  </si>
  <si>
    <t xml:space="preserve">Saisons Dor (IRE)</t>
  </si>
  <si>
    <t xml:space="preserve">Garritty, Jack</t>
  </si>
  <si>
    <t xml:space="preserve">OKeeffe, Jedd</t>
  </si>
  <si>
    <t xml:space="preserve">Mintana</t>
  </si>
  <si>
    <t xml:space="preserve">Romanovich (IRE)</t>
  </si>
  <si>
    <t xml:space="preserve">Carson, William</t>
  </si>
  <si>
    <t xml:space="preserve">Create (IRE)</t>
  </si>
  <si>
    <t xml:space="preserve">No News (IRE)</t>
  </si>
  <si>
    <t xml:space="preserve">Jenkins, J R</t>
  </si>
  <si>
    <t xml:space="preserve">Mickey Mongoose</t>
  </si>
  <si>
    <t xml:space="preserve">Horgan, C</t>
  </si>
  <si>
    <t xml:space="preserve">Williams, Olly</t>
  </si>
  <si>
    <t xml:space="preserve">Horus</t>
  </si>
  <si>
    <t xml:space="preserve">Pink Socks (IRE)</t>
  </si>
  <si>
    <t xml:space="preserve">Carmichael, Oliver</t>
  </si>
  <si>
    <t xml:space="preserve">Royal Justice (IRE)</t>
  </si>
  <si>
    <t xml:space="preserve">Haines, Olivia</t>
  </si>
  <si>
    <t xml:space="preserve">Sanditon (IRE)</t>
  </si>
  <si>
    <t xml:space="preserve">Mitchell, Jack</t>
  </si>
  <si>
    <t xml:space="preserve">Ravenglass (IRE)</t>
  </si>
  <si>
    <t xml:space="preserve">Wood, George</t>
  </si>
  <si>
    <t xml:space="preserve">Wintle, A</t>
  </si>
  <si>
    <t xml:space="preserve">Tilsworth Max</t>
  </si>
  <si>
    <t xml:space="preserve">Peate, Jonny</t>
  </si>
  <si>
    <t xml:space="preserve">Court Of Session</t>
  </si>
  <si>
    <t xml:space="preserve">McEntee, P S</t>
  </si>
  <si>
    <t xml:space="preserve">Macs Dilemma (IRE)</t>
  </si>
  <si>
    <t xml:space="preserve">Music And Song (IRE)</t>
  </si>
  <si>
    <t xml:space="preserve">Flood, D</t>
  </si>
  <si>
    <t xml:space="preserve">Neat And Tidy</t>
  </si>
  <si>
    <t xml:space="preserve">Red Walls</t>
  </si>
  <si>
    <t xml:space="preserve">Ffrench Davis, Ben</t>
  </si>
  <si>
    <t xml:space="preserve">Williamson, Mrs L</t>
  </si>
  <si>
    <t xml:space="preserve">My Mate Beattie (IRE)</t>
  </si>
  <si>
    <t xml:space="preserve">Bass, George</t>
  </si>
  <si>
    <t xml:space="preserve">Coakley, D J</t>
  </si>
  <si>
    <t xml:space="preserve">Wonderful Wendy</t>
  </si>
  <si>
    <t xml:space="preserve">Lednikov</t>
  </si>
  <si>
    <t xml:space="preserve">Croot, Elle-May</t>
  </si>
  <si>
    <t xml:space="preserve">Trojan Truth</t>
  </si>
  <si>
    <t xml:space="preserve">De Giles, Ed</t>
  </si>
  <si>
    <t xml:space="preserve">Baileys Warrior</t>
  </si>
  <si>
    <t xml:space="preserve">Havlin, Robert</t>
  </si>
  <si>
    <t xml:space="preserve">Faulkner, T</t>
  </si>
  <si>
    <t xml:space="preserve">Billingsgate Gold</t>
  </si>
  <si>
    <t xml:space="preserve">Ghiani, Marco</t>
  </si>
  <si>
    <t xml:space="preserve">Long Reign</t>
  </si>
  <si>
    <t xml:space="preserve">Bigz Belief (IRE)</t>
  </si>
  <si>
    <t xml:space="preserve">Haye, Celine</t>
  </si>
  <si>
    <t xml:space="preserve">Late Claim (FR)</t>
  </si>
  <si>
    <t xml:space="preserve">Bassett, Finlay</t>
  </si>
  <si>
    <t xml:space="preserve">Crown The Future (IRE)</t>
  </si>
  <si>
    <t xml:space="preserve">Coxys Star</t>
  </si>
  <si>
    <t xml:space="preserve">Ernie Mccrew (IRE)</t>
  </si>
  <si>
    <t xml:space="preserve">Fisher, Taylor</t>
  </si>
  <si>
    <t xml:space="preserve">Arouse (IRE)</t>
  </si>
  <si>
    <t xml:space="preserve">Wild Rosie</t>
  </si>
  <si>
    <t xml:space="preserve">Currie, Nicola</t>
  </si>
  <si>
    <t xml:space="preserve">Dwyer, C A</t>
  </si>
  <si>
    <t xml:space="preserve">Ahead Of Fashion</t>
  </si>
  <si>
    <t xml:space="preserve">Davis, D J S Ffrench</t>
  </si>
  <si>
    <t xml:space="preserve">Thomas Tallis</t>
  </si>
  <si>
    <t xml:space="preserve">Topathemorning</t>
  </si>
  <si>
    <t xml:space="preserve">Fenay Bridge (IRE)</t>
  </si>
  <si>
    <t xml:space="preserve">Kaiko</t>
  </si>
  <si>
    <t xml:space="preserve">Comic Strip (IRE)</t>
  </si>
  <si>
    <t xml:space="preserve">U S S Charleston</t>
  </si>
  <si>
    <t xml:space="preserve">Souza, Lemos</t>
  </si>
  <si>
    <t xml:space="preserve">Too Darn Good (IRE)</t>
  </si>
  <si>
    <t xml:space="preserve">Candy, H</t>
  </si>
  <si>
    <t xml:space="preserve">Adalida</t>
  </si>
  <si>
    <t xml:space="preserve">Loleeta</t>
  </si>
  <si>
    <t xml:space="preserve">Enter Sandman (IRE)</t>
  </si>
  <si>
    <t xml:space="preserve">Ziggys Avenger</t>
  </si>
  <si>
    <t xml:space="preserve">Bell, M L W</t>
  </si>
  <si>
    <t xml:space="preserve">Variety Act (GER)</t>
  </si>
  <si>
    <t xml:space="preserve">Relentless Hero</t>
  </si>
  <si>
    <t xml:space="preserve">Celtic Chariot (IRE)</t>
  </si>
  <si>
    <t xml:space="preserve">Frost, Kevin</t>
  </si>
  <si>
    <t xml:space="preserve">Pipily</t>
  </si>
  <si>
    <t xml:space="preserve">Kent, T J</t>
  </si>
  <si>
    <t xml:space="preserve">Musical Accord</t>
  </si>
  <si>
    <t xml:space="preserve">Clutterbuck, Rhys</t>
  </si>
  <si>
    <t xml:space="preserve">Majd Al Kazem (FR)</t>
  </si>
  <si>
    <t xml:space="preserve">Kobeissi, Hilal</t>
  </si>
  <si>
    <t xml:space="preserve">Cobalt Comet</t>
  </si>
  <si>
    <t xml:space="preserve">Far Far Out (IRE)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</si>
</sst>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%"/>
    <numFmt numFmtId="168" formatCode="0.000"/>
    <numFmt numFmtId="169" formatCode="\+0%;\-0%;0%"/>
    <numFmt numFmtId="170" formatCode="@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434</v>
      </c>
    </row>
    <row r="4" customFormat="false" ht="15" hidden="false" customHeight="false" outlineLevel="0" collapsed="false">
      <c r="A4" s="3" t="s">
        <v>2</v>
      </c>
      <c r="B4" s="2" t="n">
        <v>45</v>
      </c>
    </row>
    <row r="5" customFormat="false" ht="15" hidden="false" customHeight="false" outlineLevel="0" collapsed="false">
      <c r="A5" s="3" t="s">
        <v>3</v>
      </c>
      <c r="B5" s="2" t="n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64.9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6</v>
      </c>
      <c r="E2" s="7" t="s">
        <v>44</v>
      </c>
      <c r="F2" s="7" t="s">
        <v>45</v>
      </c>
      <c r="G2" s="7" t="s">
        <v>46</v>
      </c>
      <c r="H2" s="9" t="n">
        <v>2.21476755873419</v>
      </c>
      <c r="I2" s="10" t="n">
        <v>0.451514650400394</v>
      </c>
      <c r="J2" s="7" t="s">
        <v>47</v>
      </c>
      <c r="K2" s="9" t="n">
        <v>4.35968751963818</v>
      </c>
      <c r="L2" s="10" t="n">
        <v>0.229374237372635</v>
      </c>
      <c r="M2" s="10" t="n">
        <f aca="false">IF(AND(ISNUMBER(I2),ISNUMBER(L2)),I2-L2,"")</f>
        <v>0.22214041302776</v>
      </c>
      <c r="N2" s="9" t="n">
        <v>1.8</v>
      </c>
      <c r="O2" s="9" t="n">
        <f aca="false">IF(AND(ISNUMBER(H2),H2&gt;0),H2*EXP('Read me'!$B$22),"")</f>
        <v>2.7051232049216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7" t="s">
        <v>52</v>
      </c>
      <c r="G3" s="7" t="s">
        <v>53</v>
      </c>
      <c r="H3" s="9" t="n">
        <v>5.1776254913338</v>
      </c>
      <c r="I3" s="10" t="n">
        <v>0.193138727718677</v>
      </c>
      <c r="J3" s="7" t="s">
        <v>54</v>
      </c>
      <c r="K3" s="9" t="n">
        <v>6.37793970598245</v>
      </c>
      <c r="L3" s="10" t="n">
        <v>0.156790444265569</v>
      </c>
      <c r="M3" s="10" t="n">
        <f aca="false">IF(AND(ISNUMBER(I3),ISNUMBER(L3)),I3-L3,"")</f>
        <v>0.0363482834531082</v>
      </c>
      <c r="N3" s="9" t="n">
        <v>5.5</v>
      </c>
      <c r="O3" s="9" t="n">
        <f aca="false">IF(AND(ISNUMBER(H3),H3&gt;0),H3*EXP('Read me'!$B$22),"")</f>
        <v>6.32396605583551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13</v>
      </c>
      <c r="E4" s="7" t="s">
        <v>58</v>
      </c>
      <c r="F4" s="7" t="s">
        <v>59</v>
      </c>
      <c r="G4" s="7" t="s">
        <v>60</v>
      </c>
      <c r="H4" s="9" t="n">
        <v>3.18623580381569</v>
      </c>
      <c r="I4" s="10" t="n">
        <v>0.313849966409406</v>
      </c>
      <c r="J4" s="7" t="s">
        <v>61</v>
      </c>
      <c r="K4" s="9" t="n">
        <v>3.19272279685269</v>
      </c>
      <c r="L4" s="10" t="n">
        <v>0.313212284193847</v>
      </c>
      <c r="M4" s="10" t="n">
        <f aca="false">IF(AND(ISNUMBER(I4),ISNUMBER(L4)),I4-L4,"")</f>
        <v>0.000637682215558266</v>
      </c>
      <c r="N4" s="9" t="n">
        <v>5</v>
      </c>
      <c r="O4" s="9" t="n">
        <f aca="false">IF(AND(ISNUMBER(H4),H4&gt;0),H4*EXP('Read me'!$B$22),"")</f>
        <v>3.89167719892917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6</v>
      </c>
      <c r="E5" s="7" t="s">
        <v>65</v>
      </c>
      <c r="F5" s="7" t="s">
        <v>66</v>
      </c>
      <c r="G5" s="7" t="s">
        <v>67</v>
      </c>
      <c r="H5" s="9" t="n">
        <v>3.14305114101269</v>
      </c>
      <c r="I5" s="10" t="n">
        <v>0.318162179084939</v>
      </c>
      <c r="J5" s="7" t="s">
        <v>68</v>
      </c>
      <c r="K5" s="9" t="n">
        <v>4.57211607394415</v>
      </c>
      <c r="L5" s="10" t="n">
        <v>0.218717106877242</v>
      </c>
      <c r="M5" s="10" t="n">
        <f aca="false">IF(AND(ISNUMBER(I5),ISNUMBER(L5)),I5-L5,"")</f>
        <v>0.0994450722076963</v>
      </c>
      <c r="N5" s="9" t="n">
        <v>2.5</v>
      </c>
      <c r="O5" s="9" t="n">
        <f aca="false">IF(AND(ISNUMBER(H5),H5&gt;0),H5*EXP('Read me'!$B$22),"")</f>
        <v>3.83893133267137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s">
        <v>71</v>
      </c>
      <c r="D6" s="8" t="n">
        <v>3</v>
      </c>
      <c r="E6" s="7" t="s">
        <v>72</v>
      </c>
      <c r="F6" s="7" t="s">
        <v>73</v>
      </c>
      <c r="G6" s="7" t="s">
        <v>74</v>
      </c>
      <c r="H6" s="9" t="n">
        <v>2.19556200918287</v>
      </c>
      <c r="I6" s="10" t="n">
        <v>0.455464248250576</v>
      </c>
      <c r="J6" s="7" t="s">
        <v>75</v>
      </c>
      <c r="K6" s="9" t="n">
        <v>3.18590078013026</v>
      </c>
      <c r="L6" s="10" t="n">
        <v>0.313882970316205</v>
      </c>
      <c r="M6" s="10" t="n">
        <f aca="false">IF(AND(ISNUMBER(I6),ISNUMBER(L6)),I6-L6,"")</f>
        <v>0.141581277934371</v>
      </c>
      <c r="N6" s="9" t="n">
        <v>1.66666666666667</v>
      </c>
      <c r="O6" s="9" t="n">
        <f aca="false">IF(AND(ISNUMBER(H6),H6&gt;0),H6*EXP('Read me'!$B$22),"")</f>
        <v>2.68166549372764</v>
      </c>
    </row>
    <row r="7" customFormat="false" ht="15" hidden="false" customHeight="false" outlineLevel="0" collapsed="false">
      <c r="A7" s="7" t="s">
        <v>76</v>
      </c>
      <c r="B7" s="7" t="s">
        <v>42</v>
      </c>
      <c r="C7" s="7" t="s">
        <v>77</v>
      </c>
      <c r="D7" s="8" t="n">
        <v>10</v>
      </c>
      <c r="E7" s="7" t="s">
        <v>78</v>
      </c>
      <c r="F7" s="7" t="s">
        <v>79</v>
      </c>
      <c r="G7" s="7" t="s">
        <v>80</v>
      </c>
      <c r="H7" s="9" t="n">
        <v>4.91146720532088</v>
      </c>
      <c r="I7" s="10" t="n">
        <v>0.203605146526611</v>
      </c>
      <c r="J7" s="7" t="s">
        <v>81</v>
      </c>
      <c r="K7" s="9" t="n">
        <v>5.34048084184067</v>
      </c>
      <c r="L7" s="10" t="n">
        <v>0.187249056707661</v>
      </c>
      <c r="M7" s="10" t="n">
        <f aca="false">IF(AND(ISNUMBER(I7),ISNUMBER(L7)),I7-L7,"")</f>
        <v>0.0163560898189497</v>
      </c>
      <c r="N7" s="9" t="n">
        <v>4.5</v>
      </c>
      <c r="O7" s="9" t="n">
        <f aca="false">IF(AND(ISNUMBER(H7),H7&gt;0),H7*EXP('Read me'!$B$22),"")</f>
        <v>5.99887959119214</v>
      </c>
    </row>
    <row r="8" customFormat="false" ht="15" hidden="false" customHeight="false" outlineLevel="0" collapsed="false">
      <c r="A8" s="7" t="s">
        <v>82</v>
      </c>
      <c r="B8" s="7" t="s">
        <v>49</v>
      </c>
      <c r="C8" s="7" t="s">
        <v>83</v>
      </c>
      <c r="D8" s="8" t="n">
        <v>4</v>
      </c>
      <c r="E8" s="7" t="s">
        <v>84</v>
      </c>
      <c r="F8" s="7" t="s">
        <v>85</v>
      </c>
      <c r="G8" s="7" t="s">
        <v>86</v>
      </c>
      <c r="H8" s="9" t="n">
        <v>2.55144014050802</v>
      </c>
      <c r="I8" s="10" t="n">
        <v>0.391935512859372</v>
      </c>
      <c r="J8" s="7" t="s">
        <v>87</v>
      </c>
      <c r="K8" s="9" t="n">
        <v>2.98433103161612</v>
      </c>
      <c r="L8" s="10" t="n">
        <v>0.335083470769817</v>
      </c>
      <c r="M8" s="10" t="n">
        <f aca="false">IF(AND(ISNUMBER(I8),ISNUMBER(L8)),I8-L8,"")</f>
        <v>0.0568520420895548</v>
      </c>
      <c r="N8" s="9" t="n">
        <v>1.57142857142857</v>
      </c>
      <c r="O8" s="9" t="n">
        <f aca="false">IF(AND(ISNUMBER(H8),H8&gt;0),H8*EXP('Read me'!$B$22),"")</f>
        <v>3.11633602489707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89</v>
      </c>
      <c r="D9" s="8" t="n">
        <v>16</v>
      </c>
      <c r="E9" s="7" t="s">
        <v>90</v>
      </c>
      <c r="F9" s="7" t="s">
        <v>91</v>
      </c>
      <c r="G9" s="7" t="s">
        <v>92</v>
      </c>
      <c r="H9" s="9" t="n">
        <v>3.93562199462767</v>
      </c>
      <c r="I9" s="10" t="n">
        <v>0.25408944287969</v>
      </c>
      <c r="J9" s="7" t="s">
        <v>93</v>
      </c>
      <c r="K9" s="9" t="n">
        <v>8.67108640040703</v>
      </c>
      <c r="L9" s="10" t="n">
        <v>0.115325802768274</v>
      </c>
      <c r="M9" s="10" t="n">
        <f aca="false">IF(AND(ISNUMBER(I9),ISNUMBER(L9)),I9-L9,"")</f>
        <v>0.138763640111416</v>
      </c>
      <c r="N9" s="9" t="n">
        <v>4</v>
      </c>
      <c r="O9" s="9" t="n">
        <f aca="false">IF(AND(ISNUMBER(H9),H9&gt;0),H9*EXP('Read me'!$B$22),"")</f>
        <v>4.80697955931407</v>
      </c>
    </row>
    <row r="10" customFormat="false" ht="15" hidden="false" customHeight="false" outlineLevel="0" collapsed="false">
      <c r="A10" s="7" t="s">
        <v>94</v>
      </c>
      <c r="B10" s="7" t="s">
        <v>63</v>
      </c>
      <c r="C10" s="7" t="s">
        <v>95</v>
      </c>
      <c r="D10" s="8" t="n">
        <v>6</v>
      </c>
      <c r="E10" s="7" t="s">
        <v>96</v>
      </c>
      <c r="F10" s="7" t="s">
        <v>97</v>
      </c>
      <c r="G10" s="7" t="s">
        <v>98</v>
      </c>
      <c r="H10" s="9" t="n">
        <v>2.09029031906183</v>
      </c>
      <c r="I10" s="10" t="n">
        <v>0.478402445287515</v>
      </c>
      <c r="J10" s="7" t="s">
        <v>99</v>
      </c>
      <c r="K10" s="9" t="n">
        <v>4.28624627347399</v>
      </c>
      <c r="L10" s="10" t="n">
        <v>0.233304373150146</v>
      </c>
      <c r="M10" s="10" t="n">
        <f aca="false">IF(AND(ISNUMBER(I10),ISNUMBER(L10)),I10-L10,"")</f>
        <v>0.245098072137368</v>
      </c>
      <c r="N10" s="9" t="n">
        <v>2.75</v>
      </c>
      <c r="O10" s="9" t="n">
        <f aca="false">IF(AND(ISNUMBER(H10),H10&gt;0),H10*EXP('Read me'!$B$22),"")</f>
        <v>2.55308636105762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101</v>
      </c>
      <c r="D11" s="8" t="n">
        <v>6</v>
      </c>
      <c r="E11" s="7" t="s">
        <v>102</v>
      </c>
      <c r="F11" s="7" t="s">
        <v>103</v>
      </c>
      <c r="G11" s="7" t="s">
        <v>104</v>
      </c>
      <c r="H11" s="9" t="n">
        <v>1.30531416430074</v>
      </c>
      <c r="I11" s="10" t="n">
        <v>0.766099095029514</v>
      </c>
      <c r="J11" s="7" t="s">
        <v>105</v>
      </c>
      <c r="K11" s="9" t="n">
        <v>5.18891599241525</v>
      </c>
      <c r="L11" s="10" t="n">
        <v>0.192718479439968</v>
      </c>
      <c r="M11" s="10" t="n">
        <f aca="false">IF(AND(ISNUMBER(I11),ISNUMBER(L11)),I11-L11,"")</f>
        <v>0.573380615589546</v>
      </c>
      <c r="N11" s="9" t="n">
        <v>1.28571428571429</v>
      </c>
      <c r="O11" s="9" t="n">
        <f aca="false">IF(AND(ISNUMBER(H11),H11&gt;0),H11*EXP('Read me'!$B$22),"")</f>
        <v>1.59431432054246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107</v>
      </c>
      <c r="D12" s="8" t="n">
        <v>9</v>
      </c>
      <c r="E12" s="7" t="s">
        <v>108</v>
      </c>
      <c r="F12" s="7" t="s">
        <v>109</v>
      </c>
      <c r="G12" s="7" t="s">
        <v>110</v>
      </c>
      <c r="H12" s="9" t="n">
        <v>2.30855202407745</v>
      </c>
      <c r="I12" s="10" t="n">
        <v>0.433171957820453</v>
      </c>
      <c r="J12" s="7" t="s">
        <v>111</v>
      </c>
      <c r="K12" s="9" t="n">
        <v>3.96126453246617</v>
      </c>
      <c r="L12" s="10" t="n">
        <v>0.25244464029203</v>
      </c>
      <c r="M12" s="10" t="n">
        <f aca="false">IF(AND(ISNUMBER(I12),ISNUMBER(L12)),I12-L12,"")</f>
        <v>0.180727317528423</v>
      </c>
      <c r="N12" s="9" t="n">
        <v>2.2</v>
      </c>
      <c r="O12" s="9" t="n">
        <f aca="false">IF(AND(ISNUMBER(H12),H12&gt;0),H12*EXP('Read me'!$B$22),"")</f>
        <v>2.81967180956445</v>
      </c>
    </row>
    <row r="13" customFormat="false" ht="15" hidden="false" customHeight="false" outlineLevel="0" collapsed="false">
      <c r="A13" s="7" t="s">
        <v>112</v>
      </c>
      <c r="B13" s="7" t="s">
        <v>49</v>
      </c>
      <c r="C13" s="7" t="s">
        <v>113</v>
      </c>
      <c r="D13" s="8" t="n">
        <v>13</v>
      </c>
      <c r="E13" s="7" t="s">
        <v>114</v>
      </c>
      <c r="F13" s="7" t="s">
        <v>85</v>
      </c>
      <c r="G13" s="7" t="s">
        <v>115</v>
      </c>
      <c r="H13" s="9" t="n">
        <v>6.79632339490165</v>
      </c>
      <c r="I13" s="10" t="n">
        <v>0.14713837789858</v>
      </c>
      <c r="J13" s="7" t="s">
        <v>116</v>
      </c>
      <c r="K13" s="9" t="n">
        <v>8.0427546904221</v>
      </c>
      <c r="L13" s="10" t="n">
        <v>0.12433550922433</v>
      </c>
      <c r="M13" s="10" t="n">
        <f aca="false">IF(AND(ISNUMBER(I13),ISNUMBER(L13)),I13-L13,"")</f>
        <v>0.0228028686742502</v>
      </c>
      <c r="N13" s="9" t="n">
        <v>5.5</v>
      </c>
      <c r="O13" s="9" t="n">
        <f aca="false">IF(AND(ISNUMBER(H13),H13&gt;0),H13*EXP('Read me'!$B$22),"")</f>
        <v>8.30104813988136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118</v>
      </c>
      <c r="D14" s="8" t="n">
        <v>15</v>
      </c>
      <c r="E14" s="7" t="s">
        <v>119</v>
      </c>
      <c r="F14" s="7" t="s">
        <v>120</v>
      </c>
      <c r="G14" s="7" t="s">
        <v>121</v>
      </c>
      <c r="H14" s="9" t="n">
        <v>2.32794661282362</v>
      </c>
      <c r="I14" s="10" t="n">
        <v>0.429563115619339</v>
      </c>
      <c r="J14" s="7" t="s">
        <v>122</v>
      </c>
      <c r="K14" s="9" t="n">
        <v>5.67088227871866</v>
      </c>
      <c r="L14" s="10" t="n">
        <v>0.176339403791318</v>
      </c>
      <c r="M14" s="10" t="n">
        <f aca="false">IF(AND(ISNUMBER(I14),ISNUMBER(L14)),I14-L14,"")</f>
        <v>0.253223711828021</v>
      </c>
      <c r="N14" s="9" t="n">
        <v>2.375</v>
      </c>
      <c r="O14" s="9" t="n">
        <f aca="false">IF(AND(ISNUMBER(H14),H14&gt;0),H14*EXP('Read me'!$B$22),"")</f>
        <v>2.84336041375239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7</v>
      </c>
      <c r="E15" s="7" t="s">
        <v>125</v>
      </c>
      <c r="F15" s="7" t="s">
        <v>126</v>
      </c>
      <c r="G15" s="7" t="s">
        <v>127</v>
      </c>
      <c r="H15" s="9" t="n">
        <v>2.88425361964778</v>
      </c>
      <c r="I15" s="10" t="n">
        <v>0.346710148229655</v>
      </c>
      <c r="J15" s="7" t="s">
        <v>128</v>
      </c>
      <c r="K15" s="9" t="n">
        <v>5.41645856092125</v>
      </c>
      <c r="L15" s="10" t="n">
        <v>0.184622477722772</v>
      </c>
      <c r="M15" s="10" t="n">
        <f aca="false">IF(AND(ISNUMBER(I15),ISNUMBER(L15)),I15-L15,"")</f>
        <v>0.162087670506884</v>
      </c>
      <c r="N15" s="9" t="n">
        <v>3</v>
      </c>
      <c r="O15" s="9" t="n">
        <f aca="false">IF(AND(ISNUMBER(H15),H15&gt;0),H15*EXP('Read me'!$B$22),"")</f>
        <v>3.52283532627125</v>
      </c>
    </row>
    <row r="16" customFormat="false" ht="15" hidden="false" customHeight="false" outlineLevel="0" collapsed="false">
      <c r="A16" s="7" t="s">
        <v>129</v>
      </c>
      <c r="B16" s="7" t="s">
        <v>70</v>
      </c>
      <c r="C16" s="7" t="s">
        <v>130</v>
      </c>
      <c r="D16" s="8" t="n">
        <v>4</v>
      </c>
      <c r="E16" s="7" t="s">
        <v>131</v>
      </c>
      <c r="F16" s="7" t="s">
        <v>132</v>
      </c>
      <c r="G16" s="7" t="s">
        <v>133</v>
      </c>
      <c r="H16" s="9" t="n">
        <v>3.54237891223166</v>
      </c>
      <c r="I16" s="10" t="n">
        <v>0.282296170109597</v>
      </c>
      <c r="J16" s="7" t="s">
        <v>134</v>
      </c>
      <c r="K16" s="9" t="n">
        <v>3.67357012240958</v>
      </c>
      <c r="L16" s="10" t="n">
        <v>0.27221475749157</v>
      </c>
      <c r="M16" s="10" t="n">
        <f aca="false">IF(AND(ISNUMBER(I16),ISNUMBER(L16)),I16-L16,"")</f>
        <v>0.0100814126180272</v>
      </c>
      <c r="N16" s="9" t="n">
        <v>5.5</v>
      </c>
      <c r="O16" s="9" t="n">
        <f aca="false">IF(AND(ISNUMBER(H16),H16&gt;0),H16*EXP('Read me'!$B$22),"")</f>
        <v>4.32667137384818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136</v>
      </c>
      <c r="D17" s="8" t="n">
        <v>9</v>
      </c>
      <c r="E17" s="7" t="s">
        <v>137</v>
      </c>
      <c r="F17" s="7" t="s">
        <v>138</v>
      </c>
      <c r="G17" s="7" t="s">
        <v>139</v>
      </c>
      <c r="H17" s="9" t="n">
        <v>2.59199079340173</v>
      </c>
      <c r="I17" s="10" t="n">
        <v>0.385803839483396</v>
      </c>
      <c r="J17" s="7" t="s">
        <v>140</v>
      </c>
      <c r="K17" s="9" t="n">
        <v>4.82395995498687</v>
      </c>
      <c r="L17" s="10" t="n">
        <v>0.207298569915828</v>
      </c>
      <c r="M17" s="10" t="n">
        <f aca="false">IF(AND(ISNUMBER(I17),ISNUMBER(L17)),I17-L17,"")</f>
        <v>0.178505269567568</v>
      </c>
      <c r="N17" s="9" t="n">
        <v>2.1</v>
      </c>
      <c r="O17" s="9" t="n">
        <f aca="false">IF(AND(ISNUMBER(H17),H17&gt;0),H17*EXP('Read me'!$B$22),"")</f>
        <v>3.16586470418663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10</v>
      </c>
      <c r="E18" s="7" t="s">
        <v>143</v>
      </c>
      <c r="F18" s="7" t="s">
        <v>144</v>
      </c>
      <c r="G18" s="7" t="s">
        <v>145</v>
      </c>
      <c r="H18" s="9" t="n">
        <v>4.29172414817471</v>
      </c>
      <c r="I18" s="10" t="n">
        <v>0.233006587906006</v>
      </c>
      <c r="J18" s="7" t="s">
        <v>146</v>
      </c>
      <c r="K18" s="9" t="n">
        <v>6.47003996606428</v>
      </c>
      <c r="L18" s="10" t="n">
        <v>0.15455855068053</v>
      </c>
      <c r="M18" s="10" t="n">
        <f aca="false">IF(AND(ISNUMBER(I18),ISNUMBER(L18)),I18-L18,"")</f>
        <v>0.0784480372254764</v>
      </c>
      <c r="N18" s="9" t="n">
        <v>3</v>
      </c>
      <c r="O18" s="9" t="n">
        <f aca="false">IF(AND(ISNUMBER(H18),H18&gt;0),H18*EXP('Read me'!$B$22),"")</f>
        <v>5.24192371184319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148</v>
      </c>
      <c r="D19" s="8" t="n">
        <v>16</v>
      </c>
      <c r="E19" s="7" t="s">
        <v>149</v>
      </c>
      <c r="F19" s="7" t="s">
        <v>150</v>
      </c>
      <c r="G19" s="7" t="s">
        <v>151</v>
      </c>
      <c r="H19" s="9" t="n">
        <v>4.89371056595047</v>
      </c>
      <c r="I19" s="10" t="n">
        <v>0.204343919919951</v>
      </c>
      <c r="J19" s="7" t="s">
        <v>152</v>
      </c>
      <c r="K19" s="9" t="n">
        <v>9.3154391185215</v>
      </c>
      <c r="L19" s="10" t="n">
        <v>0.107348670017256</v>
      </c>
      <c r="M19" s="10" t="n">
        <f aca="false">IF(AND(ISNUMBER(I19),ISNUMBER(L19)),I19-L19,"")</f>
        <v>0.0969952499026949</v>
      </c>
      <c r="N19" s="9" t="n">
        <v>3.5</v>
      </c>
      <c r="O19" s="9" t="n">
        <f aca="false">IF(AND(ISNUMBER(H19),H19&gt;0),H19*EXP('Read me'!$B$22),"")</f>
        <v>5.97719158288947</v>
      </c>
    </row>
    <row r="20" customFormat="false" ht="15" hidden="false" customHeight="false" outlineLevel="0" collapsed="false">
      <c r="A20" s="7" t="s">
        <v>153</v>
      </c>
      <c r="B20" s="7" t="s">
        <v>63</v>
      </c>
      <c r="C20" s="7" t="s">
        <v>154</v>
      </c>
      <c r="D20" s="8" t="n">
        <v>13</v>
      </c>
      <c r="E20" s="7" t="s">
        <v>155</v>
      </c>
      <c r="F20" s="7" t="s">
        <v>156</v>
      </c>
      <c r="G20" s="7" t="s">
        <v>67</v>
      </c>
      <c r="H20" s="9" t="n">
        <v>5.5218412838528</v>
      </c>
      <c r="I20" s="10" t="n">
        <v>0.181099011832202</v>
      </c>
      <c r="J20" s="7" t="s">
        <v>157</v>
      </c>
      <c r="K20" s="9" t="n">
        <v>7.31118054998036</v>
      </c>
      <c r="L20" s="10" t="n">
        <v>0.136776816433932</v>
      </c>
      <c r="M20" s="10" t="n">
        <f aca="false">IF(AND(ISNUMBER(I20),ISNUMBER(L20)),I20-L20,"")</f>
        <v>0.0443221953982698</v>
      </c>
      <c r="N20" s="9" t="n">
        <v>5</v>
      </c>
      <c r="O20" s="9" t="n">
        <f aca="false">IF(AND(ISNUMBER(H20),H20&gt;0),H20*EXP('Read me'!$B$22),"")</f>
        <v>6.7443921742205</v>
      </c>
    </row>
    <row r="21" customFormat="false" ht="15" hidden="false" customHeight="false" outlineLevel="0" collapsed="false">
      <c r="A21" s="7" t="s">
        <v>158</v>
      </c>
      <c r="B21" s="7" t="s">
        <v>70</v>
      </c>
      <c r="C21" s="7" t="s">
        <v>159</v>
      </c>
      <c r="D21" s="8" t="n">
        <v>6</v>
      </c>
      <c r="E21" s="7" t="s">
        <v>160</v>
      </c>
      <c r="F21" s="7"/>
      <c r="G21" s="7" t="s">
        <v>74</v>
      </c>
      <c r="H21" s="9" t="n">
        <v>2.68447458540384</v>
      </c>
      <c r="I21" s="10" t="n">
        <v>0.372512373720076</v>
      </c>
      <c r="J21" s="7" t="s">
        <v>161</v>
      </c>
      <c r="K21" s="9" t="n">
        <v>3.61202824617391</v>
      </c>
      <c r="L21" s="10" t="n">
        <v>0.276852763003519</v>
      </c>
      <c r="M21" s="10" t="n">
        <f aca="false">IF(AND(ISNUMBER(I21),ISNUMBER(L21)),I21-L21,"")</f>
        <v>0.0956596107165572</v>
      </c>
      <c r="N21" s="9" t="n">
        <v>2.875</v>
      </c>
      <c r="O21" s="9" t="n">
        <f aca="false">IF(AND(ISNUMBER(H21),H21&gt;0),H21*EXP('Read me'!$B$22),"")</f>
        <v>3.27882466282313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14</v>
      </c>
      <c r="E22" s="7" t="s">
        <v>164</v>
      </c>
      <c r="F22" s="7" t="s">
        <v>165</v>
      </c>
      <c r="G22" s="7" t="s">
        <v>166</v>
      </c>
      <c r="H22" s="9" t="n">
        <v>6.98039711038764</v>
      </c>
      <c r="I22" s="10" t="n">
        <v>0.143258325305287</v>
      </c>
      <c r="J22" s="7" t="s">
        <v>167</v>
      </c>
      <c r="K22" s="9" t="n">
        <v>7.37394467471249</v>
      </c>
      <c r="L22" s="10" t="n">
        <v>0.135612625821469</v>
      </c>
      <c r="M22" s="10" t="n">
        <f aca="false">IF(AND(ISNUMBER(I22),ISNUMBER(L22)),I22-L22,"")</f>
        <v>0.00764569948381819</v>
      </c>
      <c r="N22" s="9" t="n">
        <v>7</v>
      </c>
      <c r="O22" s="9" t="n">
        <f aca="false">IF(AND(ISNUMBER(H22),H22&gt;0),H22*EXP('Read me'!$B$22),"")</f>
        <v>8.52587628368074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7</v>
      </c>
      <c r="E23" s="7" t="s">
        <v>170</v>
      </c>
      <c r="F23" s="7" t="s">
        <v>171</v>
      </c>
      <c r="G23" s="7" t="s">
        <v>53</v>
      </c>
      <c r="H23" s="9" t="n">
        <v>5.39940121223242</v>
      </c>
      <c r="I23" s="10" t="n">
        <v>0.185205722022376</v>
      </c>
      <c r="J23" s="7" t="s">
        <v>172</v>
      </c>
      <c r="K23" s="9" t="n">
        <v>5.58718260140416</v>
      </c>
      <c r="L23" s="10" t="n">
        <v>0.178981084267531</v>
      </c>
      <c r="M23" s="10" t="n">
        <f aca="false">IF(AND(ISNUMBER(I23),ISNUMBER(L23)),I23-L23,"")</f>
        <v>0.00622463775484552</v>
      </c>
      <c r="N23" s="9" t="n">
        <v>4</v>
      </c>
      <c r="O23" s="9" t="n">
        <f aca="false">IF(AND(ISNUMBER(H23),H23&gt;0),H23*EXP('Read me'!$B$22),"")</f>
        <v>6.59484353303405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174</v>
      </c>
      <c r="D24" s="8" t="n">
        <v>11</v>
      </c>
      <c r="E24" s="7" t="s">
        <v>175</v>
      </c>
      <c r="F24" s="7" t="s">
        <v>150</v>
      </c>
      <c r="G24" s="7" t="s">
        <v>176</v>
      </c>
      <c r="H24" s="9" t="n">
        <v>4.58043095111302</v>
      </c>
      <c r="I24" s="10" t="n">
        <v>0.218320068716898</v>
      </c>
      <c r="J24" s="7" t="s">
        <v>177</v>
      </c>
      <c r="K24" s="9" t="n">
        <v>7.95623251761418</v>
      </c>
      <c r="L24" s="10" t="n">
        <v>0.12568762888542</v>
      </c>
      <c r="M24" s="10" t="n">
        <f aca="false">IF(AND(ISNUMBER(I24),ISNUMBER(L24)),I24-L24,"")</f>
        <v>0.0926324398314781</v>
      </c>
      <c r="N24" s="9" t="n">
        <v>5.5</v>
      </c>
      <c r="O24" s="9" t="n">
        <f aca="false">IF(AND(ISNUMBER(H24),H24&gt;0),H24*EXP('Read me'!$B$22),"")</f>
        <v>5.59455099725165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179</v>
      </c>
      <c r="D25" s="8" t="n">
        <v>9</v>
      </c>
      <c r="E25" s="7" t="s">
        <v>180</v>
      </c>
      <c r="F25" s="7" t="s">
        <v>181</v>
      </c>
      <c r="G25" s="7" t="s">
        <v>182</v>
      </c>
      <c r="H25" s="9" t="n">
        <v>2.65922917843824</v>
      </c>
      <c r="I25" s="10" t="n">
        <v>0.376048822007623</v>
      </c>
      <c r="J25" s="7" t="s">
        <v>183</v>
      </c>
      <c r="K25" s="9" t="n">
        <v>6.1222196396582</v>
      </c>
      <c r="L25" s="10" t="n">
        <v>0.163339451842311</v>
      </c>
      <c r="M25" s="10" t="n">
        <f aca="false">IF(AND(ISNUMBER(I25),ISNUMBER(L25)),I25-L25,"")</f>
        <v>0.212709370165312</v>
      </c>
      <c r="N25" s="9" t="n">
        <v>2.2</v>
      </c>
      <c r="O25" s="9" t="n">
        <f aca="false">IF(AND(ISNUMBER(H25),H25&gt;0),H25*EXP('Read me'!$B$22),"")</f>
        <v>3.24798985312447</v>
      </c>
    </row>
    <row r="26" customFormat="false" ht="15" hidden="false" customHeight="false" outlineLevel="0" collapsed="false">
      <c r="A26" s="7" t="s">
        <v>184</v>
      </c>
      <c r="B26" s="7" t="s">
        <v>70</v>
      </c>
      <c r="C26" s="7" t="s">
        <v>185</v>
      </c>
      <c r="D26" s="8" t="n">
        <v>4</v>
      </c>
      <c r="E26" s="7" t="s">
        <v>186</v>
      </c>
      <c r="F26" s="7" t="s">
        <v>132</v>
      </c>
      <c r="G26" s="7" t="s">
        <v>187</v>
      </c>
      <c r="H26" s="9" t="n">
        <v>3.05873719651781</v>
      </c>
      <c r="I26" s="10" t="n">
        <v>0.326932304330833</v>
      </c>
      <c r="J26" s="7" t="s">
        <v>188</v>
      </c>
      <c r="K26" s="9" t="n">
        <v>3.28022058728687</v>
      </c>
      <c r="L26" s="10" t="n">
        <v>0.304857546433216</v>
      </c>
      <c r="M26" s="10" t="n">
        <f aca="false">IF(AND(ISNUMBER(I26),ISNUMBER(L26)),I26-L26,"")</f>
        <v>0.022074757897617</v>
      </c>
      <c r="N26" s="9" t="n">
        <v>3.5</v>
      </c>
      <c r="O26" s="9" t="n">
        <f aca="false">IF(AND(ISNUMBER(H26),H26&gt;0),H26*EXP('Read me'!$B$22),"")</f>
        <v>3.73595004831396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14</v>
      </c>
      <c r="E27" s="7" t="s">
        <v>191</v>
      </c>
      <c r="F27" s="7" t="s">
        <v>45</v>
      </c>
      <c r="G27" s="7" t="s">
        <v>110</v>
      </c>
      <c r="H27" s="9" t="n">
        <v>3.56755407122095</v>
      </c>
      <c r="I27" s="10" t="n">
        <v>0.280304090712145</v>
      </c>
      <c r="J27" s="7" t="s">
        <v>192</v>
      </c>
      <c r="K27" s="9" t="n">
        <v>6.92613874147488</v>
      </c>
      <c r="L27" s="10" t="n">
        <v>0.144380590300889</v>
      </c>
      <c r="M27" s="10" t="n">
        <f aca="false">IF(AND(ISNUMBER(I27),ISNUMBER(L27)),I27-L27,"")</f>
        <v>0.135923500411256</v>
      </c>
      <c r="N27" s="9" t="n">
        <v>3.75</v>
      </c>
      <c r="O27" s="9" t="n">
        <f aca="false">IF(AND(ISNUMBER(H27),H27&gt;0),H27*EXP('Read me'!$B$22),"")</f>
        <v>4.35742038247482</v>
      </c>
    </row>
    <row r="28" customFormat="false" ht="15" hidden="false" customHeight="false" outlineLevel="0" collapsed="false">
      <c r="A28" s="7" t="s">
        <v>193</v>
      </c>
      <c r="B28" s="7" t="s">
        <v>194</v>
      </c>
      <c r="C28" s="7" t="s">
        <v>195</v>
      </c>
      <c r="D28" s="8" t="n">
        <v>10</v>
      </c>
      <c r="E28" s="7" t="s">
        <v>196</v>
      </c>
      <c r="F28" s="7" t="s">
        <v>197</v>
      </c>
      <c r="G28" s="7" t="s">
        <v>198</v>
      </c>
      <c r="H28" s="9" t="n">
        <v>3.50760964899785</v>
      </c>
      <c r="I28" s="10" t="n">
        <v>0.285094437542589</v>
      </c>
      <c r="J28" s="7" t="s">
        <v>199</v>
      </c>
      <c r="K28" s="9" t="n">
        <v>6.5228194299544</v>
      </c>
      <c r="L28" s="10" t="n">
        <v>0.153307938497845</v>
      </c>
      <c r="M28" s="10" t="n">
        <f aca="false">IF(AND(ISNUMBER(I28),ISNUMBER(L28)),I28-L28,"")</f>
        <v>0.131786499044744</v>
      </c>
      <c r="N28" s="9" t="n">
        <v>3.5</v>
      </c>
      <c r="O28" s="9" t="n">
        <f aca="false">IF(AND(ISNUMBER(H28),H28&gt;0),H28*EXP('Read me'!$B$22),"")</f>
        <v>4.28420409983519</v>
      </c>
    </row>
    <row r="29" customFormat="false" ht="15" hidden="false" customHeight="false" outlineLevel="0" collapsed="false">
      <c r="A29" s="7" t="s">
        <v>200</v>
      </c>
      <c r="B29" s="7" t="s">
        <v>49</v>
      </c>
      <c r="C29" s="7" t="s">
        <v>201</v>
      </c>
      <c r="D29" s="8" t="n">
        <v>11</v>
      </c>
      <c r="E29" s="7" t="s">
        <v>202</v>
      </c>
      <c r="F29" s="7" t="s">
        <v>203</v>
      </c>
      <c r="G29" s="7" t="s">
        <v>204</v>
      </c>
      <c r="H29" s="9" t="n">
        <v>4.44762115301633</v>
      </c>
      <c r="I29" s="10" t="n">
        <v>0.224839293994681</v>
      </c>
      <c r="J29" s="7" t="s">
        <v>205</v>
      </c>
      <c r="K29" s="9" t="n">
        <v>4.60894616582965</v>
      </c>
      <c r="L29" s="10" t="n">
        <v>0.216969338330293</v>
      </c>
      <c r="M29" s="10" t="n">
        <f aca="false">IF(AND(ISNUMBER(I29),ISNUMBER(L29)),I29-L29,"")</f>
        <v>0.00786995566438781</v>
      </c>
      <c r="N29" s="9" t="n">
        <v>5</v>
      </c>
      <c r="O29" s="9" t="n">
        <f aca="false">IF(AND(ISNUMBER(H29),H29&gt;0),H29*EXP('Read me'!$B$22),"")</f>
        <v>5.43233674354566</v>
      </c>
    </row>
    <row r="30" customFormat="false" ht="15" hidden="false" customHeight="false" outlineLevel="0" collapsed="false">
      <c r="A30" s="7" t="s">
        <v>206</v>
      </c>
      <c r="B30" s="7" t="s">
        <v>56</v>
      </c>
      <c r="C30" s="7" t="s">
        <v>207</v>
      </c>
      <c r="D30" s="8" t="n">
        <v>4</v>
      </c>
      <c r="E30" s="7" t="s">
        <v>208</v>
      </c>
      <c r="F30" s="7" t="s">
        <v>209</v>
      </c>
      <c r="G30" s="7" t="s">
        <v>210</v>
      </c>
      <c r="H30" s="9" t="n">
        <v>1.86625935497548</v>
      </c>
      <c r="I30" s="10" t="n">
        <v>0.535831205525632</v>
      </c>
      <c r="J30" s="7" t="s">
        <v>211</v>
      </c>
      <c r="K30" s="9" t="n">
        <v>4.17084581344219</v>
      </c>
      <c r="L30" s="10" t="n">
        <v>0.239759522343671</v>
      </c>
      <c r="M30" s="10" t="n">
        <f aca="false">IF(AND(ISNUMBER(I30),ISNUMBER(L30)),I30-L30,"")</f>
        <v>0.296071683181961</v>
      </c>
      <c r="N30" s="9" t="n">
        <v>2.5</v>
      </c>
      <c r="O30" s="9" t="n">
        <f aca="false">IF(AND(ISNUMBER(H30),H30&gt;0),H30*EXP('Read me'!$B$22),"")</f>
        <v>2.27945432360927</v>
      </c>
    </row>
    <row r="31" customFormat="false" ht="15" hidden="false" customHeight="false" outlineLevel="0" collapsed="false">
      <c r="A31" s="7" t="s">
        <v>212</v>
      </c>
      <c r="B31" s="7" t="s">
        <v>63</v>
      </c>
      <c r="C31" s="7" t="s">
        <v>213</v>
      </c>
      <c r="D31" s="8" t="n">
        <v>8</v>
      </c>
      <c r="E31" s="7" t="s">
        <v>214</v>
      </c>
      <c r="F31" s="7" t="s">
        <v>97</v>
      </c>
      <c r="G31" s="7" t="s">
        <v>215</v>
      </c>
      <c r="H31" s="9" t="n">
        <v>5.6681008366391</v>
      </c>
      <c r="I31" s="10" t="n">
        <v>0.176425936803367</v>
      </c>
      <c r="J31" s="7" t="s">
        <v>216</v>
      </c>
      <c r="K31" s="9" t="n">
        <v>5.84055770271616</v>
      </c>
      <c r="L31" s="10" t="n">
        <v>0.171216526040818</v>
      </c>
      <c r="M31" s="10" t="n">
        <f aca="false">IF(AND(ISNUMBER(I31),ISNUMBER(L31)),I31-L31,"")</f>
        <v>0.00520941076254891</v>
      </c>
      <c r="N31" s="9" t="n">
        <v>3</v>
      </c>
      <c r="O31" s="9" t="n">
        <f aca="false">IF(AND(ISNUMBER(H31),H31&gt;0),H31*EXP('Read me'!$B$22),"")</f>
        <v>6.92303399540097</v>
      </c>
    </row>
    <row r="32" customFormat="false" ht="15" hidden="false" customHeight="false" outlineLevel="0" collapsed="false">
      <c r="A32" s="7" t="s">
        <v>217</v>
      </c>
      <c r="B32" s="7" t="s">
        <v>70</v>
      </c>
      <c r="C32" s="7" t="s">
        <v>218</v>
      </c>
      <c r="D32" s="8" t="n">
        <v>7</v>
      </c>
      <c r="E32" s="7" t="s">
        <v>219</v>
      </c>
      <c r="F32" s="7" t="s">
        <v>220</v>
      </c>
      <c r="G32" s="7" t="s">
        <v>221</v>
      </c>
      <c r="H32" s="9" t="n">
        <v>2.91883614264486</v>
      </c>
      <c r="I32" s="10" t="n">
        <v>0.342602308293286</v>
      </c>
      <c r="J32" s="7" t="s">
        <v>222</v>
      </c>
      <c r="K32" s="9" t="n">
        <v>5.18596911990645</v>
      </c>
      <c r="L32" s="10" t="n">
        <v>0.192827989692704</v>
      </c>
      <c r="M32" s="10" t="n">
        <f aca="false">IF(AND(ISNUMBER(I32),ISNUMBER(L32)),I32-L32,"")</f>
        <v>0.149774318600583</v>
      </c>
      <c r="N32" s="9" t="n">
        <v>3.25</v>
      </c>
      <c r="O32" s="9" t="n">
        <f aca="false">IF(AND(ISNUMBER(H32),H32&gt;0),H32*EXP('Read me'!$B$22),"")</f>
        <v>3.56507451524402</v>
      </c>
    </row>
    <row r="33" customFormat="false" ht="15" hidden="false" customHeight="false" outlineLevel="0" collapsed="false">
      <c r="A33" s="7" t="s">
        <v>223</v>
      </c>
      <c r="B33" s="7" t="s">
        <v>42</v>
      </c>
      <c r="C33" s="7" t="s">
        <v>224</v>
      </c>
      <c r="D33" s="8" t="n">
        <v>14</v>
      </c>
      <c r="E33" s="7" t="s">
        <v>225</v>
      </c>
      <c r="F33" s="7" t="s">
        <v>226</v>
      </c>
      <c r="G33" s="7" t="s">
        <v>110</v>
      </c>
      <c r="H33" s="9" t="n">
        <v>4.44502883147623</v>
      </c>
      <c r="I33" s="10" t="n">
        <v>0.224970419295996</v>
      </c>
      <c r="J33" s="7" t="s">
        <v>227</v>
      </c>
      <c r="K33" s="9" t="n">
        <v>5.07355998801779</v>
      </c>
      <c r="L33" s="10" t="n">
        <v>0.197100261426236</v>
      </c>
      <c r="M33" s="10" t="n">
        <f aca="false">IF(AND(ISNUMBER(I33),ISNUMBER(L33)),I33-L33,"")</f>
        <v>0.02787015786976</v>
      </c>
      <c r="N33" s="9" t="n">
        <v>5</v>
      </c>
      <c r="O33" s="9" t="n">
        <f aca="false">IF(AND(ISNUMBER(H33),H33&gt;0),H33*EXP('Read me'!$B$22),"")</f>
        <v>5.42917047486654</v>
      </c>
    </row>
    <row r="34" customFormat="false" ht="15" hidden="false" customHeight="false" outlineLevel="0" collapsed="false">
      <c r="A34" s="7" t="s">
        <v>228</v>
      </c>
      <c r="B34" s="7" t="s">
        <v>194</v>
      </c>
      <c r="C34" s="7" t="s">
        <v>229</v>
      </c>
      <c r="D34" s="8" t="n">
        <v>11</v>
      </c>
      <c r="E34" s="7" t="s">
        <v>230</v>
      </c>
      <c r="F34" s="7" t="s">
        <v>231</v>
      </c>
      <c r="G34" s="7" t="s">
        <v>232</v>
      </c>
      <c r="H34" s="9" t="n">
        <v>3.61752534050232</v>
      </c>
      <c r="I34" s="10" t="n">
        <v>0.276432064982064</v>
      </c>
      <c r="J34" s="7" t="s">
        <v>233</v>
      </c>
      <c r="K34" s="9" t="n">
        <v>4.16103970873554</v>
      </c>
      <c r="L34" s="10" t="n">
        <v>0.240324551073289</v>
      </c>
      <c r="M34" s="10" t="n">
        <f aca="false">IF(AND(ISNUMBER(I34),ISNUMBER(L34)),I34-L34,"")</f>
        <v>0.0361075139087744</v>
      </c>
      <c r="N34" s="9" t="n">
        <v>2.5</v>
      </c>
      <c r="O34" s="9" t="n">
        <f aca="false">IF(AND(ISNUMBER(H34),H34&gt;0),H34*EXP('Read me'!$B$22),"")</f>
        <v>4.41845542860384</v>
      </c>
    </row>
    <row r="35" customFormat="false" ht="15" hidden="false" customHeight="false" outlineLevel="0" collapsed="false">
      <c r="A35" s="7" t="s">
        <v>234</v>
      </c>
      <c r="B35" s="7" t="s">
        <v>49</v>
      </c>
      <c r="C35" s="7" t="s">
        <v>235</v>
      </c>
      <c r="D35" s="8" t="n">
        <v>8</v>
      </c>
      <c r="E35" s="7" t="s">
        <v>236</v>
      </c>
      <c r="F35" s="7" t="s">
        <v>237</v>
      </c>
      <c r="G35" s="7" t="s">
        <v>238</v>
      </c>
      <c r="H35" s="9" t="n">
        <v>3.12421020571934</v>
      </c>
      <c r="I35" s="10" t="n">
        <v>0.320080895379367</v>
      </c>
      <c r="J35" s="7" t="s">
        <v>239</v>
      </c>
      <c r="K35" s="9" t="n">
        <v>5.17303098925536</v>
      </c>
      <c r="L35" s="10" t="n">
        <v>0.193310266665143</v>
      </c>
      <c r="M35" s="10" t="n">
        <f aca="false">IF(AND(ISNUMBER(I35),ISNUMBER(L35)),I35-L35,"")</f>
        <v>0.126770628714224</v>
      </c>
      <c r="N35" s="9" t="n">
        <v>3.5</v>
      </c>
      <c r="O35" s="9" t="n">
        <f aca="false">IF(AND(ISNUMBER(H35),H35&gt;0),H35*EXP('Read me'!$B$22),"")</f>
        <v>3.81591896233775</v>
      </c>
    </row>
    <row r="36" customFormat="false" ht="15" hidden="false" customHeight="false" outlineLevel="0" collapsed="false">
      <c r="A36" s="7" t="s">
        <v>240</v>
      </c>
      <c r="B36" s="7" t="s">
        <v>56</v>
      </c>
      <c r="C36" s="7" t="s">
        <v>241</v>
      </c>
      <c r="D36" s="8" t="n">
        <v>10</v>
      </c>
      <c r="E36" s="7" t="s">
        <v>242</v>
      </c>
      <c r="F36" s="7" t="s">
        <v>243</v>
      </c>
      <c r="G36" s="7" t="s">
        <v>244</v>
      </c>
      <c r="H36" s="9" t="n">
        <v>4.10679719677629</v>
      </c>
      <c r="I36" s="10" t="n">
        <v>0.243498753915818</v>
      </c>
      <c r="J36" s="7" t="s">
        <v>245</v>
      </c>
      <c r="K36" s="9" t="n">
        <v>5.37718867932138</v>
      </c>
      <c r="L36" s="10" t="n">
        <v>0.185970785039703</v>
      </c>
      <c r="M36" s="10" t="n">
        <f aca="false">IF(AND(ISNUMBER(I36),ISNUMBER(L36)),I36-L36,"")</f>
        <v>0.0575279688761149</v>
      </c>
      <c r="N36" s="9" t="n">
        <v>4.33333333333333</v>
      </c>
      <c r="O36" s="9" t="n">
        <f aca="false">IF(AND(ISNUMBER(H36),H36&gt;0),H36*EXP('Read me'!$B$22),"")</f>
        <v>5.01605342334701</v>
      </c>
    </row>
    <row r="37" customFormat="false" ht="15" hidden="false" customHeight="false" outlineLevel="0" collapsed="false">
      <c r="A37" s="7" t="s">
        <v>246</v>
      </c>
      <c r="B37" s="7" t="s">
        <v>63</v>
      </c>
      <c r="C37" s="7" t="s">
        <v>247</v>
      </c>
      <c r="D37" s="8" t="n">
        <v>10</v>
      </c>
      <c r="E37" s="7" t="s">
        <v>248</v>
      </c>
      <c r="F37" s="7" t="s">
        <v>249</v>
      </c>
      <c r="G37" s="7" t="s">
        <v>250</v>
      </c>
      <c r="H37" s="9" t="n">
        <v>4.53387886655576</v>
      </c>
      <c r="I37" s="10" t="n">
        <v>0.220561693294569</v>
      </c>
      <c r="J37" s="7" t="s">
        <v>251</v>
      </c>
      <c r="K37" s="9" t="n">
        <v>7.02630192407789</v>
      </c>
      <c r="L37" s="10" t="n">
        <v>0.142322378230457</v>
      </c>
      <c r="M37" s="10" t="n">
        <f aca="false">IF(AND(ISNUMBER(I37),ISNUMBER(L37)),I37-L37,"")</f>
        <v>0.0782393150641125</v>
      </c>
      <c r="N37" s="9" t="n">
        <v>4.5</v>
      </c>
      <c r="O37" s="9" t="n">
        <f aca="false">IF(AND(ISNUMBER(H37),H37&gt;0),H37*EXP('Read me'!$B$22),"")</f>
        <v>5.53769215277531</v>
      </c>
    </row>
    <row r="38" customFormat="false" ht="15" hidden="false" customHeight="false" outlineLevel="0" collapsed="false">
      <c r="A38" s="7" t="s">
        <v>252</v>
      </c>
      <c r="B38" s="7" t="s">
        <v>42</v>
      </c>
      <c r="C38" s="7" t="s">
        <v>253</v>
      </c>
      <c r="D38" s="8" t="n">
        <v>14</v>
      </c>
      <c r="E38" s="7" t="s">
        <v>254</v>
      </c>
      <c r="F38" s="7" t="s">
        <v>255</v>
      </c>
      <c r="G38" s="7" t="s">
        <v>256</v>
      </c>
      <c r="H38" s="9" t="n">
        <v>5.12959306220176</v>
      </c>
      <c r="I38" s="10" t="n">
        <v>0.194947238089638</v>
      </c>
      <c r="J38" s="7" t="s">
        <v>257</v>
      </c>
      <c r="K38" s="9" t="n">
        <v>6.14982356783305</v>
      </c>
      <c r="L38" s="10" t="n">
        <v>0.162606290891099</v>
      </c>
      <c r="M38" s="10" t="n">
        <f aca="false">IF(AND(ISNUMBER(I38),ISNUMBER(L38)),I38-L38,"")</f>
        <v>0.0323409471985384</v>
      </c>
      <c r="N38" s="9" t="n">
        <v>6</v>
      </c>
      <c r="O38" s="9" t="n">
        <f aca="false">IF(AND(ISNUMBER(H38),H38&gt;0),H38*EXP('Read me'!$B$22),"")</f>
        <v>6.2652991144125</v>
      </c>
    </row>
    <row r="39" customFormat="false" ht="15" hidden="false" customHeight="false" outlineLevel="0" collapsed="false">
      <c r="A39" s="7" t="s">
        <v>258</v>
      </c>
      <c r="B39" s="7" t="s">
        <v>194</v>
      </c>
      <c r="C39" s="7" t="s">
        <v>259</v>
      </c>
      <c r="D39" s="8" t="n">
        <v>7</v>
      </c>
      <c r="E39" s="7" t="s">
        <v>260</v>
      </c>
      <c r="F39" s="7" t="s">
        <v>261</v>
      </c>
      <c r="G39" s="7" t="s">
        <v>262</v>
      </c>
      <c r="H39" s="9" t="n">
        <v>1.81072639282478</v>
      </c>
      <c r="I39" s="10" t="n">
        <v>0.552264551929337</v>
      </c>
      <c r="J39" s="7" t="s">
        <v>263</v>
      </c>
      <c r="K39" s="9" t="n">
        <v>5.1753202388693</v>
      </c>
      <c r="L39" s="10" t="n">
        <v>0.193224757859328</v>
      </c>
      <c r="M39" s="10" t="n">
        <f aca="false">IF(AND(ISNUMBER(I39),ISNUMBER(L39)),I39-L39,"")</f>
        <v>0.359039794070009</v>
      </c>
      <c r="N39" s="9" t="n">
        <v>2.625</v>
      </c>
      <c r="O39" s="9" t="n">
        <f aca="false">IF(AND(ISNUMBER(H39),H39&gt;0),H39*EXP('Read me'!$B$22),"")</f>
        <v>2.2116262104696</v>
      </c>
    </row>
    <row r="40" customFormat="false" ht="15" hidden="false" customHeight="false" outlineLevel="0" collapsed="false">
      <c r="A40" s="7" t="s">
        <v>264</v>
      </c>
      <c r="B40" s="7" t="s">
        <v>56</v>
      </c>
      <c r="C40" s="7" t="s">
        <v>265</v>
      </c>
      <c r="D40" s="8" t="n">
        <v>16</v>
      </c>
      <c r="E40" s="7" t="s">
        <v>266</v>
      </c>
      <c r="F40" s="7" t="s">
        <v>267</v>
      </c>
      <c r="G40" s="7" t="s">
        <v>121</v>
      </c>
      <c r="H40" s="9" t="n">
        <v>3.57316552697531</v>
      </c>
      <c r="I40" s="10" t="n">
        <v>0.279863888882445</v>
      </c>
      <c r="J40" s="7" t="s">
        <v>268</v>
      </c>
      <c r="K40" s="9" t="n">
        <v>7.97551785920999</v>
      </c>
      <c r="L40" s="10" t="n">
        <v>0.12538370769808</v>
      </c>
      <c r="M40" s="10" t="n">
        <f aca="false">IF(AND(ISNUMBER(I40),ISNUMBER(L40)),I40-L40,"")</f>
        <v>0.154480181184365</v>
      </c>
      <c r="N40" s="9" t="n">
        <v>2.75</v>
      </c>
      <c r="O40" s="9" t="n">
        <f aca="false">IF(AND(ISNUMBER(H40),H40&gt;0),H40*EXP('Read me'!$B$22),"")</f>
        <v>4.36427423001048</v>
      </c>
    </row>
    <row r="41" customFormat="false" ht="15" hidden="false" customHeight="false" outlineLevel="0" collapsed="false">
      <c r="A41" s="7" t="s">
        <v>269</v>
      </c>
      <c r="B41" s="7" t="s">
        <v>194</v>
      </c>
      <c r="C41" s="7" t="s">
        <v>270</v>
      </c>
      <c r="D41" s="8" t="n">
        <v>11</v>
      </c>
      <c r="E41" s="7" t="s">
        <v>271</v>
      </c>
      <c r="F41" s="7" t="s">
        <v>261</v>
      </c>
      <c r="G41" s="7" t="s">
        <v>272</v>
      </c>
      <c r="H41" s="9" t="n">
        <v>2.23822109169002</v>
      </c>
      <c r="I41" s="10" t="n">
        <v>0.446783386910596</v>
      </c>
      <c r="J41" s="7" t="s">
        <v>273</v>
      </c>
      <c r="K41" s="9" t="n">
        <v>3.7489318858321</v>
      </c>
      <c r="L41" s="10" t="n">
        <v>0.266742643092338</v>
      </c>
      <c r="M41" s="10" t="n">
        <f aca="false">IF(AND(ISNUMBER(I41),ISNUMBER(L41)),I41-L41,"")</f>
        <v>0.180040743818257</v>
      </c>
      <c r="N41" s="9" t="n">
        <v>1.83333333333333</v>
      </c>
      <c r="O41" s="9" t="n">
        <f aca="false">IF(AND(ISNUMBER(H41),H41&gt;0),H41*EXP('Read me'!$B$22),"")</f>
        <v>2.73376941476246</v>
      </c>
    </row>
    <row r="42" customFormat="false" ht="15" hidden="false" customHeight="false" outlineLevel="0" collapsed="false">
      <c r="A42" s="7" t="s">
        <v>274</v>
      </c>
      <c r="B42" s="7" t="s">
        <v>194</v>
      </c>
      <c r="C42" s="7" t="s">
        <v>275</v>
      </c>
      <c r="D42" s="8" t="n">
        <v>11</v>
      </c>
      <c r="E42" s="7" t="s">
        <v>276</v>
      </c>
      <c r="F42" s="7" t="s">
        <v>277</v>
      </c>
      <c r="G42" s="7" t="s">
        <v>278</v>
      </c>
      <c r="H42" s="9" t="n">
        <v>4.55911037415167</v>
      </c>
      <c r="I42" s="10" t="n">
        <v>0.219341037600142</v>
      </c>
      <c r="J42" s="7" t="s">
        <v>279</v>
      </c>
      <c r="K42" s="9" t="n">
        <v>5.26152364399123</v>
      </c>
      <c r="L42" s="10" t="n">
        <v>0.190059014776456</v>
      </c>
      <c r="M42" s="10" t="n">
        <f aca="false">IF(AND(ISNUMBER(I42),ISNUMBER(L42)),I42-L42,"")</f>
        <v>0.0292820228236864</v>
      </c>
      <c r="N42" s="9" t="n">
        <v>3.75</v>
      </c>
      <c r="O42" s="9" t="n">
        <f aca="false">IF(AND(ISNUMBER(H42),H42&gt;0),H42*EXP('Read me'!$B$22),"")</f>
        <v>5.5685099857455</v>
      </c>
    </row>
    <row r="43" customFormat="false" ht="15" hidden="false" customHeight="false" outlineLevel="0" collapsed="false">
      <c r="A43" s="7" t="s">
        <v>280</v>
      </c>
      <c r="B43" s="7" t="s">
        <v>194</v>
      </c>
      <c r="C43" s="7" t="s">
        <v>281</v>
      </c>
      <c r="D43" s="8" t="n">
        <v>10</v>
      </c>
      <c r="E43" s="7" t="s">
        <v>282</v>
      </c>
      <c r="F43" s="7" t="s">
        <v>283</v>
      </c>
      <c r="G43" s="7" t="s">
        <v>284</v>
      </c>
      <c r="H43" s="9" t="n">
        <v>2.18383223287161</v>
      </c>
      <c r="I43" s="10" t="n">
        <v>0.457910632945032</v>
      </c>
      <c r="J43" s="7" t="s">
        <v>285</v>
      </c>
      <c r="K43" s="9" t="n">
        <v>11.2369380957112</v>
      </c>
      <c r="L43" s="10" t="n">
        <v>0.0889922140250702</v>
      </c>
      <c r="M43" s="10" t="n">
        <f aca="false">IF(AND(ISNUMBER(I43),ISNUMBER(L43)),I43-L43,"")</f>
        <v>0.368918418919962</v>
      </c>
      <c r="N43" s="9" t="n">
        <v>2.375</v>
      </c>
      <c r="O43" s="9" t="n">
        <f aca="false">IF(AND(ISNUMBER(H43),H43&gt;0),H43*EXP('Read me'!$B$22),"")</f>
        <v>2.66733871258846</v>
      </c>
    </row>
    <row r="44" customFormat="false" ht="15" hidden="false" customHeight="false" outlineLevel="0" collapsed="false">
      <c r="A44" s="7" t="s">
        <v>286</v>
      </c>
      <c r="B44" s="7" t="s">
        <v>194</v>
      </c>
      <c r="C44" s="7" t="s">
        <v>287</v>
      </c>
      <c r="D44" s="8" t="n">
        <v>12</v>
      </c>
      <c r="E44" s="7" t="s">
        <v>288</v>
      </c>
      <c r="F44" s="7" t="s">
        <v>261</v>
      </c>
      <c r="G44" s="7" t="s">
        <v>289</v>
      </c>
      <c r="H44" s="9" t="n">
        <v>4.18919945043193</v>
      </c>
      <c r="I44" s="10" t="n">
        <v>0.238709092711471</v>
      </c>
      <c r="J44" s="7" t="s">
        <v>290</v>
      </c>
      <c r="K44" s="9" t="n">
        <v>5.10315863768851</v>
      </c>
      <c r="L44" s="10" t="n">
        <v>0.195957067180838</v>
      </c>
      <c r="M44" s="10" t="n">
        <f aca="false">IF(AND(ISNUMBER(I44),ISNUMBER(L44)),I44-L44,"")</f>
        <v>0.0427520255306334</v>
      </c>
      <c r="N44" s="9" t="n">
        <v>4.5</v>
      </c>
      <c r="O44" s="9" t="n">
        <f aca="false">IF(AND(ISNUMBER(H44),H44&gt;0),H44*EXP('Read me'!$B$22),"")</f>
        <v>5.11669976324063</v>
      </c>
    </row>
    <row r="45" customFormat="false" ht="15" hidden="false" customHeight="false" outlineLevel="0" collapsed="false">
      <c r="A45" s="7" t="s">
        <v>291</v>
      </c>
      <c r="B45" s="7" t="s">
        <v>194</v>
      </c>
      <c r="C45" s="7" t="s">
        <v>292</v>
      </c>
      <c r="D45" s="8" t="n">
        <v>8</v>
      </c>
      <c r="E45" s="7" t="s">
        <v>293</v>
      </c>
      <c r="F45" s="7" t="s">
        <v>294</v>
      </c>
      <c r="G45" s="7" t="s">
        <v>295</v>
      </c>
      <c r="H45" s="9" t="n">
        <v>3.93299965613433</v>
      </c>
      <c r="I45" s="10" t="n">
        <v>0.254258857724611</v>
      </c>
      <c r="J45" s="7" t="s">
        <v>296</v>
      </c>
      <c r="K45" s="9" t="n">
        <v>5.11257268881692</v>
      </c>
      <c r="L45" s="10" t="n">
        <v>0.195596241044625</v>
      </c>
      <c r="M45" s="10" t="n">
        <f aca="false">IF(AND(ISNUMBER(I45),ISNUMBER(L45)),I45-L45,"")</f>
        <v>0.0586626166799858</v>
      </c>
      <c r="N45" s="9" t="n">
        <v>3.75</v>
      </c>
      <c r="O45" s="9" t="n">
        <f aca="false">IF(AND(ISNUMBER(H45),H45&gt;0),H45*EXP('Read me'!$B$22),"")</f>
        <v>4.80377662784547</v>
      </c>
    </row>
    <row r="46" customFormat="false" ht="15" hidden="false" customHeight="false" outlineLevel="0" collapsed="false">
      <c r="A46" s="7" t="s">
        <v>297</v>
      </c>
      <c r="B46" s="7" t="s">
        <v>194</v>
      </c>
      <c r="C46" s="7" t="s">
        <v>298</v>
      </c>
      <c r="D46" s="8" t="n">
        <v>11</v>
      </c>
      <c r="E46" s="7" t="s">
        <v>299</v>
      </c>
      <c r="F46" s="7" t="s">
        <v>283</v>
      </c>
      <c r="G46" s="7" t="s">
        <v>300</v>
      </c>
      <c r="H46" s="9" t="n">
        <v>3.18567540849695</v>
      </c>
      <c r="I46" s="10" t="n">
        <v>0.313905176068084</v>
      </c>
      <c r="J46" s="7" t="s">
        <v>301</v>
      </c>
      <c r="K46" s="9" t="n">
        <v>5.17923914596439</v>
      </c>
      <c r="L46" s="10" t="n">
        <v>0.193078553010859</v>
      </c>
      <c r="M46" s="10" t="n">
        <f aca="false">IF(AND(ISNUMBER(I46),ISNUMBER(L46)),I46-L46,"")</f>
        <v>0.120826623057226</v>
      </c>
      <c r="N46" s="9" t="n">
        <v>2.25</v>
      </c>
      <c r="O46" s="9" t="n">
        <f aca="false">IF(AND(ISNUMBER(H46),H46&gt;0),H46*EXP('Read me'!$B$22),"")</f>
        <v>3.8909927305412</v>
      </c>
    </row>
  </sheetData>
  <autoFilter ref="A1:O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13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302</v>
      </c>
      <c r="D1" s="6" t="s">
        <v>303</v>
      </c>
      <c r="E1" s="6" t="s">
        <v>304</v>
      </c>
      <c r="F1" s="6" t="s">
        <v>305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306</v>
      </c>
      <c r="D2" s="9" t="n">
        <v>21.2965028606241</v>
      </c>
      <c r="E2" s="10" t="n">
        <v>0.0469560662867769</v>
      </c>
      <c r="F2" s="11" t="n">
        <f aca="false">IF(ISNUMBER(E2),1-E2,"")</f>
        <v>0.953043933713223</v>
      </c>
    </row>
    <row r="3" customFormat="false" ht="15" hidden="false" customHeight="false" outlineLevel="0" collapsed="false">
      <c r="A3" s="7" t="s">
        <v>41</v>
      </c>
      <c r="B3" s="7" t="s">
        <v>42</v>
      </c>
      <c r="C3" s="7" t="s">
        <v>307</v>
      </c>
      <c r="D3" s="9" t="n">
        <v>7.4336003549217</v>
      </c>
      <c r="E3" s="10" t="n">
        <v>0.134524315574473</v>
      </c>
      <c r="F3" s="11" t="n">
        <f aca="false">IF(ISNUMBER(E3),1-E3,"")</f>
        <v>0.865475684425527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308</v>
      </c>
      <c r="D4" s="9" t="n">
        <v>107.624213289148</v>
      </c>
      <c r="E4" s="10" t="n">
        <v>0.0092915894057535</v>
      </c>
      <c r="F4" s="11" t="n">
        <f aca="false">IF(ISNUMBER(E4),1-E4,"")</f>
        <v>0.990708410594247</v>
      </c>
    </row>
    <row r="5" customFormat="false" ht="15" hidden="false" customHeight="false" outlineLevel="0" collapsed="false">
      <c r="A5" s="7" t="s">
        <v>55</v>
      </c>
      <c r="B5" s="7" t="s">
        <v>56</v>
      </c>
      <c r="C5" s="7" t="s">
        <v>309</v>
      </c>
      <c r="D5" s="9" t="n">
        <v>121.209708417236</v>
      </c>
      <c r="E5" s="10" t="n">
        <v>0.0082501642241208</v>
      </c>
      <c r="F5" s="11" t="n">
        <f aca="false">IF(ISNUMBER(E5),1-E5,"")</f>
        <v>0.991749835775879</v>
      </c>
    </row>
    <row r="6" customFormat="false" ht="15" hidden="false" customHeight="false" outlineLevel="0" collapsed="false">
      <c r="A6" s="7" t="s">
        <v>82</v>
      </c>
      <c r="B6" s="7" t="s">
        <v>49</v>
      </c>
      <c r="C6" s="7" t="s">
        <v>310</v>
      </c>
      <c r="D6" s="9" t="n">
        <v>12.4918070541243</v>
      </c>
      <c r="E6" s="10" t="n">
        <v>0.0800524692438185</v>
      </c>
      <c r="F6" s="11" t="n">
        <f aca="false">IF(ISNUMBER(E6),1-E6,"")</f>
        <v>0.919947530756182</v>
      </c>
    </row>
    <row r="7" customFormat="false" ht="15" hidden="false" customHeight="false" outlineLevel="0" collapsed="false">
      <c r="A7" s="7" t="s">
        <v>82</v>
      </c>
      <c r="B7" s="7" t="s">
        <v>49</v>
      </c>
      <c r="C7" s="7" t="s">
        <v>311</v>
      </c>
      <c r="D7" s="9" t="n">
        <v>90.401937987873</v>
      </c>
      <c r="E7" s="10" t="n">
        <v>0.0110617097626175</v>
      </c>
      <c r="F7" s="11" t="n">
        <f aca="false">IF(ISNUMBER(E7),1-E7,"")</f>
        <v>0.988938290237382</v>
      </c>
    </row>
    <row r="8" customFormat="false" ht="15" hidden="false" customHeight="false" outlineLevel="0" collapsed="false">
      <c r="A8" s="7" t="s">
        <v>88</v>
      </c>
      <c r="B8" s="7" t="s">
        <v>56</v>
      </c>
      <c r="C8" s="7" t="s">
        <v>312</v>
      </c>
      <c r="D8" s="9" t="n">
        <v>77.6834574906196</v>
      </c>
      <c r="E8" s="10" t="n">
        <v>0.0128727535089533</v>
      </c>
      <c r="F8" s="11" t="n">
        <f aca="false">IF(ISNUMBER(E8),1-E8,"")</f>
        <v>0.987127246491047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313</v>
      </c>
      <c r="D9" s="9" t="n">
        <v>5.23036468410853</v>
      </c>
      <c r="E9" s="10" t="n">
        <v>0.191191257282367</v>
      </c>
      <c r="F9" s="11" t="n">
        <f aca="false">IF(ISNUMBER(E9),1-E9,"")</f>
        <v>0.808808742717633</v>
      </c>
    </row>
    <row r="10" customFormat="false" ht="15" hidden="false" customHeight="false" outlineLevel="0" collapsed="false">
      <c r="A10" s="7" t="s">
        <v>88</v>
      </c>
      <c r="B10" s="7" t="s">
        <v>56</v>
      </c>
      <c r="C10" s="7" t="s">
        <v>314</v>
      </c>
      <c r="D10" s="9" t="n">
        <v>91.8852486974122</v>
      </c>
      <c r="E10" s="10" t="n">
        <v>0.0108831397223846</v>
      </c>
      <c r="F10" s="11" t="n">
        <f aca="false">IF(ISNUMBER(E10),1-E10,"")</f>
        <v>0.989116860277615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315</v>
      </c>
      <c r="D11" s="9" t="n">
        <v>4.10225183380135</v>
      </c>
      <c r="E11" s="10" t="n">
        <v>0.243768554568078</v>
      </c>
      <c r="F11" s="11" t="n">
        <f aca="false">IF(ISNUMBER(E11),1-E11,"")</f>
        <v>0.756231445431923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316</v>
      </c>
      <c r="D12" s="9" t="n">
        <v>3.42542852175071</v>
      </c>
      <c r="E12" s="10" t="n">
        <v>0.291934277317487</v>
      </c>
      <c r="F12" s="11" t="n">
        <f aca="false">IF(ISNUMBER(E12),1-E12,"")</f>
        <v>0.708065722682513</v>
      </c>
    </row>
    <row r="13" customFormat="false" ht="15" hidden="false" customHeight="false" outlineLevel="0" collapsed="false">
      <c r="A13" s="7" t="s">
        <v>117</v>
      </c>
      <c r="B13" s="7" t="s">
        <v>56</v>
      </c>
      <c r="C13" s="7" t="s">
        <v>317</v>
      </c>
      <c r="D13" s="9" t="n">
        <v>632.587211205742</v>
      </c>
      <c r="E13" s="10" t="n">
        <v>0.0015808097006797</v>
      </c>
      <c r="F13" s="11" t="n">
        <f aca="false">IF(ISNUMBER(E13),1-E13,"")</f>
        <v>0.99841919029932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318</v>
      </c>
      <c r="D14" s="9" t="n">
        <v>936.560388398084</v>
      </c>
      <c r="E14" s="10" t="n">
        <v>0.0010677368084191</v>
      </c>
      <c r="F14" s="11" t="n">
        <f aca="false">IF(ISNUMBER(E14),1-E14,"")</f>
        <v>0.998932263191581</v>
      </c>
    </row>
    <row r="15" customFormat="false" ht="15" hidden="false" customHeight="false" outlineLevel="0" collapsed="false">
      <c r="A15" s="7" t="s">
        <v>117</v>
      </c>
      <c r="B15" s="7" t="s">
        <v>56</v>
      </c>
      <c r="C15" s="7" t="s">
        <v>319</v>
      </c>
      <c r="D15" s="9" t="n">
        <v>689.439991260396</v>
      </c>
      <c r="E15" s="10" t="n">
        <v>0.0014504525595793</v>
      </c>
      <c r="F15" s="11" t="n">
        <f aca="false">IF(ISNUMBER(E15),1-E15,"")</f>
        <v>0.998549547440421</v>
      </c>
    </row>
    <row r="16" customFormat="false" ht="15" hidden="false" customHeight="false" outlineLevel="0" collapsed="false">
      <c r="A16" s="7" t="s">
        <v>117</v>
      </c>
      <c r="B16" s="7" t="s">
        <v>56</v>
      </c>
      <c r="C16" s="7" t="s">
        <v>320</v>
      </c>
      <c r="D16" s="9" t="n">
        <v>235.172311905894</v>
      </c>
      <c r="E16" s="10" t="n">
        <v>0.0042522012557335</v>
      </c>
      <c r="F16" s="11" t="n">
        <f aca="false">IF(ISNUMBER(E16),1-E16,"")</f>
        <v>0.995747798744267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321</v>
      </c>
      <c r="D17" s="9" t="n">
        <v>5.49974572828669</v>
      </c>
      <c r="E17" s="10" t="n">
        <v>0.181826587883278</v>
      </c>
      <c r="F17" s="11" t="n">
        <f aca="false">IF(ISNUMBER(E17),1-E17,"")</f>
        <v>0.818173412116722</v>
      </c>
    </row>
    <row r="18" customFormat="false" ht="15" hidden="false" customHeight="false" outlineLevel="0" collapsed="false">
      <c r="A18" s="7" t="s">
        <v>147</v>
      </c>
      <c r="B18" s="7" t="s">
        <v>56</v>
      </c>
      <c r="C18" s="7" t="s">
        <v>322</v>
      </c>
      <c r="D18" s="9" t="n">
        <v>37.0893936561175</v>
      </c>
      <c r="E18" s="10" t="n">
        <v>0.026961885903871</v>
      </c>
      <c r="F18" s="11" t="n">
        <f aca="false">IF(ISNUMBER(E18),1-E18,"")</f>
        <v>0.973038114096129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323</v>
      </c>
      <c r="D19" s="9" t="n">
        <v>40.8935641701252</v>
      </c>
      <c r="E19" s="10" t="n">
        <v>0.0244537256728174</v>
      </c>
      <c r="F19" s="11" t="n">
        <f aca="false">IF(ISNUMBER(E19),1-E19,"")</f>
        <v>0.975546274327183</v>
      </c>
    </row>
    <row r="20" customFormat="false" ht="15" hidden="false" customHeight="false" outlineLevel="0" collapsed="false">
      <c r="A20" s="7" t="s">
        <v>147</v>
      </c>
      <c r="B20" s="7" t="s">
        <v>56</v>
      </c>
      <c r="C20" s="7" t="s">
        <v>324</v>
      </c>
      <c r="D20" s="9" t="n">
        <v>37.3653529447896</v>
      </c>
      <c r="E20" s="10" t="n">
        <v>0.0267627607178656</v>
      </c>
      <c r="F20" s="11" t="n">
        <f aca="false">IF(ISNUMBER(E20),1-E20,"")</f>
        <v>0.973237239282134</v>
      </c>
    </row>
    <row r="21" customFormat="false" ht="15" hidden="false" customHeight="false" outlineLevel="0" collapsed="false">
      <c r="A21" s="7" t="s">
        <v>162</v>
      </c>
      <c r="B21" s="7" t="s">
        <v>42</v>
      </c>
      <c r="C21" s="7" t="s">
        <v>325</v>
      </c>
      <c r="D21" s="9" t="n">
        <v>10.2331372846808</v>
      </c>
      <c r="E21" s="10" t="n">
        <v>0.0977217418451932</v>
      </c>
      <c r="F21" s="11" t="n">
        <f aca="false">IF(ISNUMBER(E21),1-E21,"")</f>
        <v>0.902278258154807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326</v>
      </c>
      <c r="D22" s="9" t="n">
        <v>73.7591505012473</v>
      </c>
      <c r="E22" s="10" t="n">
        <v>0.0135576398752462</v>
      </c>
      <c r="F22" s="11" t="n">
        <f aca="false">IF(ISNUMBER(E22),1-E22,"")</f>
        <v>0.986442360124754</v>
      </c>
    </row>
    <row r="23" customFormat="false" ht="15" hidden="false" customHeight="false" outlineLevel="0" collapsed="false">
      <c r="A23" s="7" t="s">
        <v>173</v>
      </c>
      <c r="B23" s="7" t="s">
        <v>56</v>
      </c>
      <c r="C23" s="7" t="s">
        <v>327</v>
      </c>
      <c r="D23" s="9" t="n">
        <v>18.4119614918163</v>
      </c>
      <c r="E23" s="10" t="n">
        <v>0.0543125185464067</v>
      </c>
      <c r="F23" s="11" t="n">
        <f aca="false">IF(ISNUMBER(E23),1-E23,"")</f>
        <v>0.945687481453593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328</v>
      </c>
      <c r="D24" s="9" t="n">
        <v>18.3139879802372</v>
      </c>
      <c r="E24" s="10" t="n">
        <v>0.0546030717656421</v>
      </c>
      <c r="F24" s="11" t="n">
        <f aca="false">IF(ISNUMBER(E24),1-E24,"")</f>
        <v>0.945396928234358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329</v>
      </c>
      <c r="D25" s="9" t="n">
        <v>8.31424906751457</v>
      </c>
      <c r="E25" s="10" t="n">
        <v>0.120275444225889</v>
      </c>
      <c r="F25" s="11" t="n">
        <f aca="false">IF(ISNUMBER(E25),1-E25,"")</f>
        <v>0.879724555774111</v>
      </c>
    </row>
    <row r="26" customFormat="false" ht="15" hidden="false" customHeight="false" outlineLevel="0" collapsed="false">
      <c r="A26" s="7" t="s">
        <v>193</v>
      </c>
      <c r="B26" s="7" t="s">
        <v>194</v>
      </c>
      <c r="C26" s="7" t="s">
        <v>330</v>
      </c>
      <c r="D26" s="9" t="n">
        <v>3.34493993760322</v>
      </c>
      <c r="E26" s="10" t="n">
        <v>0.298959030252883</v>
      </c>
      <c r="F26" s="11" t="n">
        <f aca="false">IF(ISNUMBER(E26),1-E26,"")</f>
        <v>0.701040969747117</v>
      </c>
    </row>
    <row r="27" customFormat="false" ht="15" hidden="false" customHeight="false" outlineLevel="0" collapsed="false">
      <c r="A27" s="7" t="s">
        <v>200</v>
      </c>
      <c r="B27" s="7" t="s">
        <v>49</v>
      </c>
      <c r="C27" s="7" t="s">
        <v>331</v>
      </c>
      <c r="D27" s="9" t="n">
        <v>131.194385120743</v>
      </c>
      <c r="E27" s="10" t="n">
        <v>0.0076222774250564</v>
      </c>
      <c r="F27" s="11" t="n">
        <f aca="false">IF(ISNUMBER(E27),1-E27,"")</f>
        <v>0.992377722574944</v>
      </c>
    </row>
    <row r="28" customFormat="false" ht="15" hidden="false" customHeight="false" outlineLevel="0" collapsed="false">
      <c r="A28" s="7" t="s">
        <v>206</v>
      </c>
      <c r="B28" s="7" t="s">
        <v>56</v>
      </c>
      <c r="C28" s="7" t="s">
        <v>332</v>
      </c>
      <c r="D28" s="9" t="n">
        <v>1.60252236464477</v>
      </c>
      <c r="E28" s="10" t="n">
        <v>0.624016252167356</v>
      </c>
      <c r="F28" s="11" t="n">
        <f aca="false">IF(ISNUMBER(E28),1-E28,"")</f>
        <v>0.375983747832644</v>
      </c>
    </row>
    <row r="29" customFormat="false" ht="15" hidden="false" customHeight="false" outlineLevel="0" collapsed="false">
      <c r="A29" s="7" t="s">
        <v>223</v>
      </c>
      <c r="B29" s="7" t="s">
        <v>42</v>
      </c>
      <c r="C29" s="7" t="s">
        <v>333</v>
      </c>
      <c r="D29" s="9" t="n">
        <v>20.7924609326253</v>
      </c>
      <c r="E29" s="10" t="n">
        <v>0.0480943551242126</v>
      </c>
      <c r="F29" s="11" t="n">
        <f aca="false">IF(ISNUMBER(E29),1-E29,"")</f>
        <v>0.951905644875787</v>
      </c>
    </row>
    <row r="30" customFormat="false" ht="15" hidden="false" customHeight="false" outlineLevel="0" collapsed="false">
      <c r="A30" s="7" t="s">
        <v>252</v>
      </c>
      <c r="B30" s="7" t="s">
        <v>42</v>
      </c>
      <c r="C30" s="7" t="s">
        <v>334</v>
      </c>
      <c r="D30" s="9" t="n">
        <v>21.4440460008573</v>
      </c>
      <c r="E30" s="10" t="n">
        <v>0.0466329908059338</v>
      </c>
      <c r="F30" s="11" t="n">
        <f aca="false">IF(ISNUMBER(E30),1-E30,"")</f>
        <v>0.953367009194066</v>
      </c>
    </row>
    <row r="31" customFormat="false" ht="15" hidden="false" customHeight="false" outlineLevel="0" collapsed="false">
      <c r="A31" s="7" t="s">
        <v>252</v>
      </c>
      <c r="B31" s="7" t="s">
        <v>42</v>
      </c>
      <c r="C31" s="7" t="s">
        <v>335</v>
      </c>
      <c r="D31" s="9" t="n">
        <v>17.2918607713487</v>
      </c>
      <c r="E31" s="10" t="n">
        <v>0.0578306761327227</v>
      </c>
      <c r="F31" s="11" t="n">
        <f aca="false">IF(ISNUMBER(E31),1-E31,"")</f>
        <v>0.942169323867277</v>
      </c>
    </row>
    <row r="32" customFormat="false" ht="15" hidden="false" customHeight="false" outlineLevel="0" collapsed="false">
      <c r="A32" s="7" t="s">
        <v>252</v>
      </c>
      <c r="B32" s="7" t="s">
        <v>42</v>
      </c>
      <c r="C32" s="7" t="s">
        <v>336</v>
      </c>
      <c r="D32" s="9" t="n">
        <v>19.396147186799</v>
      </c>
      <c r="E32" s="10" t="n">
        <v>0.0515566308282399</v>
      </c>
      <c r="F32" s="11" t="n">
        <f aca="false">IF(ISNUMBER(E32),1-E32,"")</f>
        <v>0.94844336917176</v>
      </c>
    </row>
    <row r="33" customFormat="false" ht="15" hidden="false" customHeight="false" outlineLevel="0" collapsed="false">
      <c r="A33" s="7" t="s">
        <v>274</v>
      </c>
      <c r="B33" s="7" t="s">
        <v>194</v>
      </c>
      <c r="C33" s="7" t="s">
        <v>337</v>
      </c>
      <c r="D33" s="9" t="n">
        <v>77.8308716102294</v>
      </c>
      <c r="E33" s="10" t="n">
        <v>0.012848372108794</v>
      </c>
      <c r="F33" s="11" t="n">
        <f aca="false">IF(ISNUMBER(E33),1-E33,"")</f>
        <v>0.987151627891206</v>
      </c>
    </row>
    <row r="34" customFormat="false" ht="15" hidden="false" customHeight="false" outlineLevel="0" collapsed="false">
      <c r="A34" s="7" t="s">
        <v>286</v>
      </c>
      <c r="B34" s="7" t="s">
        <v>194</v>
      </c>
      <c r="C34" s="7" t="s">
        <v>338</v>
      </c>
      <c r="D34" s="9" t="n">
        <v>21.490627398429</v>
      </c>
      <c r="E34" s="10" t="n">
        <v>0.0465319127943701</v>
      </c>
      <c r="F34" s="11" t="n">
        <f aca="false">IF(ISNUMBER(E34),1-E34,"")</f>
        <v>0.95346808720563</v>
      </c>
    </row>
    <row r="35" customFormat="false" ht="15" hidden="false" customHeight="false" outlineLevel="0" collapsed="false">
      <c r="A35" s="7" t="s">
        <v>297</v>
      </c>
      <c r="B35" s="7" t="s">
        <v>194</v>
      </c>
      <c r="C35" s="7" t="s">
        <v>339</v>
      </c>
      <c r="D35" s="9" t="n">
        <v>12.3201355883677</v>
      </c>
      <c r="E35" s="10" t="n">
        <v>0.0811679378710872</v>
      </c>
      <c r="F35" s="11" t="n">
        <f aca="false">IF(ISNUMBER(E35),1-E35,"")</f>
        <v>0.918832062128913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340</v>
      </c>
      <c r="E1" s="6" t="s">
        <v>341</v>
      </c>
      <c r="F1" s="6" t="s">
        <v>342</v>
      </c>
      <c r="G1" s="6" t="s">
        <v>343</v>
      </c>
      <c r="H1" s="6" t="s">
        <v>344</v>
      </c>
      <c r="I1" s="6" t="s">
        <v>345</v>
      </c>
      <c r="J1" s="6" t="s">
        <v>346</v>
      </c>
      <c r="K1" s="6" t="s">
        <v>347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6</v>
      </c>
      <c r="E2" s="7" t="s">
        <v>44</v>
      </c>
      <c r="F2" s="9" t="n">
        <v>2.21476755873419</v>
      </c>
      <c r="G2" s="9" t="n">
        <v>2.21476755873419</v>
      </c>
      <c r="H2" s="7" t="s">
        <v>44</v>
      </c>
      <c r="I2" s="9" t="n">
        <v>2.21476755873419</v>
      </c>
      <c r="J2" s="7" t="str">
        <f aca="false">IF(E2=H2,"yes","no")</f>
        <v>yes</v>
      </c>
      <c r="K2" s="12" t="n">
        <f aca="false">IF(AND(ISNUMBER(F2),ISNUMBER(G2)),F2/G2-1,"")</f>
        <v>0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9" t="n">
        <v>5.1776254913338</v>
      </c>
      <c r="G3" s="9" t="n">
        <v>5.1776254913338</v>
      </c>
      <c r="H3" s="7" t="s">
        <v>51</v>
      </c>
      <c r="I3" s="9" t="n">
        <v>5.1776254913338</v>
      </c>
      <c r="J3" s="7" t="str">
        <f aca="false">IF(E3=H3,"yes","no")</f>
        <v>yes</v>
      </c>
      <c r="K3" s="12" t="n">
        <f aca="false">IF(AND(ISNUMBER(F3),ISNUMBER(G3)),F3/G3-1,"")</f>
        <v>0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13</v>
      </c>
      <c r="E4" s="7" t="s">
        <v>58</v>
      </c>
      <c r="F4" s="9" t="n">
        <v>3.18623580381569</v>
      </c>
      <c r="G4" s="9" t="n">
        <v>3.18623580381569</v>
      </c>
      <c r="H4" s="7" t="s">
        <v>58</v>
      </c>
      <c r="I4" s="9" t="n">
        <v>3.18623580381569</v>
      </c>
      <c r="J4" s="7" t="str">
        <f aca="false">IF(E4=H4,"yes","no")</f>
        <v>yes</v>
      </c>
      <c r="K4" s="12" t="n">
        <f aca="false">IF(AND(ISNUMBER(F4),ISNUMBER(G4)),F4/G4-1,"")</f>
        <v>0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6</v>
      </c>
      <c r="E5" s="7" t="s">
        <v>65</v>
      </c>
      <c r="F5" s="9" t="n">
        <v>3.14305114101269</v>
      </c>
      <c r="G5" s="9" t="n">
        <v>3.14305114101269</v>
      </c>
      <c r="H5" s="7" t="s">
        <v>65</v>
      </c>
      <c r="I5" s="9" t="n">
        <v>3.14305114101269</v>
      </c>
      <c r="J5" s="7" t="str">
        <f aca="false">IF(E5=H5,"yes","no")</f>
        <v>yes</v>
      </c>
      <c r="K5" s="12" t="n">
        <f aca="false">IF(AND(ISNUMBER(F5),ISNUMBER(G5)),F5/G5-1,"")</f>
        <v>0</v>
      </c>
    </row>
    <row r="6" customFormat="false" ht="15" hidden="false" customHeight="false" outlineLevel="0" collapsed="false">
      <c r="A6" s="7" t="s">
        <v>69</v>
      </c>
      <c r="B6" s="7" t="s">
        <v>70</v>
      </c>
      <c r="C6" s="7" t="s">
        <v>71</v>
      </c>
      <c r="D6" s="8" t="n">
        <v>3</v>
      </c>
      <c r="E6" s="7" t="s">
        <v>72</v>
      </c>
      <c r="F6" s="9" t="n">
        <v>2.19556200918287</v>
      </c>
      <c r="G6" s="9" t="n">
        <v>2.19556200918287</v>
      </c>
      <c r="H6" s="7" t="s">
        <v>72</v>
      </c>
      <c r="I6" s="9" t="n">
        <v>2.19556200918287</v>
      </c>
      <c r="J6" s="7" t="str">
        <f aca="false">IF(E6=H6,"yes","no")</f>
        <v>yes</v>
      </c>
      <c r="K6" s="12" t="n">
        <f aca="false">IF(AND(ISNUMBER(F6),ISNUMBER(G6)),F6/G6-1,"")</f>
        <v>0</v>
      </c>
    </row>
    <row r="7" customFormat="false" ht="15" hidden="false" customHeight="false" outlineLevel="0" collapsed="false">
      <c r="A7" s="7" t="s">
        <v>76</v>
      </c>
      <c r="B7" s="7" t="s">
        <v>42</v>
      </c>
      <c r="C7" s="7" t="s">
        <v>77</v>
      </c>
      <c r="D7" s="8" t="n">
        <v>10</v>
      </c>
      <c r="E7" s="7" t="s">
        <v>78</v>
      </c>
      <c r="F7" s="9" t="n">
        <v>4.91146720532088</v>
      </c>
      <c r="G7" s="9" t="n">
        <v>4.91146720532088</v>
      </c>
      <c r="H7" s="7" t="s">
        <v>78</v>
      </c>
      <c r="I7" s="9" t="n">
        <v>4.91146720532088</v>
      </c>
      <c r="J7" s="7" t="str">
        <f aca="false">IF(E7=H7,"yes","no")</f>
        <v>yes</v>
      </c>
      <c r="K7" s="12" t="n">
        <f aca="false">IF(AND(ISNUMBER(F7),ISNUMBER(G7)),F7/G7-1,"")</f>
        <v>0</v>
      </c>
    </row>
    <row r="8" customFormat="false" ht="15" hidden="false" customHeight="false" outlineLevel="0" collapsed="false">
      <c r="A8" s="7" t="s">
        <v>82</v>
      </c>
      <c r="B8" s="7" t="s">
        <v>49</v>
      </c>
      <c r="C8" s="7" t="s">
        <v>83</v>
      </c>
      <c r="D8" s="8" t="n">
        <v>4</v>
      </c>
      <c r="E8" s="7" t="s">
        <v>84</v>
      </c>
      <c r="F8" s="9" t="n">
        <v>2.55144014050802</v>
      </c>
      <c r="G8" s="9" t="n">
        <v>2.48462912273849</v>
      </c>
      <c r="H8" s="7" t="s">
        <v>84</v>
      </c>
      <c r="I8" s="9" t="n">
        <v>2.48462912273849</v>
      </c>
      <c r="J8" s="7" t="str">
        <f aca="false">IF(E8=H8,"yes","no")</f>
        <v>yes</v>
      </c>
      <c r="K8" s="12" t="n">
        <f aca="false">IF(AND(ISNUMBER(F8),ISNUMBER(G8)),F8/G8-1,"")</f>
        <v>0.0268897346320645</v>
      </c>
    </row>
    <row r="9" customFormat="false" ht="15" hidden="false" customHeight="false" outlineLevel="0" collapsed="false">
      <c r="A9" s="7" t="s">
        <v>88</v>
      </c>
      <c r="B9" s="7" t="s">
        <v>56</v>
      </c>
      <c r="C9" s="7" t="s">
        <v>89</v>
      </c>
      <c r="D9" s="8" t="n">
        <v>16</v>
      </c>
      <c r="E9" s="7" t="s">
        <v>90</v>
      </c>
      <c r="F9" s="9" t="n">
        <v>3.93562199462767</v>
      </c>
      <c r="G9" s="9" t="n">
        <v>3.93562199462767</v>
      </c>
      <c r="H9" s="7" t="s">
        <v>90</v>
      </c>
      <c r="I9" s="9" t="n">
        <v>3.93562199462767</v>
      </c>
      <c r="J9" s="7" t="str">
        <f aca="false">IF(E9=H9,"yes","no")</f>
        <v>yes</v>
      </c>
      <c r="K9" s="12" t="n">
        <f aca="false">IF(AND(ISNUMBER(F9),ISNUMBER(G9)),F9/G9-1,"")</f>
        <v>0</v>
      </c>
    </row>
    <row r="10" customFormat="false" ht="15" hidden="false" customHeight="false" outlineLevel="0" collapsed="false">
      <c r="A10" s="7" t="s">
        <v>94</v>
      </c>
      <c r="B10" s="7" t="s">
        <v>63</v>
      </c>
      <c r="C10" s="7" t="s">
        <v>95</v>
      </c>
      <c r="D10" s="8" t="n">
        <v>6</v>
      </c>
      <c r="E10" s="7" t="s">
        <v>96</v>
      </c>
      <c r="F10" s="9" t="n">
        <v>2.09029031906183</v>
      </c>
      <c r="G10" s="9" t="n">
        <v>2.09029031906183</v>
      </c>
      <c r="H10" s="7" t="s">
        <v>96</v>
      </c>
      <c r="I10" s="9" t="n">
        <v>2.09029031906183</v>
      </c>
      <c r="J10" s="7" t="str">
        <f aca="false">IF(E10=H10,"yes","no")</f>
        <v>yes</v>
      </c>
      <c r="K10" s="12" t="n">
        <f aca="false">IF(AND(ISNUMBER(F10),ISNUMBER(G10)),F10/G10-1,"")</f>
        <v>0</v>
      </c>
    </row>
    <row r="11" customFormat="false" ht="15" hidden="false" customHeight="false" outlineLevel="0" collapsed="false">
      <c r="A11" s="7" t="s">
        <v>100</v>
      </c>
      <c r="B11" s="7" t="s">
        <v>70</v>
      </c>
      <c r="C11" s="7" t="s">
        <v>101</v>
      </c>
      <c r="D11" s="8" t="n">
        <v>6</v>
      </c>
      <c r="E11" s="7" t="s">
        <v>102</v>
      </c>
      <c r="F11" s="9" t="n">
        <v>1.30531416430074</v>
      </c>
      <c r="G11" s="9" t="n">
        <v>1.30531416430074</v>
      </c>
      <c r="H11" s="7" t="s">
        <v>102</v>
      </c>
      <c r="I11" s="9" t="n">
        <v>1.30531416430074</v>
      </c>
      <c r="J11" s="7" t="str">
        <f aca="false">IF(E11=H11,"yes","no")</f>
        <v>yes</v>
      </c>
      <c r="K11" s="12" t="n">
        <f aca="false">IF(AND(ISNUMBER(F11),ISNUMBER(G11)),F11/G11-1,"")</f>
        <v>0</v>
      </c>
    </row>
    <row r="12" customFormat="false" ht="15" hidden="false" customHeight="false" outlineLevel="0" collapsed="false">
      <c r="A12" s="7" t="s">
        <v>106</v>
      </c>
      <c r="B12" s="7" t="s">
        <v>42</v>
      </c>
      <c r="C12" s="7" t="s">
        <v>107</v>
      </c>
      <c r="D12" s="8" t="n">
        <v>9</v>
      </c>
      <c r="E12" s="7" t="s">
        <v>108</v>
      </c>
      <c r="F12" s="9" t="n">
        <v>2.30855202407745</v>
      </c>
      <c r="G12" s="9" t="n">
        <v>2.33261657068328</v>
      </c>
      <c r="H12" s="7" t="s">
        <v>108</v>
      </c>
      <c r="I12" s="9" t="n">
        <v>2.33261657068328</v>
      </c>
      <c r="J12" s="7" t="str">
        <f aca="false">IF(E12=H12,"yes","no")</f>
        <v>yes</v>
      </c>
      <c r="K12" s="12" t="n">
        <f aca="false">IF(AND(ISNUMBER(F12),ISNUMBER(G12)),F12/G12-1,"")</f>
        <v>-0.0103165461946354</v>
      </c>
    </row>
    <row r="13" customFormat="false" ht="15" hidden="false" customHeight="false" outlineLevel="0" collapsed="false">
      <c r="A13" s="7" t="s">
        <v>112</v>
      </c>
      <c r="B13" s="7" t="s">
        <v>49</v>
      </c>
      <c r="C13" s="7" t="s">
        <v>113</v>
      </c>
      <c r="D13" s="8" t="n">
        <v>13</v>
      </c>
      <c r="E13" s="7" t="s">
        <v>114</v>
      </c>
      <c r="F13" s="9" t="n">
        <v>6.79632339490165</v>
      </c>
      <c r="G13" s="9" t="n">
        <v>6.79632339490165</v>
      </c>
      <c r="H13" s="7" t="s">
        <v>114</v>
      </c>
      <c r="I13" s="9" t="n">
        <v>6.79632339490165</v>
      </c>
      <c r="J13" s="7" t="str">
        <f aca="false">IF(E13=H13,"yes","no")</f>
        <v>yes</v>
      </c>
      <c r="K13" s="12" t="n">
        <f aca="false">IF(AND(ISNUMBER(F13),ISNUMBER(G13)),F13/G13-1,"")</f>
        <v>0</v>
      </c>
    </row>
    <row r="14" customFormat="false" ht="15" hidden="false" customHeight="false" outlineLevel="0" collapsed="false">
      <c r="A14" s="7" t="s">
        <v>117</v>
      </c>
      <c r="B14" s="7" t="s">
        <v>56</v>
      </c>
      <c r="C14" s="7" t="s">
        <v>118</v>
      </c>
      <c r="D14" s="8" t="n">
        <v>15</v>
      </c>
      <c r="E14" s="7" t="s">
        <v>119</v>
      </c>
      <c r="F14" s="9" t="n">
        <v>2.32794661282362</v>
      </c>
      <c r="G14" s="9" t="n">
        <v>2.32794661282362</v>
      </c>
      <c r="H14" s="7" t="s">
        <v>119</v>
      </c>
      <c r="I14" s="9" t="n">
        <v>2.32794661282362</v>
      </c>
      <c r="J14" s="7" t="str">
        <f aca="false">IF(E14=H14,"yes","no")</f>
        <v>yes</v>
      </c>
      <c r="K14" s="12" t="n">
        <f aca="false">IF(AND(ISNUMBER(F14),ISNUMBER(G14)),F14/G14-1,"")</f>
        <v>0</v>
      </c>
    </row>
    <row r="15" customFormat="false" ht="15" hidden="false" customHeight="false" outlineLevel="0" collapsed="false">
      <c r="A15" s="7" t="s">
        <v>123</v>
      </c>
      <c r="B15" s="7" t="s">
        <v>63</v>
      </c>
      <c r="C15" s="7" t="s">
        <v>124</v>
      </c>
      <c r="D15" s="8" t="n">
        <v>7</v>
      </c>
      <c r="E15" s="7" t="s">
        <v>125</v>
      </c>
      <c r="F15" s="9" t="n">
        <v>2.88425361964778</v>
      </c>
      <c r="G15" s="9" t="n">
        <v>2.88425361964777</v>
      </c>
      <c r="H15" s="7" t="s">
        <v>125</v>
      </c>
      <c r="I15" s="9" t="n">
        <v>2.88425361964777</v>
      </c>
      <c r="J15" s="7" t="str">
        <f aca="false">IF(E15=H15,"yes","no")</f>
        <v>yes</v>
      </c>
      <c r="K15" s="12" t="n">
        <f aca="false">IF(AND(ISNUMBER(F15),ISNUMBER(G15)),F15/G15-1,"")</f>
        <v>0</v>
      </c>
    </row>
    <row r="16" customFormat="false" ht="15" hidden="false" customHeight="false" outlineLevel="0" collapsed="false">
      <c r="A16" s="7" t="s">
        <v>129</v>
      </c>
      <c r="B16" s="7" t="s">
        <v>70</v>
      </c>
      <c r="C16" s="7" t="s">
        <v>130</v>
      </c>
      <c r="D16" s="8" t="n">
        <v>4</v>
      </c>
      <c r="E16" s="7" t="s">
        <v>131</v>
      </c>
      <c r="F16" s="9" t="n">
        <v>3.54237891223166</v>
      </c>
      <c r="G16" s="9" t="n">
        <v>3.54237891223166</v>
      </c>
      <c r="H16" s="7" t="s">
        <v>131</v>
      </c>
      <c r="I16" s="9" t="n">
        <v>3.54237891223166</v>
      </c>
      <c r="J16" s="7" t="str">
        <f aca="false">IF(E16=H16,"yes","no")</f>
        <v>yes</v>
      </c>
      <c r="K16" s="12" t="n">
        <f aca="false">IF(AND(ISNUMBER(F16),ISNUMBER(G16)),F16/G16-1,"")</f>
        <v>0</v>
      </c>
    </row>
    <row r="17" customFormat="false" ht="15" hidden="false" customHeight="false" outlineLevel="0" collapsed="false">
      <c r="A17" s="7" t="s">
        <v>135</v>
      </c>
      <c r="B17" s="7" t="s">
        <v>42</v>
      </c>
      <c r="C17" s="7" t="s">
        <v>136</v>
      </c>
      <c r="D17" s="8" t="n">
        <v>9</v>
      </c>
      <c r="E17" s="7" t="s">
        <v>137</v>
      </c>
      <c r="F17" s="9" t="n">
        <v>2.59199079340173</v>
      </c>
      <c r="G17" s="9" t="n">
        <v>2.59199079340173</v>
      </c>
      <c r="H17" s="7" t="s">
        <v>137</v>
      </c>
      <c r="I17" s="9" t="n">
        <v>2.59199079340173</v>
      </c>
      <c r="J17" s="7" t="str">
        <f aca="false">IF(E17=H17,"yes","no")</f>
        <v>yes</v>
      </c>
      <c r="K17" s="12" t="n">
        <f aca="false">IF(AND(ISNUMBER(F17),ISNUMBER(G17)),F17/G17-1,"")</f>
        <v>0</v>
      </c>
    </row>
    <row r="18" customFormat="false" ht="15" hidden="false" customHeight="false" outlineLevel="0" collapsed="false">
      <c r="A18" s="7" t="s">
        <v>141</v>
      </c>
      <c r="B18" s="7" t="s">
        <v>49</v>
      </c>
      <c r="C18" s="7" t="s">
        <v>142</v>
      </c>
      <c r="D18" s="8" t="n">
        <v>10</v>
      </c>
      <c r="E18" s="7" t="s">
        <v>143</v>
      </c>
      <c r="F18" s="9" t="n">
        <v>4.29172414817471</v>
      </c>
      <c r="G18" s="9" t="n">
        <v>4.29172414817471</v>
      </c>
      <c r="H18" s="7" t="s">
        <v>143</v>
      </c>
      <c r="I18" s="9" t="n">
        <v>4.29172414817471</v>
      </c>
      <c r="J18" s="7" t="str">
        <f aca="false">IF(E18=H18,"yes","no")</f>
        <v>yes</v>
      </c>
      <c r="K18" s="12" t="n">
        <f aca="false">IF(AND(ISNUMBER(F18),ISNUMBER(G18)),F18/G18-1,"")</f>
        <v>0</v>
      </c>
    </row>
    <row r="19" customFormat="false" ht="15" hidden="false" customHeight="false" outlineLevel="0" collapsed="false">
      <c r="A19" s="7" t="s">
        <v>147</v>
      </c>
      <c r="B19" s="7" t="s">
        <v>56</v>
      </c>
      <c r="C19" s="7" t="s">
        <v>148</v>
      </c>
      <c r="D19" s="8" t="n">
        <v>16</v>
      </c>
      <c r="E19" s="7" t="s">
        <v>149</v>
      </c>
      <c r="F19" s="9" t="n">
        <v>4.89371056595047</v>
      </c>
      <c r="G19" s="9" t="n">
        <v>4.89371056595047</v>
      </c>
      <c r="H19" s="7" t="s">
        <v>149</v>
      </c>
      <c r="I19" s="9" t="n">
        <v>4.89371056595047</v>
      </c>
      <c r="J19" s="7" t="str">
        <f aca="false">IF(E19=H19,"yes","no")</f>
        <v>yes</v>
      </c>
      <c r="K19" s="12" t="n">
        <f aca="false">IF(AND(ISNUMBER(F19),ISNUMBER(G19)),F19/G19-1,"")</f>
        <v>0</v>
      </c>
    </row>
    <row r="20" customFormat="false" ht="15" hidden="false" customHeight="false" outlineLevel="0" collapsed="false">
      <c r="A20" s="7" t="s">
        <v>153</v>
      </c>
      <c r="B20" s="7" t="s">
        <v>63</v>
      </c>
      <c r="C20" s="7" t="s">
        <v>154</v>
      </c>
      <c r="D20" s="8" t="n">
        <v>13</v>
      </c>
      <c r="E20" s="7" t="s">
        <v>155</v>
      </c>
      <c r="F20" s="9" t="n">
        <v>5.5218412838528</v>
      </c>
      <c r="G20" s="9" t="n">
        <v>5.5218412838528</v>
      </c>
      <c r="H20" s="7" t="s">
        <v>155</v>
      </c>
      <c r="I20" s="9" t="n">
        <v>5.5218412838528</v>
      </c>
      <c r="J20" s="7" t="str">
        <f aca="false">IF(E20=H20,"yes","no")</f>
        <v>yes</v>
      </c>
      <c r="K20" s="12" t="n">
        <f aca="false">IF(AND(ISNUMBER(F20),ISNUMBER(G20)),F20/G20-1,"")</f>
        <v>0</v>
      </c>
    </row>
    <row r="21" customFormat="false" ht="15" hidden="false" customHeight="false" outlineLevel="0" collapsed="false">
      <c r="A21" s="7" t="s">
        <v>158</v>
      </c>
      <c r="B21" s="7" t="s">
        <v>70</v>
      </c>
      <c r="C21" s="7" t="s">
        <v>159</v>
      </c>
      <c r="D21" s="8" t="n">
        <v>6</v>
      </c>
      <c r="E21" s="7" t="s">
        <v>160</v>
      </c>
      <c r="F21" s="9" t="n">
        <v>2.68447458540384</v>
      </c>
      <c r="G21" s="9" t="n">
        <v>2.68447458540384</v>
      </c>
      <c r="H21" s="7" t="s">
        <v>160</v>
      </c>
      <c r="I21" s="9" t="n">
        <v>2.68447458540384</v>
      </c>
      <c r="J21" s="7" t="str">
        <f aca="false">IF(E21=H21,"yes","no")</f>
        <v>yes</v>
      </c>
      <c r="K21" s="12" t="n">
        <f aca="false">IF(AND(ISNUMBER(F21),ISNUMBER(G21)),F21/G21-1,"")</f>
        <v>0</v>
      </c>
    </row>
    <row r="22" customFormat="false" ht="15" hidden="false" customHeight="false" outlineLevel="0" collapsed="false">
      <c r="A22" s="7" t="s">
        <v>162</v>
      </c>
      <c r="B22" s="7" t="s">
        <v>42</v>
      </c>
      <c r="C22" s="7" t="s">
        <v>163</v>
      </c>
      <c r="D22" s="8" t="n">
        <v>14</v>
      </c>
      <c r="E22" s="7" t="s">
        <v>164</v>
      </c>
      <c r="F22" s="9" t="n">
        <v>6.98039711038764</v>
      </c>
      <c r="G22" s="9" t="n">
        <v>6.98039711038764</v>
      </c>
      <c r="H22" s="7" t="s">
        <v>164</v>
      </c>
      <c r="I22" s="9" t="n">
        <v>6.98039711038764</v>
      </c>
      <c r="J22" s="7" t="str">
        <f aca="false">IF(E22=H22,"yes","no")</f>
        <v>yes</v>
      </c>
      <c r="K22" s="12" t="n">
        <f aca="false">IF(AND(ISNUMBER(F22),ISNUMBER(G22)),F22/G22-1,"")</f>
        <v>0</v>
      </c>
    </row>
    <row r="23" customFormat="false" ht="15" hidden="false" customHeight="false" outlineLevel="0" collapsed="false">
      <c r="A23" s="7" t="s">
        <v>168</v>
      </c>
      <c r="B23" s="7" t="s">
        <v>49</v>
      </c>
      <c r="C23" s="7" t="s">
        <v>169</v>
      </c>
      <c r="D23" s="8" t="n">
        <v>7</v>
      </c>
      <c r="E23" s="7" t="s">
        <v>170</v>
      </c>
      <c r="F23" s="9" t="n">
        <v>5.39940121223242</v>
      </c>
      <c r="G23" s="9" t="n">
        <v>5.39940121223242</v>
      </c>
      <c r="H23" s="7" t="s">
        <v>170</v>
      </c>
      <c r="I23" s="9" t="n">
        <v>5.39940121223242</v>
      </c>
      <c r="J23" s="7" t="str">
        <f aca="false">IF(E23=H23,"yes","no")</f>
        <v>yes</v>
      </c>
      <c r="K23" s="12" t="n">
        <f aca="false">IF(AND(ISNUMBER(F23),ISNUMBER(G23)),F23/G23-1,"")</f>
        <v>0</v>
      </c>
    </row>
    <row r="24" customFormat="false" ht="15" hidden="false" customHeight="false" outlineLevel="0" collapsed="false">
      <c r="A24" s="7" t="s">
        <v>173</v>
      </c>
      <c r="B24" s="7" t="s">
        <v>56</v>
      </c>
      <c r="C24" s="7" t="s">
        <v>174</v>
      </c>
      <c r="D24" s="8" t="n">
        <v>11</v>
      </c>
      <c r="E24" s="7" t="s">
        <v>175</v>
      </c>
      <c r="F24" s="9" t="n">
        <v>4.58043095111302</v>
      </c>
      <c r="G24" s="9" t="n">
        <v>4.58043095111302</v>
      </c>
      <c r="H24" s="7" t="s">
        <v>175</v>
      </c>
      <c r="I24" s="9" t="n">
        <v>4.58043095111302</v>
      </c>
      <c r="J24" s="7" t="str">
        <f aca="false">IF(E24=H24,"yes","no")</f>
        <v>yes</v>
      </c>
      <c r="K24" s="12" t="n">
        <f aca="false">IF(AND(ISNUMBER(F24),ISNUMBER(G24)),F24/G24-1,"")</f>
        <v>0</v>
      </c>
    </row>
    <row r="25" customFormat="false" ht="15" hidden="false" customHeight="false" outlineLevel="0" collapsed="false">
      <c r="A25" s="7" t="s">
        <v>178</v>
      </c>
      <c r="B25" s="7" t="s">
        <v>63</v>
      </c>
      <c r="C25" s="7" t="s">
        <v>179</v>
      </c>
      <c r="D25" s="8" t="n">
        <v>9</v>
      </c>
      <c r="E25" s="7" t="s">
        <v>180</v>
      </c>
      <c r="F25" s="9" t="n">
        <v>2.65922917843824</v>
      </c>
      <c r="G25" s="9" t="n">
        <v>2.65922917843824</v>
      </c>
      <c r="H25" s="7" t="s">
        <v>180</v>
      </c>
      <c r="I25" s="9" t="n">
        <v>2.65922917843824</v>
      </c>
      <c r="J25" s="7" t="str">
        <f aca="false">IF(E25=H25,"yes","no")</f>
        <v>yes</v>
      </c>
      <c r="K25" s="12" t="n">
        <f aca="false">IF(AND(ISNUMBER(F25),ISNUMBER(G25)),F25/G25-1,"")</f>
        <v>0</v>
      </c>
    </row>
    <row r="26" customFormat="false" ht="15" hidden="false" customHeight="false" outlineLevel="0" collapsed="false">
      <c r="A26" s="7" t="s">
        <v>184</v>
      </c>
      <c r="B26" s="7" t="s">
        <v>70</v>
      </c>
      <c r="C26" s="7" t="s">
        <v>185</v>
      </c>
      <c r="D26" s="8" t="n">
        <v>4</v>
      </c>
      <c r="E26" s="7" t="s">
        <v>186</v>
      </c>
      <c r="F26" s="9" t="n">
        <v>3.05873719651781</v>
      </c>
      <c r="G26" s="9" t="n">
        <v>3.05873719651781</v>
      </c>
      <c r="H26" s="7" t="s">
        <v>186</v>
      </c>
      <c r="I26" s="9" t="n">
        <v>3.05873719651781</v>
      </c>
      <c r="J26" s="7" t="str">
        <f aca="false">IF(E26=H26,"yes","no")</f>
        <v>yes</v>
      </c>
      <c r="K26" s="12" t="n">
        <f aca="false">IF(AND(ISNUMBER(F26),ISNUMBER(G26)),F26/G26-1,"")</f>
        <v>0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14</v>
      </c>
      <c r="E27" s="7" t="s">
        <v>191</v>
      </c>
      <c r="F27" s="9" t="n">
        <v>3.56755407122095</v>
      </c>
      <c r="G27" s="9" t="n">
        <v>3.56755407122095</v>
      </c>
      <c r="H27" s="7" t="s">
        <v>191</v>
      </c>
      <c r="I27" s="9" t="n">
        <v>3.56755407122095</v>
      </c>
      <c r="J27" s="7" t="str">
        <f aca="false">IF(E27=H27,"yes","no")</f>
        <v>yes</v>
      </c>
      <c r="K27" s="12" t="n">
        <f aca="false">IF(AND(ISNUMBER(F27),ISNUMBER(G27)),F27/G27-1,"")</f>
        <v>0</v>
      </c>
    </row>
    <row r="28" customFormat="false" ht="15" hidden="false" customHeight="false" outlineLevel="0" collapsed="false">
      <c r="A28" s="7" t="s">
        <v>193</v>
      </c>
      <c r="B28" s="7" t="s">
        <v>194</v>
      </c>
      <c r="C28" s="7" t="s">
        <v>195</v>
      </c>
      <c r="D28" s="8" t="n">
        <v>10</v>
      </c>
      <c r="E28" s="7" t="s">
        <v>196</v>
      </c>
      <c r="F28" s="9" t="n">
        <v>3.50760964899785</v>
      </c>
      <c r="G28" s="9" t="n">
        <v>3.50760964899785</v>
      </c>
      <c r="H28" s="7" t="s">
        <v>196</v>
      </c>
      <c r="I28" s="9" t="n">
        <v>3.50760964899785</v>
      </c>
      <c r="J28" s="7" t="str">
        <f aca="false">IF(E28=H28,"yes","no")</f>
        <v>yes</v>
      </c>
      <c r="K28" s="12" t="n">
        <f aca="false">IF(AND(ISNUMBER(F28),ISNUMBER(G28)),F28/G28-1,"")</f>
        <v>0</v>
      </c>
    </row>
    <row r="29" customFormat="false" ht="15" hidden="false" customHeight="false" outlineLevel="0" collapsed="false">
      <c r="A29" s="7" t="s">
        <v>200</v>
      </c>
      <c r="B29" s="7" t="s">
        <v>49</v>
      </c>
      <c r="C29" s="7" t="s">
        <v>201</v>
      </c>
      <c r="D29" s="8" t="n">
        <v>11</v>
      </c>
      <c r="E29" s="7" t="s">
        <v>202</v>
      </c>
      <c r="F29" s="9" t="n">
        <v>4.44762115301633</v>
      </c>
      <c r="G29" s="9" t="n">
        <v>4.44762115301633</v>
      </c>
      <c r="H29" s="7" t="s">
        <v>202</v>
      </c>
      <c r="I29" s="9" t="n">
        <v>4.44762115301633</v>
      </c>
      <c r="J29" s="7" t="str">
        <f aca="false">IF(E29=H29,"yes","no")</f>
        <v>yes</v>
      </c>
      <c r="K29" s="12" t="n">
        <f aca="false">IF(AND(ISNUMBER(F29),ISNUMBER(G29)),F29/G29-1,"")</f>
        <v>0</v>
      </c>
    </row>
    <row r="30" customFormat="false" ht="15" hidden="false" customHeight="false" outlineLevel="0" collapsed="false">
      <c r="A30" s="7" t="s">
        <v>206</v>
      </c>
      <c r="B30" s="7" t="s">
        <v>56</v>
      </c>
      <c r="C30" s="7" t="s">
        <v>207</v>
      </c>
      <c r="D30" s="8" t="n">
        <v>4</v>
      </c>
      <c r="E30" s="7" t="s">
        <v>208</v>
      </c>
      <c r="F30" s="9" t="n">
        <v>1.86625935497548</v>
      </c>
      <c r="G30" s="9" t="n">
        <v>1.86625935497548</v>
      </c>
      <c r="H30" s="7" t="s">
        <v>208</v>
      </c>
      <c r="I30" s="9" t="n">
        <v>1.86625935497548</v>
      </c>
      <c r="J30" s="7" t="str">
        <f aca="false">IF(E30=H30,"yes","no")</f>
        <v>yes</v>
      </c>
      <c r="K30" s="12" t="n">
        <f aca="false">IF(AND(ISNUMBER(F30),ISNUMBER(G30)),F30/G30-1,"")</f>
        <v>0</v>
      </c>
    </row>
    <row r="31" customFormat="false" ht="15" hidden="false" customHeight="false" outlineLevel="0" collapsed="false">
      <c r="A31" s="7" t="s">
        <v>212</v>
      </c>
      <c r="B31" s="7" t="s">
        <v>63</v>
      </c>
      <c r="C31" s="7" t="s">
        <v>213</v>
      </c>
      <c r="D31" s="8" t="n">
        <v>8</v>
      </c>
      <c r="E31" s="7" t="s">
        <v>214</v>
      </c>
      <c r="F31" s="9" t="n">
        <v>5.6681008366391</v>
      </c>
      <c r="G31" s="9" t="n">
        <v>5.6681008366391</v>
      </c>
      <c r="H31" s="7" t="s">
        <v>214</v>
      </c>
      <c r="I31" s="9" t="n">
        <v>5.6681008366391</v>
      </c>
      <c r="J31" s="7" t="str">
        <f aca="false">IF(E31=H31,"yes","no")</f>
        <v>yes</v>
      </c>
      <c r="K31" s="12" t="n">
        <f aca="false">IF(AND(ISNUMBER(F31),ISNUMBER(G31)),F31/G31-1,"")</f>
        <v>0</v>
      </c>
    </row>
    <row r="32" customFormat="false" ht="15" hidden="false" customHeight="false" outlineLevel="0" collapsed="false">
      <c r="A32" s="7" t="s">
        <v>217</v>
      </c>
      <c r="B32" s="7" t="s">
        <v>70</v>
      </c>
      <c r="C32" s="7" t="s">
        <v>218</v>
      </c>
      <c r="D32" s="8" t="n">
        <v>7</v>
      </c>
      <c r="E32" s="7" t="s">
        <v>219</v>
      </c>
      <c r="F32" s="9" t="n">
        <v>2.91883614264486</v>
      </c>
      <c r="G32" s="9" t="n">
        <v>2.91883614264486</v>
      </c>
      <c r="H32" s="7" t="s">
        <v>219</v>
      </c>
      <c r="I32" s="9" t="n">
        <v>2.91883614264486</v>
      </c>
      <c r="J32" s="7" t="str">
        <f aca="false">IF(E32=H32,"yes","no")</f>
        <v>yes</v>
      </c>
      <c r="K32" s="12" t="n">
        <f aca="false">IF(AND(ISNUMBER(F32),ISNUMBER(G32)),F32/G32-1,"")</f>
        <v>0</v>
      </c>
    </row>
    <row r="33" customFormat="false" ht="15" hidden="false" customHeight="false" outlineLevel="0" collapsed="false">
      <c r="A33" s="7" t="s">
        <v>223</v>
      </c>
      <c r="B33" s="7" t="s">
        <v>42</v>
      </c>
      <c r="C33" s="7" t="s">
        <v>224</v>
      </c>
      <c r="D33" s="8" t="n">
        <v>14</v>
      </c>
      <c r="E33" s="7" t="s">
        <v>225</v>
      </c>
      <c r="F33" s="9" t="n">
        <v>4.44502883147623</v>
      </c>
      <c r="G33" s="9" t="n">
        <v>4.44502883147623</v>
      </c>
      <c r="H33" s="7" t="s">
        <v>225</v>
      </c>
      <c r="I33" s="9" t="n">
        <v>4.44502883147623</v>
      </c>
      <c r="J33" s="7" t="str">
        <f aca="false">IF(E33=H33,"yes","no")</f>
        <v>yes</v>
      </c>
      <c r="K33" s="12" t="n">
        <f aca="false">IF(AND(ISNUMBER(F33),ISNUMBER(G33)),F33/G33-1,"")</f>
        <v>0</v>
      </c>
    </row>
    <row r="34" customFormat="false" ht="15" hidden="false" customHeight="false" outlineLevel="0" collapsed="false">
      <c r="A34" s="7" t="s">
        <v>228</v>
      </c>
      <c r="B34" s="7" t="s">
        <v>194</v>
      </c>
      <c r="C34" s="7" t="s">
        <v>229</v>
      </c>
      <c r="D34" s="8" t="n">
        <v>11</v>
      </c>
      <c r="E34" s="7" t="s">
        <v>230</v>
      </c>
      <c r="F34" s="9" t="n">
        <v>3.61752534050232</v>
      </c>
      <c r="G34" s="9" t="n">
        <v>3.61752534050232</v>
      </c>
      <c r="H34" s="7" t="s">
        <v>230</v>
      </c>
      <c r="I34" s="9" t="n">
        <v>3.61752534050232</v>
      </c>
      <c r="J34" s="7" t="str">
        <f aca="false">IF(E34=H34,"yes","no")</f>
        <v>yes</v>
      </c>
      <c r="K34" s="12" t="n">
        <f aca="false">IF(AND(ISNUMBER(F34),ISNUMBER(G34)),F34/G34-1,"")</f>
        <v>0</v>
      </c>
    </row>
    <row r="35" customFormat="false" ht="15" hidden="false" customHeight="false" outlineLevel="0" collapsed="false">
      <c r="A35" s="7" t="s">
        <v>234</v>
      </c>
      <c r="B35" s="7" t="s">
        <v>49</v>
      </c>
      <c r="C35" s="7" t="s">
        <v>235</v>
      </c>
      <c r="D35" s="8" t="n">
        <v>8</v>
      </c>
      <c r="E35" s="7" t="s">
        <v>236</v>
      </c>
      <c r="F35" s="9" t="n">
        <v>3.12421020571934</v>
      </c>
      <c r="G35" s="9" t="n">
        <v>3.12421020571934</v>
      </c>
      <c r="H35" s="7" t="s">
        <v>236</v>
      </c>
      <c r="I35" s="9" t="n">
        <v>3.12421020571934</v>
      </c>
      <c r="J35" s="7" t="str">
        <f aca="false">IF(E35=H35,"yes","no")</f>
        <v>yes</v>
      </c>
      <c r="K35" s="12" t="n">
        <f aca="false">IF(AND(ISNUMBER(F35),ISNUMBER(G35)),F35/G35-1,"")</f>
        <v>0</v>
      </c>
    </row>
    <row r="36" customFormat="false" ht="15" hidden="false" customHeight="false" outlineLevel="0" collapsed="false">
      <c r="A36" s="7" t="s">
        <v>240</v>
      </c>
      <c r="B36" s="7" t="s">
        <v>56</v>
      </c>
      <c r="C36" s="7" t="s">
        <v>241</v>
      </c>
      <c r="D36" s="8" t="n">
        <v>10</v>
      </c>
      <c r="E36" s="7" t="s">
        <v>242</v>
      </c>
      <c r="F36" s="9" t="n">
        <v>4.10679719677629</v>
      </c>
      <c r="G36" s="9" t="n">
        <v>4.10679719677629</v>
      </c>
      <c r="H36" s="7" t="s">
        <v>242</v>
      </c>
      <c r="I36" s="9" t="n">
        <v>4.10679719677629</v>
      </c>
      <c r="J36" s="7" t="str">
        <f aca="false">IF(E36=H36,"yes","no")</f>
        <v>yes</v>
      </c>
      <c r="K36" s="12" t="n">
        <f aca="false">IF(AND(ISNUMBER(F36),ISNUMBER(G36)),F36/G36-1,"")</f>
        <v>0</v>
      </c>
    </row>
    <row r="37" customFormat="false" ht="15" hidden="false" customHeight="false" outlineLevel="0" collapsed="false">
      <c r="A37" s="7" t="s">
        <v>246</v>
      </c>
      <c r="B37" s="7" t="s">
        <v>63</v>
      </c>
      <c r="C37" s="7" t="s">
        <v>247</v>
      </c>
      <c r="D37" s="8" t="n">
        <v>10</v>
      </c>
      <c r="E37" s="7" t="s">
        <v>248</v>
      </c>
      <c r="F37" s="9" t="n">
        <v>4.53387886655576</v>
      </c>
      <c r="G37" s="9" t="n">
        <v>4.53387886655576</v>
      </c>
      <c r="H37" s="7" t="s">
        <v>248</v>
      </c>
      <c r="I37" s="9" t="n">
        <v>4.53387886655576</v>
      </c>
      <c r="J37" s="7" t="str">
        <f aca="false">IF(E37=H37,"yes","no")</f>
        <v>yes</v>
      </c>
      <c r="K37" s="12" t="n">
        <f aca="false">IF(AND(ISNUMBER(F37),ISNUMBER(G37)),F37/G37-1,"")</f>
        <v>0</v>
      </c>
    </row>
    <row r="38" customFormat="false" ht="15" hidden="false" customHeight="false" outlineLevel="0" collapsed="false">
      <c r="A38" s="7" t="s">
        <v>252</v>
      </c>
      <c r="B38" s="7" t="s">
        <v>42</v>
      </c>
      <c r="C38" s="7" t="s">
        <v>253</v>
      </c>
      <c r="D38" s="8" t="n">
        <v>14</v>
      </c>
      <c r="E38" s="7" t="s">
        <v>254</v>
      </c>
      <c r="F38" s="9" t="n">
        <v>5.12959306220176</v>
      </c>
      <c r="G38" s="9" t="n">
        <v>5.12959306220176</v>
      </c>
      <c r="H38" s="7" t="s">
        <v>254</v>
      </c>
      <c r="I38" s="9" t="n">
        <v>5.12959306220176</v>
      </c>
      <c r="J38" s="7" t="str">
        <f aca="false">IF(E38=H38,"yes","no")</f>
        <v>yes</v>
      </c>
      <c r="K38" s="12" t="n">
        <f aca="false">IF(AND(ISNUMBER(F38),ISNUMBER(G38)),F38/G38-1,"")</f>
        <v>0</v>
      </c>
    </row>
    <row r="39" customFormat="false" ht="15" hidden="false" customHeight="false" outlineLevel="0" collapsed="false">
      <c r="A39" s="7" t="s">
        <v>258</v>
      </c>
      <c r="B39" s="7" t="s">
        <v>194</v>
      </c>
      <c r="C39" s="7" t="s">
        <v>259</v>
      </c>
      <c r="D39" s="8" t="n">
        <v>7</v>
      </c>
      <c r="E39" s="7" t="s">
        <v>260</v>
      </c>
      <c r="F39" s="9" t="n">
        <v>1.81072639282478</v>
      </c>
      <c r="G39" s="9" t="n">
        <v>1.81072639282478</v>
      </c>
      <c r="H39" s="7" t="s">
        <v>260</v>
      </c>
      <c r="I39" s="9" t="n">
        <v>1.81072639282478</v>
      </c>
      <c r="J39" s="7" t="str">
        <f aca="false">IF(E39=H39,"yes","no")</f>
        <v>yes</v>
      </c>
      <c r="K39" s="12" t="n">
        <f aca="false">IF(AND(ISNUMBER(F39),ISNUMBER(G39)),F39/G39-1,"")</f>
        <v>0</v>
      </c>
    </row>
    <row r="40" customFormat="false" ht="15" hidden="false" customHeight="false" outlineLevel="0" collapsed="false">
      <c r="A40" s="7" t="s">
        <v>264</v>
      </c>
      <c r="B40" s="7" t="s">
        <v>56</v>
      </c>
      <c r="C40" s="7" t="s">
        <v>265</v>
      </c>
      <c r="D40" s="8" t="n">
        <v>16</v>
      </c>
      <c r="E40" s="7" t="s">
        <v>266</v>
      </c>
      <c r="F40" s="9" t="n">
        <v>3.57316552697531</v>
      </c>
      <c r="G40" s="9" t="n">
        <v>3.57316552697531</v>
      </c>
      <c r="H40" s="7" t="s">
        <v>266</v>
      </c>
      <c r="I40" s="9" t="n">
        <v>3.57316552697531</v>
      </c>
      <c r="J40" s="7" t="str">
        <f aca="false">IF(E40=H40,"yes","no")</f>
        <v>yes</v>
      </c>
      <c r="K40" s="12" t="n">
        <f aca="false">IF(AND(ISNUMBER(F40),ISNUMBER(G40)),F40/G40-1,"")</f>
        <v>0</v>
      </c>
    </row>
    <row r="41" customFormat="false" ht="15" hidden="false" customHeight="false" outlineLevel="0" collapsed="false">
      <c r="A41" s="7" t="s">
        <v>269</v>
      </c>
      <c r="B41" s="7" t="s">
        <v>194</v>
      </c>
      <c r="C41" s="7" t="s">
        <v>270</v>
      </c>
      <c r="D41" s="8" t="n">
        <v>11</v>
      </c>
      <c r="E41" s="7" t="s">
        <v>271</v>
      </c>
      <c r="F41" s="9" t="n">
        <v>2.23822109169002</v>
      </c>
      <c r="G41" s="9" t="n">
        <v>2.23822109169002</v>
      </c>
      <c r="H41" s="7" t="s">
        <v>271</v>
      </c>
      <c r="I41" s="9" t="n">
        <v>2.23822109169002</v>
      </c>
      <c r="J41" s="7" t="str">
        <f aca="false">IF(E41=H41,"yes","no")</f>
        <v>yes</v>
      </c>
      <c r="K41" s="12" t="n">
        <f aca="false">IF(AND(ISNUMBER(F41),ISNUMBER(G41)),F41/G41-1,"")</f>
        <v>0</v>
      </c>
    </row>
    <row r="42" customFormat="false" ht="15" hidden="false" customHeight="false" outlineLevel="0" collapsed="false">
      <c r="A42" s="7" t="s">
        <v>274</v>
      </c>
      <c r="B42" s="7" t="s">
        <v>194</v>
      </c>
      <c r="C42" s="7" t="s">
        <v>275</v>
      </c>
      <c r="D42" s="8" t="n">
        <v>11</v>
      </c>
      <c r="E42" s="7" t="s">
        <v>276</v>
      </c>
      <c r="F42" s="9" t="n">
        <v>4.55911037415167</v>
      </c>
      <c r="G42" s="9" t="n">
        <v>4.55911037415167</v>
      </c>
      <c r="H42" s="7" t="s">
        <v>276</v>
      </c>
      <c r="I42" s="9" t="n">
        <v>4.55911037415167</v>
      </c>
      <c r="J42" s="7" t="str">
        <f aca="false">IF(E42=H42,"yes","no")</f>
        <v>yes</v>
      </c>
      <c r="K42" s="12" t="n">
        <f aca="false">IF(AND(ISNUMBER(F42),ISNUMBER(G42)),F42/G42-1,"")</f>
        <v>0</v>
      </c>
    </row>
    <row r="43" customFormat="false" ht="15" hidden="false" customHeight="false" outlineLevel="0" collapsed="false">
      <c r="A43" s="7" t="s">
        <v>280</v>
      </c>
      <c r="B43" s="7" t="s">
        <v>194</v>
      </c>
      <c r="C43" s="7" t="s">
        <v>281</v>
      </c>
      <c r="D43" s="8" t="n">
        <v>10</v>
      </c>
      <c r="E43" s="7" t="s">
        <v>282</v>
      </c>
      <c r="F43" s="9" t="n">
        <v>2.18383223287161</v>
      </c>
      <c r="G43" s="9" t="n">
        <v>2.18383223287161</v>
      </c>
      <c r="H43" s="7" t="s">
        <v>282</v>
      </c>
      <c r="I43" s="9" t="n">
        <v>2.18383223287161</v>
      </c>
      <c r="J43" s="7" t="str">
        <f aca="false">IF(E43=H43,"yes","no")</f>
        <v>yes</v>
      </c>
      <c r="K43" s="12" t="n">
        <f aca="false">IF(AND(ISNUMBER(F43),ISNUMBER(G43)),F43/G43-1,"")</f>
        <v>0</v>
      </c>
    </row>
    <row r="44" customFormat="false" ht="15" hidden="false" customHeight="false" outlineLevel="0" collapsed="false">
      <c r="A44" s="7" t="s">
        <v>286</v>
      </c>
      <c r="B44" s="7" t="s">
        <v>194</v>
      </c>
      <c r="C44" s="7" t="s">
        <v>287</v>
      </c>
      <c r="D44" s="8" t="n">
        <v>12</v>
      </c>
      <c r="E44" s="7" t="s">
        <v>288</v>
      </c>
      <c r="F44" s="9" t="n">
        <v>4.18919945043193</v>
      </c>
      <c r="G44" s="9" t="n">
        <v>4.18919945043193</v>
      </c>
      <c r="H44" s="7" t="s">
        <v>288</v>
      </c>
      <c r="I44" s="9" t="n">
        <v>4.18919945043193</v>
      </c>
      <c r="J44" s="7" t="str">
        <f aca="false">IF(E44=H44,"yes","no")</f>
        <v>yes</v>
      </c>
      <c r="K44" s="12" t="n">
        <f aca="false">IF(AND(ISNUMBER(F44),ISNUMBER(G44)),F44/G44-1,"")</f>
        <v>0</v>
      </c>
    </row>
    <row r="45" customFormat="false" ht="15" hidden="false" customHeight="false" outlineLevel="0" collapsed="false">
      <c r="A45" s="7" t="s">
        <v>291</v>
      </c>
      <c r="B45" s="7" t="s">
        <v>194</v>
      </c>
      <c r="C45" s="7" t="s">
        <v>292</v>
      </c>
      <c r="D45" s="8" t="n">
        <v>8</v>
      </c>
      <c r="E45" s="7" t="s">
        <v>293</v>
      </c>
      <c r="F45" s="9" t="n">
        <v>3.93299965613433</v>
      </c>
      <c r="G45" s="9" t="n">
        <v>3.93299965613433</v>
      </c>
      <c r="H45" s="7" t="s">
        <v>293</v>
      </c>
      <c r="I45" s="9" t="n">
        <v>3.93299965613433</v>
      </c>
      <c r="J45" s="7" t="str">
        <f aca="false">IF(E45=H45,"yes","no")</f>
        <v>yes</v>
      </c>
      <c r="K45" s="12" t="n">
        <f aca="false">IF(AND(ISNUMBER(F45),ISNUMBER(G45)),F45/G45-1,"")</f>
        <v>0</v>
      </c>
    </row>
    <row r="46" customFormat="false" ht="15" hidden="false" customHeight="false" outlineLevel="0" collapsed="false">
      <c r="A46" s="7" t="s">
        <v>297</v>
      </c>
      <c r="B46" s="7" t="s">
        <v>194</v>
      </c>
      <c r="C46" s="7" t="s">
        <v>298</v>
      </c>
      <c r="D46" s="8" t="n">
        <v>11</v>
      </c>
      <c r="E46" s="7" t="s">
        <v>299</v>
      </c>
      <c r="F46" s="9" t="n">
        <v>3.18567540849695</v>
      </c>
      <c r="G46" s="9" t="n">
        <v>3.18567540849695</v>
      </c>
      <c r="H46" s="7" t="s">
        <v>299</v>
      </c>
      <c r="I46" s="9" t="n">
        <v>3.18567540849695</v>
      </c>
      <c r="J46" s="7" t="str">
        <f aca="false">IF(E46=H46,"yes","no")</f>
        <v>yes</v>
      </c>
      <c r="K46" s="12" t="n">
        <f aca="false">IF(AND(ISNUMBER(F46),ISNUMBER(G46)),F46/G46-1,"")</f>
        <v>0</v>
      </c>
    </row>
    <row r="48" customFormat="false" ht="15" hidden="false" customHeight="false" outlineLevel="0" collapsed="false">
      <c r="A48" s="13" t="s">
        <v>348</v>
      </c>
      <c r="E48" s="7" t="str">
        <f aca="false">COUNTIF(J2:J46,"yes")&amp;" of "&amp;COUNTA(J2:J46)</f>
        <v>45 of 45</v>
      </c>
    </row>
    <row r="49" customFormat="false" ht="15" hidden="false" customHeight="false" outlineLevel="0" collapsed="false">
      <c r="A49" s="14" t="s">
        <v>349</v>
      </c>
    </row>
  </sheetData>
  <autoFilter ref="A1:K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41</v>
      </c>
      <c r="B2" s="15" t="s">
        <v>42</v>
      </c>
      <c r="C2" s="15" t="s">
        <v>43</v>
      </c>
      <c r="D2" s="15"/>
      <c r="E2" s="16" t="n">
        <v>5</v>
      </c>
      <c r="F2" s="15" t="s">
        <v>357</v>
      </c>
      <c r="G2" s="8" t="n">
        <v>6</v>
      </c>
      <c r="H2" s="15" t="s">
        <v>44</v>
      </c>
      <c r="I2" s="15" t="s">
        <v>45</v>
      </c>
      <c r="J2" s="15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2.21476755873419</v>
      </c>
      <c r="Q2" s="10" t="n">
        <v>0.451514650400394</v>
      </c>
      <c r="R2" s="9" t="n">
        <v>1.8</v>
      </c>
      <c r="S2" s="12" t="n">
        <f aca="false">IF(AND(ISNUMBER(R2),R2&gt;1,P2&gt;0),R2/P2-1,"")</f>
        <v>-0.18727362927929</v>
      </c>
      <c r="T2" s="9" t="n">
        <f aca="false">IF(AND(ISNUMBER(P2),P2&gt;0),P2*EXP('Read me'!$B$22),"")</f>
        <v>2.7051232049216</v>
      </c>
    </row>
    <row r="3" customFormat="false" ht="15" hidden="false" customHeight="false" outlineLevel="0" collapsed="false">
      <c r="A3" s="15" t="s">
        <v>41</v>
      </c>
      <c r="B3" s="15" t="s">
        <v>42</v>
      </c>
      <c r="C3" s="15" t="s">
        <v>43</v>
      </c>
      <c r="D3" s="15"/>
      <c r="E3" s="16" t="n">
        <v>5</v>
      </c>
      <c r="F3" s="15" t="s">
        <v>357</v>
      </c>
      <c r="G3" s="8" t="n">
        <v>6</v>
      </c>
      <c r="H3" s="15" t="s">
        <v>47</v>
      </c>
      <c r="I3" s="15" t="s">
        <v>358</v>
      </c>
      <c r="J3" s="15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4.35968751963818</v>
      </c>
      <c r="Q3" s="10" t="n">
        <v>0.229374237372635</v>
      </c>
      <c r="R3" s="9" t="n">
        <v>4.33333333333333</v>
      </c>
      <c r="S3" s="12" t="n">
        <f aca="false">IF(AND(ISNUMBER(R3),R3&gt;1,P3&gt;0),R3/P3-1,"")</f>
        <v>-0.00604497138525018</v>
      </c>
      <c r="T3" s="9" t="n">
        <f aca="false">IF(AND(ISNUMBER(P3),P3&gt;0),P3*EXP('Read me'!$B$22),"")</f>
        <v>5.32493436120254</v>
      </c>
    </row>
    <row r="4" customFormat="false" ht="15" hidden="false" customHeight="false" outlineLevel="0" collapsed="false">
      <c r="A4" s="15" t="s">
        <v>41</v>
      </c>
      <c r="B4" s="15" t="s">
        <v>42</v>
      </c>
      <c r="C4" s="15" t="s">
        <v>43</v>
      </c>
      <c r="D4" s="15"/>
      <c r="E4" s="16" t="n">
        <v>5</v>
      </c>
      <c r="F4" s="15" t="s">
        <v>357</v>
      </c>
      <c r="G4" s="8" t="n">
        <v>6</v>
      </c>
      <c r="H4" s="15" t="s">
        <v>359</v>
      </c>
      <c r="I4" s="15" t="s">
        <v>226</v>
      </c>
      <c r="J4" s="15" t="s">
        <v>360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5.93406237530364</v>
      </c>
      <c r="Q4" s="10" t="n">
        <v>0.168518619582058</v>
      </c>
      <c r="R4" s="9" t="n">
        <v>6</v>
      </c>
      <c r="S4" s="12" t="n">
        <f aca="false">IF(AND(ISNUMBER(R4),R4&gt;1,P4&gt;0),R4/P4-1,"")</f>
        <v>0.0111117174923503</v>
      </c>
      <c r="T4" s="9" t="n">
        <f aca="false">IF(AND(ISNUMBER(P4),P4&gt;0),P4*EXP('Read me'!$B$22),"")</f>
        <v>7.24788015229036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/>
      <c r="E5" s="16" t="n">
        <v>5</v>
      </c>
      <c r="F5" s="15" t="s">
        <v>357</v>
      </c>
      <c r="G5" s="8" t="n">
        <v>6</v>
      </c>
      <c r="H5" s="15" t="s">
        <v>361</v>
      </c>
      <c r="I5" s="15" t="s">
        <v>362</v>
      </c>
      <c r="J5" s="15" t="s">
        <v>363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15.3025086937451</v>
      </c>
      <c r="Q5" s="10" t="n">
        <v>0.0653487620894965</v>
      </c>
      <c r="R5" s="9" t="n">
        <v>13</v>
      </c>
      <c r="S5" s="12" t="n">
        <f aca="false">IF(AND(ISNUMBER(R5),R5&gt;1,P5&gt;0),R5/P5-1,"")</f>
        <v>-0.150466092836545</v>
      </c>
      <c r="T5" s="9" t="n">
        <f aca="false">IF(AND(ISNUMBER(P5),P5&gt;0),P5*EXP('Read me'!$B$22),"")</f>
        <v>18.6905263253102</v>
      </c>
    </row>
    <row r="6" customFormat="false" ht="15" hidden="false" customHeight="false" outlineLevel="0" collapsed="false">
      <c r="A6" s="15" t="s">
        <v>41</v>
      </c>
      <c r="B6" s="15" t="s">
        <v>42</v>
      </c>
      <c r="C6" s="15" t="s">
        <v>43</v>
      </c>
      <c r="D6" s="15"/>
      <c r="E6" s="16" t="n">
        <v>5</v>
      </c>
      <c r="F6" s="15" t="s">
        <v>357</v>
      </c>
      <c r="G6" s="8" t="n">
        <v>6</v>
      </c>
      <c r="H6" s="15" t="s">
        <v>364</v>
      </c>
      <c r="I6" s="15" t="s">
        <v>365</v>
      </c>
      <c r="J6" s="15" t="s">
        <v>366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19.3433441442301</v>
      </c>
      <c r="Q6" s="10" t="n">
        <v>0.0516973690042261</v>
      </c>
      <c r="R6" s="9" t="n">
        <v>19</v>
      </c>
      <c r="S6" s="12" t="n">
        <f aca="false">IF(AND(ISNUMBER(R6),R6&gt;1,P6&gt;0),R6/P6-1,"")</f>
        <v>-0.0177499889197041</v>
      </c>
      <c r="T6" s="9" t="n">
        <f aca="false">IF(AND(ISNUMBER(P6),P6&gt;0),P6*EXP('Read me'!$B$22),"")</f>
        <v>23.626013889804</v>
      </c>
    </row>
    <row r="7" customFormat="false" ht="15" hidden="false" customHeight="false" outlineLevel="0" collapsed="false">
      <c r="A7" s="15" t="s">
        <v>41</v>
      </c>
      <c r="B7" s="15" t="s">
        <v>42</v>
      </c>
      <c r="C7" s="15" t="s">
        <v>43</v>
      </c>
      <c r="D7" s="15"/>
      <c r="E7" s="16" t="n">
        <v>5</v>
      </c>
      <c r="F7" s="15" t="s">
        <v>357</v>
      </c>
      <c r="G7" s="8" t="n">
        <v>6</v>
      </c>
      <c r="H7" s="15" t="s">
        <v>367</v>
      </c>
      <c r="I7" s="15" t="s">
        <v>368</v>
      </c>
      <c r="J7" s="15" t="s">
        <v>369</v>
      </c>
      <c r="K7" s="8" t="n">
        <v>5</v>
      </c>
      <c r="L7" s="8" t="n">
        <v>58</v>
      </c>
      <c r="M7" s="8" t="n">
        <v>2</v>
      </c>
      <c r="N7" s="8" t="n">
        <v>11</v>
      </c>
      <c r="O7" s="8" t="n">
        <v>6</v>
      </c>
      <c r="P7" s="9" t="n">
        <v>29.8094921106137</v>
      </c>
      <c r="Q7" s="10" t="n">
        <v>0.0335463615511902</v>
      </c>
      <c r="R7" s="9" t="n">
        <v>23</v>
      </c>
      <c r="S7" s="12" t="n">
        <f aca="false">IF(AND(ISNUMBER(R7),R7&gt;1,P7&gt;0),R7/P7-1,"")</f>
        <v>-0.228433684322623</v>
      </c>
      <c r="T7" s="9" t="n">
        <f aca="false">IF(AND(ISNUMBER(P7),P7&gt;0),P7*EXP('Read me'!$B$22),"")</f>
        <v>36.4093958832573</v>
      </c>
    </row>
    <row r="8" customFormat="false" ht="15" hidden="false" customHeight="false" outlineLevel="0" collapsed="false">
      <c r="A8" s="15" t="s">
        <v>48</v>
      </c>
      <c r="B8" s="15" t="s">
        <v>49</v>
      </c>
      <c r="C8" s="15" t="s">
        <v>50</v>
      </c>
      <c r="D8" s="15" t="s">
        <v>370</v>
      </c>
      <c r="E8" s="16"/>
      <c r="F8" s="15" t="s">
        <v>371</v>
      </c>
      <c r="G8" s="8" t="n">
        <v>10</v>
      </c>
      <c r="H8" s="15" t="s">
        <v>51</v>
      </c>
      <c r="I8" s="15" t="s">
        <v>52</v>
      </c>
      <c r="J8" s="15" t="s">
        <v>53</v>
      </c>
      <c r="K8" s="8" t="n">
        <v>3</v>
      </c>
      <c r="L8" s="8" t="n">
        <v>47</v>
      </c>
      <c r="M8" s="8" t="n">
        <v>5</v>
      </c>
      <c r="N8" s="8" t="n">
        <v>21</v>
      </c>
      <c r="O8" s="8" t="n">
        <v>1</v>
      </c>
      <c r="P8" s="9" t="n">
        <v>5.1776254913338</v>
      </c>
      <c r="Q8" s="10" t="n">
        <v>0.193138727718677</v>
      </c>
      <c r="R8" s="9" t="n">
        <v>5.5</v>
      </c>
      <c r="S8" s="12" t="n">
        <f aca="false">IF(AND(ISNUMBER(R8),R8&gt;1,P8&gt;0),R8/P8-1,"")</f>
        <v>0.0622630024527233</v>
      </c>
      <c r="T8" s="9" t="n">
        <f aca="false">IF(AND(ISNUMBER(P8),P8&gt;0),P8*EXP('Read me'!$B$22),"")</f>
        <v>6.32396605583551</v>
      </c>
    </row>
    <row r="9" customFormat="false" ht="15" hidden="false" customHeight="false" outlineLevel="0" collapsed="false">
      <c r="A9" s="15" t="s">
        <v>48</v>
      </c>
      <c r="B9" s="15" t="s">
        <v>49</v>
      </c>
      <c r="C9" s="15" t="s">
        <v>50</v>
      </c>
      <c r="D9" s="15" t="s">
        <v>370</v>
      </c>
      <c r="E9" s="16"/>
      <c r="F9" s="15" t="s">
        <v>371</v>
      </c>
      <c r="G9" s="8" t="n">
        <v>10</v>
      </c>
      <c r="H9" s="15" t="s">
        <v>54</v>
      </c>
      <c r="I9" s="15" t="s">
        <v>372</v>
      </c>
      <c r="J9" s="15" t="s">
        <v>373</v>
      </c>
      <c r="K9" s="8" t="n">
        <v>9</v>
      </c>
      <c r="L9" s="8" t="n">
        <v>50</v>
      </c>
      <c r="M9" s="8" t="n">
        <v>6</v>
      </c>
      <c r="N9" s="8" t="n">
        <v>21</v>
      </c>
      <c r="O9" s="8" t="n">
        <v>2</v>
      </c>
      <c r="P9" s="9" t="n">
        <v>6.37793970598245</v>
      </c>
      <c r="Q9" s="10" t="n">
        <v>0.156790444265569</v>
      </c>
      <c r="R9" s="9" t="n">
        <v>5</v>
      </c>
      <c r="S9" s="12" t="n">
        <f aca="false">IF(AND(ISNUMBER(R9),R9&gt;1,P9&gt;0),R9/P9-1,"")</f>
        <v>-0.216047778672156</v>
      </c>
      <c r="T9" s="9" t="n">
        <f aca="false">IF(AND(ISNUMBER(P9),P9&gt;0),P9*EXP('Read me'!$B$22),"")</f>
        <v>7.79003314826623</v>
      </c>
    </row>
    <row r="10" customFormat="false" ht="15" hidden="false" customHeight="false" outlineLevel="0" collapsed="false">
      <c r="A10" s="15" t="s">
        <v>48</v>
      </c>
      <c r="B10" s="15" t="s">
        <v>49</v>
      </c>
      <c r="C10" s="15" t="s">
        <v>50</v>
      </c>
      <c r="D10" s="15" t="s">
        <v>370</v>
      </c>
      <c r="E10" s="16"/>
      <c r="F10" s="15" t="s">
        <v>371</v>
      </c>
      <c r="G10" s="8" t="n">
        <v>10</v>
      </c>
      <c r="H10" s="15" t="s">
        <v>374</v>
      </c>
      <c r="I10" s="15" t="s">
        <v>85</v>
      </c>
      <c r="J10" s="15" t="s">
        <v>375</v>
      </c>
      <c r="K10" s="8" t="n">
        <v>7</v>
      </c>
      <c r="L10" s="8" t="n">
        <v>53</v>
      </c>
      <c r="M10" s="8" t="n">
        <v>4</v>
      </c>
      <c r="N10" s="8" t="n">
        <v>21</v>
      </c>
      <c r="O10" s="8" t="n">
        <v>3</v>
      </c>
      <c r="P10" s="9" t="n">
        <v>6.70496928194642</v>
      </c>
      <c r="Q10" s="10" t="n">
        <v>0.149143114300697</v>
      </c>
      <c r="R10" s="9" t="n">
        <v>7.5</v>
      </c>
      <c r="S10" s="12" t="n">
        <f aca="false">IF(AND(ISNUMBER(R10),R10&gt;1,P10&gt;0),R10/P10-1,"")</f>
        <v>0.11857335725523</v>
      </c>
      <c r="T10" s="9" t="n">
        <f aca="false">IF(AND(ISNUMBER(P10),P10&gt;0),P10*EXP('Read me'!$B$22),"")</f>
        <v>8.18946797434857</v>
      </c>
    </row>
    <row r="11" customFormat="false" ht="15" hidden="false" customHeight="false" outlineLevel="0" collapsed="false">
      <c r="A11" s="15" t="s">
        <v>48</v>
      </c>
      <c r="B11" s="15" t="s">
        <v>49</v>
      </c>
      <c r="C11" s="15" t="s">
        <v>50</v>
      </c>
      <c r="D11" s="15" t="s">
        <v>370</v>
      </c>
      <c r="E11" s="16"/>
      <c r="F11" s="15" t="s">
        <v>371</v>
      </c>
      <c r="G11" s="8" t="n">
        <v>10</v>
      </c>
      <c r="H11" s="15" t="s">
        <v>376</v>
      </c>
      <c r="I11" s="15" t="s">
        <v>237</v>
      </c>
      <c r="J11" s="15" t="s">
        <v>238</v>
      </c>
      <c r="K11" s="8" t="n">
        <v>1</v>
      </c>
      <c r="L11" s="8" t="n">
        <v>59</v>
      </c>
      <c r="M11" s="8" t="n">
        <v>6</v>
      </c>
      <c r="N11" s="8" t="n">
        <v>4</v>
      </c>
      <c r="O11" s="8" t="n">
        <v>4</v>
      </c>
      <c r="P11" s="9" t="n">
        <v>7.44400218473571</v>
      </c>
      <c r="Q11" s="10" t="n">
        <v>0.134336338864939</v>
      </c>
      <c r="R11" s="9" t="n">
        <v>4.5</v>
      </c>
      <c r="S11" s="12" t="n">
        <f aca="false">IF(AND(ISNUMBER(R11),R11&gt;1,P11&gt;0),R11/P11-1,"")</f>
        <v>-0.395486475107776</v>
      </c>
      <c r="T11" s="9" t="n">
        <f aca="false">IF(AND(ISNUMBER(P11),P11&gt;0),P11*EXP('Read me'!$B$22),"")</f>
        <v>9.09212480018652</v>
      </c>
    </row>
    <row r="12" customFormat="false" ht="15" hidden="false" customHeight="false" outlineLevel="0" collapsed="false">
      <c r="A12" s="15" t="s">
        <v>48</v>
      </c>
      <c r="B12" s="15" t="s">
        <v>49</v>
      </c>
      <c r="C12" s="15" t="s">
        <v>50</v>
      </c>
      <c r="D12" s="15" t="s">
        <v>370</v>
      </c>
      <c r="E12" s="16"/>
      <c r="F12" s="15" t="s">
        <v>371</v>
      </c>
      <c r="G12" s="8" t="n">
        <v>10</v>
      </c>
      <c r="H12" s="15" t="s">
        <v>377</v>
      </c>
      <c r="I12" s="15" t="s">
        <v>378</v>
      </c>
      <c r="J12" s="15" t="s">
        <v>379</v>
      </c>
      <c r="K12" s="8" t="n">
        <v>4</v>
      </c>
      <c r="L12" s="8" t="n">
        <v>52</v>
      </c>
      <c r="M12" s="8" t="n">
        <v>3</v>
      </c>
      <c r="N12" s="8" t="n">
        <v>11</v>
      </c>
      <c r="O12" s="8" t="n">
        <v>5</v>
      </c>
      <c r="P12" s="9" t="n">
        <v>9.04195469994935</v>
      </c>
      <c r="Q12" s="10" t="n">
        <v>0.110595555185164</v>
      </c>
      <c r="R12" s="9" t="n">
        <v>10</v>
      </c>
      <c r="S12" s="12" t="n">
        <f aca="false">IF(AND(ISNUMBER(R12),R12&gt;1,P12&gt;0),R12/P12-1,"")</f>
        <v>0.105955551851638</v>
      </c>
      <c r="T12" s="9" t="n">
        <f aca="false">IF(AND(ISNUMBER(P12),P12&gt;0),P12*EXP('Read me'!$B$22),"")</f>
        <v>11.0438684096775</v>
      </c>
    </row>
    <row r="13" customFormat="false" ht="15" hidden="false" customHeight="false" outlineLevel="0" collapsed="false">
      <c r="A13" s="15" t="s">
        <v>48</v>
      </c>
      <c r="B13" s="15" t="s">
        <v>49</v>
      </c>
      <c r="C13" s="15" t="s">
        <v>50</v>
      </c>
      <c r="D13" s="15" t="s">
        <v>370</v>
      </c>
      <c r="E13" s="16"/>
      <c r="F13" s="15" t="s">
        <v>371</v>
      </c>
      <c r="G13" s="8" t="n">
        <v>10</v>
      </c>
      <c r="H13" s="15" t="s">
        <v>380</v>
      </c>
      <c r="I13" s="15" t="s">
        <v>144</v>
      </c>
      <c r="J13" s="15" t="s">
        <v>381</v>
      </c>
      <c r="K13" s="8" t="n">
        <v>2</v>
      </c>
      <c r="L13" s="8" t="n">
        <v>52</v>
      </c>
      <c r="M13" s="8" t="n">
        <v>6</v>
      </c>
      <c r="N13" s="8" t="n">
        <v>12</v>
      </c>
      <c r="O13" s="8" t="n">
        <v>6</v>
      </c>
      <c r="P13" s="9" t="n">
        <v>10.2574526636705</v>
      </c>
      <c r="Q13" s="10" t="n">
        <v>0.0974900916230176</v>
      </c>
      <c r="R13" s="9" t="n">
        <v>4</v>
      </c>
      <c r="S13" s="12" t="n">
        <f aca="false">IF(AND(ISNUMBER(R13),R13&gt;1,P13&gt;0),R13/P13-1,"")</f>
        <v>-0.61003963350793</v>
      </c>
      <c r="T13" s="9" t="n">
        <f aca="false">IF(AND(ISNUMBER(P13),P13&gt;0),P13*EXP('Read me'!$B$22),"")</f>
        <v>12.5284809751045</v>
      </c>
    </row>
    <row r="14" customFormat="false" ht="15" hidden="false" customHeight="false" outlineLevel="0" collapsed="false">
      <c r="A14" s="15" t="s">
        <v>48</v>
      </c>
      <c r="B14" s="15" t="s">
        <v>49</v>
      </c>
      <c r="C14" s="15" t="s">
        <v>50</v>
      </c>
      <c r="D14" s="15" t="s">
        <v>370</v>
      </c>
      <c r="E14" s="16"/>
      <c r="F14" s="15" t="s">
        <v>371</v>
      </c>
      <c r="G14" s="8" t="n">
        <v>10</v>
      </c>
      <c r="H14" s="15" t="s">
        <v>382</v>
      </c>
      <c r="I14" s="15" t="s">
        <v>383</v>
      </c>
      <c r="J14" s="15" t="s">
        <v>384</v>
      </c>
      <c r="K14" s="8" t="n">
        <v>10</v>
      </c>
      <c r="L14" s="8" t="n">
        <v>58</v>
      </c>
      <c r="M14" s="8" t="n">
        <v>6</v>
      </c>
      <c r="N14" s="8" t="n">
        <v>41</v>
      </c>
      <c r="O14" s="8" t="n">
        <v>7</v>
      </c>
      <c r="P14" s="9" t="n">
        <v>16.86867358442</v>
      </c>
      <c r="Q14" s="10" t="n">
        <v>0.0592814838105353</v>
      </c>
      <c r="R14" s="9" t="n">
        <v>23</v>
      </c>
      <c r="S14" s="12" t="n">
        <f aca="false">IF(AND(ISNUMBER(R14),R14&gt;1,P14&gt;0),R14/P14-1,"")</f>
        <v>0.363474127642313</v>
      </c>
      <c r="T14" s="9" t="n">
        <f aca="false">IF(AND(ISNUMBER(P14),P14&gt;0),P14*EXP('Read me'!$B$22),"")</f>
        <v>20.6034444425142</v>
      </c>
    </row>
    <row r="15" customFormat="false" ht="15" hidden="false" customHeight="false" outlineLevel="0" collapsed="false">
      <c r="A15" s="15" t="s">
        <v>48</v>
      </c>
      <c r="B15" s="15" t="s">
        <v>49</v>
      </c>
      <c r="C15" s="15" t="s">
        <v>50</v>
      </c>
      <c r="D15" s="15" t="s">
        <v>370</v>
      </c>
      <c r="E15" s="16"/>
      <c r="F15" s="15" t="s">
        <v>371</v>
      </c>
      <c r="G15" s="8" t="n">
        <v>10</v>
      </c>
      <c r="H15" s="15" t="s">
        <v>385</v>
      </c>
      <c r="I15" s="15" t="s">
        <v>386</v>
      </c>
      <c r="J15" s="15" t="s">
        <v>387</v>
      </c>
      <c r="K15" s="8" t="n">
        <v>8</v>
      </c>
      <c r="L15" s="8" t="n">
        <v>49</v>
      </c>
      <c r="M15" s="8" t="n">
        <v>4</v>
      </c>
      <c r="N15" s="8" t="n">
        <v>26</v>
      </c>
      <c r="O15" s="8" t="n">
        <v>8</v>
      </c>
      <c r="P15" s="9" t="n">
        <v>22.8161782224171</v>
      </c>
      <c r="Q15" s="10" t="n">
        <v>0.0438285496480515</v>
      </c>
      <c r="R15" s="9" t="n">
        <v>34</v>
      </c>
      <c r="S15" s="12" t="n">
        <f aca="false">IF(AND(ISNUMBER(R15),R15&gt;1,P15&gt;0),R15/P15-1,"")</f>
        <v>0.490170688033752</v>
      </c>
      <c r="T15" s="9" t="n">
        <f aca="false">IF(AND(ISNUMBER(P15),P15&gt;0),P15*EXP('Read me'!$B$22),"")</f>
        <v>27.8677430115342</v>
      </c>
    </row>
    <row r="16" customFormat="false" ht="15" hidden="false" customHeight="false" outlineLevel="0" collapsed="false">
      <c r="A16" s="15" t="s">
        <v>48</v>
      </c>
      <c r="B16" s="15" t="s">
        <v>49</v>
      </c>
      <c r="C16" s="15" t="s">
        <v>50</v>
      </c>
      <c r="D16" s="15" t="s">
        <v>370</v>
      </c>
      <c r="E16" s="16"/>
      <c r="F16" s="15" t="s">
        <v>371</v>
      </c>
      <c r="G16" s="8" t="n">
        <v>10</v>
      </c>
      <c r="H16" s="15" t="s">
        <v>388</v>
      </c>
      <c r="I16" s="15" t="s">
        <v>389</v>
      </c>
      <c r="J16" s="15" t="s">
        <v>379</v>
      </c>
      <c r="K16" s="8" t="n">
        <v>5</v>
      </c>
      <c r="L16" s="8" t="n">
        <v>45</v>
      </c>
      <c r="M16" s="8" t="n">
        <v>5</v>
      </c>
      <c r="N16" s="8" t="n">
        <v>138</v>
      </c>
      <c r="O16" s="8" t="n">
        <v>9</v>
      </c>
      <c r="P16" s="9" t="n">
        <v>27.7544631964922</v>
      </c>
      <c r="Q16" s="10" t="n">
        <v>0.0360302410794378</v>
      </c>
      <c r="R16" s="9" t="n">
        <v>34</v>
      </c>
      <c r="S16" s="12" t="n">
        <f aca="false">IF(AND(ISNUMBER(R16),R16&gt;1,P16&gt;0),R16/P16-1,"")</f>
        <v>0.225028196700887</v>
      </c>
      <c r="T16" s="9" t="n">
        <f aca="false">IF(AND(ISNUMBER(P16),P16&gt;0),P16*EXP('Read me'!$B$22),"")</f>
        <v>33.8993778994505</v>
      </c>
    </row>
    <row r="17" customFormat="false" ht="15" hidden="false" customHeight="false" outlineLevel="0" collapsed="false">
      <c r="A17" s="15" t="s">
        <v>48</v>
      </c>
      <c r="B17" s="15" t="s">
        <v>49</v>
      </c>
      <c r="C17" s="15" t="s">
        <v>50</v>
      </c>
      <c r="D17" s="15" t="s">
        <v>370</v>
      </c>
      <c r="E17" s="16"/>
      <c r="F17" s="15" t="s">
        <v>371</v>
      </c>
      <c r="G17" s="8" t="n">
        <v>10</v>
      </c>
      <c r="H17" s="15" t="s">
        <v>390</v>
      </c>
      <c r="I17" s="15"/>
      <c r="J17" s="15" t="s">
        <v>387</v>
      </c>
      <c r="K17" s="8" t="n">
        <v>6</v>
      </c>
      <c r="L17" s="8" t="n">
        <v>56</v>
      </c>
      <c r="M17" s="8" t="n">
        <v>4</v>
      </c>
      <c r="N17" s="8" t="n">
        <v>35</v>
      </c>
      <c r="O17" s="8" t="n">
        <v>10</v>
      </c>
      <c r="P17" s="9" t="n">
        <v>51.6383465947745</v>
      </c>
      <c r="Q17" s="10" t="n">
        <v>0.019365453503912</v>
      </c>
      <c r="R17" s="9" t="n">
        <v>81</v>
      </c>
      <c r="S17" s="12" t="n">
        <f aca="false">IF(AND(ISNUMBER(R17),R17&gt;1,P17&gt;0),R17/P17-1,"")</f>
        <v>0.568601733816877</v>
      </c>
      <c r="T17" s="9" t="n">
        <f aca="false">IF(AND(ISNUMBER(P17),P17&gt;0),P17*EXP('Read me'!$B$22),"")</f>
        <v>63.0712189576883</v>
      </c>
    </row>
    <row r="18" customFormat="false" ht="15" hidden="false" customHeight="false" outlineLevel="0" collapsed="false">
      <c r="A18" s="15" t="s">
        <v>55</v>
      </c>
      <c r="B18" s="15" t="s">
        <v>56</v>
      </c>
      <c r="C18" s="15" t="s">
        <v>57</v>
      </c>
      <c r="D18" s="15"/>
      <c r="E18" s="16" t="n">
        <v>15.5</v>
      </c>
      <c r="F18" s="15" t="s">
        <v>357</v>
      </c>
      <c r="G18" s="8" t="n">
        <v>13</v>
      </c>
      <c r="H18" s="15" t="s">
        <v>58</v>
      </c>
      <c r="I18" s="15" t="s">
        <v>59</v>
      </c>
      <c r="J18" s="15" t="s">
        <v>60</v>
      </c>
      <c r="K18" s="8" t="n">
        <v>2</v>
      </c>
      <c r="L18" s="8" t="n">
        <v>97</v>
      </c>
      <c r="M18" s="8" t="n">
        <v>4</v>
      </c>
      <c r="N18" s="8" t="n">
        <v>10</v>
      </c>
      <c r="O18" s="8" t="n">
        <v>1</v>
      </c>
      <c r="P18" s="9" t="n">
        <v>3.18623580381569</v>
      </c>
      <c r="Q18" s="10" t="n">
        <v>0.313849966409406</v>
      </c>
      <c r="R18" s="9" t="n">
        <v>5</v>
      </c>
      <c r="S18" s="12" t="n">
        <f aca="false">IF(AND(ISNUMBER(R18),R18&gt;1,P18&gt;0),R18/P18-1,"")</f>
        <v>0.569249832047027</v>
      </c>
      <c r="T18" s="9" t="n">
        <f aca="false">IF(AND(ISNUMBER(P18),P18&gt;0),P18*EXP('Read me'!$B$22),"")</f>
        <v>3.89167719892917</v>
      </c>
    </row>
    <row r="19" customFormat="false" ht="15" hidden="false" customHeight="false" outlineLevel="0" collapsed="false">
      <c r="A19" s="15" t="s">
        <v>55</v>
      </c>
      <c r="B19" s="15" t="s">
        <v>56</v>
      </c>
      <c r="C19" s="15" t="s">
        <v>57</v>
      </c>
      <c r="D19" s="15"/>
      <c r="E19" s="16" t="n">
        <v>15.5</v>
      </c>
      <c r="F19" s="15" t="s">
        <v>357</v>
      </c>
      <c r="G19" s="8" t="n">
        <v>13</v>
      </c>
      <c r="H19" s="15" t="s">
        <v>61</v>
      </c>
      <c r="I19" s="15" t="s">
        <v>391</v>
      </c>
      <c r="J19" s="15" t="s">
        <v>392</v>
      </c>
      <c r="K19" s="8" t="n">
        <v>7</v>
      </c>
      <c r="L19" s="8" t="n">
        <v>0</v>
      </c>
      <c r="M19" s="8" t="n">
        <v>4</v>
      </c>
      <c r="N19" s="8" t="n">
        <v>25</v>
      </c>
      <c r="O19" s="8" t="n">
        <v>2</v>
      </c>
      <c r="P19" s="9" t="n">
        <v>3.19272279685269</v>
      </c>
      <c r="Q19" s="10" t="n">
        <v>0.313212284193847</v>
      </c>
      <c r="R19" s="9" t="n">
        <v>1.61538461538462</v>
      </c>
      <c r="S19" s="12" t="n">
        <f aca="false">IF(AND(ISNUMBER(R19),R19&gt;1,P19&gt;0),R19/P19-1,"")</f>
        <v>-0.494041694763785</v>
      </c>
      <c r="T19" s="9" t="n">
        <f aca="false">IF(AND(ISNUMBER(P19),P19&gt;0),P19*EXP('Read me'!$B$22),"")</f>
        <v>3.89960043011673</v>
      </c>
    </row>
    <row r="20" customFormat="false" ht="15" hidden="false" customHeight="false" outlineLevel="0" collapsed="false">
      <c r="A20" s="15" t="s">
        <v>55</v>
      </c>
      <c r="B20" s="15" t="s">
        <v>56</v>
      </c>
      <c r="C20" s="15" t="s">
        <v>57</v>
      </c>
      <c r="D20" s="15"/>
      <c r="E20" s="16" t="n">
        <v>15.5</v>
      </c>
      <c r="F20" s="15" t="s">
        <v>357</v>
      </c>
      <c r="G20" s="8" t="n">
        <v>13</v>
      </c>
      <c r="H20" s="15" t="s">
        <v>393</v>
      </c>
      <c r="I20" s="15" t="s">
        <v>150</v>
      </c>
      <c r="J20" s="15" t="s">
        <v>176</v>
      </c>
      <c r="K20" s="8" t="n">
        <v>15</v>
      </c>
      <c r="L20" s="8" t="n">
        <v>0</v>
      </c>
      <c r="M20" s="8" t="n">
        <v>4</v>
      </c>
      <c r="N20" s="8" t="n">
        <v>31</v>
      </c>
      <c r="O20" s="8" t="n">
        <v>3</v>
      </c>
      <c r="P20" s="9" t="n">
        <v>8.12370487774919</v>
      </c>
      <c r="Q20" s="10" t="n">
        <v>0.123096544624485</v>
      </c>
      <c r="R20" s="9" t="n">
        <v>10</v>
      </c>
      <c r="S20" s="12" t="n">
        <f aca="false">IF(AND(ISNUMBER(R20),R20&gt;1,P20&gt;0),R20/P20-1,"")</f>
        <v>0.23096544624485</v>
      </c>
      <c r="T20" s="9" t="n">
        <f aca="false">IF(AND(ISNUMBER(P20),P20&gt;0),P20*EXP('Read me'!$B$22),"")</f>
        <v>9.92231554416209</v>
      </c>
    </row>
    <row r="21" customFormat="false" ht="15" hidden="false" customHeight="false" outlineLevel="0" collapsed="false">
      <c r="A21" s="15" t="s">
        <v>55</v>
      </c>
      <c r="B21" s="15" t="s">
        <v>56</v>
      </c>
      <c r="C21" s="15" t="s">
        <v>57</v>
      </c>
      <c r="D21" s="15"/>
      <c r="E21" s="16" t="n">
        <v>15.5</v>
      </c>
      <c r="F21" s="15" t="s">
        <v>357</v>
      </c>
      <c r="G21" s="8" t="n">
        <v>13</v>
      </c>
      <c r="H21" s="15" t="s">
        <v>394</v>
      </c>
      <c r="I21" s="15" t="s">
        <v>395</v>
      </c>
      <c r="J21" s="15" t="s">
        <v>396</v>
      </c>
      <c r="K21" s="8" t="n">
        <v>3</v>
      </c>
      <c r="L21" s="8" t="n">
        <v>0</v>
      </c>
      <c r="M21" s="8" t="n">
        <v>4</v>
      </c>
      <c r="N21" s="8" t="n">
        <v>54</v>
      </c>
      <c r="O21" s="8" t="n">
        <v>4</v>
      </c>
      <c r="P21" s="9" t="n">
        <v>10.0146950498546</v>
      </c>
      <c r="Q21" s="10" t="n">
        <v>0.0998532651290787</v>
      </c>
      <c r="R21" s="9" t="n">
        <v>7.5</v>
      </c>
      <c r="S21" s="12" t="n">
        <f aca="false">IF(AND(ISNUMBER(R21),R21&gt;1,P21&gt;0),R21/P21-1,"")</f>
        <v>-0.251100511531909</v>
      </c>
      <c r="T21" s="9" t="n">
        <f aca="false">IF(AND(ISNUMBER(P21),P21&gt;0),P21*EXP('Read me'!$B$22),"")</f>
        <v>12.2319761560254</v>
      </c>
    </row>
    <row r="22" customFormat="false" ht="15" hidden="false" customHeight="false" outlineLevel="0" collapsed="false">
      <c r="A22" s="15" t="s">
        <v>55</v>
      </c>
      <c r="B22" s="15" t="s">
        <v>56</v>
      </c>
      <c r="C22" s="15" t="s">
        <v>57</v>
      </c>
      <c r="D22" s="15"/>
      <c r="E22" s="16" t="n">
        <v>15.5</v>
      </c>
      <c r="F22" s="15" t="s">
        <v>357</v>
      </c>
      <c r="G22" s="8" t="n">
        <v>13</v>
      </c>
      <c r="H22" s="15" t="s">
        <v>397</v>
      </c>
      <c r="I22" s="15" t="s">
        <v>398</v>
      </c>
      <c r="J22" s="15" t="s">
        <v>399</v>
      </c>
      <c r="K22" s="8" t="n">
        <v>9</v>
      </c>
      <c r="L22" s="8" t="n">
        <v>0</v>
      </c>
      <c r="M22" s="8" t="n">
        <v>4</v>
      </c>
      <c r="N22" s="8" t="n">
        <v>58</v>
      </c>
      <c r="O22" s="8" t="n">
        <v>5</v>
      </c>
      <c r="P22" s="9" t="n">
        <v>23.9254839693955</v>
      </c>
      <c r="Q22" s="10" t="n">
        <v>0.0417964376929286</v>
      </c>
      <c r="R22" s="9" t="n">
        <v>21</v>
      </c>
      <c r="S22" s="12" t="n">
        <f aca="false">IF(AND(ISNUMBER(R22),R22&gt;1,P22&gt;0),R22/P22-1,"")</f>
        <v>-0.122274808448499</v>
      </c>
      <c r="T22" s="9" t="n">
        <f aca="false">IF(AND(ISNUMBER(P22),P22&gt;0),P22*EXP('Read me'!$B$22),"")</f>
        <v>29.2226521105366</v>
      </c>
    </row>
    <row r="23" customFormat="false" ht="15" hidden="false" customHeight="false" outlineLevel="0" collapsed="false">
      <c r="A23" s="15" t="s">
        <v>55</v>
      </c>
      <c r="B23" s="15" t="s">
        <v>56</v>
      </c>
      <c r="C23" s="15" t="s">
        <v>57</v>
      </c>
      <c r="D23" s="15"/>
      <c r="E23" s="16" t="n">
        <v>15.5</v>
      </c>
      <c r="F23" s="15" t="s">
        <v>357</v>
      </c>
      <c r="G23" s="8" t="n">
        <v>13</v>
      </c>
      <c r="H23" s="15" t="s">
        <v>400</v>
      </c>
      <c r="I23" s="15" t="s">
        <v>401</v>
      </c>
      <c r="J23" s="15" t="s">
        <v>46</v>
      </c>
      <c r="K23" s="8" t="n">
        <v>6</v>
      </c>
      <c r="L23" s="8" t="n">
        <v>0</v>
      </c>
      <c r="M23" s="8" t="n">
        <v>4</v>
      </c>
      <c r="N23" s="8" t="n">
        <v>23</v>
      </c>
      <c r="O23" s="8" t="n">
        <v>6</v>
      </c>
      <c r="P23" s="9" t="n">
        <v>26.1552917442028</v>
      </c>
      <c r="Q23" s="10" t="n">
        <v>0.0382331808713869</v>
      </c>
      <c r="R23" s="9" t="n">
        <v>15</v>
      </c>
      <c r="S23" s="12" t="n">
        <f aca="false">IF(AND(ISNUMBER(R23),R23&gt;1,P23&gt;0),R23/P23-1,"")</f>
        <v>-0.426502286929195</v>
      </c>
      <c r="T23" s="9" t="n">
        <f aca="false">IF(AND(ISNUMBER(P23),P23&gt;0),P23*EXP('Read me'!$B$22),"")</f>
        <v>31.9461454768532</v>
      </c>
    </row>
    <row r="24" customFormat="false" ht="15" hidden="false" customHeight="false" outlineLevel="0" collapsed="false">
      <c r="A24" s="15" t="s">
        <v>55</v>
      </c>
      <c r="B24" s="15" t="s">
        <v>56</v>
      </c>
      <c r="C24" s="15" t="s">
        <v>57</v>
      </c>
      <c r="D24" s="15"/>
      <c r="E24" s="16" t="n">
        <v>15.5</v>
      </c>
      <c r="F24" s="15" t="s">
        <v>357</v>
      </c>
      <c r="G24" s="8" t="n">
        <v>13</v>
      </c>
      <c r="H24" s="15" t="s">
        <v>402</v>
      </c>
      <c r="I24" s="15" t="s">
        <v>243</v>
      </c>
      <c r="J24" s="15" t="s">
        <v>403</v>
      </c>
      <c r="K24" s="8" t="n">
        <v>1</v>
      </c>
      <c r="L24" s="8" t="n">
        <v>0</v>
      </c>
      <c r="M24" s="8" t="n">
        <v>4</v>
      </c>
      <c r="N24" s="8" t="n">
        <v>97</v>
      </c>
      <c r="O24" s="8" t="n">
        <v>7</v>
      </c>
      <c r="P24" s="9" t="n">
        <v>44.1292494042335</v>
      </c>
      <c r="Q24" s="10" t="n">
        <v>0.0226607072066824</v>
      </c>
      <c r="R24" s="9" t="n">
        <v>34</v>
      </c>
      <c r="S24" s="12" t="n">
        <f aca="false">IF(AND(ISNUMBER(R24),R24&gt;1,P24&gt;0),R24/P24-1,"")</f>
        <v>-0.229535954972798</v>
      </c>
      <c r="T24" s="9" t="n">
        <f aca="false">IF(AND(ISNUMBER(P24),P24&gt;0),P24*EXP('Read me'!$B$22),"")</f>
        <v>53.8995869378688</v>
      </c>
    </row>
    <row r="25" customFormat="false" ht="15" hidden="false" customHeight="false" outlineLevel="0" collapsed="false">
      <c r="A25" s="15" t="s">
        <v>55</v>
      </c>
      <c r="B25" s="15" t="s">
        <v>56</v>
      </c>
      <c r="C25" s="15" t="s">
        <v>57</v>
      </c>
      <c r="D25" s="15"/>
      <c r="E25" s="16" t="n">
        <v>15.5</v>
      </c>
      <c r="F25" s="15" t="s">
        <v>357</v>
      </c>
      <c r="G25" s="8" t="n">
        <v>13</v>
      </c>
      <c r="H25" s="15" t="s">
        <v>404</v>
      </c>
      <c r="I25" s="15" t="s">
        <v>405</v>
      </c>
      <c r="J25" s="15" t="s">
        <v>60</v>
      </c>
      <c r="K25" s="8" t="n">
        <v>5</v>
      </c>
      <c r="L25" s="8" t="n">
        <v>0</v>
      </c>
      <c r="M25" s="8" t="n">
        <v>4</v>
      </c>
      <c r="N25" s="8" t="n">
        <v>25</v>
      </c>
      <c r="O25" s="8" t="n">
        <v>8</v>
      </c>
      <c r="P25" s="9" t="n">
        <v>75.7239367778443</v>
      </c>
      <c r="Q25" s="10" t="n">
        <v>0.0132058638595845</v>
      </c>
      <c r="R25" s="9" t="n">
        <v>101</v>
      </c>
      <c r="S25" s="12" t="n">
        <f aca="false">IF(AND(ISNUMBER(R25),R25&gt;1,P25&gt;0),R25/P25-1,"")</f>
        <v>0.333792249818041</v>
      </c>
      <c r="T25" s="9" t="n">
        <f aca="false">IF(AND(ISNUMBER(P25),P25&gt;0),P25*EXP('Read me'!$B$22),"")</f>
        <v>92.4894252392053</v>
      </c>
    </row>
    <row r="26" customFormat="false" ht="15" hidden="false" customHeight="false" outlineLevel="0" collapsed="false">
      <c r="A26" s="15" t="s">
        <v>55</v>
      </c>
      <c r="B26" s="15" t="s">
        <v>56</v>
      </c>
      <c r="C26" s="15" t="s">
        <v>57</v>
      </c>
      <c r="D26" s="15"/>
      <c r="E26" s="16" t="n">
        <v>15.5</v>
      </c>
      <c r="F26" s="15" t="s">
        <v>357</v>
      </c>
      <c r="G26" s="8" t="n">
        <v>13</v>
      </c>
      <c r="H26" s="15" t="s">
        <v>406</v>
      </c>
      <c r="I26" s="15" t="s">
        <v>407</v>
      </c>
      <c r="J26" s="15" t="s">
        <v>60</v>
      </c>
      <c r="K26" s="8" t="n">
        <v>13</v>
      </c>
      <c r="L26" s="8" t="n">
        <v>0</v>
      </c>
      <c r="M26" s="8" t="n">
        <v>4</v>
      </c>
      <c r="N26" s="8" t="n">
        <v>67</v>
      </c>
      <c r="O26" s="8" t="n">
        <v>9</v>
      </c>
      <c r="P26" s="9" t="n">
        <v>85.6831803354884</v>
      </c>
      <c r="Q26" s="10" t="n">
        <v>0.011670901991319</v>
      </c>
      <c r="R26" s="9" t="n">
        <v>101</v>
      </c>
      <c r="S26" s="12" t="n">
        <f aca="false">IF(AND(ISNUMBER(R26),R26&gt;1,P26&gt;0),R26/P26-1,"")</f>
        <v>0.178761101123223</v>
      </c>
      <c r="T26" s="9" t="n">
        <f aca="false">IF(AND(ISNUMBER(P26),P26&gt;0),P26*EXP('Read me'!$B$22),"")</f>
        <v>104.653672789701</v>
      </c>
    </row>
    <row r="27" customFormat="false" ht="15" hidden="false" customHeight="false" outlineLevel="0" collapsed="false">
      <c r="A27" s="15" t="s">
        <v>55</v>
      </c>
      <c r="B27" s="15" t="s">
        <v>56</v>
      </c>
      <c r="C27" s="15" t="s">
        <v>57</v>
      </c>
      <c r="D27" s="15"/>
      <c r="E27" s="16" t="n">
        <v>15.5</v>
      </c>
      <c r="F27" s="15" t="s">
        <v>357</v>
      </c>
      <c r="G27" s="8" t="n">
        <v>13</v>
      </c>
      <c r="H27" s="15" t="s">
        <v>408</v>
      </c>
      <c r="I27" s="15" t="s">
        <v>409</v>
      </c>
      <c r="J27" s="15" t="s">
        <v>399</v>
      </c>
      <c r="K27" s="8" t="n">
        <v>4</v>
      </c>
      <c r="L27" s="8" t="n">
        <v>0</v>
      </c>
      <c r="M27" s="8" t="n">
        <v>4</v>
      </c>
      <c r="N27" s="8"/>
      <c r="O27" s="8" t="n">
        <v>10</v>
      </c>
      <c r="P27" s="9" t="n">
        <v>131.325912551316</v>
      </c>
      <c r="Q27" s="10" t="n">
        <v>0.007614643451339</v>
      </c>
      <c r="R27" s="9" t="n">
        <v>81</v>
      </c>
      <c r="S27" s="12" t="n">
        <f aca="false">IF(AND(ISNUMBER(R27),R27&gt;1,P27&gt;0),R27/P27-1,"")</f>
        <v>-0.383213880441537</v>
      </c>
      <c r="T27" s="9" t="n">
        <f aca="false">IF(AND(ISNUMBER(P27),P27&gt;0),P27*EXP('Read me'!$B$22),"")</f>
        <v>160.401831808078</v>
      </c>
    </row>
    <row r="28" customFormat="false" ht="15" hidden="false" customHeight="false" outlineLevel="0" collapsed="false">
      <c r="A28" s="15" t="s">
        <v>55</v>
      </c>
      <c r="B28" s="15" t="s">
        <v>56</v>
      </c>
      <c r="C28" s="15" t="s">
        <v>57</v>
      </c>
      <c r="D28" s="15"/>
      <c r="E28" s="16" t="n">
        <v>15.5</v>
      </c>
      <c r="F28" s="15" t="s">
        <v>357</v>
      </c>
      <c r="G28" s="8" t="n">
        <v>13</v>
      </c>
      <c r="H28" s="15" t="s">
        <v>410</v>
      </c>
      <c r="I28" s="15" t="s">
        <v>411</v>
      </c>
      <c r="J28" s="15" t="s">
        <v>412</v>
      </c>
      <c r="K28" s="8" t="n">
        <v>12</v>
      </c>
      <c r="L28" s="8" t="n">
        <v>0</v>
      </c>
      <c r="M28" s="8" t="n">
        <v>4</v>
      </c>
      <c r="N28" s="8"/>
      <c r="O28" s="8" t="n">
        <v>11</v>
      </c>
      <c r="P28" s="9" t="n">
        <v>159.937855841865</v>
      </c>
      <c r="Q28" s="10" t="n">
        <v>0.0062524284493893</v>
      </c>
      <c r="R28" s="9" t="n">
        <v>101</v>
      </c>
      <c r="S28" s="12" t="n">
        <f aca="false">IF(AND(ISNUMBER(R28),R28&gt;1,P28&gt;0),R28/P28-1,"")</f>
        <v>-0.36850472661168</v>
      </c>
      <c r="T28" s="9" t="n">
        <f aca="false">IF(AND(ISNUMBER(P28),P28&gt;0),P28*EXP('Read me'!$B$22),"")</f>
        <v>195.348538259477</v>
      </c>
    </row>
    <row r="29" customFormat="false" ht="15" hidden="false" customHeight="false" outlineLevel="0" collapsed="false">
      <c r="A29" s="15" t="s">
        <v>55</v>
      </c>
      <c r="B29" s="15" t="s">
        <v>56</v>
      </c>
      <c r="C29" s="15" t="s">
        <v>57</v>
      </c>
      <c r="D29" s="15"/>
      <c r="E29" s="16" t="n">
        <v>15.5</v>
      </c>
      <c r="F29" s="15" t="s">
        <v>357</v>
      </c>
      <c r="G29" s="8" t="n">
        <v>13</v>
      </c>
      <c r="H29" s="15" t="s">
        <v>413</v>
      </c>
      <c r="I29" s="15" t="s">
        <v>414</v>
      </c>
      <c r="J29" s="15" t="s">
        <v>415</v>
      </c>
      <c r="K29" s="8" t="n">
        <v>14</v>
      </c>
      <c r="L29" s="8" t="n">
        <v>0</v>
      </c>
      <c r="M29" s="8" t="n">
        <v>4</v>
      </c>
      <c r="N29" s="8" t="n">
        <v>56</v>
      </c>
      <c r="O29" s="8" t="n">
        <v>12</v>
      </c>
      <c r="P29" s="9" t="n">
        <v>167.628227293356</v>
      </c>
      <c r="Q29" s="10" t="n">
        <v>0.0059655823851788</v>
      </c>
      <c r="R29" s="9" t="n">
        <v>151</v>
      </c>
      <c r="S29" s="12" t="n">
        <f aca="false">IF(AND(ISNUMBER(R29),R29&gt;1,P29&gt;0),R29/P29-1,"")</f>
        <v>-0.0991970598379968</v>
      </c>
      <c r="T29" s="9" t="n">
        <f aca="false">IF(AND(ISNUMBER(P29),P29&gt;0),P29*EXP('Read me'!$B$22),"")</f>
        <v>204.741579161605</v>
      </c>
    </row>
    <row r="30" customFormat="false" ht="15" hidden="false" customHeight="false" outlineLevel="0" collapsed="false">
      <c r="A30" s="15" t="s">
        <v>55</v>
      </c>
      <c r="B30" s="15" t="s">
        <v>56</v>
      </c>
      <c r="C30" s="15" t="s">
        <v>57</v>
      </c>
      <c r="D30" s="15"/>
      <c r="E30" s="16" t="n">
        <v>15.5</v>
      </c>
      <c r="F30" s="15" t="s">
        <v>357</v>
      </c>
      <c r="G30" s="8" t="n">
        <v>13</v>
      </c>
      <c r="H30" s="15" t="s">
        <v>416</v>
      </c>
      <c r="I30" s="15" t="s">
        <v>91</v>
      </c>
      <c r="J30" s="15" t="s">
        <v>417</v>
      </c>
      <c r="K30" s="8" t="n">
        <v>11</v>
      </c>
      <c r="L30" s="8" t="n">
        <v>0</v>
      </c>
      <c r="M30" s="8" t="n">
        <v>4</v>
      </c>
      <c r="N30" s="8" t="n">
        <v>69</v>
      </c>
      <c r="O30" s="8" t="n">
        <v>13</v>
      </c>
      <c r="P30" s="9" t="n">
        <v>386.369840221874</v>
      </c>
      <c r="Q30" s="10" t="n">
        <v>0.0025881937353747</v>
      </c>
      <c r="R30" s="9" t="n">
        <v>201</v>
      </c>
      <c r="S30" s="12" t="n">
        <f aca="false">IF(AND(ISNUMBER(R30),R30&gt;1,P30&gt;0),R30/P30-1,"")</f>
        <v>-0.479773059189674</v>
      </c>
      <c r="T30" s="9" t="n">
        <f aca="false">IF(AND(ISNUMBER(P30),P30&gt;0),P30*EXP('Read me'!$B$22),"")</f>
        <v>471.913188516901</v>
      </c>
    </row>
    <row r="31" customFormat="false" ht="15" hidden="false" customHeight="false" outlineLevel="0" collapsed="false">
      <c r="A31" s="15" t="s">
        <v>62</v>
      </c>
      <c r="B31" s="15" t="s">
        <v>63</v>
      </c>
      <c r="C31" s="15" t="s">
        <v>64</v>
      </c>
      <c r="D31" s="15" t="s">
        <v>418</v>
      </c>
      <c r="E31" s="16" t="n">
        <v>6</v>
      </c>
      <c r="F31" s="15" t="s">
        <v>419</v>
      </c>
      <c r="G31" s="8" t="n">
        <v>6</v>
      </c>
      <c r="H31" s="15" t="s">
        <v>65</v>
      </c>
      <c r="I31" s="15" t="s">
        <v>66</v>
      </c>
      <c r="J31" s="15" t="s">
        <v>67</v>
      </c>
      <c r="K31" s="8" t="n">
        <v>2</v>
      </c>
      <c r="L31" s="8" t="n">
        <v>72</v>
      </c>
      <c r="M31" s="8" t="n">
        <v>5</v>
      </c>
      <c r="N31" s="8" t="n">
        <v>8</v>
      </c>
      <c r="O31" s="8" t="n">
        <v>1</v>
      </c>
      <c r="P31" s="9" t="n">
        <v>3.14305114101269</v>
      </c>
      <c r="Q31" s="10" t="n">
        <v>0.318162179084939</v>
      </c>
      <c r="R31" s="9" t="n">
        <v>2.5</v>
      </c>
      <c r="S31" s="12" t="n">
        <f aca="false">IF(AND(ISNUMBER(R31),R31&gt;1,P31&gt;0),R31/P31-1,"")</f>
        <v>-0.204594552287653</v>
      </c>
      <c r="T31" s="9" t="n">
        <f aca="false">IF(AND(ISNUMBER(P31),P31&gt;0),P31*EXP('Read me'!$B$22),"")</f>
        <v>3.83893133267137</v>
      </c>
    </row>
    <row r="32" customFormat="false" ht="15" hidden="false" customHeight="false" outlineLevel="0" collapsed="false">
      <c r="A32" s="15" t="s">
        <v>62</v>
      </c>
      <c r="B32" s="15" t="s">
        <v>63</v>
      </c>
      <c r="C32" s="15" t="s">
        <v>64</v>
      </c>
      <c r="D32" s="15" t="s">
        <v>418</v>
      </c>
      <c r="E32" s="16" t="n">
        <v>6</v>
      </c>
      <c r="F32" s="15" t="s">
        <v>419</v>
      </c>
      <c r="G32" s="8" t="n">
        <v>6</v>
      </c>
      <c r="H32" s="15" t="s">
        <v>68</v>
      </c>
      <c r="I32" s="15" t="s">
        <v>420</v>
      </c>
      <c r="J32" s="15" t="s">
        <v>127</v>
      </c>
      <c r="K32" s="8" t="n">
        <v>1</v>
      </c>
      <c r="L32" s="8" t="n">
        <v>62</v>
      </c>
      <c r="M32" s="8" t="n">
        <v>7</v>
      </c>
      <c r="N32" s="8" t="n">
        <v>7</v>
      </c>
      <c r="O32" s="8" t="n">
        <v>2</v>
      </c>
      <c r="P32" s="9" t="n">
        <v>4.57211607394415</v>
      </c>
      <c r="Q32" s="10" t="n">
        <v>0.218717106877242</v>
      </c>
      <c r="R32" s="9" t="n">
        <v>3.75</v>
      </c>
      <c r="S32" s="12" t="n">
        <f aca="false">IF(AND(ISNUMBER(R32),R32&gt;1,P32&gt;0),R32/P32-1,"")</f>
        <v>-0.179810849210341</v>
      </c>
      <c r="T32" s="9" t="n">
        <f aca="false">IF(AND(ISNUMBER(P32),P32&gt;0),P32*EXP('Read me'!$B$22),"")</f>
        <v>5.58439518334383</v>
      </c>
    </row>
    <row r="33" customFormat="false" ht="15" hidden="false" customHeight="false" outlineLevel="0" collapsed="false">
      <c r="A33" s="15" t="s">
        <v>62</v>
      </c>
      <c r="B33" s="15" t="s">
        <v>63</v>
      </c>
      <c r="C33" s="15" t="s">
        <v>64</v>
      </c>
      <c r="D33" s="15" t="s">
        <v>418</v>
      </c>
      <c r="E33" s="16" t="n">
        <v>6</v>
      </c>
      <c r="F33" s="15" t="s">
        <v>419</v>
      </c>
      <c r="G33" s="8" t="n">
        <v>6</v>
      </c>
      <c r="H33" s="15" t="s">
        <v>421</v>
      </c>
      <c r="I33" s="15" t="s">
        <v>422</v>
      </c>
      <c r="J33" s="15" t="s">
        <v>423</v>
      </c>
      <c r="K33" s="8" t="n">
        <v>6</v>
      </c>
      <c r="L33" s="8" t="n">
        <v>65</v>
      </c>
      <c r="M33" s="8" t="n">
        <v>5</v>
      </c>
      <c r="N33" s="8" t="n">
        <v>26</v>
      </c>
      <c r="O33" s="8" t="n">
        <v>3</v>
      </c>
      <c r="P33" s="9" t="n">
        <v>6.44579149037322</v>
      </c>
      <c r="Q33" s="10" t="n">
        <v>0.155139985755589</v>
      </c>
      <c r="R33" s="9" t="n">
        <v>6</v>
      </c>
      <c r="S33" s="12" t="n">
        <f aca="false">IF(AND(ISNUMBER(R33),R33&gt;1,P33&gt;0),R33/P33-1,"")</f>
        <v>-0.0691600854664635</v>
      </c>
      <c r="T33" s="9" t="n">
        <f aca="false">IF(AND(ISNUMBER(P33),P33&gt;0),P33*EXP('Read me'!$B$22),"")</f>
        <v>7.8729075048672</v>
      </c>
    </row>
    <row r="34" customFormat="false" ht="15" hidden="false" customHeight="false" outlineLevel="0" collapsed="false">
      <c r="A34" s="15" t="s">
        <v>62</v>
      </c>
      <c r="B34" s="15" t="s">
        <v>63</v>
      </c>
      <c r="C34" s="15" t="s">
        <v>64</v>
      </c>
      <c r="D34" s="15" t="s">
        <v>418</v>
      </c>
      <c r="E34" s="16" t="n">
        <v>6</v>
      </c>
      <c r="F34" s="15" t="s">
        <v>419</v>
      </c>
      <c r="G34" s="8" t="n">
        <v>6</v>
      </c>
      <c r="H34" s="15" t="s">
        <v>424</v>
      </c>
      <c r="I34" s="15" t="s">
        <v>425</v>
      </c>
      <c r="J34" s="15" t="s">
        <v>250</v>
      </c>
      <c r="K34" s="8" t="n">
        <v>3</v>
      </c>
      <c r="L34" s="8" t="n">
        <v>68</v>
      </c>
      <c r="M34" s="8" t="n">
        <v>4</v>
      </c>
      <c r="N34" s="8" t="n">
        <v>7</v>
      </c>
      <c r="O34" s="8" t="n">
        <v>4</v>
      </c>
      <c r="P34" s="9" t="n">
        <v>7.12056598110508</v>
      </c>
      <c r="Q34" s="10" t="n">
        <v>0.140438274521094</v>
      </c>
      <c r="R34" s="9" t="n">
        <v>10</v>
      </c>
      <c r="S34" s="12" t="n">
        <f aca="false">IF(AND(ISNUMBER(R34),R34&gt;1,P34&gt;0),R34/P34-1,"")</f>
        <v>0.404382745210943</v>
      </c>
      <c r="T34" s="9" t="n">
        <f aca="false">IF(AND(ISNUMBER(P34),P34&gt;0),P34*EXP('Read me'!$B$22),"")</f>
        <v>8.69707892898322</v>
      </c>
    </row>
    <row r="35" customFormat="false" ht="15" hidden="false" customHeight="false" outlineLevel="0" collapsed="false">
      <c r="A35" s="15" t="s">
        <v>62</v>
      </c>
      <c r="B35" s="15" t="s">
        <v>63</v>
      </c>
      <c r="C35" s="15" t="s">
        <v>64</v>
      </c>
      <c r="D35" s="15" t="s">
        <v>418</v>
      </c>
      <c r="E35" s="16" t="n">
        <v>6</v>
      </c>
      <c r="F35" s="15" t="s">
        <v>419</v>
      </c>
      <c r="G35" s="8" t="n">
        <v>6</v>
      </c>
      <c r="H35" s="15" t="s">
        <v>426</v>
      </c>
      <c r="I35" s="15" t="s">
        <v>427</v>
      </c>
      <c r="J35" s="15" t="s">
        <v>428</v>
      </c>
      <c r="K35" s="8" t="n">
        <v>4</v>
      </c>
      <c r="L35" s="8" t="n">
        <v>69</v>
      </c>
      <c r="M35" s="8" t="n">
        <v>4</v>
      </c>
      <c r="N35" s="8" t="n">
        <v>23</v>
      </c>
      <c r="O35" s="8" t="n">
        <v>5</v>
      </c>
      <c r="P35" s="9" t="n">
        <v>8.77902614736169</v>
      </c>
      <c r="Q35" s="10" t="n">
        <v>0.113907850735873</v>
      </c>
      <c r="R35" s="9" t="n">
        <v>8</v>
      </c>
      <c r="S35" s="12" t="n">
        <f aca="false">IF(AND(ISNUMBER(R35),R35&gt;1,P35&gt;0),R35/P35-1,"")</f>
        <v>-0.0887371941130174</v>
      </c>
      <c r="T35" s="9" t="n">
        <f aca="false">IF(AND(ISNUMBER(P35),P35&gt;0),P35*EXP('Read me'!$B$22),"")</f>
        <v>10.7227267503478</v>
      </c>
    </row>
    <row r="36" customFormat="false" ht="15" hidden="false" customHeight="false" outlineLevel="0" collapsed="false">
      <c r="A36" s="15" t="s">
        <v>62</v>
      </c>
      <c r="B36" s="15" t="s">
        <v>63</v>
      </c>
      <c r="C36" s="15" t="s">
        <v>64</v>
      </c>
      <c r="D36" s="15" t="s">
        <v>418</v>
      </c>
      <c r="E36" s="16" t="n">
        <v>6</v>
      </c>
      <c r="F36" s="15" t="s">
        <v>419</v>
      </c>
      <c r="G36" s="8" t="n">
        <v>6</v>
      </c>
      <c r="H36" s="15" t="s">
        <v>429</v>
      </c>
      <c r="I36" s="15" t="s">
        <v>430</v>
      </c>
      <c r="J36" s="15" t="s">
        <v>431</v>
      </c>
      <c r="K36" s="8" t="n">
        <v>5</v>
      </c>
      <c r="L36" s="8" t="n">
        <v>64</v>
      </c>
      <c r="M36" s="8" t="n">
        <v>9</v>
      </c>
      <c r="N36" s="8" t="n">
        <v>21</v>
      </c>
      <c r="O36" s="8" t="n">
        <v>6</v>
      </c>
      <c r="P36" s="9" t="n">
        <v>18.6446798073436</v>
      </c>
      <c r="Q36" s="10" t="n">
        <v>0.0536346030252624</v>
      </c>
      <c r="R36" s="9" t="n">
        <v>15</v>
      </c>
      <c r="S36" s="12" t="n">
        <f aca="false">IF(AND(ISNUMBER(R36),R36&gt;1,P36&gt;0),R36/P36-1,"")</f>
        <v>-0.195480954621064</v>
      </c>
      <c r="T36" s="9" t="n">
        <f aca="false">IF(AND(ISNUMBER(P36),P36&gt;0),P36*EXP('Read me'!$B$22),"")</f>
        <v>22.7726633417027</v>
      </c>
    </row>
    <row r="37" customFormat="false" ht="15" hidden="false" customHeight="false" outlineLevel="0" collapsed="false">
      <c r="A37" s="15" t="s">
        <v>69</v>
      </c>
      <c r="B37" s="15" t="s">
        <v>70</v>
      </c>
      <c r="C37" s="15" t="s">
        <v>71</v>
      </c>
      <c r="D37" s="15" t="s">
        <v>432</v>
      </c>
      <c r="E37" s="16" t="n">
        <v>26</v>
      </c>
      <c r="F37" s="15" t="s">
        <v>357</v>
      </c>
      <c r="G37" s="8" t="n">
        <v>3</v>
      </c>
      <c r="H37" s="15" t="s">
        <v>72</v>
      </c>
      <c r="I37" s="15" t="s">
        <v>73</v>
      </c>
      <c r="J37" s="15" t="s">
        <v>74</v>
      </c>
      <c r="K37" s="8" t="n">
        <v>3</v>
      </c>
      <c r="L37" s="8" t="n">
        <v>102</v>
      </c>
      <c r="M37" s="8" t="n">
        <v>7</v>
      </c>
      <c r="N37" s="8" t="n">
        <v>10</v>
      </c>
      <c r="O37" s="8" t="n">
        <v>1</v>
      </c>
      <c r="P37" s="9" t="n">
        <v>2.19556200918287</v>
      </c>
      <c r="Q37" s="10" t="n">
        <v>0.455464248250576</v>
      </c>
      <c r="R37" s="9" t="n">
        <v>1.66666666666667</v>
      </c>
      <c r="S37" s="12" t="n">
        <f aca="false">IF(AND(ISNUMBER(R37),R37&gt;1,P37&gt;0),R37/P37-1,"")</f>
        <v>-0.240892919582373</v>
      </c>
      <c r="T37" s="9" t="n">
        <f aca="false">IF(AND(ISNUMBER(P37),P37&gt;0),P37*EXP('Read me'!$B$22),"")</f>
        <v>2.68166549372764</v>
      </c>
    </row>
    <row r="38" customFormat="false" ht="15" hidden="false" customHeight="false" outlineLevel="0" collapsed="false">
      <c r="A38" s="15" t="s">
        <v>69</v>
      </c>
      <c r="B38" s="15" t="s">
        <v>70</v>
      </c>
      <c r="C38" s="15" t="s">
        <v>71</v>
      </c>
      <c r="D38" s="15" t="s">
        <v>432</v>
      </c>
      <c r="E38" s="16" t="n">
        <v>26</v>
      </c>
      <c r="F38" s="15" t="s">
        <v>357</v>
      </c>
      <c r="G38" s="8" t="n">
        <v>3</v>
      </c>
      <c r="H38" s="15" t="s">
        <v>75</v>
      </c>
      <c r="I38" s="15" t="s">
        <v>433</v>
      </c>
      <c r="J38" s="15" t="s">
        <v>434</v>
      </c>
      <c r="K38" s="8" t="n">
        <v>1</v>
      </c>
      <c r="L38" s="8" t="n">
        <v>120</v>
      </c>
      <c r="M38" s="8" t="n">
        <v>7</v>
      </c>
      <c r="N38" s="8" t="n">
        <v>40</v>
      </c>
      <c r="O38" s="8" t="n">
        <v>2</v>
      </c>
      <c r="P38" s="9" t="n">
        <v>3.18590078013026</v>
      </c>
      <c r="Q38" s="10" t="n">
        <v>0.313882970316205</v>
      </c>
      <c r="R38" s="9" t="n">
        <v>5.5</v>
      </c>
      <c r="S38" s="12" t="n">
        <f aca="false">IF(AND(ISNUMBER(R38),R38&gt;1,P38&gt;0),R38/P38-1,"")</f>
        <v>0.726356336739126</v>
      </c>
      <c r="T38" s="9" t="n">
        <f aca="false">IF(AND(ISNUMBER(P38),P38&gt;0),P38*EXP('Read me'!$B$22),"")</f>
        <v>3.89126800007574</v>
      </c>
    </row>
    <row r="39" customFormat="false" ht="15" hidden="false" customHeight="false" outlineLevel="0" collapsed="false">
      <c r="A39" s="15" t="s">
        <v>69</v>
      </c>
      <c r="B39" s="15" t="s">
        <v>70</v>
      </c>
      <c r="C39" s="15" t="s">
        <v>71</v>
      </c>
      <c r="D39" s="15" t="s">
        <v>432</v>
      </c>
      <c r="E39" s="16" t="n">
        <v>26</v>
      </c>
      <c r="F39" s="15" t="s">
        <v>357</v>
      </c>
      <c r="G39" s="8" t="n">
        <v>3</v>
      </c>
      <c r="H39" s="15" t="s">
        <v>435</v>
      </c>
      <c r="I39" s="15" t="s">
        <v>436</v>
      </c>
      <c r="J39" s="15" t="s">
        <v>437</v>
      </c>
      <c r="K39" s="8" t="n">
        <v>2</v>
      </c>
      <c r="L39" s="8" t="n">
        <v>110</v>
      </c>
      <c r="M39" s="8" t="n">
        <v>9</v>
      </c>
      <c r="N39" s="8" t="n">
        <v>12</v>
      </c>
      <c r="O39" s="8" t="n">
        <v>3</v>
      </c>
      <c r="P39" s="9" t="n">
        <v>4.33552109706307</v>
      </c>
      <c r="Q39" s="10" t="n">
        <v>0.230652781433219</v>
      </c>
      <c r="R39" s="9" t="n">
        <v>3.5</v>
      </c>
      <c r="S39" s="12" t="n">
        <f aca="false">IF(AND(ISNUMBER(R39),R39&gt;1,P39&gt;0),R39/P39-1,"")</f>
        <v>-0.192715264983733</v>
      </c>
      <c r="T39" s="9" t="n">
        <f aca="false">IF(AND(ISNUMBER(P39),P39&gt;0),P39*EXP('Read me'!$B$22),"")</f>
        <v>5.29541742601444</v>
      </c>
    </row>
    <row r="40" customFormat="false" ht="15" hidden="false" customHeight="false" outlineLevel="0" collapsed="false">
      <c r="A40" s="15" t="s">
        <v>76</v>
      </c>
      <c r="B40" s="15" t="s">
        <v>42</v>
      </c>
      <c r="C40" s="15" t="s">
        <v>77</v>
      </c>
      <c r="D40" s="15"/>
      <c r="E40" s="16" t="n">
        <v>13</v>
      </c>
      <c r="F40" s="15" t="s">
        <v>357</v>
      </c>
      <c r="G40" s="8" t="n">
        <v>10</v>
      </c>
      <c r="H40" s="15" t="s">
        <v>78</v>
      </c>
      <c r="I40" s="15" t="s">
        <v>79</v>
      </c>
      <c r="J40" s="15" t="s">
        <v>80</v>
      </c>
      <c r="K40" s="8" t="n">
        <v>5</v>
      </c>
      <c r="L40" s="8" t="n">
        <v>82</v>
      </c>
      <c r="M40" s="8" t="n">
        <v>3</v>
      </c>
      <c r="N40" s="8" t="n">
        <v>37</v>
      </c>
      <c r="O40" s="8" t="n">
        <v>1</v>
      </c>
      <c r="P40" s="9" t="n">
        <v>4.91146720532088</v>
      </c>
      <c r="Q40" s="10" t="n">
        <v>0.203605146526611</v>
      </c>
      <c r="R40" s="9" t="n">
        <v>4.5</v>
      </c>
      <c r="S40" s="12" t="n">
        <f aca="false">IF(AND(ISNUMBER(R40),R40&gt;1,P40&gt;0),R40/P40-1,"")</f>
        <v>-0.0837768406302526</v>
      </c>
      <c r="T40" s="9" t="n">
        <f aca="false">IF(AND(ISNUMBER(P40),P40&gt;0),P40*EXP('Read me'!$B$22),"")</f>
        <v>5.99887959119214</v>
      </c>
    </row>
    <row r="41" customFormat="false" ht="15" hidden="false" customHeight="false" outlineLevel="0" collapsed="false">
      <c r="A41" s="15" t="s">
        <v>76</v>
      </c>
      <c r="B41" s="15" t="s">
        <v>42</v>
      </c>
      <c r="C41" s="15" t="s">
        <v>77</v>
      </c>
      <c r="D41" s="15"/>
      <c r="E41" s="16" t="n">
        <v>13</v>
      </c>
      <c r="F41" s="15" t="s">
        <v>357</v>
      </c>
      <c r="G41" s="8" t="n">
        <v>10</v>
      </c>
      <c r="H41" s="15" t="s">
        <v>81</v>
      </c>
      <c r="I41" s="15" t="s">
        <v>438</v>
      </c>
      <c r="J41" s="15" t="s">
        <v>439</v>
      </c>
      <c r="K41" s="8" t="n">
        <v>7</v>
      </c>
      <c r="L41" s="8" t="n">
        <v>79</v>
      </c>
      <c r="M41" s="8" t="n">
        <v>3</v>
      </c>
      <c r="N41" s="8" t="n">
        <v>28</v>
      </c>
      <c r="O41" s="8" t="n">
        <v>2</v>
      </c>
      <c r="P41" s="9" t="n">
        <v>5.34048084184067</v>
      </c>
      <c r="Q41" s="10" t="n">
        <v>0.187249056707661</v>
      </c>
      <c r="R41" s="9" t="n">
        <v>4.33333333333333</v>
      </c>
      <c r="S41" s="12" t="n">
        <f aca="false">IF(AND(ISNUMBER(R41),R41&gt;1,P41&gt;0),R41/P41-1,"")</f>
        <v>-0.18858742093347</v>
      </c>
      <c r="T41" s="9" t="n">
        <f aca="false">IF(AND(ISNUMBER(P41),P41&gt;0),P41*EXP('Read me'!$B$22),"")</f>
        <v>6.52287803012574</v>
      </c>
    </row>
    <row r="42" customFormat="false" ht="15" hidden="false" customHeight="false" outlineLevel="0" collapsed="false">
      <c r="A42" s="15" t="s">
        <v>76</v>
      </c>
      <c r="B42" s="15" t="s">
        <v>42</v>
      </c>
      <c r="C42" s="15" t="s">
        <v>77</v>
      </c>
      <c r="D42" s="15"/>
      <c r="E42" s="16" t="n">
        <v>13</v>
      </c>
      <c r="F42" s="15" t="s">
        <v>357</v>
      </c>
      <c r="G42" s="8" t="n">
        <v>10</v>
      </c>
      <c r="H42" s="15" t="s">
        <v>440</v>
      </c>
      <c r="I42" s="15" t="s">
        <v>441</v>
      </c>
      <c r="J42" s="15" t="s">
        <v>442</v>
      </c>
      <c r="K42" s="8" t="n">
        <v>9</v>
      </c>
      <c r="L42" s="8" t="n">
        <v>72</v>
      </c>
      <c r="M42" s="8" t="n">
        <v>4</v>
      </c>
      <c r="N42" s="8" t="n">
        <v>12</v>
      </c>
      <c r="O42" s="8" t="n">
        <v>3</v>
      </c>
      <c r="P42" s="9" t="n">
        <v>6.21100779845963</v>
      </c>
      <c r="Q42" s="10" t="n">
        <v>0.161004466980062</v>
      </c>
      <c r="R42" s="9" t="n">
        <v>5.5</v>
      </c>
      <c r="S42" s="12" t="n">
        <f aca="false">IF(AND(ISNUMBER(R42),R42&gt;1,P42&gt;0),R42/P42-1,"")</f>
        <v>-0.11447543160966</v>
      </c>
      <c r="T42" s="9" t="n">
        <f aca="false">IF(AND(ISNUMBER(P42),P42&gt;0),P42*EXP('Read me'!$B$22),"")</f>
        <v>7.58614205599292</v>
      </c>
    </row>
    <row r="43" customFormat="false" ht="15" hidden="false" customHeight="false" outlineLevel="0" collapsed="false">
      <c r="A43" s="15" t="s">
        <v>76</v>
      </c>
      <c r="B43" s="15" t="s">
        <v>42</v>
      </c>
      <c r="C43" s="15" t="s">
        <v>77</v>
      </c>
      <c r="D43" s="15"/>
      <c r="E43" s="16" t="n">
        <v>13</v>
      </c>
      <c r="F43" s="15" t="s">
        <v>357</v>
      </c>
      <c r="G43" s="8" t="n">
        <v>10</v>
      </c>
      <c r="H43" s="15" t="s">
        <v>443</v>
      </c>
      <c r="I43" s="15" t="s">
        <v>45</v>
      </c>
      <c r="J43" s="15" t="s">
        <v>444</v>
      </c>
      <c r="K43" s="8" t="n">
        <v>2</v>
      </c>
      <c r="L43" s="8" t="n">
        <v>84</v>
      </c>
      <c r="M43" s="8" t="n">
        <v>5</v>
      </c>
      <c r="N43" s="8" t="n">
        <v>20</v>
      </c>
      <c r="O43" s="8" t="n">
        <v>4</v>
      </c>
      <c r="P43" s="9" t="n">
        <v>6.73534502933132</v>
      </c>
      <c r="Q43" s="10" t="n">
        <v>0.148470493440969</v>
      </c>
      <c r="R43" s="9" t="n">
        <v>5.5</v>
      </c>
      <c r="S43" s="12" t="n">
        <f aca="false">IF(AND(ISNUMBER(R43),R43&gt;1,P43&gt;0),R43/P43-1,"")</f>
        <v>-0.18341228607467</v>
      </c>
      <c r="T43" s="9" t="n">
        <f aca="false">IF(AND(ISNUMBER(P43),P43&gt;0),P43*EXP('Read me'!$B$22),"")</f>
        <v>8.22656899598567</v>
      </c>
    </row>
    <row r="44" customFormat="false" ht="15" hidden="false" customHeight="false" outlineLevel="0" collapsed="false">
      <c r="A44" s="15" t="s">
        <v>76</v>
      </c>
      <c r="B44" s="15" t="s">
        <v>42</v>
      </c>
      <c r="C44" s="15" t="s">
        <v>77</v>
      </c>
      <c r="D44" s="15"/>
      <c r="E44" s="16" t="n">
        <v>13</v>
      </c>
      <c r="F44" s="15" t="s">
        <v>357</v>
      </c>
      <c r="G44" s="8" t="n">
        <v>10</v>
      </c>
      <c r="H44" s="15" t="s">
        <v>445</v>
      </c>
      <c r="I44" s="15" t="s">
        <v>226</v>
      </c>
      <c r="J44" s="15" t="s">
        <v>446</v>
      </c>
      <c r="K44" s="8" t="n">
        <v>1</v>
      </c>
      <c r="L44" s="8" t="n">
        <v>84</v>
      </c>
      <c r="M44" s="8" t="n">
        <v>3</v>
      </c>
      <c r="N44" s="8" t="n">
        <v>37</v>
      </c>
      <c r="O44" s="8" t="n">
        <v>5</v>
      </c>
      <c r="P44" s="9" t="n">
        <v>13.0415161405213</v>
      </c>
      <c r="Q44" s="10" t="n">
        <v>0.0766782013091941</v>
      </c>
      <c r="R44" s="9" t="n">
        <v>10</v>
      </c>
      <c r="S44" s="12" t="n">
        <f aca="false">IF(AND(ISNUMBER(R44),R44&gt;1,P44&gt;0),R44/P44-1,"")</f>
        <v>-0.233217986908059</v>
      </c>
      <c r="T44" s="9" t="n">
        <f aca="false">IF(AND(ISNUMBER(P44),P44&gt;0),P44*EXP('Read me'!$B$22),"")</f>
        <v>15.9289437846231</v>
      </c>
    </row>
    <row r="45" customFormat="false" ht="15" hidden="false" customHeight="false" outlineLevel="0" collapsed="false">
      <c r="A45" s="15" t="s">
        <v>76</v>
      </c>
      <c r="B45" s="15" t="s">
        <v>42</v>
      </c>
      <c r="C45" s="15" t="s">
        <v>77</v>
      </c>
      <c r="D45" s="15"/>
      <c r="E45" s="16" t="n">
        <v>13</v>
      </c>
      <c r="F45" s="15" t="s">
        <v>357</v>
      </c>
      <c r="G45" s="8" t="n">
        <v>10</v>
      </c>
      <c r="H45" s="15" t="s">
        <v>447</v>
      </c>
      <c r="I45" s="15" t="s">
        <v>448</v>
      </c>
      <c r="J45" s="15" t="s">
        <v>396</v>
      </c>
      <c r="K45" s="8" t="n">
        <v>8</v>
      </c>
      <c r="L45" s="8" t="n">
        <v>78</v>
      </c>
      <c r="M45" s="8" t="n">
        <v>4</v>
      </c>
      <c r="N45" s="8" t="n">
        <v>108</v>
      </c>
      <c r="O45" s="8" t="n">
        <v>6</v>
      </c>
      <c r="P45" s="9" t="n">
        <v>13.8053919665288</v>
      </c>
      <c r="Q45" s="10" t="n">
        <v>0.0724354659704339</v>
      </c>
      <c r="R45" s="9" t="n">
        <v>12</v>
      </c>
      <c r="S45" s="12" t="n">
        <f aca="false">IF(AND(ISNUMBER(R45),R45&gt;1,P45&gt;0),R45/P45-1,"")</f>
        <v>-0.130774408354792</v>
      </c>
      <c r="T45" s="9" t="n">
        <f aca="false">IF(AND(ISNUMBER(P45),P45&gt;0),P45*EXP('Read me'!$B$22),"")</f>
        <v>16.8619438254005</v>
      </c>
    </row>
    <row r="46" customFormat="false" ht="15" hidden="false" customHeight="false" outlineLevel="0" collapsed="false">
      <c r="A46" s="15" t="s">
        <v>76</v>
      </c>
      <c r="B46" s="15" t="s">
        <v>42</v>
      </c>
      <c r="C46" s="15" t="s">
        <v>77</v>
      </c>
      <c r="D46" s="15"/>
      <c r="E46" s="16" t="n">
        <v>13</v>
      </c>
      <c r="F46" s="15" t="s">
        <v>357</v>
      </c>
      <c r="G46" s="8" t="n">
        <v>10</v>
      </c>
      <c r="H46" s="15" t="s">
        <v>449</v>
      </c>
      <c r="I46" s="15" t="s">
        <v>450</v>
      </c>
      <c r="J46" s="15" t="s">
        <v>80</v>
      </c>
      <c r="K46" s="8" t="n">
        <v>3</v>
      </c>
      <c r="L46" s="8" t="n">
        <v>84</v>
      </c>
      <c r="M46" s="8" t="n">
        <v>4</v>
      </c>
      <c r="N46" s="8" t="n">
        <v>37</v>
      </c>
      <c r="O46" s="8" t="n">
        <v>7</v>
      </c>
      <c r="P46" s="9" t="n">
        <v>14.9198514638945</v>
      </c>
      <c r="Q46" s="10" t="n">
        <v>0.0670247959518875</v>
      </c>
      <c r="R46" s="9" t="n">
        <v>13</v>
      </c>
      <c r="S46" s="12" t="n">
        <f aca="false">IF(AND(ISNUMBER(R46),R46&gt;1,P46&gt;0),R46/P46-1,"")</f>
        <v>-0.128677652625462</v>
      </c>
      <c r="T46" s="9" t="n">
        <f aca="false">IF(AND(ISNUMBER(P46),P46&gt;0),P46*EXP('Read me'!$B$22),"")</f>
        <v>18.2231477293408</v>
      </c>
    </row>
    <row r="47" customFormat="false" ht="15" hidden="false" customHeight="false" outlineLevel="0" collapsed="false">
      <c r="A47" s="15" t="s">
        <v>76</v>
      </c>
      <c r="B47" s="15" t="s">
        <v>42</v>
      </c>
      <c r="C47" s="15" t="s">
        <v>77</v>
      </c>
      <c r="D47" s="15"/>
      <c r="E47" s="16" t="n">
        <v>13</v>
      </c>
      <c r="F47" s="15" t="s">
        <v>357</v>
      </c>
      <c r="G47" s="8" t="n">
        <v>10</v>
      </c>
      <c r="H47" s="15" t="s">
        <v>451</v>
      </c>
      <c r="I47" s="15" t="s">
        <v>255</v>
      </c>
      <c r="J47" s="15" t="s">
        <v>452</v>
      </c>
      <c r="K47" s="8" t="n">
        <v>4</v>
      </c>
      <c r="L47" s="8" t="n">
        <v>69</v>
      </c>
      <c r="M47" s="8" t="n">
        <v>5</v>
      </c>
      <c r="N47" s="8" t="n">
        <v>59</v>
      </c>
      <c r="O47" s="8" t="n">
        <v>8</v>
      </c>
      <c r="P47" s="9" t="n">
        <v>26.9876184991093</v>
      </c>
      <c r="Q47" s="10" t="n">
        <v>0.0370540290553242</v>
      </c>
      <c r="R47" s="9" t="n">
        <v>21</v>
      </c>
      <c r="S47" s="12" t="n">
        <f aca="false">IF(AND(ISNUMBER(R47),R47&gt;1,P47&gt;0),R47/P47-1,"")</f>
        <v>-0.221865389838192</v>
      </c>
      <c r="T47" s="9" t="n">
        <f aca="false">IF(AND(ISNUMBER(P47),P47&gt;0),P47*EXP('Read me'!$B$22),"")</f>
        <v>32.9627516709865</v>
      </c>
    </row>
    <row r="48" customFormat="false" ht="15" hidden="false" customHeight="false" outlineLevel="0" collapsed="false">
      <c r="A48" s="15" t="s">
        <v>76</v>
      </c>
      <c r="B48" s="15" t="s">
        <v>42</v>
      </c>
      <c r="C48" s="15" t="s">
        <v>77</v>
      </c>
      <c r="D48" s="15"/>
      <c r="E48" s="16" t="n">
        <v>13</v>
      </c>
      <c r="F48" s="15" t="s">
        <v>357</v>
      </c>
      <c r="G48" s="8" t="n">
        <v>10</v>
      </c>
      <c r="H48" s="15" t="s">
        <v>453</v>
      </c>
      <c r="I48" s="15" t="s">
        <v>358</v>
      </c>
      <c r="J48" s="15" t="s">
        <v>256</v>
      </c>
      <c r="K48" s="8" t="n">
        <v>6</v>
      </c>
      <c r="L48" s="8" t="n">
        <v>83</v>
      </c>
      <c r="M48" s="8" t="n">
        <v>7</v>
      </c>
      <c r="N48" s="8" t="n">
        <v>7</v>
      </c>
      <c r="O48" s="8" t="n">
        <v>9</v>
      </c>
      <c r="P48" s="9" t="n">
        <v>36.0383207816514</v>
      </c>
      <c r="Q48" s="10" t="n">
        <v>0.0277482407146212</v>
      </c>
      <c r="R48" s="9" t="n">
        <v>17</v>
      </c>
      <c r="S48" s="12" t="n">
        <f aca="false">IF(AND(ISNUMBER(R48),R48&gt;1,P48&gt;0),R48/P48-1,"")</f>
        <v>-0.528279907851438</v>
      </c>
      <c r="T48" s="9" t="n">
        <f aca="false">IF(AND(ISNUMBER(P48),P48&gt;0),P48*EXP('Read me'!$B$22),"")</f>
        <v>44.0173044021699</v>
      </c>
    </row>
    <row r="49" customFormat="false" ht="15" hidden="false" customHeight="false" outlineLevel="0" collapsed="false">
      <c r="A49" s="15" t="s">
        <v>76</v>
      </c>
      <c r="B49" s="15" t="s">
        <v>42</v>
      </c>
      <c r="C49" s="15" t="s">
        <v>77</v>
      </c>
      <c r="D49" s="15"/>
      <c r="E49" s="16" t="n">
        <v>13</v>
      </c>
      <c r="F49" s="15" t="s">
        <v>357</v>
      </c>
      <c r="G49" s="8" t="n">
        <v>10</v>
      </c>
      <c r="H49" s="15" t="s">
        <v>454</v>
      </c>
      <c r="I49" s="15" t="s">
        <v>455</v>
      </c>
      <c r="J49" s="15" t="s">
        <v>80</v>
      </c>
      <c r="K49" s="8" t="n">
        <v>10</v>
      </c>
      <c r="L49" s="8" t="n">
        <v>86</v>
      </c>
      <c r="M49" s="8" t="n">
        <v>4</v>
      </c>
      <c r="N49" s="8" t="n">
        <v>20</v>
      </c>
      <c r="O49" s="8" t="n">
        <v>10</v>
      </c>
      <c r="P49" s="9" t="n">
        <v>53.3899883879229</v>
      </c>
      <c r="Q49" s="10" t="n">
        <v>0.0187301033432366</v>
      </c>
      <c r="R49" s="9" t="n">
        <v>26</v>
      </c>
      <c r="S49" s="12" t="n">
        <f aca="false">IF(AND(ISNUMBER(R49),R49&gt;1,P49&gt;0),R49/P49-1,"")</f>
        <v>-0.513017313075848</v>
      </c>
      <c r="T49" s="9" t="n">
        <f aca="false">IF(AND(ISNUMBER(P49),P49&gt;0),P49*EXP('Read me'!$B$22),"")</f>
        <v>65.2106790751485</v>
      </c>
    </row>
    <row r="50" customFormat="false" ht="15" hidden="false" customHeight="false" outlineLevel="0" collapsed="false">
      <c r="A50" s="15" t="s">
        <v>82</v>
      </c>
      <c r="B50" s="15" t="s">
        <v>49</v>
      </c>
      <c r="C50" s="15" t="s">
        <v>83</v>
      </c>
      <c r="D50" s="15" t="s">
        <v>456</v>
      </c>
      <c r="E50" s="16" t="n">
        <v>7</v>
      </c>
      <c r="F50" s="15" t="s">
        <v>371</v>
      </c>
      <c r="G50" s="8" t="n">
        <v>4</v>
      </c>
      <c r="H50" s="15" t="s">
        <v>84</v>
      </c>
      <c r="I50" s="15" t="s">
        <v>85</v>
      </c>
      <c r="J50" s="15" t="s">
        <v>86</v>
      </c>
      <c r="K50" s="8" t="n">
        <v>6</v>
      </c>
      <c r="L50" s="8" t="n">
        <v>0</v>
      </c>
      <c r="M50" s="8" t="n">
        <v>3</v>
      </c>
      <c r="N50" s="8"/>
      <c r="O50" s="8" t="n">
        <v>1</v>
      </c>
      <c r="P50" s="9" t="n">
        <v>2.55144014050802</v>
      </c>
      <c r="Q50" s="10" t="n">
        <v>0.391935512859372</v>
      </c>
      <c r="R50" s="9" t="n">
        <v>1.57142857142857</v>
      </c>
      <c r="S50" s="12" t="n">
        <f aca="false">IF(AND(ISNUMBER(R50),R50&gt;1,P50&gt;0),R50/P50-1,"")</f>
        <v>-0.384101336935273</v>
      </c>
      <c r="T50" s="9" t="n">
        <f aca="false">IF(AND(ISNUMBER(P50),P50&gt;0),P50*EXP('Read me'!$B$22),"")</f>
        <v>3.11633602489707</v>
      </c>
    </row>
    <row r="51" customFormat="false" ht="15" hidden="false" customHeight="false" outlineLevel="0" collapsed="false">
      <c r="A51" s="15" t="s">
        <v>82</v>
      </c>
      <c r="B51" s="15" t="s">
        <v>49</v>
      </c>
      <c r="C51" s="15" t="s">
        <v>83</v>
      </c>
      <c r="D51" s="15" t="s">
        <v>456</v>
      </c>
      <c r="E51" s="16" t="n">
        <v>7</v>
      </c>
      <c r="F51" s="15" t="s">
        <v>371</v>
      </c>
      <c r="G51" s="8" t="n">
        <v>4</v>
      </c>
      <c r="H51" s="15" t="s">
        <v>87</v>
      </c>
      <c r="I51" s="15" t="s">
        <v>457</v>
      </c>
      <c r="J51" s="15" t="s">
        <v>458</v>
      </c>
      <c r="K51" s="8" t="n">
        <v>3</v>
      </c>
      <c r="L51" s="8" t="n">
        <v>74</v>
      </c>
      <c r="M51" s="8" t="n">
        <v>3</v>
      </c>
      <c r="N51" s="8" t="n">
        <v>11</v>
      </c>
      <c r="O51" s="8" t="n">
        <v>2</v>
      </c>
      <c r="P51" s="9" t="n">
        <v>2.98433103161612</v>
      </c>
      <c r="Q51" s="10" t="n">
        <v>0.335083470769817</v>
      </c>
      <c r="R51" s="9" t="n">
        <v>3</v>
      </c>
      <c r="S51" s="12" t="n">
        <f aca="false">IF(AND(ISNUMBER(R51),R51&gt;1,P51&gt;0),R51/P51-1,"")</f>
        <v>0.00525041230945167</v>
      </c>
      <c r="T51" s="9" t="n">
        <f aca="false">IF(AND(ISNUMBER(P51),P51&gt;0),P51*EXP('Read me'!$B$22),"")</f>
        <v>3.64507015327892</v>
      </c>
    </row>
    <row r="52" customFormat="false" ht="15" hidden="false" customHeight="false" outlineLevel="0" collapsed="false">
      <c r="A52" s="15" t="s">
        <v>82</v>
      </c>
      <c r="B52" s="15" t="s">
        <v>49</v>
      </c>
      <c r="C52" s="15" t="s">
        <v>83</v>
      </c>
      <c r="D52" s="15" t="s">
        <v>456</v>
      </c>
      <c r="E52" s="16" t="n">
        <v>7</v>
      </c>
      <c r="F52" s="15" t="s">
        <v>371</v>
      </c>
      <c r="G52" s="8" t="n">
        <v>4</v>
      </c>
      <c r="H52" s="15" t="s">
        <v>459</v>
      </c>
      <c r="I52" s="15" t="s">
        <v>460</v>
      </c>
      <c r="J52" s="15" t="s">
        <v>461</v>
      </c>
      <c r="K52" s="8" t="n">
        <v>1</v>
      </c>
      <c r="L52" s="8" t="n">
        <v>0</v>
      </c>
      <c r="M52" s="8" t="n">
        <v>3</v>
      </c>
      <c r="N52" s="8" t="n">
        <v>25</v>
      </c>
      <c r="O52" s="8" t="n">
        <v>3</v>
      </c>
      <c r="P52" s="9" t="n">
        <v>3.80716302154676</v>
      </c>
      <c r="Q52" s="10" t="n">
        <v>0.262662773918655</v>
      </c>
      <c r="R52" s="9" t="n">
        <v>7</v>
      </c>
      <c r="S52" s="12" t="n">
        <f aca="false">IF(AND(ISNUMBER(R52),R52&gt;1,P52&gt;0),R52/P52-1,"")</f>
        <v>0.838639417430585</v>
      </c>
      <c r="T52" s="9" t="n">
        <f aca="false">IF(AND(ISNUMBER(P52),P52&gt;0),P52*EXP('Read me'!$B$22),"")</f>
        <v>4.65007941528262</v>
      </c>
    </row>
    <row r="53" customFormat="false" ht="15" hidden="false" customHeight="false" outlineLevel="0" collapsed="false">
      <c r="A53" s="15" t="s">
        <v>82</v>
      </c>
      <c r="B53" s="15" t="s">
        <v>49</v>
      </c>
      <c r="C53" s="15" t="s">
        <v>83</v>
      </c>
      <c r="D53" s="15" t="s">
        <v>456</v>
      </c>
      <c r="E53" s="16" t="n">
        <v>7</v>
      </c>
      <c r="F53" s="15" t="s">
        <v>371</v>
      </c>
      <c r="G53" s="8" t="n">
        <v>4</v>
      </c>
      <c r="H53" s="15" t="s">
        <v>462</v>
      </c>
      <c r="I53" s="15" t="s">
        <v>463</v>
      </c>
      <c r="J53" s="15" t="s">
        <v>464</v>
      </c>
      <c r="K53" s="8" t="n">
        <v>5</v>
      </c>
      <c r="L53" s="8" t="n">
        <v>0</v>
      </c>
      <c r="M53" s="8" t="n">
        <v>4</v>
      </c>
      <c r="N53" s="8" t="n">
        <v>32</v>
      </c>
      <c r="O53" s="8" t="n">
        <v>4</v>
      </c>
      <c r="P53" s="9" t="n">
        <v>96.9157300419011</v>
      </c>
      <c r="Q53" s="10" t="n">
        <v>0.0103182424521556</v>
      </c>
      <c r="R53" s="9" t="n">
        <v>101</v>
      </c>
      <c r="S53" s="12" t="n">
        <f aca="false">IF(AND(ISNUMBER(R53),R53&gt;1,P53&gt;0),R53/P53-1,"")</f>
        <v>0.0421424876677201</v>
      </c>
      <c r="T53" s="9" t="n">
        <f aca="false">IF(AND(ISNUMBER(P53),P53&gt;0),P53*EXP('Read me'!$B$22),"")</f>
        <v>118.373139982284</v>
      </c>
    </row>
    <row r="54" customFormat="false" ht="15" hidden="false" customHeight="false" outlineLevel="0" collapsed="false">
      <c r="A54" s="15" t="s">
        <v>88</v>
      </c>
      <c r="B54" s="15" t="s">
        <v>56</v>
      </c>
      <c r="C54" s="15" t="s">
        <v>89</v>
      </c>
      <c r="D54" s="15"/>
      <c r="E54" s="16" t="n">
        <v>15.5</v>
      </c>
      <c r="F54" s="15" t="s">
        <v>357</v>
      </c>
      <c r="G54" s="8" t="n">
        <v>16</v>
      </c>
      <c r="H54" s="15" t="s">
        <v>90</v>
      </c>
      <c r="I54" s="15" t="s">
        <v>91</v>
      </c>
      <c r="J54" s="15" t="s">
        <v>92</v>
      </c>
      <c r="K54" s="8" t="n">
        <v>3</v>
      </c>
      <c r="L54" s="8" t="n">
        <v>95</v>
      </c>
      <c r="M54" s="8" t="n">
        <v>6</v>
      </c>
      <c r="N54" s="8" t="n">
        <v>31</v>
      </c>
      <c r="O54" s="8" t="n">
        <v>1</v>
      </c>
      <c r="P54" s="9" t="n">
        <v>3.93562199462767</v>
      </c>
      <c r="Q54" s="10" t="n">
        <v>0.25408944287969</v>
      </c>
      <c r="R54" s="9" t="n">
        <v>4</v>
      </c>
      <c r="S54" s="12" t="n">
        <f aca="false">IF(AND(ISNUMBER(R54),R54&gt;1,P54&gt;0),R54/P54-1,"")</f>
        <v>0.0163577715187599</v>
      </c>
      <c r="T54" s="9" t="n">
        <f aca="false">IF(AND(ISNUMBER(P54),P54&gt;0),P54*EXP('Read me'!$B$22),"")</f>
        <v>4.80697955931407</v>
      </c>
    </row>
    <row r="55" customFormat="false" ht="15" hidden="false" customHeight="false" outlineLevel="0" collapsed="false">
      <c r="A55" s="15" t="s">
        <v>88</v>
      </c>
      <c r="B55" s="15" t="s">
        <v>56</v>
      </c>
      <c r="C55" s="15" t="s">
        <v>89</v>
      </c>
      <c r="D55" s="15"/>
      <c r="E55" s="16" t="n">
        <v>15.5</v>
      </c>
      <c r="F55" s="15" t="s">
        <v>357</v>
      </c>
      <c r="G55" s="8" t="n">
        <v>16</v>
      </c>
      <c r="H55" s="15" t="s">
        <v>93</v>
      </c>
      <c r="I55" s="15" t="s">
        <v>465</v>
      </c>
      <c r="J55" s="15" t="s">
        <v>466</v>
      </c>
      <c r="K55" s="8" t="n">
        <v>2</v>
      </c>
      <c r="L55" s="8" t="n">
        <v>95</v>
      </c>
      <c r="M55" s="8" t="n">
        <v>5</v>
      </c>
      <c r="N55" s="8" t="n">
        <v>43</v>
      </c>
      <c r="O55" s="8" t="n">
        <v>2</v>
      </c>
      <c r="P55" s="9" t="n">
        <v>8.67108640040703</v>
      </c>
      <c r="Q55" s="10" t="n">
        <v>0.115325802768274</v>
      </c>
      <c r="R55" s="9" t="n">
        <v>7</v>
      </c>
      <c r="S55" s="12" t="n">
        <f aca="false">IF(AND(ISNUMBER(R55),R55&gt;1,P55&gt;0),R55/P55-1,"")</f>
        <v>-0.192719380622085</v>
      </c>
      <c r="T55" s="9" t="n">
        <f aca="false">IF(AND(ISNUMBER(P55),P55&gt;0),P55*EXP('Read me'!$B$22),"")</f>
        <v>10.5908888457023</v>
      </c>
    </row>
    <row r="56" customFormat="false" ht="15" hidden="false" customHeight="false" outlineLevel="0" collapsed="false">
      <c r="A56" s="15" t="s">
        <v>88</v>
      </c>
      <c r="B56" s="15" t="s">
        <v>56</v>
      </c>
      <c r="C56" s="15" t="s">
        <v>89</v>
      </c>
      <c r="D56" s="15"/>
      <c r="E56" s="16" t="n">
        <v>15.5</v>
      </c>
      <c r="F56" s="15" t="s">
        <v>357</v>
      </c>
      <c r="G56" s="8" t="n">
        <v>16</v>
      </c>
      <c r="H56" s="15" t="s">
        <v>467</v>
      </c>
      <c r="I56" s="15" t="s">
        <v>398</v>
      </c>
      <c r="J56" s="15" t="s">
        <v>468</v>
      </c>
      <c r="K56" s="8" t="n">
        <v>12</v>
      </c>
      <c r="L56" s="8" t="n">
        <v>82</v>
      </c>
      <c r="M56" s="8" t="n">
        <v>7</v>
      </c>
      <c r="N56" s="8" t="n">
        <v>13</v>
      </c>
      <c r="O56" s="8" t="n">
        <v>3</v>
      </c>
      <c r="P56" s="9" t="n">
        <v>10.0706534054098</v>
      </c>
      <c r="Q56" s="10" t="n">
        <v>0.0992984228275415</v>
      </c>
      <c r="R56" s="9" t="n">
        <v>5</v>
      </c>
      <c r="S56" s="12" t="n">
        <f aca="false">IF(AND(ISNUMBER(R56),R56&gt;1,P56&gt;0),R56/P56-1,"")</f>
        <v>-0.503507885862293</v>
      </c>
      <c r="T56" s="9" t="n">
        <f aca="false">IF(AND(ISNUMBER(P56),P56&gt;0),P56*EXP('Read me'!$B$22),"")</f>
        <v>12.3003238458426</v>
      </c>
    </row>
    <row r="57" customFormat="false" ht="15" hidden="false" customHeight="false" outlineLevel="0" collapsed="false">
      <c r="A57" s="15" t="s">
        <v>88</v>
      </c>
      <c r="B57" s="15" t="s">
        <v>56</v>
      </c>
      <c r="C57" s="15" t="s">
        <v>89</v>
      </c>
      <c r="D57" s="15"/>
      <c r="E57" s="16" t="n">
        <v>15.5</v>
      </c>
      <c r="F57" s="15" t="s">
        <v>357</v>
      </c>
      <c r="G57" s="8" t="n">
        <v>16</v>
      </c>
      <c r="H57" s="15" t="s">
        <v>469</v>
      </c>
      <c r="I57" s="15" t="s">
        <v>470</v>
      </c>
      <c r="J57" s="15" t="s">
        <v>471</v>
      </c>
      <c r="K57" s="8" t="n">
        <v>1</v>
      </c>
      <c r="L57" s="8" t="n">
        <v>95</v>
      </c>
      <c r="M57" s="8" t="n">
        <v>6</v>
      </c>
      <c r="N57" s="8" t="n">
        <v>139</v>
      </c>
      <c r="O57" s="8" t="n">
        <v>4</v>
      </c>
      <c r="P57" s="9" t="n">
        <v>10.4191825705799</v>
      </c>
      <c r="Q57" s="10" t="n">
        <v>0.0959768190283614</v>
      </c>
      <c r="R57" s="9" t="n">
        <v>12</v>
      </c>
      <c r="S57" s="12" t="n">
        <f aca="false">IF(AND(ISNUMBER(R57),R57&gt;1,P57&gt;0),R57/P57-1,"")</f>
        <v>0.151721828340336</v>
      </c>
      <c r="T57" s="9" t="n">
        <f aca="false">IF(AND(ISNUMBER(P57),P57&gt;0),P57*EXP('Read me'!$B$22),"")</f>
        <v>12.7260183294806</v>
      </c>
    </row>
    <row r="58" customFormat="false" ht="15" hidden="false" customHeight="false" outlineLevel="0" collapsed="false">
      <c r="A58" s="15" t="s">
        <v>88</v>
      </c>
      <c r="B58" s="15" t="s">
        <v>56</v>
      </c>
      <c r="C58" s="15" t="s">
        <v>89</v>
      </c>
      <c r="D58" s="15"/>
      <c r="E58" s="16" t="n">
        <v>15.5</v>
      </c>
      <c r="F58" s="15" t="s">
        <v>357</v>
      </c>
      <c r="G58" s="8" t="n">
        <v>16</v>
      </c>
      <c r="H58" s="15" t="s">
        <v>472</v>
      </c>
      <c r="I58" s="15" t="s">
        <v>473</v>
      </c>
      <c r="J58" s="15" t="s">
        <v>474</v>
      </c>
      <c r="K58" s="8" t="n">
        <v>4</v>
      </c>
      <c r="L58" s="8" t="n">
        <v>95</v>
      </c>
      <c r="M58" s="8" t="n">
        <v>6</v>
      </c>
      <c r="N58" s="8" t="n">
        <v>245</v>
      </c>
      <c r="O58" s="8" t="n">
        <v>5</v>
      </c>
      <c r="P58" s="9" t="n">
        <v>12.8811682726954</v>
      </c>
      <c r="Q58" s="10" t="n">
        <v>0.0776327099242796</v>
      </c>
      <c r="R58" s="9" t="n">
        <v>7</v>
      </c>
      <c r="S58" s="12" t="n">
        <f aca="false">IF(AND(ISNUMBER(R58),R58&gt;1,P58&gt;0),R58/P58-1,"")</f>
        <v>-0.456571030530042</v>
      </c>
      <c r="T58" s="9" t="n">
        <f aca="false">IF(AND(ISNUMBER(P58),P58&gt;0),P58*EXP('Read me'!$B$22),"")</f>
        <v>15.7330944565955</v>
      </c>
    </row>
    <row r="59" customFormat="false" ht="15" hidden="false" customHeight="false" outlineLevel="0" collapsed="false">
      <c r="A59" s="15" t="s">
        <v>88</v>
      </c>
      <c r="B59" s="15" t="s">
        <v>56</v>
      </c>
      <c r="C59" s="15" t="s">
        <v>89</v>
      </c>
      <c r="D59" s="15"/>
      <c r="E59" s="16" t="n">
        <v>15.5</v>
      </c>
      <c r="F59" s="15" t="s">
        <v>357</v>
      </c>
      <c r="G59" s="8" t="n">
        <v>16</v>
      </c>
      <c r="H59" s="15" t="s">
        <v>475</v>
      </c>
      <c r="I59" s="15" t="s">
        <v>391</v>
      </c>
      <c r="J59" s="15" t="s">
        <v>476</v>
      </c>
      <c r="K59" s="8" t="n">
        <v>5</v>
      </c>
      <c r="L59" s="8" t="n">
        <v>95</v>
      </c>
      <c r="M59" s="8" t="n">
        <v>8</v>
      </c>
      <c r="N59" s="8" t="n">
        <v>84</v>
      </c>
      <c r="O59" s="8" t="n">
        <v>6</v>
      </c>
      <c r="P59" s="9" t="n">
        <v>14.0541885988793</v>
      </c>
      <c r="Q59" s="10" t="n">
        <v>0.0711531649774319</v>
      </c>
      <c r="R59" s="9" t="n">
        <v>21</v>
      </c>
      <c r="S59" s="12" t="n">
        <f aca="false">IF(AND(ISNUMBER(R59),R59&gt;1,P59&gt;0),R59/P59-1,"")</f>
        <v>0.49421646452607</v>
      </c>
      <c r="T59" s="9" t="n">
        <f aca="false">IF(AND(ISNUMBER(P59),P59&gt;0),P59*EXP('Read me'!$B$22),"")</f>
        <v>17.1658247183744</v>
      </c>
    </row>
    <row r="60" customFormat="false" ht="15" hidden="false" customHeight="false" outlineLevel="0" collapsed="false">
      <c r="A60" s="15" t="s">
        <v>88</v>
      </c>
      <c r="B60" s="15" t="s">
        <v>56</v>
      </c>
      <c r="C60" s="15" t="s">
        <v>89</v>
      </c>
      <c r="D60" s="15"/>
      <c r="E60" s="16" t="n">
        <v>15.5</v>
      </c>
      <c r="F60" s="15" t="s">
        <v>357</v>
      </c>
      <c r="G60" s="8" t="n">
        <v>16</v>
      </c>
      <c r="H60" s="15" t="s">
        <v>477</v>
      </c>
      <c r="I60" s="15" t="s">
        <v>478</v>
      </c>
      <c r="J60" s="15" t="s">
        <v>479</v>
      </c>
      <c r="K60" s="8" t="n">
        <v>8</v>
      </c>
      <c r="L60" s="8" t="n">
        <v>92</v>
      </c>
      <c r="M60" s="8" t="n">
        <v>6</v>
      </c>
      <c r="N60" s="8" t="n">
        <v>137</v>
      </c>
      <c r="O60" s="8" t="n">
        <v>7</v>
      </c>
      <c r="P60" s="9" t="n">
        <v>19.5983447965036</v>
      </c>
      <c r="Q60" s="10" t="n">
        <v>0.0510247171576655</v>
      </c>
      <c r="R60" s="9" t="n">
        <v>19</v>
      </c>
      <c r="S60" s="12" t="n">
        <f aca="false">IF(AND(ISNUMBER(R60),R60&gt;1,P60&gt;0),R60/P60-1,"")</f>
        <v>-0.0305303740043557</v>
      </c>
      <c r="T60" s="9" t="n">
        <f aca="false">IF(AND(ISNUMBER(P60),P60&gt;0),P60*EXP('Read me'!$B$22),"")</f>
        <v>23.9374723898235</v>
      </c>
    </row>
    <row r="61" customFormat="false" ht="15" hidden="false" customHeight="false" outlineLevel="0" collapsed="false">
      <c r="A61" s="15" t="s">
        <v>88</v>
      </c>
      <c r="B61" s="15" t="s">
        <v>56</v>
      </c>
      <c r="C61" s="15" t="s">
        <v>89</v>
      </c>
      <c r="D61" s="15"/>
      <c r="E61" s="16" t="n">
        <v>15.5</v>
      </c>
      <c r="F61" s="15" t="s">
        <v>357</v>
      </c>
      <c r="G61" s="8" t="n">
        <v>16</v>
      </c>
      <c r="H61" s="15" t="s">
        <v>480</v>
      </c>
      <c r="I61" s="15" t="s">
        <v>481</v>
      </c>
      <c r="J61" s="15" t="s">
        <v>482</v>
      </c>
      <c r="K61" s="8" t="n">
        <v>16</v>
      </c>
      <c r="L61" s="8" t="n">
        <v>72</v>
      </c>
      <c r="M61" s="8" t="n">
        <v>6</v>
      </c>
      <c r="N61" s="8" t="n">
        <v>33</v>
      </c>
      <c r="O61" s="8" t="n">
        <v>8</v>
      </c>
      <c r="P61" s="9" t="n">
        <v>23.3257630248505</v>
      </c>
      <c r="Q61" s="10" t="n">
        <v>0.0428710520180898</v>
      </c>
      <c r="R61" s="9" t="n">
        <v>13</v>
      </c>
      <c r="S61" s="12" t="n">
        <f aca="false">IF(AND(ISNUMBER(R61),R61&gt;1,P61&gt;0),R61/P61-1,"")</f>
        <v>-0.442676323764832</v>
      </c>
      <c r="T61" s="9" t="n">
        <f aca="false">IF(AND(ISNUMBER(P61),P61&gt;0),P61*EXP('Read me'!$B$22),"")</f>
        <v>28.4901512947428</v>
      </c>
    </row>
    <row r="62" customFormat="false" ht="15" hidden="false" customHeight="false" outlineLevel="0" collapsed="false">
      <c r="A62" s="15" t="s">
        <v>88</v>
      </c>
      <c r="B62" s="15" t="s">
        <v>56</v>
      </c>
      <c r="C62" s="15" t="s">
        <v>89</v>
      </c>
      <c r="D62" s="15"/>
      <c r="E62" s="16" t="n">
        <v>15.5</v>
      </c>
      <c r="F62" s="15" t="s">
        <v>357</v>
      </c>
      <c r="G62" s="8" t="n">
        <v>16</v>
      </c>
      <c r="H62" s="15" t="s">
        <v>483</v>
      </c>
      <c r="I62" s="15" t="s">
        <v>484</v>
      </c>
      <c r="J62" s="15" t="s">
        <v>482</v>
      </c>
      <c r="K62" s="8" t="n">
        <v>9</v>
      </c>
      <c r="L62" s="8" t="n">
        <v>89</v>
      </c>
      <c r="M62" s="8" t="n">
        <v>5</v>
      </c>
      <c r="N62" s="8" t="n">
        <v>50</v>
      </c>
      <c r="O62" s="8" t="n">
        <v>9</v>
      </c>
      <c r="P62" s="9" t="n">
        <v>26.8040159349673</v>
      </c>
      <c r="Q62" s="10" t="n">
        <v>0.0373078423183387</v>
      </c>
      <c r="R62" s="9" t="n">
        <v>11</v>
      </c>
      <c r="S62" s="12" t="n">
        <f aca="false">IF(AND(ISNUMBER(R62),R62&gt;1,P62&gt;0),R62/P62-1,"")</f>
        <v>-0.589613734498274</v>
      </c>
      <c r="T62" s="9" t="n">
        <f aca="false">IF(AND(ISNUMBER(P62),P62&gt;0),P62*EXP('Read me'!$B$22),"")</f>
        <v>32.7384989927382</v>
      </c>
    </row>
    <row r="63" customFormat="false" ht="15" hidden="false" customHeight="false" outlineLevel="0" collapsed="false">
      <c r="A63" s="15" t="s">
        <v>88</v>
      </c>
      <c r="B63" s="15" t="s">
        <v>56</v>
      </c>
      <c r="C63" s="15" t="s">
        <v>89</v>
      </c>
      <c r="D63" s="15"/>
      <c r="E63" s="16" t="n">
        <v>15.5</v>
      </c>
      <c r="F63" s="15" t="s">
        <v>357</v>
      </c>
      <c r="G63" s="8" t="n">
        <v>16</v>
      </c>
      <c r="H63" s="15" t="s">
        <v>485</v>
      </c>
      <c r="I63" s="15" t="s">
        <v>486</v>
      </c>
      <c r="J63" s="15" t="s">
        <v>487</v>
      </c>
      <c r="K63" s="8" t="n">
        <v>7</v>
      </c>
      <c r="L63" s="8" t="n">
        <v>92</v>
      </c>
      <c r="M63" s="8" t="n">
        <v>6</v>
      </c>
      <c r="N63" s="8" t="n">
        <v>157</v>
      </c>
      <c r="O63" s="8" t="n">
        <v>10</v>
      </c>
      <c r="P63" s="9" t="n">
        <v>28.4370642115372</v>
      </c>
      <c r="Q63" s="10" t="n">
        <v>0.0351653740541292</v>
      </c>
      <c r="R63" s="9" t="n">
        <v>21</v>
      </c>
      <c r="S63" s="12" t="n">
        <f aca="false">IF(AND(ISNUMBER(R63),R63&gt;1,P63&gt;0),R63/P63-1,"")</f>
        <v>-0.261527144863285</v>
      </c>
      <c r="T63" s="9" t="n">
        <f aca="false">IF(AND(ISNUMBER(P63),P63&gt;0),P63*EXP('Read me'!$B$22),"")</f>
        <v>34.7331086619494</v>
      </c>
    </row>
    <row r="64" customFormat="false" ht="15" hidden="false" customHeight="false" outlineLevel="0" collapsed="false">
      <c r="A64" s="15" t="s">
        <v>88</v>
      </c>
      <c r="B64" s="15" t="s">
        <v>56</v>
      </c>
      <c r="C64" s="15" t="s">
        <v>89</v>
      </c>
      <c r="D64" s="15"/>
      <c r="E64" s="16" t="n">
        <v>15.5</v>
      </c>
      <c r="F64" s="15" t="s">
        <v>357</v>
      </c>
      <c r="G64" s="8" t="n">
        <v>16</v>
      </c>
      <c r="H64" s="15" t="s">
        <v>488</v>
      </c>
      <c r="I64" s="15" t="s">
        <v>489</v>
      </c>
      <c r="J64" s="15" t="s">
        <v>490</v>
      </c>
      <c r="K64" s="8" t="n">
        <v>14</v>
      </c>
      <c r="L64" s="8" t="n">
        <v>75</v>
      </c>
      <c r="M64" s="8" t="n">
        <v>5</v>
      </c>
      <c r="N64" s="8" t="n">
        <v>31</v>
      </c>
      <c r="O64" s="8" t="n">
        <v>11</v>
      </c>
      <c r="P64" s="9" t="n">
        <v>33.1293812066255</v>
      </c>
      <c r="Q64" s="10" t="n">
        <v>0.0301846869328187</v>
      </c>
      <c r="R64" s="9" t="n">
        <v>17</v>
      </c>
      <c r="S64" s="12" t="n">
        <f aca="false">IF(AND(ISNUMBER(R64),R64&gt;1,P64&gt;0),R64/P64-1,"")</f>
        <v>-0.486860322142081</v>
      </c>
      <c r="T64" s="9" t="n">
        <f aca="false">IF(AND(ISNUMBER(P64),P64&gt;0),P64*EXP('Read me'!$B$22),"")</f>
        <v>40.4643175819121</v>
      </c>
    </row>
    <row r="65" customFormat="false" ht="15" hidden="false" customHeight="false" outlineLevel="0" collapsed="false">
      <c r="A65" s="15" t="s">
        <v>88</v>
      </c>
      <c r="B65" s="15" t="s">
        <v>56</v>
      </c>
      <c r="C65" s="15" t="s">
        <v>89</v>
      </c>
      <c r="D65" s="15"/>
      <c r="E65" s="16" t="n">
        <v>15.5</v>
      </c>
      <c r="F65" s="15" t="s">
        <v>357</v>
      </c>
      <c r="G65" s="8" t="n">
        <v>16</v>
      </c>
      <c r="H65" s="15" t="s">
        <v>491</v>
      </c>
      <c r="I65" s="15" t="s">
        <v>492</v>
      </c>
      <c r="J65" s="15" t="s">
        <v>493</v>
      </c>
      <c r="K65" s="8" t="n">
        <v>15</v>
      </c>
      <c r="L65" s="8" t="n">
        <v>75</v>
      </c>
      <c r="M65" s="8" t="n">
        <v>9</v>
      </c>
      <c r="N65" s="8" t="n">
        <v>163</v>
      </c>
      <c r="O65" s="8" t="n">
        <v>12</v>
      </c>
      <c r="P65" s="9" t="n">
        <v>48.0272322679773</v>
      </c>
      <c r="Q65" s="10" t="n">
        <v>0.0208215204744738</v>
      </c>
      <c r="R65" s="9" t="n">
        <v>29</v>
      </c>
      <c r="S65" s="12" t="n">
        <f aca="false">IF(AND(ISNUMBER(R65),R65&gt;1,P65&gt;0),R65/P65-1,"")</f>
        <v>-0.396175906240258</v>
      </c>
      <c r="T65" s="9" t="n">
        <f aca="false">IF(AND(ISNUMBER(P65),P65&gt;0),P65*EXP('Read me'!$B$22),"")</f>
        <v>58.6605939589065</v>
      </c>
    </row>
    <row r="66" customFormat="false" ht="15" hidden="false" customHeight="false" outlineLevel="0" collapsed="false">
      <c r="A66" s="15" t="s">
        <v>88</v>
      </c>
      <c r="B66" s="15" t="s">
        <v>56</v>
      </c>
      <c r="C66" s="15" t="s">
        <v>89</v>
      </c>
      <c r="D66" s="15"/>
      <c r="E66" s="16" t="n">
        <v>15.5</v>
      </c>
      <c r="F66" s="15" t="s">
        <v>357</v>
      </c>
      <c r="G66" s="8" t="n">
        <v>16</v>
      </c>
      <c r="H66" s="15" t="s">
        <v>494</v>
      </c>
      <c r="I66" s="15" t="s">
        <v>495</v>
      </c>
      <c r="J66" s="15" t="s">
        <v>496</v>
      </c>
      <c r="K66" s="8" t="n">
        <v>11</v>
      </c>
      <c r="L66" s="8" t="n">
        <v>82</v>
      </c>
      <c r="M66" s="8" t="n">
        <v>6</v>
      </c>
      <c r="N66" s="8" t="n">
        <v>31</v>
      </c>
      <c r="O66" s="8" t="n">
        <v>13</v>
      </c>
      <c r="P66" s="9" t="n">
        <v>48.7989298589751</v>
      </c>
      <c r="Q66" s="10" t="n">
        <v>0.020492252655743</v>
      </c>
      <c r="R66" s="9" t="n">
        <v>17</v>
      </c>
      <c r="S66" s="12" t="n">
        <f aca="false">IF(AND(ISNUMBER(R66),R66&gt;1,P66&gt;0),R66/P66-1,"")</f>
        <v>-0.651631704852369</v>
      </c>
      <c r="T66" s="9" t="n">
        <f aca="false">IF(AND(ISNUMBER(P66),P66&gt;0),P66*EXP('Read me'!$B$22),"")</f>
        <v>59.6031475250168</v>
      </c>
    </row>
    <row r="67" customFormat="false" ht="15" hidden="false" customHeight="false" outlineLevel="0" collapsed="false">
      <c r="A67" s="15" t="s">
        <v>88</v>
      </c>
      <c r="B67" s="15" t="s">
        <v>56</v>
      </c>
      <c r="C67" s="15" t="s">
        <v>89</v>
      </c>
      <c r="D67" s="15"/>
      <c r="E67" s="16" t="n">
        <v>15.5</v>
      </c>
      <c r="F67" s="15" t="s">
        <v>357</v>
      </c>
      <c r="G67" s="8" t="n">
        <v>16</v>
      </c>
      <c r="H67" s="15" t="s">
        <v>497</v>
      </c>
      <c r="I67" s="15" t="s">
        <v>407</v>
      </c>
      <c r="J67" s="15" t="s">
        <v>498</v>
      </c>
      <c r="K67" s="8" t="n">
        <v>13</v>
      </c>
      <c r="L67" s="8" t="n">
        <v>82</v>
      </c>
      <c r="M67" s="8" t="n">
        <v>4</v>
      </c>
      <c r="N67" s="8" t="n">
        <v>33</v>
      </c>
      <c r="O67" s="8" t="n">
        <v>14</v>
      </c>
      <c r="P67" s="9" t="n">
        <v>50.9939954985164</v>
      </c>
      <c r="Q67" s="10" t="n">
        <v>0.0196101519448322</v>
      </c>
      <c r="R67" s="9" t="n">
        <v>26</v>
      </c>
      <c r="S67" s="12" t="n">
        <f aca="false">IF(AND(ISNUMBER(R67),R67&gt;1,P67&gt;0),R67/P67-1,"")</f>
        <v>-0.49013604943436</v>
      </c>
      <c r="T67" s="9" t="n">
        <f aca="false">IF(AND(ISNUMBER(P67),P67&gt;0),P67*EXP('Read me'!$B$22),"")</f>
        <v>62.2842067514952</v>
      </c>
    </row>
    <row r="68" customFormat="false" ht="15" hidden="false" customHeight="false" outlineLevel="0" collapsed="false">
      <c r="A68" s="15" t="s">
        <v>88</v>
      </c>
      <c r="B68" s="15" t="s">
        <v>56</v>
      </c>
      <c r="C68" s="15" t="s">
        <v>89</v>
      </c>
      <c r="D68" s="15"/>
      <c r="E68" s="16" t="n">
        <v>15.5</v>
      </c>
      <c r="F68" s="15" t="s">
        <v>357</v>
      </c>
      <c r="G68" s="8" t="n">
        <v>16</v>
      </c>
      <c r="H68" s="15" t="s">
        <v>499</v>
      </c>
      <c r="I68" s="15" t="s">
        <v>500</v>
      </c>
      <c r="J68" s="15" t="s">
        <v>501</v>
      </c>
      <c r="K68" s="8" t="n">
        <v>6</v>
      </c>
      <c r="L68" s="8" t="n">
        <v>94</v>
      </c>
      <c r="M68" s="8" t="n">
        <v>7</v>
      </c>
      <c r="N68" s="8" t="n">
        <v>25</v>
      </c>
      <c r="O68" s="8" t="n">
        <v>15</v>
      </c>
      <c r="P68" s="9" t="n">
        <v>58.3670756602088</v>
      </c>
      <c r="Q68" s="10" t="n">
        <v>0.0171329467630282</v>
      </c>
      <c r="R68" s="9" t="n">
        <v>51</v>
      </c>
      <c r="S68" s="12" t="n">
        <f aca="false">IF(AND(ISNUMBER(R68),R68&gt;1,P68&gt;0),R68/P68-1,"")</f>
        <v>-0.126219715085558</v>
      </c>
      <c r="T68" s="9" t="n">
        <f aca="false">IF(AND(ISNUMBER(P68),P68&gt;0),P68*EXP('Read me'!$B$22),"")</f>
        <v>71.2897071971223</v>
      </c>
    </row>
    <row r="69" customFormat="false" ht="15" hidden="false" customHeight="false" outlineLevel="0" collapsed="false">
      <c r="A69" s="15" t="s">
        <v>88</v>
      </c>
      <c r="B69" s="15" t="s">
        <v>56</v>
      </c>
      <c r="C69" s="15" t="s">
        <v>89</v>
      </c>
      <c r="D69" s="15"/>
      <c r="E69" s="16" t="n">
        <v>15.5</v>
      </c>
      <c r="F69" s="15" t="s">
        <v>357</v>
      </c>
      <c r="G69" s="8" t="n">
        <v>16</v>
      </c>
      <c r="H69" s="15" t="s">
        <v>502</v>
      </c>
      <c r="I69" s="15" t="s">
        <v>209</v>
      </c>
      <c r="J69" s="15" t="s">
        <v>503</v>
      </c>
      <c r="K69" s="8" t="n">
        <v>10</v>
      </c>
      <c r="L69" s="8" t="n">
        <v>86</v>
      </c>
      <c r="M69" s="8" t="n">
        <v>5</v>
      </c>
      <c r="N69" s="8" t="n">
        <v>90</v>
      </c>
      <c r="O69" s="8" t="n">
        <v>16</v>
      </c>
      <c r="P69" s="9" t="n">
        <v>83.9412549613089</v>
      </c>
      <c r="Q69" s="10" t="n">
        <v>0.0119130932753022</v>
      </c>
      <c r="R69" s="9" t="n">
        <v>34</v>
      </c>
      <c r="S69" s="12" t="n">
        <f aca="false">IF(AND(ISNUMBER(R69),R69&gt;1,P69&gt;0),R69/P69-1,"")</f>
        <v>-0.594954828639724</v>
      </c>
      <c r="T69" s="9" t="n">
        <f aca="false">IF(AND(ISNUMBER(P69),P69&gt;0),P69*EXP('Read me'!$B$22),"")</f>
        <v>102.526080333169</v>
      </c>
    </row>
    <row r="70" customFormat="false" ht="15" hidden="false" customHeight="false" outlineLevel="0" collapsed="false">
      <c r="A70" s="15" t="s">
        <v>94</v>
      </c>
      <c r="B70" s="15" t="s">
        <v>63</v>
      </c>
      <c r="C70" s="15" t="s">
        <v>95</v>
      </c>
      <c r="D70" s="15" t="s">
        <v>456</v>
      </c>
      <c r="E70" s="16" t="n">
        <v>5</v>
      </c>
      <c r="F70" s="15" t="s">
        <v>419</v>
      </c>
      <c r="G70" s="8" t="n">
        <v>6</v>
      </c>
      <c r="H70" s="15" t="s">
        <v>96</v>
      </c>
      <c r="I70" s="15" t="s">
        <v>97</v>
      </c>
      <c r="J70" s="15" t="s">
        <v>98</v>
      </c>
      <c r="K70" s="8" t="n">
        <v>6</v>
      </c>
      <c r="L70" s="8" t="n">
        <v>0</v>
      </c>
      <c r="M70" s="8" t="n">
        <v>2</v>
      </c>
      <c r="N70" s="8" t="n">
        <v>13</v>
      </c>
      <c r="O70" s="8" t="n">
        <v>1</v>
      </c>
      <c r="P70" s="9" t="n">
        <v>2.09029031906183</v>
      </c>
      <c r="Q70" s="10" t="n">
        <v>0.478402445287515</v>
      </c>
      <c r="R70" s="9" t="n">
        <v>2.75</v>
      </c>
      <c r="S70" s="12" t="n">
        <f aca="false">IF(AND(ISNUMBER(R70),R70&gt;1,P70&gt;0),R70/P70-1,"")</f>
        <v>0.315606724540665</v>
      </c>
      <c r="T70" s="9" t="n">
        <f aca="false">IF(AND(ISNUMBER(P70),P70&gt;0),P70*EXP('Read me'!$B$22),"")</f>
        <v>2.55308636105762</v>
      </c>
    </row>
    <row r="71" customFormat="false" ht="15" hidden="false" customHeight="false" outlineLevel="0" collapsed="false">
      <c r="A71" s="15" t="s">
        <v>94</v>
      </c>
      <c r="B71" s="15" t="s">
        <v>63</v>
      </c>
      <c r="C71" s="15" t="s">
        <v>95</v>
      </c>
      <c r="D71" s="15" t="s">
        <v>456</v>
      </c>
      <c r="E71" s="16" t="n">
        <v>5</v>
      </c>
      <c r="F71" s="15" t="s">
        <v>419</v>
      </c>
      <c r="G71" s="8" t="n">
        <v>6</v>
      </c>
      <c r="H71" s="15" t="s">
        <v>99</v>
      </c>
      <c r="I71" s="15" t="s">
        <v>126</v>
      </c>
      <c r="J71" s="15" t="s">
        <v>127</v>
      </c>
      <c r="K71" s="8" t="n">
        <v>3</v>
      </c>
      <c r="L71" s="8" t="n">
        <v>63</v>
      </c>
      <c r="M71" s="8" t="n">
        <v>2</v>
      </c>
      <c r="N71" s="8" t="n">
        <v>19</v>
      </c>
      <c r="O71" s="8" t="n">
        <v>2</v>
      </c>
      <c r="P71" s="9" t="n">
        <v>4.28624627347399</v>
      </c>
      <c r="Q71" s="10" t="n">
        <v>0.233304373150146</v>
      </c>
      <c r="R71" s="9" t="n">
        <v>2.625</v>
      </c>
      <c r="S71" s="12" t="n">
        <f aca="false">IF(AND(ISNUMBER(R71),R71&gt;1,P71&gt;0),R71/P71-1,"")</f>
        <v>-0.387576020480866</v>
      </c>
      <c r="T71" s="9" t="n">
        <f aca="false">IF(AND(ISNUMBER(P71),P71&gt;0),P71*EXP('Read me'!$B$22),"")</f>
        <v>5.23523302057488</v>
      </c>
    </row>
    <row r="72" customFormat="false" ht="15" hidden="false" customHeight="false" outlineLevel="0" collapsed="false">
      <c r="A72" s="15" t="s">
        <v>94</v>
      </c>
      <c r="B72" s="15" t="s">
        <v>63</v>
      </c>
      <c r="C72" s="15" t="s">
        <v>95</v>
      </c>
      <c r="D72" s="15" t="s">
        <v>456</v>
      </c>
      <c r="E72" s="16" t="n">
        <v>5</v>
      </c>
      <c r="F72" s="15" t="s">
        <v>419</v>
      </c>
      <c r="G72" s="8" t="n">
        <v>6</v>
      </c>
      <c r="H72" s="15" t="s">
        <v>504</v>
      </c>
      <c r="I72" s="15" t="s">
        <v>505</v>
      </c>
      <c r="J72" s="15" t="s">
        <v>506</v>
      </c>
      <c r="K72" s="8" t="n">
        <v>1</v>
      </c>
      <c r="L72" s="8" t="n">
        <v>0</v>
      </c>
      <c r="M72" s="8" t="n">
        <v>2</v>
      </c>
      <c r="N72" s="8" t="n">
        <v>12</v>
      </c>
      <c r="O72" s="8" t="n">
        <v>3</v>
      </c>
      <c r="P72" s="9" t="n">
        <v>7.94459661336018</v>
      </c>
      <c r="Q72" s="10" t="n">
        <v>0.125871714911029</v>
      </c>
      <c r="R72" s="9" t="n">
        <v>6</v>
      </c>
      <c r="S72" s="12" t="n">
        <f aca="false">IF(AND(ISNUMBER(R72),R72&gt;1,P72&gt;0),R72/P72-1,"")</f>
        <v>-0.244769710533825</v>
      </c>
      <c r="T72" s="9" t="n">
        <f aca="false">IF(AND(ISNUMBER(P72),P72&gt;0),P72*EXP('Read me'!$B$22),"")</f>
        <v>9.70355221602807</v>
      </c>
    </row>
    <row r="73" customFormat="false" ht="15" hidden="false" customHeight="false" outlineLevel="0" collapsed="false">
      <c r="A73" s="15" t="s">
        <v>94</v>
      </c>
      <c r="B73" s="15" t="s">
        <v>63</v>
      </c>
      <c r="C73" s="15" t="s">
        <v>95</v>
      </c>
      <c r="D73" s="15" t="s">
        <v>456</v>
      </c>
      <c r="E73" s="16" t="n">
        <v>5</v>
      </c>
      <c r="F73" s="15" t="s">
        <v>419</v>
      </c>
      <c r="G73" s="8" t="n">
        <v>6</v>
      </c>
      <c r="H73" s="15" t="s">
        <v>507</v>
      </c>
      <c r="I73" s="15" t="s">
        <v>508</v>
      </c>
      <c r="J73" s="15" t="s">
        <v>509</v>
      </c>
      <c r="K73" s="8" t="n">
        <v>2</v>
      </c>
      <c r="L73" s="8" t="n">
        <v>0</v>
      </c>
      <c r="M73" s="8" t="n">
        <v>2</v>
      </c>
      <c r="N73" s="8" t="n">
        <v>12</v>
      </c>
      <c r="O73" s="8" t="n">
        <v>4</v>
      </c>
      <c r="P73" s="9" t="n">
        <v>9.91948982416437</v>
      </c>
      <c r="Q73" s="10" t="n">
        <v>0.100811636256126</v>
      </c>
      <c r="R73" s="9" t="n">
        <v>9</v>
      </c>
      <c r="S73" s="12" t="n">
        <f aca="false">IF(AND(ISNUMBER(R73),R73&gt;1,P73&gt;0),R73/P73-1,"")</f>
        <v>-0.0926952736948673</v>
      </c>
      <c r="T73" s="9" t="n">
        <f aca="false">IF(AND(ISNUMBER(P73),P73&gt;0),P73*EXP('Read me'!$B$22),"")</f>
        <v>12.1156922307761</v>
      </c>
    </row>
    <row r="74" customFormat="false" ht="15" hidden="false" customHeight="false" outlineLevel="0" collapsed="false">
      <c r="A74" s="15" t="s">
        <v>94</v>
      </c>
      <c r="B74" s="15" t="s">
        <v>63</v>
      </c>
      <c r="C74" s="15" t="s">
        <v>95</v>
      </c>
      <c r="D74" s="15" t="s">
        <v>456</v>
      </c>
      <c r="E74" s="16" t="n">
        <v>5</v>
      </c>
      <c r="F74" s="15" t="s">
        <v>419</v>
      </c>
      <c r="G74" s="8" t="n">
        <v>6</v>
      </c>
      <c r="H74" s="15" t="s">
        <v>510</v>
      </c>
      <c r="I74" s="15" t="s">
        <v>511</v>
      </c>
      <c r="J74" s="15" t="s">
        <v>512</v>
      </c>
      <c r="K74" s="8" t="n">
        <v>5</v>
      </c>
      <c r="L74" s="8" t="n">
        <v>0</v>
      </c>
      <c r="M74" s="8" t="n">
        <v>2</v>
      </c>
      <c r="N74" s="8" t="n">
        <v>12</v>
      </c>
      <c r="O74" s="8" t="n">
        <v>5</v>
      </c>
      <c r="P74" s="9" t="n">
        <v>26.0970228938945</v>
      </c>
      <c r="Q74" s="10" t="n">
        <v>0.0383185470643838</v>
      </c>
      <c r="R74" s="9" t="n">
        <v>15</v>
      </c>
      <c r="S74" s="12" t="n">
        <f aca="false">IF(AND(ISNUMBER(R74),R74&gt;1,P74&gt;0),R74/P74-1,"")</f>
        <v>-0.425221794034242</v>
      </c>
      <c r="T74" s="9" t="n">
        <f aca="false">IF(AND(ISNUMBER(P74),P74&gt;0),P74*EXP('Read me'!$B$22),"")</f>
        <v>31.8749757423718</v>
      </c>
    </row>
    <row r="75" customFormat="false" ht="15" hidden="false" customHeight="false" outlineLevel="0" collapsed="false">
      <c r="A75" s="15" t="s">
        <v>94</v>
      </c>
      <c r="B75" s="15" t="s">
        <v>63</v>
      </c>
      <c r="C75" s="15" t="s">
        <v>95</v>
      </c>
      <c r="D75" s="15" t="s">
        <v>456</v>
      </c>
      <c r="E75" s="16" t="n">
        <v>5</v>
      </c>
      <c r="F75" s="15" t="s">
        <v>419</v>
      </c>
      <c r="G75" s="8" t="n">
        <v>6</v>
      </c>
      <c r="H75" s="15" t="s">
        <v>513</v>
      </c>
      <c r="I75" s="15" t="s">
        <v>514</v>
      </c>
      <c r="J75" s="15" t="s">
        <v>428</v>
      </c>
      <c r="K75" s="8" t="n">
        <v>4</v>
      </c>
      <c r="L75" s="8" t="n">
        <v>59</v>
      </c>
      <c r="M75" s="8" t="n">
        <v>2</v>
      </c>
      <c r="N75" s="8" t="n">
        <v>12</v>
      </c>
      <c r="O75" s="8" t="n">
        <v>6</v>
      </c>
      <c r="P75" s="9" t="n">
        <v>42.9345169949315</v>
      </c>
      <c r="Q75" s="10" t="n">
        <v>0.0232912833308</v>
      </c>
      <c r="R75" s="9" t="n">
        <v>19</v>
      </c>
      <c r="S75" s="12" t="n">
        <f aca="false">IF(AND(ISNUMBER(R75),R75&gt;1,P75&gt;0),R75/P75-1,"")</f>
        <v>-0.557465616714799</v>
      </c>
      <c r="T75" s="9" t="n">
        <f aca="false">IF(AND(ISNUMBER(P75),P75&gt;0),P75*EXP('Read me'!$B$22),"")</f>
        <v>52.440337477884</v>
      </c>
    </row>
    <row r="76" customFormat="false" ht="15" hidden="false" customHeight="false" outlineLevel="0" collapsed="false">
      <c r="A76" s="15" t="s">
        <v>100</v>
      </c>
      <c r="B76" s="15" t="s">
        <v>70</v>
      </c>
      <c r="C76" s="15" t="s">
        <v>101</v>
      </c>
      <c r="D76" s="15" t="s">
        <v>456</v>
      </c>
      <c r="E76" s="16" t="n">
        <v>17</v>
      </c>
      <c r="F76" s="15" t="s">
        <v>357</v>
      </c>
      <c r="G76" s="8" t="n">
        <v>6</v>
      </c>
      <c r="H76" s="15" t="s">
        <v>102</v>
      </c>
      <c r="I76" s="15" t="s">
        <v>103</v>
      </c>
      <c r="J76" s="15" t="s">
        <v>104</v>
      </c>
      <c r="K76" s="8" t="n">
        <v>4</v>
      </c>
      <c r="L76" s="8" t="n">
        <v>119</v>
      </c>
      <c r="M76" s="8" t="n">
        <v>4</v>
      </c>
      <c r="N76" s="8" t="n">
        <v>219</v>
      </c>
      <c r="O76" s="8" t="n">
        <v>1</v>
      </c>
      <c r="P76" s="9" t="n">
        <v>1.30531416430074</v>
      </c>
      <c r="Q76" s="10" t="n">
        <v>0.766099095029514</v>
      </c>
      <c r="R76" s="9" t="n">
        <v>1.28571428571429</v>
      </c>
      <c r="S76" s="12" t="n">
        <f aca="false">IF(AND(ISNUMBER(R76),R76&gt;1,P76&gt;0),R76/P76-1,"")</f>
        <v>-0.0150154492477677</v>
      </c>
      <c r="T76" s="9" t="n">
        <f aca="false">IF(AND(ISNUMBER(P76),P76&gt;0),P76*EXP('Read me'!$B$22),"")</f>
        <v>1.59431432054246</v>
      </c>
    </row>
    <row r="77" customFormat="false" ht="15" hidden="false" customHeight="false" outlineLevel="0" collapsed="false">
      <c r="A77" s="15" t="s">
        <v>100</v>
      </c>
      <c r="B77" s="15" t="s">
        <v>70</v>
      </c>
      <c r="C77" s="15" t="s">
        <v>101</v>
      </c>
      <c r="D77" s="15" t="s">
        <v>456</v>
      </c>
      <c r="E77" s="16" t="n">
        <v>17</v>
      </c>
      <c r="F77" s="15" t="s">
        <v>357</v>
      </c>
      <c r="G77" s="8" t="n">
        <v>6</v>
      </c>
      <c r="H77" s="15" t="s">
        <v>105</v>
      </c>
      <c r="I77" s="15" t="s">
        <v>515</v>
      </c>
      <c r="J77" s="15" t="s">
        <v>516</v>
      </c>
      <c r="K77" s="8" t="n">
        <v>6</v>
      </c>
      <c r="L77" s="8" t="n">
        <v>0</v>
      </c>
      <c r="M77" s="8" t="n">
        <v>4</v>
      </c>
      <c r="N77" s="8" t="n">
        <v>188</v>
      </c>
      <c r="O77" s="8" t="n">
        <v>2</v>
      </c>
      <c r="P77" s="9" t="n">
        <v>5.18891599241525</v>
      </c>
      <c r="Q77" s="10" t="n">
        <v>0.192718479439968</v>
      </c>
      <c r="R77" s="9" t="n">
        <v>4</v>
      </c>
      <c r="S77" s="12" t="n">
        <f aca="false">IF(AND(ISNUMBER(R77),R77&gt;1,P77&gt;0),R77/P77-1,"")</f>
        <v>-0.229126082240127</v>
      </c>
      <c r="T77" s="9" t="n">
        <f aca="false">IF(AND(ISNUMBER(P77),P77&gt;0),P77*EXP('Read me'!$B$22),"")</f>
        <v>6.3377563049974</v>
      </c>
    </row>
    <row r="78" customFormat="false" ht="15" hidden="false" customHeight="false" outlineLevel="0" collapsed="false">
      <c r="A78" s="15" t="s">
        <v>100</v>
      </c>
      <c r="B78" s="15" t="s">
        <v>70</v>
      </c>
      <c r="C78" s="15" t="s">
        <v>101</v>
      </c>
      <c r="D78" s="15" t="s">
        <v>456</v>
      </c>
      <c r="E78" s="16" t="n">
        <v>17</v>
      </c>
      <c r="F78" s="15" t="s">
        <v>357</v>
      </c>
      <c r="G78" s="8" t="n">
        <v>6</v>
      </c>
      <c r="H78" s="15" t="s">
        <v>517</v>
      </c>
      <c r="I78" s="15" t="s">
        <v>518</v>
      </c>
      <c r="J78" s="15" t="s">
        <v>519</v>
      </c>
      <c r="K78" s="8" t="n">
        <v>7</v>
      </c>
      <c r="L78" s="8" t="n">
        <v>0</v>
      </c>
      <c r="M78" s="8" t="n">
        <v>4</v>
      </c>
      <c r="N78" s="8" t="n">
        <v>22</v>
      </c>
      <c r="O78" s="8" t="n">
        <v>3</v>
      </c>
      <c r="P78" s="9" t="n">
        <v>55.9608578727715</v>
      </c>
      <c r="Q78" s="10" t="n">
        <v>0.0178696331331004</v>
      </c>
      <c r="R78" s="9" t="n">
        <v>41</v>
      </c>
      <c r="S78" s="12" t="n">
        <f aca="false">IF(AND(ISNUMBER(R78),R78&gt;1,P78&gt;0),R78/P78-1,"")</f>
        <v>-0.267345041542884</v>
      </c>
      <c r="T78" s="9" t="n">
        <f aca="false">IF(AND(ISNUMBER(P78),P78&gt;0),P78*EXP('Read me'!$B$22),"")</f>
        <v>68.3507461548124</v>
      </c>
    </row>
    <row r="79" customFormat="false" ht="15" hidden="false" customHeight="false" outlineLevel="0" collapsed="false">
      <c r="A79" s="15" t="s">
        <v>100</v>
      </c>
      <c r="B79" s="15" t="s">
        <v>70</v>
      </c>
      <c r="C79" s="15" t="s">
        <v>101</v>
      </c>
      <c r="D79" s="15" t="s">
        <v>456</v>
      </c>
      <c r="E79" s="16" t="n">
        <v>17</v>
      </c>
      <c r="F79" s="15" t="s">
        <v>357</v>
      </c>
      <c r="G79" s="8" t="n">
        <v>6</v>
      </c>
      <c r="H79" s="15" t="s">
        <v>520</v>
      </c>
      <c r="I79" s="15" t="s">
        <v>521</v>
      </c>
      <c r="J79" s="15" t="s">
        <v>522</v>
      </c>
      <c r="K79" s="8" t="n">
        <v>1</v>
      </c>
      <c r="L79" s="8" t="n">
        <v>0</v>
      </c>
      <c r="M79" s="8" t="n">
        <v>5</v>
      </c>
      <c r="N79" s="8" t="n">
        <v>21</v>
      </c>
      <c r="O79" s="8" t="n">
        <v>4</v>
      </c>
      <c r="P79" s="9" t="n">
        <v>80.64201404272</v>
      </c>
      <c r="Q79" s="10" t="n">
        <v>0.0124004839396775</v>
      </c>
      <c r="R79" s="9" t="n">
        <v>21</v>
      </c>
      <c r="S79" s="12" t="n">
        <f aca="false">IF(AND(ISNUMBER(R79),R79&gt;1,P79&gt;0),R79/P79-1,"")</f>
        <v>-0.739589837266772</v>
      </c>
      <c r="T79" s="9" t="n">
        <f aca="false">IF(AND(ISNUMBER(P79),P79&gt;0),P79*EXP('Read me'!$B$22),"")</f>
        <v>98.4963783753694</v>
      </c>
    </row>
    <row r="80" customFormat="false" ht="15" hidden="false" customHeight="false" outlineLevel="0" collapsed="false">
      <c r="A80" s="15" t="s">
        <v>100</v>
      </c>
      <c r="B80" s="15" t="s">
        <v>70</v>
      </c>
      <c r="C80" s="15" t="s">
        <v>101</v>
      </c>
      <c r="D80" s="15" t="s">
        <v>456</v>
      </c>
      <c r="E80" s="16" t="n">
        <v>17</v>
      </c>
      <c r="F80" s="15" t="s">
        <v>357</v>
      </c>
      <c r="G80" s="8" t="n">
        <v>6</v>
      </c>
      <c r="H80" s="15" t="s">
        <v>523</v>
      </c>
      <c r="I80" s="15" t="s">
        <v>524</v>
      </c>
      <c r="J80" s="15" t="s">
        <v>525</v>
      </c>
      <c r="K80" s="8" t="n">
        <v>5</v>
      </c>
      <c r="L80" s="8" t="n">
        <v>0</v>
      </c>
      <c r="M80" s="8" t="n">
        <v>4</v>
      </c>
      <c r="N80" s="8" t="n">
        <v>18</v>
      </c>
      <c r="O80" s="8" t="n">
        <v>5</v>
      </c>
      <c r="P80" s="9" t="n">
        <v>155.933074647092</v>
      </c>
      <c r="Q80" s="10" t="n">
        <v>0.0064130076461533</v>
      </c>
      <c r="R80" s="9" t="n">
        <v>51</v>
      </c>
      <c r="S80" s="12" t="n">
        <f aca="false">IF(AND(ISNUMBER(R80),R80&gt;1,P80&gt;0),R80/P80-1,"")</f>
        <v>-0.672936610046181</v>
      </c>
      <c r="T80" s="9" t="n">
        <f aca="false">IF(AND(ISNUMBER(P80),P80&gt;0),P80*EXP('Read me'!$B$22),"")</f>
        <v>190.457087462354</v>
      </c>
    </row>
    <row r="81" customFormat="false" ht="15" hidden="false" customHeight="false" outlineLevel="0" collapsed="false">
      <c r="A81" s="15" t="s">
        <v>100</v>
      </c>
      <c r="B81" s="15" t="s">
        <v>70</v>
      </c>
      <c r="C81" s="15" t="s">
        <v>101</v>
      </c>
      <c r="D81" s="15" t="s">
        <v>456</v>
      </c>
      <c r="E81" s="16" t="n">
        <v>17</v>
      </c>
      <c r="F81" s="15" t="s">
        <v>357</v>
      </c>
      <c r="G81" s="8" t="n">
        <v>6</v>
      </c>
      <c r="H81" s="15" t="s">
        <v>526</v>
      </c>
      <c r="I81" s="15" t="s">
        <v>527</v>
      </c>
      <c r="J81" s="15" t="s">
        <v>528</v>
      </c>
      <c r="K81" s="8" t="n">
        <v>2</v>
      </c>
      <c r="L81" s="8" t="n">
        <v>0</v>
      </c>
      <c r="M81" s="8" t="n">
        <v>5</v>
      </c>
      <c r="N81" s="8" t="n">
        <v>10</v>
      </c>
      <c r="O81" s="8" t="n">
        <v>6</v>
      </c>
      <c r="P81" s="9" t="n">
        <v>222.256755410702</v>
      </c>
      <c r="Q81" s="10" t="n">
        <v>0.0044993008115867</v>
      </c>
      <c r="R81" s="9" t="n">
        <v>41</v>
      </c>
      <c r="S81" s="12" t="n">
        <f aca="false">IF(AND(ISNUMBER(R81),R81&gt;1,P81&gt;0),R81/P81-1,"")</f>
        <v>-0.815528666724945</v>
      </c>
      <c r="T81" s="9" t="n">
        <f aca="false">IF(AND(ISNUMBER(P81),P81&gt;0),P81*EXP('Read me'!$B$22),"")</f>
        <v>271.465014078361</v>
      </c>
    </row>
    <row r="82" customFormat="false" ht="15" hidden="false" customHeight="false" outlineLevel="0" collapsed="false">
      <c r="A82" s="15" t="s">
        <v>106</v>
      </c>
      <c r="B82" s="15" t="s">
        <v>42</v>
      </c>
      <c r="C82" s="15" t="s">
        <v>107</v>
      </c>
      <c r="D82" s="15"/>
      <c r="E82" s="16" t="n">
        <v>7</v>
      </c>
      <c r="F82" s="15" t="s">
        <v>357</v>
      </c>
      <c r="G82" s="8" t="n">
        <v>9</v>
      </c>
      <c r="H82" s="15" t="s">
        <v>108</v>
      </c>
      <c r="I82" s="15" t="s">
        <v>109</v>
      </c>
      <c r="J82" s="15" t="s">
        <v>110</v>
      </c>
      <c r="K82" s="8" t="n">
        <v>3</v>
      </c>
      <c r="L82" s="8" t="n">
        <v>0</v>
      </c>
      <c r="M82" s="8" t="n">
        <v>2</v>
      </c>
      <c r="N82" s="8" t="n">
        <v>24</v>
      </c>
      <c r="O82" s="8" t="n">
        <v>1</v>
      </c>
      <c r="P82" s="9" t="n">
        <v>2.30855202407745</v>
      </c>
      <c r="Q82" s="10" t="n">
        <v>0.433171957820453</v>
      </c>
      <c r="R82" s="9" t="n">
        <v>2.2</v>
      </c>
      <c r="S82" s="12" t="n">
        <f aca="false">IF(AND(ISNUMBER(R82),R82&gt;1,P82&gt;0),R82/P82-1,"")</f>
        <v>-0.0470216927950036</v>
      </c>
      <c r="T82" s="9" t="n">
        <f aca="false">IF(AND(ISNUMBER(P82),P82&gt;0),P82*EXP('Read me'!$B$22),"")</f>
        <v>2.81967180956445</v>
      </c>
    </row>
    <row r="83" customFormat="false" ht="15" hidden="false" customHeight="false" outlineLevel="0" collapsed="false">
      <c r="A83" s="15" t="s">
        <v>106</v>
      </c>
      <c r="B83" s="15" t="s">
        <v>42</v>
      </c>
      <c r="C83" s="15" t="s">
        <v>107</v>
      </c>
      <c r="D83" s="15"/>
      <c r="E83" s="16" t="n">
        <v>7</v>
      </c>
      <c r="F83" s="15" t="s">
        <v>357</v>
      </c>
      <c r="G83" s="8" t="n">
        <v>9</v>
      </c>
      <c r="H83" s="15" t="s">
        <v>111</v>
      </c>
      <c r="I83" s="15" t="s">
        <v>45</v>
      </c>
      <c r="J83" s="15" t="s">
        <v>529</v>
      </c>
      <c r="K83" s="8" t="n">
        <v>9</v>
      </c>
      <c r="L83" s="8" t="n">
        <v>0</v>
      </c>
      <c r="M83" s="8" t="n">
        <v>2</v>
      </c>
      <c r="N83" s="8"/>
      <c r="O83" s="8" t="n">
        <v>2</v>
      </c>
      <c r="P83" s="9" t="n">
        <v>3.96126453246617</v>
      </c>
      <c r="Q83" s="10" t="n">
        <v>0.25244464029203</v>
      </c>
      <c r="R83" s="9" t="n">
        <v>4</v>
      </c>
      <c r="S83" s="12" t="n">
        <f aca="false">IF(AND(ISNUMBER(R83),R83&gt;1,P83&gt;0),R83/P83-1,"")</f>
        <v>0.0097785611681207</v>
      </c>
      <c r="T83" s="9" t="n">
        <f aca="false">IF(AND(ISNUMBER(P83),P83&gt;0),P83*EXP('Read me'!$B$22),"")</f>
        <v>4.83829942575624</v>
      </c>
    </row>
    <row r="84" customFormat="false" ht="15" hidden="false" customHeight="false" outlineLevel="0" collapsed="false">
      <c r="A84" s="15" t="s">
        <v>106</v>
      </c>
      <c r="B84" s="15" t="s">
        <v>42</v>
      </c>
      <c r="C84" s="15" t="s">
        <v>107</v>
      </c>
      <c r="D84" s="15"/>
      <c r="E84" s="16" t="n">
        <v>7</v>
      </c>
      <c r="F84" s="15" t="s">
        <v>357</v>
      </c>
      <c r="G84" s="8" t="n">
        <v>9</v>
      </c>
      <c r="H84" s="15" t="s">
        <v>530</v>
      </c>
      <c r="I84" s="15" t="s">
        <v>531</v>
      </c>
      <c r="J84" s="15" t="s">
        <v>532</v>
      </c>
      <c r="K84" s="8" t="n">
        <v>8</v>
      </c>
      <c r="L84" s="8" t="n">
        <v>78</v>
      </c>
      <c r="M84" s="8" t="n">
        <v>2</v>
      </c>
      <c r="N84" s="8" t="n">
        <v>44</v>
      </c>
      <c r="O84" s="8" t="n">
        <v>3</v>
      </c>
      <c r="P84" s="9" t="n">
        <v>7.66012982473597</v>
      </c>
      <c r="Q84" s="10" t="n">
        <v>0.130546090324842</v>
      </c>
      <c r="R84" s="9" t="n">
        <v>6.5</v>
      </c>
      <c r="S84" s="12" t="n">
        <f aca="false">IF(AND(ISNUMBER(R84),R84&gt;1,P84&gt;0),R84/P84-1,"")</f>
        <v>-0.151450412888526</v>
      </c>
      <c r="T84" s="9" t="n">
        <f aca="false">IF(AND(ISNUMBER(P84),P84&gt;0),P84*EXP('Read me'!$B$22),"")</f>
        <v>9.3561036957975</v>
      </c>
    </row>
    <row r="85" customFormat="false" ht="15" hidden="false" customHeight="false" outlineLevel="0" collapsed="false">
      <c r="A85" s="15" t="s">
        <v>106</v>
      </c>
      <c r="B85" s="15" t="s">
        <v>42</v>
      </c>
      <c r="C85" s="15" t="s">
        <v>107</v>
      </c>
      <c r="D85" s="15"/>
      <c r="E85" s="16" t="n">
        <v>7</v>
      </c>
      <c r="F85" s="15" t="s">
        <v>357</v>
      </c>
      <c r="G85" s="8" t="n">
        <v>9</v>
      </c>
      <c r="H85" s="15" t="s">
        <v>533</v>
      </c>
      <c r="I85" s="15" t="s">
        <v>138</v>
      </c>
      <c r="J85" s="15" t="s">
        <v>534</v>
      </c>
      <c r="K85" s="8" t="n">
        <v>7</v>
      </c>
      <c r="L85" s="8" t="n">
        <v>0</v>
      </c>
      <c r="M85" s="8" t="n">
        <v>2</v>
      </c>
      <c r="N85" s="8"/>
      <c r="O85" s="8" t="n">
        <v>4</v>
      </c>
      <c r="P85" s="9" t="n">
        <v>19.3260086340314</v>
      </c>
      <c r="Q85" s="10" t="n">
        <v>0.0517437417594385</v>
      </c>
      <c r="R85" s="9" t="n">
        <v>19</v>
      </c>
      <c r="S85" s="12" t="n">
        <f aca="false">IF(AND(ISNUMBER(R85),R85&gt;1,P85&gt;0),R85/P85-1,"")</f>
        <v>-0.0168689065706675</v>
      </c>
      <c r="T85" s="9" t="n">
        <f aca="false">IF(AND(ISNUMBER(P85),P85&gt;0),P85*EXP('Read me'!$B$22),"")</f>
        <v>23.6048402498332</v>
      </c>
    </row>
    <row r="86" customFormat="false" ht="15" hidden="false" customHeight="false" outlineLevel="0" collapsed="false">
      <c r="A86" s="15" t="s">
        <v>106</v>
      </c>
      <c r="B86" s="15" t="s">
        <v>42</v>
      </c>
      <c r="C86" s="15" t="s">
        <v>107</v>
      </c>
      <c r="D86" s="15"/>
      <c r="E86" s="16" t="n">
        <v>7</v>
      </c>
      <c r="F86" s="15" t="s">
        <v>357</v>
      </c>
      <c r="G86" s="8" t="n">
        <v>9</v>
      </c>
      <c r="H86" s="15" t="s">
        <v>535</v>
      </c>
      <c r="I86" s="15" t="s">
        <v>448</v>
      </c>
      <c r="J86" s="15" t="s">
        <v>396</v>
      </c>
      <c r="K86" s="8" t="n">
        <v>6</v>
      </c>
      <c r="L86" s="8" t="n">
        <v>0</v>
      </c>
      <c r="M86" s="8" t="n">
        <v>2</v>
      </c>
      <c r="N86" s="8" t="n">
        <v>11</v>
      </c>
      <c r="O86" s="8" t="n">
        <v>5</v>
      </c>
      <c r="P86" s="9" t="n">
        <v>21.8518210357803</v>
      </c>
      <c r="Q86" s="10" t="n">
        <v>0.0457627764003097</v>
      </c>
      <c r="R86" s="9" t="n">
        <v>7</v>
      </c>
      <c r="S86" s="12" t="n">
        <f aca="false">IF(AND(ISNUMBER(R86),R86&gt;1,P86&gt;0),R86/P86-1,"")</f>
        <v>-0.679660565197832</v>
      </c>
      <c r="T86" s="9" t="n">
        <f aca="false">IF(AND(ISNUMBER(P86),P86&gt;0),P86*EXP('Read me'!$B$22),"")</f>
        <v>26.6898744839245</v>
      </c>
    </row>
    <row r="87" customFormat="false" ht="15" hidden="false" customHeight="false" outlineLevel="0" collapsed="false">
      <c r="A87" s="15" t="s">
        <v>106</v>
      </c>
      <c r="B87" s="15" t="s">
        <v>42</v>
      </c>
      <c r="C87" s="15" t="s">
        <v>107</v>
      </c>
      <c r="D87" s="15"/>
      <c r="E87" s="16" t="n">
        <v>7</v>
      </c>
      <c r="F87" s="15" t="s">
        <v>357</v>
      </c>
      <c r="G87" s="8" t="n">
        <v>9</v>
      </c>
      <c r="H87" s="15" t="s">
        <v>536</v>
      </c>
      <c r="I87" s="15"/>
      <c r="J87" s="15" t="s">
        <v>110</v>
      </c>
      <c r="K87" s="8" t="n">
        <v>10</v>
      </c>
      <c r="L87" s="8" t="n">
        <v>0</v>
      </c>
      <c r="M87" s="8" t="n">
        <v>2</v>
      </c>
      <c r="N87" s="8" t="n">
        <v>11</v>
      </c>
      <c r="O87" s="8" t="n">
        <v>6</v>
      </c>
      <c r="P87" s="9" t="n">
        <v>37.7097200571916</v>
      </c>
      <c r="Q87" s="10" t="n">
        <v>0.0265183618038896</v>
      </c>
      <c r="R87" s="9" t="n">
        <v>51</v>
      </c>
      <c r="S87" s="12" t="n">
        <f aca="false">IF(AND(ISNUMBER(R87),R87&gt;1,P87&gt;0),R87/P87-1,"")</f>
        <v>0.352436451998371</v>
      </c>
      <c r="T87" s="9" t="n">
        <f aca="false">IF(AND(ISNUMBER(P87),P87&gt;0),P87*EXP('Read me'!$B$22),"")</f>
        <v>46.0587560873017</v>
      </c>
    </row>
    <row r="88" customFormat="false" ht="15" hidden="false" customHeight="false" outlineLevel="0" collapsed="false">
      <c r="A88" s="15" t="s">
        <v>106</v>
      </c>
      <c r="B88" s="15" t="s">
        <v>42</v>
      </c>
      <c r="C88" s="15" t="s">
        <v>107</v>
      </c>
      <c r="D88" s="15"/>
      <c r="E88" s="16" t="n">
        <v>7</v>
      </c>
      <c r="F88" s="15" t="s">
        <v>357</v>
      </c>
      <c r="G88" s="8" t="n">
        <v>9</v>
      </c>
      <c r="H88" s="15" t="s">
        <v>537</v>
      </c>
      <c r="I88" s="15" t="s">
        <v>165</v>
      </c>
      <c r="J88" s="15" t="s">
        <v>538</v>
      </c>
      <c r="K88" s="8" t="n">
        <v>1</v>
      </c>
      <c r="L88" s="8" t="n">
        <v>0</v>
      </c>
      <c r="M88" s="8" t="n">
        <v>2</v>
      </c>
      <c r="N88" s="8"/>
      <c r="O88" s="8" t="n">
        <v>7</v>
      </c>
      <c r="P88" s="9" t="n">
        <v>39.9727227600982</v>
      </c>
      <c r="Q88" s="10" t="n">
        <v>0.0250170599086191</v>
      </c>
      <c r="R88" s="9" t="n">
        <v>34</v>
      </c>
      <c r="S88" s="12" t="n">
        <f aca="false">IF(AND(ISNUMBER(R88),R88&gt;1,P88&gt;0),R88/P88-1,"")</f>
        <v>-0.149419963106949</v>
      </c>
      <c r="T88" s="9" t="n">
        <f aca="false">IF(AND(ISNUMBER(P88),P88&gt;0),P88*EXP('Read me'!$B$22),"")</f>
        <v>48.8227938303557</v>
      </c>
    </row>
    <row r="89" customFormat="false" ht="15" hidden="false" customHeight="false" outlineLevel="0" collapsed="false">
      <c r="A89" s="15" t="s">
        <v>106</v>
      </c>
      <c r="B89" s="15" t="s">
        <v>42</v>
      </c>
      <c r="C89" s="15" t="s">
        <v>107</v>
      </c>
      <c r="D89" s="15"/>
      <c r="E89" s="16" t="n">
        <v>7</v>
      </c>
      <c r="F89" s="15" t="s">
        <v>357</v>
      </c>
      <c r="G89" s="8" t="n">
        <v>9</v>
      </c>
      <c r="H89" s="15" t="s">
        <v>539</v>
      </c>
      <c r="I89" s="15" t="s">
        <v>540</v>
      </c>
      <c r="J89" s="15" t="s">
        <v>538</v>
      </c>
      <c r="K89" s="8" t="n">
        <v>5</v>
      </c>
      <c r="L89" s="8" t="n">
        <v>0</v>
      </c>
      <c r="M89" s="8" t="n">
        <v>2</v>
      </c>
      <c r="N89" s="8" t="n">
        <v>65</v>
      </c>
      <c r="O89" s="8" t="n">
        <v>8</v>
      </c>
      <c r="P89" s="9" t="n">
        <v>40.6726377703319</v>
      </c>
      <c r="Q89" s="10" t="n">
        <v>0.0245865538804428</v>
      </c>
      <c r="R89" s="9" t="n">
        <v>10</v>
      </c>
      <c r="S89" s="12" t="n">
        <f aca="false">IF(AND(ISNUMBER(R89),R89&gt;1,P89&gt;0),R89/P89-1,"")</f>
        <v>-0.754134461195571</v>
      </c>
      <c r="T89" s="9" t="n">
        <f aca="false">IF(AND(ISNUMBER(P89),P89&gt;0),P89*EXP('Read me'!$B$22),"")</f>
        <v>49.6776719543328</v>
      </c>
    </row>
    <row r="90" customFormat="false" ht="15" hidden="false" customHeight="false" outlineLevel="0" collapsed="false">
      <c r="A90" s="15" t="s">
        <v>106</v>
      </c>
      <c r="B90" s="15" t="s">
        <v>42</v>
      </c>
      <c r="C90" s="15" t="s">
        <v>107</v>
      </c>
      <c r="D90" s="15"/>
      <c r="E90" s="16" t="n">
        <v>7</v>
      </c>
      <c r="F90" s="15" t="s">
        <v>357</v>
      </c>
      <c r="G90" s="8" t="n">
        <v>9</v>
      </c>
      <c r="H90" s="15" t="s">
        <v>541</v>
      </c>
      <c r="I90" s="15" t="s">
        <v>542</v>
      </c>
      <c r="J90" s="15" t="s">
        <v>543</v>
      </c>
      <c r="K90" s="8" t="n">
        <v>2</v>
      </c>
      <c r="L90" s="8" t="n">
        <v>0</v>
      </c>
      <c r="M90" s="8" t="n">
        <v>2</v>
      </c>
      <c r="N90" s="8"/>
      <c r="O90" s="8" t="n">
        <v>9</v>
      </c>
      <c r="P90" s="9" t="n">
        <v>97.9545348554391</v>
      </c>
      <c r="Q90" s="10" t="n">
        <v>0.0102088178099747</v>
      </c>
      <c r="R90" s="9" t="n">
        <v>67</v>
      </c>
      <c r="S90" s="12" t="n">
        <f aca="false">IF(AND(ISNUMBER(R90),R90&gt;1,P90&gt;0),R90/P90-1,"")</f>
        <v>-0.316009206731691</v>
      </c>
      <c r="T90" s="9" t="n">
        <f aca="false">IF(AND(ISNUMBER(P90),P90&gt;0),P90*EXP('Read me'!$B$22),"")</f>
        <v>119.64193904673</v>
      </c>
    </row>
    <row r="91" customFormat="false" ht="15" hidden="false" customHeight="false" outlineLevel="0" collapsed="false">
      <c r="A91" s="15" t="s">
        <v>112</v>
      </c>
      <c r="B91" s="15" t="s">
        <v>49</v>
      </c>
      <c r="C91" s="15" t="s">
        <v>113</v>
      </c>
      <c r="D91" s="15" t="s">
        <v>370</v>
      </c>
      <c r="E91" s="16" t="n">
        <v>8</v>
      </c>
      <c r="F91" s="15" t="s">
        <v>371</v>
      </c>
      <c r="G91" s="8" t="n">
        <v>13</v>
      </c>
      <c r="H91" s="15" t="s">
        <v>114</v>
      </c>
      <c r="I91" s="15" t="s">
        <v>85</v>
      </c>
      <c r="J91" s="15" t="s">
        <v>115</v>
      </c>
      <c r="K91" s="8" t="n">
        <v>5</v>
      </c>
      <c r="L91" s="8" t="n">
        <v>57</v>
      </c>
      <c r="M91" s="8" t="n">
        <v>2</v>
      </c>
      <c r="N91" s="8" t="n">
        <v>15</v>
      </c>
      <c r="O91" s="8" t="n">
        <v>1</v>
      </c>
      <c r="P91" s="9" t="n">
        <v>6.79632339490165</v>
      </c>
      <c r="Q91" s="10" t="n">
        <v>0.14713837789858</v>
      </c>
      <c r="R91" s="9" t="n">
        <v>5.5</v>
      </c>
      <c r="S91" s="12" t="n">
        <f aca="false">IF(AND(ISNUMBER(R91),R91&gt;1,P91&gt;0),R91/P91-1,"")</f>
        <v>-0.190738921557809</v>
      </c>
      <c r="T91" s="9" t="n">
        <f aca="false">IF(AND(ISNUMBER(P91),P91&gt;0),P91*EXP('Read me'!$B$22),"")</f>
        <v>8.30104813988136</v>
      </c>
    </row>
    <row r="92" customFormat="false" ht="15" hidden="false" customHeight="false" outlineLevel="0" collapsed="false">
      <c r="A92" s="15" t="s">
        <v>112</v>
      </c>
      <c r="B92" s="15" t="s">
        <v>49</v>
      </c>
      <c r="C92" s="15" t="s">
        <v>113</v>
      </c>
      <c r="D92" s="15" t="s">
        <v>370</v>
      </c>
      <c r="E92" s="16" t="n">
        <v>8</v>
      </c>
      <c r="F92" s="15" t="s">
        <v>371</v>
      </c>
      <c r="G92" s="8" t="n">
        <v>13</v>
      </c>
      <c r="H92" s="15" t="s">
        <v>116</v>
      </c>
      <c r="I92" s="15" t="s">
        <v>544</v>
      </c>
      <c r="J92" s="15" t="s">
        <v>545</v>
      </c>
      <c r="K92" s="8" t="n">
        <v>3</v>
      </c>
      <c r="L92" s="8" t="n">
        <v>63</v>
      </c>
      <c r="M92" s="8" t="n">
        <v>2</v>
      </c>
      <c r="N92" s="8" t="n">
        <v>17</v>
      </c>
      <c r="O92" s="8" t="n">
        <v>2</v>
      </c>
      <c r="P92" s="9" t="n">
        <v>8.0427546904221</v>
      </c>
      <c r="Q92" s="10" t="n">
        <v>0.12433550922433</v>
      </c>
      <c r="R92" s="9" t="n">
        <v>5</v>
      </c>
      <c r="S92" s="12" t="n">
        <f aca="false">IF(AND(ISNUMBER(R92),R92&gt;1,P92&gt;0),R92/P92-1,"")</f>
        <v>-0.37832245387835</v>
      </c>
      <c r="T92" s="9" t="n">
        <f aca="false">IF(AND(ISNUMBER(P92),P92&gt;0),P92*EXP('Read me'!$B$22),"")</f>
        <v>9.8234427620872</v>
      </c>
    </row>
    <row r="93" customFormat="false" ht="15" hidden="false" customHeight="false" outlineLevel="0" collapsed="false">
      <c r="A93" s="15" t="s">
        <v>112</v>
      </c>
      <c r="B93" s="15" t="s">
        <v>49</v>
      </c>
      <c r="C93" s="15" t="s">
        <v>113</v>
      </c>
      <c r="D93" s="15" t="s">
        <v>370</v>
      </c>
      <c r="E93" s="16" t="n">
        <v>8</v>
      </c>
      <c r="F93" s="15" t="s">
        <v>371</v>
      </c>
      <c r="G93" s="8" t="n">
        <v>13</v>
      </c>
      <c r="H93" s="15" t="s">
        <v>546</v>
      </c>
      <c r="I93" s="15" t="s">
        <v>547</v>
      </c>
      <c r="J93" s="15" t="s">
        <v>548</v>
      </c>
      <c r="K93" s="8" t="n">
        <v>13</v>
      </c>
      <c r="L93" s="8" t="n">
        <v>63</v>
      </c>
      <c r="M93" s="8" t="n">
        <v>2</v>
      </c>
      <c r="N93" s="8" t="n">
        <v>35</v>
      </c>
      <c r="O93" s="8" t="n">
        <v>3</v>
      </c>
      <c r="P93" s="9" t="n">
        <v>8.78482864176114</v>
      </c>
      <c r="Q93" s="10" t="n">
        <v>0.113832613108265</v>
      </c>
      <c r="R93" s="9" t="n">
        <v>15</v>
      </c>
      <c r="S93" s="12" t="n">
        <f aca="false">IF(AND(ISNUMBER(R93),R93&gt;1,P93&gt;0),R93/P93-1,"")</f>
        <v>0.707489196623973</v>
      </c>
      <c r="T93" s="9" t="n">
        <f aca="false">IF(AND(ISNUMBER(P93),P93&gt;0),P93*EXP('Read me'!$B$22),"")</f>
        <v>10.7298139330115</v>
      </c>
    </row>
    <row r="94" customFormat="false" ht="15" hidden="false" customHeight="false" outlineLevel="0" collapsed="false">
      <c r="A94" s="15" t="s">
        <v>112</v>
      </c>
      <c r="B94" s="15" t="s">
        <v>49</v>
      </c>
      <c r="C94" s="15" t="s">
        <v>113</v>
      </c>
      <c r="D94" s="15" t="s">
        <v>370</v>
      </c>
      <c r="E94" s="16" t="n">
        <v>8</v>
      </c>
      <c r="F94" s="15" t="s">
        <v>371</v>
      </c>
      <c r="G94" s="8" t="n">
        <v>13</v>
      </c>
      <c r="H94" s="15" t="s">
        <v>549</v>
      </c>
      <c r="I94" s="15" t="s">
        <v>550</v>
      </c>
      <c r="J94" s="15" t="s">
        <v>551</v>
      </c>
      <c r="K94" s="8" t="n">
        <v>11</v>
      </c>
      <c r="L94" s="8" t="n">
        <v>50</v>
      </c>
      <c r="M94" s="8" t="n">
        <v>2</v>
      </c>
      <c r="N94" s="8" t="n">
        <v>11</v>
      </c>
      <c r="O94" s="8" t="n">
        <v>4</v>
      </c>
      <c r="P94" s="9" t="n">
        <v>10.8889162513054</v>
      </c>
      <c r="Q94" s="10" t="n">
        <v>0.091836503920224</v>
      </c>
      <c r="R94" s="9" t="n">
        <v>8</v>
      </c>
      <c r="S94" s="12" t="n">
        <f aca="false">IF(AND(ISNUMBER(R94),R94&gt;1,P94&gt;0),R94/P94-1,"")</f>
        <v>-0.265307968638207</v>
      </c>
      <c r="T94" s="9" t="n">
        <f aca="false">IF(AND(ISNUMBER(P94),P94&gt;0),P94*EXP('Read me'!$B$22),"")</f>
        <v>13.2997523427195</v>
      </c>
    </row>
    <row r="95" customFormat="false" ht="15" hidden="false" customHeight="false" outlineLevel="0" collapsed="false">
      <c r="A95" s="15" t="s">
        <v>112</v>
      </c>
      <c r="B95" s="15" t="s">
        <v>49</v>
      </c>
      <c r="C95" s="15" t="s">
        <v>113</v>
      </c>
      <c r="D95" s="15" t="s">
        <v>370</v>
      </c>
      <c r="E95" s="16" t="n">
        <v>8</v>
      </c>
      <c r="F95" s="15" t="s">
        <v>371</v>
      </c>
      <c r="G95" s="8" t="n">
        <v>13</v>
      </c>
      <c r="H95" s="15" t="s">
        <v>552</v>
      </c>
      <c r="I95" s="15" t="s">
        <v>460</v>
      </c>
      <c r="J95" s="15" t="s">
        <v>553</v>
      </c>
      <c r="K95" s="8" t="n">
        <v>12</v>
      </c>
      <c r="L95" s="8" t="n">
        <v>62</v>
      </c>
      <c r="M95" s="8" t="n">
        <v>2</v>
      </c>
      <c r="N95" s="8" t="n">
        <v>21</v>
      </c>
      <c r="O95" s="8" t="n">
        <v>5</v>
      </c>
      <c r="P95" s="9" t="n">
        <v>11.7395049464379</v>
      </c>
      <c r="Q95" s="10" t="n">
        <v>0.0851824676221486</v>
      </c>
      <c r="R95" s="9" t="n">
        <v>6.5</v>
      </c>
      <c r="S95" s="12" t="n">
        <f aca="false">IF(AND(ISNUMBER(R95),R95&gt;1,P95&gt;0),R95/P95-1,"")</f>
        <v>-0.446313960456033</v>
      </c>
      <c r="T95" s="9" t="n">
        <f aca="false">IF(AND(ISNUMBER(P95),P95&gt;0),P95*EXP('Read me'!$B$22),"")</f>
        <v>14.3386637210142</v>
      </c>
    </row>
    <row r="96" customFormat="false" ht="15" hidden="false" customHeight="false" outlineLevel="0" collapsed="false">
      <c r="A96" s="15" t="s">
        <v>112</v>
      </c>
      <c r="B96" s="15" t="s">
        <v>49</v>
      </c>
      <c r="C96" s="15" t="s">
        <v>113</v>
      </c>
      <c r="D96" s="15" t="s">
        <v>370</v>
      </c>
      <c r="E96" s="16" t="n">
        <v>8</v>
      </c>
      <c r="F96" s="15" t="s">
        <v>371</v>
      </c>
      <c r="G96" s="8" t="n">
        <v>13</v>
      </c>
      <c r="H96" s="15" t="s">
        <v>554</v>
      </c>
      <c r="I96" s="15" t="s">
        <v>383</v>
      </c>
      <c r="J96" s="15" t="s">
        <v>555</v>
      </c>
      <c r="K96" s="8" t="n">
        <v>6</v>
      </c>
      <c r="L96" s="8" t="n">
        <v>65</v>
      </c>
      <c r="M96" s="8" t="n">
        <v>2</v>
      </c>
      <c r="N96" s="8" t="n">
        <v>13</v>
      </c>
      <c r="O96" s="8" t="n">
        <v>6</v>
      </c>
      <c r="P96" s="9" t="n">
        <v>12.3535357364281</v>
      </c>
      <c r="Q96" s="10" t="n">
        <v>0.0809484848172816</v>
      </c>
      <c r="R96" s="9" t="n">
        <v>13</v>
      </c>
      <c r="S96" s="12" t="n">
        <f aca="false">IF(AND(ISNUMBER(R96),R96&gt;1,P96&gt;0),R96/P96-1,"")</f>
        <v>0.0523303026246618</v>
      </c>
      <c r="T96" s="9" t="n">
        <f aca="false">IF(AND(ISNUMBER(P96),P96&gt;0),P96*EXP('Read me'!$B$22),"")</f>
        <v>15.0886426215036</v>
      </c>
    </row>
    <row r="97" customFormat="false" ht="15" hidden="false" customHeight="false" outlineLevel="0" collapsed="false">
      <c r="A97" s="15" t="s">
        <v>112</v>
      </c>
      <c r="B97" s="15" t="s">
        <v>49</v>
      </c>
      <c r="C97" s="15" t="s">
        <v>113</v>
      </c>
      <c r="D97" s="15" t="s">
        <v>370</v>
      </c>
      <c r="E97" s="16" t="n">
        <v>8</v>
      </c>
      <c r="F97" s="15" t="s">
        <v>371</v>
      </c>
      <c r="G97" s="8" t="n">
        <v>13</v>
      </c>
      <c r="H97" s="15" t="s">
        <v>556</v>
      </c>
      <c r="I97" s="15" t="s">
        <v>557</v>
      </c>
      <c r="J97" s="15" t="s">
        <v>558</v>
      </c>
      <c r="K97" s="8" t="n">
        <v>9</v>
      </c>
      <c r="L97" s="8" t="n">
        <v>46</v>
      </c>
      <c r="M97" s="8" t="n">
        <v>2</v>
      </c>
      <c r="N97" s="8" t="n">
        <v>15</v>
      </c>
      <c r="O97" s="8" t="n">
        <v>7</v>
      </c>
      <c r="P97" s="9" t="n">
        <v>14.8617608076133</v>
      </c>
      <c r="Q97" s="10" t="n">
        <v>0.067286777989841</v>
      </c>
      <c r="R97" s="9" t="n">
        <v>8.5</v>
      </c>
      <c r="S97" s="12" t="n">
        <f aca="false">IF(AND(ISNUMBER(R97),R97&gt;1,P97&gt;0),R97/P97-1,"")</f>
        <v>-0.428062387086351</v>
      </c>
      <c r="T97" s="9" t="n">
        <f aca="false">IF(AND(ISNUMBER(P97),P97&gt;0),P97*EXP('Read me'!$B$22),"")</f>
        <v>18.1521956415357</v>
      </c>
    </row>
    <row r="98" customFormat="false" ht="15" hidden="false" customHeight="false" outlineLevel="0" collapsed="false">
      <c r="A98" s="15" t="s">
        <v>112</v>
      </c>
      <c r="B98" s="15" t="s">
        <v>49</v>
      </c>
      <c r="C98" s="15" t="s">
        <v>113</v>
      </c>
      <c r="D98" s="15" t="s">
        <v>370</v>
      </c>
      <c r="E98" s="16" t="n">
        <v>8</v>
      </c>
      <c r="F98" s="15" t="s">
        <v>371</v>
      </c>
      <c r="G98" s="8" t="n">
        <v>13</v>
      </c>
      <c r="H98" s="15" t="s">
        <v>559</v>
      </c>
      <c r="I98" s="15" t="s">
        <v>560</v>
      </c>
      <c r="J98" s="15" t="s">
        <v>561</v>
      </c>
      <c r="K98" s="8" t="n">
        <v>1</v>
      </c>
      <c r="L98" s="8" t="n">
        <v>62</v>
      </c>
      <c r="M98" s="8" t="n">
        <v>2</v>
      </c>
      <c r="N98" s="8" t="n">
        <v>84</v>
      </c>
      <c r="O98" s="8" t="n">
        <v>8</v>
      </c>
      <c r="P98" s="9" t="n">
        <v>16.328806016519</v>
      </c>
      <c r="Q98" s="10" t="n">
        <v>0.0612414648681816</v>
      </c>
      <c r="R98" s="9" t="n">
        <v>15</v>
      </c>
      <c r="S98" s="12" t="n">
        <f aca="false">IF(AND(ISNUMBER(R98),R98&gt;1,P98&gt;0),R98/P98-1,"")</f>
        <v>-0.081378026977276</v>
      </c>
      <c r="T98" s="9" t="n">
        <f aca="false">IF(AND(ISNUMBER(P98),P98&gt;0),P98*EXP('Read me'!$B$22),"")</f>
        <v>19.9440487060387</v>
      </c>
    </row>
    <row r="99" customFormat="false" ht="15" hidden="false" customHeight="false" outlineLevel="0" collapsed="false">
      <c r="A99" s="15" t="s">
        <v>112</v>
      </c>
      <c r="B99" s="15" t="s">
        <v>49</v>
      </c>
      <c r="C99" s="15" t="s">
        <v>113</v>
      </c>
      <c r="D99" s="15" t="s">
        <v>370</v>
      </c>
      <c r="E99" s="16" t="n">
        <v>8</v>
      </c>
      <c r="F99" s="15" t="s">
        <v>371</v>
      </c>
      <c r="G99" s="8" t="n">
        <v>13</v>
      </c>
      <c r="H99" s="15" t="s">
        <v>562</v>
      </c>
      <c r="I99" s="15" t="s">
        <v>52</v>
      </c>
      <c r="J99" s="15" t="s">
        <v>563</v>
      </c>
      <c r="K99" s="8" t="n">
        <v>4</v>
      </c>
      <c r="L99" s="8" t="n">
        <v>57</v>
      </c>
      <c r="M99" s="8" t="n">
        <v>2</v>
      </c>
      <c r="N99" s="8" t="n">
        <v>33</v>
      </c>
      <c r="O99" s="8" t="n">
        <v>9</v>
      </c>
      <c r="P99" s="9" t="n">
        <v>17.409374290264</v>
      </c>
      <c r="Q99" s="10" t="n">
        <v>0.0574403182634336</v>
      </c>
      <c r="R99" s="9" t="n">
        <v>29</v>
      </c>
      <c r="S99" s="12" t="n">
        <f aca="false">IF(AND(ISNUMBER(R99),R99&gt;1,P99&gt;0),R99/P99-1,"")</f>
        <v>0.665769229639575</v>
      </c>
      <c r="T99" s="9" t="n">
        <f aca="false">IF(AND(ISNUMBER(P99),P99&gt;0),P99*EXP('Read me'!$B$22),"")</f>
        <v>21.2638577759711</v>
      </c>
    </row>
    <row r="100" customFormat="false" ht="15" hidden="false" customHeight="false" outlineLevel="0" collapsed="false">
      <c r="A100" s="15" t="s">
        <v>112</v>
      </c>
      <c r="B100" s="15" t="s">
        <v>49</v>
      </c>
      <c r="C100" s="15" t="s">
        <v>113</v>
      </c>
      <c r="D100" s="15" t="s">
        <v>370</v>
      </c>
      <c r="E100" s="16" t="n">
        <v>8</v>
      </c>
      <c r="F100" s="15" t="s">
        <v>371</v>
      </c>
      <c r="G100" s="8" t="n">
        <v>13</v>
      </c>
      <c r="H100" s="15" t="s">
        <v>564</v>
      </c>
      <c r="I100" s="15" t="s">
        <v>237</v>
      </c>
      <c r="J100" s="15" t="s">
        <v>565</v>
      </c>
      <c r="K100" s="8" t="n">
        <v>8</v>
      </c>
      <c r="L100" s="8" t="n">
        <v>65</v>
      </c>
      <c r="M100" s="8" t="n">
        <v>2</v>
      </c>
      <c r="N100" s="8" t="n">
        <v>23</v>
      </c>
      <c r="O100" s="8" t="n">
        <v>10</v>
      </c>
      <c r="P100" s="9" t="n">
        <v>19.8732823570945</v>
      </c>
      <c r="Q100" s="10" t="n">
        <v>0.0503188140756735</v>
      </c>
      <c r="R100" s="9" t="n">
        <v>17</v>
      </c>
      <c r="S100" s="12" t="n">
        <f aca="false">IF(AND(ISNUMBER(R100),R100&gt;1,P100&gt;0),R100/P100-1,"")</f>
        <v>-0.144580160713551</v>
      </c>
      <c r="T100" s="9" t="n">
        <f aca="false">IF(AND(ISNUMBER(P100),P100&gt;0),P100*EXP('Read me'!$B$22),"")</f>
        <v>24.2732818846511</v>
      </c>
    </row>
    <row r="101" customFormat="false" ht="15" hidden="false" customHeight="false" outlineLevel="0" collapsed="false">
      <c r="A101" s="15" t="s">
        <v>112</v>
      </c>
      <c r="B101" s="15" t="s">
        <v>49</v>
      </c>
      <c r="C101" s="15" t="s">
        <v>113</v>
      </c>
      <c r="D101" s="15" t="s">
        <v>370</v>
      </c>
      <c r="E101" s="16" t="n">
        <v>8</v>
      </c>
      <c r="F101" s="15" t="s">
        <v>371</v>
      </c>
      <c r="G101" s="8" t="n">
        <v>13</v>
      </c>
      <c r="H101" s="15" t="s">
        <v>566</v>
      </c>
      <c r="I101" s="15" t="s">
        <v>171</v>
      </c>
      <c r="J101" s="15" t="s">
        <v>53</v>
      </c>
      <c r="K101" s="8" t="n">
        <v>7</v>
      </c>
      <c r="L101" s="8" t="n">
        <v>60</v>
      </c>
      <c r="M101" s="8" t="n">
        <v>2</v>
      </c>
      <c r="N101" s="8" t="n">
        <v>40</v>
      </c>
      <c r="O101" s="8" t="n">
        <v>11</v>
      </c>
      <c r="P101" s="9" t="n">
        <v>20.0771636589557</v>
      </c>
      <c r="Q101" s="10" t="n">
        <v>0.0498078322708663</v>
      </c>
      <c r="R101" s="9" t="n">
        <v>9</v>
      </c>
      <c r="S101" s="12" t="n">
        <f aca="false">IF(AND(ISNUMBER(R101),R101&gt;1,P101&gt;0),R101/P101-1,"")</f>
        <v>-0.551729509562202</v>
      </c>
      <c r="T101" s="9" t="n">
        <f aca="false">IF(AND(ISNUMBER(P101),P101&gt;0),P101*EXP('Read me'!$B$22),"")</f>
        <v>24.5223030690816</v>
      </c>
    </row>
    <row r="102" customFormat="false" ht="15" hidden="false" customHeight="false" outlineLevel="0" collapsed="false">
      <c r="A102" s="15" t="s">
        <v>112</v>
      </c>
      <c r="B102" s="15" t="s">
        <v>49</v>
      </c>
      <c r="C102" s="15" t="s">
        <v>113</v>
      </c>
      <c r="D102" s="15" t="s">
        <v>370</v>
      </c>
      <c r="E102" s="16" t="n">
        <v>8</v>
      </c>
      <c r="F102" s="15" t="s">
        <v>371</v>
      </c>
      <c r="G102" s="8" t="n">
        <v>13</v>
      </c>
      <c r="H102" s="15" t="s">
        <v>567</v>
      </c>
      <c r="I102" s="15" t="s">
        <v>568</v>
      </c>
      <c r="J102" s="15" t="s">
        <v>569</v>
      </c>
      <c r="K102" s="8" t="n">
        <v>10</v>
      </c>
      <c r="L102" s="8" t="n">
        <v>56</v>
      </c>
      <c r="M102" s="8" t="n">
        <v>2</v>
      </c>
      <c r="N102" s="8" t="n">
        <v>17</v>
      </c>
      <c r="O102" s="8" t="n">
        <v>12</v>
      </c>
      <c r="P102" s="9" t="n">
        <v>21.0094546053829</v>
      </c>
      <c r="Q102" s="10" t="n">
        <v>0.0475976182524884</v>
      </c>
      <c r="R102" s="9" t="n">
        <v>17</v>
      </c>
      <c r="S102" s="12" t="n">
        <f aca="false">IF(AND(ISNUMBER(R102),R102&gt;1,P102&gt;0),R102/P102-1,"")</f>
        <v>-0.190840489707696</v>
      </c>
      <c r="T102" s="9" t="n">
        <f aca="false">IF(AND(ISNUMBER(P102),P102&gt;0),P102*EXP('Read me'!$B$22),"")</f>
        <v>25.6610058024555</v>
      </c>
    </row>
    <row r="103" customFormat="false" ht="15" hidden="false" customHeight="false" outlineLevel="0" collapsed="false">
      <c r="A103" s="15" t="s">
        <v>112</v>
      </c>
      <c r="B103" s="15" t="s">
        <v>49</v>
      </c>
      <c r="C103" s="15" t="s">
        <v>113</v>
      </c>
      <c r="D103" s="15" t="s">
        <v>370</v>
      </c>
      <c r="E103" s="16" t="n">
        <v>8</v>
      </c>
      <c r="F103" s="15" t="s">
        <v>371</v>
      </c>
      <c r="G103" s="8" t="n">
        <v>13</v>
      </c>
      <c r="H103" s="15" t="s">
        <v>570</v>
      </c>
      <c r="I103" s="15" t="s">
        <v>571</v>
      </c>
      <c r="J103" s="15" t="s">
        <v>115</v>
      </c>
      <c r="K103" s="8" t="n">
        <v>2</v>
      </c>
      <c r="L103" s="8" t="n">
        <v>48</v>
      </c>
      <c r="M103" s="8" t="n">
        <v>2</v>
      </c>
      <c r="N103" s="8" t="n">
        <v>11</v>
      </c>
      <c r="O103" s="8" t="n">
        <v>13</v>
      </c>
      <c r="P103" s="9" t="n">
        <v>43.4155580655675</v>
      </c>
      <c r="Q103" s="10" t="n">
        <v>0.0230332176886859</v>
      </c>
      <c r="R103" s="9" t="n">
        <v>51</v>
      </c>
      <c r="S103" s="12" t="n">
        <f aca="false">IF(AND(ISNUMBER(R103),R103&gt;1,P103&gt;0),R103/P103-1,"")</f>
        <v>0.174694102122982</v>
      </c>
      <c r="T103" s="9" t="n">
        <f aca="false">IF(AND(ISNUMBER(P103),P103&gt;0),P103*EXP('Read me'!$B$22),"")</f>
        <v>53.0278823683471</v>
      </c>
    </row>
    <row r="104" customFormat="false" ht="15" hidden="false" customHeight="false" outlineLevel="0" collapsed="false">
      <c r="A104" s="15" t="s">
        <v>117</v>
      </c>
      <c r="B104" s="15" t="s">
        <v>56</v>
      </c>
      <c r="C104" s="15" t="s">
        <v>118</v>
      </c>
      <c r="D104" s="15"/>
      <c r="E104" s="16" t="n">
        <v>20</v>
      </c>
      <c r="F104" s="15" t="s">
        <v>357</v>
      </c>
      <c r="G104" s="8" t="n">
        <v>15</v>
      </c>
      <c r="H104" s="15" t="s">
        <v>119</v>
      </c>
      <c r="I104" s="15" t="s">
        <v>120</v>
      </c>
      <c r="J104" s="15" t="s">
        <v>121</v>
      </c>
      <c r="K104" s="8" t="n">
        <v>3</v>
      </c>
      <c r="L104" s="8" t="n">
        <v>114</v>
      </c>
      <c r="M104" s="8" t="n">
        <v>6</v>
      </c>
      <c r="N104" s="8" t="n">
        <v>38</v>
      </c>
      <c r="O104" s="8" t="n">
        <v>1</v>
      </c>
      <c r="P104" s="9" t="n">
        <v>2.32794661282362</v>
      </c>
      <c r="Q104" s="10" t="n">
        <v>0.429563115619339</v>
      </c>
      <c r="R104" s="9" t="n">
        <v>2.375</v>
      </c>
      <c r="S104" s="12" t="n">
        <f aca="false">IF(AND(ISNUMBER(R104),R104&gt;1,P104&gt;0),R104/P104-1,"")</f>
        <v>0.0202123995959287</v>
      </c>
      <c r="T104" s="9" t="n">
        <f aca="false">IF(AND(ISNUMBER(P104),P104&gt;0),P104*EXP('Read me'!$B$22),"")</f>
        <v>2.84336041375239</v>
      </c>
    </row>
    <row r="105" customFormat="false" ht="15" hidden="false" customHeight="false" outlineLevel="0" collapsed="false">
      <c r="A105" s="15" t="s">
        <v>117</v>
      </c>
      <c r="B105" s="15" t="s">
        <v>56</v>
      </c>
      <c r="C105" s="15" t="s">
        <v>118</v>
      </c>
      <c r="D105" s="15"/>
      <c r="E105" s="16" t="n">
        <v>20</v>
      </c>
      <c r="F105" s="15" t="s">
        <v>357</v>
      </c>
      <c r="G105" s="8" t="n">
        <v>15</v>
      </c>
      <c r="H105" s="15" t="s">
        <v>122</v>
      </c>
      <c r="I105" s="15" t="s">
        <v>405</v>
      </c>
      <c r="J105" s="15" t="s">
        <v>572</v>
      </c>
      <c r="K105" s="8" t="n">
        <v>4</v>
      </c>
      <c r="L105" s="8" t="n">
        <v>104</v>
      </c>
      <c r="M105" s="8" t="n">
        <v>5</v>
      </c>
      <c r="N105" s="8" t="n">
        <v>17</v>
      </c>
      <c r="O105" s="8" t="n">
        <v>2</v>
      </c>
      <c r="P105" s="9" t="n">
        <v>5.67088227871866</v>
      </c>
      <c r="Q105" s="10" t="n">
        <v>0.176339403791318</v>
      </c>
      <c r="R105" s="9" t="n">
        <v>5</v>
      </c>
      <c r="S105" s="12" t="n">
        <f aca="false">IF(AND(ISNUMBER(R105),R105&gt;1,P105&gt;0),R105/P105-1,"")</f>
        <v>-0.11830298104341</v>
      </c>
      <c r="T105" s="9" t="n">
        <f aca="false">IF(AND(ISNUMBER(P105),P105&gt;0),P105*EXP('Read me'!$B$22),"")</f>
        <v>6.9264312564286</v>
      </c>
    </row>
    <row r="106" customFormat="false" ht="15" hidden="false" customHeight="false" outlineLevel="0" collapsed="false">
      <c r="A106" s="15" t="s">
        <v>117</v>
      </c>
      <c r="B106" s="15" t="s">
        <v>56</v>
      </c>
      <c r="C106" s="15" t="s">
        <v>118</v>
      </c>
      <c r="D106" s="15"/>
      <c r="E106" s="16" t="n">
        <v>20</v>
      </c>
      <c r="F106" s="15" t="s">
        <v>357</v>
      </c>
      <c r="G106" s="8" t="n">
        <v>15</v>
      </c>
      <c r="H106" s="15" t="s">
        <v>573</v>
      </c>
      <c r="I106" s="15" t="s">
        <v>574</v>
      </c>
      <c r="J106" s="15" t="s">
        <v>121</v>
      </c>
      <c r="K106" s="8" t="n">
        <v>13</v>
      </c>
      <c r="L106" s="8" t="n">
        <v>0</v>
      </c>
      <c r="M106" s="8" t="n">
        <v>4</v>
      </c>
      <c r="N106" s="8" t="n">
        <v>50</v>
      </c>
      <c r="O106" s="8" t="n">
        <v>3</v>
      </c>
      <c r="P106" s="9" t="n">
        <v>7.00323357822625</v>
      </c>
      <c r="Q106" s="10" t="n">
        <v>0.142791181934742</v>
      </c>
      <c r="R106" s="9" t="n">
        <v>9</v>
      </c>
      <c r="S106" s="12" t="n">
        <f aca="false">IF(AND(ISNUMBER(R106),R106&gt;1,P106&gt;0),R106/P106-1,"")</f>
        <v>0.28512063741268</v>
      </c>
      <c r="T106" s="9" t="n">
        <f aca="false">IF(AND(ISNUMBER(P106),P106&gt;0),P106*EXP('Read me'!$B$22),"")</f>
        <v>8.55376880848546</v>
      </c>
    </row>
    <row r="107" customFormat="false" ht="15" hidden="false" customHeight="false" outlineLevel="0" collapsed="false">
      <c r="A107" s="15" t="s">
        <v>117</v>
      </c>
      <c r="B107" s="15" t="s">
        <v>56</v>
      </c>
      <c r="C107" s="15" t="s">
        <v>118</v>
      </c>
      <c r="D107" s="15"/>
      <c r="E107" s="16" t="n">
        <v>20</v>
      </c>
      <c r="F107" s="15" t="s">
        <v>357</v>
      </c>
      <c r="G107" s="8" t="n">
        <v>15</v>
      </c>
      <c r="H107" s="15" t="s">
        <v>575</v>
      </c>
      <c r="I107" s="15" t="s">
        <v>150</v>
      </c>
      <c r="J107" s="15" t="s">
        <v>176</v>
      </c>
      <c r="K107" s="8" t="n">
        <v>10</v>
      </c>
      <c r="L107" s="8" t="n">
        <v>0</v>
      </c>
      <c r="M107" s="8" t="n">
        <v>5</v>
      </c>
      <c r="N107" s="8" t="n">
        <v>226</v>
      </c>
      <c r="O107" s="8" t="n">
        <v>4</v>
      </c>
      <c r="P107" s="9" t="n">
        <v>7.3385916615006</v>
      </c>
      <c r="Q107" s="10" t="n">
        <v>0.136265927595639</v>
      </c>
      <c r="R107" s="9" t="n">
        <v>3</v>
      </c>
      <c r="S107" s="12" t="n">
        <f aca="false">IF(AND(ISNUMBER(R107),R107&gt;1,P107&gt;0),R107/P107-1,"")</f>
        <v>-0.591202217213083</v>
      </c>
      <c r="T107" s="9" t="n">
        <f aca="false">IF(AND(ISNUMBER(P107),P107&gt;0),P107*EXP('Read me'!$B$22),"")</f>
        <v>8.96337609636806</v>
      </c>
    </row>
    <row r="108" customFormat="false" ht="15" hidden="false" customHeight="false" outlineLevel="0" collapsed="false">
      <c r="A108" s="15" t="s">
        <v>117</v>
      </c>
      <c r="B108" s="15" t="s">
        <v>56</v>
      </c>
      <c r="C108" s="15" t="s">
        <v>118</v>
      </c>
      <c r="D108" s="15"/>
      <c r="E108" s="16" t="n">
        <v>20</v>
      </c>
      <c r="F108" s="15" t="s">
        <v>357</v>
      </c>
      <c r="G108" s="8" t="n">
        <v>15</v>
      </c>
      <c r="H108" s="15" t="s">
        <v>576</v>
      </c>
      <c r="I108" s="15" t="s">
        <v>243</v>
      </c>
      <c r="J108" s="15" t="s">
        <v>577</v>
      </c>
      <c r="K108" s="8" t="n">
        <v>1</v>
      </c>
      <c r="L108" s="8" t="n">
        <v>0</v>
      </c>
      <c r="M108" s="8" t="n">
        <v>5</v>
      </c>
      <c r="N108" s="8" t="n">
        <v>152</v>
      </c>
      <c r="O108" s="8" t="n">
        <v>5</v>
      </c>
      <c r="P108" s="9" t="n">
        <v>29.4192783339842</v>
      </c>
      <c r="Q108" s="10" t="n">
        <v>0.0339913164642394</v>
      </c>
      <c r="R108" s="9" t="n">
        <v>15</v>
      </c>
      <c r="S108" s="12" t="n">
        <f aca="false">IF(AND(ISNUMBER(R108),R108&gt;1,P108&gt;0),R108/P108-1,"")</f>
        <v>-0.490130253036409</v>
      </c>
      <c r="T108" s="9" t="n">
        <f aca="false">IF(AND(ISNUMBER(P108),P108&gt;0),P108*EXP('Read me'!$B$22),"")</f>
        <v>35.9327877002101</v>
      </c>
    </row>
    <row r="109" customFormat="false" ht="15" hidden="false" customHeight="false" outlineLevel="0" collapsed="false">
      <c r="A109" s="15" t="s">
        <v>117</v>
      </c>
      <c r="B109" s="15" t="s">
        <v>56</v>
      </c>
      <c r="C109" s="15" t="s">
        <v>118</v>
      </c>
      <c r="D109" s="15"/>
      <c r="E109" s="16" t="n">
        <v>20</v>
      </c>
      <c r="F109" s="15" t="s">
        <v>357</v>
      </c>
      <c r="G109" s="8" t="n">
        <v>15</v>
      </c>
      <c r="H109" s="15" t="s">
        <v>578</v>
      </c>
      <c r="I109" s="15" t="s">
        <v>59</v>
      </c>
      <c r="J109" s="15" t="s">
        <v>60</v>
      </c>
      <c r="K109" s="8" t="n">
        <v>2</v>
      </c>
      <c r="L109" s="8" t="n">
        <v>103</v>
      </c>
      <c r="M109" s="8" t="n">
        <v>7</v>
      </c>
      <c r="N109" s="8" t="n">
        <v>31</v>
      </c>
      <c r="O109" s="8" t="n">
        <v>6</v>
      </c>
      <c r="P109" s="9" t="n">
        <v>37.3436047183735</v>
      </c>
      <c r="Q109" s="10" t="n">
        <v>0.0267783468559474</v>
      </c>
      <c r="R109" s="9" t="n">
        <v>41</v>
      </c>
      <c r="S109" s="12" t="n">
        <f aca="false">IF(AND(ISNUMBER(R109),R109&gt;1,P109&gt;0),R109/P109-1,"")</f>
        <v>0.0979122210938437</v>
      </c>
      <c r="T109" s="9" t="n">
        <f aca="false">IF(AND(ISNUMBER(P109),P109&gt;0),P109*EXP('Read me'!$B$22),"")</f>
        <v>45.6115818026645</v>
      </c>
    </row>
    <row r="110" customFormat="false" ht="15" hidden="false" customHeight="false" outlineLevel="0" collapsed="false">
      <c r="A110" s="15" t="s">
        <v>117</v>
      </c>
      <c r="B110" s="15" t="s">
        <v>56</v>
      </c>
      <c r="C110" s="15" t="s">
        <v>118</v>
      </c>
      <c r="D110" s="15"/>
      <c r="E110" s="16" t="n">
        <v>20</v>
      </c>
      <c r="F110" s="15" t="s">
        <v>357</v>
      </c>
      <c r="G110" s="8" t="n">
        <v>15</v>
      </c>
      <c r="H110" s="15" t="s">
        <v>579</v>
      </c>
      <c r="I110" s="15" t="s">
        <v>398</v>
      </c>
      <c r="J110" s="15" t="s">
        <v>580</v>
      </c>
      <c r="K110" s="8" t="n">
        <v>9</v>
      </c>
      <c r="L110" s="8" t="n">
        <v>0</v>
      </c>
      <c r="M110" s="8" t="n">
        <v>5</v>
      </c>
      <c r="N110" s="8" t="n">
        <v>35</v>
      </c>
      <c r="O110" s="8" t="n">
        <v>7</v>
      </c>
      <c r="P110" s="9" t="n">
        <v>41.8026813404111</v>
      </c>
      <c r="Q110" s="10" t="n">
        <v>0.0239219104596835</v>
      </c>
      <c r="R110" s="9" t="n">
        <v>23</v>
      </c>
      <c r="S110" s="12" t="n">
        <f aca="false">IF(AND(ISNUMBER(R110),R110&gt;1,P110&gt;0),R110/P110-1,"")</f>
        <v>-0.449796059427278</v>
      </c>
      <c r="T110" s="9" t="n">
        <f aca="false">IF(AND(ISNUMBER(P110),P110&gt;0),P110*EXP('Read me'!$B$22),"")</f>
        <v>51.0579102876688</v>
      </c>
    </row>
    <row r="111" customFormat="false" ht="15" hidden="false" customHeight="false" outlineLevel="0" collapsed="false">
      <c r="A111" s="15" t="s">
        <v>117</v>
      </c>
      <c r="B111" s="15" t="s">
        <v>56</v>
      </c>
      <c r="C111" s="15" t="s">
        <v>118</v>
      </c>
      <c r="D111" s="15"/>
      <c r="E111" s="16" t="n">
        <v>20</v>
      </c>
      <c r="F111" s="15" t="s">
        <v>357</v>
      </c>
      <c r="G111" s="8" t="n">
        <v>15</v>
      </c>
      <c r="H111" s="15" t="s">
        <v>581</v>
      </c>
      <c r="I111" s="15" t="s">
        <v>582</v>
      </c>
      <c r="J111" s="15" t="s">
        <v>583</v>
      </c>
      <c r="K111" s="8" t="n">
        <v>7</v>
      </c>
      <c r="L111" s="8" t="n">
        <v>0</v>
      </c>
      <c r="M111" s="8" t="n">
        <v>5</v>
      </c>
      <c r="N111" s="8" t="n">
        <v>58</v>
      </c>
      <c r="O111" s="8" t="n">
        <v>8</v>
      </c>
      <c r="P111" s="9" t="n">
        <v>94.6603689801292</v>
      </c>
      <c r="Q111" s="10" t="n">
        <v>0.0105640830558131</v>
      </c>
      <c r="R111" s="9" t="n">
        <v>34</v>
      </c>
      <c r="S111" s="12" t="n">
        <f aca="false">IF(AND(ISNUMBER(R111),R111&gt;1,P111&gt;0),R111/P111-1,"")</f>
        <v>-0.640821176102354</v>
      </c>
      <c r="T111" s="9" t="n">
        <f aca="false">IF(AND(ISNUMBER(P111),P111&gt;0),P111*EXP('Read me'!$B$22),"")</f>
        <v>115.618435760789</v>
      </c>
    </row>
    <row r="112" customFormat="false" ht="15" hidden="false" customHeight="false" outlineLevel="0" collapsed="false">
      <c r="A112" s="15" t="s">
        <v>117</v>
      </c>
      <c r="B112" s="15" t="s">
        <v>56</v>
      </c>
      <c r="C112" s="15" t="s">
        <v>118</v>
      </c>
      <c r="D112" s="15"/>
      <c r="E112" s="16" t="n">
        <v>20</v>
      </c>
      <c r="F112" s="15" t="s">
        <v>357</v>
      </c>
      <c r="G112" s="8" t="n">
        <v>15</v>
      </c>
      <c r="H112" s="15" t="s">
        <v>584</v>
      </c>
      <c r="I112" s="15" t="s">
        <v>585</v>
      </c>
      <c r="J112" s="15" t="s">
        <v>586</v>
      </c>
      <c r="K112" s="8" t="n">
        <v>12</v>
      </c>
      <c r="L112" s="8" t="n">
        <v>0</v>
      </c>
      <c r="M112" s="8" t="n">
        <v>4</v>
      </c>
      <c r="N112" s="8" t="n">
        <v>10</v>
      </c>
      <c r="O112" s="8" t="n">
        <v>9</v>
      </c>
      <c r="P112" s="9" t="n">
        <v>165.85979354259</v>
      </c>
      <c r="Q112" s="10" t="n">
        <v>0.0060291887421361</v>
      </c>
      <c r="R112" s="9" t="n">
        <v>67</v>
      </c>
      <c r="S112" s="12" t="n">
        <f aca="false">IF(AND(ISNUMBER(R112),R112&gt;1,P112&gt;0),R112/P112-1,"")</f>
        <v>-0.596044354276881</v>
      </c>
      <c r="T112" s="9" t="n">
        <f aca="false">IF(AND(ISNUMBER(P112),P112&gt;0),P112*EXP('Read me'!$B$22),"")</f>
        <v>202.581609300795</v>
      </c>
    </row>
    <row r="113" customFormat="false" ht="15" hidden="false" customHeight="false" outlineLevel="0" collapsed="false">
      <c r="A113" s="15" t="s">
        <v>117</v>
      </c>
      <c r="B113" s="15" t="s">
        <v>56</v>
      </c>
      <c r="C113" s="15" t="s">
        <v>118</v>
      </c>
      <c r="D113" s="15"/>
      <c r="E113" s="16" t="n">
        <v>20</v>
      </c>
      <c r="F113" s="15" t="s">
        <v>357</v>
      </c>
      <c r="G113" s="8" t="n">
        <v>15</v>
      </c>
      <c r="H113" s="15" t="s">
        <v>587</v>
      </c>
      <c r="I113" s="15" t="s">
        <v>209</v>
      </c>
      <c r="J113" s="15" t="s">
        <v>588</v>
      </c>
      <c r="K113" s="8" t="n">
        <v>11</v>
      </c>
      <c r="L113" s="8" t="n">
        <v>0</v>
      </c>
      <c r="M113" s="8" t="n">
        <v>6</v>
      </c>
      <c r="N113" s="8" t="n">
        <v>58</v>
      </c>
      <c r="O113" s="8" t="n">
        <v>10</v>
      </c>
      <c r="P113" s="9" t="n">
        <v>257.442514638778</v>
      </c>
      <c r="Q113" s="10" t="n">
        <v>0.0038843623066808</v>
      </c>
      <c r="R113" s="9" t="n">
        <v>101</v>
      </c>
      <c r="S113" s="12" t="n">
        <f aca="false">IF(AND(ISNUMBER(R113),R113&gt;1,P113&gt;0),R113/P113-1,"")</f>
        <v>-0.607679407025234</v>
      </c>
      <c r="T113" s="9" t="n">
        <f aca="false">IF(AND(ISNUMBER(P113),P113&gt;0),P113*EXP('Read me'!$B$22),"")</f>
        <v>314.440997447493</v>
      </c>
    </row>
    <row r="114" customFormat="false" ht="15" hidden="false" customHeight="false" outlineLevel="0" collapsed="false">
      <c r="A114" s="15" t="s">
        <v>117</v>
      </c>
      <c r="B114" s="15" t="s">
        <v>56</v>
      </c>
      <c r="C114" s="15" t="s">
        <v>118</v>
      </c>
      <c r="D114" s="15"/>
      <c r="E114" s="16" t="n">
        <v>20</v>
      </c>
      <c r="F114" s="15" t="s">
        <v>357</v>
      </c>
      <c r="G114" s="8" t="n">
        <v>15</v>
      </c>
      <c r="H114" s="15" t="s">
        <v>589</v>
      </c>
      <c r="I114" s="15" t="s">
        <v>590</v>
      </c>
      <c r="J114" s="15" t="s">
        <v>591</v>
      </c>
      <c r="K114" s="8" t="n">
        <v>15</v>
      </c>
      <c r="L114" s="8" t="n">
        <v>93</v>
      </c>
      <c r="M114" s="8" t="n">
        <v>4</v>
      </c>
      <c r="N114" s="8" t="n">
        <v>122</v>
      </c>
      <c r="O114" s="8" t="n">
        <v>11</v>
      </c>
      <c r="P114" s="9" t="n">
        <v>317.617507963828</v>
      </c>
      <c r="Q114" s="10" t="n">
        <v>0.0031484410491435</v>
      </c>
      <c r="R114" s="9" t="n">
        <v>81</v>
      </c>
      <c r="S114" s="12" t="n">
        <f aca="false">IF(AND(ISNUMBER(R114),R114&gt;1,P114&gt;0),R114/P114-1,"")</f>
        <v>-0.744976275019371</v>
      </c>
      <c r="T114" s="9" t="n">
        <f aca="false">IF(AND(ISNUMBER(P114),P114&gt;0),P114*EXP('Read me'!$B$22),"")</f>
        <v>387.93890026698</v>
      </c>
    </row>
    <row r="115" customFormat="false" ht="15" hidden="false" customHeight="false" outlineLevel="0" collapsed="false">
      <c r="A115" s="15" t="s">
        <v>117</v>
      </c>
      <c r="B115" s="15" t="s">
        <v>56</v>
      </c>
      <c r="C115" s="15" t="s">
        <v>118</v>
      </c>
      <c r="D115" s="15"/>
      <c r="E115" s="16" t="n">
        <v>20</v>
      </c>
      <c r="F115" s="15" t="s">
        <v>357</v>
      </c>
      <c r="G115" s="8" t="n">
        <v>15</v>
      </c>
      <c r="H115" s="15" t="s">
        <v>592</v>
      </c>
      <c r="I115" s="15" t="s">
        <v>593</v>
      </c>
      <c r="J115" s="15" t="s">
        <v>588</v>
      </c>
      <c r="K115" s="8" t="n">
        <v>14</v>
      </c>
      <c r="L115" s="8" t="n">
        <v>0</v>
      </c>
      <c r="M115" s="8" t="n">
        <v>4</v>
      </c>
      <c r="N115" s="8" t="n">
        <v>24</v>
      </c>
      <c r="O115" s="8" t="n">
        <v>12</v>
      </c>
      <c r="P115" s="9" t="n">
        <v>481.328934689963</v>
      </c>
      <c r="Q115" s="10" t="n">
        <v>0.0020775813127547</v>
      </c>
      <c r="R115" s="9" t="n">
        <v>126</v>
      </c>
      <c r="S115" s="12" t="n">
        <f aca="false">IF(AND(ISNUMBER(R115),R115&gt;1,P115&gt;0),R115/P115-1,"")</f>
        <v>-0.738224754592906</v>
      </c>
      <c r="T115" s="9" t="n">
        <f aca="false">IF(AND(ISNUMBER(P115),P115&gt;0),P115*EXP('Read me'!$B$22),"")</f>
        <v>587.896488412617</v>
      </c>
    </row>
    <row r="116" customFormat="false" ht="15" hidden="false" customHeight="false" outlineLevel="0" collapsed="false">
      <c r="A116" s="15" t="s">
        <v>117</v>
      </c>
      <c r="B116" s="15" t="s">
        <v>56</v>
      </c>
      <c r="C116" s="15" t="s">
        <v>118</v>
      </c>
      <c r="D116" s="15"/>
      <c r="E116" s="16" t="n">
        <v>20</v>
      </c>
      <c r="F116" s="15" t="s">
        <v>357</v>
      </c>
      <c r="G116" s="8" t="n">
        <v>15</v>
      </c>
      <c r="H116" s="15" t="s">
        <v>594</v>
      </c>
      <c r="I116" s="15" t="s">
        <v>395</v>
      </c>
      <c r="J116" s="15" t="s">
        <v>595</v>
      </c>
      <c r="K116" s="8" t="n">
        <v>6</v>
      </c>
      <c r="L116" s="8" t="n">
        <v>0</v>
      </c>
      <c r="M116" s="8" t="n">
        <v>5</v>
      </c>
      <c r="N116" s="8" t="n">
        <v>24</v>
      </c>
      <c r="O116" s="8" t="n">
        <v>13</v>
      </c>
      <c r="P116" s="9" t="n">
        <v>495.914615004881</v>
      </c>
      <c r="Q116" s="10" t="n">
        <v>0.002016476162918</v>
      </c>
      <c r="R116" s="9" t="n">
        <v>101</v>
      </c>
      <c r="S116" s="12" t="n">
        <f aca="false">IF(AND(ISNUMBER(R116),R116&gt;1,P116&gt;0),R116/P116-1,"")</f>
        <v>-0.796335907545282</v>
      </c>
      <c r="T116" s="9" t="n">
        <f aca="false">IF(AND(ISNUMBER(P116),P116&gt;0),P116*EXP('Read me'!$B$22),"")</f>
        <v>605.711478578901</v>
      </c>
    </row>
    <row r="117" customFormat="false" ht="15" hidden="false" customHeight="false" outlineLevel="0" collapsed="false">
      <c r="A117" s="15" t="s">
        <v>117</v>
      </c>
      <c r="B117" s="15" t="s">
        <v>56</v>
      </c>
      <c r="C117" s="15" t="s">
        <v>118</v>
      </c>
      <c r="D117" s="15"/>
      <c r="E117" s="16" t="n">
        <v>20</v>
      </c>
      <c r="F117" s="15" t="s">
        <v>357</v>
      </c>
      <c r="G117" s="8" t="n">
        <v>15</v>
      </c>
      <c r="H117" s="15" t="s">
        <v>596</v>
      </c>
      <c r="I117" s="15" t="s">
        <v>597</v>
      </c>
      <c r="J117" s="15" t="s">
        <v>412</v>
      </c>
      <c r="K117" s="8" t="n">
        <v>16</v>
      </c>
      <c r="L117" s="8" t="n">
        <v>0</v>
      </c>
      <c r="M117" s="8" t="n">
        <v>4</v>
      </c>
      <c r="N117" s="8" t="n">
        <v>120</v>
      </c>
      <c r="O117" s="8" t="n">
        <v>14</v>
      </c>
      <c r="P117" s="9" t="n">
        <v>665.923669381994</v>
      </c>
      <c r="Q117" s="10" t="n">
        <v>0.001501673609121</v>
      </c>
      <c r="R117" s="9" t="n">
        <v>301</v>
      </c>
      <c r="S117" s="12" t="n">
        <f aca="false">IF(AND(ISNUMBER(R117),R117&gt;1,P117&gt;0),R117/P117-1,"")</f>
        <v>-0.54799624365456</v>
      </c>
      <c r="T117" s="9" t="n">
        <f aca="false">IF(AND(ISNUMBER(P117),P117&gt;0),P117*EXP('Read me'!$B$22),"")</f>
        <v>813.361006507309</v>
      </c>
    </row>
    <row r="118" customFormat="false" ht="15" hidden="false" customHeight="false" outlineLevel="0" collapsed="false">
      <c r="A118" s="15" t="s">
        <v>117</v>
      </c>
      <c r="B118" s="15" t="s">
        <v>56</v>
      </c>
      <c r="C118" s="15" t="s">
        <v>118</v>
      </c>
      <c r="D118" s="15"/>
      <c r="E118" s="16" t="n">
        <v>20</v>
      </c>
      <c r="F118" s="15" t="s">
        <v>357</v>
      </c>
      <c r="G118" s="8" t="n">
        <v>15</v>
      </c>
      <c r="H118" s="15" t="s">
        <v>598</v>
      </c>
      <c r="I118" s="15" t="s">
        <v>599</v>
      </c>
      <c r="J118" s="15" t="s">
        <v>476</v>
      </c>
      <c r="K118" s="8" t="n">
        <v>5</v>
      </c>
      <c r="L118" s="8" t="n">
        <v>0</v>
      </c>
      <c r="M118" s="8" t="n">
        <v>6</v>
      </c>
      <c r="N118" s="8" t="n">
        <v>35</v>
      </c>
      <c r="O118" s="8" t="n">
        <v>15</v>
      </c>
      <c r="P118" s="9" t="n">
        <v>887.318500362312</v>
      </c>
      <c r="Q118" s="10" t="n">
        <v>0.0011269910405245</v>
      </c>
      <c r="R118" s="9" t="n">
        <v>301</v>
      </c>
      <c r="S118" s="12" t="n">
        <f aca="false">IF(AND(ISNUMBER(R118),R118&gt;1,P118&gt;0),R118/P118-1,"")</f>
        <v>-0.660775696802112</v>
      </c>
      <c r="T118" s="9" t="n">
        <f aca="false">IF(AND(ISNUMBER(P118),P118&gt;0),P118*EXP('Read me'!$B$22),"")</f>
        <v>1083.77326370907</v>
      </c>
    </row>
    <row r="119" customFormat="false" ht="15" hidden="false" customHeight="false" outlineLevel="0" collapsed="false">
      <c r="A119" s="15" t="s">
        <v>123</v>
      </c>
      <c r="B119" s="15" t="s">
        <v>63</v>
      </c>
      <c r="C119" s="15" t="s">
        <v>124</v>
      </c>
      <c r="D119" s="15" t="s">
        <v>418</v>
      </c>
      <c r="E119" s="16" t="n">
        <v>6</v>
      </c>
      <c r="F119" s="15" t="s">
        <v>419</v>
      </c>
      <c r="G119" s="8" t="n">
        <v>7</v>
      </c>
      <c r="H119" s="15" t="s">
        <v>125</v>
      </c>
      <c r="I119" s="15" t="s">
        <v>126</v>
      </c>
      <c r="J119" s="15" t="s">
        <v>127</v>
      </c>
      <c r="K119" s="8" t="n">
        <v>6</v>
      </c>
      <c r="L119" s="8" t="n">
        <v>65</v>
      </c>
      <c r="M119" s="8" t="n">
        <v>2</v>
      </c>
      <c r="N119" s="8" t="n">
        <v>13</v>
      </c>
      <c r="O119" s="8" t="n">
        <v>1</v>
      </c>
      <c r="P119" s="9" t="n">
        <v>2.88425361964778</v>
      </c>
      <c r="Q119" s="10" t="n">
        <v>0.346710148229655</v>
      </c>
      <c r="R119" s="9" t="n">
        <v>3</v>
      </c>
      <c r="S119" s="12" t="n">
        <f aca="false">IF(AND(ISNUMBER(R119),R119&gt;1,P119&gt;0),R119/P119-1,"")</f>
        <v>0.0401304446889659</v>
      </c>
      <c r="T119" s="9" t="n">
        <f aca="false">IF(AND(ISNUMBER(P119),P119&gt;0),P119*EXP('Read me'!$B$22),"")</f>
        <v>3.52283532627125</v>
      </c>
    </row>
    <row r="120" customFormat="false" ht="15" hidden="false" customHeight="false" outlineLevel="0" collapsed="false">
      <c r="A120" s="15" t="s">
        <v>123</v>
      </c>
      <c r="B120" s="15" t="s">
        <v>63</v>
      </c>
      <c r="C120" s="15" t="s">
        <v>124</v>
      </c>
      <c r="D120" s="15" t="s">
        <v>418</v>
      </c>
      <c r="E120" s="16" t="n">
        <v>6</v>
      </c>
      <c r="F120" s="15" t="s">
        <v>419</v>
      </c>
      <c r="G120" s="8" t="n">
        <v>7</v>
      </c>
      <c r="H120" s="15" t="s">
        <v>128</v>
      </c>
      <c r="I120" s="15" t="s">
        <v>514</v>
      </c>
      <c r="J120" s="15" t="s">
        <v>428</v>
      </c>
      <c r="K120" s="8" t="n">
        <v>1</v>
      </c>
      <c r="L120" s="8" t="n">
        <v>50</v>
      </c>
      <c r="M120" s="8" t="n">
        <v>2</v>
      </c>
      <c r="N120" s="8" t="n">
        <v>35</v>
      </c>
      <c r="O120" s="8" t="n">
        <v>2</v>
      </c>
      <c r="P120" s="9" t="n">
        <v>5.41645856092125</v>
      </c>
      <c r="Q120" s="10" t="n">
        <v>0.184622477722772</v>
      </c>
      <c r="R120" s="9" t="n">
        <v>4.5</v>
      </c>
      <c r="S120" s="12" t="n">
        <f aca="false">IF(AND(ISNUMBER(R120),R120&gt;1,P120&gt;0),R120/P120-1,"")</f>
        <v>-0.169198850247527</v>
      </c>
      <c r="T120" s="9" t="n">
        <f aca="false">IF(AND(ISNUMBER(P120),P120&gt;0),P120*EXP('Read me'!$B$22),"")</f>
        <v>6.61567742576948</v>
      </c>
    </row>
    <row r="121" customFormat="false" ht="15" hidden="false" customHeight="false" outlineLevel="0" collapsed="false">
      <c r="A121" s="15" t="s">
        <v>123</v>
      </c>
      <c r="B121" s="15" t="s">
        <v>63</v>
      </c>
      <c r="C121" s="15" t="s">
        <v>124</v>
      </c>
      <c r="D121" s="15" t="s">
        <v>418</v>
      </c>
      <c r="E121" s="16" t="n">
        <v>6</v>
      </c>
      <c r="F121" s="15" t="s">
        <v>419</v>
      </c>
      <c r="G121" s="8" t="n">
        <v>7</v>
      </c>
      <c r="H121" s="15" t="s">
        <v>600</v>
      </c>
      <c r="I121" s="15" t="s">
        <v>601</v>
      </c>
      <c r="J121" s="15" t="s">
        <v>602</v>
      </c>
      <c r="K121" s="8" t="n">
        <v>2</v>
      </c>
      <c r="L121" s="8" t="n">
        <v>48</v>
      </c>
      <c r="M121" s="8" t="n">
        <v>2</v>
      </c>
      <c r="N121" s="8" t="n">
        <v>26</v>
      </c>
      <c r="O121" s="8" t="n">
        <v>3</v>
      </c>
      <c r="P121" s="9" t="n">
        <v>6.42915632561056</v>
      </c>
      <c r="Q121" s="10" t="n">
        <v>0.155541403778984</v>
      </c>
      <c r="R121" s="9" t="n">
        <v>6.5</v>
      </c>
      <c r="S121" s="12" t="n">
        <f aca="false">IF(AND(ISNUMBER(R121),R121&gt;1,P121&gt;0),R121/P121-1,"")</f>
        <v>0.0110191245633948</v>
      </c>
      <c r="T121" s="9" t="n">
        <f aca="false">IF(AND(ISNUMBER(P121),P121&gt;0),P121*EXP('Read me'!$B$22),"")</f>
        <v>7.85258926874364</v>
      </c>
    </row>
    <row r="122" customFormat="false" ht="15" hidden="false" customHeight="false" outlineLevel="0" collapsed="false">
      <c r="A122" s="15" t="s">
        <v>123</v>
      </c>
      <c r="B122" s="15" t="s">
        <v>63</v>
      </c>
      <c r="C122" s="15" t="s">
        <v>124</v>
      </c>
      <c r="D122" s="15" t="s">
        <v>418</v>
      </c>
      <c r="E122" s="16" t="n">
        <v>6</v>
      </c>
      <c r="F122" s="15" t="s">
        <v>419</v>
      </c>
      <c r="G122" s="8" t="n">
        <v>7</v>
      </c>
      <c r="H122" s="15" t="s">
        <v>603</v>
      </c>
      <c r="I122" s="15" t="s">
        <v>604</v>
      </c>
      <c r="J122" s="15" t="s">
        <v>605</v>
      </c>
      <c r="K122" s="8" t="n">
        <v>4</v>
      </c>
      <c r="L122" s="8" t="n">
        <v>53</v>
      </c>
      <c r="M122" s="8" t="n">
        <v>2</v>
      </c>
      <c r="N122" s="8" t="n">
        <v>20</v>
      </c>
      <c r="O122" s="8" t="n">
        <v>4</v>
      </c>
      <c r="P122" s="9" t="n">
        <v>10.5451046147998</v>
      </c>
      <c r="Q122" s="10" t="n">
        <v>0.0948307329826318</v>
      </c>
      <c r="R122" s="9" t="n">
        <v>9.5</v>
      </c>
      <c r="S122" s="12" t="n">
        <f aca="false">IF(AND(ISNUMBER(R122),R122&gt;1,P122&gt;0),R122/P122-1,"")</f>
        <v>-0.099108036664998</v>
      </c>
      <c r="T122" s="9" t="n">
        <f aca="false">IF(AND(ISNUMBER(P122),P122&gt;0),P122*EXP('Read me'!$B$22),"")</f>
        <v>12.879819861604</v>
      </c>
    </row>
    <row r="123" customFormat="false" ht="15" hidden="false" customHeight="false" outlineLevel="0" collapsed="false">
      <c r="A123" s="15" t="s">
        <v>123</v>
      </c>
      <c r="B123" s="15" t="s">
        <v>63</v>
      </c>
      <c r="C123" s="15" t="s">
        <v>124</v>
      </c>
      <c r="D123" s="15" t="s">
        <v>418</v>
      </c>
      <c r="E123" s="16" t="n">
        <v>6</v>
      </c>
      <c r="F123" s="15" t="s">
        <v>419</v>
      </c>
      <c r="G123" s="8" t="n">
        <v>7</v>
      </c>
      <c r="H123" s="15" t="s">
        <v>606</v>
      </c>
      <c r="I123" s="15" t="s">
        <v>607</v>
      </c>
      <c r="J123" s="15" t="s">
        <v>608</v>
      </c>
      <c r="K123" s="8" t="n">
        <v>3</v>
      </c>
      <c r="L123" s="8" t="n">
        <v>66</v>
      </c>
      <c r="M123" s="8" t="n">
        <v>2</v>
      </c>
      <c r="N123" s="8" t="n">
        <v>23</v>
      </c>
      <c r="O123" s="8" t="n">
        <v>5</v>
      </c>
      <c r="P123" s="9" t="n">
        <v>10.9997626724353</v>
      </c>
      <c r="Q123" s="10" t="n">
        <v>0.0909110523362411</v>
      </c>
      <c r="R123" s="9" t="n">
        <v>8.5</v>
      </c>
      <c r="S123" s="12" t="n">
        <f aca="false">IF(AND(ISNUMBER(R123),R123&gt;1,P123&gt;0),R123/P123-1,"")</f>
        <v>-0.22725605514195</v>
      </c>
      <c r="T123" s="9" t="n">
        <f aca="false">IF(AND(ISNUMBER(P123),P123&gt;0),P123*EXP('Read me'!$B$22),"")</f>
        <v>13.4351404672198</v>
      </c>
    </row>
    <row r="124" customFormat="false" ht="15" hidden="false" customHeight="false" outlineLevel="0" collapsed="false">
      <c r="A124" s="15" t="s">
        <v>123</v>
      </c>
      <c r="B124" s="15" t="s">
        <v>63</v>
      </c>
      <c r="C124" s="15" t="s">
        <v>124</v>
      </c>
      <c r="D124" s="15" t="s">
        <v>418</v>
      </c>
      <c r="E124" s="16" t="n">
        <v>6</v>
      </c>
      <c r="F124" s="15" t="s">
        <v>419</v>
      </c>
      <c r="G124" s="8" t="n">
        <v>7</v>
      </c>
      <c r="H124" s="15" t="s">
        <v>609</v>
      </c>
      <c r="I124" s="15" t="s">
        <v>508</v>
      </c>
      <c r="J124" s="15" t="s">
        <v>610</v>
      </c>
      <c r="K124" s="8" t="n">
        <v>7</v>
      </c>
      <c r="L124" s="8" t="n">
        <v>55</v>
      </c>
      <c r="M124" s="8" t="n">
        <v>2</v>
      </c>
      <c r="N124" s="8" t="n">
        <v>14</v>
      </c>
      <c r="O124" s="8" t="n">
        <v>6</v>
      </c>
      <c r="P124" s="9" t="n">
        <v>14.8379135783269</v>
      </c>
      <c r="Q124" s="10" t="n">
        <v>0.0673949200958186</v>
      </c>
      <c r="R124" s="9" t="n">
        <v>10</v>
      </c>
      <c r="S124" s="12" t="n">
        <f aca="false">IF(AND(ISNUMBER(R124),R124&gt;1,P124&gt;0),R124/P124-1,"")</f>
        <v>-0.326050799041814</v>
      </c>
      <c r="T124" s="9" t="n">
        <f aca="false">IF(AND(ISNUMBER(P124),P124&gt;0),P124*EXP('Read me'!$B$22),"")</f>
        <v>18.1230685699107</v>
      </c>
    </row>
    <row r="125" customFormat="false" ht="15" hidden="false" customHeight="false" outlineLevel="0" collapsed="false">
      <c r="A125" s="15" t="s">
        <v>123</v>
      </c>
      <c r="B125" s="15" t="s">
        <v>63</v>
      </c>
      <c r="C125" s="15" t="s">
        <v>124</v>
      </c>
      <c r="D125" s="15" t="s">
        <v>418</v>
      </c>
      <c r="E125" s="16" t="n">
        <v>6</v>
      </c>
      <c r="F125" s="15" t="s">
        <v>419</v>
      </c>
      <c r="G125" s="8" t="n">
        <v>7</v>
      </c>
      <c r="H125" s="15" t="s">
        <v>611</v>
      </c>
      <c r="I125" s="15" t="s">
        <v>612</v>
      </c>
      <c r="J125" s="15" t="s">
        <v>512</v>
      </c>
      <c r="K125" s="8" t="n">
        <v>5</v>
      </c>
      <c r="L125" s="8" t="n">
        <v>46</v>
      </c>
      <c r="M125" s="8" t="n">
        <v>2</v>
      </c>
      <c r="N125" s="8" t="n">
        <v>17</v>
      </c>
      <c r="O125" s="8" t="n">
        <v>7</v>
      </c>
      <c r="P125" s="9" t="n">
        <v>16.6696491853247</v>
      </c>
      <c r="Q125" s="10" t="n">
        <v>0.0599892648538974</v>
      </c>
      <c r="R125" s="9" t="n">
        <v>8.5</v>
      </c>
      <c r="S125" s="12" t="n">
        <f aca="false">IF(AND(ISNUMBER(R125),R125&gt;1,P125&gt;0),R125/P125-1,"")</f>
        <v>-0.490091248741872</v>
      </c>
      <c r="T125" s="9" t="n">
        <f aca="false">IF(AND(ISNUMBER(P125),P125&gt;0),P125*EXP('Read me'!$B$22),"")</f>
        <v>20.360355492518</v>
      </c>
    </row>
    <row r="126" customFormat="false" ht="15" hidden="false" customHeight="false" outlineLevel="0" collapsed="false">
      <c r="A126" s="15" t="s">
        <v>129</v>
      </c>
      <c r="B126" s="15" t="s">
        <v>70</v>
      </c>
      <c r="C126" s="15" t="s">
        <v>130</v>
      </c>
      <c r="D126" s="15" t="s">
        <v>432</v>
      </c>
      <c r="E126" s="16" t="n">
        <v>16.5</v>
      </c>
      <c r="F126" s="15" t="s">
        <v>357</v>
      </c>
      <c r="G126" s="8" t="n">
        <v>4</v>
      </c>
      <c r="H126" s="15" t="s">
        <v>131</v>
      </c>
      <c r="I126" s="15" t="s">
        <v>132</v>
      </c>
      <c r="J126" s="15" t="s">
        <v>133</v>
      </c>
      <c r="K126" s="8" t="n">
        <v>1</v>
      </c>
      <c r="L126" s="8" t="n">
        <v>125</v>
      </c>
      <c r="M126" s="8" t="n">
        <v>6</v>
      </c>
      <c r="N126" s="8" t="n">
        <v>32</v>
      </c>
      <c r="O126" s="8" t="n">
        <v>1</v>
      </c>
      <c r="P126" s="9" t="n">
        <v>3.54237891223166</v>
      </c>
      <c r="Q126" s="10" t="n">
        <v>0.282296170109597</v>
      </c>
      <c r="R126" s="9" t="n">
        <v>5.5</v>
      </c>
      <c r="S126" s="12" t="n">
        <f aca="false">IF(AND(ISNUMBER(R126),R126&gt;1,P126&gt;0),R126/P126-1,"")</f>
        <v>0.552628935602785</v>
      </c>
      <c r="T126" s="9" t="n">
        <f aca="false">IF(AND(ISNUMBER(P126),P126&gt;0),P126*EXP('Read me'!$B$22),"")</f>
        <v>4.32667137384818</v>
      </c>
    </row>
    <row r="127" customFormat="false" ht="15" hidden="false" customHeight="false" outlineLevel="0" collapsed="false">
      <c r="A127" s="15" t="s">
        <v>129</v>
      </c>
      <c r="B127" s="15" t="s">
        <v>70</v>
      </c>
      <c r="C127" s="15" t="s">
        <v>130</v>
      </c>
      <c r="D127" s="15" t="s">
        <v>432</v>
      </c>
      <c r="E127" s="16" t="n">
        <v>16.5</v>
      </c>
      <c r="F127" s="15" t="s">
        <v>357</v>
      </c>
      <c r="G127" s="8" t="n">
        <v>4</v>
      </c>
      <c r="H127" s="15" t="s">
        <v>134</v>
      </c>
      <c r="I127" s="15" t="s">
        <v>613</v>
      </c>
      <c r="J127" s="15" t="s">
        <v>133</v>
      </c>
      <c r="K127" s="8" t="n">
        <v>4</v>
      </c>
      <c r="L127" s="8" t="n">
        <v>106</v>
      </c>
      <c r="M127" s="8" t="n">
        <v>7</v>
      </c>
      <c r="N127" s="8" t="n">
        <v>21</v>
      </c>
      <c r="O127" s="8" t="n">
        <v>2</v>
      </c>
      <c r="P127" s="9" t="n">
        <v>3.67357012240958</v>
      </c>
      <c r="Q127" s="10" t="n">
        <v>0.27221475749157</v>
      </c>
      <c r="R127" s="9" t="n">
        <v>3.5</v>
      </c>
      <c r="S127" s="12" t="n">
        <f aca="false">IF(AND(ISNUMBER(R127),R127&gt;1,P127&gt;0),R127/P127-1,"")</f>
        <v>-0.0472483487795047</v>
      </c>
      <c r="T127" s="9" t="n">
        <f aca="false">IF(AND(ISNUMBER(P127),P127&gt;0),P127*EXP('Read me'!$B$22),"")</f>
        <v>4.48690867980585</v>
      </c>
    </row>
    <row r="128" customFormat="false" ht="15" hidden="false" customHeight="false" outlineLevel="0" collapsed="false">
      <c r="A128" s="15" t="s">
        <v>129</v>
      </c>
      <c r="B128" s="15" t="s">
        <v>70</v>
      </c>
      <c r="C128" s="15" t="s">
        <v>130</v>
      </c>
      <c r="D128" s="15" t="s">
        <v>432</v>
      </c>
      <c r="E128" s="16" t="n">
        <v>16.5</v>
      </c>
      <c r="F128" s="15" t="s">
        <v>357</v>
      </c>
      <c r="G128" s="8" t="n">
        <v>4</v>
      </c>
      <c r="H128" s="15" t="s">
        <v>614</v>
      </c>
      <c r="I128" s="15" t="s">
        <v>103</v>
      </c>
      <c r="J128" s="15" t="s">
        <v>104</v>
      </c>
      <c r="K128" s="8" t="n">
        <v>3</v>
      </c>
      <c r="L128" s="8" t="n">
        <v>120</v>
      </c>
      <c r="M128" s="8" t="n">
        <v>6</v>
      </c>
      <c r="N128" s="8" t="n">
        <v>157</v>
      </c>
      <c r="O128" s="8" t="n">
        <v>3</v>
      </c>
      <c r="P128" s="9" t="n">
        <v>3.85732239103047</v>
      </c>
      <c r="Q128" s="10" t="n">
        <v>0.259247192385403</v>
      </c>
      <c r="R128" s="9" t="n">
        <v>3.25</v>
      </c>
      <c r="S128" s="12" t="n">
        <f aca="false">IF(AND(ISNUMBER(R128),R128&gt;1,P128&gt;0),R128/P128-1,"")</f>
        <v>-0.15744662474744</v>
      </c>
      <c r="T128" s="9" t="n">
        <f aca="false">IF(AND(ISNUMBER(P128),P128&gt;0),P128*EXP('Read me'!$B$22),"")</f>
        <v>4.7113442075176</v>
      </c>
    </row>
    <row r="129" customFormat="false" ht="15" hidden="false" customHeight="false" outlineLevel="0" collapsed="false">
      <c r="A129" s="15" t="s">
        <v>129</v>
      </c>
      <c r="B129" s="15" t="s">
        <v>70</v>
      </c>
      <c r="C129" s="15" t="s">
        <v>130</v>
      </c>
      <c r="D129" s="15" t="s">
        <v>432</v>
      </c>
      <c r="E129" s="16" t="n">
        <v>16.5</v>
      </c>
      <c r="F129" s="15" t="s">
        <v>357</v>
      </c>
      <c r="G129" s="8" t="n">
        <v>4</v>
      </c>
      <c r="H129" s="15" t="s">
        <v>615</v>
      </c>
      <c r="I129" s="15" t="s">
        <v>515</v>
      </c>
      <c r="J129" s="15" t="s">
        <v>516</v>
      </c>
      <c r="K129" s="8" t="n">
        <v>2</v>
      </c>
      <c r="L129" s="8" t="n">
        <v>122</v>
      </c>
      <c r="M129" s="8" t="n">
        <v>6</v>
      </c>
      <c r="N129" s="8" t="n">
        <v>175</v>
      </c>
      <c r="O129" s="8" t="n">
        <v>4</v>
      </c>
      <c r="P129" s="9" t="n">
        <v>5.36936160614301</v>
      </c>
      <c r="Q129" s="10" t="n">
        <v>0.186241880013429</v>
      </c>
      <c r="R129" s="9" t="n">
        <v>3.25</v>
      </c>
      <c r="S129" s="12" t="n">
        <f aca="false">IF(AND(ISNUMBER(R129),R129&gt;1,P129&gt;0),R129/P129-1,"")</f>
        <v>-0.394713889956355</v>
      </c>
      <c r="T129" s="9" t="n">
        <f aca="false">IF(AND(ISNUMBER(P129),P129&gt;0),P129*EXP('Read me'!$B$22),"")</f>
        <v>6.55815307530239</v>
      </c>
    </row>
    <row r="130" customFormat="false" ht="15" hidden="false" customHeight="false" outlineLevel="0" collapsed="false">
      <c r="A130" s="15" t="s">
        <v>135</v>
      </c>
      <c r="B130" s="15" t="s">
        <v>42</v>
      </c>
      <c r="C130" s="15" t="s">
        <v>136</v>
      </c>
      <c r="D130" s="15"/>
      <c r="E130" s="16" t="n">
        <v>7</v>
      </c>
      <c r="F130" s="15" t="s">
        <v>357</v>
      </c>
      <c r="G130" s="8" t="n">
        <v>9</v>
      </c>
      <c r="H130" s="15" t="s">
        <v>137</v>
      </c>
      <c r="I130" s="15" t="s">
        <v>138</v>
      </c>
      <c r="J130" s="15" t="s">
        <v>139</v>
      </c>
      <c r="K130" s="8" t="n">
        <v>2</v>
      </c>
      <c r="L130" s="8" t="n">
        <v>0</v>
      </c>
      <c r="M130" s="8" t="n">
        <v>3</v>
      </c>
      <c r="N130" s="8" t="n">
        <v>136</v>
      </c>
      <c r="O130" s="8" t="n">
        <v>1</v>
      </c>
      <c r="P130" s="9" t="n">
        <v>2.59199079340173</v>
      </c>
      <c r="Q130" s="10" t="n">
        <v>0.385803839483396</v>
      </c>
      <c r="R130" s="9" t="n">
        <v>2.1</v>
      </c>
      <c r="S130" s="12" t="n">
        <f aca="false">IF(AND(ISNUMBER(R130),R130&gt;1,P130&gt;0),R130/P130-1,"")</f>
        <v>-0.189811937084868</v>
      </c>
      <c r="T130" s="9" t="n">
        <f aca="false">IF(AND(ISNUMBER(P130),P130&gt;0),P130*EXP('Read me'!$B$22),"")</f>
        <v>3.16586470418663</v>
      </c>
    </row>
    <row r="131" customFormat="false" ht="15" hidden="false" customHeight="false" outlineLevel="0" collapsed="false">
      <c r="A131" s="15" t="s">
        <v>135</v>
      </c>
      <c r="B131" s="15" t="s">
        <v>42</v>
      </c>
      <c r="C131" s="15" t="s">
        <v>136</v>
      </c>
      <c r="D131" s="15"/>
      <c r="E131" s="16" t="n">
        <v>7</v>
      </c>
      <c r="F131" s="15" t="s">
        <v>357</v>
      </c>
      <c r="G131" s="8" t="n">
        <v>9</v>
      </c>
      <c r="H131" s="15" t="s">
        <v>140</v>
      </c>
      <c r="I131" s="15" t="s">
        <v>450</v>
      </c>
      <c r="J131" s="15" t="s">
        <v>80</v>
      </c>
      <c r="K131" s="8" t="n">
        <v>10</v>
      </c>
      <c r="L131" s="8" t="n">
        <v>0</v>
      </c>
      <c r="M131" s="8" t="n">
        <v>3</v>
      </c>
      <c r="N131" s="8" t="n">
        <v>109</v>
      </c>
      <c r="O131" s="8" t="n">
        <v>2</v>
      </c>
      <c r="P131" s="9" t="n">
        <v>4.82395995498687</v>
      </c>
      <c r="Q131" s="10" t="n">
        <v>0.207298569915828</v>
      </c>
      <c r="R131" s="9" t="n">
        <v>5</v>
      </c>
      <c r="S131" s="12" t="n">
        <f aca="false">IF(AND(ISNUMBER(R131),R131&gt;1,P131&gt;0),R131/P131-1,"")</f>
        <v>0.036492849579139</v>
      </c>
      <c r="T131" s="9" t="n">
        <f aca="false">IF(AND(ISNUMBER(P131),P131&gt;0),P131*EXP('Read me'!$B$22),"")</f>
        <v>5.89199799427518</v>
      </c>
    </row>
    <row r="132" customFormat="false" ht="15" hidden="false" customHeight="false" outlineLevel="0" collapsed="false">
      <c r="A132" s="15" t="s">
        <v>135</v>
      </c>
      <c r="B132" s="15" t="s">
        <v>42</v>
      </c>
      <c r="C132" s="15" t="s">
        <v>136</v>
      </c>
      <c r="D132" s="15"/>
      <c r="E132" s="16" t="n">
        <v>7</v>
      </c>
      <c r="F132" s="15" t="s">
        <v>357</v>
      </c>
      <c r="G132" s="8" t="n">
        <v>9</v>
      </c>
      <c r="H132" s="15" t="s">
        <v>616</v>
      </c>
      <c r="I132" s="15" t="s">
        <v>109</v>
      </c>
      <c r="J132" s="15" t="s">
        <v>617</v>
      </c>
      <c r="K132" s="8" t="n">
        <v>1</v>
      </c>
      <c r="L132" s="8" t="n">
        <v>74</v>
      </c>
      <c r="M132" s="8" t="n">
        <v>3</v>
      </c>
      <c r="N132" s="8" t="n">
        <v>101</v>
      </c>
      <c r="O132" s="8" t="n">
        <v>3</v>
      </c>
      <c r="P132" s="9" t="n">
        <v>5.18130178036093</v>
      </c>
      <c r="Q132" s="10" t="n">
        <v>0.193001689998134</v>
      </c>
      <c r="R132" s="9" t="n">
        <v>4.5</v>
      </c>
      <c r="S132" s="12" t="n">
        <f aca="false">IF(AND(ISNUMBER(R132),R132&gt;1,P132&gt;0),R132/P132-1,"")</f>
        <v>-0.131492395008398</v>
      </c>
      <c r="T132" s="9" t="n">
        <f aca="false">IF(AND(ISNUMBER(P132),P132&gt;0),P132*EXP('Read me'!$B$22),"")</f>
        <v>6.32845628539304</v>
      </c>
    </row>
    <row r="133" customFormat="false" ht="15" hidden="false" customHeight="false" outlineLevel="0" collapsed="false">
      <c r="A133" s="15" t="s">
        <v>135</v>
      </c>
      <c r="B133" s="15" t="s">
        <v>42</v>
      </c>
      <c r="C133" s="15" t="s">
        <v>136</v>
      </c>
      <c r="D133" s="15"/>
      <c r="E133" s="16" t="n">
        <v>7</v>
      </c>
      <c r="F133" s="15" t="s">
        <v>357</v>
      </c>
      <c r="G133" s="8" t="n">
        <v>9</v>
      </c>
      <c r="H133" s="15" t="s">
        <v>618</v>
      </c>
      <c r="I133" s="15" t="s">
        <v>619</v>
      </c>
      <c r="J133" s="15" t="s">
        <v>256</v>
      </c>
      <c r="K133" s="8" t="n">
        <v>4</v>
      </c>
      <c r="L133" s="8" t="n">
        <v>75</v>
      </c>
      <c r="M133" s="8" t="n">
        <v>3</v>
      </c>
      <c r="N133" s="8" t="n">
        <v>7</v>
      </c>
      <c r="O133" s="8" t="n">
        <v>4</v>
      </c>
      <c r="P133" s="9" t="n">
        <v>6.81583245388925</v>
      </c>
      <c r="Q133" s="10" t="n">
        <v>0.146717221522865</v>
      </c>
      <c r="R133" s="9" t="n">
        <v>4.5</v>
      </c>
      <c r="S133" s="12" t="n">
        <f aca="false">IF(AND(ISNUMBER(R133),R133&gt;1,P133&gt;0),R133/P133-1,"")</f>
        <v>-0.339772503147109</v>
      </c>
      <c r="T133" s="9" t="n">
        <f aca="false">IF(AND(ISNUMBER(P133),P133&gt;0),P133*EXP('Read me'!$B$22),"")</f>
        <v>8.32487655833793</v>
      </c>
    </row>
    <row r="134" customFormat="false" ht="15" hidden="false" customHeight="false" outlineLevel="0" collapsed="false">
      <c r="A134" s="15" t="s">
        <v>135</v>
      </c>
      <c r="B134" s="15" t="s">
        <v>42</v>
      </c>
      <c r="C134" s="15" t="s">
        <v>136</v>
      </c>
      <c r="D134" s="15"/>
      <c r="E134" s="16" t="n">
        <v>7</v>
      </c>
      <c r="F134" s="15" t="s">
        <v>357</v>
      </c>
      <c r="G134" s="8" t="n">
        <v>9</v>
      </c>
      <c r="H134" s="15" t="s">
        <v>620</v>
      </c>
      <c r="I134" s="15" t="s">
        <v>365</v>
      </c>
      <c r="J134" s="15" t="s">
        <v>621</v>
      </c>
      <c r="K134" s="8" t="n">
        <v>6</v>
      </c>
      <c r="L134" s="8" t="n">
        <v>0</v>
      </c>
      <c r="M134" s="8" t="n">
        <v>3</v>
      </c>
      <c r="N134" s="8" t="n">
        <v>101</v>
      </c>
      <c r="O134" s="8" t="n">
        <v>5</v>
      </c>
      <c r="P134" s="9" t="n">
        <v>15.9280274428547</v>
      </c>
      <c r="Q134" s="10" t="n">
        <v>0.0627824131762529</v>
      </c>
      <c r="R134" s="9" t="n">
        <v>21</v>
      </c>
      <c r="S134" s="12" t="n">
        <f aca="false">IF(AND(ISNUMBER(R134),R134&gt;1,P134&gt;0),R134/P134-1,"")</f>
        <v>0.318430676701312</v>
      </c>
      <c r="T134" s="9" t="n">
        <f aca="false">IF(AND(ISNUMBER(P134),P134&gt;0),P134*EXP('Read me'!$B$22),"")</f>
        <v>19.4545366507536</v>
      </c>
    </row>
    <row r="135" customFormat="false" ht="15" hidden="false" customHeight="false" outlineLevel="0" collapsed="false">
      <c r="A135" s="15" t="s">
        <v>135</v>
      </c>
      <c r="B135" s="15" t="s">
        <v>42</v>
      </c>
      <c r="C135" s="15" t="s">
        <v>136</v>
      </c>
      <c r="D135" s="15"/>
      <c r="E135" s="16" t="n">
        <v>7</v>
      </c>
      <c r="F135" s="15" t="s">
        <v>357</v>
      </c>
      <c r="G135" s="8" t="n">
        <v>9</v>
      </c>
      <c r="H135" s="15" t="s">
        <v>622</v>
      </c>
      <c r="I135" s="15" t="s">
        <v>441</v>
      </c>
      <c r="J135" s="15" t="s">
        <v>623</v>
      </c>
      <c r="K135" s="8" t="n">
        <v>3</v>
      </c>
      <c r="L135" s="8" t="n">
        <v>0</v>
      </c>
      <c r="M135" s="8" t="n">
        <v>3</v>
      </c>
      <c r="N135" s="8" t="n">
        <v>283</v>
      </c>
      <c r="O135" s="8" t="n">
        <v>6</v>
      </c>
      <c r="P135" s="9" t="n">
        <v>479.872599015714</v>
      </c>
      <c r="Q135" s="10" t="n">
        <v>0.002083886435798</v>
      </c>
      <c r="R135" s="9" t="n">
        <v>151</v>
      </c>
      <c r="S135" s="12" t="n">
        <f aca="false">IF(AND(ISNUMBER(R135),R135&gt;1,P135&gt;0),R135/P135-1,"")</f>
        <v>-0.685333148194496</v>
      </c>
      <c r="T135" s="9" t="n">
        <f aca="false">IF(AND(ISNUMBER(P135),P135&gt;0),P135*EXP('Read me'!$B$22),"")</f>
        <v>586.117716003283</v>
      </c>
    </row>
    <row r="136" customFormat="false" ht="15" hidden="false" customHeight="false" outlineLevel="0" collapsed="false">
      <c r="A136" s="15" t="s">
        <v>135</v>
      </c>
      <c r="B136" s="15" t="s">
        <v>42</v>
      </c>
      <c r="C136" s="15" t="s">
        <v>136</v>
      </c>
      <c r="D136" s="15"/>
      <c r="E136" s="16" t="n">
        <v>7</v>
      </c>
      <c r="F136" s="15" t="s">
        <v>357</v>
      </c>
      <c r="G136" s="8" t="n">
        <v>9</v>
      </c>
      <c r="H136" s="15" t="s">
        <v>624</v>
      </c>
      <c r="I136" s="15" t="s">
        <v>625</v>
      </c>
      <c r="J136" s="15" t="s">
        <v>626</v>
      </c>
      <c r="K136" s="8" t="n">
        <v>9</v>
      </c>
      <c r="L136" s="8" t="n">
        <v>0</v>
      </c>
      <c r="M136" s="8" t="n">
        <v>3</v>
      </c>
      <c r="N136" s="8" t="n">
        <v>19</v>
      </c>
      <c r="O136" s="8" t="n">
        <v>7</v>
      </c>
      <c r="P136" s="9" t="n">
        <v>1013.40548728078</v>
      </c>
      <c r="Q136" s="10" t="n">
        <v>0.0009867718426147</v>
      </c>
      <c r="R136" s="9" t="n">
        <v>126</v>
      </c>
      <c r="S136" s="12" t="n">
        <f aca="false">IF(AND(ISNUMBER(R136),R136&gt;1,P136&gt;0),R136/P136-1,"")</f>
        <v>-0.875666747830536</v>
      </c>
      <c r="T136" s="9" t="n">
        <f aca="false">IF(AND(ISNUMBER(P136),P136&gt;0),P136*EXP('Read me'!$B$22),"")</f>
        <v>1237.7762572994</v>
      </c>
    </row>
    <row r="137" customFormat="false" ht="15" hidden="false" customHeight="false" outlineLevel="0" collapsed="false">
      <c r="A137" s="15" t="s">
        <v>135</v>
      </c>
      <c r="B137" s="15" t="s">
        <v>42</v>
      </c>
      <c r="C137" s="15" t="s">
        <v>136</v>
      </c>
      <c r="D137" s="15"/>
      <c r="E137" s="16" t="n">
        <v>7</v>
      </c>
      <c r="F137" s="15" t="s">
        <v>357</v>
      </c>
      <c r="G137" s="8" t="n">
        <v>9</v>
      </c>
      <c r="H137" s="15" t="s">
        <v>627</v>
      </c>
      <c r="I137" s="15" t="s">
        <v>628</v>
      </c>
      <c r="J137" s="15" t="s">
        <v>503</v>
      </c>
      <c r="K137" s="8" t="n">
        <v>7</v>
      </c>
      <c r="L137" s="8" t="n">
        <v>0</v>
      </c>
      <c r="M137" s="8" t="n">
        <v>3</v>
      </c>
      <c r="N137" s="8" t="n">
        <v>7</v>
      </c>
      <c r="O137" s="8" t="n">
        <v>8</v>
      </c>
      <c r="P137" s="9" t="n">
        <v>1491.70449392883</v>
      </c>
      <c r="Q137" s="10" t="n">
        <v>0.0006703740613975</v>
      </c>
      <c r="R137" s="9" t="n">
        <v>126</v>
      </c>
      <c r="S137" s="12" t="n">
        <f aca="false">IF(AND(ISNUMBER(R137),R137&gt;1,P137&gt;0),R137/P137-1,"")</f>
        <v>-0.915532868263912</v>
      </c>
      <c r="T137" s="9" t="n">
        <f aca="false">IF(AND(ISNUMBER(P137),P137&gt;0),P137*EXP('Read me'!$B$22),"")</f>
        <v>1821.97198324459</v>
      </c>
    </row>
    <row r="138" customFormat="false" ht="15" hidden="false" customHeight="false" outlineLevel="0" collapsed="false">
      <c r="A138" s="15" t="s">
        <v>135</v>
      </c>
      <c r="B138" s="15" t="s">
        <v>42</v>
      </c>
      <c r="C138" s="15" t="s">
        <v>136</v>
      </c>
      <c r="D138" s="15"/>
      <c r="E138" s="16" t="n">
        <v>7</v>
      </c>
      <c r="F138" s="15" t="s">
        <v>357</v>
      </c>
      <c r="G138" s="8" t="n">
        <v>9</v>
      </c>
      <c r="H138" s="15" t="s">
        <v>629</v>
      </c>
      <c r="I138" s="15" t="s">
        <v>630</v>
      </c>
      <c r="J138" s="15" t="s">
        <v>631</v>
      </c>
      <c r="K138" s="8" t="n">
        <v>5</v>
      </c>
      <c r="L138" s="8" t="n">
        <v>0</v>
      </c>
      <c r="M138" s="8" t="n">
        <v>3</v>
      </c>
      <c r="N138" s="8" t="n">
        <v>73</v>
      </c>
      <c r="O138" s="8" t="n">
        <v>9</v>
      </c>
      <c r="P138" s="9" t="n">
        <v>1526.17334547327</v>
      </c>
      <c r="Q138" s="10" t="n">
        <v>0.0006552335637141</v>
      </c>
      <c r="R138" s="9" t="n">
        <v>201</v>
      </c>
      <c r="S138" s="12" t="n">
        <f aca="false">IF(AND(ISNUMBER(R138),R138&gt;1,P138&gt;0),R138/P138-1,"")</f>
        <v>-0.868298053693456</v>
      </c>
      <c r="T138" s="9" t="n">
        <f aca="false">IF(AND(ISNUMBER(P138),P138&gt;0),P138*EXP('Read me'!$B$22),"")</f>
        <v>1864.07233359159</v>
      </c>
    </row>
    <row r="139" customFormat="false" ht="15" hidden="false" customHeight="false" outlineLevel="0" collapsed="false">
      <c r="A139" s="15" t="s">
        <v>141</v>
      </c>
      <c r="B139" s="15" t="s">
        <v>49</v>
      </c>
      <c r="C139" s="15" t="s">
        <v>142</v>
      </c>
      <c r="D139" s="15" t="s">
        <v>418</v>
      </c>
      <c r="E139" s="16" t="n">
        <v>8</v>
      </c>
      <c r="F139" s="15" t="s">
        <v>371</v>
      </c>
      <c r="G139" s="8" t="n">
        <v>10</v>
      </c>
      <c r="H139" s="15" t="s">
        <v>143</v>
      </c>
      <c r="I139" s="15" t="s">
        <v>144</v>
      </c>
      <c r="J139" s="15" t="s">
        <v>145</v>
      </c>
      <c r="K139" s="8" t="n">
        <v>8</v>
      </c>
      <c r="L139" s="8" t="n">
        <v>72</v>
      </c>
      <c r="M139" s="8" t="n">
        <v>5</v>
      </c>
      <c r="N139" s="8" t="n">
        <v>14</v>
      </c>
      <c r="O139" s="8" t="n">
        <v>1</v>
      </c>
      <c r="P139" s="9" t="n">
        <v>4.29172414817471</v>
      </c>
      <c r="Q139" s="10" t="n">
        <v>0.233006587906006</v>
      </c>
      <c r="R139" s="9" t="n">
        <v>3</v>
      </c>
      <c r="S139" s="12" t="n">
        <f aca="false">IF(AND(ISNUMBER(R139),R139&gt;1,P139&gt;0),R139/P139-1,"")</f>
        <v>-0.300980236281981</v>
      </c>
      <c r="T139" s="9" t="n">
        <f aca="false">IF(AND(ISNUMBER(P139),P139&gt;0),P139*EXP('Read me'!$B$22),"")</f>
        <v>5.24192371184319</v>
      </c>
    </row>
    <row r="140" customFormat="false" ht="15" hidden="false" customHeight="false" outlineLevel="0" collapsed="false">
      <c r="A140" s="15" t="s">
        <v>141</v>
      </c>
      <c r="B140" s="15" t="s">
        <v>49</v>
      </c>
      <c r="C140" s="15" t="s">
        <v>142</v>
      </c>
      <c r="D140" s="15" t="s">
        <v>418</v>
      </c>
      <c r="E140" s="16" t="n">
        <v>8</v>
      </c>
      <c r="F140" s="15" t="s">
        <v>371</v>
      </c>
      <c r="G140" s="8" t="n">
        <v>10</v>
      </c>
      <c r="H140" s="15" t="s">
        <v>146</v>
      </c>
      <c r="I140" s="15" t="s">
        <v>85</v>
      </c>
      <c r="J140" s="15" t="s">
        <v>632</v>
      </c>
      <c r="K140" s="8" t="n">
        <v>4</v>
      </c>
      <c r="L140" s="8" t="n">
        <v>70</v>
      </c>
      <c r="M140" s="8" t="n">
        <v>5</v>
      </c>
      <c r="N140" s="8" t="n">
        <v>15</v>
      </c>
      <c r="O140" s="8" t="n">
        <v>2</v>
      </c>
      <c r="P140" s="9" t="n">
        <v>6.47003996606428</v>
      </c>
      <c r="Q140" s="10" t="n">
        <v>0.15455855068053</v>
      </c>
      <c r="R140" s="9" t="n">
        <v>6.5</v>
      </c>
      <c r="S140" s="12" t="n">
        <f aca="false">IF(AND(ISNUMBER(R140),R140&gt;1,P140&gt;0),R140/P140-1,"")</f>
        <v>0.00463057942344358</v>
      </c>
      <c r="T140" s="9" t="n">
        <f aca="false">IF(AND(ISNUMBER(P140),P140&gt;0),P140*EXP('Read me'!$B$22),"")</f>
        <v>7.90252465995745</v>
      </c>
    </row>
    <row r="141" customFormat="false" ht="15" hidden="false" customHeight="false" outlineLevel="0" collapsed="false">
      <c r="A141" s="15" t="s">
        <v>141</v>
      </c>
      <c r="B141" s="15" t="s">
        <v>49</v>
      </c>
      <c r="C141" s="15" t="s">
        <v>142</v>
      </c>
      <c r="D141" s="15" t="s">
        <v>418</v>
      </c>
      <c r="E141" s="16" t="n">
        <v>8</v>
      </c>
      <c r="F141" s="15" t="s">
        <v>371</v>
      </c>
      <c r="G141" s="8" t="n">
        <v>10</v>
      </c>
      <c r="H141" s="15" t="s">
        <v>633</v>
      </c>
      <c r="I141" s="15" t="s">
        <v>634</v>
      </c>
      <c r="J141" s="15" t="s">
        <v>635</v>
      </c>
      <c r="K141" s="8" t="n">
        <v>6</v>
      </c>
      <c r="L141" s="8" t="n">
        <v>75</v>
      </c>
      <c r="M141" s="8" t="n">
        <v>7</v>
      </c>
      <c r="N141" s="8" t="n">
        <v>14</v>
      </c>
      <c r="O141" s="8" t="n">
        <v>3</v>
      </c>
      <c r="P141" s="9" t="n">
        <v>7.70332730226141</v>
      </c>
      <c r="Q141" s="10" t="n">
        <v>0.129814034995818</v>
      </c>
      <c r="R141" s="9" t="n">
        <v>8.5</v>
      </c>
      <c r="S141" s="12" t="n">
        <f aca="false">IF(AND(ISNUMBER(R141),R141&gt;1,P141&gt;0),R141/P141-1,"")</f>
        <v>0.103419297464451</v>
      </c>
      <c r="T141" s="9" t="n">
        <f aca="false">IF(AND(ISNUMBER(P141),P141&gt;0),P141*EXP('Read me'!$B$22),"")</f>
        <v>9.40886521399262</v>
      </c>
    </row>
    <row r="142" customFormat="false" ht="15" hidden="false" customHeight="false" outlineLevel="0" collapsed="false">
      <c r="A142" s="15" t="s">
        <v>141</v>
      </c>
      <c r="B142" s="15" t="s">
        <v>49</v>
      </c>
      <c r="C142" s="15" t="s">
        <v>142</v>
      </c>
      <c r="D142" s="15" t="s">
        <v>418</v>
      </c>
      <c r="E142" s="16" t="n">
        <v>8</v>
      </c>
      <c r="F142" s="15" t="s">
        <v>371</v>
      </c>
      <c r="G142" s="8" t="n">
        <v>10</v>
      </c>
      <c r="H142" s="15" t="s">
        <v>636</v>
      </c>
      <c r="I142" s="15" t="s">
        <v>637</v>
      </c>
      <c r="J142" s="15" t="s">
        <v>53</v>
      </c>
      <c r="K142" s="8" t="n">
        <v>5</v>
      </c>
      <c r="L142" s="8" t="n">
        <v>69</v>
      </c>
      <c r="M142" s="8" t="n">
        <v>5</v>
      </c>
      <c r="N142" s="8" t="n">
        <v>31</v>
      </c>
      <c r="O142" s="8" t="n">
        <v>4</v>
      </c>
      <c r="P142" s="9" t="n">
        <v>8.63474671847115</v>
      </c>
      <c r="Q142" s="10" t="n">
        <v>0.115811156088787</v>
      </c>
      <c r="R142" s="9" t="n">
        <v>6</v>
      </c>
      <c r="S142" s="12" t="n">
        <f aca="false">IF(AND(ISNUMBER(R142),R142&gt;1,P142&gt;0),R142/P142-1,"")</f>
        <v>-0.305133063467281</v>
      </c>
      <c r="T142" s="9" t="n">
        <f aca="false">IF(AND(ISNUMBER(P142),P142&gt;0),P142*EXP('Read me'!$B$22),"")</f>
        <v>10.5465034579551</v>
      </c>
    </row>
    <row r="143" customFormat="false" ht="15" hidden="false" customHeight="false" outlineLevel="0" collapsed="false">
      <c r="A143" s="15" t="s">
        <v>141</v>
      </c>
      <c r="B143" s="15" t="s">
        <v>49</v>
      </c>
      <c r="C143" s="15" t="s">
        <v>142</v>
      </c>
      <c r="D143" s="15" t="s">
        <v>418</v>
      </c>
      <c r="E143" s="16" t="n">
        <v>8</v>
      </c>
      <c r="F143" s="15" t="s">
        <v>371</v>
      </c>
      <c r="G143" s="8" t="n">
        <v>10</v>
      </c>
      <c r="H143" s="15" t="s">
        <v>638</v>
      </c>
      <c r="I143" s="15" t="s">
        <v>460</v>
      </c>
      <c r="J143" s="15" t="s">
        <v>300</v>
      </c>
      <c r="K143" s="8" t="n">
        <v>1</v>
      </c>
      <c r="L143" s="8" t="n">
        <v>73</v>
      </c>
      <c r="M143" s="8" t="n">
        <v>3</v>
      </c>
      <c r="N143" s="8" t="n">
        <v>17</v>
      </c>
      <c r="O143" s="8" t="n">
        <v>5</v>
      </c>
      <c r="P143" s="9" t="n">
        <v>9.78481027120201</v>
      </c>
      <c r="Q143" s="10" t="n">
        <v>0.102199222292857</v>
      </c>
      <c r="R143" s="9" t="n">
        <v>8.5</v>
      </c>
      <c r="S143" s="12" t="n">
        <f aca="false">IF(AND(ISNUMBER(R143),R143&gt;1,P143&gt;0),R143/P143-1,"")</f>
        <v>-0.131306610510719</v>
      </c>
      <c r="T143" s="9" t="n">
        <f aca="false">IF(AND(ISNUMBER(P143),P143&gt;0),P143*EXP('Read me'!$B$22),"")</f>
        <v>11.9511942533201</v>
      </c>
    </row>
    <row r="144" customFormat="false" ht="15" hidden="false" customHeight="false" outlineLevel="0" collapsed="false">
      <c r="A144" s="15" t="s">
        <v>141</v>
      </c>
      <c r="B144" s="15" t="s">
        <v>49</v>
      </c>
      <c r="C144" s="15" t="s">
        <v>142</v>
      </c>
      <c r="D144" s="15" t="s">
        <v>418</v>
      </c>
      <c r="E144" s="16" t="n">
        <v>8</v>
      </c>
      <c r="F144" s="15" t="s">
        <v>371</v>
      </c>
      <c r="G144" s="8" t="n">
        <v>10</v>
      </c>
      <c r="H144" s="15" t="s">
        <v>639</v>
      </c>
      <c r="I144" s="15" t="s">
        <v>550</v>
      </c>
      <c r="J144" s="15" t="s">
        <v>640</v>
      </c>
      <c r="K144" s="8" t="n">
        <v>7</v>
      </c>
      <c r="L144" s="8" t="n">
        <v>71</v>
      </c>
      <c r="M144" s="8" t="n">
        <v>3</v>
      </c>
      <c r="N144" s="8" t="n">
        <v>27</v>
      </c>
      <c r="O144" s="8" t="n">
        <v>6</v>
      </c>
      <c r="P144" s="9" t="n">
        <v>10.981931056762</v>
      </c>
      <c r="Q144" s="10" t="n">
        <v>0.0910586667163844</v>
      </c>
      <c r="R144" s="9" t="n">
        <v>10</v>
      </c>
      <c r="S144" s="12" t="n">
        <f aca="false">IF(AND(ISNUMBER(R144),R144&gt;1,P144&gt;0),R144/P144-1,"")</f>
        <v>-0.0894133328361555</v>
      </c>
      <c r="T144" s="9" t="n">
        <f aca="false">IF(AND(ISNUMBER(P144),P144&gt;0),P144*EXP('Read me'!$B$22),"")</f>
        <v>13.4133608826539</v>
      </c>
    </row>
    <row r="145" customFormat="false" ht="15" hidden="false" customHeight="false" outlineLevel="0" collapsed="false">
      <c r="A145" s="15" t="s">
        <v>141</v>
      </c>
      <c r="B145" s="15" t="s">
        <v>49</v>
      </c>
      <c r="C145" s="15" t="s">
        <v>142</v>
      </c>
      <c r="D145" s="15" t="s">
        <v>418</v>
      </c>
      <c r="E145" s="16" t="n">
        <v>8</v>
      </c>
      <c r="F145" s="15" t="s">
        <v>371</v>
      </c>
      <c r="G145" s="8" t="n">
        <v>10</v>
      </c>
      <c r="H145" s="15" t="s">
        <v>641</v>
      </c>
      <c r="I145" s="15" t="s">
        <v>568</v>
      </c>
      <c r="J145" s="15" t="s">
        <v>215</v>
      </c>
      <c r="K145" s="8" t="n">
        <v>10</v>
      </c>
      <c r="L145" s="8" t="n">
        <v>71</v>
      </c>
      <c r="M145" s="8" t="n">
        <v>7</v>
      </c>
      <c r="N145" s="8" t="n">
        <v>27</v>
      </c>
      <c r="O145" s="8" t="n">
        <v>7</v>
      </c>
      <c r="P145" s="9" t="n">
        <v>14.9936122232124</v>
      </c>
      <c r="Q145" s="10" t="n">
        <v>0.0666950688808564</v>
      </c>
      <c r="R145" s="9" t="n">
        <v>10</v>
      </c>
      <c r="S145" s="12" t="n">
        <f aca="false">IF(AND(ISNUMBER(R145),R145&gt;1,P145&gt;0),R145/P145-1,"")</f>
        <v>-0.333049311191436</v>
      </c>
      <c r="T145" s="9" t="n">
        <f aca="false">IF(AND(ISNUMBER(P145),P145&gt;0),P145*EXP('Read me'!$B$22),"")</f>
        <v>18.3132393242156</v>
      </c>
    </row>
    <row r="146" customFormat="false" ht="15" hidden="false" customHeight="false" outlineLevel="0" collapsed="false">
      <c r="A146" s="15" t="s">
        <v>141</v>
      </c>
      <c r="B146" s="15" t="s">
        <v>49</v>
      </c>
      <c r="C146" s="15" t="s">
        <v>142</v>
      </c>
      <c r="D146" s="15" t="s">
        <v>418</v>
      </c>
      <c r="E146" s="16" t="n">
        <v>8</v>
      </c>
      <c r="F146" s="15" t="s">
        <v>371</v>
      </c>
      <c r="G146" s="8" t="n">
        <v>10</v>
      </c>
      <c r="H146" s="15" t="s">
        <v>642</v>
      </c>
      <c r="I146" s="15" t="s">
        <v>560</v>
      </c>
      <c r="J146" s="15" t="s">
        <v>551</v>
      </c>
      <c r="K146" s="8" t="n">
        <v>3</v>
      </c>
      <c r="L146" s="8" t="n">
        <v>72</v>
      </c>
      <c r="M146" s="8" t="n">
        <v>3</v>
      </c>
      <c r="N146" s="8" t="n">
        <v>67</v>
      </c>
      <c r="O146" s="8" t="n">
        <v>8</v>
      </c>
      <c r="P146" s="9" t="n">
        <v>19.2854372760125</v>
      </c>
      <c r="Q146" s="10" t="n">
        <v>0.0518525966348615</v>
      </c>
      <c r="R146" s="9" t="n">
        <v>19</v>
      </c>
      <c r="S146" s="12" t="n">
        <f aca="false">IF(AND(ISNUMBER(R146),R146&gt;1,P146&gt;0),R146/P146-1,"")</f>
        <v>-0.0148006639376302</v>
      </c>
      <c r="T146" s="9" t="n">
        <f aca="false">IF(AND(ISNUMBER(P146),P146&gt;0),P146*EXP('Read me'!$B$22),"")</f>
        <v>23.5552862812466</v>
      </c>
    </row>
    <row r="147" customFormat="false" ht="15" hidden="false" customHeight="false" outlineLevel="0" collapsed="false">
      <c r="A147" s="15" t="s">
        <v>141</v>
      </c>
      <c r="B147" s="15" t="s">
        <v>49</v>
      </c>
      <c r="C147" s="15" t="s">
        <v>142</v>
      </c>
      <c r="D147" s="15" t="s">
        <v>418</v>
      </c>
      <c r="E147" s="16" t="n">
        <v>8</v>
      </c>
      <c r="F147" s="15" t="s">
        <v>371</v>
      </c>
      <c r="G147" s="8" t="n">
        <v>10</v>
      </c>
      <c r="H147" s="15" t="s">
        <v>643</v>
      </c>
      <c r="I147" s="15" t="s">
        <v>383</v>
      </c>
      <c r="J147" s="15" t="s">
        <v>384</v>
      </c>
      <c r="K147" s="8" t="n">
        <v>9</v>
      </c>
      <c r="L147" s="8" t="n">
        <v>67</v>
      </c>
      <c r="M147" s="8" t="n">
        <v>8</v>
      </c>
      <c r="N147" s="8" t="n">
        <v>38</v>
      </c>
      <c r="O147" s="8" t="n">
        <v>9</v>
      </c>
      <c r="P147" s="9" t="n">
        <v>20.9159344449261</v>
      </c>
      <c r="Q147" s="10" t="n">
        <v>0.0478104386219563</v>
      </c>
      <c r="R147" s="9" t="n">
        <v>17</v>
      </c>
      <c r="S147" s="12" t="n">
        <f aca="false">IF(AND(ISNUMBER(R147),R147&gt;1,P147&gt;0),R147/P147-1,"")</f>
        <v>-0.187222543426742</v>
      </c>
      <c r="T147" s="9" t="n">
        <f aca="false">IF(AND(ISNUMBER(P147),P147&gt;0),P147*EXP('Read me'!$B$22),"")</f>
        <v>25.54678002053</v>
      </c>
    </row>
    <row r="148" customFormat="false" ht="15" hidden="false" customHeight="false" outlineLevel="0" collapsed="false">
      <c r="A148" s="15" t="s">
        <v>141</v>
      </c>
      <c r="B148" s="15" t="s">
        <v>49</v>
      </c>
      <c r="C148" s="15" t="s">
        <v>142</v>
      </c>
      <c r="D148" s="15" t="s">
        <v>418</v>
      </c>
      <c r="E148" s="16" t="n">
        <v>8</v>
      </c>
      <c r="F148" s="15" t="s">
        <v>371</v>
      </c>
      <c r="G148" s="8" t="n">
        <v>10</v>
      </c>
      <c r="H148" s="15" t="s">
        <v>644</v>
      </c>
      <c r="I148" s="15" t="s">
        <v>52</v>
      </c>
      <c r="J148" s="15" t="s">
        <v>645</v>
      </c>
      <c r="K148" s="8" t="n">
        <v>2</v>
      </c>
      <c r="L148" s="8" t="n">
        <v>67</v>
      </c>
      <c r="M148" s="8" t="n">
        <v>3</v>
      </c>
      <c r="N148" s="8" t="n">
        <v>19</v>
      </c>
      <c r="O148" s="8" t="n">
        <v>10</v>
      </c>
      <c r="P148" s="9" t="n">
        <v>139.010964032404</v>
      </c>
      <c r="Q148" s="10" t="n">
        <v>0.0071936771819444</v>
      </c>
      <c r="R148" s="9" t="n">
        <v>81</v>
      </c>
      <c r="S148" s="12" t="n">
        <f aca="false">IF(AND(ISNUMBER(R148),R148&gt;1,P148&gt;0),R148/P148-1,"")</f>
        <v>-0.417312148262503</v>
      </c>
      <c r="T148" s="9" t="n">
        <f aca="false">IF(AND(ISNUMBER(P148),P148&gt;0),P148*EXP('Read me'!$B$22),"")</f>
        <v>169.788374883683</v>
      </c>
    </row>
    <row r="149" customFormat="false" ht="15" hidden="false" customHeight="false" outlineLevel="0" collapsed="false">
      <c r="A149" s="15" t="s">
        <v>147</v>
      </c>
      <c r="B149" s="15" t="s">
        <v>56</v>
      </c>
      <c r="C149" s="15" t="s">
        <v>148</v>
      </c>
      <c r="D149" s="15"/>
      <c r="E149" s="16" t="n">
        <v>20</v>
      </c>
      <c r="F149" s="15" t="s">
        <v>357</v>
      </c>
      <c r="G149" s="8" t="n">
        <v>16</v>
      </c>
      <c r="H149" s="15" t="s">
        <v>149</v>
      </c>
      <c r="I149" s="15" t="s">
        <v>150</v>
      </c>
      <c r="J149" s="15" t="s">
        <v>151</v>
      </c>
      <c r="K149" s="8" t="n">
        <v>8</v>
      </c>
      <c r="L149" s="8" t="n">
        <v>89</v>
      </c>
      <c r="M149" s="8" t="n">
        <v>7</v>
      </c>
      <c r="N149" s="8" t="n">
        <v>169</v>
      </c>
      <c r="O149" s="8" t="n">
        <v>1</v>
      </c>
      <c r="P149" s="9" t="n">
        <v>4.89371056595047</v>
      </c>
      <c r="Q149" s="10" t="n">
        <v>0.204343919919951</v>
      </c>
      <c r="R149" s="9" t="n">
        <v>3.5</v>
      </c>
      <c r="S149" s="12" t="n">
        <f aca="false">IF(AND(ISNUMBER(R149),R149&gt;1,P149&gt;0),R149/P149-1,"")</f>
        <v>-0.284796280280173</v>
      </c>
      <c r="T149" s="9" t="n">
        <f aca="false">IF(AND(ISNUMBER(P149),P149&gt;0),P149*EXP('Read me'!$B$22),"")</f>
        <v>5.97719158288947</v>
      </c>
    </row>
    <row r="150" customFormat="false" ht="15" hidden="false" customHeight="false" outlineLevel="0" collapsed="false">
      <c r="A150" s="15" t="s">
        <v>147</v>
      </c>
      <c r="B150" s="15" t="s">
        <v>56</v>
      </c>
      <c r="C150" s="15" t="s">
        <v>148</v>
      </c>
      <c r="D150" s="15"/>
      <c r="E150" s="16" t="n">
        <v>20</v>
      </c>
      <c r="F150" s="15" t="s">
        <v>357</v>
      </c>
      <c r="G150" s="8" t="n">
        <v>16</v>
      </c>
      <c r="H150" s="15" t="s">
        <v>152</v>
      </c>
      <c r="I150" s="15" t="s">
        <v>391</v>
      </c>
      <c r="J150" s="15" t="s">
        <v>646</v>
      </c>
      <c r="K150" s="8" t="n">
        <v>12</v>
      </c>
      <c r="L150" s="8" t="n">
        <v>84</v>
      </c>
      <c r="M150" s="8" t="n">
        <v>5</v>
      </c>
      <c r="N150" s="8" t="n">
        <v>31</v>
      </c>
      <c r="O150" s="8" t="n">
        <v>2</v>
      </c>
      <c r="P150" s="9" t="n">
        <v>9.3154391185215</v>
      </c>
      <c r="Q150" s="10" t="n">
        <v>0.107348670017256</v>
      </c>
      <c r="R150" s="9" t="n">
        <v>7.5</v>
      </c>
      <c r="S150" s="12" t="n">
        <f aca="false">IF(AND(ISNUMBER(R150),R150&gt;1,P150&gt;0),R150/P150-1,"")</f>
        <v>-0.194884974870582</v>
      </c>
      <c r="T150" s="9" t="n">
        <f aca="false">IF(AND(ISNUMBER(P150),P150&gt;0),P150*EXP('Read me'!$B$22),"")</f>
        <v>11.3779030328353</v>
      </c>
    </row>
    <row r="151" customFormat="false" ht="15" hidden="false" customHeight="false" outlineLevel="0" collapsed="false">
      <c r="A151" s="15" t="s">
        <v>147</v>
      </c>
      <c r="B151" s="15" t="s">
        <v>56</v>
      </c>
      <c r="C151" s="15" t="s">
        <v>148</v>
      </c>
      <c r="D151" s="15"/>
      <c r="E151" s="16" t="n">
        <v>20</v>
      </c>
      <c r="F151" s="15" t="s">
        <v>357</v>
      </c>
      <c r="G151" s="8" t="n">
        <v>16</v>
      </c>
      <c r="H151" s="15" t="s">
        <v>647</v>
      </c>
      <c r="I151" s="15" t="s">
        <v>395</v>
      </c>
      <c r="J151" s="15" t="s">
        <v>648</v>
      </c>
      <c r="K151" s="8" t="n">
        <v>1</v>
      </c>
      <c r="L151" s="8" t="n">
        <v>100</v>
      </c>
      <c r="M151" s="8" t="n">
        <v>5</v>
      </c>
      <c r="N151" s="8" t="n">
        <v>9</v>
      </c>
      <c r="O151" s="8" t="n">
        <v>3</v>
      </c>
      <c r="P151" s="9" t="n">
        <v>10.7121545819056</v>
      </c>
      <c r="Q151" s="10" t="n">
        <v>0.0933519015576145</v>
      </c>
      <c r="R151" s="9" t="n">
        <v>8</v>
      </c>
      <c r="S151" s="12" t="n">
        <f aca="false">IF(AND(ISNUMBER(R151),R151&gt;1,P151&gt;0),R151/P151-1,"")</f>
        <v>-0.253184787539084</v>
      </c>
      <c r="T151" s="9" t="n">
        <f aca="false">IF(AND(ISNUMBER(P151),P151&gt;0),P151*EXP('Read me'!$B$22),"")</f>
        <v>13.0838551521776</v>
      </c>
    </row>
    <row r="152" customFormat="false" ht="15" hidden="false" customHeight="false" outlineLevel="0" collapsed="false">
      <c r="A152" s="15" t="s">
        <v>147</v>
      </c>
      <c r="B152" s="15" t="s">
        <v>56</v>
      </c>
      <c r="C152" s="15" t="s">
        <v>148</v>
      </c>
      <c r="D152" s="15"/>
      <c r="E152" s="16" t="n">
        <v>20</v>
      </c>
      <c r="F152" s="15" t="s">
        <v>357</v>
      </c>
      <c r="G152" s="8" t="n">
        <v>16</v>
      </c>
      <c r="H152" s="15" t="s">
        <v>649</v>
      </c>
      <c r="I152" s="15" t="s">
        <v>409</v>
      </c>
      <c r="J152" s="15" t="s">
        <v>498</v>
      </c>
      <c r="K152" s="8" t="n">
        <v>5</v>
      </c>
      <c r="L152" s="8" t="n">
        <v>94</v>
      </c>
      <c r="M152" s="8" t="n">
        <v>5</v>
      </c>
      <c r="N152" s="8" t="n">
        <v>169</v>
      </c>
      <c r="O152" s="8" t="n">
        <v>4</v>
      </c>
      <c r="P152" s="9" t="n">
        <v>10.947433883555</v>
      </c>
      <c r="Q152" s="10" t="n">
        <v>0.0913456076224567</v>
      </c>
      <c r="R152" s="9" t="n">
        <v>13</v>
      </c>
      <c r="S152" s="12" t="n">
        <f aca="false">IF(AND(ISNUMBER(R152),R152&gt;1,P152&gt;0),R152/P152-1,"")</f>
        <v>0.187492899091938</v>
      </c>
      <c r="T152" s="9" t="n">
        <f aca="false">IF(AND(ISNUMBER(P152),P152&gt;0),P152*EXP('Read me'!$B$22),"")</f>
        <v>13.3712259401501</v>
      </c>
    </row>
    <row r="153" customFormat="false" ht="15" hidden="false" customHeight="false" outlineLevel="0" collapsed="false">
      <c r="A153" s="15" t="s">
        <v>147</v>
      </c>
      <c r="B153" s="15" t="s">
        <v>56</v>
      </c>
      <c r="C153" s="15" t="s">
        <v>148</v>
      </c>
      <c r="D153" s="15"/>
      <c r="E153" s="16" t="n">
        <v>20</v>
      </c>
      <c r="F153" s="15" t="s">
        <v>357</v>
      </c>
      <c r="G153" s="8" t="n">
        <v>16</v>
      </c>
      <c r="H153" s="15" t="s">
        <v>650</v>
      </c>
      <c r="I153" s="15" t="s">
        <v>651</v>
      </c>
      <c r="J153" s="15" t="s">
        <v>652</v>
      </c>
      <c r="K153" s="8" t="n">
        <v>11</v>
      </c>
      <c r="L153" s="8" t="n">
        <v>84</v>
      </c>
      <c r="M153" s="8" t="n">
        <v>6</v>
      </c>
      <c r="N153" s="8" t="n">
        <v>33</v>
      </c>
      <c r="O153" s="8" t="n">
        <v>5</v>
      </c>
      <c r="P153" s="9" t="n">
        <v>11.9310004985268</v>
      </c>
      <c r="Q153" s="10" t="n">
        <v>0.0838152676402519</v>
      </c>
      <c r="R153" s="9" t="n">
        <v>8.5</v>
      </c>
      <c r="S153" s="12" t="n">
        <f aca="false">IF(AND(ISNUMBER(R153),R153&gt;1,P153&gt;0),R153/P153-1,"")</f>
        <v>-0.287570225057859</v>
      </c>
      <c r="T153" s="9" t="n">
        <f aca="false">IF(AND(ISNUMBER(P153),P153&gt;0),P153*EXP('Read me'!$B$22),"")</f>
        <v>14.572556916511</v>
      </c>
    </row>
    <row r="154" customFormat="false" ht="15" hidden="false" customHeight="false" outlineLevel="0" collapsed="false">
      <c r="A154" s="15" t="s">
        <v>147</v>
      </c>
      <c r="B154" s="15" t="s">
        <v>56</v>
      </c>
      <c r="C154" s="15" t="s">
        <v>148</v>
      </c>
      <c r="D154" s="15"/>
      <c r="E154" s="16" t="n">
        <v>20</v>
      </c>
      <c r="F154" s="15" t="s">
        <v>357</v>
      </c>
      <c r="G154" s="8" t="n">
        <v>16</v>
      </c>
      <c r="H154" s="15" t="s">
        <v>653</v>
      </c>
      <c r="I154" s="15" t="s">
        <v>654</v>
      </c>
      <c r="J154" s="15" t="s">
        <v>655</v>
      </c>
      <c r="K154" s="8" t="n">
        <v>14</v>
      </c>
      <c r="L154" s="8" t="n">
        <v>81</v>
      </c>
      <c r="M154" s="8" t="n">
        <v>6</v>
      </c>
      <c r="N154" s="8" t="n">
        <v>31</v>
      </c>
      <c r="O154" s="8" t="n">
        <v>6</v>
      </c>
      <c r="P154" s="9" t="n">
        <v>15.1233656486897</v>
      </c>
      <c r="Q154" s="10" t="n">
        <v>0.0661228474685883</v>
      </c>
      <c r="R154" s="9" t="n">
        <v>11</v>
      </c>
      <c r="S154" s="12" t="n">
        <f aca="false">IF(AND(ISNUMBER(R154),R154&gt;1,P154&gt;0),R154/P154-1,"")</f>
        <v>-0.272648677845528</v>
      </c>
      <c r="T154" s="9" t="n">
        <f aca="false">IF(AND(ISNUMBER(P154),P154&gt;0),P154*EXP('Read me'!$B$22),"")</f>
        <v>18.4717205159744</v>
      </c>
    </row>
    <row r="155" customFormat="false" ht="15" hidden="false" customHeight="false" outlineLevel="0" collapsed="false">
      <c r="A155" s="15" t="s">
        <v>147</v>
      </c>
      <c r="B155" s="15" t="s">
        <v>56</v>
      </c>
      <c r="C155" s="15" t="s">
        <v>148</v>
      </c>
      <c r="D155" s="15"/>
      <c r="E155" s="16" t="n">
        <v>20</v>
      </c>
      <c r="F155" s="15" t="s">
        <v>357</v>
      </c>
      <c r="G155" s="8" t="n">
        <v>16</v>
      </c>
      <c r="H155" s="15" t="s">
        <v>656</v>
      </c>
      <c r="I155" s="15" t="s">
        <v>91</v>
      </c>
      <c r="J155" s="15" t="s">
        <v>417</v>
      </c>
      <c r="K155" s="8" t="n">
        <v>3</v>
      </c>
      <c r="L155" s="8" t="n">
        <v>99</v>
      </c>
      <c r="M155" s="8" t="n">
        <v>6</v>
      </c>
      <c r="N155" s="8" t="n">
        <v>38</v>
      </c>
      <c r="O155" s="8" t="n">
        <v>7</v>
      </c>
      <c r="P155" s="9" t="n">
        <v>15.8641823139274</v>
      </c>
      <c r="Q155" s="10" t="n">
        <v>0.0630350799184958</v>
      </c>
      <c r="R155" s="9" t="n">
        <v>17</v>
      </c>
      <c r="S155" s="12" t="n">
        <f aca="false">IF(AND(ISNUMBER(R155),R155&gt;1,P155&gt;0),R155/P155-1,"")</f>
        <v>0.0715963586144286</v>
      </c>
      <c r="T155" s="9" t="n">
        <f aca="false">IF(AND(ISNUMBER(P155),P155&gt;0),P155*EXP('Read me'!$B$22),"")</f>
        <v>19.3765560341867</v>
      </c>
    </row>
    <row r="156" customFormat="false" ht="15" hidden="false" customHeight="false" outlineLevel="0" collapsed="false">
      <c r="A156" s="15" t="s">
        <v>147</v>
      </c>
      <c r="B156" s="15" t="s">
        <v>56</v>
      </c>
      <c r="C156" s="15" t="s">
        <v>148</v>
      </c>
      <c r="D156" s="15"/>
      <c r="E156" s="16" t="n">
        <v>20</v>
      </c>
      <c r="F156" s="15" t="s">
        <v>357</v>
      </c>
      <c r="G156" s="8" t="n">
        <v>16</v>
      </c>
      <c r="H156" s="15" t="s">
        <v>657</v>
      </c>
      <c r="I156" s="15" t="s">
        <v>405</v>
      </c>
      <c r="J156" s="15" t="s">
        <v>658</v>
      </c>
      <c r="K156" s="8" t="n">
        <v>7</v>
      </c>
      <c r="L156" s="8" t="n">
        <v>90</v>
      </c>
      <c r="M156" s="8" t="n">
        <v>5</v>
      </c>
      <c r="N156" s="8" t="n">
        <v>35</v>
      </c>
      <c r="O156" s="8" t="n">
        <v>8</v>
      </c>
      <c r="P156" s="9" t="n">
        <v>18.0085784405914</v>
      </c>
      <c r="Q156" s="10" t="n">
        <v>0.0555290914993044</v>
      </c>
      <c r="R156" s="9" t="n">
        <v>8</v>
      </c>
      <c r="S156" s="12" t="n">
        <f aca="false">IF(AND(ISNUMBER(R156),R156&gt;1,P156&gt;0),R156/P156-1,"")</f>
        <v>-0.555767268005564</v>
      </c>
      <c r="T156" s="9" t="n">
        <f aca="false">IF(AND(ISNUMBER(P156),P156&gt;0),P156*EXP('Read me'!$B$22),"")</f>
        <v>21.9957273778821</v>
      </c>
    </row>
    <row r="157" customFormat="false" ht="15" hidden="false" customHeight="false" outlineLevel="0" collapsed="false">
      <c r="A157" s="15" t="s">
        <v>147</v>
      </c>
      <c r="B157" s="15" t="s">
        <v>56</v>
      </c>
      <c r="C157" s="15" t="s">
        <v>148</v>
      </c>
      <c r="D157" s="15"/>
      <c r="E157" s="16" t="n">
        <v>20</v>
      </c>
      <c r="F157" s="15" t="s">
        <v>357</v>
      </c>
      <c r="G157" s="8" t="n">
        <v>16</v>
      </c>
      <c r="H157" s="15" t="s">
        <v>659</v>
      </c>
      <c r="I157" s="15" t="s">
        <v>478</v>
      </c>
      <c r="J157" s="15" t="s">
        <v>660</v>
      </c>
      <c r="K157" s="8" t="n">
        <v>13</v>
      </c>
      <c r="L157" s="8" t="n">
        <v>83</v>
      </c>
      <c r="M157" s="8" t="n">
        <v>5</v>
      </c>
      <c r="N157" s="8" t="n">
        <v>40</v>
      </c>
      <c r="O157" s="8" t="n">
        <v>9</v>
      </c>
      <c r="P157" s="9" t="n">
        <v>18.4031592812494</v>
      </c>
      <c r="Q157" s="10" t="n">
        <v>0.0543384961634756</v>
      </c>
      <c r="R157" s="9" t="n">
        <v>11</v>
      </c>
      <c r="S157" s="12" t="n">
        <f aca="false">IF(AND(ISNUMBER(R157),R157&gt;1,P157&gt;0),R157/P157-1,"")</f>
        <v>-0.402276542201768</v>
      </c>
      <c r="T157" s="9" t="n">
        <f aca="false">IF(AND(ISNUMBER(P157),P157&gt;0),P157*EXP('Read me'!$B$22),"")</f>
        <v>22.4776695049789</v>
      </c>
    </row>
    <row r="158" customFormat="false" ht="15" hidden="false" customHeight="false" outlineLevel="0" collapsed="false">
      <c r="A158" s="15" t="s">
        <v>147</v>
      </c>
      <c r="B158" s="15" t="s">
        <v>56</v>
      </c>
      <c r="C158" s="15" t="s">
        <v>148</v>
      </c>
      <c r="D158" s="15"/>
      <c r="E158" s="16" t="n">
        <v>20</v>
      </c>
      <c r="F158" s="15" t="s">
        <v>357</v>
      </c>
      <c r="G158" s="8" t="n">
        <v>16</v>
      </c>
      <c r="H158" s="15" t="s">
        <v>661</v>
      </c>
      <c r="I158" s="15" t="s">
        <v>486</v>
      </c>
      <c r="J158" s="15" t="s">
        <v>662</v>
      </c>
      <c r="K158" s="8" t="n">
        <v>4</v>
      </c>
      <c r="L158" s="8" t="n">
        <v>95</v>
      </c>
      <c r="M158" s="8" t="n">
        <v>6</v>
      </c>
      <c r="N158" s="8" t="n">
        <v>49</v>
      </c>
      <c r="O158" s="8" t="n">
        <v>10</v>
      </c>
      <c r="P158" s="9" t="n">
        <v>20.7757496183802</v>
      </c>
      <c r="Q158" s="10" t="n">
        <v>0.0481330406059237</v>
      </c>
      <c r="R158" s="9" t="n">
        <v>12</v>
      </c>
      <c r="S158" s="12" t="n">
        <f aca="false">IF(AND(ISNUMBER(R158),R158&gt;1,P158&gt;0),R158/P158-1,"")</f>
        <v>-0.422403512728915</v>
      </c>
      <c r="T158" s="9" t="n">
        <f aca="false">IF(AND(ISNUMBER(P158),P158&gt;0),P158*EXP('Read me'!$B$22),"")</f>
        <v>25.3755578867347</v>
      </c>
    </row>
    <row r="159" customFormat="false" ht="15" hidden="false" customHeight="false" outlineLevel="0" collapsed="false">
      <c r="A159" s="15" t="s">
        <v>147</v>
      </c>
      <c r="B159" s="15" t="s">
        <v>56</v>
      </c>
      <c r="C159" s="15" t="s">
        <v>148</v>
      </c>
      <c r="D159" s="15"/>
      <c r="E159" s="16" t="n">
        <v>20</v>
      </c>
      <c r="F159" s="15" t="s">
        <v>357</v>
      </c>
      <c r="G159" s="8" t="n">
        <v>16</v>
      </c>
      <c r="H159" s="15" t="s">
        <v>663</v>
      </c>
      <c r="I159" s="15" t="s">
        <v>664</v>
      </c>
      <c r="J159" s="15" t="s">
        <v>665</v>
      </c>
      <c r="K159" s="8" t="n">
        <v>6</v>
      </c>
      <c r="L159" s="8" t="n">
        <v>91</v>
      </c>
      <c r="M159" s="8" t="n">
        <v>11</v>
      </c>
      <c r="N159" s="8" t="n">
        <v>17</v>
      </c>
      <c r="O159" s="8" t="n">
        <v>11</v>
      </c>
      <c r="P159" s="9" t="n">
        <v>23.7228735020308</v>
      </c>
      <c r="Q159" s="10" t="n">
        <v>0.0421534094474008</v>
      </c>
      <c r="R159" s="9" t="n">
        <v>26</v>
      </c>
      <c r="S159" s="12" t="n">
        <f aca="false">IF(AND(ISNUMBER(R159),R159&gt;1,P159&gt;0),R159/P159-1,"")</f>
        <v>0.095988645632421</v>
      </c>
      <c r="T159" s="9" t="n">
        <f aca="false">IF(AND(ISNUMBER(P159),P159&gt;0),P159*EXP('Read me'!$B$22),"")</f>
        <v>28.9751831268652</v>
      </c>
    </row>
    <row r="160" customFormat="false" ht="15" hidden="false" customHeight="false" outlineLevel="0" collapsed="false">
      <c r="A160" s="15" t="s">
        <v>147</v>
      </c>
      <c r="B160" s="15" t="s">
        <v>56</v>
      </c>
      <c r="C160" s="15" t="s">
        <v>148</v>
      </c>
      <c r="D160" s="15"/>
      <c r="E160" s="16" t="n">
        <v>20</v>
      </c>
      <c r="F160" s="15" t="s">
        <v>357</v>
      </c>
      <c r="G160" s="8" t="n">
        <v>16</v>
      </c>
      <c r="H160" s="15" t="s">
        <v>666</v>
      </c>
      <c r="I160" s="15" t="s">
        <v>398</v>
      </c>
      <c r="J160" s="15" t="s">
        <v>667</v>
      </c>
      <c r="K160" s="8" t="n">
        <v>15</v>
      </c>
      <c r="L160" s="8" t="n">
        <v>72</v>
      </c>
      <c r="M160" s="8" t="n">
        <v>7</v>
      </c>
      <c r="N160" s="8" t="n">
        <v>137</v>
      </c>
      <c r="O160" s="8" t="n">
        <v>12</v>
      </c>
      <c r="P160" s="9" t="n">
        <v>32.7058174619013</v>
      </c>
      <c r="Q160" s="10" t="n">
        <v>0.0305756002327381</v>
      </c>
      <c r="R160" s="9" t="n">
        <v>29</v>
      </c>
      <c r="S160" s="12" t="n">
        <f aca="false">IF(AND(ISNUMBER(R160),R160&gt;1,P160&gt;0),R160/P160-1,"")</f>
        <v>-0.113307593250594</v>
      </c>
      <c r="T160" s="9" t="n">
        <f aca="false">IF(AND(ISNUMBER(P160),P160&gt;0),P160*EXP('Read me'!$B$22),"")</f>
        <v>39.9469756558493</v>
      </c>
    </row>
    <row r="161" customFormat="false" ht="15" hidden="false" customHeight="false" outlineLevel="0" collapsed="false">
      <c r="A161" s="15" t="s">
        <v>147</v>
      </c>
      <c r="B161" s="15" t="s">
        <v>56</v>
      </c>
      <c r="C161" s="15" t="s">
        <v>148</v>
      </c>
      <c r="D161" s="15"/>
      <c r="E161" s="16" t="n">
        <v>20</v>
      </c>
      <c r="F161" s="15" t="s">
        <v>357</v>
      </c>
      <c r="G161" s="8" t="n">
        <v>16</v>
      </c>
      <c r="H161" s="15" t="s">
        <v>668</v>
      </c>
      <c r="I161" s="15" t="s">
        <v>669</v>
      </c>
      <c r="J161" s="15" t="s">
        <v>670</v>
      </c>
      <c r="K161" s="8" t="n">
        <v>2</v>
      </c>
      <c r="L161" s="8" t="n">
        <v>99</v>
      </c>
      <c r="M161" s="8" t="n">
        <v>10</v>
      </c>
      <c r="N161" s="8" t="n">
        <v>55</v>
      </c>
      <c r="O161" s="8" t="n">
        <v>13</v>
      </c>
      <c r="P161" s="9" t="n">
        <v>50.8295485612206</v>
      </c>
      <c r="Q161" s="10" t="n">
        <v>0.019673595935946</v>
      </c>
      <c r="R161" s="9" t="n">
        <v>34</v>
      </c>
      <c r="S161" s="12" t="n">
        <f aca="false">IF(AND(ISNUMBER(R161),R161&gt;1,P161&gt;0),R161/P161-1,"")</f>
        <v>-0.331097738177835</v>
      </c>
      <c r="T161" s="9" t="n">
        <f aca="false">IF(AND(ISNUMBER(P161),P161&gt;0),P161*EXP('Read me'!$B$22),"")</f>
        <v>62.0833508087111</v>
      </c>
    </row>
    <row r="162" customFormat="false" ht="15" hidden="false" customHeight="false" outlineLevel="0" collapsed="false">
      <c r="A162" s="15" t="s">
        <v>147</v>
      </c>
      <c r="B162" s="15" t="s">
        <v>56</v>
      </c>
      <c r="C162" s="15" t="s">
        <v>148</v>
      </c>
      <c r="D162" s="15"/>
      <c r="E162" s="16" t="n">
        <v>20</v>
      </c>
      <c r="F162" s="15" t="s">
        <v>357</v>
      </c>
      <c r="G162" s="8" t="n">
        <v>16</v>
      </c>
      <c r="H162" s="15" t="s">
        <v>671</v>
      </c>
      <c r="I162" s="15" t="s">
        <v>672</v>
      </c>
      <c r="J162" s="15" t="s">
        <v>673</v>
      </c>
      <c r="K162" s="8" t="n">
        <v>16</v>
      </c>
      <c r="L162" s="8" t="n">
        <v>72</v>
      </c>
      <c r="M162" s="8" t="n">
        <v>9</v>
      </c>
      <c r="N162" s="8" t="n">
        <v>40</v>
      </c>
      <c r="O162" s="8" t="n">
        <v>14</v>
      </c>
      <c r="P162" s="9" t="n">
        <v>53.4346583066642</v>
      </c>
      <c r="Q162" s="10" t="n">
        <v>0.0187144454870647</v>
      </c>
      <c r="R162" s="9" t="n">
        <v>19</v>
      </c>
      <c r="S162" s="12" t="n">
        <f aca="false">IF(AND(ISNUMBER(R162),R162&gt;1,P162&gt;0),R162/P162-1,"")</f>
        <v>-0.644425535745769</v>
      </c>
      <c r="T162" s="9" t="n">
        <f aca="false">IF(AND(ISNUMBER(P162),P162&gt;0),P162*EXP('Read me'!$B$22),"")</f>
        <v>65.2652390371058</v>
      </c>
    </row>
    <row r="163" customFormat="false" ht="15" hidden="false" customHeight="false" outlineLevel="0" collapsed="false">
      <c r="A163" s="15" t="s">
        <v>147</v>
      </c>
      <c r="B163" s="15" t="s">
        <v>56</v>
      </c>
      <c r="C163" s="15" t="s">
        <v>148</v>
      </c>
      <c r="D163" s="15"/>
      <c r="E163" s="16" t="n">
        <v>20</v>
      </c>
      <c r="F163" s="15" t="s">
        <v>357</v>
      </c>
      <c r="G163" s="8" t="n">
        <v>16</v>
      </c>
      <c r="H163" s="15" t="s">
        <v>674</v>
      </c>
      <c r="I163" s="15" t="s">
        <v>495</v>
      </c>
      <c r="J163" s="15" t="s">
        <v>496</v>
      </c>
      <c r="K163" s="8" t="n">
        <v>9</v>
      </c>
      <c r="L163" s="8" t="n">
        <v>89</v>
      </c>
      <c r="M163" s="8" t="n">
        <v>9</v>
      </c>
      <c r="N163" s="8" t="n">
        <v>731</v>
      </c>
      <c r="O163" s="8" t="n">
        <v>15</v>
      </c>
      <c r="P163" s="9" t="n">
        <v>66.5806777813867</v>
      </c>
      <c r="Q163" s="10" t="n">
        <v>0.0150193724864657</v>
      </c>
      <c r="R163" s="9" t="n">
        <v>34</v>
      </c>
      <c r="S163" s="12" t="n">
        <f aca="false">IF(AND(ISNUMBER(R163),R163&gt;1,P163&gt;0),R163/P163-1,"")</f>
        <v>-0.489341335460165</v>
      </c>
      <c r="T163" s="9" t="n">
        <f aca="false">IF(AND(ISNUMBER(P163),P163&gt;0),P163*EXP('Read me'!$B$22),"")</f>
        <v>81.3218234823592</v>
      </c>
    </row>
    <row r="164" customFormat="false" ht="15" hidden="false" customHeight="false" outlineLevel="0" collapsed="false">
      <c r="A164" s="15" t="s">
        <v>147</v>
      </c>
      <c r="B164" s="15" t="s">
        <v>56</v>
      </c>
      <c r="C164" s="15" t="s">
        <v>148</v>
      </c>
      <c r="D164" s="15"/>
      <c r="E164" s="16" t="n">
        <v>20</v>
      </c>
      <c r="F164" s="15" t="s">
        <v>357</v>
      </c>
      <c r="G164" s="8" t="n">
        <v>16</v>
      </c>
      <c r="H164" s="15" t="s">
        <v>675</v>
      </c>
      <c r="I164" s="15" t="s">
        <v>676</v>
      </c>
      <c r="J164" s="15" t="s">
        <v>677</v>
      </c>
      <c r="K164" s="8" t="n">
        <v>10</v>
      </c>
      <c r="L164" s="8" t="n">
        <v>86</v>
      </c>
      <c r="M164" s="8" t="n">
        <v>8</v>
      </c>
      <c r="N164" s="8" t="n">
        <v>639</v>
      </c>
      <c r="O164" s="8" t="n">
        <v>16</v>
      </c>
      <c r="P164" s="9" t="n">
        <v>153.854343700646</v>
      </c>
      <c r="Q164" s="10" t="n">
        <v>0.0064996539970668</v>
      </c>
      <c r="R164" s="9" t="n">
        <v>29</v>
      </c>
      <c r="S164" s="12" t="n">
        <f aca="false">IF(AND(ISNUMBER(R164),R164&gt;1,P164&gt;0),R164/P164-1,"")</f>
        <v>-0.811510034085061</v>
      </c>
      <c r="T164" s="9" t="n">
        <f aca="false">IF(AND(ISNUMBER(P164),P164&gt;0),P164*EXP('Read me'!$B$22),"")</f>
        <v>187.918119750892</v>
      </c>
    </row>
    <row r="165" customFormat="false" ht="15" hidden="false" customHeight="false" outlineLevel="0" collapsed="false">
      <c r="A165" s="15" t="s">
        <v>153</v>
      </c>
      <c r="B165" s="15" t="s">
        <v>63</v>
      </c>
      <c r="C165" s="15" t="s">
        <v>154</v>
      </c>
      <c r="D165" s="15" t="s">
        <v>432</v>
      </c>
      <c r="E165" s="16" t="n">
        <v>8.5</v>
      </c>
      <c r="F165" s="15" t="s">
        <v>419</v>
      </c>
      <c r="G165" s="8" t="n">
        <v>13</v>
      </c>
      <c r="H165" s="15" t="s">
        <v>155</v>
      </c>
      <c r="I165" s="15" t="s">
        <v>156</v>
      </c>
      <c r="J165" s="15" t="s">
        <v>67</v>
      </c>
      <c r="K165" s="8" t="n">
        <v>7</v>
      </c>
      <c r="L165" s="8" t="n">
        <v>87</v>
      </c>
      <c r="M165" s="8" t="n">
        <v>4</v>
      </c>
      <c r="N165" s="8" t="n">
        <v>11</v>
      </c>
      <c r="O165" s="8" t="n">
        <v>1</v>
      </c>
      <c r="P165" s="9" t="n">
        <v>5.5218412838528</v>
      </c>
      <c r="Q165" s="10" t="n">
        <v>0.181099011832202</v>
      </c>
      <c r="R165" s="9" t="n">
        <v>5</v>
      </c>
      <c r="S165" s="12" t="n">
        <f aca="false">IF(AND(ISNUMBER(R165),R165&gt;1,P165&gt;0),R165/P165-1,"")</f>
        <v>-0.0945049408389892</v>
      </c>
      <c r="T165" s="9" t="n">
        <f aca="false">IF(AND(ISNUMBER(P165),P165&gt;0),P165*EXP('Read me'!$B$22),"")</f>
        <v>6.7443921742205</v>
      </c>
    </row>
    <row r="166" customFormat="false" ht="15" hidden="false" customHeight="false" outlineLevel="0" collapsed="false">
      <c r="A166" s="15" t="s">
        <v>153</v>
      </c>
      <c r="B166" s="15" t="s">
        <v>63</v>
      </c>
      <c r="C166" s="15" t="s">
        <v>154</v>
      </c>
      <c r="D166" s="15" t="s">
        <v>432</v>
      </c>
      <c r="E166" s="16" t="n">
        <v>8.5</v>
      </c>
      <c r="F166" s="15" t="s">
        <v>419</v>
      </c>
      <c r="G166" s="8" t="n">
        <v>13</v>
      </c>
      <c r="H166" s="15" t="s">
        <v>157</v>
      </c>
      <c r="I166" s="15" t="s">
        <v>678</v>
      </c>
      <c r="J166" s="15" t="s">
        <v>679</v>
      </c>
      <c r="K166" s="8" t="n">
        <v>3</v>
      </c>
      <c r="L166" s="8" t="n">
        <v>89</v>
      </c>
      <c r="M166" s="8" t="n">
        <v>4</v>
      </c>
      <c r="N166" s="8" t="n">
        <v>95</v>
      </c>
      <c r="O166" s="8" t="n">
        <v>2</v>
      </c>
      <c r="P166" s="9" t="n">
        <v>7.31118054998036</v>
      </c>
      <c r="Q166" s="10" t="n">
        <v>0.136776816433932</v>
      </c>
      <c r="R166" s="9" t="n">
        <v>5.5</v>
      </c>
      <c r="S166" s="12" t="n">
        <f aca="false">IF(AND(ISNUMBER(R166),R166&gt;1,P166&gt;0),R166/P166-1,"")</f>
        <v>-0.247727509613372</v>
      </c>
      <c r="T166" s="9" t="n">
        <f aca="false">IF(AND(ISNUMBER(P166),P166&gt;0),P166*EXP('Read me'!$B$22),"")</f>
        <v>8.929896089153</v>
      </c>
    </row>
    <row r="167" customFormat="false" ht="15" hidden="false" customHeight="false" outlineLevel="0" collapsed="false">
      <c r="A167" s="15" t="s">
        <v>153</v>
      </c>
      <c r="B167" s="15" t="s">
        <v>63</v>
      </c>
      <c r="C167" s="15" t="s">
        <v>154</v>
      </c>
      <c r="D167" s="15" t="s">
        <v>432</v>
      </c>
      <c r="E167" s="16" t="n">
        <v>8.5</v>
      </c>
      <c r="F167" s="15" t="s">
        <v>419</v>
      </c>
      <c r="G167" s="8" t="n">
        <v>13</v>
      </c>
      <c r="H167" s="15" t="s">
        <v>680</v>
      </c>
      <c r="I167" s="15" t="s">
        <v>181</v>
      </c>
      <c r="J167" s="15" t="s">
        <v>681</v>
      </c>
      <c r="K167" s="8" t="n">
        <v>4</v>
      </c>
      <c r="L167" s="8" t="n">
        <v>84</v>
      </c>
      <c r="M167" s="8" t="n">
        <v>8</v>
      </c>
      <c r="N167" s="8" t="n">
        <v>23</v>
      </c>
      <c r="O167" s="8" t="n">
        <v>3</v>
      </c>
      <c r="P167" s="9" t="n">
        <v>8.04234986015393</v>
      </c>
      <c r="Q167" s="10" t="n">
        <v>0.124341767939558</v>
      </c>
      <c r="R167" s="9" t="n">
        <v>7</v>
      </c>
      <c r="S167" s="12" t="n">
        <f aca="false">IF(AND(ISNUMBER(R167),R167&gt;1,P167&gt;0),R167/P167-1,"")</f>
        <v>-0.129607624423091</v>
      </c>
      <c r="T167" s="9" t="n">
        <f aca="false">IF(AND(ISNUMBER(P167),P167&gt;0),P167*EXP('Read me'!$B$22),"")</f>
        <v>9.82294830128107</v>
      </c>
    </row>
    <row r="168" customFormat="false" ht="15" hidden="false" customHeight="false" outlineLevel="0" collapsed="false">
      <c r="A168" s="15" t="s">
        <v>153</v>
      </c>
      <c r="B168" s="15" t="s">
        <v>63</v>
      </c>
      <c r="C168" s="15" t="s">
        <v>154</v>
      </c>
      <c r="D168" s="15" t="s">
        <v>432</v>
      </c>
      <c r="E168" s="16" t="n">
        <v>8.5</v>
      </c>
      <c r="F168" s="15" t="s">
        <v>419</v>
      </c>
      <c r="G168" s="8" t="n">
        <v>13</v>
      </c>
      <c r="H168" s="15" t="s">
        <v>682</v>
      </c>
      <c r="I168" s="15" t="s">
        <v>683</v>
      </c>
      <c r="J168" s="15" t="s">
        <v>684</v>
      </c>
      <c r="K168" s="8" t="n">
        <v>5</v>
      </c>
      <c r="L168" s="8" t="n">
        <v>82</v>
      </c>
      <c r="M168" s="8" t="n">
        <v>4</v>
      </c>
      <c r="N168" s="8" t="n">
        <v>16</v>
      </c>
      <c r="O168" s="8" t="n">
        <v>4</v>
      </c>
      <c r="P168" s="9" t="n">
        <v>9.027980916331</v>
      </c>
      <c r="Q168" s="10" t="n">
        <v>0.110766738351326</v>
      </c>
      <c r="R168" s="9" t="n">
        <v>9</v>
      </c>
      <c r="S168" s="12" t="n">
        <f aca="false">IF(AND(ISNUMBER(R168),R168&gt;1,P168&gt;0),R168/P168-1,"")</f>
        <v>-0.00309935483806578</v>
      </c>
      <c r="T168" s="9" t="n">
        <f aca="false">IF(AND(ISNUMBER(P168),P168&gt;0),P168*EXP('Read me'!$B$22),"")</f>
        <v>11.0268007918241</v>
      </c>
    </row>
    <row r="169" customFormat="false" ht="15" hidden="false" customHeight="false" outlineLevel="0" collapsed="false">
      <c r="A169" s="15" t="s">
        <v>153</v>
      </c>
      <c r="B169" s="15" t="s">
        <v>63</v>
      </c>
      <c r="C169" s="15" t="s">
        <v>154</v>
      </c>
      <c r="D169" s="15" t="s">
        <v>432</v>
      </c>
      <c r="E169" s="16" t="n">
        <v>8.5</v>
      </c>
      <c r="F169" s="15" t="s">
        <v>419</v>
      </c>
      <c r="G169" s="8" t="n">
        <v>13</v>
      </c>
      <c r="H169" s="15" t="s">
        <v>685</v>
      </c>
      <c r="I169" s="15" t="s">
        <v>604</v>
      </c>
      <c r="J169" s="15" t="s">
        <v>605</v>
      </c>
      <c r="K169" s="8" t="n">
        <v>9</v>
      </c>
      <c r="L169" s="8" t="n">
        <v>88</v>
      </c>
      <c r="M169" s="8" t="n">
        <v>3</v>
      </c>
      <c r="N169" s="8" t="n">
        <v>18</v>
      </c>
      <c r="O169" s="8" t="n">
        <v>5</v>
      </c>
      <c r="P169" s="9" t="n">
        <v>9.91036452391861</v>
      </c>
      <c r="Q169" s="10" t="n">
        <v>0.100904461948549</v>
      </c>
      <c r="R169" s="9" t="n">
        <v>8.5</v>
      </c>
      <c r="S169" s="12" t="n">
        <f aca="false">IF(AND(ISNUMBER(R169),R169&gt;1,P169&gt;0),R169/P169-1,"")</f>
        <v>-0.14231207343733</v>
      </c>
      <c r="T169" s="9" t="n">
        <f aca="false">IF(AND(ISNUMBER(P169),P169&gt;0),P169*EXP('Read me'!$B$22),"")</f>
        <v>12.1045465638869</v>
      </c>
    </row>
    <row r="170" customFormat="false" ht="15" hidden="false" customHeight="false" outlineLevel="0" collapsed="false">
      <c r="A170" s="15" t="s">
        <v>153</v>
      </c>
      <c r="B170" s="15" t="s">
        <v>63</v>
      </c>
      <c r="C170" s="15" t="s">
        <v>154</v>
      </c>
      <c r="D170" s="15" t="s">
        <v>432</v>
      </c>
      <c r="E170" s="16" t="n">
        <v>8.5</v>
      </c>
      <c r="F170" s="15" t="s">
        <v>419</v>
      </c>
      <c r="G170" s="8" t="n">
        <v>13</v>
      </c>
      <c r="H170" s="15" t="s">
        <v>686</v>
      </c>
      <c r="I170" s="15" t="s">
        <v>687</v>
      </c>
      <c r="J170" s="15" t="s">
        <v>688</v>
      </c>
      <c r="K170" s="8" t="n">
        <v>6</v>
      </c>
      <c r="L170" s="8" t="n">
        <v>87</v>
      </c>
      <c r="M170" s="8" t="n">
        <v>7</v>
      </c>
      <c r="N170" s="8" t="n">
        <v>9</v>
      </c>
      <c r="O170" s="8" t="n">
        <v>6</v>
      </c>
      <c r="P170" s="9" t="n">
        <v>16.54514131034</v>
      </c>
      <c r="Q170" s="10" t="n">
        <v>0.0604407046904484</v>
      </c>
      <c r="R170" s="9" t="n">
        <v>15</v>
      </c>
      <c r="S170" s="12" t="n">
        <f aca="false">IF(AND(ISNUMBER(R170),R170&gt;1,P170&gt;0),R170/P170-1,"")</f>
        <v>-0.0933894296432731</v>
      </c>
      <c r="T170" s="9" t="n">
        <f aca="false">IF(AND(ISNUMBER(P170),P170&gt;0),P170*EXP('Read me'!$B$22),"")</f>
        <v>20.2082812305991</v>
      </c>
    </row>
    <row r="171" customFormat="false" ht="15" hidden="false" customHeight="false" outlineLevel="0" collapsed="false">
      <c r="A171" s="15" t="s">
        <v>153</v>
      </c>
      <c r="B171" s="15" t="s">
        <v>63</v>
      </c>
      <c r="C171" s="15" t="s">
        <v>154</v>
      </c>
      <c r="D171" s="15" t="s">
        <v>432</v>
      </c>
      <c r="E171" s="16" t="n">
        <v>8.5</v>
      </c>
      <c r="F171" s="15" t="s">
        <v>419</v>
      </c>
      <c r="G171" s="8" t="n">
        <v>13</v>
      </c>
      <c r="H171" s="15" t="s">
        <v>689</v>
      </c>
      <c r="I171" s="15" t="s">
        <v>607</v>
      </c>
      <c r="J171" s="15" t="s">
        <v>428</v>
      </c>
      <c r="K171" s="8" t="n">
        <v>8</v>
      </c>
      <c r="L171" s="8" t="n">
        <v>82</v>
      </c>
      <c r="M171" s="8" t="n">
        <v>7</v>
      </c>
      <c r="N171" s="8" t="n">
        <v>22</v>
      </c>
      <c r="O171" s="8" t="n">
        <v>7</v>
      </c>
      <c r="P171" s="9" t="n">
        <v>17.0776836401755</v>
      </c>
      <c r="Q171" s="10" t="n">
        <v>0.0585559506236247</v>
      </c>
      <c r="R171" s="9" t="n">
        <v>6</v>
      </c>
      <c r="S171" s="12" t="n">
        <f aca="false">IF(AND(ISNUMBER(R171),R171&gt;1,P171&gt;0),R171/P171-1,"")</f>
        <v>-0.648664296258252</v>
      </c>
      <c r="T171" s="9" t="n">
        <f aca="false">IF(AND(ISNUMBER(P171),P171&gt;0),P171*EXP('Read me'!$B$22),"")</f>
        <v>20.8587299010972</v>
      </c>
    </row>
    <row r="172" customFormat="false" ht="15" hidden="false" customHeight="false" outlineLevel="0" collapsed="false">
      <c r="A172" s="15" t="s">
        <v>153</v>
      </c>
      <c r="B172" s="15" t="s">
        <v>63</v>
      </c>
      <c r="C172" s="15" t="s">
        <v>154</v>
      </c>
      <c r="D172" s="15" t="s">
        <v>432</v>
      </c>
      <c r="E172" s="16" t="n">
        <v>8.5</v>
      </c>
      <c r="F172" s="15" t="s">
        <v>419</v>
      </c>
      <c r="G172" s="8" t="n">
        <v>13</v>
      </c>
      <c r="H172" s="15" t="s">
        <v>690</v>
      </c>
      <c r="I172" s="15" t="s">
        <v>505</v>
      </c>
      <c r="J172" s="15" t="s">
        <v>506</v>
      </c>
      <c r="K172" s="8" t="n">
        <v>10</v>
      </c>
      <c r="L172" s="8" t="n">
        <v>75</v>
      </c>
      <c r="M172" s="8" t="n">
        <v>5</v>
      </c>
      <c r="N172" s="8" t="n">
        <v>8</v>
      </c>
      <c r="O172" s="8" t="n">
        <v>8</v>
      </c>
      <c r="P172" s="9" t="n">
        <v>18.4776164623925</v>
      </c>
      <c r="Q172" s="10" t="n">
        <v>0.0541195344126392</v>
      </c>
      <c r="R172" s="9" t="n">
        <v>21</v>
      </c>
      <c r="S172" s="12" t="n">
        <f aca="false">IF(AND(ISNUMBER(R172),R172&gt;1,P172&gt;0),R172/P172-1,"")</f>
        <v>0.136510222665424</v>
      </c>
      <c r="T172" s="9" t="n">
        <f aca="false">IF(AND(ISNUMBER(P172),P172&gt;0),P172*EXP('Read me'!$B$22),"")</f>
        <v>22.568611711392</v>
      </c>
    </row>
    <row r="173" customFormat="false" ht="15" hidden="false" customHeight="false" outlineLevel="0" collapsed="false">
      <c r="A173" s="15" t="s">
        <v>153</v>
      </c>
      <c r="B173" s="15" t="s">
        <v>63</v>
      </c>
      <c r="C173" s="15" t="s">
        <v>154</v>
      </c>
      <c r="D173" s="15" t="s">
        <v>432</v>
      </c>
      <c r="E173" s="16" t="n">
        <v>8.5</v>
      </c>
      <c r="F173" s="15" t="s">
        <v>419</v>
      </c>
      <c r="G173" s="8" t="n">
        <v>13</v>
      </c>
      <c r="H173" s="15" t="s">
        <v>691</v>
      </c>
      <c r="I173" s="15" t="s">
        <v>692</v>
      </c>
      <c r="J173" s="15" t="s">
        <v>693</v>
      </c>
      <c r="K173" s="8" t="n">
        <v>13</v>
      </c>
      <c r="L173" s="8" t="n">
        <v>77</v>
      </c>
      <c r="M173" s="8" t="n">
        <v>4</v>
      </c>
      <c r="N173" s="8" t="n">
        <v>22</v>
      </c>
      <c r="O173" s="8" t="n">
        <v>9</v>
      </c>
      <c r="P173" s="9" t="n">
        <v>18.5897175146878</v>
      </c>
      <c r="Q173" s="10" t="n">
        <v>0.0537931789017179</v>
      </c>
      <c r="R173" s="9" t="n">
        <v>19</v>
      </c>
      <c r="S173" s="12" t="n">
        <f aca="false">IF(AND(ISNUMBER(R173),R173&gt;1,P173&gt;0),R173/P173-1,"")</f>
        <v>0.0220703991326412</v>
      </c>
      <c r="T173" s="9" t="n">
        <f aca="false">IF(AND(ISNUMBER(P173),P173&gt;0),P173*EXP('Read me'!$B$22),"")</f>
        <v>22.7055322458581</v>
      </c>
    </row>
    <row r="174" customFormat="false" ht="15" hidden="false" customHeight="false" outlineLevel="0" collapsed="false">
      <c r="A174" s="15" t="s">
        <v>153</v>
      </c>
      <c r="B174" s="15" t="s">
        <v>63</v>
      </c>
      <c r="C174" s="15" t="s">
        <v>154</v>
      </c>
      <c r="D174" s="15" t="s">
        <v>432</v>
      </c>
      <c r="E174" s="16" t="n">
        <v>8.5</v>
      </c>
      <c r="F174" s="15" t="s">
        <v>419</v>
      </c>
      <c r="G174" s="8" t="n">
        <v>13</v>
      </c>
      <c r="H174" s="15" t="s">
        <v>694</v>
      </c>
      <c r="I174" s="15" t="s">
        <v>126</v>
      </c>
      <c r="J174" s="15" t="s">
        <v>127</v>
      </c>
      <c r="K174" s="8" t="n">
        <v>2</v>
      </c>
      <c r="L174" s="8" t="n">
        <v>81</v>
      </c>
      <c r="M174" s="8" t="n">
        <v>3</v>
      </c>
      <c r="N174" s="8" t="n">
        <v>22</v>
      </c>
      <c r="O174" s="8" t="n">
        <v>10</v>
      </c>
      <c r="P174" s="9" t="n">
        <v>25.8086747535464</v>
      </c>
      <c r="Q174" s="10" t="n">
        <v>0.0387466621029267</v>
      </c>
      <c r="R174" s="9" t="n">
        <v>17</v>
      </c>
      <c r="S174" s="12" t="n">
        <f aca="false">IF(AND(ISNUMBER(R174),R174&gt;1,P174&gt;0),R174/P174-1,"")</f>
        <v>-0.341306744250245</v>
      </c>
      <c r="T174" s="9" t="n">
        <f aca="false">IF(AND(ISNUMBER(P174),P174&gt;0),P174*EXP('Read me'!$B$22),"")</f>
        <v>31.5227865284403</v>
      </c>
    </row>
    <row r="175" customFormat="false" ht="15" hidden="false" customHeight="false" outlineLevel="0" collapsed="false">
      <c r="A175" s="15" t="s">
        <v>153</v>
      </c>
      <c r="B175" s="15" t="s">
        <v>63</v>
      </c>
      <c r="C175" s="15" t="s">
        <v>154</v>
      </c>
      <c r="D175" s="15" t="s">
        <v>432</v>
      </c>
      <c r="E175" s="16" t="n">
        <v>8.5</v>
      </c>
      <c r="F175" s="15" t="s">
        <v>419</v>
      </c>
      <c r="G175" s="8" t="n">
        <v>13</v>
      </c>
      <c r="H175" s="15" t="s">
        <v>695</v>
      </c>
      <c r="I175" s="15" t="s">
        <v>696</v>
      </c>
      <c r="J175" s="15" t="s">
        <v>182</v>
      </c>
      <c r="K175" s="8" t="n">
        <v>12</v>
      </c>
      <c r="L175" s="8" t="n">
        <v>81</v>
      </c>
      <c r="M175" s="8" t="n">
        <v>6</v>
      </c>
      <c r="N175" s="8" t="n">
        <v>11</v>
      </c>
      <c r="O175" s="8" t="n">
        <v>11</v>
      </c>
      <c r="P175" s="9" t="n">
        <v>29.6907971458603</v>
      </c>
      <c r="Q175" s="10" t="n">
        <v>0.033680469914208</v>
      </c>
      <c r="R175" s="9" t="n">
        <v>29</v>
      </c>
      <c r="S175" s="12" t="n">
        <f aca="false">IF(AND(ISNUMBER(R175),R175&gt;1,P175&gt;0),R175/P175-1,"")</f>
        <v>-0.023266372487967</v>
      </c>
      <c r="T175" s="9" t="n">
        <f aca="false">IF(AND(ISNUMBER(P175),P175&gt;0),P175*EXP('Read me'!$B$22),"")</f>
        <v>36.2644215259278</v>
      </c>
    </row>
    <row r="176" customFormat="false" ht="15" hidden="false" customHeight="false" outlineLevel="0" collapsed="false">
      <c r="A176" s="15" t="s">
        <v>153</v>
      </c>
      <c r="B176" s="15" t="s">
        <v>63</v>
      </c>
      <c r="C176" s="15" t="s">
        <v>154</v>
      </c>
      <c r="D176" s="15" t="s">
        <v>432</v>
      </c>
      <c r="E176" s="16" t="n">
        <v>8.5</v>
      </c>
      <c r="F176" s="15" t="s">
        <v>419</v>
      </c>
      <c r="G176" s="8" t="n">
        <v>13</v>
      </c>
      <c r="H176" s="15" t="s">
        <v>697</v>
      </c>
      <c r="I176" s="15" t="s">
        <v>249</v>
      </c>
      <c r="J176" s="15" t="s">
        <v>250</v>
      </c>
      <c r="K176" s="8" t="n">
        <v>11</v>
      </c>
      <c r="L176" s="8" t="n">
        <v>70</v>
      </c>
      <c r="M176" s="8" t="n">
        <v>4</v>
      </c>
      <c r="N176" s="8" t="n">
        <v>11</v>
      </c>
      <c r="O176" s="8" t="n">
        <v>12</v>
      </c>
      <c r="P176" s="9" t="n">
        <v>36.4030067253592</v>
      </c>
      <c r="Q176" s="10" t="n">
        <v>0.0274702583647678</v>
      </c>
      <c r="R176" s="9" t="n">
        <v>23</v>
      </c>
      <c r="S176" s="12" t="n">
        <f aca="false">IF(AND(ISNUMBER(R176),R176&gt;1,P176&gt;0),R176/P176-1,"")</f>
        <v>-0.368184057610339</v>
      </c>
      <c r="T176" s="9" t="n">
        <f aca="false">IF(AND(ISNUMBER(P176),P176&gt;0),P176*EXP('Read me'!$B$22),"")</f>
        <v>44.4627328196769</v>
      </c>
    </row>
    <row r="177" customFormat="false" ht="15" hidden="false" customHeight="false" outlineLevel="0" collapsed="false">
      <c r="A177" s="15" t="s">
        <v>153</v>
      </c>
      <c r="B177" s="15" t="s">
        <v>63</v>
      </c>
      <c r="C177" s="15" t="s">
        <v>154</v>
      </c>
      <c r="D177" s="15" t="s">
        <v>432</v>
      </c>
      <c r="E177" s="16" t="n">
        <v>8.5</v>
      </c>
      <c r="F177" s="15" t="s">
        <v>419</v>
      </c>
      <c r="G177" s="8" t="n">
        <v>13</v>
      </c>
      <c r="H177" s="15" t="s">
        <v>698</v>
      </c>
      <c r="I177" s="15" t="s">
        <v>508</v>
      </c>
      <c r="J177" s="15" t="s">
        <v>509</v>
      </c>
      <c r="K177" s="8" t="n">
        <v>1</v>
      </c>
      <c r="L177" s="8" t="n">
        <v>86</v>
      </c>
      <c r="M177" s="8" t="n">
        <v>4</v>
      </c>
      <c r="N177" s="8" t="n">
        <v>16</v>
      </c>
      <c r="O177" s="8" t="n">
        <v>13</v>
      </c>
      <c r="P177" s="9" t="n">
        <v>51.8015424284145</v>
      </c>
      <c r="Q177" s="10" t="n">
        <v>0.0193044444840985</v>
      </c>
      <c r="R177" s="9" t="n">
        <v>51</v>
      </c>
      <c r="S177" s="12" t="n">
        <f aca="false">IF(AND(ISNUMBER(R177),R177&gt;1,P177&gt;0),R177/P177-1,"")</f>
        <v>-0.0154733313109764</v>
      </c>
      <c r="T177" s="9" t="n">
        <f aca="false">IF(AND(ISNUMBER(P177),P177&gt;0),P177*EXP('Read me'!$B$22),"")</f>
        <v>63.2705467990165</v>
      </c>
    </row>
    <row r="178" customFormat="false" ht="15" hidden="false" customHeight="false" outlineLevel="0" collapsed="false">
      <c r="A178" s="15" t="s">
        <v>158</v>
      </c>
      <c r="B178" s="15" t="s">
        <v>70</v>
      </c>
      <c r="C178" s="15" t="s">
        <v>159</v>
      </c>
      <c r="D178" s="15" t="s">
        <v>418</v>
      </c>
      <c r="E178" s="16" t="n">
        <v>17</v>
      </c>
      <c r="F178" s="15" t="s">
        <v>357</v>
      </c>
      <c r="G178" s="8" t="n">
        <v>6</v>
      </c>
      <c r="H178" s="15" t="s">
        <v>160</v>
      </c>
      <c r="I178" s="15"/>
      <c r="J178" s="15" t="s">
        <v>74</v>
      </c>
      <c r="K178" s="8" t="n">
        <v>4</v>
      </c>
      <c r="L178" s="8" t="n">
        <v>87</v>
      </c>
      <c r="M178" s="8" t="n">
        <v>8</v>
      </c>
      <c r="N178" s="8" t="n">
        <v>18</v>
      </c>
      <c r="O178" s="8" t="n">
        <v>1</v>
      </c>
      <c r="P178" s="9" t="n">
        <v>2.68447458540384</v>
      </c>
      <c r="Q178" s="10" t="n">
        <v>0.372512373720076</v>
      </c>
      <c r="R178" s="9" t="n">
        <v>2.875</v>
      </c>
      <c r="S178" s="12" t="n">
        <f aca="false">IF(AND(ISNUMBER(R178),R178&gt;1,P178&gt;0),R178/P178-1,"")</f>
        <v>0.0709730744452175</v>
      </c>
      <c r="T178" s="9" t="n">
        <f aca="false">IF(AND(ISNUMBER(P178),P178&gt;0),P178*EXP('Read me'!$B$22),"")</f>
        <v>3.27882466282313</v>
      </c>
    </row>
    <row r="179" customFormat="false" ht="15" hidden="false" customHeight="false" outlineLevel="0" collapsed="false">
      <c r="A179" s="15" t="s">
        <v>158</v>
      </c>
      <c r="B179" s="15" t="s">
        <v>70</v>
      </c>
      <c r="C179" s="15" t="s">
        <v>159</v>
      </c>
      <c r="D179" s="15" t="s">
        <v>418</v>
      </c>
      <c r="E179" s="16" t="n">
        <v>17</v>
      </c>
      <c r="F179" s="15" t="s">
        <v>357</v>
      </c>
      <c r="G179" s="8" t="n">
        <v>6</v>
      </c>
      <c r="H179" s="15" t="s">
        <v>161</v>
      </c>
      <c r="I179" s="15" t="s">
        <v>699</v>
      </c>
      <c r="J179" s="15" t="s">
        <v>700</v>
      </c>
      <c r="K179" s="8" t="n">
        <v>1</v>
      </c>
      <c r="L179" s="8" t="n">
        <v>109</v>
      </c>
      <c r="M179" s="8" t="n">
        <v>6</v>
      </c>
      <c r="N179" s="8" t="n">
        <v>21</v>
      </c>
      <c r="O179" s="8" t="n">
        <v>2</v>
      </c>
      <c r="P179" s="9" t="n">
        <v>3.61202824617391</v>
      </c>
      <c r="Q179" s="10" t="n">
        <v>0.276852763003519</v>
      </c>
      <c r="R179" s="9" t="n">
        <v>3.25</v>
      </c>
      <c r="S179" s="12" t="n">
        <f aca="false">IF(AND(ISNUMBER(R179),R179&gt;1,P179&gt;0),R179/P179-1,"")</f>
        <v>-0.100228520238565</v>
      </c>
      <c r="T179" s="9" t="n">
        <f aca="false">IF(AND(ISNUMBER(P179),P179&gt;0),P179*EXP('Read me'!$B$22),"")</f>
        <v>4.41174126242925</v>
      </c>
    </row>
    <row r="180" customFormat="false" ht="15" hidden="false" customHeight="false" outlineLevel="0" collapsed="false">
      <c r="A180" s="15" t="s">
        <v>158</v>
      </c>
      <c r="B180" s="15" t="s">
        <v>70</v>
      </c>
      <c r="C180" s="15" t="s">
        <v>159</v>
      </c>
      <c r="D180" s="15" t="s">
        <v>418</v>
      </c>
      <c r="E180" s="16" t="n">
        <v>17</v>
      </c>
      <c r="F180" s="15" t="s">
        <v>357</v>
      </c>
      <c r="G180" s="8" t="n">
        <v>6</v>
      </c>
      <c r="H180" s="15" t="s">
        <v>701</v>
      </c>
      <c r="I180" s="15" t="s">
        <v>702</v>
      </c>
      <c r="J180" s="15" t="s">
        <v>703</v>
      </c>
      <c r="K180" s="8" t="n">
        <v>6</v>
      </c>
      <c r="L180" s="8" t="n">
        <v>83</v>
      </c>
      <c r="M180" s="8" t="n">
        <v>5</v>
      </c>
      <c r="N180" s="8" t="n">
        <v>10</v>
      </c>
      <c r="O180" s="8" t="n">
        <v>3</v>
      </c>
      <c r="P180" s="9" t="n">
        <v>9.79889167762399</v>
      </c>
      <c r="Q180" s="10" t="n">
        <v>0.102052357848136</v>
      </c>
      <c r="R180" s="9" t="n">
        <v>4.33333333333333</v>
      </c>
      <c r="S180" s="12" t="n">
        <f aca="false">IF(AND(ISNUMBER(R180),R180&gt;1,P180&gt;0),R180/P180-1,"")</f>
        <v>-0.557773115991413</v>
      </c>
      <c r="T180" s="9" t="n">
        <f aca="false">IF(AND(ISNUMBER(P180),P180&gt;0),P180*EXP('Read me'!$B$22),"")</f>
        <v>11.9683933219627</v>
      </c>
    </row>
    <row r="181" customFormat="false" ht="15" hidden="false" customHeight="false" outlineLevel="0" collapsed="false">
      <c r="A181" s="15" t="s">
        <v>158</v>
      </c>
      <c r="B181" s="15" t="s">
        <v>70</v>
      </c>
      <c r="C181" s="15" t="s">
        <v>159</v>
      </c>
      <c r="D181" s="15" t="s">
        <v>418</v>
      </c>
      <c r="E181" s="16" t="n">
        <v>17</v>
      </c>
      <c r="F181" s="15" t="s">
        <v>357</v>
      </c>
      <c r="G181" s="8" t="n">
        <v>6</v>
      </c>
      <c r="H181" s="15" t="s">
        <v>704</v>
      </c>
      <c r="I181" s="15" t="s">
        <v>515</v>
      </c>
      <c r="J181" s="15" t="s">
        <v>516</v>
      </c>
      <c r="K181" s="8" t="n">
        <v>2</v>
      </c>
      <c r="L181" s="8" t="n">
        <v>106</v>
      </c>
      <c r="M181" s="8" t="n">
        <v>6</v>
      </c>
      <c r="N181" s="8" t="n">
        <v>145</v>
      </c>
      <c r="O181" s="8" t="n">
        <v>4</v>
      </c>
      <c r="P181" s="9" t="n">
        <v>10.8439808630834</v>
      </c>
      <c r="Q181" s="10" t="n">
        <v>0.0922170568747813</v>
      </c>
      <c r="R181" s="9" t="n">
        <v>3.25</v>
      </c>
      <c r="S181" s="12" t="n">
        <f aca="false">IF(AND(ISNUMBER(R181),R181&gt;1,P181&gt;0),R181/P181-1,"")</f>
        <v>-0.700294565156961</v>
      </c>
      <c r="T181" s="9" t="n">
        <f aca="false">IF(AND(ISNUMBER(P181),P181&gt;0),P181*EXP('Read me'!$B$22),"")</f>
        <v>13.2448681356061</v>
      </c>
    </row>
    <row r="182" customFormat="false" ht="15" hidden="false" customHeight="false" outlineLevel="0" collapsed="false">
      <c r="A182" s="15" t="s">
        <v>158</v>
      </c>
      <c r="B182" s="15" t="s">
        <v>70</v>
      </c>
      <c r="C182" s="15" t="s">
        <v>159</v>
      </c>
      <c r="D182" s="15" t="s">
        <v>418</v>
      </c>
      <c r="E182" s="16" t="n">
        <v>17</v>
      </c>
      <c r="F182" s="15" t="s">
        <v>357</v>
      </c>
      <c r="G182" s="8" t="n">
        <v>6</v>
      </c>
      <c r="H182" s="15" t="s">
        <v>705</v>
      </c>
      <c r="I182" s="15" t="s">
        <v>706</v>
      </c>
      <c r="J182" s="15" t="s">
        <v>707</v>
      </c>
      <c r="K182" s="8" t="n">
        <v>3</v>
      </c>
      <c r="L182" s="8" t="n">
        <v>91</v>
      </c>
      <c r="M182" s="8" t="n">
        <v>11</v>
      </c>
      <c r="N182" s="8" t="n">
        <v>38</v>
      </c>
      <c r="O182" s="8" t="n">
        <v>5</v>
      </c>
      <c r="P182" s="9" t="n">
        <v>11.2694098927309</v>
      </c>
      <c r="Q182" s="10" t="n">
        <v>0.0887357909170584</v>
      </c>
      <c r="R182" s="9" t="n">
        <v>6.5</v>
      </c>
      <c r="S182" s="12" t="n">
        <f aca="false">IF(AND(ISNUMBER(R182),R182&gt;1,P182&gt;0),R182/P182-1,"")</f>
        <v>-0.42321735903912</v>
      </c>
      <c r="T182" s="9" t="n">
        <f aca="false">IF(AND(ISNUMBER(P182),P182&gt;0),P182*EXP('Read me'!$B$22),"")</f>
        <v>13.764488325819</v>
      </c>
    </row>
    <row r="183" customFormat="false" ht="15" hidden="false" customHeight="false" outlineLevel="0" collapsed="false">
      <c r="A183" s="15" t="s">
        <v>158</v>
      </c>
      <c r="B183" s="15" t="s">
        <v>70</v>
      </c>
      <c r="C183" s="15" t="s">
        <v>159</v>
      </c>
      <c r="D183" s="15" t="s">
        <v>418</v>
      </c>
      <c r="E183" s="16" t="n">
        <v>17</v>
      </c>
      <c r="F183" s="15" t="s">
        <v>357</v>
      </c>
      <c r="G183" s="8" t="n">
        <v>6</v>
      </c>
      <c r="H183" s="15" t="s">
        <v>708</v>
      </c>
      <c r="I183" s="15" t="s">
        <v>521</v>
      </c>
      <c r="J183" s="15" t="s">
        <v>709</v>
      </c>
      <c r="K183" s="8" t="n">
        <v>5</v>
      </c>
      <c r="L183" s="8" t="n">
        <v>85</v>
      </c>
      <c r="M183" s="8" t="n">
        <v>4</v>
      </c>
      <c r="N183" s="8" t="n">
        <v>34</v>
      </c>
      <c r="O183" s="8" t="n">
        <v>6</v>
      </c>
      <c r="P183" s="9" t="n">
        <v>14.7864122775231</v>
      </c>
      <c r="Q183" s="10" t="n">
        <v>0.0676296576364304</v>
      </c>
      <c r="R183" s="9" t="n">
        <v>12</v>
      </c>
      <c r="S183" s="12" t="n">
        <f aca="false">IF(AND(ISNUMBER(R183),R183&gt;1,P183&gt;0),R183/P183-1,"")</f>
        <v>-0.188444108362834</v>
      </c>
      <c r="T183" s="9" t="n">
        <f aca="false">IF(AND(ISNUMBER(P183),P183&gt;0),P183*EXP('Read me'!$B$22),"")</f>
        <v>18.0601647390601</v>
      </c>
    </row>
    <row r="184" customFormat="false" ht="15" hidden="false" customHeight="false" outlineLevel="0" collapsed="false">
      <c r="A184" s="15" t="s">
        <v>162</v>
      </c>
      <c r="B184" s="15" t="s">
        <v>42</v>
      </c>
      <c r="C184" s="15" t="s">
        <v>163</v>
      </c>
      <c r="D184" s="15"/>
      <c r="E184" s="16" t="n">
        <v>7</v>
      </c>
      <c r="F184" s="15" t="s">
        <v>357</v>
      </c>
      <c r="G184" s="8" t="n">
        <v>14</v>
      </c>
      <c r="H184" s="15" t="s">
        <v>164</v>
      </c>
      <c r="I184" s="15" t="s">
        <v>165</v>
      </c>
      <c r="J184" s="15" t="s">
        <v>166</v>
      </c>
      <c r="K184" s="8" t="n">
        <v>7</v>
      </c>
      <c r="L184" s="8" t="n">
        <v>70</v>
      </c>
      <c r="M184" s="8" t="n">
        <v>4</v>
      </c>
      <c r="N184" s="8" t="n">
        <v>10</v>
      </c>
      <c r="O184" s="8" t="n">
        <v>1</v>
      </c>
      <c r="P184" s="9" t="n">
        <v>6.98039711038764</v>
      </c>
      <c r="Q184" s="10" t="n">
        <v>0.143258325305287</v>
      </c>
      <c r="R184" s="9" t="n">
        <v>7</v>
      </c>
      <c r="S184" s="12" t="n">
        <f aca="false">IF(AND(ISNUMBER(R184),R184&gt;1,P184&gt;0),R184/P184-1,"")</f>
        <v>0.00280827713701148</v>
      </c>
      <c r="T184" s="9" t="n">
        <f aca="false">IF(AND(ISNUMBER(P184),P184&gt;0),P184*EXP('Read me'!$B$22),"")</f>
        <v>8.52587628368074</v>
      </c>
    </row>
    <row r="185" customFormat="false" ht="15" hidden="false" customHeight="false" outlineLevel="0" collapsed="false">
      <c r="A185" s="15" t="s">
        <v>162</v>
      </c>
      <c r="B185" s="15" t="s">
        <v>42</v>
      </c>
      <c r="C185" s="15" t="s">
        <v>163</v>
      </c>
      <c r="D185" s="15"/>
      <c r="E185" s="16" t="n">
        <v>7</v>
      </c>
      <c r="F185" s="15" t="s">
        <v>357</v>
      </c>
      <c r="G185" s="8" t="n">
        <v>14</v>
      </c>
      <c r="H185" s="15" t="s">
        <v>167</v>
      </c>
      <c r="I185" s="15" t="s">
        <v>710</v>
      </c>
      <c r="J185" s="15" t="s">
        <v>176</v>
      </c>
      <c r="K185" s="8" t="n">
        <v>2</v>
      </c>
      <c r="L185" s="8" t="n">
        <v>74</v>
      </c>
      <c r="M185" s="8" t="n">
        <v>7</v>
      </c>
      <c r="N185" s="8" t="n">
        <v>68</v>
      </c>
      <c r="O185" s="8" t="n">
        <v>2</v>
      </c>
      <c r="P185" s="9" t="n">
        <v>7.37394467471249</v>
      </c>
      <c r="Q185" s="10" t="n">
        <v>0.135612625821469</v>
      </c>
      <c r="R185" s="9" t="n">
        <v>7.5</v>
      </c>
      <c r="S185" s="12" t="n">
        <f aca="false">IF(AND(ISNUMBER(R185),R185&gt;1,P185&gt;0),R185/P185-1,"")</f>
        <v>0.0170946936610186</v>
      </c>
      <c r="T185" s="9" t="n">
        <f aca="false">IF(AND(ISNUMBER(P185),P185&gt;0),P185*EXP('Read me'!$B$22),"")</f>
        <v>9.00655636421433</v>
      </c>
    </row>
    <row r="186" customFormat="false" ht="15" hidden="false" customHeight="false" outlineLevel="0" collapsed="false">
      <c r="A186" s="15" t="s">
        <v>162</v>
      </c>
      <c r="B186" s="15" t="s">
        <v>42</v>
      </c>
      <c r="C186" s="15" t="s">
        <v>163</v>
      </c>
      <c r="D186" s="15"/>
      <c r="E186" s="16" t="n">
        <v>7</v>
      </c>
      <c r="F186" s="15" t="s">
        <v>357</v>
      </c>
      <c r="G186" s="8" t="n">
        <v>14</v>
      </c>
      <c r="H186" s="15" t="s">
        <v>711</v>
      </c>
      <c r="I186" s="15" t="s">
        <v>712</v>
      </c>
      <c r="J186" s="15" t="s">
        <v>538</v>
      </c>
      <c r="K186" s="8" t="n">
        <v>9</v>
      </c>
      <c r="L186" s="8" t="n">
        <v>68</v>
      </c>
      <c r="M186" s="8" t="n">
        <v>4</v>
      </c>
      <c r="N186" s="8" t="n">
        <v>7</v>
      </c>
      <c r="O186" s="8" t="n">
        <v>3</v>
      </c>
      <c r="P186" s="9" t="n">
        <v>7.86302698398681</v>
      </c>
      <c r="Q186" s="10" t="n">
        <v>0.127177485469212</v>
      </c>
      <c r="R186" s="9" t="n">
        <v>8</v>
      </c>
      <c r="S186" s="12" t="n">
        <f aca="false">IF(AND(ISNUMBER(R186),R186&gt;1,P186&gt;0),R186/P186-1,"")</f>
        <v>0.0174198837536921</v>
      </c>
      <c r="T186" s="9" t="n">
        <f aca="false">IF(AND(ISNUMBER(P186),P186&gt;0),P186*EXP('Read me'!$B$22),"")</f>
        <v>9.60392284572933</v>
      </c>
    </row>
    <row r="187" customFormat="false" ht="15" hidden="false" customHeight="false" outlineLevel="0" collapsed="false">
      <c r="A187" s="15" t="s">
        <v>162</v>
      </c>
      <c r="B187" s="15" t="s">
        <v>42</v>
      </c>
      <c r="C187" s="15" t="s">
        <v>163</v>
      </c>
      <c r="D187" s="15"/>
      <c r="E187" s="16" t="n">
        <v>7</v>
      </c>
      <c r="F187" s="15" t="s">
        <v>357</v>
      </c>
      <c r="G187" s="8" t="n">
        <v>14</v>
      </c>
      <c r="H187" s="15" t="s">
        <v>713</v>
      </c>
      <c r="I187" s="15" t="s">
        <v>714</v>
      </c>
      <c r="J187" s="15" t="s">
        <v>715</v>
      </c>
      <c r="K187" s="8" t="n">
        <v>12</v>
      </c>
      <c r="L187" s="8" t="n">
        <v>65</v>
      </c>
      <c r="M187" s="8" t="n">
        <v>4</v>
      </c>
      <c r="N187" s="8" t="n">
        <v>16</v>
      </c>
      <c r="O187" s="8" t="n">
        <v>4</v>
      </c>
      <c r="P187" s="9" t="n">
        <v>11.1916372539877</v>
      </c>
      <c r="Q187" s="10" t="n">
        <v>0.0893524314008381</v>
      </c>
      <c r="R187" s="9" t="n">
        <v>12</v>
      </c>
      <c r="S187" s="12" t="n">
        <f aca="false">IF(AND(ISNUMBER(R187),R187&gt;1,P187&gt;0),R187/P187-1,"")</f>
        <v>0.0722291768100583</v>
      </c>
      <c r="T187" s="9" t="n">
        <f aca="false">IF(AND(ISNUMBER(P187),P187&gt;0),P187*EXP('Read me'!$B$22),"")</f>
        <v>13.6694966103487</v>
      </c>
    </row>
    <row r="188" customFormat="false" ht="15" hidden="false" customHeight="false" outlineLevel="0" collapsed="false">
      <c r="A188" s="15" t="s">
        <v>162</v>
      </c>
      <c r="B188" s="15" t="s">
        <v>42</v>
      </c>
      <c r="C188" s="15" t="s">
        <v>163</v>
      </c>
      <c r="D188" s="15"/>
      <c r="E188" s="16" t="n">
        <v>7</v>
      </c>
      <c r="F188" s="15" t="s">
        <v>357</v>
      </c>
      <c r="G188" s="8" t="n">
        <v>14</v>
      </c>
      <c r="H188" s="15" t="s">
        <v>716</v>
      </c>
      <c r="I188" s="15" t="s">
        <v>717</v>
      </c>
      <c r="J188" s="15" t="s">
        <v>718</v>
      </c>
      <c r="K188" s="8" t="n">
        <v>15</v>
      </c>
      <c r="L188" s="8" t="n">
        <v>66</v>
      </c>
      <c r="M188" s="8" t="n">
        <v>7</v>
      </c>
      <c r="N188" s="8" t="n">
        <v>19</v>
      </c>
      <c r="O188" s="8" t="n">
        <v>5</v>
      </c>
      <c r="P188" s="9" t="n">
        <v>11.3634184367257</v>
      </c>
      <c r="Q188" s="10" t="n">
        <v>0.0880016876583614</v>
      </c>
      <c r="R188" s="9" t="n">
        <v>10</v>
      </c>
      <c r="S188" s="12" t="n">
        <f aca="false">IF(AND(ISNUMBER(R188),R188&gt;1,P188&gt;0),R188/P188-1,"")</f>
        <v>-0.119983123416386</v>
      </c>
      <c r="T188" s="9" t="n">
        <f aca="false">IF(AND(ISNUMBER(P188),P188&gt;0),P188*EXP('Read me'!$B$22),"")</f>
        <v>13.8793106207449</v>
      </c>
    </row>
    <row r="189" customFormat="false" ht="15" hidden="false" customHeight="false" outlineLevel="0" collapsed="false">
      <c r="A189" s="15" t="s">
        <v>162</v>
      </c>
      <c r="B189" s="15" t="s">
        <v>42</v>
      </c>
      <c r="C189" s="15" t="s">
        <v>163</v>
      </c>
      <c r="D189" s="15"/>
      <c r="E189" s="16" t="n">
        <v>7</v>
      </c>
      <c r="F189" s="15" t="s">
        <v>357</v>
      </c>
      <c r="G189" s="8" t="n">
        <v>14</v>
      </c>
      <c r="H189" s="15" t="s">
        <v>719</v>
      </c>
      <c r="I189" s="15" t="s">
        <v>441</v>
      </c>
      <c r="J189" s="15" t="s">
        <v>621</v>
      </c>
      <c r="K189" s="8" t="n">
        <v>6</v>
      </c>
      <c r="L189" s="8" t="n">
        <v>67</v>
      </c>
      <c r="M189" s="8" t="n">
        <v>3</v>
      </c>
      <c r="N189" s="8" t="n">
        <v>19</v>
      </c>
      <c r="O189" s="8" t="n">
        <v>6</v>
      </c>
      <c r="P189" s="9" t="n">
        <v>11.6392811664478</v>
      </c>
      <c r="Q189" s="10" t="n">
        <v>0.085915958700497</v>
      </c>
      <c r="R189" s="9" t="n">
        <v>13</v>
      </c>
      <c r="S189" s="12" t="n">
        <f aca="false">IF(AND(ISNUMBER(R189),R189&gt;1,P189&gt;0),R189/P189-1,"")</f>
        <v>0.116907463106462</v>
      </c>
      <c r="T189" s="9" t="n">
        <f aca="false">IF(AND(ISNUMBER(P189),P189&gt;0),P189*EXP('Read me'!$B$22),"")</f>
        <v>14.216250119701</v>
      </c>
    </row>
    <row r="190" customFormat="false" ht="15" hidden="false" customHeight="false" outlineLevel="0" collapsed="false">
      <c r="A190" s="15" t="s">
        <v>162</v>
      </c>
      <c r="B190" s="15" t="s">
        <v>42</v>
      </c>
      <c r="C190" s="15" t="s">
        <v>163</v>
      </c>
      <c r="D190" s="15"/>
      <c r="E190" s="16" t="n">
        <v>7</v>
      </c>
      <c r="F190" s="15" t="s">
        <v>357</v>
      </c>
      <c r="G190" s="8" t="n">
        <v>14</v>
      </c>
      <c r="H190" s="15" t="s">
        <v>720</v>
      </c>
      <c r="I190" s="15" t="s">
        <v>368</v>
      </c>
      <c r="J190" s="15" t="s">
        <v>721</v>
      </c>
      <c r="K190" s="8" t="n">
        <v>13</v>
      </c>
      <c r="L190" s="8" t="n">
        <v>64</v>
      </c>
      <c r="M190" s="8" t="n">
        <v>4</v>
      </c>
      <c r="N190" s="8" t="n">
        <v>7</v>
      </c>
      <c r="O190" s="8" t="n">
        <v>7</v>
      </c>
      <c r="P190" s="9" t="n">
        <v>14.8842194708385</v>
      </c>
      <c r="Q190" s="10" t="n">
        <v>0.0671852495832395</v>
      </c>
      <c r="R190" s="9" t="n">
        <v>8.5</v>
      </c>
      <c r="S190" s="12" t="n">
        <f aca="false">IF(AND(ISNUMBER(R190),R190&gt;1,P190&gt;0),R190/P190-1,"")</f>
        <v>-0.428925378542464</v>
      </c>
      <c r="T190" s="9" t="n">
        <f aca="false">IF(AND(ISNUMBER(P190),P190&gt;0),P190*EXP('Read me'!$B$22),"")</f>
        <v>18.1796267147435</v>
      </c>
    </row>
    <row r="191" customFormat="false" ht="15" hidden="false" customHeight="false" outlineLevel="0" collapsed="false">
      <c r="A191" s="15" t="s">
        <v>162</v>
      </c>
      <c r="B191" s="15" t="s">
        <v>42</v>
      </c>
      <c r="C191" s="15" t="s">
        <v>163</v>
      </c>
      <c r="D191" s="15"/>
      <c r="E191" s="16" t="n">
        <v>7</v>
      </c>
      <c r="F191" s="15" t="s">
        <v>357</v>
      </c>
      <c r="G191" s="8" t="n">
        <v>14</v>
      </c>
      <c r="H191" s="15" t="s">
        <v>722</v>
      </c>
      <c r="I191" s="15" t="s">
        <v>542</v>
      </c>
      <c r="J191" s="15" t="s">
        <v>723</v>
      </c>
      <c r="K191" s="8" t="n">
        <v>16</v>
      </c>
      <c r="L191" s="8" t="n">
        <v>63</v>
      </c>
      <c r="M191" s="8" t="n">
        <v>3</v>
      </c>
      <c r="N191" s="8" t="n">
        <v>39</v>
      </c>
      <c r="O191" s="8" t="n">
        <v>8</v>
      </c>
      <c r="P191" s="9" t="n">
        <v>15.7080464302404</v>
      </c>
      <c r="Q191" s="10" t="n">
        <v>0.0636616401944704</v>
      </c>
      <c r="R191" s="9" t="n">
        <v>6</v>
      </c>
      <c r="S191" s="12" t="n">
        <f aca="false">IF(AND(ISNUMBER(R191),R191&gt;1,P191&gt;0),R191/P191-1,"")</f>
        <v>-0.618030158833177</v>
      </c>
      <c r="T191" s="9" t="n">
        <f aca="false">IF(AND(ISNUMBER(P191),P191&gt;0),P191*EXP('Read me'!$B$22),"")</f>
        <v>19.1858512352036</v>
      </c>
    </row>
    <row r="192" customFormat="false" ht="15" hidden="false" customHeight="false" outlineLevel="0" collapsed="false">
      <c r="A192" s="15" t="s">
        <v>162</v>
      </c>
      <c r="B192" s="15" t="s">
        <v>42</v>
      </c>
      <c r="C192" s="15" t="s">
        <v>163</v>
      </c>
      <c r="D192" s="15"/>
      <c r="E192" s="16" t="n">
        <v>7</v>
      </c>
      <c r="F192" s="15" t="s">
        <v>357</v>
      </c>
      <c r="G192" s="8" t="n">
        <v>14</v>
      </c>
      <c r="H192" s="15" t="s">
        <v>724</v>
      </c>
      <c r="I192" s="15" t="s">
        <v>725</v>
      </c>
      <c r="J192" s="15" t="s">
        <v>715</v>
      </c>
      <c r="K192" s="8" t="n">
        <v>14</v>
      </c>
      <c r="L192" s="8" t="n">
        <v>62</v>
      </c>
      <c r="M192" s="8" t="n">
        <v>5</v>
      </c>
      <c r="N192" s="8" t="n">
        <v>10</v>
      </c>
      <c r="O192" s="8" t="n">
        <v>9</v>
      </c>
      <c r="P192" s="9" t="n">
        <v>16.350175127107</v>
      </c>
      <c r="Q192" s="10" t="n">
        <v>0.0611614244022437</v>
      </c>
      <c r="R192" s="9" t="n">
        <v>13</v>
      </c>
      <c r="S192" s="12" t="n">
        <f aca="false">IF(AND(ISNUMBER(R192),R192&gt;1,P192&gt;0),R192/P192-1,"")</f>
        <v>-0.204901482770831</v>
      </c>
      <c r="T192" s="9" t="n">
        <f aca="false">IF(AND(ISNUMBER(P192),P192&gt;0),P192*EXP('Read me'!$B$22),"")</f>
        <v>19.9701489966503</v>
      </c>
    </row>
    <row r="193" customFormat="false" ht="15" hidden="false" customHeight="false" outlineLevel="0" collapsed="false">
      <c r="A193" s="15" t="s">
        <v>162</v>
      </c>
      <c r="B193" s="15" t="s">
        <v>42</v>
      </c>
      <c r="C193" s="15" t="s">
        <v>163</v>
      </c>
      <c r="D193" s="15"/>
      <c r="E193" s="16" t="n">
        <v>7</v>
      </c>
      <c r="F193" s="15" t="s">
        <v>357</v>
      </c>
      <c r="G193" s="8" t="n">
        <v>14</v>
      </c>
      <c r="H193" s="15" t="s">
        <v>726</v>
      </c>
      <c r="I193" s="15" t="s">
        <v>448</v>
      </c>
      <c r="J193" s="15" t="s">
        <v>396</v>
      </c>
      <c r="K193" s="8" t="n">
        <v>10</v>
      </c>
      <c r="L193" s="8" t="n">
        <v>62</v>
      </c>
      <c r="M193" s="8" t="n">
        <v>3</v>
      </c>
      <c r="N193" s="8" t="n">
        <v>52</v>
      </c>
      <c r="O193" s="8" t="n">
        <v>10</v>
      </c>
      <c r="P193" s="9" t="n">
        <v>17.3353043943314</v>
      </c>
      <c r="Q193" s="10" t="n">
        <v>0.0576857479541573</v>
      </c>
      <c r="R193" s="9" t="n">
        <v>12</v>
      </c>
      <c r="S193" s="12" t="n">
        <f aca="false">IF(AND(ISNUMBER(R193),R193&gt;1,P193&gt;0),R193/P193-1,"")</f>
        <v>-0.307771024550112</v>
      </c>
      <c r="T193" s="9" t="n">
        <f aca="false">IF(AND(ISNUMBER(P193),P193&gt;0),P193*EXP('Read me'!$B$22),"")</f>
        <v>21.1733886007825</v>
      </c>
    </row>
    <row r="194" customFormat="false" ht="15" hidden="false" customHeight="false" outlineLevel="0" collapsed="false">
      <c r="A194" s="15" t="s">
        <v>162</v>
      </c>
      <c r="B194" s="15" t="s">
        <v>42</v>
      </c>
      <c r="C194" s="15" t="s">
        <v>163</v>
      </c>
      <c r="D194" s="15"/>
      <c r="E194" s="16" t="n">
        <v>7</v>
      </c>
      <c r="F194" s="15" t="s">
        <v>357</v>
      </c>
      <c r="G194" s="8" t="n">
        <v>14</v>
      </c>
      <c r="H194" s="15" t="s">
        <v>727</v>
      </c>
      <c r="I194" s="15" t="s">
        <v>628</v>
      </c>
      <c r="J194" s="15" t="s">
        <v>728</v>
      </c>
      <c r="K194" s="8" t="n">
        <v>3</v>
      </c>
      <c r="L194" s="8" t="n">
        <v>60</v>
      </c>
      <c r="M194" s="8" t="n">
        <v>5</v>
      </c>
      <c r="N194" s="8" t="n">
        <v>20</v>
      </c>
      <c r="O194" s="8" t="n">
        <v>11</v>
      </c>
      <c r="P194" s="9" t="n">
        <v>24.7139283755083</v>
      </c>
      <c r="Q194" s="10" t="n">
        <v>0.0404630127920499</v>
      </c>
      <c r="R194" s="9" t="n">
        <v>9.5</v>
      </c>
      <c r="S194" s="12" t="n">
        <f aca="false">IF(AND(ISNUMBER(R194),R194&gt;1,P194&gt;0),R194/P194-1,"")</f>
        <v>-0.615601378475525</v>
      </c>
      <c r="T194" s="9" t="n">
        <f aca="false">IF(AND(ISNUMBER(P194),P194&gt;0),P194*EXP('Read me'!$B$22),"")</f>
        <v>30.1856602828188</v>
      </c>
    </row>
    <row r="195" customFormat="false" ht="15" hidden="false" customHeight="false" outlineLevel="0" collapsed="false">
      <c r="A195" s="15" t="s">
        <v>162</v>
      </c>
      <c r="B195" s="15" t="s">
        <v>42</v>
      </c>
      <c r="C195" s="15" t="s">
        <v>163</v>
      </c>
      <c r="D195" s="15"/>
      <c r="E195" s="16" t="n">
        <v>7</v>
      </c>
      <c r="F195" s="15" t="s">
        <v>357</v>
      </c>
      <c r="G195" s="8" t="n">
        <v>14</v>
      </c>
      <c r="H195" s="15" t="s">
        <v>729</v>
      </c>
      <c r="I195" s="15" t="s">
        <v>630</v>
      </c>
      <c r="J195" s="15" t="s">
        <v>110</v>
      </c>
      <c r="K195" s="8" t="n">
        <v>4</v>
      </c>
      <c r="L195" s="8" t="n">
        <v>63</v>
      </c>
      <c r="M195" s="8" t="n">
        <v>3</v>
      </c>
      <c r="N195" s="8" t="n">
        <v>3</v>
      </c>
      <c r="O195" s="8" t="n">
        <v>12</v>
      </c>
      <c r="P195" s="9" t="n">
        <v>52.6872159771894</v>
      </c>
      <c r="Q195" s="10" t="n">
        <v>0.018979936241705</v>
      </c>
      <c r="R195" s="9" t="n">
        <v>21</v>
      </c>
      <c r="S195" s="12" t="n">
        <f aca="false">IF(AND(ISNUMBER(R195),R195&gt;1,P195&gt;0),R195/P195-1,"")</f>
        <v>-0.601421338924194</v>
      </c>
      <c r="T195" s="9" t="n">
        <f aca="false">IF(AND(ISNUMBER(P195),P195&gt;0),P195*EXP('Read me'!$B$22),"")</f>
        <v>64.3523109143197</v>
      </c>
    </row>
    <row r="196" customFormat="false" ht="15" hidden="false" customHeight="false" outlineLevel="0" collapsed="false">
      <c r="A196" s="15" t="s">
        <v>162</v>
      </c>
      <c r="B196" s="15" t="s">
        <v>42</v>
      </c>
      <c r="C196" s="15" t="s">
        <v>163</v>
      </c>
      <c r="D196" s="15"/>
      <c r="E196" s="16" t="n">
        <v>7</v>
      </c>
      <c r="F196" s="15" t="s">
        <v>357</v>
      </c>
      <c r="G196" s="8" t="n">
        <v>14</v>
      </c>
      <c r="H196" s="15" t="s">
        <v>730</v>
      </c>
      <c r="I196" s="15" t="s">
        <v>731</v>
      </c>
      <c r="J196" s="15" t="s">
        <v>110</v>
      </c>
      <c r="K196" s="8" t="n">
        <v>8</v>
      </c>
      <c r="L196" s="8" t="n">
        <v>62</v>
      </c>
      <c r="M196" s="8" t="n">
        <v>3</v>
      </c>
      <c r="N196" s="8" t="n">
        <v>39</v>
      </c>
      <c r="O196" s="8" t="n">
        <v>13</v>
      </c>
      <c r="P196" s="9" t="n">
        <v>70.0709141665116</v>
      </c>
      <c r="Q196" s="10" t="n">
        <v>0.0142712566532765</v>
      </c>
      <c r="R196" s="9" t="n">
        <v>41</v>
      </c>
      <c r="S196" s="12" t="n">
        <f aca="false">IF(AND(ISNUMBER(R196),R196&gt;1,P196&gt;0),R196/P196-1,"")</f>
        <v>-0.414878477215661</v>
      </c>
      <c r="T196" s="9" t="n">
        <f aca="false">IF(AND(ISNUMBER(P196),P196&gt;0),P196*EXP('Read me'!$B$22),"")</f>
        <v>85.5848078297818</v>
      </c>
    </row>
    <row r="197" customFormat="false" ht="15" hidden="false" customHeight="false" outlineLevel="0" collapsed="false">
      <c r="A197" s="15" t="s">
        <v>162</v>
      </c>
      <c r="B197" s="15" t="s">
        <v>42</v>
      </c>
      <c r="C197" s="15" t="s">
        <v>163</v>
      </c>
      <c r="D197" s="15"/>
      <c r="E197" s="16" t="n">
        <v>7</v>
      </c>
      <c r="F197" s="15" t="s">
        <v>357</v>
      </c>
      <c r="G197" s="8" t="n">
        <v>14</v>
      </c>
      <c r="H197" s="15" t="s">
        <v>732</v>
      </c>
      <c r="I197" s="15" t="s">
        <v>733</v>
      </c>
      <c r="J197" s="15" t="s">
        <v>734</v>
      </c>
      <c r="K197" s="8" t="n">
        <v>11</v>
      </c>
      <c r="L197" s="8" t="n">
        <v>65</v>
      </c>
      <c r="M197" s="8" t="n">
        <v>4</v>
      </c>
      <c r="N197" s="8" t="n">
        <v>10</v>
      </c>
      <c r="O197" s="8" t="n">
        <v>14</v>
      </c>
      <c r="P197" s="9" t="n">
        <v>137.490726155791</v>
      </c>
      <c r="Q197" s="10" t="n">
        <v>0.0072732178231926</v>
      </c>
      <c r="R197" s="9" t="n">
        <v>26</v>
      </c>
      <c r="S197" s="12" t="n">
        <f aca="false">IF(AND(ISNUMBER(R197),R197&gt;1,P197&gt;0),R197/P197-1,"")</f>
        <v>-0.810896336596991</v>
      </c>
      <c r="T197" s="9" t="n">
        <f aca="false">IF(AND(ISNUMBER(P197),P197&gt;0),P197*EXP('Read me'!$B$22),"")</f>
        <v>167.931552148128</v>
      </c>
    </row>
    <row r="198" customFormat="false" ht="15" hidden="false" customHeight="false" outlineLevel="0" collapsed="false">
      <c r="A198" s="15" t="s">
        <v>168</v>
      </c>
      <c r="B198" s="15" t="s">
        <v>49</v>
      </c>
      <c r="C198" s="15" t="s">
        <v>169</v>
      </c>
      <c r="D198" s="15" t="s">
        <v>418</v>
      </c>
      <c r="E198" s="16" t="n">
        <v>12</v>
      </c>
      <c r="F198" s="15" t="s">
        <v>371</v>
      </c>
      <c r="G198" s="8" t="n">
        <v>7</v>
      </c>
      <c r="H198" s="15" t="s">
        <v>170</v>
      </c>
      <c r="I198" s="15" t="s">
        <v>171</v>
      </c>
      <c r="J198" s="15" t="s">
        <v>53</v>
      </c>
      <c r="K198" s="8" t="n">
        <v>6</v>
      </c>
      <c r="L198" s="8" t="n">
        <v>67</v>
      </c>
      <c r="M198" s="8" t="n">
        <v>4</v>
      </c>
      <c r="N198" s="8" t="n">
        <v>156</v>
      </c>
      <c r="O198" s="8" t="n">
        <v>1</v>
      </c>
      <c r="P198" s="9" t="n">
        <v>5.39940121223242</v>
      </c>
      <c r="Q198" s="10" t="n">
        <v>0.185205722022376</v>
      </c>
      <c r="R198" s="9" t="n">
        <v>4</v>
      </c>
      <c r="S198" s="12" t="n">
        <f aca="false">IF(AND(ISNUMBER(R198),R198&gt;1,P198&gt;0),R198/P198-1,"")</f>
        <v>-0.259177111910495</v>
      </c>
      <c r="T198" s="9" t="n">
        <f aca="false">IF(AND(ISNUMBER(P198),P198&gt;0),P198*EXP('Read me'!$B$22),"")</f>
        <v>6.59484353303405</v>
      </c>
    </row>
    <row r="199" customFormat="false" ht="15" hidden="false" customHeight="false" outlineLevel="0" collapsed="false">
      <c r="A199" s="15" t="s">
        <v>168</v>
      </c>
      <c r="B199" s="15" t="s">
        <v>49</v>
      </c>
      <c r="C199" s="15" t="s">
        <v>169</v>
      </c>
      <c r="D199" s="15" t="s">
        <v>418</v>
      </c>
      <c r="E199" s="16" t="n">
        <v>12</v>
      </c>
      <c r="F199" s="15" t="s">
        <v>371</v>
      </c>
      <c r="G199" s="8" t="n">
        <v>7</v>
      </c>
      <c r="H199" s="15" t="s">
        <v>172</v>
      </c>
      <c r="I199" s="15" t="s">
        <v>735</v>
      </c>
      <c r="J199" s="15" t="s">
        <v>736</v>
      </c>
      <c r="K199" s="8" t="n">
        <v>1</v>
      </c>
      <c r="L199" s="8" t="n">
        <v>62</v>
      </c>
      <c r="M199" s="8" t="n">
        <v>3</v>
      </c>
      <c r="N199" s="8" t="n">
        <v>18</v>
      </c>
      <c r="O199" s="8" t="n">
        <v>2</v>
      </c>
      <c r="P199" s="9" t="n">
        <v>5.58718260140416</v>
      </c>
      <c r="Q199" s="10" t="n">
        <v>0.178981084267531</v>
      </c>
      <c r="R199" s="9" t="n">
        <v>4.5</v>
      </c>
      <c r="S199" s="12" t="n">
        <f aca="false">IF(AND(ISNUMBER(R199),R199&gt;1,P199&gt;0),R199/P199-1,"")</f>
        <v>-0.194585120796111</v>
      </c>
      <c r="T199" s="9" t="n">
        <f aca="false">IF(AND(ISNUMBER(P199),P199&gt;0),P199*EXP('Read me'!$B$22),"")</f>
        <v>6.82420023969955</v>
      </c>
    </row>
    <row r="200" customFormat="false" ht="15" hidden="false" customHeight="false" outlineLevel="0" collapsed="false">
      <c r="A200" s="15" t="s">
        <v>168</v>
      </c>
      <c r="B200" s="15" t="s">
        <v>49</v>
      </c>
      <c r="C200" s="15" t="s">
        <v>169</v>
      </c>
      <c r="D200" s="15" t="s">
        <v>418</v>
      </c>
      <c r="E200" s="16" t="n">
        <v>12</v>
      </c>
      <c r="F200" s="15" t="s">
        <v>371</v>
      </c>
      <c r="G200" s="8" t="n">
        <v>7</v>
      </c>
      <c r="H200" s="15" t="s">
        <v>737</v>
      </c>
      <c r="I200" s="15" t="s">
        <v>457</v>
      </c>
      <c r="J200" s="15" t="s">
        <v>738</v>
      </c>
      <c r="K200" s="8" t="n">
        <v>2</v>
      </c>
      <c r="L200" s="8" t="n">
        <v>68</v>
      </c>
      <c r="M200" s="8" t="n">
        <v>6</v>
      </c>
      <c r="N200" s="8" t="n">
        <v>43</v>
      </c>
      <c r="O200" s="8" t="n">
        <v>3</v>
      </c>
      <c r="P200" s="9" t="n">
        <v>5.68787732683995</v>
      </c>
      <c r="Q200" s="10" t="n">
        <v>0.175812511862941</v>
      </c>
      <c r="R200" s="9" t="n">
        <v>4.5</v>
      </c>
      <c r="S200" s="12" t="n">
        <f aca="false">IF(AND(ISNUMBER(R200),R200&gt;1,P200&gt;0),R200/P200-1,"")</f>
        <v>-0.208843696616767</v>
      </c>
      <c r="T200" s="9" t="n">
        <f aca="false">IF(AND(ISNUMBER(P200),P200&gt;0),P200*EXP('Read me'!$B$22),"")</f>
        <v>6.94718905507901</v>
      </c>
    </row>
    <row r="201" customFormat="false" ht="15" hidden="false" customHeight="false" outlineLevel="0" collapsed="false">
      <c r="A201" s="15" t="s">
        <v>168</v>
      </c>
      <c r="B201" s="15" t="s">
        <v>49</v>
      </c>
      <c r="C201" s="15" t="s">
        <v>169</v>
      </c>
      <c r="D201" s="15" t="s">
        <v>418</v>
      </c>
      <c r="E201" s="16" t="n">
        <v>12</v>
      </c>
      <c r="F201" s="15" t="s">
        <v>371</v>
      </c>
      <c r="G201" s="8" t="n">
        <v>7</v>
      </c>
      <c r="H201" s="15" t="s">
        <v>739</v>
      </c>
      <c r="I201" s="15" t="s">
        <v>740</v>
      </c>
      <c r="J201" s="15" t="s">
        <v>741</v>
      </c>
      <c r="K201" s="8" t="n">
        <v>7</v>
      </c>
      <c r="L201" s="8" t="n">
        <v>63</v>
      </c>
      <c r="M201" s="8" t="n">
        <v>3</v>
      </c>
      <c r="N201" s="8" t="n">
        <v>17</v>
      </c>
      <c r="O201" s="8" t="n">
        <v>4</v>
      </c>
      <c r="P201" s="9" t="n">
        <v>5.86309501870827</v>
      </c>
      <c r="Q201" s="10" t="n">
        <v>0.17055838201652</v>
      </c>
      <c r="R201" s="9" t="n">
        <v>4.5</v>
      </c>
      <c r="S201" s="12" t="n">
        <f aca="false">IF(AND(ISNUMBER(R201),R201&gt;1,P201&gt;0),R201/P201-1,"")</f>
        <v>-0.232487280925661</v>
      </c>
      <c r="T201" s="9" t="n">
        <f aca="false">IF(AND(ISNUMBER(P201),P201&gt;0),P201*EXP('Read me'!$B$22),"")</f>
        <v>7.16120042720544</v>
      </c>
    </row>
    <row r="202" customFormat="false" ht="15" hidden="false" customHeight="false" outlineLevel="0" collapsed="false">
      <c r="A202" s="15" t="s">
        <v>168</v>
      </c>
      <c r="B202" s="15" t="s">
        <v>49</v>
      </c>
      <c r="C202" s="15" t="s">
        <v>169</v>
      </c>
      <c r="D202" s="15" t="s">
        <v>418</v>
      </c>
      <c r="E202" s="16" t="n">
        <v>12</v>
      </c>
      <c r="F202" s="15" t="s">
        <v>371</v>
      </c>
      <c r="G202" s="8" t="n">
        <v>7</v>
      </c>
      <c r="H202" s="15" t="s">
        <v>742</v>
      </c>
      <c r="I202" s="15" t="s">
        <v>383</v>
      </c>
      <c r="J202" s="15" t="s">
        <v>743</v>
      </c>
      <c r="K202" s="8" t="n">
        <v>5</v>
      </c>
      <c r="L202" s="8" t="n">
        <v>69</v>
      </c>
      <c r="M202" s="8" t="n">
        <v>4</v>
      </c>
      <c r="N202" s="8" t="n">
        <v>31</v>
      </c>
      <c r="O202" s="8" t="n">
        <v>5</v>
      </c>
      <c r="P202" s="9" t="n">
        <v>6.67796259715477</v>
      </c>
      <c r="Q202" s="10" t="n">
        <v>0.149746271478978</v>
      </c>
      <c r="R202" s="9" t="n">
        <v>8</v>
      </c>
      <c r="S202" s="12" t="n">
        <f aca="false">IF(AND(ISNUMBER(R202),R202&gt;1,P202&gt;0),R202/P202-1,"")</f>
        <v>0.197970171831826</v>
      </c>
      <c r="T202" s="9" t="n">
        <f aca="false">IF(AND(ISNUMBER(P202),P202&gt;0),P202*EXP('Read me'!$B$22),"")</f>
        <v>8.15648193505528</v>
      </c>
    </row>
    <row r="203" customFormat="false" ht="15" hidden="false" customHeight="false" outlineLevel="0" collapsed="false">
      <c r="A203" s="15" t="s">
        <v>168</v>
      </c>
      <c r="B203" s="15" t="s">
        <v>49</v>
      </c>
      <c r="C203" s="15" t="s">
        <v>169</v>
      </c>
      <c r="D203" s="15" t="s">
        <v>418</v>
      </c>
      <c r="E203" s="16" t="n">
        <v>12</v>
      </c>
      <c r="F203" s="15" t="s">
        <v>371</v>
      </c>
      <c r="G203" s="8" t="n">
        <v>7</v>
      </c>
      <c r="H203" s="15" t="s">
        <v>744</v>
      </c>
      <c r="I203" s="15" t="s">
        <v>637</v>
      </c>
      <c r="J203" s="15" t="s">
        <v>53</v>
      </c>
      <c r="K203" s="8" t="n">
        <v>4</v>
      </c>
      <c r="L203" s="8" t="n">
        <v>64</v>
      </c>
      <c r="M203" s="8" t="n">
        <v>6</v>
      </c>
      <c r="N203" s="8" t="n">
        <v>35</v>
      </c>
      <c r="O203" s="8" t="n">
        <v>6</v>
      </c>
      <c r="P203" s="9" t="n">
        <v>11.5598288989795</v>
      </c>
      <c r="Q203" s="10" t="n">
        <v>0.0865064707046212</v>
      </c>
      <c r="R203" s="9" t="n">
        <v>12</v>
      </c>
      <c r="S203" s="12" t="n">
        <f aca="false">IF(AND(ISNUMBER(R203),R203&gt;1,P203&gt;0),R203/P203-1,"")</f>
        <v>0.0380776484554544</v>
      </c>
      <c r="T203" s="9" t="n">
        <f aca="false">IF(AND(ISNUMBER(P203),P203&gt;0),P203*EXP('Read me'!$B$22),"")</f>
        <v>14.1192069010732</v>
      </c>
    </row>
    <row r="204" customFormat="false" ht="15" hidden="false" customHeight="false" outlineLevel="0" collapsed="false">
      <c r="A204" s="15" t="s">
        <v>168</v>
      </c>
      <c r="B204" s="15" t="s">
        <v>49</v>
      </c>
      <c r="C204" s="15" t="s">
        <v>169</v>
      </c>
      <c r="D204" s="15" t="s">
        <v>418</v>
      </c>
      <c r="E204" s="16" t="n">
        <v>12</v>
      </c>
      <c r="F204" s="15" t="s">
        <v>371</v>
      </c>
      <c r="G204" s="8" t="n">
        <v>7</v>
      </c>
      <c r="H204" s="15" t="s">
        <v>745</v>
      </c>
      <c r="I204" s="15" t="s">
        <v>746</v>
      </c>
      <c r="J204" s="15" t="s">
        <v>747</v>
      </c>
      <c r="K204" s="8" t="n">
        <v>3</v>
      </c>
      <c r="L204" s="8" t="n">
        <v>59</v>
      </c>
      <c r="M204" s="8" t="n">
        <v>5</v>
      </c>
      <c r="N204" s="8" t="n">
        <v>151</v>
      </c>
      <c r="O204" s="8" t="n">
        <v>7</v>
      </c>
      <c r="P204" s="9" t="n">
        <v>18.8006827700284</v>
      </c>
      <c r="Q204" s="10" t="n">
        <v>0.0531895576470328</v>
      </c>
      <c r="R204" s="9" t="n">
        <v>21</v>
      </c>
      <c r="S204" s="12" t="n">
        <f aca="false">IF(AND(ISNUMBER(R204),R204&gt;1,P204&gt;0),R204/P204-1,"")</f>
        <v>0.116980710587689</v>
      </c>
      <c r="T204" s="9" t="n">
        <f aca="false">IF(AND(ISNUMBER(P204),P204&gt;0),P204*EXP('Read me'!$B$22),"")</f>
        <v>22.963205790607</v>
      </c>
    </row>
    <row r="205" customFormat="false" ht="15" hidden="false" customHeight="false" outlineLevel="0" collapsed="false">
      <c r="A205" s="15" t="s">
        <v>173</v>
      </c>
      <c r="B205" s="15" t="s">
        <v>56</v>
      </c>
      <c r="C205" s="15" t="s">
        <v>174</v>
      </c>
      <c r="D205" s="15"/>
      <c r="E205" s="16" t="n">
        <v>24</v>
      </c>
      <c r="F205" s="15" t="s">
        <v>357</v>
      </c>
      <c r="G205" s="8" t="n">
        <v>11</v>
      </c>
      <c r="H205" s="15" t="s">
        <v>175</v>
      </c>
      <c r="I205" s="15" t="s">
        <v>150</v>
      </c>
      <c r="J205" s="15" t="s">
        <v>176</v>
      </c>
      <c r="K205" s="8" t="n">
        <v>8</v>
      </c>
      <c r="L205" s="8" t="n">
        <v>101</v>
      </c>
      <c r="M205" s="8" t="n">
        <v>6</v>
      </c>
      <c r="N205" s="8" t="n">
        <v>24</v>
      </c>
      <c r="O205" s="8" t="n">
        <v>1</v>
      </c>
      <c r="P205" s="9" t="n">
        <v>4.58043095111302</v>
      </c>
      <c r="Q205" s="10" t="n">
        <v>0.218320068716898</v>
      </c>
      <c r="R205" s="9" t="n">
        <v>5.5</v>
      </c>
      <c r="S205" s="12" t="n">
        <f aca="false">IF(AND(ISNUMBER(R205),R205&gt;1,P205&gt;0),R205/P205-1,"")</f>
        <v>0.200760377942939</v>
      </c>
      <c r="T205" s="9" t="n">
        <f aca="false">IF(AND(ISNUMBER(P205),P205&gt;0),P205*EXP('Read me'!$B$22),"")</f>
        <v>5.59455099725165</v>
      </c>
    </row>
    <row r="206" customFormat="false" ht="15" hidden="false" customHeight="false" outlineLevel="0" collapsed="false">
      <c r="A206" s="15" t="s">
        <v>173</v>
      </c>
      <c r="B206" s="15" t="s">
        <v>56</v>
      </c>
      <c r="C206" s="15" t="s">
        <v>174</v>
      </c>
      <c r="D206" s="15"/>
      <c r="E206" s="16" t="n">
        <v>24</v>
      </c>
      <c r="F206" s="15" t="s">
        <v>357</v>
      </c>
      <c r="G206" s="8" t="n">
        <v>11</v>
      </c>
      <c r="H206" s="15" t="s">
        <v>177</v>
      </c>
      <c r="I206" s="15" t="s">
        <v>91</v>
      </c>
      <c r="J206" s="15" t="s">
        <v>417</v>
      </c>
      <c r="K206" s="8" t="n">
        <v>9</v>
      </c>
      <c r="L206" s="8" t="n">
        <v>101</v>
      </c>
      <c r="M206" s="8" t="n">
        <v>6</v>
      </c>
      <c r="N206" s="8" t="n">
        <v>24</v>
      </c>
      <c r="O206" s="8" t="n">
        <v>2</v>
      </c>
      <c r="P206" s="9" t="n">
        <v>7.95623251761418</v>
      </c>
      <c r="Q206" s="10" t="n">
        <v>0.12568762888542</v>
      </c>
      <c r="R206" s="9" t="n">
        <v>8.5</v>
      </c>
      <c r="S206" s="12" t="n">
        <f aca="false">IF(AND(ISNUMBER(R206),R206&gt;1,P206&gt;0),R206/P206-1,"")</f>
        <v>0.0683448455260687</v>
      </c>
      <c r="T206" s="9" t="n">
        <f aca="false">IF(AND(ISNUMBER(P206),P206&gt;0),P206*EXP('Read me'!$B$22),"")</f>
        <v>9.71776434157759</v>
      </c>
    </row>
    <row r="207" customFormat="false" ht="15" hidden="false" customHeight="false" outlineLevel="0" collapsed="false">
      <c r="A207" s="15" t="s">
        <v>173</v>
      </c>
      <c r="B207" s="15" t="s">
        <v>56</v>
      </c>
      <c r="C207" s="15" t="s">
        <v>174</v>
      </c>
      <c r="D207" s="15"/>
      <c r="E207" s="16" t="n">
        <v>24</v>
      </c>
      <c r="F207" s="15" t="s">
        <v>357</v>
      </c>
      <c r="G207" s="8" t="n">
        <v>11</v>
      </c>
      <c r="H207" s="15" t="s">
        <v>748</v>
      </c>
      <c r="I207" s="15" t="s">
        <v>597</v>
      </c>
      <c r="J207" s="15" t="s">
        <v>749</v>
      </c>
      <c r="K207" s="8" t="n">
        <v>6</v>
      </c>
      <c r="L207" s="8" t="n">
        <v>106</v>
      </c>
      <c r="M207" s="8" t="n">
        <v>5</v>
      </c>
      <c r="N207" s="8" t="n">
        <v>135</v>
      </c>
      <c r="O207" s="8" t="n">
        <v>3</v>
      </c>
      <c r="P207" s="9" t="n">
        <v>8.54476535521238</v>
      </c>
      <c r="Q207" s="10" t="n">
        <v>0.117030715113785</v>
      </c>
      <c r="R207" s="9" t="n">
        <v>6.5</v>
      </c>
      <c r="S207" s="12" t="n">
        <f aca="false">IF(AND(ISNUMBER(R207),R207&gt;1,P207&gt;0),R207/P207-1,"")</f>
        <v>-0.239300351760397</v>
      </c>
      <c r="T207" s="9" t="n">
        <f aca="false">IF(AND(ISNUMBER(P207),P207&gt;0),P207*EXP('Read me'!$B$22),"")</f>
        <v>10.4365999726879</v>
      </c>
    </row>
    <row r="208" customFormat="false" ht="15" hidden="false" customHeight="false" outlineLevel="0" collapsed="false">
      <c r="A208" s="15" t="s">
        <v>173</v>
      </c>
      <c r="B208" s="15" t="s">
        <v>56</v>
      </c>
      <c r="C208" s="15" t="s">
        <v>174</v>
      </c>
      <c r="D208" s="15"/>
      <c r="E208" s="16" t="n">
        <v>24</v>
      </c>
      <c r="F208" s="15" t="s">
        <v>357</v>
      </c>
      <c r="G208" s="8" t="n">
        <v>11</v>
      </c>
      <c r="H208" s="15" t="s">
        <v>750</v>
      </c>
      <c r="I208" s="15" t="s">
        <v>398</v>
      </c>
      <c r="J208" s="15" t="s">
        <v>665</v>
      </c>
      <c r="K208" s="8" t="n">
        <v>11</v>
      </c>
      <c r="L208" s="8" t="n">
        <v>99</v>
      </c>
      <c r="M208" s="8" t="n">
        <v>9</v>
      </c>
      <c r="N208" s="8" t="n">
        <v>5</v>
      </c>
      <c r="O208" s="8" t="n">
        <v>4</v>
      </c>
      <c r="P208" s="9" t="n">
        <v>9.60048900591183</v>
      </c>
      <c r="Q208" s="10" t="n">
        <v>0.104161360883202</v>
      </c>
      <c r="R208" s="9" t="n">
        <v>4.33333333333333</v>
      </c>
      <c r="S208" s="12" t="n">
        <f aca="false">IF(AND(ISNUMBER(R208),R208&gt;1,P208&gt;0),R208/P208-1,"")</f>
        <v>-0.548634102839456</v>
      </c>
      <c r="T208" s="9" t="n">
        <f aca="false">IF(AND(ISNUMBER(P208),P208&gt;0),P208*EXP('Read me'!$B$22),"")</f>
        <v>11.7260637515071</v>
      </c>
    </row>
    <row r="209" customFormat="false" ht="15" hidden="false" customHeight="false" outlineLevel="0" collapsed="false">
      <c r="A209" s="15" t="s">
        <v>173</v>
      </c>
      <c r="B209" s="15" t="s">
        <v>56</v>
      </c>
      <c r="C209" s="15" t="s">
        <v>174</v>
      </c>
      <c r="D209" s="15"/>
      <c r="E209" s="16" t="n">
        <v>24</v>
      </c>
      <c r="F209" s="15" t="s">
        <v>357</v>
      </c>
      <c r="G209" s="8" t="n">
        <v>11</v>
      </c>
      <c r="H209" s="15" t="s">
        <v>751</v>
      </c>
      <c r="I209" s="15" t="s">
        <v>405</v>
      </c>
      <c r="J209" s="15" t="s">
        <v>452</v>
      </c>
      <c r="K209" s="8" t="n">
        <v>3</v>
      </c>
      <c r="L209" s="8" t="n">
        <v>113</v>
      </c>
      <c r="M209" s="8" t="n">
        <v>7</v>
      </c>
      <c r="N209" s="8" t="n">
        <v>24</v>
      </c>
      <c r="O209" s="8" t="n">
        <v>5</v>
      </c>
      <c r="P209" s="9" t="n">
        <v>9.87466859087478</v>
      </c>
      <c r="Q209" s="10" t="n">
        <v>0.101269221422186</v>
      </c>
      <c r="R209" s="9" t="n">
        <v>15</v>
      </c>
      <c r="S209" s="12" t="n">
        <f aca="false">IF(AND(ISNUMBER(R209),R209&gt;1,P209&gt;0),R209/P209-1,"")</f>
        <v>0.519038321332785</v>
      </c>
      <c r="T209" s="9" t="n">
        <f aca="false">IF(AND(ISNUMBER(P209),P209&gt;0),P209*EXP('Read me'!$B$22),"")</f>
        <v>12.0609474528121</v>
      </c>
    </row>
    <row r="210" customFormat="false" ht="15" hidden="false" customHeight="false" outlineLevel="0" collapsed="false">
      <c r="A210" s="15" t="s">
        <v>173</v>
      </c>
      <c r="B210" s="15" t="s">
        <v>56</v>
      </c>
      <c r="C210" s="15" t="s">
        <v>174</v>
      </c>
      <c r="D210" s="15"/>
      <c r="E210" s="16" t="n">
        <v>24</v>
      </c>
      <c r="F210" s="15" t="s">
        <v>357</v>
      </c>
      <c r="G210" s="8" t="n">
        <v>11</v>
      </c>
      <c r="H210" s="15" t="s">
        <v>752</v>
      </c>
      <c r="I210" s="15" t="s">
        <v>664</v>
      </c>
      <c r="J210" s="15" t="s">
        <v>753</v>
      </c>
      <c r="K210" s="8" t="n">
        <v>2</v>
      </c>
      <c r="L210" s="8" t="n">
        <v>116</v>
      </c>
      <c r="M210" s="8" t="n">
        <v>7</v>
      </c>
      <c r="N210" s="8" t="n">
        <v>21</v>
      </c>
      <c r="O210" s="8" t="n">
        <v>6</v>
      </c>
      <c r="P210" s="9" t="n">
        <v>10.1606283130888</v>
      </c>
      <c r="Q210" s="10" t="n">
        <v>0.0984191104315673</v>
      </c>
      <c r="R210" s="9" t="n">
        <v>9.5</v>
      </c>
      <c r="S210" s="12" t="n">
        <f aca="false">IF(AND(ISNUMBER(R210),R210&gt;1,P210&gt;0),R210/P210-1,"")</f>
        <v>-0.0650184509001097</v>
      </c>
      <c r="T210" s="9" t="n">
        <f aca="false">IF(AND(ISNUMBER(P210),P210&gt;0),P210*EXP('Read me'!$B$22),"")</f>
        <v>12.410219446247</v>
      </c>
    </row>
    <row r="211" customFormat="false" ht="15" hidden="false" customHeight="false" outlineLevel="0" collapsed="false">
      <c r="A211" s="15" t="s">
        <v>173</v>
      </c>
      <c r="B211" s="15" t="s">
        <v>56</v>
      </c>
      <c r="C211" s="15" t="s">
        <v>174</v>
      </c>
      <c r="D211" s="15"/>
      <c r="E211" s="16" t="n">
        <v>24</v>
      </c>
      <c r="F211" s="15" t="s">
        <v>357</v>
      </c>
      <c r="G211" s="8" t="n">
        <v>11</v>
      </c>
      <c r="H211" s="15" t="s">
        <v>754</v>
      </c>
      <c r="I211" s="15" t="s">
        <v>755</v>
      </c>
      <c r="J211" s="15" t="s">
        <v>580</v>
      </c>
      <c r="K211" s="8" t="n">
        <v>13</v>
      </c>
      <c r="L211" s="8" t="n">
        <v>94</v>
      </c>
      <c r="M211" s="8" t="n">
        <v>7</v>
      </c>
      <c r="N211" s="8" t="n">
        <v>21</v>
      </c>
      <c r="O211" s="8" t="n">
        <v>7</v>
      </c>
      <c r="P211" s="9" t="n">
        <v>11.3520577247702</v>
      </c>
      <c r="Q211" s="10" t="n">
        <v>0.0880897564340251</v>
      </c>
      <c r="R211" s="9" t="n">
        <v>6</v>
      </c>
      <c r="S211" s="12" t="n">
        <f aca="false">IF(AND(ISNUMBER(R211),R211&gt;1,P211&gt;0),R211/P211-1,"")</f>
        <v>-0.471461461395849</v>
      </c>
      <c r="T211" s="9" t="n">
        <f aca="false">IF(AND(ISNUMBER(P211),P211&gt;0),P211*EXP('Read me'!$B$22),"")</f>
        <v>13.8654346158278</v>
      </c>
    </row>
    <row r="212" customFormat="false" ht="15" hidden="false" customHeight="false" outlineLevel="0" collapsed="false">
      <c r="A212" s="15" t="s">
        <v>173</v>
      </c>
      <c r="B212" s="15" t="s">
        <v>56</v>
      </c>
      <c r="C212" s="15" t="s">
        <v>174</v>
      </c>
      <c r="D212" s="15"/>
      <c r="E212" s="16" t="n">
        <v>24</v>
      </c>
      <c r="F212" s="15" t="s">
        <v>357</v>
      </c>
      <c r="G212" s="8" t="n">
        <v>11</v>
      </c>
      <c r="H212" s="15" t="s">
        <v>756</v>
      </c>
      <c r="I212" s="15" t="s">
        <v>757</v>
      </c>
      <c r="J212" s="15" t="s">
        <v>758</v>
      </c>
      <c r="K212" s="8" t="n">
        <v>1</v>
      </c>
      <c r="L212" s="8" t="n">
        <v>118</v>
      </c>
      <c r="M212" s="8" t="n">
        <v>9</v>
      </c>
      <c r="N212" s="8" t="n">
        <v>73</v>
      </c>
      <c r="O212" s="8" t="n">
        <v>8</v>
      </c>
      <c r="P212" s="9" t="n">
        <v>13.5730941621262</v>
      </c>
      <c r="Q212" s="10" t="n">
        <v>0.0736751685397097</v>
      </c>
      <c r="R212" s="9" t="n">
        <v>9</v>
      </c>
      <c r="S212" s="12" t="n">
        <f aca="false">IF(AND(ISNUMBER(R212),R212&gt;1,P212&gt;0),R212/P212-1,"")</f>
        <v>-0.336923483142612</v>
      </c>
      <c r="T212" s="9" t="n">
        <f aca="false">IF(AND(ISNUMBER(P212),P212&gt;0),P212*EXP('Read me'!$B$22),"")</f>
        <v>16.5782146463887</v>
      </c>
    </row>
    <row r="213" customFormat="false" ht="15" hidden="false" customHeight="false" outlineLevel="0" collapsed="false">
      <c r="A213" s="15" t="s">
        <v>173</v>
      </c>
      <c r="B213" s="15" t="s">
        <v>56</v>
      </c>
      <c r="C213" s="15" t="s">
        <v>174</v>
      </c>
      <c r="D213" s="15"/>
      <c r="E213" s="16" t="n">
        <v>24</v>
      </c>
      <c r="F213" s="15" t="s">
        <v>357</v>
      </c>
      <c r="G213" s="8" t="n">
        <v>11</v>
      </c>
      <c r="H213" s="15" t="s">
        <v>759</v>
      </c>
      <c r="I213" s="15" t="s">
        <v>593</v>
      </c>
      <c r="J213" s="15" t="s">
        <v>760</v>
      </c>
      <c r="K213" s="8" t="n">
        <v>4</v>
      </c>
      <c r="L213" s="8" t="n">
        <v>109</v>
      </c>
      <c r="M213" s="8" t="n">
        <v>10</v>
      </c>
      <c r="N213" s="8" t="n">
        <v>176</v>
      </c>
      <c r="O213" s="8" t="n">
        <v>9</v>
      </c>
      <c r="P213" s="9" t="n">
        <v>28.7733923977084</v>
      </c>
      <c r="Q213" s="10" t="n">
        <v>0.0347543308824316</v>
      </c>
      <c r="R213" s="9" t="n">
        <v>21</v>
      </c>
      <c r="S213" s="12" t="n">
        <f aca="false">IF(AND(ISNUMBER(R213),R213&gt;1,P213&gt;0),R213/P213-1,"")</f>
        <v>-0.270159051468936</v>
      </c>
      <c r="T213" s="9" t="n">
        <f aca="false">IF(AND(ISNUMBER(P213),P213&gt;0),P213*EXP('Read me'!$B$22),"")</f>
        <v>35.1439008361859</v>
      </c>
    </row>
    <row r="214" customFormat="false" ht="15" hidden="false" customHeight="false" outlineLevel="0" collapsed="false">
      <c r="A214" s="15" t="s">
        <v>173</v>
      </c>
      <c r="B214" s="15" t="s">
        <v>56</v>
      </c>
      <c r="C214" s="15" t="s">
        <v>174</v>
      </c>
      <c r="D214" s="15"/>
      <c r="E214" s="16" t="n">
        <v>24</v>
      </c>
      <c r="F214" s="15" t="s">
        <v>357</v>
      </c>
      <c r="G214" s="8" t="n">
        <v>11</v>
      </c>
      <c r="H214" s="15" t="s">
        <v>761</v>
      </c>
      <c r="I214" s="15" t="s">
        <v>484</v>
      </c>
      <c r="J214" s="15" t="s">
        <v>482</v>
      </c>
      <c r="K214" s="8" t="n">
        <v>10</v>
      </c>
      <c r="L214" s="8" t="n">
        <v>100</v>
      </c>
      <c r="M214" s="8" t="n">
        <v>9</v>
      </c>
      <c r="N214" s="8" t="n">
        <v>24</v>
      </c>
      <c r="O214" s="8" t="n">
        <v>10</v>
      </c>
      <c r="P214" s="9" t="n">
        <v>34.2544249047733</v>
      </c>
      <c r="Q214" s="10" t="n">
        <v>0.0291933086828923</v>
      </c>
      <c r="R214" s="9" t="n">
        <v>15</v>
      </c>
      <c r="S214" s="12" t="n">
        <f aca="false">IF(AND(ISNUMBER(R214),R214&gt;1,P214&gt;0),R214/P214-1,"")</f>
        <v>-0.562100369756616</v>
      </c>
      <c r="T214" s="9" t="n">
        <f aca="false">IF(AND(ISNUMBER(P214),P214&gt;0),P214*EXP('Read me'!$B$22),"")</f>
        <v>41.8384490578805</v>
      </c>
    </row>
    <row r="215" customFormat="false" ht="15" hidden="false" customHeight="false" outlineLevel="0" collapsed="false">
      <c r="A215" s="15" t="s">
        <v>173</v>
      </c>
      <c r="B215" s="15" t="s">
        <v>56</v>
      </c>
      <c r="C215" s="15" t="s">
        <v>174</v>
      </c>
      <c r="D215" s="15"/>
      <c r="E215" s="16" t="n">
        <v>24</v>
      </c>
      <c r="F215" s="15" t="s">
        <v>357</v>
      </c>
      <c r="G215" s="8" t="n">
        <v>11</v>
      </c>
      <c r="H215" s="15" t="s">
        <v>762</v>
      </c>
      <c r="I215" s="15" t="s">
        <v>763</v>
      </c>
      <c r="J215" s="15" t="s">
        <v>764</v>
      </c>
      <c r="K215" s="8" t="n">
        <v>12</v>
      </c>
      <c r="L215" s="8" t="n">
        <v>96</v>
      </c>
      <c r="M215" s="8" t="n">
        <v>10</v>
      </c>
      <c r="N215" s="8" t="n">
        <v>111</v>
      </c>
      <c r="O215" s="8" t="n">
        <v>11</v>
      </c>
      <c r="P215" s="9" t="n">
        <v>106.390561791248</v>
      </c>
      <c r="Q215" s="10" t="n">
        <v>0.0093993300078829</v>
      </c>
      <c r="R215" s="9" t="n">
        <v>51</v>
      </c>
      <c r="S215" s="12" t="n">
        <f aca="false">IF(AND(ISNUMBER(R215),R215&gt;1,P215&gt;0),R215/P215-1,"")</f>
        <v>-0.520634169597972</v>
      </c>
      <c r="T215" s="9" t="n">
        <f aca="false">IF(AND(ISNUMBER(P215),P215&gt;0),P215*EXP('Read me'!$B$22),"")</f>
        <v>129.945725614041</v>
      </c>
    </row>
    <row r="216" customFormat="false" ht="15" hidden="false" customHeight="false" outlineLevel="0" collapsed="false">
      <c r="A216" s="15" t="s">
        <v>178</v>
      </c>
      <c r="B216" s="15" t="s">
        <v>63</v>
      </c>
      <c r="C216" s="15" t="s">
        <v>179</v>
      </c>
      <c r="D216" s="15" t="s">
        <v>432</v>
      </c>
      <c r="E216" s="16" t="n">
        <v>5</v>
      </c>
      <c r="F216" s="15" t="s">
        <v>419</v>
      </c>
      <c r="G216" s="8" t="n">
        <v>9</v>
      </c>
      <c r="H216" s="15" t="s">
        <v>180</v>
      </c>
      <c r="I216" s="15" t="s">
        <v>181</v>
      </c>
      <c r="J216" s="15" t="s">
        <v>182</v>
      </c>
      <c r="K216" s="8" t="n">
        <v>5</v>
      </c>
      <c r="L216" s="8" t="n">
        <v>82</v>
      </c>
      <c r="M216" s="8" t="n">
        <v>4</v>
      </c>
      <c r="N216" s="8" t="n">
        <v>7</v>
      </c>
      <c r="O216" s="8" t="n">
        <v>1</v>
      </c>
      <c r="P216" s="9" t="n">
        <v>2.65922917843824</v>
      </c>
      <c r="Q216" s="10" t="n">
        <v>0.376048822007623</v>
      </c>
      <c r="R216" s="9" t="n">
        <v>2.2</v>
      </c>
      <c r="S216" s="12" t="n">
        <f aca="false">IF(AND(ISNUMBER(R216),R216&gt;1,P216&gt;0),R216/P216-1,"")</f>
        <v>-0.17269259158323</v>
      </c>
      <c r="T216" s="9" t="n">
        <f aca="false">IF(AND(ISNUMBER(P216),P216&gt;0),P216*EXP('Read me'!$B$22),"")</f>
        <v>3.24798985312447</v>
      </c>
    </row>
    <row r="217" customFormat="false" ht="15" hidden="false" customHeight="false" outlineLevel="0" collapsed="false">
      <c r="A217" s="15" t="s">
        <v>178</v>
      </c>
      <c r="B217" s="15" t="s">
        <v>63</v>
      </c>
      <c r="C217" s="15" t="s">
        <v>179</v>
      </c>
      <c r="D217" s="15" t="s">
        <v>432</v>
      </c>
      <c r="E217" s="16" t="n">
        <v>5</v>
      </c>
      <c r="F217" s="15" t="s">
        <v>419</v>
      </c>
      <c r="G217" s="8" t="n">
        <v>9</v>
      </c>
      <c r="H217" s="15" t="s">
        <v>183</v>
      </c>
      <c r="I217" s="15" t="s">
        <v>765</v>
      </c>
      <c r="J217" s="15" t="s">
        <v>766</v>
      </c>
      <c r="K217" s="8" t="n">
        <v>8</v>
      </c>
      <c r="L217" s="8" t="n">
        <v>84</v>
      </c>
      <c r="M217" s="8" t="n">
        <v>4</v>
      </c>
      <c r="N217" s="8" t="n">
        <v>10</v>
      </c>
      <c r="O217" s="8" t="n">
        <v>2</v>
      </c>
      <c r="P217" s="9" t="n">
        <v>6.1222196396582</v>
      </c>
      <c r="Q217" s="10" t="n">
        <v>0.163339451842311</v>
      </c>
      <c r="R217" s="9" t="n">
        <v>4.33333333333333</v>
      </c>
      <c r="S217" s="12" t="n">
        <f aca="false">IF(AND(ISNUMBER(R217),R217&gt;1,P217&gt;0),R217/P217-1,"")</f>
        <v>-0.29219570868332</v>
      </c>
      <c r="T217" s="9" t="n">
        <f aca="false">IF(AND(ISNUMBER(P217),P217&gt;0),P217*EXP('Read me'!$B$22),"")</f>
        <v>7.47769595394089</v>
      </c>
    </row>
    <row r="218" customFormat="false" ht="15" hidden="false" customHeight="false" outlineLevel="0" collapsed="false">
      <c r="A218" s="15" t="s">
        <v>178</v>
      </c>
      <c r="B218" s="15" t="s">
        <v>63</v>
      </c>
      <c r="C218" s="15" t="s">
        <v>179</v>
      </c>
      <c r="D218" s="15" t="s">
        <v>432</v>
      </c>
      <c r="E218" s="16" t="n">
        <v>5</v>
      </c>
      <c r="F218" s="15" t="s">
        <v>419</v>
      </c>
      <c r="G218" s="8" t="n">
        <v>9</v>
      </c>
      <c r="H218" s="15" t="s">
        <v>767</v>
      </c>
      <c r="I218" s="15" t="s">
        <v>97</v>
      </c>
      <c r="J218" s="15" t="s">
        <v>250</v>
      </c>
      <c r="K218" s="8" t="n">
        <v>6</v>
      </c>
      <c r="L218" s="8" t="n">
        <v>88</v>
      </c>
      <c r="M218" s="8" t="n">
        <v>10</v>
      </c>
      <c r="N218" s="8" t="n">
        <v>7</v>
      </c>
      <c r="O218" s="8" t="n">
        <v>3</v>
      </c>
      <c r="P218" s="9" t="n">
        <v>8.4429428742156</v>
      </c>
      <c r="Q218" s="10" t="n">
        <v>0.118442113715344</v>
      </c>
      <c r="R218" s="9" t="n">
        <v>7.5</v>
      </c>
      <c r="S218" s="12" t="n">
        <f aca="false">IF(AND(ISNUMBER(R218),R218&gt;1,P218&gt;0),R218/P218-1,"")</f>
        <v>-0.111684147134917</v>
      </c>
      <c r="T218" s="9" t="n">
        <f aca="false">IF(AND(ISNUMBER(P218),P218&gt;0),P218*EXP('Read me'!$B$22),"")</f>
        <v>10.3122337135557</v>
      </c>
    </row>
    <row r="219" customFormat="false" ht="15" hidden="false" customHeight="false" outlineLevel="0" collapsed="false">
      <c r="A219" s="15" t="s">
        <v>178</v>
      </c>
      <c r="B219" s="15" t="s">
        <v>63</v>
      </c>
      <c r="C219" s="15" t="s">
        <v>179</v>
      </c>
      <c r="D219" s="15" t="s">
        <v>432</v>
      </c>
      <c r="E219" s="16" t="n">
        <v>5</v>
      </c>
      <c r="F219" s="15" t="s">
        <v>419</v>
      </c>
      <c r="G219" s="8" t="n">
        <v>9</v>
      </c>
      <c r="H219" s="15" t="s">
        <v>768</v>
      </c>
      <c r="I219" s="15" t="s">
        <v>514</v>
      </c>
      <c r="J219" s="15" t="s">
        <v>428</v>
      </c>
      <c r="K219" s="8" t="n">
        <v>7</v>
      </c>
      <c r="L219" s="8" t="n">
        <v>81</v>
      </c>
      <c r="M219" s="8" t="n">
        <v>3</v>
      </c>
      <c r="N219" s="8" t="n">
        <v>9</v>
      </c>
      <c r="O219" s="8" t="n">
        <v>4</v>
      </c>
      <c r="P219" s="9" t="n">
        <v>10.9387317933415</v>
      </c>
      <c r="Q219" s="10" t="n">
        <v>0.0914182758012867</v>
      </c>
      <c r="R219" s="9" t="n">
        <v>17</v>
      </c>
      <c r="S219" s="12" t="n">
        <f aca="false">IF(AND(ISNUMBER(R219),R219&gt;1,P219&gt;0),R219/P219-1,"")</f>
        <v>0.554110688621875</v>
      </c>
      <c r="T219" s="9" t="n">
        <f aca="false">IF(AND(ISNUMBER(P219),P219&gt;0),P219*EXP('Read me'!$B$22),"")</f>
        <v>13.3605971831617</v>
      </c>
    </row>
    <row r="220" customFormat="false" ht="15" hidden="false" customHeight="false" outlineLevel="0" collapsed="false">
      <c r="A220" s="15" t="s">
        <v>178</v>
      </c>
      <c r="B220" s="15" t="s">
        <v>63</v>
      </c>
      <c r="C220" s="15" t="s">
        <v>179</v>
      </c>
      <c r="D220" s="15" t="s">
        <v>432</v>
      </c>
      <c r="E220" s="16" t="n">
        <v>5</v>
      </c>
      <c r="F220" s="15" t="s">
        <v>419</v>
      </c>
      <c r="G220" s="8" t="n">
        <v>9</v>
      </c>
      <c r="H220" s="15" t="s">
        <v>769</v>
      </c>
      <c r="I220" s="15" t="s">
        <v>604</v>
      </c>
      <c r="J220" s="15" t="s">
        <v>602</v>
      </c>
      <c r="K220" s="8" t="n">
        <v>2</v>
      </c>
      <c r="L220" s="8" t="n">
        <v>75</v>
      </c>
      <c r="M220" s="8" t="n">
        <v>7</v>
      </c>
      <c r="N220" s="8" t="n">
        <v>22</v>
      </c>
      <c r="O220" s="8" t="n">
        <v>5</v>
      </c>
      <c r="P220" s="9" t="n">
        <v>13.7645258098386</v>
      </c>
      <c r="Q220" s="10" t="n">
        <v>0.0726505230776072</v>
      </c>
      <c r="R220" s="9" t="n">
        <v>13</v>
      </c>
      <c r="S220" s="12" t="n">
        <f aca="false">IF(AND(ISNUMBER(R220),R220&gt;1,P220&gt;0),R220/P220-1,"")</f>
        <v>-0.0555431999911056</v>
      </c>
      <c r="T220" s="9" t="n">
        <f aca="false">IF(AND(ISNUMBER(P220),P220&gt;0),P220*EXP('Read me'!$B$22),"")</f>
        <v>16.8120297889037</v>
      </c>
    </row>
    <row r="221" customFormat="false" ht="15" hidden="false" customHeight="false" outlineLevel="0" collapsed="false">
      <c r="A221" s="15" t="s">
        <v>178</v>
      </c>
      <c r="B221" s="15" t="s">
        <v>63</v>
      </c>
      <c r="C221" s="15" t="s">
        <v>179</v>
      </c>
      <c r="D221" s="15" t="s">
        <v>432</v>
      </c>
      <c r="E221" s="16" t="n">
        <v>5</v>
      </c>
      <c r="F221" s="15" t="s">
        <v>419</v>
      </c>
      <c r="G221" s="8" t="n">
        <v>9</v>
      </c>
      <c r="H221" s="15" t="s">
        <v>770</v>
      </c>
      <c r="I221" s="15" t="s">
        <v>678</v>
      </c>
      <c r="J221" s="15" t="s">
        <v>679</v>
      </c>
      <c r="K221" s="8" t="n">
        <v>1</v>
      </c>
      <c r="L221" s="8" t="n">
        <v>85</v>
      </c>
      <c r="M221" s="8" t="n">
        <v>4</v>
      </c>
      <c r="N221" s="8" t="n">
        <v>15</v>
      </c>
      <c r="O221" s="8" t="n">
        <v>6</v>
      </c>
      <c r="P221" s="9" t="n">
        <v>13.9133344455592</v>
      </c>
      <c r="Q221" s="10" t="n">
        <v>0.0718734968898252</v>
      </c>
      <c r="R221" s="9" t="n">
        <v>11</v>
      </c>
      <c r="S221" s="12" t="n">
        <f aca="false">IF(AND(ISNUMBER(R221),R221&gt;1,P221&gt;0),R221/P221-1,"")</f>
        <v>-0.209391534211922</v>
      </c>
      <c r="T221" s="9" t="n">
        <f aca="false">IF(AND(ISNUMBER(P221),P221&gt;0),P221*EXP('Read me'!$B$22),"")</f>
        <v>16.9937850670109</v>
      </c>
    </row>
    <row r="222" customFormat="false" ht="15" hidden="false" customHeight="false" outlineLevel="0" collapsed="false">
      <c r="A222" s="15" t="s">
        <v>178</v>
      </c>
      <c r="B222" s="15" t="s">
        <v>63</v>
      </c>
      <c r="C222" s="15" t="s">
        <v>179</v>
      </c>
      <c r="D222" s="15" t="s">
        <v>432</v>
      </c>
      <c r="E222" s="16" t="n">
        <v>5</v>
      </c>
      <c r="F222" s="15" t="s">
        <v>419</v>
      </c>
      <c r="G222" s="8" t="n">
        <v>9</v>
      </c>
      <c r="H222" s="15" t="s">
        <v>771</v>
      </c>
      <c r="I222" s="15" t="s">
        <v>772</v>
      </c>
      <c r="J222" s="15" t="s">
        <v>127</v>
      </c>
      <c r="K222" s="8" t="n">
        <v>10</v>
      </c>
      <c r="L222" s="8" t="n">
        <v>74</v>
      </c>
      <c r="M222" s="8" t="n">
        <v>12</v>
      </c>
      <c r="N222" s="8" t="n">
        <v>9</v>
      </c>
      <c r="O222" s="8" t="n">
        <v>7</v>
      </c>
      <c r="P222" s="9" t="n">
        <v>20.5201859754337</v>
      </c>
      <c r="Q222" s="10" t="n">
        <v>0.0487325018007721</v>
      </c>
      <c r="R222" s="9" t="n">
        <v>21</v>
      </c>
      <c r="S222" s="12" t="n">
        <f aca="false">IF(AND(ISNUMBER(R222),R222&gt;1,P222&gt;0),R222/P222-1,"")</f>
        <v>0.0233825378162154</v>
      </c>
      <c r="T222" s="9" t="n">
        <f aca="false">IF(AND(ISNUMBER(P222),P222&gt;0),P222*EXP('Read me'!$B$22),"")</f>
        <v>25.0634117483543</v>
      </c>
    </row>
    <row r="223" customFormat="false" ht="15" hidden="false" customHeight="false" outlineLevel="0" collapsed="false">
      <c r="A223" s="15" t="s">
        <v>178</v>
      </c>
      <c r="B223" s="15" t="s">
        <v>63</v>
      </c>
      <c r="C223" s="15" t="s">
        <v>179</v>
      </c>
      <c r="D223" s="15" t="s">
        <v>432</v>
      </c>
      <c r="E223" s="16" t="n">
        <v>5</v>
      </c>
      <c r="F223" s="15" t="s">
        <v>419</v>
      </c>
      <c r="G223" s="8" t="n">
        <v>9</v>
      </c>
      <c r="H223" s="15" t="s">
        <v>773</v>
      </c>
      <c r="I223" s="15" t="s">
        <v>508</v>
      </c>
      <c r="J223" s="15" t="s">
        <v>509</v>
      </c>
      <c r="K223" s="8" t="n">
        <v>9</v>
      </c>
      <c r="L223" s="8" t="n">
        <v>81</v>
      </c>
      <c r="M223" s="8" t="n">
        <v>6</v>
      </c>
      <c r="N223" s="8" t="n">
        <v>15</v>
      </c>
      <c r="O223" s="8" t="n">
        <v>8</v>
      </c>
      <c r="P223" s="9" t="n">
        <v>21.2679146563913</v>
      </c>
      <c r="Q223" s="10" t="n">
        <v>0.0470191843514608</v>
      </c>
      <c r="R223" s="9" t="n">
        <v>23</v>
      </c>
      <c r="S223" s="12" t="n">
        <f aca="false">IF(AND(ISNUMBER(R223),R223&gt;1,P223&gt;0),R223/P223-1,"")</f>
        <v>0.0814412400836</v>
      </c>
      <c r="T223" s="9" t="n">
        <f aca="false">IF(AND(ISNUMBER(P223),P223&gt;0),P223*EXP('Read me'!$B$22),"")</f>
        <v>25.9766896216315</v>
      </c>
    </row>
    <row r="224" customFormat="false" ht="15" hidden="false" customHeight="false" outlineLevel="0" collapsed="false">
      <c r="A224" s="15" t="s">
        <v>178</v>
      </c>
      <c r="B224" s="15" t="s">
        <v>63</v>
      </c>
      <c r="C224" s="15" t="s">
        <v>179</v>
      </c>
      <c r="D224" s="15" t="s">
        <v>432</v>
      </c>
      <c r="E224" s="16" t="n">
        <v>5</v>
      </c>
      <c r="F224" s="15" t="s">
        <v>419</v>
      </c>
      <c r="G224" s="8" t="n">
        <v>9</v>
      </c>
      <c r="H224" s="15" t="s">
        <v>774</v>
      </c>
      <c r="I224" s="15" t="s">
        <v>683</v>
      </c>
      <c r="J224" s="15" t="s">
        <v>775</v>
      </c>
      <c r="K224" s="8" t="n">
        <v>3</v>
      </c>
      <c r="L224" s="8" t="n">
        <v>92</v>
      </c>
      <c r="M224" s="8" t="n">
        <v>5</v>
      </c>
      <c r="N224" s="8" t="n">
        <v>51</v>
      </c>
      <c r="O224" s="8" t="n">
        <v>9</v>
      </c>
      <c r="P224" s="9" t="n">
        <v>95.4596478642072</v>
      </c>
      <c r="Q224" s="10" t="n">
        <v>0.0104756305137697</v>
      </c>
      <c r="R224" s="9" t="n">
        <v>67</v>
      </c>
      <c r="S224" s="12" t="n">
        <f aca="false">IF(AND(ISNUMBER(R224),R224&gt;1,P224&gt;0),R224/P224-1,"")</f>
        <v>-0.29813275557743</v>
      </c>
      <c r="T224" s="9" t="n">
        <f aca="false">IF(AND(ISNUMBER(P224),P224&gt;0),P224*EXP('Read me'!$B$22),"")</f>
        <v>116.594677194341</v>
      </c>
    </row>
    <row r="225" customFormat="false" ht="15" hidden="false" customHeight="false" outlineLevel="0" collapsed="false">
      <c r="A225" s="15" t="s">
        <v>184</v>
      </c>
      <c r="B225" s="15" t="s">
        <v>70</v>
      </c>
      <c r="C225" s="15" t="s">
        <v>185</v>
      </c>
      <c r="D225" s="15" t="s">
        <v>456</v>
      </c>
      <c r="E225" s="16" t="n">
        <v>22</v>
      </c>
      <c r="F225" s="15" t="s">
        <v>357</v>
      </c>
      <c r="G225" s="8" t="n">
        <v>4</v>
      </c>
      <c r="H225" s="15" t="s">
        <v>186</v>
      </c>
      <c r="I225" s="15" t="s">
        <v>132</v>
      </c>
      <c r="J225" s="15" t="s">
        <v>187</v>
      </c>
      <c r="K225" s="8" t="n">
        <v>1</v>
      </c>
      <c r="L225" s="8" t="n">
        <v>115</v>
      </c>
      <c r="M225" s="8" t="n">
        <v>6</v>
      </c>
      <c r="N225" s="8" t="n">
        <v>10</v>
      </c>
      <c r="O225" s="8" t="n">
        <v>1</v>
      </c>
      <c r="P225" s="9" t="n">
        <v>3.05873719651781</v>
      </c>
      <c r="Q225" s="10" t="n">
        <v>0.326932304330833</v>
      </c>
      <c r="R225" s="9" t="n">
        <v>3.5</v>
      </c>
      <c r="S225" s="12" t="n">
        <f aca="false">IF(AND(ISNUMBER(R225),R225&gt;1,P225&gt;0),R225/P225-1,"")</f>
        <v>0.144263065157916</v>
      </c>
      <c r="T225" s="9" t="n">
        <f aca="false">IF(AND(ISNUMBER(P225),P225&gt;0),P225*EXP('Read me'!$B$22),"")</f>
        <v>3.73595004831396</v>
      </c>
    </row>
    <row r="226" customFormat="false" ht="15" hidden="false" customHeight="false" outlineLevel="0" collapsed="false">
      <c r="A226" s="15" t="s">
        <v>184</v>
      </c>
      <c r="B226" s="15" t="s">
        <v>70</v>
      </c>
      <c r="C226" s="15" t="s">
        <v>185</v>
      </c>
      <c r="D226" s="15" t="s">
        <v>456</v>
      </c>
      <c r="E226" s="16" t="n">
        <v>22</v>
      </c>
      <c r="F226" s="15" t="s">
        <v>357</v>
      </c>
      <c r="G226" s="8" t="n">
        <v>4</v>
      </c>
      <c r="H226" s="15" t="s">
        <v>188</v>
      </c>
      <c r="I226" s="15" t="s">
        <v>515</v>
      </c>
      <c r="J226" s="15" t="s">
        <v>776</v>
      </c>
      <c r="K226" s="8" t="n">
        <v>2</v>
      </c>
      <c r="L226" s="8" t="n">
        <v>106</v>
      </c>
      <c r="M226" s="8" t="n">
        <v>5</v>
      </c>
      <c r="N226" s="8" t="n">
        <v>159</v>
      </c>
      <c r="O226" s="8" t="n">
        <v>2</v>
      </c>
      <c r="P226" s="9" t="n">
        <v>3.28022058728687</v>
      </c>
      <c r="Q226" s="10" t="n">
        <v>0.304857546433216</v>
      </c>
      <c r="R226" s="9" t="n">
        <v>2.75</v>
      </c>
      <c r="S226" s="12" t="n">
        <f aca="false">IF(AND(ISNUMBER(R226),R226&gt;1,P226&gt;0),R226/P226-1,"")</f>
        <v>-0.161641747308655</v>
      </c>
      <c r="T226" s="9" t="n">
        <f aca="false">IF(AND(ISNUMBER(P226),P226&gt;0),P226*EXP('Read me'!$B$22),"")</f>
        <v>4.00647047268596</v>
      </c>
    </row>
    <row r="227" customFormat="false" ht="15" hidden="false" customHeight="false" outlineLevel="0" collapsed="false">
      <c r="A227" s="15" t="s">
        <v>184</v>
      </c>
      <c r="B227" s="15" t="s">
        <v>70</v>
      </c>
      <c r="C227" s="15" t="s">
        <v>185</v>
      </c>
      <c r="D227" s="15" t="s">
        <v>456</v>
      </c>
      <c r="E227" s="16" t="n">
        <v>22</v>
      </c>
      <c r="F227" s="15" t="s">
        <v>357</v>
      </c>
      <c r="G227" s="8" t="n">
        <v>4</v>
      </c>
      <c r="H227" s="15" t="s">
        <v>777</v>
      </c>
      <c r="I227" s="15" t="s">
        <v>778</v>
      </c>
      <c r="J227" s="15" t="s">
        <v>779</v>
      </c>
      <c r="K227" s="8" t="n">
        <v>4</v>
      </c>
      <c r="L227" s="8" t="n">
        <v>105</v>
      </c>
      <c r="M227" s="8" t="n">
        <v>5</v>
      </c>
      <c r="N227" s="8" t="n">
        <v>39</v>
      </c>
      <c r="O227" s="8" t="n">
        <v>3</v>
      </c>
      <c r="P227" s="9" t="n">
        <v>4.54850463733998</v>
      </c>
      <c r="Q227" s="10" t="n">
        <v>0.219852474545307</v>
      </c>
      <c r="R227" s="9" t="n">
        <v>4</v>
      </c>
      <c r="S227" s="12" t="n">
        <f aca="false">IF(AND(ISNUMBER(R227),R227&gt;1,P227&gt;0),R227/P227-1,"")</f>
        <v>-0.120590101818771</v>
      </c>
      <c r="T227" s="9" t="n">
        <f aca="false">IF(AND(ISNUMBER(P227),P227&gt;0),P227*EXP('Read me'!$B$22),"")</f>
        <v>5.55555610955137</v>
      </c>
    </row>
    <row r="228" customFormat="false" ht="15" hidden="false" customHeight="false" outlineLevel="0" collapsed="false">
      <c r="A228" s="15" t="s">
        <v>184</v>
      </c>
      <c r="B228" s="15" t="s">
        <v>70</v>
      </c>
      <c r="C228" s="15" t="s">
        <v>185</v>
      </c>
      <c r="D228" s="15" t="s">
        <v>456</v>
      </c>
      <c r="E228" s="16" t="n">
        <v>22</v>
      </c>
      <c r="F228" s="15" t="s">
        <v>357</v>
      </c>
      <c r="G228" s="8" t="n">
        <v>4</v>
      </c>
      <c r="H228" s="15" t="s">
        <v>780</v>
      </c>
      <c r="I228" s="15" t="s">
        <v>781</v>
      </c>
      <c r="J228" s="15" t="s">
        <v>782</v>
      </c>
      <c r="K228" s="8" t="n">
        <v>3</v>
      </c>
      <c r="L228" s="8" t="n">
        <v>106</v>
      </c>
      <c r="M228" s="8" t="n">
        <v>6</v>
      </c>
      <c r="N228" s="8" t="n">
        <v>21</v>
      </c>
      <c r="O228" s="8" t="n">
        <v>4</v>
      </c>
      <c r="P228" s="9" t="n">
        <v>6.74046692956876</v>
      </c>
      <c r="Q228" s="10" t="n">
        <v>0.148357674690643</v>
      </c>
      <c r="R228" s="9" t="n">
        <v>5.5</v>
      </c>
      <c r="S228" s="12" t="n">
        <f aca="false">IF(AND(ISNUMBER(R228),R228&gt;1,P228&gt;0),R228/P228-1,"")</f>
        <v>-0.184032789201463</v>
      </c>
      <c r="T228" s="9" t="n">
        <f aca="false">IF(AND(ISNUMBER(P228),P228&gt;0),P228*EXP('Read me'!$B$22),"")</f>
        <v>8.2328248990627</v>
      </c>
    </row>
    <row r="229" customFormat="false" ht="15" hidden="false" customHeight="false" outlineLevel="0" collapsed="false">
      <c r="A229" s="15" t="s">
        <v>189</v>
      </c>
      <c r="B229" s="15" t="s">
        <v>42</v>
      </c>
      <c r="C229" s="15" t="s">
        <v>190</v>
      </c>
      <c r="D229" s="15"/>
      <c r="E229" s="16" t="n">
        <v>11</v>
      </c>
      <c r="F229" s="15" t="s">
        <v>357</v>
      </c>
      <c r="G229" s="8" t="n">
        <v>14</v>
      </c>
      <c r="H229" s="15" t="s">
        <v>191</v>
      </c>
      <c r="I229" s="15" t="s">
        <v>45</v>
      </c>
      <c r="J229" s="15" t="s">
        <v>110</v>
      </c>
      <c r="K229" s="8" t="n">
        <v>13</v>
      </c>
      <c r="L229" s="8" t="n">
        <v>58</v>
      </c>
      <c r="M229" s="8" t="n">
        <v>3</v>
      </c>
      <c r="N229" s="8" t="n">
        <v>24</v>
      </c>
      <c r="O229" s="8" t="n">
        <v>1</v>
      </c>
      <c r="P229" s="9" t="n">
        <v>3.56755407122095</v>
      </c>
      <c r="Q229" s="10" t="n">
        <v>0.280304090712145</v>
      </c>
      <c r="R229" s="9" t="n">
        <v>3.75</v>
      </c>
      <c r="S229" s="12" t="n">
        <f aca="false">IF(AND(ISNUMBER(R229),R229&gt;1,P229&gt;0),R229/P229-1,"")</f>
        <v>0.0511403401705435</v>
      </c>
      <c r="T229" s="9" t="n">
        <f aca="false">IF(AND(ISNUMBER(P229),P229&gt;0),P229*EXP('Read me'!$B$22),"")</f>
        <v>4.35742038247482</v>
      </c>
    </row>
    <row r="230" customFormat="false" ht="15" hidden="false" customHeight="false" outlineLevel="0" collapsed="false">
      <c r="A230" s="15" t="s">
        <v>189</v>
      </c>
      <c r="B230" s="15" t="s">
        <v>42</v>
      </c>
      <c r="C230" s="15" t="s">
        <v>190</v>
      </c>
      <c r="D230" s="15"/>
      <c r="E230" s="16" t="n">
        <v>11</v>
      </c>
      <c r="F230" s="15" t="s">
        <v>357</v>
      </c>
      <c r="G230" s="8" t="n">
        <v>14</v>
      </c>
      <c r="H230" s="15" t="s">
        <v>192</v>
      </c>
      <c r="I230" s="15" t="s">
        <v>362</v>
      </c>
      <c r="J230" s="15" t="s">
        <v>110</v>
      </c>
      <c r="K230" s="8" t="n">
        <v>9</v>
      </c>
      <c r="L230" s="8" t="n">
        <v>55</v>
      </c>
      <c r="M230" s="8" t="n">
        <v>3</v>
      </c>
      <c r="N230" s="8" t="n">
        <v>3</v>
      </c>
      <c r="O230" s="8" t="n">
        <v>2</v>
      </c>
      <c r="P230" s="9" t="n">
        <v>6.92613874147488</v>
      </c>
      <c r="Q230" s="10" t="n">
        <v>0.144380590300889</v>
      </c>
      <c r="R230" s="9" t="n">
        <v>6</v>
      </c>
      <c r="S230" s="12" t="n">
        <f aca="false">IF(AND(ISNUMBER(R230),R230&gt;1,P230&gt;0),R230/P230-1,"")</f>
        <v>-0.133716458194666</v>
      </c>
      <c r="T230" s="9" t="n">
        <f aca="false">IF(AND(ISNUMBER(P230),P230&gt;0),P230*EXP('Read me'!$B$22),"")</f>
        <v>8.45960496223743</v>
      </c>
    </row>
    <row r="231" customFormat="false" ht="15" hidden="false" customHeight="false" outlineLevel="0" collapsed="false">
      <c r="A231" s="15" t="s">
        <v>189</v>
      </c>
      <c r="B231" s="15" t="s">
        <v>42</v>
      </c>
      <c r="C231" s="15" t="s">
        <v>190</v>
      </c>
      <c r="D231" s="15"/>
      <c r="E231" s="16" t="n">
        <v>11</v>
      </c>
      <c r="F231" s="15" t="s">
        <v>357</v>
      </c>
      <c r="G231" s="8" t="n">
        <v>14</v>
      </c>
      <c r="H231" s="15" t="s">
        <v>783</v>
      </c>
      <c r="I231" s="15" t="s">
        <v>450</v>
      </c>
      <c r="J231" s="15" t="s">
        <v>80</v>
      </c>
      <c r="K231" s="8" t="n">
        <v>2</v>
      </c>
      <c r="L231" s="8" t="n">
        <v>51</v>
      </c>
      <c r="M231" s="8" t="n">
        <v>3</v>
      </c>
      <c r="N231" s="8" t="n">
        <v>10</v>
      </c>
      <c r="O231" s="8" t="n">
        <v>3</v>
      </c>
      <c r="P231" s="9" t="n">
        <v>10.3400464369868</v>
      </c>
      <c r="Q231" s="10" t="n">
        <v>0.0967113645082824</v>
      </c>
      <c r="R231" s="9" t="n">
        <v>15</v>
      </c>
      <c r="S231" s="12" t="n">
        <f aca="false">IF(AND(ISNUMBER(R231),R231&gt;1,P231&gt;0),R231/P231-1,"")</f>
        <v>0.450670467624236</v>
      </c>
      <c r="T231" s="9" t="n">
        <f aca="false">IF(AND(ISNUMBER(P231),P231&gt;0),P231*EXP('Read me'!$B$22),"")</f>
        <v>12.62936123764</v>
      </c>
    </row>
    <row r="232" customFormat="false" ht="15" hidden="false" customHeight="false" outlineLevel="0" collapsed="false">
      <c r="A232" s="15" t="s">
        <v>189</v>
      </c>
      <c r="B232" s="15" t="s">
        <v>42</v>
      </c>
      <c r="C232" s="15" t="s">
        <v>190</v>
      </c>
      <c r="D232" s="15"/>
      <c r="E232" s="16" t="n">
        <v>11</v>
      </c>
      <c r="F232" s="15" t="s">
        <v>357</v>
      </c>
      <c r="G232" s="8" t="n">
        <v>14</v>
      </c>
      <c r="H232" s="15" t="s">
        <v>784</v>
      </c>
      <c r="I232" s="15" t="s">
        <v>438</v>
      </c>
      <c r="J232" s="15" t="s">
        <v>785</v>
      </c>
      <c r="K232" s="8" t="n">
        <v>8</v>
      </c>
      <c r="L232" s="8" t="n">
        <v>46</v>
      </c>
      <c r="M232" s="8" t="n">
        <v>6</v>
      </c>
      <c r="N232" s="8" t="n">
        <v>24</v>
      </c>
      <c r="O232" s="8" t="n">
        <v>4</v>
      </c>
      <c r="P232" s="9" t="n">
        <v>11.8106480860453</v>
      </c>
      <c r="Q232" s="10" t="n">
        <v>0.0846693587612296</v>
      </c>
      <c r="R232" s="9" t="n">
        <v>7</v>
      </c>
      <c r="S232" s="12" t="n">
        <f aca="false">IF(AND(ISNUMBER(R232),R232&gt;1,P232&gt;0),R232/P232-1,"")</f>
        <v>-0.407314488671392</v>
      </c>
      <c r="T232" s="9" t="n">
        <f aca="false">IF(AND(ISNUMBER(P232),P232&gt;0),P232*EXP('Read me'!$B$22),"")</f>
        <v>14.4255581479549</v>
      </c>
    </row>
    <row r="233" customFormat="false" ht="15" hidden="false" customHeight="false" outlineLevel="0" collapsed="false">
      <c r="A233" s="15" t="s">
        <v>189</v>
      </c>
      <c r="B233" s="15" t="s">
        <v>42</v>
      </c>
      <c r="C233" s="15" t="s">
        <v>190</v>
      </c>
      <c r="D233" s="15"/>
      <c r="E233" s="16" t="n">
        <v>11</v>
      </c>
      <c r="F233" s="15" t="s">
        <v>357</v>
      </c>
      <c r="G233" s="8" t="n">
        <v>14</v>
      </c>
      <c r="H233" s="15" t="s">
        <v>786</v>
      </c>
      <c r="I233" s="15" t="s">
        <v>619</v>
      </c>
      <c r="J233" s="15" t="s">
        <v>256</v>
      </c>
      <c r="K233" s="8" t="n">
        <v>6</v>
      </c>
      <c r="L233" s="8" t="n">
        <v>54</v>
      </c>
      <c r="M233" s="8" t="n">
        <v>3</v>
      </c>
      <c r="N233" s="8" t="n">
        <v>13</v>
      </c>
      <c r="O233" s="8" t="n">
        <v>5</v>
      </c>
      <c r="P233" s="9" t="n">
        <v>11.8559554138483</v>
      </c>
      <c r="Q233" s="10" t="n">
        <v>0.0843457962765237</v>
      </c>
      <c r="R233" s="9" t="n">
        <v>6</v>
      </c>
      <c r="S233" s="12" t="n">
        <f aca="false">IF(AND(ISNUMBER(R233),R233&gt;1,P233&gt;0),R233/P233-1,"")</f>
        <v>-0.493925222340858</v>
      </c>
      <c r="T233" s="9" t="n">
        <f aca="false">IF(AND(ISNUMBER(P233),P233&gt;0),P233*EXP('Read me'!$B$22),"")</f>
        <v>14.4808966430983</v>
      </c>
    </row>
    <row r="234" customFormat="false" ht="15" hidden="false" customHeight="false" outlineLevel="0" collapsed="false">
      <c r="A234" s="15" t="s">
        <v>189</v>
      </c>
      <c r="B234" s="15" t="s">
        <v>42</v>
      </c>
      <c r="C234" s="15" t="s">
        <v>190</v>
      </c>
      <c r="D234" s="15"/>
      <c r="E234" s="16" t="n">
        <v>11</v>
      </c>
      <c r="F234" s="15" t="s">
        <v>357</v>
      </c>
      <c r="G234" s="8" t="n">
        <v>14</v>
      </c>
      <c r="H234" s="15" t="s">
        <v>787</v>
      </c>
      <c r="I234" s="15" t="s">
        <v>788</v>
      </c>
      <c r="J234" s="15" t="s">
        <v>789</v>
      </c>
      <c r="K234" s="8" t="n">
        <v>7</v>
      </c>
      <c r="L234" s="8" t="n">
        <v>58</v>
      </c>
      <c r="M234" s="8" t="n">
        <v>5</v>
      </c>
      <c r="N234" s="8" t="n">
        <v>24</v>
      </c>
      <c r="O234" s="8" t="n">
        <v>6</v>
      </c>
      <c r="P234" s="9" t="n">
        <v>13.3280514552994</v>
      </c>
      <c r="Q234" s="10" t="n">
        <v>0.075029722338173</v>
      </c>
      <c r="R234" s="9" t="n">
        <v>7</v>
      </c>
      <c r="S234" s="12" t="n">
        <f aca="false">IF(AND(ISNUMBER(R234),R234&gt;1,P234&gt;0),R234/P234-1,"")</f>
        <v>-0.474791943632788</v>
      </c>
      <c r="T234" s="9" t="n">
        <f aca="false">IF(AND(ISNUMBER(P234),P234&gt;0),P234*EXP('Read me'!$B$22),"")</f>
        <v>16.2789188084034</v>
      </c>
    </row>
    <row r="235" customFormat="false" ht="15" hidden="false" customHeight="false" outlineLevel="0" collapsed="false">
      <c r="A235" s="15" t="s">
        <v>189</v>
      </c>
      <c r="B235" s="15" t="s">
        <v>42</v>
      </c>
      <c r="C235" s="15" t="s">
        <v>190</v>
      </c>
      <c r="D235" s="15"/>
      <c r="E235" s="16" t="n">
        <v>11</v>
      </c>
      <c r="F235" s="15" t="s">
        <v>357</v>
      </c>
      <c r="G235" s="8" t="n">
        <v>14</v>
      </c>
      <c r="H235" s="15" t="s">
        <v>790</v>
      </c>
      <c r="I235" s="15" t="s">
        <v>714</v>
      </c>
      <c r="J235" s="15" t="s">
        <v>791</v>
      </c>
      <c r="K235" s="8" t="n">
        <v>10</v>
      </c>
      <c r="L235" s="8" t="n">
        <v>44</v>
      </c>
      <c r="M235" s="8" t="n">
        <v>4</v>
      </c>
      <c r="N235" s="8" t="n">
        <v>26</v>
      </c>
      <c r="O235" s="8" t="n">
        <v>7</v>
      </c>
      <c r="P235" s="9" t="n">
        <v>19.3965391585982</v>
      </c>
      <c r="Q235" s="10" t="n">
        <v>0.0515555889544715</v>
      </c>
      <c r="R235" s="9" t="n">
        <v>12</v>
      </c>
      <c r="S235" s="12" t="n">
        <f aca="false">IF(AND(ISNUMBER(R235),R235&gt;1,P235&gt;0),R235/P235-1,"")</f>
        <v>-0.381332932546341</v>
      </c>
      <c r="T235" s="9" t="n">
        <f aca="false">IF(AND(ISNUMBER(P235),P235&gt;0),P235*EXP('Read me'!$B$22),"")</f>
        <v>23.6909864270736</v>
      </c>
    </row>
    <row r="236" customFormat="false" ht="15" hidden="false" customHeight="false" outlineLevel="0" collapsed="false">
      <c r="A236" s="15" t="s">
        <v>189</v>
      </c>
      <c r="B236" s="15" t="s">
        <v>42</v>
      </c>
      <c r="C236" s="15" t="s">
        <v>190</v>
      </c>
      <c r="D236" s="15"/>
      <c r="E236" s="16" t="n">
        <v>11</v>
      </c>
      <c r="F236" s="15" t="s">
        <v>357</v>
      </c>
      <c r="G236" s="8" t="n">
        <v>14</v>
      </c>
      <c r="H236" s="15" t="s">
        <v>792</v>
      </c>
      <c r="I236" s="15" t="s">
        <v>793</v>
      </c>
      <c r="J236" s="15" t="s">
        <v>794</v>
      </c>
      <c r="K236" s="8" t="n">
        <v>3</v>
      </c>
      <c r="L236" s="8" t="n">
        <v>37</v>
      </c>
      <c r="M236" s="8" t="n">
        <v>6</v>
      </c>
      <c r="N236" s="8" t="n">
        <v>13</v>
      </c>
      <c r="O236" s="8" t="n">
        <v>8</v>
      </c>
      <c r="P236" s="9" t="n">
        <v>19.9541502468454</v>
      </c>
      <c r="Q236" s="10" t="n">
        <v>0.0501148877616621</v>
      </c>
      <c r="R236" s="9" t="n">
        <v>12</v>
      </c>
      <c r="S236" s="12" t="n">
        <f aca="false">IF(AND(ISNUMBER(R236),R236&gt;1,P236&gt;0),R236/P236-1,"")</f>
        <v>-0.398621346860054</v>
      </c>
      <c r="T236" s="9" t="n">
        <f aca="false">IF(AND(ISNUMBER(P236),P236&gt;0),P236*EXP('Read me'!$B$22),"")</f>
        <v>24.3720541482394</v>
      </c>
    </row>
    <row r="237" customFormat="false" ht="15" hidden="false" customHeight="false" outlineLevel="0" collapsed="false">
      <c r="A237" s="15" t="s">
        <v>189</v>
      </c>
      <c r="B237" s="15" t="s">
        <v>42</v>
      </c>
      <c r="C237" s="15" t="s">
        <v>190</v>
      </c>
      <c r="D237" s="15"/>
      <c r="E237" s="16" t="n">
        <v>11</v>
      </c>
      <c r="F237" s="15" t="s">
        <v>357</v>
      </c>
      <c r="G237" s="8" t="n">
        <v>14</v>
      </c>
      <c r="H237" s="15" t="s">
        <v>795</v>
      </c>
      <c r="I237" s="15" t="s">
        <v>796</v>
      </c>
      <c r="J237" s="15" t="s">
        <v>797</v>
      </c>
      <c r="K237" s="8" t="n">
        <v>11</v>
      </c>
      <c r="L237" s="8" t="n">
        <v>38</v>
      </c>
      <c r="M237" s="8" t="n">
        <v>4</v>
      </c>
      <c r="N237" s="8" t="n">
        <v>20</v>
      </c>
      <c r="O237" s="8" t="n">
        <v>9</v>
      </c>
      <c r="P237" s="9" t="n">
        <v>26.7166016725295</v>
      </c>
      <c r="Q237" s="10" t="n">
        <v>0.0374299101456536</v>
      </c>
      <c r="R237" s="9" t="n">
        <v>15</v>
      </c>
      <c r="S237" s="12" t="n">
        <f aca="false">IF(AND(ISNUMBER(R237),R237&gt;1,P237&gt;0),R237/P237-1,"")</f>
        <v>-0.438551347815195</v>
      </c>
      <c r="T237" s="9" t="n">
        <f aca="false">IF(AND(ISNUMBER(P237),P237&gt;0),P237*EXP('Read me'!$B$22),"")</f>
        <v>32.6317309714942</v>
      </c>
    </row>
    <row r="238" customFormat="false" ht="15" hidden="false" customHeight="false" outlineLevel="0" collapsed="false">
      <c r="A238" s="15" t="s">
        <v>189</v>
      </c>
      <c r="B238" s="15" t="s">
        <v>42</v>
      </c>
      <c r="C238" s="15" t="s">
        <v>190</v>
      </c>
      <c r="D238" s="15"/>
      <c r="E238" s="16" t="n">
        <v>11</v>
      </c>
      <c r="F238" s="15" t="s">
        <v>357</v>
      </c>
      <c r="G238" s="8" t="n">
        <v>14</v>
      </c>
      <c r="H238" s="15" t="s">
        <v>798</v>
      </c>
      <c r="I238" s="15" t="s">
        <v>79</v>
      </c>
      <c r="J238" s="15" t="s">
        <v>799</v>
      </c>
      <c r="K238" s="8" t="n">
        <v>12</v>
      </c>
      <c r="L238" s="8" t="n">
        <v>53</v>
      </c>
      <c r="M238" s="8" t="n">
        <v>3</v>
      </c>
      <c r="N238" s="8" t="n">
        <v>283</v>
      </c>
      <c r="O238" s="8" t="n">
        <v>10</v>
      </c>
      <c r="P238" s="9" t="n">
        <v>33.7810646995862</v>
      </c>
      <c r="Q238" s="10" t="n">
        <v>0.0296023825445694</v>
      </c>
      <c r="R238" s="9" t="n">
        <v>41</v>
      </c>
      <c r="S238" s="12" t="n">
        <f aca="false">IF(AND(ISNUMBER(R238),R238&gt;1,P238&gt;0),R238/P238-1,"")</f>
        <v>0.213697684327347</v>
      </c>
      <c r="T238" s="9" t="n">
        <f aca="false">IF(AND(ISNUMBER(P238),P238&gt;0),P238*EXP('Read me'!$B$22),"")</f>
        <v>41.2602855976617</v>
      </c>
    </row>
    <row r="239" customFormat="false" ht="15" hidden="false" customHeight="false" outlineLevel="0" collapsed="false">
      <c r="A239" s="15" t="s">
        <v>189</v>
      </c>
      <c r="B239" s="15" t="s">
        <v>42</v>
      </c>
      <c r="C239" s="15" t="s">
        <v>190</v>
      </c>
      <c r="D239" s="15"/>
      <c r="E239" s="16" t="n">
        <v>11</v>
      </c>
      <c r="F239" s="15" t="s">
        <v>357</v>
      </c>
      <c r="G239" s="8" t="n">
        <v>14</v>
      </c>
      <c r="H239" s="15" t="s">
        <v>800</v>
      </c>
      <c r="I239" s="15" t="s">
        <v>441</v>
      </c>
      <c r="J239" s="15" t="s">
        <v>210</v>
      </c>
      <c r="K239" s="8" t="n">
        <v>4</v>
      </c>
      <c r="L239" s="8" t="n">
        <v>50</v>
      </c>
      <c r="M239" s="8" t="n">
        <v>3</v>
      </c>
      <c r="N239" s="8" t="n">
        <v>28</v>
      </c>
      <c r="O239" s="8" t="n">
        <v>11</v>
      </c>
      <c r="P239" s="9" t="n">
        <v>37.8099444387886</v>
      </c>
      <c r="Q239" s="10" t="n">
        <v>0.0264480684868215</v>
      </c>
      <c r="R239" s="9" t="n">
        <v>34</v>
      </c>
      <c r="S239" s="12" t="n">
        <f aca="false">IF(AND(ISNUMBER(R239),R239&gt;1,P239&gt;0),R239/P239-1,"")</f>
        <v>-0.100765671448067</v>
      </c>
      <c r="T239" s="9" t="n">
        <f aca="false">IF(AND(ISNUMBER(P239),P239&gt;0),P239*EXP('Read me'!$B$22),"")</f>
        <v>46.1811704234192</v>
      </c>
    </row>
    <row r="240" customFormat="false" ht="15" hidden="false" customHeight="false" outlineLevel="0" collapsed="false">
      <c r="A240" s="15" t="s">
        <v>189</v>
      </c>
      <c r="B240" s="15" t="s">
        <v>42</v>
      </c>
      <c r="C240" s="15" t="s">
        <v>190</v>
      </c>
      <c r="D240" s="15"/>
      <c r="E240" s="16" t="n">
        <v>11</v>
      </c>
      <c r="F240" s="15" t="s">
        <v>357</v>
      </c>
      <c r="G240" s="8" t="n">
        <v>14</v>
      </c>
      <c r="H240" s="15" t="s">
        <v>801</v>
      </c>
      <c r="I240" s="15" t="s">
        <v>542</v>
      </c>
      <c r="J240" s="15" t="s">
        <v>723</v>
      </c>
      <c r="K240" s="8" t="n">
        <v>1</v>
      </c>
      <c r="L240" s="8" t="n">
        <v>48</v>
      </c>
      <c r="M240" s="8" t="n">
        <v>3</v>
      </c>
      <c r="N240" s="8" t="n">
        <v>13</v>
      </c>
      <c r="O240" s="8" t="n">
        <v>12</v>
      </c>
      <c r="P240" s="9" t="n">
        <v>59.5420867375112</v>
      </c>
      <c r="Q240" s="10" t="n">
        <v>0.0167948430226917</v>
      </c>
      <c r="R240" s="9" t="n">
        <v>19</v>
      </c>
      <c r="S240" s="12" t="n">
        <f aca="false">IF(AND(ISNUMBER(R240),R240&gt;1,P240&gt;0),R240/P240-1,"")</f>
        <v>-0.680897982568856</v>
      </c>
      <c r="T240" s="9" t="n">
        <f aca="false">IF(AND(ISNUMBER(P240),P240&gt;0),P240*EXP('Read me'!$B$22),"")</f>
        <v>72.7248689678083</v>
      </c>
    </row>
    <row r="241" customFormat="false" ht="15" hidden="false" customHeight="false" outlineLevel="0" collapsed="false">
      <c r="A241" s="15" t="s">
        <v>189</v>
      </c>
      <c r="B241" s="15" t="s">
        <v>42</v>
      </c>
      <c r="C241" s="15" t="s">
        <v>190</v>
      </c>
      <c r="D241" s="15"/>
      <c r="E241" s="16" t="n">
        <v>11</v>
      </c>
      <c r="F241" s="15" t="s">
        <v>357</v>
      </c>
      <c r="G241" s="8" t="n">
        <v>14</v>
      </c>
      <c r="H241" s="15" t="s">
        <v>802</v>
      </c>
      <c r="I241" s="15" t="s">
        <v>448</v>
      </c>
      <c r="J241" s="15" t="s">
        <v>803</v>
      </c>
      <c r="K241" s="8" t="n">
        <v>5</v>
      </c>
      <c r="L241" s="8" t="n">
        <v>34</v>
      </c>
      <c r="M241" s="8" t="n">
        <v>8</v>
      </c>
      <c r="N241" s="8" t="n">
        <v>12</v>
      </c>
      <c r="O241" s="8" t="n">
        <v>13</v>
      </c>
      <c r="P241" s="9" t="n">
        <v>61.510766344167</v>
      </c>
      <c r="Q241" s="10" t="n">
        <v>0.0162573165550363</v>
      </c>
      <c r="R241" s="9" t="n">
        <v>51</v>
      </c>
      <c r="S241" s="12" t="n">
        <f aca="false">IF(AND(ISNUMBER(R241),R241&gt;1,P241&gt;0),R241/P241-1,"")</f>
        <v>-0.170876855693145</v>
      </c>
      <c r="T241" s="9" t="n">
        <f aca="false">IF(AND(ISNUMBER(P241),P241&gt;0),P241*EXP('Read me'!$B$22),"")</f>
        <v>75.1294196693113</v>
      </c>
    </row>
    <row r="242" customFormat="false" ht="15" hidden="false" customHeight="false" outlineLevel="0" collapsed="false">
      <c r="A242" s="15" t="s">
        <v>189</v>
      </c>
      <c r="B242" s="15" t="s">
        <v>42</v>
      </c>
      <c r="C242" s="15" t="s">
        <v>190</v>
      </c>
      <c r="D242" s="15"/>
      <c r="E242" s="16" t="n">
        <v>11</v>
      </c>
      <c r="F242" s="15" t="s">
        <v>357</v>
      </c>
      <c r="G242" s="8" t="n">
        <v>14</v>
      </c>
      <c r="H242" s="15" t="s">
        <v>804</v>
      </c>
      <c r="I242" s="15" t="s">
        <v>255</v>
      </c>
      <c r="J242" s="15" t="s">
        <v>728</v>
      </c>
      <c r="K242" s="8" t="n">
        <v>14</v>
      </c>
      <c r="L242" s="8" t="n">
        <v>40</v>
      </c>
      <c r="M242" s="8" t="n">
        <v>5</v>
      </c>
      <c r="N242" s="8" t="n">
        <v>13</v>
      </c>
      <c r="O242" s="8" t="n">
        <v>14</v>
      </c>
      <c r="P242" s="9" t="n">
        <v>157.329684006624</v>
      </c>
      <c r="Q242" s="10" t="n">
        <v>0.0063560796318506</v>
      </c>
      <c r="R242" s="9" t="n">
        <v>41</v>
      </c>
      <c r="S242" s="12" t="n">
        <f aca="false">IF(AND(ISNUMBER(R242),R242&gt;1,P242&gt;0),R242/P242-1,"")</f>
        <v>-0.739400735094124</v>
      </c>
      <c r="T242" s="9" t="n">
        <f aca="false">IF(AND(ISNUMBER(P242),P242&gt;0),P242*EXP('Read me'!$B$22),"")</f>
        <v>192.162909986159</v>
      </c>
    </row>
    <row r="243" customFormat="false" ht="15" hidden="false" customHeight="false" outlineLevel="0" collapsed="false">
      <c r="A243" s="15" t="s">
        <v>193</v>
      </c>
      <c r="B243" s="15" t="s">
        <v>194</v>
      </c>
      <c r="C243" s="15" t="s">
        <v>195</v>
      </c>
      <c r="D243" s="15" t="s">
        <v>370</v>
      </c>
      <c r="E243" s="16" t="n">
        <v>9.5</v>
      </c>
      <c r="F243" s="15" t="s">
        <v>805</v>
      </c>
      <c r="G243" s="8" t="n">
        <v>10</v>
      </c>
      <c r="H243" s="15" t="s">
        <v>196</v>
      </c>
      <c r="I243" s="15" t="s">
        <v>197</v>
      </c>
      <c r="J243" s="15" t="s">
        <v>198</v>
      </c>
      <c r="K243" s="8" t="n">
        <v>11</v>
      </c>
      <c r="L243" s="8" t="n">
        <v>63</v>
      </c>
      <c r="M243" s="8" t="n">
        <v>5</v>
      </c>
      <c r="N243" s="8" t="n">
        <v>11</v>
      </c>
      <c r="O243" s="8" t="n">
        <v>1</v>
      </c>
      <c r="P243" s="9" t="n">
        <v>3.50760964899785</v>
      </c>
      <c r="Q243" s="10" t="n">
        <v>0.285094437542589</v>
      </c>
      <c r="R243" s="9" t="n">
        <v>3.5</v>
      </c>
      <c r="S243" s="12" t="n">
        <f aca="false">IF(AND(ISNUMBER(R243),R243&gt;1,P243&gt;0),R243/P243-1,"")</f>
        <v>-0.00216946860093747</v>
      </c>
      <c r="T243" s="9" t="n">
        <f aca="false">IF(AND(ISNUMBER(P243),P243&gt;0),P243*EXP('Read me'!$B$22),"")</f>
        <v>4.28420409983519</v>
      </c>
    </row>
    <row r="244" customFormat="false" ht="15" hidden="false" customHeight="false" outlineLevel="0" collapsed="false">
      <c r="A244" s="15" t="s">
        <v>193</v>
      </c>
      <c r="B244" s="15" t="s">
        <v>194</v>
      </c>
      <c r="C244" s="15" t="s">
        <v>195</v>
      </c>
      <c r="D244" s="15" t="s">
        <v>370</v>
      </c>
      <c r="E244" s="16" t="n">
        <v>9.5</v>
      </c>
      <c r="F244" s="15" t="s">
        <v>805</v>
      </c>
      <c r="G244" s="8" t="n">
        <v>10</v>
      </c>
      <c r="H244" s="15" t="s">
        <v>199</v>
      </c>
      <c r="I244" s="15" t="s">
        <v>806</v>
      </c>
      <c r="J244" s="15" t="s">
        <v>807</v>
      </c>
      <c r="K244" s="8" t="n">
        <v>7</v>
      </c>
      <c r="L244" s="8" t="n">
        <v>65</v>
      </c>
      <c r="M244" s="8" t="n">
        <v>5</v>
      </c>
      <c r="N244" s="8" t="n">
        <v>67</v>
      </c>
      <c r="O244" s="8" t="n">
        <v>2</v>
      </c>
      <c r="P244" s="9" t="n">
        <v>6.5228194299544</v>
      </c>
      <c r="Q244" s="10" t="n">
        <v>0.153307938497845</v>
      </c>
      <c r="R244" s="9" t="n">
        <v>6.5</v>
      </c>
      <c r="S244" s="12" t="n">
        <f aca="false">IF(AND(ISNUMBER(R244),R244&gt;1,P244&gt;0),R244/P244-1,"")</f>
        <v>-0.00349839976400534</v>
      </c>
      <c r="T244" s="9" t="n">
        <f aca="false">IF(AND(ISNUMBER(P244),P244&gt;0),P244*EXP('Read me'!$B$22),"")</f>
        <v>7.96698964272705</v>
      </c>
    </row>
    <row r="245" customFormat="false" ht="15" hidden="false" customHeight="false" outlineLevel="0" collapsed="false">
      <c r="A245" s="15" t="s">
        <v>193</v>
      </c>
      <c r="B245" s="15" t="s">
        <v>194</v>
      </c>
      <c r="C245" s="15" t="s">
        <v>195</v>
      </c>
      <c r="D245" s="15" t="s">
        <v>370</v>
      </c>
      <c r="E245" s="16" t="n">
        <v>9.5</v>
      </c>
      <c r="F245" s="15" t="s">
        <v>805</v>
      </c>
      <c r="G245" s="8" t="n">
        <v>10</v>
      </c>
      <c r="H245" s="15" t="s">
        <v>808</v>
      </c>
      <c r="I245" s="15" t="s">
        <v>809</v>
      </c>
      <c r="J245" s="15" t="s">
        <v>810</v>
      </c>
      <c r="K245" s="8" t="n">
        <v>2</v>
      </c>
      <c r="L245" s="8" t="n">
        <v>49</v>
      </c>
      <c r="M245" s="8" t="n">
        <v>4</v>
      </c>
      <c r="N245" s="8" t="n">
        <v>27</v>
      </c>
      <c r="O245" s="8" t="n">
        <v>3</v>
      </c>
      <c r="P245" s="9" t="n">
        <v>7.21975921314815</v>
      </c>
      <c r="Q245" s="10" t="n">
        <v>0.138508774389437</v>
      </c>
      <c r="R245" s="9" t="n">
        <v>5</v>
      </c>
      <c r="S245" s="12" t="n">
        <f aca="false">IF(AND(ISNUMBER(R245),R245&gt;1,P245&gt;0),R245/P245-1,"")</f>
        <v>-0.307456128052813</v>
      </c>
      <c r="T245" s="9" t="n">
        <f aca="false">IF(AND(ISNUMBER(P245),P245&gt;0),P245*EXP('Read me'!$B$22),"")</f>
        <v>8.81823381619145</v>
      </c>
    </row>
    <row r="246" customFormat="false" ht="15" hidden="false" customHeight="false" outlineLevel="0" collapsed="false">
      <c r="A246" s="15" t="s">
        <v>193</v>
      </c>
      <c r="B246" s="15" t="s">
        <v>194</v>
      </c>
      <c r="C246" s="15" t="s">
        <v>195</v>
      </c>
      <c r="D246" s="15" t="s">
        <v>370</v>
      </c>
      <c r="E246" s="16" t="n">
        <v>9.5</v>
      </c>
      <c r="F246" s="15" t="s">
        <v>805</v>
      </c>
      <c r="G246" s="8" t="n">
        <v>10</v>
      </c>
      <c r="H246" s="15" t="s">
        <v>811</v>
      </c>
      <c r="I246" s="15" t="s">
        <v>812</v>
      </c>
      <c r="J246" s="15" t="s">
        <v>813</v>
      </c>
      <c r="K246" s="8" t="n">
        <v>4</v>
      </c>
      <c r="L246" s="8" t="n">
        <v>58</v>
      </c>
      <c r="M246" s="8" t="n">
        <v>5</v>
      </c>
      <c r="N246" s="8" t="n">
        <v>13</v>
      </c>
      <c r="O246" s="8" t="n">
        <v>4</v>
      </c>
      <c r="P246" s="9" t="n">
        <v>8.02072783916039</v>
      </c>
      <c r="Q246" s="10" t="n">
        <v>0.124676964491627</v>
      </c>
      <c r="R246" s="9" t="n">
        <v>5</v>
      </c>
      <c r="S246" s="12" t="n">
        <f aca="false">IF(AND(ISNUMBER(R246),R246&gt;1,P246&gt;0),R246/P246-1,"")</f>
        <v>-0.376615177541867</v>
      </c>
      <c r="T246" s="9" t="n">
        <f aca="false">IF(AND(ISNUMBER(P246),P246&gt;0),P246*EXP('Read me'!$B$22),"")</f>
        <v>9.79653910520255</v>
      </c>
    </row>
    <row r="247" customFormat="false" ht="15" hidden="false" customHeight="false" outlineLevel="0" collapsed="false">
      <c r="A247" s="15" t="s">
        <v>193</v>
      </c>
      <c r="B247" s="15" t="s">
        <v>194</v>
      </c>
      <c r="C247" s="15" t="s">
        <v>195</v>
      </c>
      <c r="D247" s="15" t="s">
        <v>370</v>
      </c>
      <c r="E247" s="16" t="n">
        <v>9.5</v>
      </c>
      <c r="F247" s="15" t="s">
        <v>805</v>
      </c>
      <c r="G247" s="8" t="n">
        <v>10</v>
      </c>
      <c r="H247" s="15" t="s">
        <v>814</v>
      </c>
      <c r="I247" s="15" t="s">
        <v>815</v>
      </c>
      <c r="J247" s="15" t="s">
        <v>816</v>
      </c>
      <c r="K247" s="8" t="n">
        <v>6</v>
      </c>
      <c r="L247" s="8" t="n">
        <v>60</v>
      </c>
      <c r="M247" s="8" t="n">
        <v>6</v>
      </c>
      <c r="N247" s="8" t="n">
        <v>9</v>
      </c>
      <c r="O247" s="8" t="n">
        <v>5</v>
      </c>
      <c r="P247" s="9" t="n">
        <v>9.21397259779363</v>
      </c>
      <c r="Q247" s="10" t="n">
        <v>0.10853081983763</v>
      </c>
      <c r="R247" s="9" t="n">
        <v>7</v>
      </c>
      <c r="S247" s="12" t="n">
        <f aca="false">IF(AND(ISNUMBER(R247),R247&gt;1,P247&gt;0),R247/P247-1,"")</f>
        <v>-0.24028426113659</v>
      </c>
      <c r="T247" s="9" t="n">
        <f aca="false">IF(AND(ISNUMBER(P247),P247&gt;0),P247*EXP('Read me'!$B$22),"")</f>
        <v>11.2539715445574</v>
      </c>
    </row>
    <row r="248" customFormat="false" ht="15" hidden="false" customHeight="false" outlineLevel="0" collapsed="false">
      <c r="A248" s="15" t="s">
        <v>193</v>
      </c>
      <c r="B248" s="15" t="s">
        <v>194</v>
      </c>
      <c r="C248" s="15" t="s">
        <v>195</v>
      </c>
      <c r="D248" s="15" t="s">
        <v>370</v>
      </c>
      <c r="E248" s="16" t="n">
        <v>9.5</v>
      </c>
      <c r="F248" s="15" t="s">
        <v>805</v>
      </c>
      <c r="G248" s="8" t="n">
        <v>10</v>
      </c>
      <c r="H248" s="15" t="s">
        <v>817</v>
      </c>
      <c r="I248" s="15" t="s">
        <v>818</v>
      </c>
      <c r="J248" s="15" t="s">
        <v>198</v>
      </c>
      <c r="K248" s="8" t="n">
        <v>5</v>
      </c>
      <c r="L248" s="8" t="n">
        <v>49</v>
      </c>
      <c r="M248" s="8" t="n">
        <v>9</v>
      </c>
      <c r="N248" s="8" t="n">
        <v>11</v>
      </c>
      <c r="O248" s="8" t="n">
        <v>6</v>
      </c>
      <c r="P248" s="9" t="n">
        <v>16.490466815419</v>
      </c>
      <c r="Q248" s="10" t="n">
        <v>0.0606410971377097</v>
      </c>
      <c r="R248" s="9" t="n">
        <v>13</v>
      </c>
      <c r="S248" s="12" t="n">
        <f aca="false">IF(AND(ISNUMBER(R248),R248&gt;1,P248&gt;0),R248/P248-1,"")</f>
        <v>-0.211665737209773</v>
      </c>
      <c r="T248" s="9" t="n">
        <f aca="false">IF(AND(ISNUMBER(P248),P248&gt;0),P248*EXP('Read me'!$B$22),"")</f>
        <v>20.1415016517015</v>
      </c>
    </row>
    <row r="249" customFormat="false" ht="15" hidden="false" customHeight="false" outlineLevel="0" collapsed="false">
      <c r="A249" s="15" t="s">
        <v>193</v>
      </c>
      <c r="B249" s="15" t="s">
        <v>194</v>
      </c>
      <c r="C249" s="15" t="s">
        <v>195</v>
      </c>
      <c r="D249" s="15" t="s">
        <v>370</v>
      </c>
      <c r="E249" s="16" t="n">
        <v>9.5</v>
      </c>
      <c r="F249" s="15" t="s">
        <v>805</v>
      </c>
      <c r="G249" s="8" t="n">
        <v>10</v>
      </c>
      <c r="H249" s="15" t="s">
        <v>819</v>
      </c>
      <c r="I249" s="15"/>
      <c r="J249" s="15" t="s">
        <v>820</v>
      </c>
      <c r="K249" s="8" t="n">
        <v>1</v>
      </c>
      <c r="L249" s="8" t="n">
        <v>61</v>
      </c>
      <c r="M249" s="8" t="n">
        <v>4</v>
      </c>
      <c r="N249" s="8" t="n">
        <v>72</v>
      </c>
      <c r="O249" s="8" t="n">
        <v>7</v>
      </c>
      <c r="P249" s="9" t="n">
        <v>20.2597662614371</v>
      </c>
      <c r="Q249" s="10" t="n">
        <v>0.0493589110109045</v>
      </c>
      <c r="R249" s="9" t="n">
        <v>19</v>
      </c>
      <c r="S249" s="12" t="n">
        <f aca="false">IF(AND(ISNUMBER(R249),R249&gt;1,P249&gt;0),R249/P249-1,"")</f>
        <v>-0.0621806907928142</v>
      </c>
      <c r="T249" s="9" t="n">
        <f aca="false">IF(AND(ISNUMBER(P249),P249&gt;0),P249*EXP('Read me'!$B$22),"")</f>
        <v>24.7453343913996</v>
      </c>
    </row>
    <row r="250" customFormat="false" ht="15" hidden="false" customHeight="false" outlineLevel="0" collapsed="false">
      <c r="A250" s="15" t="s">
        <v>193</v>
      </c>
      <c r="B250" s="15" t="s">
        <v>194</v>
      </c>
      <c r="C250" s="15" t="s">
        <v>195</v>
      </c>
      <c r="D250" s="15" t="s">
        <v>370</v>
      </c>
      <c r="E250" s="16" t="n">
        <v>9.5</v>
      </c>
      <c r="F250" s="15" t="s">
        <v>805</v>
      </c>
      <c r="G250" s="8" t="n">
        <v>10</v>
      </c>
      <c r="H250" s="15" t="s">
        <v>821</v>
      </c>
      <c r="I250" s="15" t="s">
        <v>822</v>
      </c>
      <c r="J250" s="15" t="s">
        <v>379</v>
      </c>
      <c r="K250" s="8" t="n">
        <v>10</v>
      </c>
      <c r="L250" s="8" t="n">
        <v>58</v>
      </c>
      <c r="M250" s="8" t="n">
        <v>11</v>
      </c>
      <c r="N250" s="8" t="n">
        <v>7</v>
      </c>
      <c r="O250" s="8" t="n">
        <v>8</v>
      </c>
      <c r="P250" s="9" t="n">
        <v>28.407187701993</v>
      </c>
      <c r="Q250" s="10" t="n">
        <v>0.0352023583077124</v>
      </c>
      <c r="R250" s="9" t="n">
        <v>29</v>
      </c>
      <c r="S250" s="12" t="n">
        <f aca="false">IF(AND(ISNUMBER(R250),R250&gt;1,P250&gt;0),R250/P250-1,"")</f>
        <v>0.0208683909236598</v>
      </c>
      <c r="T250" s="9" t="n">
        <f aca="false">IF(AND(ISNUMBER(P250),P250&gt;0),P250*EXP('Read me'!$B$22),"")</f>
        <v>34.6966174107879</v>
      </c>
    </row>
    <row r="251" customFormat="false" ht="15" hidden="false" customHeight="false" outlineLevel="0" collapsed="false">
      <c r="A251" s="15" t="s">
        <v>193</v>
      </c>
      <c r="B251" s="15" t="s">
        <v>194</v>
      </c>
      <c r="C251" s="15" t="s">
        <v>195</v>
      </c>
      <c r="D251" s="15" t="s">
        <v>370</v>
      </c>
      <c r="E251" s="16" t="n">
        <v>9.5</v>
      </c>
      <c r="F251" s="15" t="s">
        <v>805</v>
      </c>
      <c r="G251" s="8" t="n">
        <v>10</v>
      </c>
      <c r="H251" s="15" t="s">
        <v>823</v>
      </c>
      <c r="I251" s="15" t="s">
        <v>824</v>
      </c>
      <c r="J251" s="15" t="s">
        <v>825</v>
      </c>
      <c r="K251" s="8" t="n">
        <v>9</v>
      </c>
      <c r="L251" s="8" t="n">
        <v>55</v>
      </c>
      <c r="M251" s="8" t="n">
        <v>9</v>
      </c>
      <c r="N251" s="8" t="n">
        <v>18</v>
      </c>
      <c r="O251" s="8" t="n">
        <v>9</v>
      </c>
      <c r="P251" s="9" t="n">
        <v>31.7367521869077</v>
      </c>
      <c r="Q251" s="10" t="n">
        <v>0.0315092103347779</v>
      </c>
      <c r="R251" s="9" t="n">
        <v>34</v>
      </c>
      <c r="S251" s="12" t="n">
        <f aca="false">IF(AND(ISNUMBER(R251),R251&gt;1,P251&gt;0),R251/P251-1,"")</f>
        <v>0.071313151382451</v>
      </c>
      <c r="T251" s="9" t="n">
        <f aca="false">IF(AND(ISNUMBER(P251),P251&gt;0),P251*EXP('Read me'!$B$22),"")</f>
        <v>38.7633566561349</v>
      </c>
    </row>
    <row r="252" customFormat="false" ht="15" hidden="false" customHeight="false" outlineLevel="0" collapsed="false">
      <c r="A252" s="15" t="s">
        <v>193</v>
      </c>
      <c r="B252" s="15" t="s">
        <v>194</v>
      </c>
      <c r="C252" s="15" t="s">
        <v>195</v>
      </c>
      <c r="D252" s="15" t="s">
        <v>370</v>
      </c>
      <c r="E252" s="16" t="n">
        <v>9.5</v>
      </c>
      <c r="F252" s="15" t="s">
        <v>805</v>
      </c>
      <c r="G252" s="8" t="n">
        <v>10</v>
      </c>
      <c r="H252" s="15" t="s">
        <v>826</v>
      </c>
      <c r="I252" s="15" t="s">
        <v>827</v>
      </c>
      <c r="J252" s="15" t="s">
        <v>828</v>
      </c>
      <c r="K252" s="8" t="n">
        <v>3</v>
      </c>
      <c r="L252" s="8" t="n">
        <v>52</v>
      </c>
      <c r="M252" s="8" t="n">
        <v>6</v>
      </c>
      <c r="N252" s="8" t="n">
        <v>104</v>
      </c>
      <c r="O252" s="8" t="n">
        <v>10</v>
      </c>
      <c r="P252" s="9" t="n">
        <v>75.9330936668022</v>
      </c>
      <c r="Q252" s="10" t="n">
        <v>0.0131694884497666</v>
      </c>
      <c r="R252" s="9" t="n">
        <v>34</v>
      </c>
      <c r="S252" s="12" t="n">
        <f aca="false">IF(AND(ISNUMBER(R252),R252&gt;1,P252&gt;0),R252/P252-1,"")</f>
        <v>-0.552237392707934</v>
      </c>
      <c r="T252" s="9" t="n">
        <f aca="false">IF(AND(ISNUMBER(P252),P252&gt;0),P252*EXP('Read me'!$B$22),"")</f>
        <v>92.7448900402667</v>
      </c>
    </row>
    <row r="253" customFormat="false" ht="15" hidden="false" customHeight="false" outlineLevel="0" collapsed="false">
      <c r="A253" s="15" t="s">
        <v>200</v>
      </c>
      <c r="B253" s="15" t="s">
        <v>49</v>
      </c>
      <c r="C253" s="15" t="s">
        <v>201</v>
      </c>
      <c r="D253" s="15" t="s">
        <v>370</v>
      </c>
      <c r="E253" s="16" t="n">
        <v>7</v>
      </c>
      <c r="F253" s="15" t="s">
        <v>371</v>
      </c>
      <c r="G253" s="8" t="n">
        <v>11</v>
      </c>
      <c r="H253" s="15" t="s">
        <v>202</v>
      </c>
      <c r="I253" s="15" t="s">
        <v>203</v>
      </c>
      <c r="J253" s="15" t="s">
        <v>204</v>
      </c>
      <c r="K253" s="8" t="n">
        <v>5</v>
      </c>
      <c r="L253" s="8" t="n">
        <v>60</v>
      </c>
      <c r="M253" s="8" t="n">
        <v>4</v>
      </c>
      <c r="N253" s="8" t="n">
        <v>29</v>
      </c>
      <c r="O253" s="8" t="n">
        <v>1</v>
      </c>
      <c r="P253" s="9" t="n">
        <v>4.44762115301633</v>
      </c>
      <c r="Q253" s="10" t="n">
        <v>0.224839293994681</v>
      </c>
      <c r="R253" s="9" t="n">
        <v>5</v>
      </c>
      <c r="S253" s="12" t="n">
        <f aca="false">IF(AND(ISNUMBER(R253),R253&gt;1,P253&gt;0),R253/P253-1,"")</f>
        <v>0.124196469973404</v>
      </c>
      <c r="T253" s="9" t="n">
        <f aca="false">IF(AND(ISNUMBER(P253),P253&gt;0),P253*EXP('Read me'!$B$22),"")</f>
        <v>5.43233674354566</v>
      </c>
    </row>
    <row r="254" customFormat="false" ht="15" hidden="false" customHeight="false" outlineLevel="0" collapsed="false">
      <c r="A254" s="15" t="s">
        <v>200</v>
      </c>
      <c r="B254" s="15" t="s">
        <v>49</v>
      </c>
      <c r="C254" s="15" t="s">
        <v>201</v>
      </c>
      <c r="D254" s="15" t="s">
        <v>370</v>
      </c>
      <c r="E254" s="16" t="n">
        <v>7</v>
      </c>
      <c r="F254" s="15" t="s">
        <v>371</v>
      </c>
      <c r="G254" s="8" t="n">
        <v>11</v>
      </c>
      <c r="H254" s="15" t="s">
        <v>205</v>
      </c>
      <c r="I254" s="15" t="s">
        <v>85</v>
      </c>
      <c r="J254" s="15" t="s">
        <v>461</v>
      </c>
      <c r="K254" s="8" t="n">
        <v>1</v>
      </c>
      <c r="L254" s="8" t="n">
        <v>65</v>
      </c>
      <c r="M254" s="8" t="n">
        <v>3</v>
      </c>
      <c r="N254" s="8" t="n">
        <v>16</v>
      </c>
      <c r="O254" s="8" t="n">
        <v>2</v>
      </c>
      <c r="P254" s="9" t="n">
        <v>4.60894616582965</v>
      </c>
      <c r="Q254" s="10" t="n">
        <v>0.216969338330293</v>
      </c>
      <c r="R254" s="9" t="n">
        <v>4</v>
      </c>
      <c r="S254" s="12" t="n">
        <f aca="false">IF(AND(ISNUMBER(R254),R254&gt;1,P254&gt;0),R254/P254-1,"")</f>
        <v>-0.132122646678828</v>
      </c>
      <c r="T254" s="9" t="n">
        <f aca="false">IF(AND(ISNUMBER(P254),P254&gt;0),P254*EXP('Read me'!$B$22),"")</f>
        <v>5.62937955915607</v>
      </c>
    </row>
    <row r="255" customFormat="false" ht="15" hidden="false" customHeight="false" outlineLevel="0" collapsed="false">
      <c r="A255" s="15" t="s">
        <v>200</v>
      </c>
      <c r="B255" s="15" t="s">
        <v>49</v>
      </c>
      <c r="C255" s="15" t="s">
        <v>201</v>
      </c>
      <c r="D255" s="15" t="s">
        <v>370</v>
      </c>
      <c r="E255" s="16" t="n">
        <v>7</v>
      </c>
      <c r="F255" s="15" t="s">
        <v>371</v>
      </c>
      <c r="G255" s="8" t="n">
        <v>11</v>
      </c>
      <c r="H255" s="15" t="s">
        <v>829</v>
      </c>
      <c r="I255" s="15" t="s">
        <v>386</v>
      </c>
      <c r="J255" s="15" t="s">
        <v>632</v>
      </c>
      <c r="K255" s="8" t="n">
        <v>9</v>
      </c>
      <c r="L255" s="8" t="n">
        <v>62</v>
      </c>
      <c r="M255" s="8" t="n">
        <v>3</v>
      </c>
      <c r="N255" s="8" t="n">
        <v>16</v>
      </c>
      <c r="O255" s="8" t="n">
        <v>3</v>
      </c>
      <c r="P255" s="9" t="n">
        <v>9.45863273786449</v>
      </c>
      <c r="Q255" s="10" t="n">
        <v>0.105723525557434</v>
      </c>
      <c r="R255" s="9" t="n">
        <v>10</v>
      </c>
      <c r="S255" s="12" t="n">
        <f aca="false">IF(AND(ISNUMBER(R255),R255&gt;1,P255&gt;0),R255/P255-1,"")</f>
        <v>0.0572352555743414</v>
      </c>
      <c r="T255" s="9" t="n">
        <f aca="false">IF(AND(ISNUMBER(P255),P255&gt;0),P255*EXP('Read me'!$B$22),"")</f>
        <v>11.5528001144518</v>
      </c>
    </row>
    <row r="256" customFormat="false" ht="15" hidden="false" customHeight="false" outlineLevel="0" collapsed="false">
      <c r="A256" s="15" t="s">
        <v>200</v>
      </c>
      <c r="B256" s="15" t="s">
        <v>49</v>
      </c>
      <c r="C256" s="15" t="s">
        <v>201</v>
      </c>
      <c r="D256" s="15" t="s">
        <v>370</v>
      </c>
      <c r="E256" s="16" t="n">
        <v>7</v>
      </c>
      <c r="F256" s="15" t="s">
        <v>371</v>
      </c>
      <c r="G256" s="8" t="n">
        <v>11</v>
      </c>
      <c r="H256" s="15" t="s">
        <v>830</v>
      </c>
      <c r="I256" s="15" t="s">
        <v>831</v>
      </c>
      <c r="J256" s="15" t="s">
        <v>741</v>
      </c>
      <c r="K256" s="8" t="n">
        <v>6</v>
      </c>
      <c r="L256" s="8" t="n">
        <v>54</v>
      </c>
      <c r="M256" s="8" t="n">
        <v>3</v>
      </c>
      <c r="N256" s="8" t="n">
        <v>26</v>
      </c>
      <c r="O256" s="8" t="n">
        <v>4</v>
      </c>
      <c r="P256" s="9" t="n">
        <v>10.6408267042934</v>
      </c>
      <c r="Q256" s="10" t="n">
        <v>0.0939776605511782</v>
      </c>
      <c r="R256" s="9" t="n">
        <v>8</v>
      </c>
      <c r="S256" s="12" t="n">
        <f aca="false">IF(AND(ISNUMBER(R256),R256&gt;1,P256&gt;0),R256/P256-1,"")</f>
        <v>-0.248178715590574</v>
      </c>
      <c r="T256" s="9" t="n">
        <f aca="false">IF(AND(ISNUMBER(P256),P256&gt;0),P256*EXP('Read me'!$B$22),"")</f>
        <v>12.9967350857284</v>
      </c>
    </row>
    <row r="257" customFormat="false" ht="15" hidden="false" customHeight="false" outlineLevel="0" collapsed="false">
      <c r="A257" s="15" t="s">
        <v>200</v>
      </c>
      <c r="B257" s="15" t="s">
        <v>49</v>
      </c>
      <c r="C257" s="15" t="s">
        <v>201</v>
      </c>
      <c r="D257" s="15" t="s">
        <v>370</v>
      </c>
      <c r="E257" s="16" t="n">
        <v>7</v>
      </c>
      <c r="F257" s="15" t="s">
        <v>371</v>
      </c>
      <c r="G257" s="8" t="n">
        <v>11</v>
      </c>
      <c r="H257" s="15" t="s">
        <v>832</v>
      </c>
      <c r="I257" s="15" t="s">
        <v>560</v>
      </c>
      <c r="J257" s="15" t="s">
        <v>198</v>
      </c>
      <c r="K257" s="8" t="n">
        <v>2</v>
      </c>
      <c r="L257" s="8" t="n">
        <v>62</v>
      </c>
      <c r="M257" s="8" t="n">
        <v>3</v>
      </c>
      <c r="N257" s="8" t="n">
        <v>11</v>
      </c>
      <c r="O257" s="8" t="n">
        <v>5</v>
      </c>
      <c r="P257" s="9" t="n">
        <v>10.6636796569233</v>
      </c>
      <c r="Q257" s="10" t="n">
        <v>0.0937762603690701</v>
      </c>
      <c r="R257" s="9" t="n">
        <v>7.5</v>
      </c>
      <c r="S257" s="12" t="n">
        <f aca="false">IF(AND(ISNUMBER(R257),R257&gt;1,P257&gt;0),R257/P257-1,"")</f>
        <v>-0.296678047231974</v>
      </c>
      <c r="T257" s="9" t="n">
        <f aca="false">IF(AND(ISNUMBER(P257),P257&gt;0),P257*EXP('Read me'!$B$22),"")</f>
        <v>13.0246477451027</v>
      </c>
    </row>
    <row r="258" customFormat="false" ht="15" hidden="false" customHeight="false" outlineLevel="0" collapsed="false">
      <c r="A258" s="15" t="s">
        <v>200</v>
      </c>
      <c r="B258" s="15" t="s">
        <v>49</v>
      </c>
      <c r="C258" s="15" t="s">
        <v>201</v>
      </c>
      <c r="D258" s="15" t="s">
        <v>370</v>
      </c>
      <c r="E258" s="16" t="n">
        <v>7</v>
      </c>
      <c r="F258" s="15" t="s">
        <v>371</v>
      </c>
      <c r="G258" s="8" t="n">
        <v>11</v>
      </c>
      <c r="H258" s="15" t="s">
        <v>833</v>
      </c>
      <c r="I258" s="15" t="s">
        <v>544</v>
      </c>
      <c r="J258" s="15" t="s">
        <v>834</v>
      </c>
      <c r="K258" s="8" t="n">
        <v>4</v>
      </c>
      <c r="L258" s="8" t="n">
        <v>54</v>
      </c>
      <c r="M258" s="8" t="n">
        <v>5</v>
      </c>
      <c r="N258" s="8" t="n">
        <v>27</v>
      </c>
      <c r="O258" s="8" t="n">
        <v>6</v>
      </c>
      <c r="P258" s="9" t="n">
        <v>11.2694760117667</v>
      </c>
      <c r="Q258" s="10" t="n">
        <v>0.0887352702961411</v>
      </c>
      <c r="R258" s="9" t="n">
        <v>7</v>
      </c>
      <c r="S258" s="12" t="n">
        <f aca="false">IF(AND(ISNUMBER(R258),R258&gt;1,P258&gt;0),R258/P258-1,"")</f>
        <v>-0.378853107927012</v>
      </c>
      <c r="T258" s="9" t="n">
        <f aca="false">IF(AND(ISNUMBER(P258),P258&gt;0),P258*EXP('Read me'!$B$22),"")</f>
        <v>13.7645690837918</v>
      </c>
    </row>
    <row r="259" customFormat="false" ht="15" hidden="false" customHeight="false" outlineLevel="0" collapsed="false">
      <c r="A259" s="15" t="s">
        <v>200</v>
      </c>
      <c r="B259" s="15" t="s">
        <v>49</v>
      </c>
      <c r="C259" s="15" t="s">
        <v>201</v>
      </c>
      <c r="D259" s="15" t="s">
        <v>370</v>
      </c>
      <c r="E259" s="16" t="n">
        <v>7</v>
      </c>
      <c r="F259" s="15" t="s">
        <v>371</v>
      </c>
      <c r="G259" s="8" t="n">
        <v>11</v>
      </c>
      <c r="H259" s="15" t="s">
        <v>835</v>
      </c>
      <c r="I259" s="15" t="s">
        <v>550</v>
      </c>
      <c r="J259" s="15" t="s">
        <v>836</v>
      </c>
      <c r="K259" s="8" t="n">
        <v>11</v>
      </c>
      <c r="L259" s="8" t="n">
        <v>64</v>
      </c>
      <c r="M259" s="8" t="n">
        <v>8</v>
      </c>
      <c r="N259" s="8" t="n">
        <v>11</v>
      </c>
      <c r="O259" s="8" t="n">
        <v>7</v>
      </c>
      <c r="P259" s="9" t="n">
        <v>15.4361598384384</v>
      </c>
      <c r="Q259" s="10" t="n">
        <v>0.064782951878345</v>
      </c>
      <c r="R259" s="9" t="n">
        <v>10</v>
      </c>
      <c r="S259" s="12" t="n">
        <f aca="false">IF(AND(ISNUMBER(R259),R259&gt;1,P259&gt;0),R259/P259-1,"")</f>
        <v>-0.35217048121655</v>
      </c>
      <c r="T259" s="9" t="n">
        <f aca="false">IF(AND(ISNUMBER(P259),P259&gt;0),P259*EXP('Read me'!$B$22),"")</f>
        <v>18.85376820207</v>
      </c>
    </row>
    <row r="260" customFormat="false" ht="15" hidden="false" customHeight="false" outlineLevel="0" collapsed="false">
      <c r="A260" s="15" t="s">
        <v>200</v>
      </c>
      <c r="B260" s="15" t="s">
        <v>49</v>
      </c>
      <c r="C260" s="15" t="s">
        <v>201</v>
      </c>
      <c r="D260" s="15" t="s">
        <v>370</v>
      </c>
      <c r="E260" s="16" t="n">
        <v>7</v>
      </c>
      <c r="F260" s="15" t="s">
        <v>371</v>
      </c>
      <c r="G260" s="8" t="n">
        <v>11</v>
      </c>
      <c r="H260" s="15" t="s">
        <v>837</v>
      </c>
      <c r="I260" s="15" t="s">
        <v>838</v>
      </c>
      <c r="J260" s="15" t="s">
        <v>839</v>
      </c>
      <c r="K260" s="8" t="n">
        <v>3</v>
      </c>
      <c r="L260" s="8" t="n">
        <v>62</v>
      </c>
      <c r="M260" s="8" t="n">
        <v>5</v>
      </c>
      <c r="N260" s="8" t="n">
        <v>15</v>
      </c>
      <c r="O260" s="8" t="n">
        <v>8</v>
      </c>
      <c r="P260" s="9" t="n">
        <v>24.6988423768843</v>
      </c>
      <c r="Q260" s="10" t="n">
        <v>0.0404877275113065</v>
      </c>
      <c r="R260" s="9" t="n">
        <v>23</v>
      </c>
      <c r="S260" s="12" t="n">
        <f aca="false">IF(AND(ISNUMBER(R260),R260&gt;1,P260&gt;0),R260/P260-1,"")</f>
        <v>-0.0687822672399503</v>
      </c>
      <c r="T260" s="9" t="n">
        <f aca="false">IF(AND(ISNUMBER(P260),P260&gt;0),P260*EXP('Read me'!$B$22),"")</f>
        <v>30.1672342024897</v>
      </c>
    </row>
    <row r="261" customFormat="false" ht="15" hidden="false" customHeight="false" outlineLevel="0" collapsed="false">
      <c r="A261" s="15" t="s">
        <v>200</v>
      </c>
      <c r="B261" s="15" t="s">
        <v>49</v>
      </c>
      <c r="C261" s="15" t="s">
        <v>201</v>
      </c>
      <c r="D261" s="15" t="s">
        <v>370</v>
      </c>
      <c r="E261" s="16" t="n">
        <v>7</v>
      </c>
      <c r="F261" s="15" t="s">
        <v>371</v>
      </c>
      <c r="G261" s="8" t="n">
        <v>11</v>
      </c>
      <c r="H261" s="15" t="s">
        <v>840</v>
      </c>
      <c r="I261" s="15" t="s">
        <v>547</v>
      </c>
      <c r="J261" s="15" t="s">
        <v>684</v>
      </c>
      <c r="K261" s="8" t="n">
        <v>7</v>
      </c>
      <c r="L261" s="8" t="n">
        <v>56</v>
      </c>
      <c r="M261" s="8" t="n">
        <v>3</v>
      </c>
      <c r="N261" s="8" t="n">
        <v>39</v>
      </c>
      <c r="O261" s="8" t="n">
        <v>9</v>
      </c>
      <c r="P261" s="9" t="n">
        <v>29.263334079361</v>
      </c>
      <c r="Q261" s="10" t="n">
        <v>0.0341724561284794</v>
      </c>
      <c r="R261" s="9" t="n">
        <v>19</v>
      </c>
      <c r="S261" s="12" t="n">
        <f aca="false">IF(AND(ISNUMBER(R261),R261&gt;1,P261&gt;0),R261/P261-1,"")</f>
        <v>-0.350723333558891</v>
      </c>
      <c r="T261" s="9" t="n">
        <f aca="false">IF(AND(ISNUMBER(P261),P261&gt;0),P261*EXP('Read me'!$B$22),"")</f>
        <v>35.742316957494</v>
      </c>
    </row>
    <row r="262" customFormat="false" ht="15" hidden="false" customHeight="false" outlineLevel="0" collapsed="false">
      <c r="A262" s="15" t="s">
        <v>200</v>
      </c>
      <c r="B262" s="15" t="s">
        <v>49</v>
      </c>
      <c r="C262" s="15" t="s">
        <v>201</v>
      </c>
      <c r="D262" s="15" t="s">
        <v>370</v>
      </c>
      <c r="E262" s="16" t="n">
        <v>7</v>
      </c>
      <c r="F262" s="15" t="s">
        <v>371</v>
      </c>
      <c r="G262" s="8" t="n">
        <v>11</v>
      </c>
      <c r="H262" s="15" t="s">
        <v>841</v>
      </c>
      <c r="I262" s="15" t="s">
        <v>52</v>
      </c>
      <c r="J262" s="15" t="s">
        <v>736</v>
      </c>
      <c r="K262" s="8" t="n">
        <v>10</v>
      </c>
      <c r="L262" s="8" t="n">
        <v>65</v>
      </c>
      <c r="M262" s="8" t="n">
        <v>3</v>
      </c>
      <c r="N262" s="8" t="n">
        <v>25</v>
      </c>
      <c r="O262" s="8" t="n">
        <v>10</v>
      </c>
      <c r="P262" s="9" t="n">
        <v>41.9279573627109</v>
      </c>
      <c r="Q262" s="10" t="n">
        <v>0.0238504344809642</v>
      </c>
      <c r="R262" s="9" t="n">
        <v>34</v>
      </c>
      <c r="S262" s="12" t="n">
        <f aca="false">IF(AND(ISNUMBER(R262),R262&gt;1,P262&gt;0),R262/P262-1,"")</f>
        <v>-0.189085227647214</v>
      </c>
      <c r="T262" s="9" t="n">
        <f aca="false">IF(AND(ISNUMBER(P262),P262&gt;0),P262*EXP('Read me'!$B$22),"")</f>
        <v>51.2109227668371</v>
      </c>
    </row>
    <row r="263" customFormat="false" ht="15" hidden="false" customHeight="false" outlineLevel="0" collapsed="false">
      <c r="A263" s="15" t="s">
        <v>200</v>
      </c>
      <c r="B263" s="15" t="s">
        <v>49</v>
      </c>
      <c r="C263" s="15" t="s">
        <v>201</v>
      </c>
      <c r="D263" s="15" t="s">
        <v>370</v>
      </c>
      <c r="E263" s="16" t="n">
        <v>7</v>
      </c>
      <c r="F263" s="15" t="s">
        <v>371</v>
      </c>
      <c r="G263" s="8" t="n">
        <v>11</v>
      </c>
      <c r="H263" s="15" t="s">
        <v>842</v>
      </c>
      <c r="I263" s="15" t="s">
        <v>383</v>
      </c>
      <c r="J263" s="15" t="s">
        <v>384</v>
      </c>
      <c r="K263" s="8" t="n">
        <v>8</v>
      </c>
      <c r="L263" s="8" t="n">
        <v>53</v>
      </c>
      <c r="M263" s="8" t="n">
        <v>9</v>
      </c>
      <c r="N263" s="8" t="n">
        <v>26</v>
      </c>
      <c r="O263" s="8" t="n">
        <v>11</v>
      </c>
      <c r="P263" s="9" t="n">
        <v>78.8327648611127</v>
      </c>
      <c r="Q263" s="10" t="n">
        <v>0.012685080902107</v>
      </c>
      <c r="R263" s="9" t="n">
        <v>41</v>
      </c>
      <c r="S263" s="12" t="n">
        <f aca="false">IF(AND(ISNUMBER(R263),R263&gt;1,P263&gt;0),R263/P263-1,"")</f>
        <v>-0.479911683013609</v>
      </c>
      <c r="T263" s="9" t="n">
        <f aca="false">IF(AND(ISNUMBER(P263),P263&gt;0),P263*EXP('Read me'!$B$22),"")</f>
        <v>96.2865564347552</v>
      </c>
    </row>
    <row r="264" customFormat="false" ht="15" hidden="false" customHeight="false" outlineLevel="0" collapsed="false">
      <c r="A264" s="15" t="s">
        <v>206</v>
      </c>
      <c r="B264" s="15" t="s">
        <v>56</v>
      </c>
      <c r="C264" s="15" t="s">
        <v>207</v>
      </c>
      <c r="D264" s="15" t="s">
        <v>843</v>
      </c>
      <c r="E264" s="16" t="n">
        <v>16.5</v>
      </c>
      <c r="F264" s="15" t="s">
        <v>844</v>
      </c>
      <c r="G264" s="8" t="n">
        <v>4</v>
      </c>
      <c r="H264" s="15" t="s">
        <v>208</v>
      </c>
      <c r="I264" s="15" t="s">
        <v>209</v>
      </c>
      <c r="J264" s="15" t="s">
        <v>210</v>
      </c>
      <c r="K264" s="8" t="n">
        <v>2</v>
      </c>
      <c r="L264" s="8" t="n">
        <v>133</v>
      </c>
      <c r="M264" s="8" t="n">
        <v>4</v>
      </c>
      <c r="N264" s="8" t="n">
        <v>60</v>
      </c>
      <c r="O264" s="8" t="n">
        <v>1</v>
      </c>
      <c r="P264" s="9" t="n">
        <v>1.86625935497548</v>
      </c>
      <c r="Q264" s="10" t="n">
        <v>0.535831205525632</v>
      </c>
      <c r="R264" s="9" t="n">
        <v>2.5</v>
      </c>
      <c r="S264" s="12" t="n">
        <f aca="false">IF(AND(ISNUMBER(R264),R264&gt;1,P264&gt;0),R264/P264-1,"")</f>
        <v>0.33957801381408</v>
      </c>
      <c r="T264" s="9" t="n">
        <f aca="false">IF(AND(ISNUMBER(P264),P264&gt;0),P264*EXP('Read me'!$B$22),"")</f>
        <v>2.27945432360927</v>
      </c>
    </row>
    <row r="265" customFormat="false" ht="15" hidden="false" customHeight="false" outlineLevel="0" collapsed="false">
      <c r="A265" s="15" t="s">
        <v>206</v>
      </c>
      <c r="B265" s="15" t="s">
        <v>56</v>
      </c>
      <c r="C265" s="15" t="s">
        <v>207</v>
      </c>
      <c r="D265" s="15" t="s">
        <v>843</v>
      </c>
      <c r="E265" s="16" t="n">
        <v>16.5</v>
      </c>
      <c r="F265" s="15" t="s">
        <v>844</v>
      </c>
      <c r="G265" s="8" t="n">
        <v>4</v>
      </c>
      <c r="H265" s="15" t="s">
        <v>211</v>
      </c>
      <c r="I265" s="15" t="s">
        <v>654</v>
      </c>
      <c r="J265" s="15" t="s">
        <v>845</v>
      </c>
      <c r="K265" s="8" t="n">
        <v>4</v>
      </c>
      <c r="L265" s="8" t="n">
        <v>125</v>
      </c>
      <c r="M265" s="8" t="n">
        <v>8</v>
      </c>
      <c r="N265" s="8" t="n">
        <v>31</v>
      </c>
      <c r="O265" s="8" t="n">
        <v>2</v>
      </c>
      <c r="P265" s="9" t="n">
        <v>4.17084581344219</v>
      </c>
      <c r="Q265" s="10" t="n">
        <v>0.239759522343671</v>
      </c>
      <c r="R265" s="9" t="n">
        <v>2.375</v>
      </c>
      <c r="S265" s="12" t="n">
        <f aca="false">IF(AND(ISNUMBER(R265),R265&gt;1,P265&gt;0),R265/P265-1,"")</f>
        <v>-0.430571134433782</v>
      </c>
      <c r="T265" s="9" t="n">
        <f aca="false">IF(AND(ISNUMBER(P265),P265&gt;0),P265*EXP('Read me'!$B$22),"")</f>
        <v>5.09428258039909</v>
      </c>
    </row>
    <row r="266" customFormat="false" ht="15" hidden="false" customHeight="false" outlineLevel="0" collapsed="false">
      <c r="A266" s="15" t="s">
        <v>206</v>
      </c>
      <c r="B266" s="15" t="s">
        <v>56</v>
      </c>
      <c r="C266" s="15" t="s">
        <v>207</v>
      </c>
      <c r="D266" s="15" t="s">
        <v>843</v>
      </c>
      <c r="E266" s="16" t="n">
        <v>16.5</v>
      </c>
      <c r="F266" s="15" t="s">
        <v>844</v>
      </c>
      <c r="G266" s="8" t="n">
        <v>4</v>
      </c>
      <c r="H266" s="15" t="s">
        <v>846</v>
      </c>
      <c r="I266" s="15" t="s">
        <v>574</v>
      </c>
      <c r="J266" s="15" t="s">
        <v>847</v>
      </c>
      <c r="K266" s="8" t="n">
        <v>3</v>
      </c>
      <c r="L266" s="8" t="n">
        <v>112</v>
      </c>
      <c r="M266" s="8" t="n">
        <v>5</v>
      </c>
      <c r="N266" s="8" t="n">
        <v>43</v>
      </c>
      <c r="O266" s="8" t="n">
        <v>3</v>
      </c>
      <c r="P266" s="9" t="n">
        <v>6.4118529113865</v>
      </c>
      <c r="Q266" s="10" t="n">
        <v>0.155961157222454</v>
      </c>
      <c r="R266" s="9" t="n">
        <v>6</v>
      </c>
      <c r="S266" s="12" t="n">
        <f aca="false">IF(AND(ISNUMBER(R266),R266&gt;1,P266&gt;0),R266/P266-1,"")</f>
        <v>-0.0642330566652747</v>
      </c>
      <c r="T266" s="9" t="n">
        <f aca="false">IF(AND(ISNUMBER(P266),P266&gt;0),P266*EXP('Read me'!$B$22),"")</f>
        <v>7.83145483088478</v>
      </c>
    </row>
    <row r="267" customFormat="false" ht="15" hidden="false" customHeight="false" outlineLevel="0" collapsed="false">
      <c r="A267" s="15" t="s">
        <v>206</v>
      </c>
      <c r="B267" s="15" t="s">
        <v>56</v>
      </c>
      <c r="C267" s="15" t="s">
        <v>207</v>
      </c>
      <c r="D267" s="15" t="s">
        <v>843</v>
      </c>
      <c r="E267" s="16" t="n">
        <v>16.5</v>
      </c>
      <c r="F267" s="15" t="s">
        <v>844</v>
      </c>
      <c r="G267" s="8" t="n">
        <v>4</v>
      </c>
      <c r="H267" s="15" t="s">
        <v>848</v>
      </c>
      <c r="I267" s="15" t="s">
        <v>407</v>
      </c>
      <c r="J267" s="15" t="s">
        <v>60</v>
      </c>
      <c r="K267" s="8" t="n">
        <v>5</v>
      </c>
      <c r="L267" s="8" t="n">
        <v>0</v>
      </c>
      <c r="M267" s="8" t="n">
        <v>9</v>
      </c>
      <c r="N267" s="8" t="n">
        <v>43</v>
      </c>
      <c r="O267" s="8" t="n">
        <v>4</v>
      </c>
      <c r="P267" s="9" t="n">
        <v>14.6096061424122</v>
      </c>
      <c r="Q267" s="10" t="n">
        <v>0.0684481149082426</v>
      </c>
      <c r="R267" s="9" t="n">
        <v>8.5</v>
      </c>
      <c r="S267" s="12" t="n">
        <f aca="false">IF(AND(ISNUMBER(R267),R267&gt;1,P267&gt;0),R267/P267-1,"")</f>
        <v>-0.418191023279938</v>
      </c>
      <c r="T267" s="9" t="n">
        <f aca="false">IF(AND(ISNUMBER(P267),P267&gt;0),P267*EXP('Read me'!$B$22),"")</f>
        <v>17.8442132379761</v>
      </c>
    </row>
    <row r="268" customFormat="false" ht="15" hidden="false" customHeight="false" outlineLevel="0" collapsed="false">
      <c r="A268" s="15" t="s">
        <v>212</v>
      </c>
      <c r="B268" s="15" t="s">
        <v>63</v>
      </c>
      <c r="C268" s="15" t="s">
        <v>213</v>
      </c>
      <c r="D268" s="15" t="s">
        <v>418</v>
      </c>
      <c r="E268" s="16" t="n">
        <v>5</v>
      </c>
      <c r="F268" s="15" t="s">
        <v>419</v>
      </c>
      <c r="G268" s="8" t="n">
        <v>8</v>
      </c>
      <c r="H268" s="15" t="s">
        <v>214</v>
      </c>
      <c r="I268" s="15" t="s">
        <v>97</v>
      </c>
      <c r="J268" s="15" t="s">
        <v>215</v>
      </c>
      <c r="K268" s="8" t="n">
        <v>2</v>
      </c>
      <c r="L268" s="8" t="n">
        <v>70</v>
      </c>
      <c r="M268" s="8" t="n">
        <v>7</v>
      </c>
      <c r="N268" s="8" t="n">
        <v>2</v>
      </c>
      <c r="O268" s="8" t="n">
        <v>1</v>
      </c>
      <c r="P268" s="9" t="n">
        <v>5.6681008366391</v>
      </c>
      <c r="Q268" s="10" t="n">
        <v>0.176425936803367</v>
      </c>
      <c r="R268" s="9" t="n">
        <v>3</v>
      </c>
      <c r="S268" s="12" t="n">
        <f aca="false">IF(AND(ISNUMBER(R268),R268&gt;1,P268&gt;0),R268/P268-1,"")</f>
        <v>-0.4707221895899</v>
      </c>
      <c r="T268" s="9" t="n">
        <f aca="false">IF(AND(ISNUMBER(P268),P268&gt;0),P268*EXP('Read me'!$B$22),"")</f>
        <v>6.92303399540097</v>
      </c>
    </row>
    <row r="269" customFormat="false" ht="15" hidden="false" customHeight="false" outlineLevel="0" collapsed="false">
      <c r="A269" s="15" t="s">
        <v>212</v>
      </c>
      <c r="B269" s="15" t="s">
        <v>63</v>
      </c>
      <c r="C269" s="15" t="s">
        <v>213</v>
      </c>
      <c r="D269" s="15" t="s">
        <v>418</v>
      </c>
      <c r="E269" s="16" t="n">
        <v>5</v>
      </c>
      <c r="F269" s="15" t="s">
        <v>419</v>
      </c>
      <c r="G269" s="8" t="n">
        <v>8</v>
      </c>
      <c r="H269" s="15" t="s">
        <v>216</v>
      </c>
      <c r="I269" s="15" t="s">
        <v>249</v>
      </c>
      <c r="J269" s="15" t="s">
        <v>250</v>
      </c>
      <c r="K269" s="8" t="n">
        <v>8</v>
      </c>
      <c r="L269" s="8" t="n">
        <v>70</v>
      </c>
      <c r="M269" s="8" t="n">
        <v>5</v>
      </c>
      <c r="N269" s="8" t="n">
        <v>8</v>
      </c>
      <c r="O269" s="8" t="n">
        <v>2</v>
      </c>
      <c r="P269" s="9" t="n">
        <v>5.84055770271616</v>
      </c>
      <c r="Q269" s="10" t="n">
        <v>0.171216526040818</v>
      </c>
      <c r="R269" s="9" t="n">
        <v>6</v>
      </c>
      <c r="S269" s="12" t="n">
        <f aca="false">IF(AND(ISNUMBER(R269),R269&gt;1,P269&gt;0),R269/P269-1,"")</f>
        <v>0.0272991562449061</v>
      </c>
      <c r="T269" s="9" t="n">
        <f aca="false">IF(AND(ISNUMBER(P269),P269&gt;0),P269*EXP('Read me'!$B$22),"")</f>
        <v>7.13367328729115</v>
      </c>
    </row>
    <row r="270" customFormat="false" ht="15" hidden="false" customHeight="false" outlineLevel="0" collapsed="false">
      <c r="A270" s="15" t="s">
        <v>212</v>
      </c>
      <c r="B270" s="15" t="s">
        <v>63</v>
      </c>
      <c r="C270" s="15" t="s">
        <v>213</v>
      </c>
      <c r="D270" s="15" t="s">
        <v>418</v>
      </c>
      <c r="E270" s="16" t="n">
        <v>5</v>
      </c>
      <c r="F270" s="15" t="s">
        <v>419</v>
      </c>
      <c r="G270" s="8" t="n">
        <v>8</v>
      </c>
      <c r="H270" s="15" t="s">
        <v>849</v>
      </c>
      <c r="I270" s="15" t="s">
        <v>126</v>
      </c>
      <c r="J270" s="15" t="s">
        <v>127</v>
      </c>
      <c r="K270" s="8" t="n">
        <v>1</v>
      </c>
      <c r="L270" s="8" t="n">
        <v>68</v>
      </c>
      <c r="M270" s="8" t="n">
        <v>5</v>
      </c>
      <c r="N270" s="8" t="n">
        <v>11</v>
      </c>
      <c r="O270" s="8" t="n">
        <v>3</v>
      </c>
      <c r="P270" s="9" t="n">
        <v>6.76358477486601</v>
      </c>
      <c r="Q270" s="10" t="n">
        <v>0.147850590077037</v>
      </c>
      <c r="R270" s="9" t="n">
        <v>8.5</v>
      </c>
      <c r="S270" s="12" t="n">
        <f aca="false">IF(AND(ISNUMBER(R270),R270&gt;1,P270&gt;0),R270/P270-1,"")</f>
        <v>0.256730015654812</v>
      </c>
      <c r="T270" s="9" t="n">
        <f aca="false">IF(AND(ISNUMBER(P270),P270&gt;0),P270*EXP('Read me'!$B$22),"")</f>
        <v>8.26106109907147</v>
      </c>
    </row>
    <row r="271" customFormat="false" ht="15" hidden="false" customHeight="false" outlineLevel="0" collapsed="false">
      <c r="A271" s="15" t="s">
        <v>212</v>
      </c>
      <c r="B271" s="15" t="s">
        <v>63</v>
      </c>
      <c r="C271" s="15" t="s">
        <v>213</v>
      </c>
      <c r="D271" s="15" t="s">
        <v>418</v>
      </c>
      <c r="E271" s="16" t="n">
        <v>5</v>
      </c>
      <c r="F271" s="15" t="s">
        <v>419</v>
      </c>
      <c r="G271" s="8" t="n">
        <v>8</v>
      </c>
      <c r="H271" s="15" t="s">
        <v>850</v>
      </c>
      <c r="I271" s="15" t="s">
        <v>505</v>
      </c>
      <c r="J271" s="15" t="s">
        <v>67</v>
      </c>
      <c r="K271" s="8" t="n">
        <v>7</v>
      </c>
      <c r="L271" s="8" t="n">
        <v>58</v>
      </c>
      <c r="M271" s="8" t="n">
        <v>9</v>
      </c>
      <c r="N271" s="8" t="n">
        <v>8</v>
      </c>
      <c r="O271" s="8" t="n">
        <v>4</v>
      </c>
      <c r="P271" s="9" t="n">
        <v>7.79079355407202</v>
      </c>
      <c r="Q271" s="10" t="n">
        <v>0.128356629277813</v>
      </c>
      <c r="R271" s="9" t="n">
        <v>7.5</v>
      </c>
      <c r="S271" s="12" t="n">
        <f aca="false">IF(AND(ISNUMBER(R271),R271&gt;1,P271&gt;0),R271/P271-1,"")</f>
        <v>-0.0373252804163996</v>
      </c>
      <c r="T271" s="9" t="n">
        <f aca="false">IF(AND(ISNUMBER(P271),P271&gt;0),P271*EXP('Read me'!$B$22),"")</f>
        <v>9.51569673520003</v>
      </c>
    </row>
    <row r="272" customFormat="false" ht="15" hidden="false" customHeight="false" outlineLevel="0" collapsed="false">
      <c r="A272" s="15" t="s">
        <v>212</v>
      </c>
      <c r="B272" s="15" t="s">
        <v>63</v>
      </c>
      <c r="C272" s="15" t="s">
        <v>213</v>
      </c>
      <c r="D272" s="15" t="s">
        <v>418</v>
      </c>
      <c r="E272" s="16" t="n">
        <v>5</v>
      </c>
      <c r="F272" s="15" t="s">
        <v>419</v>
      </c>
      <c r="G272" s="8" t="n">
        <v>8</v>
      </c>
      <c r="H272" s="15" t="s">
        <v>851</v>
      </c>
      <c r="I272" s="15" t="s">
        <v>852</v>
      </c>
      <c r="J272" s="15" t="s">
        <v>853</v>
      </c>
      <c r="K272" s="8" t="n">
        <v>3</v>
      </c>
      <c r="L272" s="8" t="n">
        <v>70</v>
      </c>
      <c r="M272" s="8" t="n">
        <v>3</v>
      </c>
      <c r="N272" s="8" t="n">
        <v>11</v>
      </c>
      <c r="O272" s="8" t="n">
        <v>5</v>
      </c>
      <c r="P272" s="9" t="n">
        <v>7.91484293248555</v>
      </c>
      <c r="Q272" s="10" t="n">
        <v>0.126344895095216</v>
      </c>
      <c r="R272" s="9" t="n">
        <v>7</v>
      </c>
      <c r="S272" s="12" t="n">
        <f aca="false">IF(AND(ISNUMBER(R272),R272&gt;1,P272&gt;0),R272/P272-1,"")</f>
        <v>-0.115585734333487</v>
      </c>
      <c r="T272" s="9" t="n">
        <f aca="false">IF(AND(ISNUMBER(P272),P272&gt;0),P272*EXP('Read me'!$B$22),"")</f>
        <v>9.66721098814238</v>
      </c>
    </row>
    <row r="273" customFormat="false" ht="15" hidden="false" customHeight="false" outlineLevel="0" collapsed="false">
      <c r="A273" s="15" t="s">
        <v>212</v>
      </c>
      <c r="B273" s="15" t="s">
        <v>63</v>
      </c>
      <c r="C273" s="15" t="s">
        <v>213</v>
      </c>
      <c r="D273" s="15" t="s">
        <v>418</v>
      </c>
      <c r="E273" s="16" t="n">
        <v>5</v>
      </c>
      <c r="F273" s="15" t="s">
        <v>419</v>
      </c>
      <c r="G273" s="8" t="n">
        <v>8</v>
      </c>
      <c r="H273" s="15" t="s">
        <v>854</v>
      </c>
      <c r="I273" s="15" t="s">
        <v>601</v>
      </c>
      <c r="J273" s="15" t="s">
        <v>602</v>
      </c>
      <c r="K273" s="8" t="n">
        <v>6</v>
      </c>
      <c r="L273" s="8" t="n">
        <v>54</v>
      </c>
      <c r="M273" s="8" t="n">
        <v>3</v>
      </c>
      <c r="N273" s="8" t="n">
        <v>8</v>
      </c>
      <c r="O273" s="8" t="n">
        <v>6</v>
      </c>
      <c r="P273" s="9" t="n">
        <v>9.76437626266871</v>
      </c>
      <c r="Q273" s="10" t="n">
        <v>0.102413095634507</v>
      </c>
      <c r="R273" s="9" t="n">
        <v>8</v>
      </c>
      <c r="S273" s="12" t="n">
        <f aca="false">IF(AND(ISNUMBER(R273),R273&gt;1,P273&gt;0),R273/P273-1,"")</f>
        <v>-0.180695234923944</v>
      </c>
      <c r="T273" s="9" t="n">
        <f aca="false">IF(AND(ISNUMBER(P273),P273&gt;0),P273*EXP('Read me'!$B$22),"")</f>
        <v>11.9262360989373</v>
      </c>
    </row>
    <row r="274" customFormat="false" ht="15" hidden="false" customHeight="false" outlineLevel="0" collapsed="false">
      <c r="A274" s="15" t="s">
        <v>212</v>
      </c>
      <c r="B274" s="15" t="s">
        <v>63</v>
      </c>
      <c r="C274" s="15" t="s">
        <v>213</v>
      </c>
      <c r="D274" s="15" t="s">
        <v>418</v>
      </c>
      <c r="E274" s="16" t="n">
        <v>5</v>
      </c>
      <c r="F274" s="15" t="s">
        <v>419</v>
      </c>
      <c r="G274" s="8" t="n">
        <v>8</v>
      </c>
      <c r="H274" s="15" t="s">
        <v>855</v>
      </c>
      <c r="I274" s="15" t="s">
        <v>856</v>
      </c>
      <c r="J274" s="15" t="s">
        <v>602</v>
      </c>
      <c r="K274" s="8" t="n">
        <v>4</v>
      </c>
      <c r="L274" s="8" t="n">
        <v>51</v>
      </c>
      <c r="M274" s="8" t="n">
        <v>9</v>
      </c>
      <c r="N274" s="8" t="n">
        <v>11</v>
      </c>
      <c r="O274" s="8" t="n">
        <v>7</v>
      </c>
      <c r="P274" s="9" t="n">
        <v>10.871819696217</v>
      </c>
      <c r="Q274" s="10" t="n">
        <v>0.0919809220482165</v>
      </c>
      <c r="R274" s="9" t="n">
        <v>13</v>
      </c>
      <c r="S274" s="12" t="n">
        <f aca="false">IF(AND(ISNUMBER(R274),R274&gt;1,P274&gt;0),R274/P274-1,"")</f>
        <v>0.195751986626815</v>
      </c>
      <c r="T274" s="9" t="n">
        <f aca="false">IF(AND(ISNUMBER(P274),P274&gt;0),P274*EXP('Read me'!$B$22),"")</f>
        <v>13.2788705631795</v>
      </c>
    </row>
    <row r="275" customFormat="false" ht="15" hidden="false" customHeight="false" outlineLevel="0" collapsed="false">
      <c r="A275" s="15" t="s">
        <v>212</v>
      </c>
      <c r="B275" s="15" t="s">
        <v>63</v>
      </c>
      <c r="C275" s="15" t="s">
        <v>213</v>
      </c>
      <c r="D275" s="15" t="s">
        <v>418</v>
      </c>
      <c r="E275" s="16" t="n">
        <v>5</v>
      </c>
      <c r="F275" s="15" t="s">
        <v>419</v>
      </c>
      <c r="G275" s="8" t="n">
        <v>8</v>
      </c>
      <c r="H275" s="15" t="s">
        <v>857</v>
      </c>
      <c r="I275" s="15" t="s">
        <v>508</v>
      </c>
      <c r="J275" s="15" t="s">
        <v>509</v>
      </c>
      <c r="K275" s="8" t="n">
        <v>5</v>
      </c>
      <c r="L275" s="8" t="n">
        <v>58</v>
      </c>
      <c r="M275" s="8" t="n">
        <v>4</v>
      </c>
      <c r="N275" s="8" t="n">
        <v>9</v>
      </c>
      <c r="O275" s="8" t="n">
        <v>8</v>
      </c>
      <c r="P275" s="9" t="n">
        <v>18.0468262731193</v>
      </c>
      <c r="Q275" s="10" t="n">
        <v>0.0554114050230259</v>
      </c>
      <c r="R275" s="9" t="n">
        <v>13</v>
      </c>
      <c r="S275" s="12" t="n">
        <f aca="false">IF(AND(ISNUMBER(R275),R275&gt;1,P275&gt;0),R275/P275-1,"")</f>
        <v>-0.279651734700663</v>
      </c>
      <c r="T275" s="9" t="n">
        <f aca="false">IF(AND(ISNUMBER(P275),P275&gt;0),P275*EXP('Read me'!$B$22),"")</f>
        <v>22.0424433860253</v>
      </c>
    </row>
    <row r="276" customFormat="false" ht="15" hidden="false" customHeight="false" outlineLevel="0" collapsed="false">
      <c r="A276" s="15" t="s">
        <v>217</v>
      </c>
      <c r="B276" s="15" t="s">
        <v>70</v>
      </c>
      <c r="C276" s="15" t="s">
        <v>218</v>
      </c>
      <c r="D276" s="15" t="s">
        <v>418</v>
      </c>
      <c r="E276" s="16" t="n">
        <v>27</v>
      </c>
      <c r="F276" s="15" t="s">
        <v>357</v>
      </c>
      <c r="G276" s="8" t="n">
        <v>7</v>
      </c>
      <c r="H276" s="15" t="s">
        <v>219</v>
      </c>
      <c r="I276" s="15" t="s">
        <v>220</v>
      </c>
      <c r="J276" s="15" t="s">
        <v>221</v>
      </c>
      <c r="K276" s="8" t="n">
        <v>4</v>
      </c>
      <c r="L276" s="8" t="n">
        <v>83</v>
      </c>
      <c r="M276" s="8" t="n">
        <v>7</v>
      </c>
      <c r="N276" s="8" t="n">
        <v>8</v>
      </c>
      <c r="O276" s="8" t="n">
        <v>1</v>
      </c>
      <c r="P276" s="9" t="n">
        <v>2.91883614264486</v>
      </c>
      <c r="Q276" s="10" t="n">
        <v>0.342602308293286</v>
      </c>
      <c r="R276" s="9" t="n">
        <v>3.25</v>
      </c>
      <c r="S276" s="12" t="n">
        <f aca="false">IF(AND(ISNUMBER(R276),R276&gt;1,P276&gt;0),R276/P276-1,"")</f>
        <v>0.113457501953181</v>
      </c>
      <c r="T276" s="9" t="n">
        <f aca="false">IF(AND(ISNUMBER(P276),P276&gt;0),P276*EXP('Read me'!$B$22),"")</f>
        <v>3.56507451524402</v>
      </c>
    </row>
    <row r="277" customFormat="false" ht="15" hidden="false" customHeight="false" outlineLevel="0" collapsed="false">
      <c r="A277" s="15" t="s">
        <v>217</v>
      </c>
      <c r="B277" s="15" t="s">
        <v>70</v>
      </c>
      <c r="C277" s="15" t="s">
        <v>218</v>
      </c>
      <c r="D277" s="15" t="s">
        <v>418</v>
      </c>
      <c r="E277" s="16" t="n">
        <v>27</v>
      </c>
      <c r="F277" s="15" t="s">
        <v>357</v>
      </c>
      <c r="G277" s="8" t="n">
        <v>7</v>
      </c>
      <c r="H277" s="15" t="s">
        <v>222</v>
      </c>
      <c r="I277" s="15" t="s">
        <v>858</v>
      </c>
      <c r="J277" s="15" t="s">
        <v>525</v>
      </c>
      <c r="K277" s="8" t="n">
        <v>2</v>
      </c>
      <c r="L277" s="8" t="n">
        <v>97</v>
      </c>
      <c r="M277" s="8" t="n">
        <v>5</v>
      </c>
      <c r="N277" s="8" t="n">
        <v>24</v>
      </c>
      <c r="O277" s="8" t="n">
        <v>2</v>
      </c>
      <c r="P277" s="9" t="n">
        <v>5.18596911990645</v>
      </c>
      <c r="Q277" s="10" t="n">
        <v>0.192827989692704</v>
      </c>
      <c r="R277" s="9" t="n">
        <v>5</v>
      </c>
      <c r="S277" s="12" t="n">
        <f aca="false">IF(AND(ISNUMBER(R277),R277&gt;1,P277&gt;0),R277/P277-1,"")</f>
        <v>-0.0358600515364823</v>
      </c>
      <c r="T277" s="9" t="n">
        <f aca="false">IF(AND(ISNUMBER(P277),P277&gt;0),P277*EXP('Read me'!$B$22),"")</f>
        <v>6.33415698678721</v>
      </c>
    </row>
    <row r="278" customFormat="false" ht="15" hidden="false" customHeight="false" outlineLevel="0" collapsed="false">
      <c r="A278" s="15" t="s">
        <v>217</v>
      </c>
      <c r="B278" s="15" t="s">
        <v>70</v>
      </c>
      <c r="C278" s="15" t="s">
        <v>218</v>
      </c>
      <c r="D278" s="15" t="s">
        <v>418</v>
      </c>
      <c r="E278" s="16" t="n">
        <v>27</v>
      </c>
      <c r="F278" s="15" t="s">
        <v>357</v>
      </c>
      <c r="G278" s="8" t="n">
        <v>7</v>
      </c>
      <c r="H278" s="15" t="s">
        <v>859</v>
      </c>
      <c r="I278" s="15" t="s">
        <v>860</v>
      </c>
      <c r="J278" s="15" t="s">
        <v>861</v>
      </c>
      <c r="K278" s="8" t="n">
        <v>7</v>
      </c>
      <c r="L278" s="8" t="n">
        <v>84</v>
      </c>
      <c r="M278" s="8" t="n">
        <v>4</v>
      </c>
      <c r="N278" s="8" t="n">
        <v>8</v>
      </c>
      <c r="O278" s="8" t="n">
        <v>3</v>
      </c>
      <c r="P278" s="9" t="n">
        <v>6.19245627520951</v>
      </c>
      <c r="Q278" s="10" t="n">
        <v>0.161486808393519</v>
      </c>
      <c r="R278" s="9" t="n">
        <v>4.5</v>
      </c>
      <c r="S278" s="12" t="n">
        <f aca="false">IF(AND(ISNUMBER(R278),R278&gt;1,P278&gt;0),R278/P278-1,"")</f>
        <v>-0.273309362229167</v>
      </c>
      <c r="T278" s="9" t="n">
        <f aca="false">IF(AND(ISNUMBER(P278),P278&gt;0),P278*EXP('Read me'!$B$22),"")</f>
        <v>7.56348317432715</v>
      </c>
    </row>
    <row r="279" customFormat="false" ht="15" hidden="false" customHeight="false" outlineLevel="0" collapsed="false">
      <c r="A279" s="15" t="s">
        <v>217</v>
      </c>
      <c r="B279" s="15" t="s">
        <v>70</v>
      </c>
      <c r="C279" s="15" t="s">
        <v>218</v>
      </c>
      <c r="D279" s="15" t="s">
        <v>418</v>
      </c>
      <c r="E279" s="16" t="n">
        <v>27</v>
      </c>
      <c r="F279" s="15" t="s">
        <v>357</v>
      </c>
      <c r="G279" s="8" t="n">
        <v>7</v>
      </c>
      <c r="H279" s="15" t="s">
        <v>862</v>
      </c>
      <c r="I279" s="15" t="s">
        <v>863</v>
      </c>
      <c r="J279" s="15" t="s">
        <v>516</v>
      </c>
      <c r="K279" s="8" t="n">
        <v>6</v>
      </c>
      <c r="L279" s="8" t="n">
        <v>79</v>
      </c>
      <c r="M279" s="8" t="n">
        <v>5</v>
      </c>
      <c r="N279" s="8" t="n">
        <v>78</v>
      </c>
      <c r="O279" s="8" t="n">
        <v>4</v>
      </c>
      <c r="P279" s="9" t="n">
        <v>11.0361440068946</v>
      </c>
      <c r="Q279" s="10" t="n">
        <v>0.0906113584033765</v>
      </c>
      <c r="R279" s="9" t="n">
        <v>5.5</v>
      </c>
      <c r="S279" s="12" t="n">
        <f aca="false">IF(AND(ISNUMBER(R279),R279&gt;1,P279&gt;0),R279/P279-1,"")</f>
        <v>-0.501637528781429</v>
      </c>
      <c r="T279" s="9" t="n">
        <f aca="false">IF(AND(ISNUMBER(P279),P279&gt;0),P279*EXP('Read me'!$B$22),"")</f>
        <v>13.4795767294739</v>
      </c>
    </row>
    <row r="280" customFormat="false" ht="15" hidden="false" customHeight="false" outlineLevel="0" collapsed="false">
      <c r="A280" s="15" t="s">
        <v>217</v>
      </c>
      <c r="B280" s="15" t="s">
        <v>70</v>
      </c>
      <c r="C280" s="15" t="s">
        <v>218</v>
      </c>
      <c r="D280" s="15" t="s">
        <v>418</v>
      </c>
      <c r="E280" s="16" t="n">
        <v>27</v>
      </c>
      <c r="F280" s="15" t="s">
        <v>357</v>
      </c>
      <c r="G280" s="8" t="n">
        <v>7</v>
      </c>
      <c r="H280" s="15" t="s">
        <v>864</v>
      </c>
      <c r="I280" s="15" t="s">
        <v>865</v>
      </c>
      <c r="J280" s="15" t="s">
        <v>866</v>
      </c>
      <c r="K280" s="8" t="n">
        <v>1</v>
      </c>
      <c r="L280" s="8" t="n">
        <v>105</v>
      </c>
      <c r="M280" s="8" t="n">
        <v>5</v>
      </c>
      <c r="N280" s="8" t="n">
        <v>55</v>
      </c>
      <c r="O280" s="8" t="n">
        <v>5</v>
      </c>
      <c r="P280" s="9" t="n">
        <v>13.0147775761542</v>
      </c>
      <c r="Q280" s="10" t="n">
        <v>0.0768357349289019</v>
      </c>
      <c r="R280" s="9" t="n">
        <v>17</v>
      </c>
      <c r="S280" s="12" t="n">
        <f aca="false">IF(AND(ISNUMBER(R280),R280&gt;1,P280&gt;0),R280/P280-1,"")</f>
        <v>0.306207493791333</v>
      </c>
      <c r="T280" s="9" t="n">
        <f aca="false">IF(AND(ISNUMBER(P280),P280&gt;0),P280*EXP('Read me'!$B$22),"")</f>
        <v>15.8962852283559</v>
      </c>
    </row>
    <row r="281" customFormat="false" ht="15" hidden="false" customHeight="false" outlineLevel="0" collapsed="false">
      <c r="A281" s="15" t="s">
        <v>217</v>
      </c>
      <c r="B281" s="15" t="s">
        <v>70</v>
      </c>
      <c r="C281" s="15" t="s">
        <v>218</v>
      </c>
      <c r="D281" s="15" t="s">
        <v>418</v>
      </c>
      <c r="E281" s="16" t="n">
        <v>27</v>
      </c>
      <c r="F281" s="15" t="s">
        <v>357</v>
      </c>
      <c r="G281" s="8" t="n">
        <v>7</v>
      </c>
      <c r="H281" s="15" t="s">
        <v>867</v>
      </c>
      <c r="I281" s="15" t="s">
        <v>868</v>
      </c>
      <c r="J281" s="15" t="s">
        <v>133</v>
      </c>
      <c r="K281" s="8" t="n">
        <v>5</v>
      </c>
      <c r="L281" s="8" t="n">
        <v>81</v>
      </c>
      <c r="M281" s="8" t="n">
        <v>7</v>
      </c>
      <c r="N281" s="8" t="n">
        <v>10</v>
      </c>
      <c r="O281" s="8" t="n">
        <v>6</v>
      </c>
      <c r="P281" s="9" t="n">
        <v>13.9485279699709</v>
      </c>
      <c r="Q281" s="10" t="n">
        <v>0.0716921529033638</v>
      </c>
      <c r="R281" s="9" t="n">
        <v>11</v>
      </c>
      <c r="S281" s="12" t="n">
        <f aca="false">IF(AND(ISNUMBER(R281),R281&gt;1,P281&gt;0),R281/P281-1,"")</f>
        <v>-0.211386318062999</v>
      </c>
      <c r="T281" s="9" t="n">
        <f aca="false">IF(AND(ISNUMBER(P281),P281&gt;0),P281*EXP('Read me'!$B$22),"")</f>
        <v>17.0367705347967</v>
      </c>
    </row>
    <row r="282" customFormat="false" ht="15" hidden="false" customHeight="false" outlineLevel="0" collapsed="false">
      <c r="A282" s="15" t="s">
        <v>217</v>
      </c>
      <c r="B282" s="15" t="s">
        <v>70</v>
      </c>
      <c r="C282" s="15" t="s">
        <v>218</v>
      </c>
      <c r="D282" s="15" t="s">
        <v>418</v>
      </c>
      <c r="E282" s="16" t="n">
        <v>27</v>
      </c>
      <c r="F282" s="15" t="s">
        <v>357</v>
      </c>
      <c r="G282" s="8" t="n">
        <v>7</v>
      </c>
      <c r="H282" s="15" t="s">
        <v>869</v>
      </c>
      <c r="I282" s="15" t="s">
        <v>870</v>
      </c>
      <c r="J282" s="15" t="s">
        <v>871</v>
      </c>
      <c r="K282" s="8" t="n">
        <v>3</v>
      </c>
      <c r="L282" s="8" t="n">
        <v>87</v>
      </c>
      <c r="M282" s="8" t="n">
        <v>5</v>
      </c>
      <c r="N282" s="8" t="n">
        <v>131</v>
      </c>
      <c r="O282" s="8" t="n">
        <v>7</v>
      </c>
      <c r="P282" s="9" t="n">
        <v>15.6387700873776</v>
      </c>
      <c r="Q282" s="10" t="n">
        <v>0.0639436473848492</v>
      </c>
      <c r="R282" s="9" t="n">
        <v>11</v>
      </c>
      <c r="S282" s="12" t="n">
        <f aca="false">IF(AND(ISNUMBER(R282),R282&gt;1,P282&gt;0),R282/P282-1,"")</f>
        <v>-0.296619878766658</v>
      </c>
      <c r="T282" s="9" t="n">
        <f aca="false">IF(AND(ISNUMBER(P282),P282&gt;0),P282*EXP('Read me'!$B$22),"")</f>
        <v>19.1012369189557</v>
      </c>
    </row>
    <row r="283" customFormat="false" ht="15" hidden="false" customHeight="false" outlineLevel="0" collapsed="false">
      <c r="A283" s="15" t="s">
        <v>223</v>
      </c>
      <c r="B283" s="15" t="s">
        <v>42</v>
      </c>
      <c r="C283" s="15" t="s">
        <v>224</v>
      </c>
      <c r="D283" s="15"/>
      <c r="E283" s="16" t="n">
        <v>11</v>
      </c>
      <c r="F283" s="15" t="s">
        <v>357</v>
      </c>
      <c r="G283" s="8" t="n">
        <v>14</v>
      </c>
      <c r="H283" s="15" t="s">
        <v>225</v>
      </c>
      <c r="I283" s="15" t="s">
        <v>226</v>
      </c>
      <c r="J283" s="15" t="s">
        <v>110</v>
      </c>
      <c r="K283" s="8" t="n">
        <v>13</v>
      </c>
      <c r="L283" s="8" t="n">
        <v>58</v>
      </c>
      <c r="M283" s="8" t="n">
        <v>3</v>
      </c>
      <c r="N283" s="8" t="n">
        <v>3</v>
      </c>
      <c r="O283" s="8" t="n">
        <v>1</v>
      </c>
      <c r="P283" s="9" t="n">
        <v>4.44502883147623</v>
      </c>
      <c r="Q283" s="10" t="n">
        <v>0.224970419295996</v>
      </c>
      <c r="R283" s="9" t="n">
        <v>5</v>
      </c>
      <c r="S283" s="12" t="n">
        <f aca="false">IF(AND(ISNUMBER(R283),R283&gt;1,P283&gt;0),R283/P283-1,"")</f>
        <v>0.124852096479982</v>
      </c>
      <c r="T283" s="9" t="n">
        <f aca="false">IF(AND(ISNUMBER(P283),P283&gt;0),P283*EXP('Read me'!$B$22),"")</f>
        <v>5.42917047486654</v>
      </c>
    </row>
    <row r="284" customFormat="false" ht="15" hidden="false" customHeight="false" outlineLevel="0" collapsed="false">
      <c r="A284" s="15" t="s">
        <v>223</v>
      </c>
      <c r="B284" s="15" t="s">
        <v>42</v>
      </c>
      <c r="C284" s="15" t="s">
        <v>224</v>
      </c>
      <c r="D284" s="15"/>
      <c r="E284" s="16" t="n">
        <v>11</v>
      </c>
      <c r="F284" s="15" t="s">
        <v>357</v>
      </c>
      <c r="G284" s="8" t="n">
        <v>14</v>
      </c>
      <c r="H284" s="15" t="s">
        <v>227</v>
      </c>
      <c r="I284" s="15" t="s">
        <v>441</v>
      </c>
      <c r="J284" s="15" t="s">
        <v>442</v>
      </c>
      <c r="K284" s="8" t="n">
        <v>10</v>
      </c>
      <c r="L284" s="8" t="n">
        <v>60</v>
      </c>
      <c r="M284" s="8" t="n">
        <v>3</v>
      </c>
      <c r="N284" s="8" t="n">
        <v>24</v>
      </c>
      <c r="O284" s="8" t="n">
        <v>2</v>
      </c>
      <c r="P284" s="9" t="n">
        <v>5.07355998801779</v>
      </c>
      <c r="Q284" s="10" t="n">
        <v>0.197100261426236</v>
      </c>
      <c r="R284" s="9" t="n">
        <v>5</v>
      </c>
      <c r="S284" s="12" t="n">
        <f aca="false">IF(AND(ISNUMBER(R284),R284&gt;1,P284&gt;0),R284/P284-1,"")</f>
        <v>-0.014498692868818</v>
      </c>
      <c r="T284" s="9" t="n">
        <f aca="false">IF(AND(ISNUMBER(P284),P284&gt;0),P284*EXP('Read me'!$B$22),"")</f>
        <v>6.19686016305601</v>
      </c>
    </row>
    <row r="285" customFormat="false" ht="15" hidden="false" customHeight="false" outlineLevel="0" collapsed="false">
      <c r="A285" s="15" t="s">
        <v>223</v>
      </c>
      <c r="B285" s="15" t="s">
        <v>42</v>
      </c>
      <c r="C285" s="15" t="s">
        <v>224</v>
      </c>
      <c r="D285" s="15"/>
      <c r="E285" s="16" t="n">
        <v>11</v>
      </c>
      <c r="F285" s="15" t="s">
        <v>357</v>
      </c>
      <c r="G285" s="8" t="n">
        <v>14</v>
      </c>
      <c r="H285" s="15" t="s">
        <v>872</v>
      </c>
      <c r="I285" s="15" t="s">
        <v>79</v>
      </c>
      <c r="J285" s="15" t="s">
        <v>80</v>
      </c>
      <c r="K285" s="8" t="n">
        <v>4</v>
      </c>
      <c r="L285" s="8" t="n">
        <v>50</v>
      </c>
      <c r="M285" s="8" t="n">
        <v>3</v>
      </c>
      <c r="N285" s="8" t="n">
        <v>28</v>
      </c>
      <c r="O285" s="8" t="n">
        <v>3</v>
      </c>
      <c r="P285" s="9" t="n">
        <v>8.10159043669364</v>
      </c>
      <c r="Q285" s="10" t="n">
        <v>0.123432554115647</v>
      </c>
      <c r="R285" s="9" t="n">
        <v>7</v>
      </c>
      <c r="S285" s="12" t="n">
        <f aca="false">IF(AND(ISNUMBER(R285),R285&gt;1,P285&gt;0),R285/P285-1,"")</f>
        <v>-0.135972121190468</v>
      </c>
      <c r="T285" s="9" t="n">
        <f aca="false">IF(AND(ISNUMBER(P285),P285&gt;0),P285*EXP('Read me'!$B$22),"")</f>
        <v>9.89530490486167</v>
      </c>
    </row>
    <row r="286" customFormat="false" ht="15" hidden="false" customHeight="false" outlineLevel="0" collapsed="false">
      <c r="A286" s="15" t="s">
        <v>223</v>
      </c>
      <c r="B286" s="15" t="s">
        <v>42</v>
      </c>
      <c r="C286" s="15" t="s">
        <v>224</v>
      </c>
      <c r="D286" s="15"/>
      <c r="E286" s="16" t="n">
        <v>11</v>
      </c>
      <c r="F286" s="15" t="s">
        <v>357</v>
      </c>
      <c r="G286" s="8" t="n">
        <v>14</v>
      </c>
      <c r="H286" s="15" t="s">
        <v>873</v>
      </c>
      <c r="I286" s="15" t="s">
        <v>45</v>
      </c>
      <c r="J286" s="15" t="s">
        <v>626</v>
      </c>
      <c r="K286" s="8" t="n">
        <v>11</v>
      </c>
      <c r="L286" s="8" t="n">
        <v>41</v>
      </c>
      <c r="M286" s="8" t="n">
        <v>4</v>
      </c>
      <c r="N286" s="8" t="n">
        <v>32</v>
      </c>
      <c r="O286" s="8" t="n">
        <v>4</v>
      </c>
      <c r="P286" s="9" t="n">
        <v>9.66533977008272</v>
      </c>
      <c r="Q286" s="10" t="n">
        <v>0.103462477656017</v>
      </c>
      <c r="R286" s="9" t="n">
        <v>5</v>
      </c>
      <c r="S286" s="12" t="n">
        <f aca="false">IF(AND(ISNUMBER(R286),R286&gt;1,P286&gt;0),R286/P286-1,"")</f>
        <v>-0.482687611719913</v>
      </c>
      <c r="T286" s="9" t="n">
        <f aca="false">IF(AND(ISNUMBER(P286),P286&gt;0),P286*EXP('Read me'!$B$22),"")</f>
        <v>11.8052726537342</v>
      </c>
    </row>
    <row r="287" customFormat="false" ht="15" hidden="false" customHeight="false" outlineLevel="0" collapsed="false">
      <c r="A287" s="15" t="s">
        <v>223</v>
      </c>
      <c r="B287" s="15" t="s">
        <v>42</v>
      </c>
      <c r="C287" s="15" t="s">
        <v>224</v>
      </c>
      <c r="D287" s="15"/>
      <c r="E287" s="16" t="n">
        <v>11</v>
      </c>
      <c r="F287" s="15" t="s">
        <v>357</v>
      </c>
      <c r="G287" s="8" t="n">
        <v>14</v>
      </c>
      <c r="H287" s="15" t="s">
        <v>874</v>
      </c>
      <c r="I287" s="15" t="s">
        <v>438</v>
      </c>
      <c r="J287" s="15" t="s">
        <v>799</v>
      </c>
      <c r="K287" s="8" t="n">
        <v>2</v>
      </c>
      <c r="L287" s="8" t="n">
        <v>59</v>
      </c>
      <c r="M287" s="8" t="n">
        <v>3</v>
      </c>
      <c r="N287" s="8" t="n">
        <v>23</v>
      </c>
      <c r="O287" s="8" t="n">
        <v>5</v>
      </c>
      <c r="P287" s="9" t="n">
        <v>12.8348885942744</v>
      </c>
      <c r="Q287" s="10" t="n">
        <v>0.077912635754867</v>
      </c>
      <c r="R287" s="9" t="n">
        <v>7</v>
      </c>
      <c r="S287" s="12" t="n">
        <f aca="false">IF(AND(ISNUMBER(R287),R287&gt;1,P287&gt;0),R287/P287-1,"")</f>
        <v>-0.454611549715931</v>
      </c>
      <c r="T287" s="9" t="n">
        <f aca="false">IF(AND(ISNUMBER(P287),P287&gt;0),P287*EXP('Read me'!$B$22),"")</f>
        <v>15.6765683297253</v>
      </c>
    </row>
    <row r="288" customFormat="false" ht="15" hidden="false" customHeight="false" outlineLevel="0" collapsed="false">
      <c r="A288" s="15" t="s">
        <v>223</v>
      </c>
      <c r="B288" s="15" t="s">
        <v>42</v>
      </c>
      <c r="C288" s="15" t="s">
        <v>224</v>
      </c>
      <c r="D288" s="15"/>
      <c r="E288" s="16" t="n">
        <v>11</v>
      </c>
      <c r="F288" s="15" t="s">
        <v>357</v>
      </c>
      <c r="G288" s="8" t="n">
        <v>14</v>
      </c>
      <c r="H288" s="15" t="s">
        <v>875</v>
      </c>
      <c r="I288" s="15" t="s">
        <v>796</v>
      </c>
      <c r="J288" s="15" t="s">
        <v>876</v>
      </c>
      <c r="K288" s="8" t="n">
        <v>7</v>
      </c>
      <c r="L288" s="8" t="n">
        <v>45</v>
      </c>
      <c r="M288" s="8" t="n">
        <v>6</v>
      </c>
      <c r="N288" s="8" t="n">
        <v>10</v>
      </c>
      <c r="O288" s="8" t="n">
        <v>6</v>
      </c>
      <c r="P288" s="9" t="n">
        <v>19.8649447050982</v>
      </c>
      <c r="Q288" s="10" t="n">
        <v>0.0503399337297605</v>
      </c>
      <c r="R288" s="9" t="n">
        <v>13</v>
      </c>
      <c r="S288" s="12" t="n">
        <f aca="false">IF(AND(ISNUMBER(R288),R288&gt;1,P288&gt;0),R288/P288-1,"")</f>
        <v>-0.345580861513112</v>
      </c>
      <c r="T288" s="9" t="n">
        <f aca="false">IF(AND(ISNUMBER(P288),P288&gt;0),P288*EXP('Read me'!$B$22),"")</f>
        <v>24.2630982535062</v>
      </c>
    </row>
    <row r="289" customFormat="false" ht="15" hidden="false" customHeight="false" outlineLevel="0" collapsed="false">
      <c r="A289" s="15" t="s">
        <v>223</v>
      </c>
      <c r="B289" s="15" t="s">
        <v>42</v>
      </c>
      <c r="C289" s="15" t="s">
        <v>224</v>
      </c>
      <c r="D289" s="15"/>
      <c r="E289" s="16" t="n">
        <v>11</v>
      </c>
      <c r="F289" s="15" t="s">
        <v>357</v>
      </c>
      <c r="G289" s="8" t="n">
        <v>14</v>
      </c>
      <c r="H289" s="15" t="s">
        <v>877</v>
      </c>
      <c r="I289" s="15" t="s">
        <v>725</v>
      </c>
      <c r="J289" s="15" t="s">
        <v>503</v>
      </c>
      <c r="K289" s="8" t="n">
        <v>5</v>
      </c>
      <c r="L289" s="8" t="n">
        <v>44</v>
      </c>
      <c r="M289" s="8" t="n">
        <v>9</v>
      </c>
      <c r="N289" s="8" t="n">
        <v>23</v>
      </c>
      <c r="O289" s="8" t="n">
        <v>7</v>
      </c>
      <c r="P289" s="9" t="n">
        <v>21.5536341265637</v>
      </c>
      <c r="Q289" s="10" t="n">
        <v>0.0463958882352721</v>
      </c>
      <c r="R289" s="9" t="n">
        <v>17</v>
      </c>
      <c r="S289" s="12" t="n">
        <f aca="false">IF(AND(ISNUMBER(R289),R289&gt;1,P289&gt;0),R289/P289-1,"")</f>
        <v>-0.211269900000373</v>
      </c>
      <c r="T289" s="9" t="n">
        <f aca="false">IF(AND(ISNUMBER(P289),P289&gt;0),P289*EXP('Read me'!$B$22),"")</f>
        <v>26.3256681705601</v>
      </c>
    </row>
    <row r="290" customFormat="false" ht="15" hidden="false" customHeight="false" outlineLevel="0" collapsed="false">
      <c r="A290" s="15" t="s">
        <v>223</v>
      </c>
      <c r="B290" s="15" t="s">
        <v>42</v>
      </c>
      <c r="C290" s="15" t="s">
        <v>224</v>
      </c>
      <c r="D290" s="15"/>
      <c r="E290" s="16" t="n">
        <v>11</v>
      </c>
      <c r="F290" s="15" t="s">
        <v>357</v>
      </c>
      <c r="G290" s="8" t="n">
        <v>14</v>
      </c>
      <c r="H290" s="15" t="s">
        <v>878</v>
      </c>
      <c r="I290" s="15" t="s">
        <v>542</v>
      </c>
      <c r="J290" s="15" t="s">
        <v>723</v>
      </c>
      <c r="K290" s="8" t="n">
        <v>3</v>
      </c>
      <c r="L290" s="8" t="n">
        <v>54</v>
      </c>
      <c r="M290" s="8" t="n">
        <v>3</v>
      </c>
      <c r="N290" s="8" t="n">
        <v>12</v>
      </c>
      <c r="O290" s="8" t="n">
        <v>8</v>
      </c>
      <c r="P290" s="9" t="n">
        <v>23.2735641103831</v>
      </c>
      <c r="Q290" s="10" t="n">
        <v>0.0429672049909135</v>
      </c>
      <c r="R290" s="9" t="n">
        <v>11</v>
      </c>
      <c r="S290" s="12" t="n">
        <f aca="false">IF(AND(ISNUMBER(R290),R290&gt;1,P290&gt;0),R290/P290-1,"")</f>
        <v>-0.527360745099951</v>
      </c>
      <c r="T290" s="9" t="n">
        <f aca="false">IF(AND(ISNUMBER(P290),P290&gt;0),P290*EXP('Read me'!$B$22),"")</f>
        <v>28.4263953966395</v>
      </c>
    </row>
    <row r="291" customFormat="false" ht="15" hidden="false" customHeight="false" outlineLevel="0" collapsed="false">
      <c r="A291" s="15" t="s">
        <v>223</v>
      </c>
      <c r="B291" s="15" t="s">
        <v>42</v>
      </c>
      <c r="C291" s="15" t="s">
        <v>224</v>
      </c>
      <c r="D291" s="15"/>
      <c r="E291" s="16" t="n">
        <v>11</v>
      </c>
      <c r="F291" s="15" t="s">
        <v>357</v>
      </c>
      <c r="G291" s="8" t="n">
        <v>14</v>
      </c>
      <c r="H291" s="15" t="s">
        <v>879</v>
      </c>
      <c r="I291" s="15" t="s">
        <v>368</v>
      </c>
      <c r="J291" s="15" t="s">
        <v>210</v>
      </c>
      <c r="K291" s="8" t="n">
        <v>15</v>
      </c>
      <c r="L291" s="8" t="n">
        <v>39</v>
      </c>
      <c r="M291" s="8" t="n">
        <v>3</v>
      </c>
      <c r="N291" s="8" t="n">
        <v>28</v>
      </c>
      <c r="O291" s="8" t="n">
        <v>9</v>
      </c>
      <c r="P291" s="9" t="n">
        <v>26.0844192980979</v>
      </c>
      <c r="Q291" s="10" t="n">
        <v>0.0383370620051688</v>
      </c>
      <c r="R291" s="9" t="n">
        <v>26</v>
      </c>
      <c r="S291" s="12" t="n">
        <f aca="false">IF(AND(ISNUMBER(R291),R291&gt;1,P291&gt;0),R291/P291-1,"")</f>
        <v>-0.00323638786561054</v>
      </c>
      <c r="T291" s="9" t="n">
        <f aca="false">IF(AND(ISNUMBER(P291),P291&gt;0),P291*EXP('Read me'!$B$22),"")</f>
        <v>31.8595816757031</v>
      </c>
    </row>
    <row r="292" customFormat="false" ht="15" hidden="false" customHeight="false" outlineLevel="0" collapsed="false">
      <c r="A292" s="15" t="s">
        <v>223</v>
      </c>
      <c r="B292" s="15" t="s">
        <v>42</v>
      </c>
      <c r="C292" s="15" t="s">
        <v>224</v>
      </c>
      <c r="D292" s="15"/>
      <c r="E292" s="16" t="n">
        <v>11</v>
      </c>
      <c r="F292" s="15" t="s">
        <v>357</v>
      </c>
      <c r="G292" s="8" t="n">
        <v>14</v>
      </c>
      <c r="H292" s="15" t="s">
        <v>880</v>
      </c>
      <c r="I292" s="15" t="s">
        <v>714</v>
      </c>
      <c r="J292" s="15" t="s">
        <v>474</v>
      </c>
      <c r="K292" s="8" t="n">
        <v>14</v>
      </c>
      <c r="L292" s="8" t="n">
        <v>56</v>
      </c>
      <c r="M292" s="8" t="n">
        <v>3</v>
      </c>
      <c r="N292" s="8" t="n">
        <v>336</v>
      </c>
      <c r="O292" s="8" t="n">
        <v>10</v>
      </c>
      <c r="P292" s="9" t="n">
        <v>29.473201548749</v>
      </c>
      <c r="Q292" s="10" t="n">
        <v>0.0339291270527902</v>
      </c>
      <c r="R292" s="9" t="n">
        <v>12</v>
      </c>
      <c r="S292" s="12" t="n">
        <f aca="false">IF(AND(ISNUMBER(R292),R292&gt;1,P292&gt;0),R292/P292-1,"")</f>
        <v>-0.592850475366517</v>
      </c>
      <c r="T292" s="9" t="n">
        <f aca="false">IF(AND(ISNUMBER(P292),P292&gt;0),P292*EXP('Read me'!$B$22),"")</f>
        <v>35.9986496634527</v>
      </c>
    </row>
    <row r="293" customFormat="false" ht="15" hidden="false" customHeight="false" outlineLevel="0" collapsed="false">
      <c r="A293" s="15" t="s">
        <v>223</v>
      </c>
      <c r="B293" s="15" t="s">
        <v>42</v>
      </c>
      <c r="C293" s="15" t="s">
        <v>224</v>
      </c>
      <c r="D293" s="15"/>
      <c r="E293" s="16" t="n">
        <v>11</v>
      </c>
      <c r="F293" s="15" t="s">
        <v>357</v>
      </c>
      <c r="G293" s="8" t="n">
        <v>14</v>
      </c>
      <c r="H293" s="15" t="s">
        <v>881</v>
      </c>
      <c r="I293" s="15" t="s">
        <v>450</v>
      </c>
      <c r="J293" s="15" t="s">
        <v>80</v>
      </c>
      <c r="K293" s="8" t="n">
        <v>1</v>
      </c>
      <c r="L293" s="8" t="n">
        <v>59</v>
      </c>
      <c r="M293" s="8" t="n">
        <v>3</v>
      </c>
      <c r="N293" s="8" t="n">
        <v>20</v>
      </c>
      <c r="O293" s="8" t="n">
        <v>11</v>
      </c>
      <c r="P293" s="9" t="n">
        <v>38.4237679381998</v>
      </c>
      <c r="Q293" s="10" t="n">
        <v>0.0260255579725649</v>
      </c>
      <c r="R293" s="9" t="n">
        <v>19</v>
      </c>
      <c r="S293" s="12" t="n">
        <f aca="false">IF(AND(ISNUMBER(R293),R293&gt;1,P293&gt;0),R293/P293-1,"")</f>
        <v>-0.505514398521266</v>
      </c>
      <c r="T293" s="9" t="n">
        <f aca="false">IF(AND(ISNUMBER(P293),P293&gt;0),P293*EXP('Read me'!$B$22),"")</f>
        <v>46.9308961386235</v>
      </c>
    </row>
    <row r="294" customFormat="false" ht="15" hidden="false" customHeight="false" outlineLevel="0" collapsed="false">
      <c r="A294" s="15" t="s">
        <v>223</v>
      </c>
      <c r="B294" s="15" t="s">
        <v>42</v>
      </c>
      <c r="C294" s="15" t="s">
        <v>224</v>
      </c>
      <c r="D294" s="15"/>
      <c r="E294" s="16" t="n">
        <v>11</v>
      </c>
      <c r="F294" s="15" t="s">
        <v>357</v>
      </c>
      <c r="G294" s="8" t="n">
        <v>14</v>
      </c>
      <c r="H294" s="15" t="s">
        <v>882</v>
      </c>
      <c r="I294" s="15" t="s">
        <v>138</v>
      </c>
      <c r="J294" s="15" t="s">
        <v>110</v>
      </c>
      <c r="K294" s="8" t="n">
        <v>8</v>
      </c>
      <c r="L294" s="8" t="n">
        <v>53</v>
      </c>
      <c r="M294" s="8" t="n">
        <v>3</v>
      </c>
      <c r="N294" s="8" t="n">
        <v>23</v>
      </c>
      <c r="O294" s="8" t="n">
        <v>12</v>
      </c>
      <c r="P294" s="9" t="n">
        <v>55.8574853836857</v>
      </c>
      <c r="Q294" s="10" t="n">
        <v>0.0179027035164757</v>
      </c>
      <c r="R294" s="9" t="n">
        <v>81</v>
      </c>
      <c r="S294" s="12" t="n">
        <f aca="false">IF(AND(ISNUMBER(R294),R294&gt;1,P294&gt;0),R294/P294-1,"")</f>
        <v>0.450118984834533</v>
      </c>
      <c r="T294" s="9" t="n">
        <f aca="false">IF(AND(ISNUMBER(P294),P294&gt;0),P294*EXP('Read me'!$B$22),"")</f>
        <v>68.224486711525</v>
      </c>
    </row>
    <row r="295" customFormat="false" ht="15" hidden="false" customHeight="false" outlineLevel="0" collapsed="false">
      <c r="A295" s="15" t="s">
        <v>223</v>
      </c>
      <c r="B295" s="15" t="s">
        <v>42</v>
      </c>
      <c r="C295" s="15" t="s">
        <v>224</v>
      </c>
      <c r="D295" s="15"/>
      <c r="E295" s="16" t="n">
        <v>11</v>
      </c>
      <c r="F295" s="15" t="s">
        <v>357</v>
      </c>
      <c r="G295" s="8" t="n">
        <v>14</v>
      </c>
      <c r="H295" s="15" t="s">
        <v>883</v>
      </c>
      <c r="I295" s="15" t="s">
        <v>625</v>
      </c>
      <c r="J295" s="15" t="s">
        <v>493</v>
      </c>
      <c r="K295" s="8" t="n">
        <v>9</v>
      </c>
      <c r="L295" s="8" t="n">
        <v>33</v>
      </c>
      <c r="M295" s="8" t="n">
        <v>5</v>
      </c>
      <c r="N295" s="8" t="n">
        <v>23</v>
      </c>
      <c r="O295" s="8" t="n">
        <v>13</v>
      </c>
      <c r="P295" s="9" t="n">
        <v>116.022739094969</v>
      </c>
      <c r="Q295" s="10" t="n">
        <v>0.008619000101191</v>
      </c>
      <c r="R295" s="9" t="n">
        <v>34</v>
      </c>
      <c r="S295" s="12" t="n">
        <f aca="false">IF(AND(ISNUMBER(R295),R295&gt;1,P295&gt;0),R295/P295-1,"")</f>
        <v>-0.706953996559504</v>
      </c>
      <c r="T295" s="9" t="n">
        <f aca="false">IF(AND(ISNUMBER(P295),P295&gt;0),P295*EXP('Read me'!$B$22),"")</f>
        <v>141.710493539893</v>
      </c>
    </row>
    <row r="296" customFormat="false" ht="15" hidden="false" customHeight="false" outlineLevel="0" collapsed="false">
      <c r="A296" s="15" t="s">
        <v>223</v>
      </c>
      <c r="B296" s="15" t="s">
        <v>42</v>
      </c>
      <c r="C296" s="15" t="s">
        <v>224</v>
      </c>
      <c r="D296" s="15"/>
      <c r="E296" s="16" t="n">
        <v>11</v>
      </c>
      <c r="F296" s="15" t="s">
        <v>357</v>
      </c>
      <c r="G296" s="8" t="n">
        <v>14</v>
      </c>
      <c r="H296" s="15" t="s">
        <v>884</v>
      </c>
      <c r="I296" s="15" t="s">
        <v>885</v>
      </c>
      <c r="J296" s="15" t="s">
        <v>886</v>
      </c>
      <c r="K296" s="8" t="n">
        <v>12</v>
      </c>
      <c r="L296" s="8" t="n">
        <v>35</v>
      </c>
      <c r="M296" s="8" t="n">
        <v>9</v>
      </c>
      <c r="N296" s="8" t="n">
        <v>133</v>
      </c>
      <c r="O296" s="8" t="n">
        <v>14</v>
      </c>
      <c r="P296" s="9" t="n">
        <v>116.209153110191</v>
      </c>
      <c r="Q296" s="10" t="n">
        <v>0.0086051741470982</v>
      </c>
      <c r="R296" s="9" t="n">
        <v>41</v>
      </c>
      <c r="S296" s="12" t="n">
        <f aca="false">IF(AND(ISNUMBER(R296),R296&gt;1,P296&gt;0),R296/P296-1,"")</f>
        <v>-0.647187859968972</v>
      </c>
      <c r="T296" s="9" t="n">
        <f aca="false">IF(AND(ISNUMBER(P296),P296&gt;0),P296*EXP('Read me'!$B$22),"")</f>
        <v>141.938180132245</v>
      </c>
    </row>
    <row r="297" customFormat="false" ht="15" hidden="false" customHeight="false" outlineLevel="0" collapsed="false">
      <c r="A297" s="15" t="s">
        <v>228</v>
      </c>
      <c r="B297" s="15" t="s">
        <v>194</v>
      </c>
      <c r="C297" s="15" t="s">
        <v>229</v>
      </c>
      <c r="D297" s="15" t="s">
        <v>456</v>
      </c>
      <c r="E297" s="16" t="n">
        <v>8.5</v>
      </c>
      <c r="F297" s="15" t="s">
        <v>805</v>
      </c>
      <c r="G297" s="8" t="n">
        <v>11</v>
      </c>
      <c r="H297" s="15" t="s">
        <v>230</v>
      </c>
      <c r="I297" s="15" t="s">
        <v>231</v>
      </c>
      <c r="J297" s="15" t="s">
        <v>232</v>
      </c>
      <c r="K297" s="8" t="n">
        <v>5</v>
      </c>
      <c r="L297" s="8" t="n">
        <v>93</v>
      </c>
      <c r="M297" s="8" t="n">
        <v>3</v>
      </c>
      <c r="N297" s="8" t="n">
        <v>20</v>
      </c>
      <c r="O297" s="8" t="n">
        <v>1</v>
      </c>
      <c r="P297" s="9" t="n">
        <v>3.61752534050232</v>
      </c>
      <c r="Q297" s="10" t="n">
        <v>0.276432064982064</v>
      </c>
      <c r="R297" s="9" t="n">
        <v>2.5</v>
      </c>
      <c r="S297" s="12" t="n">
        <f aca="false">IF(AND(ISNUMBER(R297),R297&gt;1,P297&gt;0),R297/P297-1,"")</f>
        <v>-0.308919837544841</v>
      </c>
      <c r="T297" s="9" t="n">
        <f aca="false">IF(AND(ISNUMBER(P297),P297&gt;0),P297*EXP('Read me'!$B$22),"")</f>
        <v>4.41845542860384</v>
      </c>
    </row>
    <row r="298" customFormat="false" ht="15" hidden="false" customHeight="false" outlineLevel="0" collapsed="false">
      <c r="A298" s="15" t="s">
        <v>228</v>
      </c>
      <c r="B298" s="15" t="s">
        <v>194</v>
      </c>
      <c r="C298" s="15" t="s">
        <v>229</v>
      </c>
      <c r="D298" s="15" t="s">
        <v>456</v>
      </c>
      <c r="E298" s="16" t="n">
        <v>8.5</v>
      </c>
      <c r="F298" s="15" t="s">
        <v>805</v>
      </c>
      <c r="G298" s="8" t="n">
        <v>11</v>
      </c>
      <c r="H298" s="15" t="s">
        <v>233</v>
      </c>
      <c r="I298" s="15" t="s">
        <v>887</v>
      </c>
      <c r="J298" s="15" t="s">
        <v>262</v>
      </c>
      <c r="K298" s="8" t="n">
        <v>4</v>
      </c>
      <c r="L298" s="8" t="n">
        <v>0</v>
      </c>
      <c r="M298" s="8" t="n">
        <v>3</v>
      </c>
      <c r="N298" s="8" t="n">
        <v>19</v>
      </c>
      <c r="O298" s="8" t="n">
        <v>2</v>
      </c>
      <c r="P298" s="9" t="n">
        <v>4.16103970873554</v>
      </c>
      <c r="Q298" s="10" t="n">
        <v>0.240324551073289</v>
      </c>
      <c r="R298" s="9" t="n">
        <v>8</v>
      </c>
      <c r="S298" s="12" t="n">
        <f aca="false">IF(AND(ISNUMBER(R298),R298&gt;1,P298&gt;0),R298/P298-1,"")</f>
        <v>0.922596408586314</v>
      </c>
      <c r="T298" s="9" t="n">
        <f aca="false">IF(AND(ISNUMBER(P298),P298&gt;0),P298*EXP('Read me'!$B$22),"")</f>
        <v>5.08230537706358</v>
      </c>
    </row>
    <row r="299" customFormat="false" ht="15" hidden="false" customHeight="false" outlineLevel="0" collapsed="false">
      <c r="A299" s="15" t="s">
        <v>228</v>
      </c>
      <c r="B299" s="15" t="s">
        <v>194</v>
      </c>
      <c r="C299" s="15" t="s">
        <v>229</v>
      </c>
      <c r="D299" s="15" t="s">
        <v>456</v>
      </c>
      <c r="E299" s="16" t="n">
        <v>8.5</v>
      </c>
      <c r="F299" s="15" t="s">
        <v>805</v>
      </c>
      <c r="G299" s="8" t="n">
        <v>11</v>
      </c>
      <c r="H299" s="15" t="s">
        <v>888</v>
      </c>
      <c r="I299" s="15" t="s">
        <v>261</v>
      </c>
      <c r="J299" s="15" t="s">
        <v>262</v>
      </c>
      <c r="K299" s="8" t="n">
        <v>10</v>
      </c>
      <c r="L299" s="8" t="n">
        <v>0</v>
      </c>
      <c r="M299" s="8" t="n">
        <v>3</v>
      </c>
      <c r="N299" s="8" t="n">
        <v>166</v>
      </c>
      <c r="O299" s="8" t="n">
        <v>3</v>
      </c>
      <c r="P299" s="9" t="n">
        <v>4.27616707282539</v>
      </c>
      <c r="Q299" s="10" t="n">
        <v>0.233854286553699</v>
      </c>
      <c r="R299" s="9" t="n">
        <v>5</v>
      </c>
      <c r="S299" s="12" t="n">
        <f aca="false">IF(AND(ISNUMBER(R299),R299&gt;1,P299&gt;0),R299/P299-1,"")</f>
        <v>0.169271432768493</v>
      </c>
      <c r="T299" s="9" t="n">
        <f aca="false">IF(AND(ISNUMBER(P299),P299&gt;0),P299*EXP('Read me'!$B$22),"")</f>
        <v>5.22292225710264</v>
      </c>
    </row>
    <row r="300" customFormat="false" ht="15" hidden="false" customHeight="false" outlineLevel="0" collapsed="false">
      <c r="A300" s="15" t="s">
        <v>228</v>
      </c>
      <c r="B300" s="15" t="s">
        <v>194</v>
      </c>
      <c r="C300" s="15" t="s">
        <v>229</v>
      </c>
      <c r="D300" s="15" t="s">
        <v>456</v>
      </c>
      <c r="E300" s="16" t="n">
        <v>8.5</v>
      </c>
      <c r="F300" s="15" t="s">
        <v>805</v>
      </c>
      <c r="G300" s="8" t="n">
        <v>11</v>
      </c>
      <c r="H300" s="15" t="s">
        <v>889</v>
      </c>
      <c r="I300" s="15" t="s">
        <v>890</v>
      </c>
      <c r="J300" s="15" t="s">
        <v>891</v>
      </c>
      <c r="K300" s="8" t="n">
        <v>7</v>
      </c>
      <c r="L300" s="8" t="n">
        <v>94</v>
      </c>
      <c r="M300" s="8" t="n">
        <v>3</v>
      </c>
      <c r="N300" s="8" t="n">
        <v>14</v>
      </c>
      <c r="O300" s="8" t="n">
        <v>4</v>
      </c>
      <c r="P300" s="9" t="n">
        <v>4.60055031642275</v>
      </c>
      <c r="Q300" s="10" t="n">
        <v>0.217365300066443</v>
      </c>
      <c r="R300" s="9" t="n">
        <v>2.5</v>
      </c>
      <c r="S300" s="12" t="n">
        <f aca="false">IF(AND(ISNUMBER(R300),R300&gt;1,P300&gt;0),R300/P300-1,"")</f>
        <v>-0.456586749833892</v>
      </c>
      <c r="T300" s="9" t="n">
        <f aca="false">IF(AND(ISNUMBER(P300),P300&gt;0),P300*EXP('Read me'!$B$22),"")</f>
        <v>5.61912484553339</v>
      </c>
    </row>
    <row r="301" customFormat="false" ht="15" hidden="false" customHeight="false" outlineLevel="0" collapsed="false">
      <c r="A301" s="15" t="s">
        <v>228</v>
      </c>
      <c r="B301" s="15" t="s">
        <v>194</v>
      </c>
      <c r="C301" s="15" t="s">
        <v>229</v>
      </c>
      <c r="D301" s="15" t="s">
        <v>456</v>
      </c>
      <c r="E301" s="16" t="n">
        <v>8.5</v>
      </c>
      <c r="F301" s="15" t="s">
        <v>805</v>
      </c>
      <c r="G301" s="8" t="n">
        <v>11</v>
      </c>
      <c r="H301" s="15" t="s">
        <v>892</v>
      </c>
      <c r="I301" s="15" t="s">
        <v>893</v>
      </c>
      <c r="J301" s="15" t="s">
        <v>458</v>
      </c>
      <c r="K301" s="8" t="n">
        <v>9</v>
      </c>
      <c r="L301" s="8" t="n">
        <v>0</v>
      </c>
      <c r="M301" s="8" t="n">
        <v>3</v>
      </c>
      <c r="N301" s="8" t="n">
        <v>136</v>
      </c>
      <c r="O301" s="8" t="n">
        <v>5</v>
      </c>
      <c r="P301" s="9" t="n">
        <v>63.1728834619575</v>
      </c>
      <c r="Q301" s="10" t="n">
        <v>0.0158295766347628</v>
      </c>
      <c r="R301" s="9" t="n">
        <v>26</v>
      </c>
      <c r="S301" s="12" t="n">
        <f aca="false">IF(AND(ISNUMBER(R301),R301&gt;1,P301&gt;0),R301/P301-1,"")</f>
        <v>-0.588431007496166</v>
      </c>
      <c r="T301" s="9" t="n">
        <f aca="false">IF(AND(ISNUMBER(P301),P301&gt;0),P301*EXP('Read me'!$B$22),"")</f>
        <v>77.1595341013659</v>
      </c>
    </row>
    <row r="302" customFormat="false" ht="15" hidden="false" customHeight="false" outlineLevel="0" collapsed="false">
      <c r="A302" s="15" t="s">
        <v>228</v>
      </c>
      <c r="B302" s="15" t="s">
        <v>194</v>
      </c>
      <c r="C302" s="15" t="s">
        <v>229</v>
      </c>
      <c r="D302" s="15" t="s">
        <v>456</v>
      </c>
      <c r="E302" s="16" t="n">
        <v>8.5</v>
      </c>
      <c r="F302" s="15" t="s">
        <v>805</v>
      </c>
      <c r="G302" s="8" t="n">
        <v>11</v>
      </c>
      <c r="H302" s="15" t="s">
        <v>894</v>
      </c>
      <c r="I302" s="15" t="s">
        <v>283</v>
      </c>
      <c r="J302" s="15" t="s">
        <v>813</v>
      </c>
      <c r="K302" s="8" t="n">
        <v>8</v>
      </c>
      <c r="L302" s="8" t="n">
        <v>0</v>
      </c>
      <c r="M302" s="8" t="n">
        <v>3</v>
      </c>
      <c r="N302" s="8" t="n">
        <v>136</v>
      </c>
      <c r="O302" s="8" t="n">
        <v>6</v>
      </c>
      <c r="P302" s="9" t="n">
        <v>110.326375172009</v>
      </c>
      <c r="Q302" s="10" t="n">
        <v>0.0090640157300637</v>
      </c>
      <c r="R302" s="9" t="n">
        <v>41</v>
      </c>
      <c r="S302" s="12" t="n">
        <f aca="false">IF(AND(ISNUMBER(R302),R302&gt;1,P302&gt;0),R302/P302-1,"")</f>
        <v>-0.628375355067388</v>
      </c>
      <c r="T302" s="9" t="n">
        <f aca="false">IF(AND(ISNUMBER(P302),P302&gt;0),P302*EXP('Read me'!$B$22),"")</f>
        <v>134.752938932905</v>
      </c>
    </row>
    <row r="303" customFormat="false" ht="15" hidden="false" customHeight="false" outlineLevel="0" collapsed="false">
      <c r="A303" s="15" t="s">
        <v>228</v>
      </c>
      <c r="B303" s="15" t="s">
        <v>194</v>
      </c>
      <c r="C303" s="15" t="s">
        <v>229</v>
      </c>
      <c r="D303" s="15" t="s">
        <v>456</v>
      </c>
      <c r="E303" s="16" t="n">
        <v>8.5</v>
      </c>
      <c r="F303" s="15" t="s">
        <v>805</v>
      </c>
      <c r="G303" s="8" t="n">
        <v>11</v>
      </c>
      <c r="H303" s="15" t="s">
        <v>895</v>
      </c>
      <c r="I303" s="15" t="s">
        <v>896</v>
      </c>
      <c r="J303" s="15" t="s">
        <v>545</v>
      </c>
      <c r="K303" s="8" t="n">
        <v>6</v>
      </c>
      <c r="L303" s="8" t="n">
        <v>0</v>
      </c>
      <c r="M303" s="8" t="n">
        <v>3</v>
      </c>
      <c r="N303" s="8"/>
      <c r="O303" s="8" t="n">
        <v>7</v>
      </c>
      <c r="P303" s="9" t="n">
        <v>251.551075258933</v>
      </c>
      <c r="Q303" s="10" t="n">
        <v>0.0039753358198554</v>
      </c>
      <c r="R303" s="9" t="n">
        <v>81</v>
      </c>
      <c r="S303" s="12" t="n">
        <f aca="false">IF(AND(ISNUMBER(R303),R303&gt;1,P303&gt;0),R303/P303-1,"")</f>
        <v>-0.677997798591706</v>
      </c>
      <c r="T303" s="9" t="n">
        <f aca="false">IF(AND(ISNUMBER(P303),P303&gt;0),P303*EXP('Read me'!$B$22),"")</f>
        <v>307.245177139417</v>
      </c>
    </row>
    <row r="304" customFormat="false" ht="15" hidden="false" customHeight="false" outlineLevel="0" collapsed="false">
      <c r="A304" s="15" t="s">
        <v>228</v>
      </c>
      <c r="B304" s="15" t="s">
        <v>194</v>
      </c>
      <c r="C304" s="15" t="s">
        <v>229</v>
      </c>
      <c r="D304" s="15" t="s">
        <v>456</v>
      </c>
      <c r="E304" s="16" t="n">
        <v>8.5</v>
      </c>
      <c r="F304" s="15" t="s">
        <v>805</v>
      </c>
      <c r="G304" s="8" t="n">
        <v>11</v>
      </c>
      <c r="H304" s="15" t="s">
        <v>897</v>
      </c>
      <c r="I304" s="15" t="s">
        <v>898</v>
      </c>
      <c r="J304" s="15" t="s">
        <v>899</v>
      </c>
      <c r="K304" s="8" t="n">
        <v>3</v>
      </c>
      <c r="L304" s="8" t="n">
        <v>0</v>
      </c>
      <c r="M304" s="8" t="n">
        <v>3</v>
      </c>
      <c r="N304" s="8" t="n">
        <v>38</v>
      </c>
      <c r="O304" s="8" t="n">
        <v>8</v>
      </c>
      <c r="P304" s="9" t="n">
        <v>733.914060089419</v>
      </c>
      <c r="Q304" s="10" t="n">
        <v>0.0013625573543013</v>
      </c>
      <c r="R304" s="9" t="n">
        <v>126</v>
      </c>
      <c r="S304" s="12" t="n">
        <f aca="false">IF(AND(ISNUMBER(R304),R304&gt;1,P304&gt;0),R304/P304-1,"")</f>
        <v>-0.82831777335803</v>
      </c>
      <c r="T304" s="9" t="n">
        <f aca="false">IF(AND(ISNUMBER(P304),P304&gt;0),P304*EXP('Read me'!$B$22),"")</f>
        <v>896.404657245745</v>
      </c>
    </row>
    <row r="305" customFormat="false" ht="15" hidden="false" customHeight="false" outlineLevel="0" collapsed="false">
      <c r="A305" s="15" t="s">
        <v>228</v>
      </c>
      <c r="B305" s="15" t="s">
        <v>194</v>
      </c>
      <c r="C305" s="15" t="s">
        <v>229</v>
      </c>
      <c r="D305" s="15" t="s">
        <v>456</v>
      </c>
      <c r="E305" s="16" t="n">
        <v>8.5</v>
      </c>
      <c r="F305" s="15" t="s">
        <v>805</v>
      </c>
      <c r="G305" s="8" t="n">
        <v>11</v>
      </c>
      <c r="H305" s="15" t="s">
        <v>900</v>
      </c>
      <c r="I305" s="15" t="s">
        <v>901</v>
      </c>
      <c r="J305" s="15" t="s">
        <v>902</v>
      </c>
      <c r="K305" s="8" t="n">
        <v>1</v>
      </c>
      <c r="L305" s="8" t="n">
        <v>0</v>
      </c>
      <c r="M305" s="8" t="n">
        <v>3</v>
      </c>
      <c r="N305" s="8"/>
      <c r="O305" s="8" t="n">
        <v>9</v>
      </c>
      <c r="P305" s="9" t="n">
        <v>1565.89187839792</v>
      </c>
      <c r="Q305" s="10" t="n">
        <v>0.0006386136959999</v>
      </c>
      <c r="R305" s="9" t="n">
        <v>201</v>
      </c>
      <c r="S305" s="12" t="n">
        <f aca="false">IF(AND(ISNUMBER(R305),R305&gt;1,P305&gt;0),R305/P305-1,"")</f>
        <v>-0.87163864710401</v>
      </c>
      <c r="T305" s="9" t="n">
        <f aca="false">IF(AND(ISNUMBER(P305),P305&gt;0),P305*EXP('Read me'!$B$22),"")</f>
        <v>1912.58465925583</v>
      </c>
    </row>
    <row r="306" customFormat="false" ht="15" hidden="false" customHeight="false" outlineLevel="0" collapsed="false">
      <c r="A306" s="15" t="s">
        <v>228</v>
      </c>
      <c r="B306" s="15" t="s">
        <v>194</v>
      </c>
      <c r="C306" s="15" t="s">
        <v>229</v>
      </c>
      <c r="D306" s="15" t="s">
        <v>456</v>
      </c>
      <c r="E306" s="16" t="n">
        <v>8.5</v>
      </c>
      <c r="F306" s="15" t="s">
        <v>805</v>
      </c>
      <c r="G306" s="8" t="n">
        <v>11</v>
      </c>
      <c r="H306" s="15" t="s">
        <v>903</v>
      </c>
      <c r="I306" s="15" t="s">
        <v>904</v>
      </c>
      <c r="J306" s="15" t="s">
        <v>635</v>
      </c>
      <c r="K306" s="8" t="n">
        <v>2</v>
      </c>
      <c r="L306" s="8" t="n">
        <v>0</v>
      </c>
      <c r="M306" s="8" t="n">
        <v>3</v>
      </c>
      <c r="N306" s="8" t="n">
        <v>77</v>
      </c>
      <c r="O306" s="8" t="n">
        <v>10</v>
      </c>
      <c r="P306" s="9" t="n">
        <v>1681.36135610906</v>
      </c>
      <c r="Q306" s="10" t="n">
        <v>0.0005947561458853</v>
      </c>
      <c r="R306" s="9" t="n">
        <v>251</v>
      </c>
      <c r="S306" s="12" t="n">
        <f aca="false">IF(AND(ISNUMBER(R306),R306&gt;1,P306&gt;0),R306/P306-1,"")</f>
        <v>-0.850716207382776</v>
      </c>
      <c r="T306" s="9" t="n">
        <f aca="false">IF(AND(ISNUMBER(P306),P306&gt;0),P306*EXP('Read me'!$B$22),"")</f>
        <v>2053.61939781553</v>
      </c>
    </row>
    <row r="307" customFormat="false" ht="15" hidden="false" customHeight="false" outlineLevel="0" collapsed="false">
      <c r="A307" s="15" t="s">
        <v>228</v>
      </c>
      <c r="B307" s="15" t="s">
        <v>194</v>
      </c>
      <c r="C307" s="15" t="s">
        <v>229</v>
      </c>
      <c r="D307" s="15" t="s">
        <v>456</v>
      </c>
      <c r="E307" s="16" t="n">
        <v>8.5</v>
      </c>
      <c r="F307" s="15" t="s">
        <v>805</v>
      </c>
      <c r="G307" s="8" t="n">
        <v>11</v>
      </c>
      <c r="H307" s="15" t="s">
        <v>905</v>
      </c>
      <c r="I307" s="15" t="s">
        <v>906</v>
      </c>
      <c r="J307" s="15" t="s">
        <v>907</v>
      </c>
      <c r="K307" s="8" t="n">
        <v>11</v>
      </c>
      <c r="L307" s="8" t="n">
        <v>0</v>
      </c>
      <c r="M307" s="8" t="n">
        <v>4</v>
      </c>
      <c r="N307" s="8" t="n">
        <v>7</v>
      </c>
      <c r="O307" s="8" t="n">
        <v>11</v>
      </c>
      <c r="P307" s="9" t="n">
        <v>1789.09457660942</v>
      </c>
      <c r="Q307" s="10" t="n">
        <v>0.0005589419436367</v>
      </c>
      <c r="R307" s="9" t="n">
        <v>201</v>
      </c>
      <c r="S307" s="12" t="n">
        <f aca="false">IF(AND(ISNUMBER(R307),R307&gt;1,P307&gt;0),R307/P307-1,"")</f>
        <v>-0.887652669329018</v>
      </c>
      <c r="T307" s="9" t="n">
        <f aca="false">IF(AND(ISNUMBER(P307),P307&gt;0),P307*EXP('Read me'!$B$22),"")</f>
        <v>2185.20505048015</v>
      </c>
    </row>
    <row r="308" customFormat="false" ht="15" hidden="false" customHeight="false" outlineLevel="0" collapsed="false">
      <c r="A308" s="15" t="s">
        <v>234</v>
      </c>
      <c r="B308" s="15" t="s">
        <v>49</v>
      </c>
      <c r="C308" s="15" t="s">
        <v>235</v>
      </c>
      <c r="D308" s="15" t="s">
        <v>370</v>
      </c>
      <c r="E308" s="16" t="n">
        <v>6</v>
      </c>
      <c r="F308" s="15" t="s">
        <v>371</v>
      </c>
      <c r="G308" s="8" t="n">
        <v>8</v>
      </c>
      <c r="H308" s="15" t="s">
        <v>236</v>
      </c>
      <c r="I308" s="15" t="s">
        <v>237</v>
      </c>
      <c r="J308" s="15" t="s">
        <v>238</v>
      </c>
      <c r="K308" s="8" t="n">
        <v>4</v>
      </c>
      <c r="L308" s="8" t="n">
        <v>53</v>
      </c>
      <c r="M308" s="8" t="n">
        <v>3</v>
      </c>
      <c r="N308" s="8" t="n">
        <v>6</v>
      </c>
      <c r="O308" s="8" t="n">
        <v>1</v>
      </c>
      <c r="P308" s="9" t="n">
        <v>3.12421020571934</v>
      </c>
      <c r="Q308" s="10" t="n">
        <v>0.320080895379367</v>
      </c>
      <c r="R308" s="9" t="n">
        <v>3.5</v>
      </c>
      <c r="S308" s="12" t="n">
        <f aca="false">IF(AND(ISNUMBER(R308),R308&gt;1,P308&gt;0),R308/P308-1,"")</f>
        <v>0.120283133827783</v>
      </c>
      <c r="T308" s="9" t="n">
        <f aca="false">IF(AND(ISNUMBER(P308),P308&gt;0),P308*EXP('Read me'!$B$22),"")</f>
        <v>3.81591896233775</v>
      </c>
    </row>
    <row r="309" customFormat="false" ht="15" hidden="false" customHeight="false" outlineLevel="0" collapsed="false">
      <c r="A309" s="15" t="s">
        <v>234</v>
      </c>
      <c r="B309" s="15" t="s">
        <v>49</v>
      </c>
      <c r="C309" s="15" t="s">
        <v>235</v>
      </c>
      <c r="D309" s="15" t="s">
        <v>370</v>
      </c>
      <c r="E309" s="16" t="n">
        <v>6</v>
      </c>
      <c r="F309" s="15" t="s">
        <v>371</v>
      </c>
      <c r="G309" s="8" t="n">
        <v>8</v>
      </c>
      <c r="H309" s="15" t="s">
        <v>239</v>
      </c>
      <c r="I309" s="15" t="s">
        <v>378</v>
      </c>
      <c r="J309" s="15" t="s">
        <v>379</v>
      </c>
      <c r="K309" s="8" t="n">
        <v>3</v>
      </c>
      <c r="L309" s="8" t="n">
        <v>54</v>
      </c>
      <c r="M309" s="8" t="n">
        <v>7</v>
      </c>
      <c r="N309" s="8" t="n">
        <v>13</v>
      </c>
      <c r="O309" s="8" t="n">
        <v>2</v>
      </c>
      <c r="P309" s="9" t="n">
        <v>5.17303098925536</v>
      </c>
      <c r="Q309" s="10" t="n">
        <v>0.193310266665143</v>
      </c>
      <c r="R309" s="9" t="n">
        <v>4.5</v>
      </c>
      <c r="S309" s="12" t="n">
        <f aca="false">IF(AND(ISNUMBER(R309),R309&gt;1,P309&gt;0),R309/P309-1,"")</f>
        <v>-0.130103800006859</v>
      </c>
      <c r="T309" s="9" t="n">
        <f aca="false">IF(AND(ISNUMBER(P309),P309&gt;0),P309*EXP('Read me'!$B$22),"")</f>
        <v>6.31835431832453</v>
      </c>
    </row>
    <row r="310" customFormat="false" ht="15" hidden="false" customHeight="false" outlineLevel="0" collapsed="false">
      <c r="A310" s="15" t="s">
        <v>234</v>
      </c>
      <c r="B310" s="15" t="s">
        <v>49</v>
      </c>
      <c r="C310" s="15" t="s">
        <v>235</v>
      </c>
      <c r="D310" s="15" t="s">
        <v>370</v>
      </c>
      <c r="E310" s="16" t="n">
        <v>6</v>
      </c>
      <c r="F310" s="15" t="s">
        <v>371</v>
      </c>
      <c r="G310" s="8" t="n">
        <v>8</v>
      </c>
      <c r="H310" s="15" t="s">
        <v>908</v>
      </c>
      <c r="I310" s="15" t="s">
        <v>550</v>
      </c>
      <c r="J310" s="15" t="s">
        <v>738</v>
      </c>
      <c r="K310" s="8" t="n">
        <v>2</v>
      </c>
      <c r="L310" s="8" t="n">
        <v>60</v>
      </c>
      <c r="M310" s="8" t="n">
        <v>5</v>
      </c>
      <c r="N310" s="8" t="n">
        <v>15</v>
      </c>
      <c r="O310" s="8" t="n">
        <v>3</v>
      </c>
      <c r="P310" s="9" t="n">
        <v>5.65188330014704</v>
      </c>
      <c r="Q310" s="10" t="n">
        <v>0.176932174090357</v>
      </c>
      <c r="R310" s="9" t="n">
        <v>5</v>
      </c>
      <c r="S310" s="12" t="n">
        <f aca="false">IF(AND(ISNUMBER(R310),R310&gt;1,P310&gt;0),R310/P310-1,"")</f>
        <v>-0.115339129548213</v>
      </c>
      <c r="T310" s="9" t="n">
        <f aca="false">IF(AND(ISNUMBER(P310),P310&gt;0),P310*EXP('Read me'!$B$22),"")</f>
        <v>6.903225851599</v>
      </c>
    </row>
    <row r="311" customFormat="false" ht="15" hidden="false" customHeight="false" outlineLevel="0" collapsed="false">
      <c r="A311" s="15" t="s">
        <v>234</v>
      </c>
      <c r="B311" s="15" t="s">
        <v>49</v>
      </c>
      <c r="C311" s="15" t="s">
        <v>235</v>
      </c>
      <c r="D311" s="15" t="s">
        <v>370</v>
      </c>
      <c r="E311" s="16" t="n">
        <v>6</v>
      </c>
      <c r="F311" s="15" t="s">
        <v>371</v>
      </c>
      <c r="G311" s="8" t="n">
        <v>8</v>
      </c>
      <c r="H311" s="15" t="s">
        <v>909</v>
      </c>
      <c r="I311" s="15" t="s">
        <v>910</v>
      </c>
      <c r="J311" s="15" t="s">
        <v>387</v>
      </c>
      <c r="K311" s="8" t="n">
        <v>5</v>
      </c>
      <c r="L311" s="8" t="n">
        <v>57</v>
      </c>
      <c r="M311" s="8" t="n">
        <v>7</v>
      </c>
      <c r="N311" s="8" t="n">
        <v>15</v>
      </c>
      <c r="O311" s="8" t="n">
        <v>4</v>
      </c>
      <c r="P311" s="9" t="n">
        <v>10.7988572615345</v>
      </c>
      <c r="Q311" s="10" t="n">
        <v>0.0926023907698081</v>
      </c>
      <c r="R311" s="9" t="n">
        <v>8</v>
      </c>
      <c r="S311" s="12" t="n">
        <f aca="false">IF(AND(ISNUMBER(R311),R311&gt;1,P311&gt;0),R311/P311-1,"")</f>
        <v>-0.259180873841535</v>
      </c>
      <c r="T311" s="9" t="n">
        <f aca="false">IF(AND(ISNUMBER(P311),P311&gt;0),P311*EXP('Read me'!$B$22),"")</f>
        <v>13.1897540442162</v>
      </c>
    </row>
    <row r="312" customFormat="false" ht="15" hidden="false" customHeight="false" outlineLevel="0" collapsed="false">
      <c r="A312" s="15" t="s">
        <v>234</v>
      </c>
      <c r="B312" s="15" t="s">
        <v>49</v>
      </c>
      <c r="C312" s="15" t="s">
        <v>235</v>
      </c>
      <c r="D312" s="15" t="s">
        <v>370</v>
      </c>
      <c r="E312" s="16" t="n">
        <v>6</v>
      </c>
      <c r="F312" s="15" t="s">
        <v>371</v>
      </c>
      <c r="G312" s="8" t="n">
        <v>8</v>
      </c>
      <c r="H312" s="15" t="s">
        <v>911</v>
      </c>
      <c r="I312" s="15" t="s">
        <v>912</v>
      </c>
      <c r="J312" s="15" t="s">
        <v>632</v>
      </c>
      <c r="K312" s="8" t="n">
        <v>7</v>
      </c>
      <c r="L312" s="8" t="n">
        <v>47</v>
      </c>
      <c r="M312" s="8" t="n">
        <v>5</v>
      </c>
      <c r="N312" s="8" t="n">
        <v>26</v>
      </c>
      <c r="O312" s="8" t="n">
        <v>5</v>
      </c>
      <c r="P312" s="9" t="n">
        <v>10.8350640775274</v>
      </c>
      <c r="Q312" s="10" t="n">
        <v>0.0922929474938743</v>
      </c>
      <c r="R312" s="9" t="n">
        <v>7</v>
      </c>
      <c r="S312" s="12" t="n">
        <f aca="false">IF(AND(ISNUMBER(R312),R312&gt;1,P312&gt;0),R312/P312-1,"")</f>
        <v>-0.353949367542879</v>
      </c>
      <c r="T312" s="9" t="n">
        <f aca="false">IF(AND(ISNUMBER(P312),P312&gt;0),P312*EXP('Read me'!$B$22),"")</f>
        <v>13.2339771491341</v>
      </c>
    </row>
    <row r="313" customFormat="false" ht="15" hidden="false" customHeight="false" outlineLevel="0" collapsed="false">
      <c r="A313" s="15" t="s">
        <v>234</v>
      </c>
      <c r="B313" s="15" t="s">
        <v>49</v>
      </c>
      <c r="C313" s="15" t="s">
        <v>235</v>
      </c>
      <c r="D313" s="15" t="s">
        <v>370</v>
      </c>
      <c r="E313" s="16" t="n">
        <v>6</v>
      </c>
      <c r="F313" s="15" t="s">
        <v>371</v>
      </c>
      <c r="G313" s="8" t="n">
        <v>8</v>
      </c>
      <c r="H313" s="15" t="s">
        <v>913</v>
      </c>
      <c r="I313" s="15" t="s">
        <v>914</v>
      </c>
      <c r="J313" s="15" t="s">
        <v>915</v>
      </c>
      <c r="K313" s="8" t="n">
        <v>1</v>
      </c>
      <c r="L313" s="8" t="n">
        <v>58</v>
      </c>
      <c r="M313" s="8" t="n">
        <v>3</v>
      </c>
      <c r="N313" s="8" t="n">
        <v>18</v>
      </c>
      <c r="O313" s="8" t="n">
        <v>6</v>
      </c>
      <c r="P313" s="9" t="n">
        <v>12.7084204368215</v>
      </c>
      <c r="Q313" s="10" t="n">
        <v>0.0786879852591743</v>
      </c>
      <c r="R313" s="9" t="n">
        <v>10</v>
      </c>
      <c r="S313" s="12" t="n">
        <f aca="false">IF(AND(ISNUMBER(R313),R313&gt;1,P313&gt;0),R313/P313-1,"")</f>
        <v>-0.213120147408256</v>
      </c>
      <c r="T313" s="9" t="n">
        <f aca="false">IF(AND(ISNUMBER(P313),P313&gt;0),P313*EXP('Read me'!$B$22),"")</f>
        <v>15.5220997733928</v>
      </c>
    </row>
    <row r="314" customFormat="false" ht="15" hidden="false" customHeight="false" outlineLevel="0" collapsed="false">
      <c r="A314" s="15" t="s">
        <v>234</v>
      </c>
      <c r="B314" s="15" t="s">
        <v>49</v>
      </c>
      <c r="C314" s="15" t="s">
        <v>235</v>
      </c>
      <c r="D314" s="15" t="s">
        <v>370</v>
      </c>
      <c r="E314" s="16" t="n">
        <v>6</v>
      </c>
      <c r="F314" s="15" t="s">
        <v>371</v>
      </c>
      <c r="G314" s="8" t="n">
        <v>8</v>
      </c>
      <c r="H314" s="15" t="s">
        <v>916</v>
      </c>
      <c r="I314" s="15" t="s">
        <v>171</v>
      </c>
      <c r="J314" s="15" t="s">
        <v>53</v>
      </c>
      <c r="K314" s="8" t="n">
        <v>8</v>
      </c>
      <c r="L314" s="8" t="n">
        <v>46</v>
      </c>
      <c r="M314" s="8" t="n">
        <v>6</v>
      </c>
      <c r="N314" s="8" t="n">
        <v>90</v>
      </c>
      <c r="O314" s="8" t="n">
        <v>7</v>
      </c>
      <c r="P314" s="9" t="n">
        <v>31.1622514394338</v>
      </c>
      <c r="Q314" s="10" t="n">
        <v>0.0320901075438524</v>
      </c>
      <c r="R314" s="9" t="n">
        <v>21</v>
      </c>
      <c r="S314" s="12" t="n">
        <f aca="false">IF(AND(ISNUMBER(R314),R314&gt;1,P314&gt;0),R314/P314-1,"")</f>
        <v>-0.326107741579099</v>
      </c>
      <c r="T314" s="9" t="n">
        <f aca="false">IF(AND(ISNUMBER(P314),P314&gt;0),P314*EXP('Read me'!$B$22),"")</f>
        <v>38.0616598586051</v>
      </c>
    </row>
    <row r="315" customFormat="false" ht="15" hidden="false" customHeight="false" outlineLevel="0" collapsed="false">
      <c r="A315" s="15" t="s">
        <v>234</v>
      </c>
      <c r="B315" s="15" t="s">
        <v>49</v>
      </c>
      <c r="C315" s="15" t="s">
        <v>235</v>
      </c>
      <c r="D315" s="15" t="s">
        <v>370</v>
      </c>
      <c r="E315" s="16" t="n">
        <v>6</v>
      </c>
      <c r="F315" s="15" t="s">
        <v>371</v>
      </c>
      <c r="G315" s="8" t="n">
        <v>8</v>
      </c>
      <c r="H315" s="15" t="s">
        <v>917</v>
      </c>
      <c r="I315" s="15" t="s">
        <v>918</v>
      </c>
      <c r="J315" s="15" t="s">
        <v>632</v>
      </c>
      <c r="K315" s="8" t="n">
        <v>6</v>
      </c>
      <c r="L315" s="8" t="n">
        <v>46</v>
      </c>
      <c r="M315" s="8" t="n">
        <v>6</v>
      </c>
      <c r="N315" s="8" t="n">
        <v>26</v>
      </c>
      <c r="O315" s="8" t="n">
        <v>8</v>
      </c>
      <c r="P315" s="9" t="n">
        <v>71.4120813668503</v>
      </c>
      <c r="Q315" s="10" t="n">
        <v>0.0140032327984239</v>
      </c>
      <c r="R315" s="9" t="n">
        <v>34</v>
      </c>
      <c r="S315" s="12" t="n">
        <f aca="false">IF(AND(ISNUMBER(R315),R315&gt;1,P315&gt;0),R315/P315-1,"")</f>
        <v>-0.523890084853585</v>
      </c>
      <c r="T315" s="9" t="n">
        <f aca="false">IF(AND(ISNUMBER(P315),P315&gt;0),P315*EXP('Read me'!$B$22),"")</f>
        <v>87.2229131474294</v>
      </c>
    </row>
    <row r="316" customFormat="false" ht="15" hidden="false" customHeight="false" outlineLevel="0" collapsed="false">
      <c r="A316" s="15" t="s">
        <v>240</v>
      </c>
      <c r="B316" s="15" t="s">
        <v>56</v>
      </c>
      <c r="C316" s="15" t="s">
        <v>241</v>
      </c>
      <c r="D316" s="15"/>
      <c r="E316" s="16" t="n">
        <v>21.5</v>
      </c>
      <c r="F316" s="15" t="s">
        <v>844</v>
      </c>
      <c r="G316" s="8" t="n">
        <v>10</v>
      </c>
      <c r="H316" s="15" t="s">
        <v>242</v>
      </c>
      <c r="I316" s="15" t="s">
        <v>243</v>
      </c>
      <c r="J316" s="15" t="s">
        <v>244</v>
      </c>
      <c r="K316" s="8" t="n">
        <v>2</v>
      </c>
      <c r="L316" s="8" t="n">
        <v>112</v>
      </c>
      <c r="M316" s="8" t="n">
        <v>7</v>
      </c>
      <c r="N316" s="8" t="n">
        <v>35</v>
      </c>
      <c r="O316" s="8" t="n">
        <v>1</v>
      </c>
      <c r="P316" s="9" t="n">
        <v>4.10679719677629</v>
      </c>
      <c r="Q316" s="10" t="n">
        <v>0.243498753915818</v>
      </c>
      <c r="R316" s="9" t="n">
        <v>4.33333333333333</v>
      </c>
      <c r="S316" s="12" t="n">
        <f aca="false">IF(AND(ISNUMBER(R316),R316&gt;1,P316&gt;0),R316/P316-1,"")</f>
        <v>0.0551612669685446</v>
      </c>
      <c r="T316" s="9" t="n">
        <f aca="false">IF(AND(ISNUMBER(P316),P316&gt;0),P316*EXP('Read me'!$B$22),"")</f>
        <v>5.01605342334701</v>
      </c>
    </row>
    <row r="317" customFormat="false" ht="15" hidden="false" customHeight="false" outlineLevel="0" collapsed="false">
      <c r="A317" s="15" t="s">
        <v>240</v>
      </c>
      <c r="B317" s="15" t="s">
        <v>56</v>
      </c>
      <c r="C317" s="15" t="s">
        <v>241</v>
      </c>
      <c r="D317" s="15"/>
      <c r="E317" s="16" t="n">
        <v>21.5</v>
      </c>
      <c r="F317" s="15" t="s">
        <v>844</v>
      </c>
      <c r="G317" s="8" t="n">
        <v>10</v>
      </c>
      <c r="H317" s="15" t="s">
        <v>245</v>
      </c>
      <c r="I317" s="15" t="s">
        <v>654</v>
      </c>
      <c r="J317" s="15" t="s">
        <v>538</v>
      </c>
      <c r="K317" s="8" t="n">
        <v>8</v>
      </c>
      <c r="L317" s="8" t="n">
        <v>98</v>
      </c>
      <c r="M317" s="8" t="n">
        <v>6</v>
      </c>
      <c r="N317" s="8" t="n">
        <v>17</v>
      </c>
      <c r="O317" s="8" t="n">
        <v>2</v>
      </c>
      <c r="P317" s="9" t="n">
        <v>5.37718867932138</v>
      </c>
      <c r="Q317" s="10" t="n">
        <v>0.185970785039703</v>
      </c>
      <c r="R317" s="9" t="n">
        <v>4.5</v>
      </c>
      <c r="S317" s="12" t="n">
        <f aca="false">IF(AND(ISNUMBER(R317),R317&gt;1,P317&gt;0),R317/P317-1,"")</f>
        <v>-0.163131467321336</v>
      </c>
      <c r="T317" s="9" t="n">
        <f aca="false">IF(AND(ISNUMBER(P317),P317&gt;0),P317*EXP('Read me'!$B$22),"")</f>
        <v>6.56771308407077</v>
      </c>
    </row>
    <row r="318" customFormat="false" ht="15" hidden="false" customHeight="false" outlineLevel="0" collapsed="false">
      <c r="A318" s="15" t="s">
        <v>240</v>
      </c>
      <c r="B318" s="15" t="s">
        <v>56</v>
      </c>
      <c r="C318" s="15" t="s">
        <v>241</v>
      </c>
      <c r="D318" s="15"/>
      <c r="E318" s="16" t="n">
        <v>21.5</v>
      </c>
      <c r="F318" s="15" t="s">
        <v>844</v>
      </c>
      <c r="G318" s="8" t="n">
        <v>10</v>
      </c>
      <c r="H318" s="15" t="s">
        <v>919</v>
      </c>
      <c r="I318" s="15" t="s">
        <v>91</v>
      </c>
      <c r="J318" s="15" t="s">
        <v>920</v>
      </c>
      <c r="K318" s="8" t="n">
        <v>7</v>
      </c>
      <c r="L318" s="8" t="n">
        <v>100</v>
      </c>
      <c r="M318" s="8" t="n">
        <v>10</v>
      </c>
      <c r="N318" s="8" t="n">
        <v>8</v>
      </c>
      <c r="O318" s="8" t="n">
        <v>3</v>
      </c>
      <c r="P318" s="9" t="n">
        <v>6.91089603021005</v>
      </c>
      <c r="Q318" s="10" t="n">
        <v>0.144699036945229</v>
      </c>
      <c r="R318" s="9" t="n">
        <v>7.5</v>
      </c>
      <c r="S318" s="12" t="n">
        <f aca="false">IF(AND(ISNUMBER(R318),R318&gt;1,P318&gt;0),R318/P318-1,"")</f>
        <v>0.0852427770892177</v>
      </c>
      <c r="T318" s="9" t="n">
        <f aca="false">IF(AND(ISNUMBER(P318),P318&gt;0),P318*EXP('Read me'!$B$22),"")</f>
        <v>8.44098747265672</v>
      </c>
    </row>
    <row r="319" customFormat="false" ht="15" hidden="false" customHeight="false" outlineLevel="0" collapsed="false">
      <c r="A319" s="15" t="s">
        <v>240</v>
      </c>
      <c r="B319" s="15" t="s">
        <v>56</v>
      </c>
      <c r="C319" s="15" t="s">
        <v>241</v>
      </c>
      <c r="D319" s="15"/>
      <c r="E319" s="16" t="n">
        <v>21.5</v>
      </c>
      <c r="F319" s="15" t="s">
        <v>844</v>
      </c>
      <c r="G319" s="8" t="n">
        <v>10</v>
      </c>
      <c r="H319" s="15" t="s">
        <v>921</v>
      </c>
      <c r="I319" s="15" t="s">
        <v>481</v>
      </c>
      <c r="J319" s="15" t="s">
        <v>482</v>
      </c>
      <c r="K319" s="8" t="n">
        <v>10</v>
      </c>
      <c r="L319" s="8" t="n">
        <v>88</v>
      </c>
      <c r="M319" s="8" t="n">
        <v>6</v>
      </c>
      <c r="N319" s="8" t="n">
        <v>50</v>
      </c>
      <c r="O319" s="8" t="n">
        <v>4</v>
      </c>
      <c r="P319" s="9" t="n">
        <v>9.08223963439576</v>
      </c>
      <c r="Q319" s="10" t="n">
        <v>0.110105000556565</v>
      </c>
      <c r="R319" s="9" t="n">
        <v>4</v>
      </c>
      <c r="S319" s="12" t="n">
        <f aca="false">IF(AND(ISNUMBER(R319),R319&gt;1,P319&gt;0),R319/P319-1,"")</f>
        <v>-0.559579997773741</v>
      </c>
      <c r="T319" s="9" t="n">
        <f aca="false">IF(AND(ISNUMBER(P319),P319&gt;0),P319*EXP('Read me'!$B$22),"")</f>
        <v>11.0930725397226</v>
      </c>
    </row>
    <row r="320" customFormat="false" ht="15" hidden="false" customHeight="false" outlineLevel="0" collapsed="false">
      <c r="A320" s="15" t="s">
        <v>240</v>
      </c>
      <c r="B320" s="15" t="s">
        <v>56</v>
      </c>
      <c r="C320" s="15" t="s">
        <v>241</v>
      </c>
      <c r="D320" s="15"/>
      <c r="E320" s="16" t="n">
        <v>21.5</v>
      </c>
      <c r="F320" s="15" t="s">
        <v>844</v>
      </c>
      <c r="G320" s="8" t="n">
        <v>10</v>
      </c>
      <c r="H320" s="15" t="s">
        <v>922</v>
      </c>
      <c r="I320" s="15" t="s">
        <v>150</v>
      </c>
      <c r="J320" s="15" t="s">
        <v>176</v>
      </c>
      <c r="K320" s="8" t="n">
        <v>1</v>
      </c>
      <c r="L320" s="8" t="n">
        <v>116</v>
      </c>
      <c r="M320" s="8" t="n">
        <v>7</v>
      </c>
      <c r="N320" s="8" t="n">
        <v>43</v>
      </c>
      <c r="O320" s="8" t="n">
        <v>5</v>
      </c>
      <c r="P320" s="9" t="n">
        <v>9.16803129912776</v>
      </c>
      <c r="Q320" s="10" t="n">
        <v>0.109074671254137</v>
      </c>
      <c r="R320" s="9" t="n">
        <v>13</v>
      </c>
      <c r="S320" s="12" t="n">
        <f aca="false">IF(AND(ISNUMBER(R320),R320&gt;1,P320&gt;0),R320/P320-1,"")</f>
        <v>0.417970726303783</v>
      </c>
      <c r="T320" s="9" t="n">
        <f aca="false">IF(AND(ISNUMBER(P320),P320&gt;0),P320*EXP('Read me'!$B$22),"")</f>
        <v>11.1978587156534</v>
      </c>
    </row>
    <row r="321" customFormat="false" ht="15" hidden="false" customHeight="false" outlineLevel="0" collapsed="false">
      <c r="A321" s="15" t="s">
        <v>240</v>
      </c>
      <c r="B321" s="15" t="s">
        <v>56</v>
      </c>
      <c r="C321" s="15" t="s">
        <v>241</v>
      </c>
      <c r="D321" s="15"/>
      <c r="E321" s="16" t="n">
        <v>21.5</v>
      </c>
      <c r="F321" s="15" t="s">
        <v>844</v>
      </c>
      <c r="G321" s="8" t="n">
        <v>10</v>
      </c>
      <c r="H321" s="15" t="s">
        <v>923</v>
      </c>
      <c r="I321" s="15" t="s">
        <v>398</v>
      </c>
      <c r="J321" s="15" t="s">
        <v>468</v>
      </c>
      <c r="K321" s="8" t="n">
        <v>9</v>
      </c>
      <c r="L321" s="8" t="n">
        <v>97</v>
      </c>
      <c r="M321" s="8" t="n">
        <v>7</v>
      </c>
      <c r="N321" s="8" t="n">
        <v>39</v>
      </c>
      <c r="O321" s="8" t="n">
        <v>6</v>
      </c>
      <c r="P321" s="9" t="n">
        <v>13.3131558157724</v>
      </c>
      <c r="Q321" s="10" t="n">
        <v>0.0751136705555022</v>
      </c>
      <c r="R321" s="9" t="n">
        <v>10</v>
      </c>
      <c r="S321" s="12" t="n">
        <f aca="false">IF(AND(ISNUMBER(R321),R321&gt;1,P321&gt;0),R321/P321-1,"")</f>
        <v>-0.248863294444977</v>
      </c>
      <c r="T321" s="9" t="n">
        <f aca="false">IF(AND(ISNUMBER(P321),P321&gt;0),P321*EXP('Read me'!$B$22),"")</f>
        <v>16.2607252332006</v>
      </c>
    </row>
    <row r="322" customFormat="false" ht="15" hidden="false" customHeight="false" outlineLevel="0" collapsed="false">
      <c r="A322" s="15" t="s">
        <v>240</v>
      </c>
      <c r="B322" s="15" t="s">
        <v>56</v>
      </c>
      <c r="C322" s="15" t="s">
        <v>241</v>
      </c>
      <c r="D322" s="15"/>
      <c r="E322" s="16" t="n">
        <v>21.5</v>
      </c>
      <c r="F322" s="15" t="s">
        <v>844</v>
      </c>
      <c r="G322" s="8" t="n">
        <v>10</v>
      </c>
      <c r="H322" s="15" t="s">
        <v>924</v>
      </c>
      <c r="I322" s="15" t="s">
        <v>757</v>
      </c>
      <c r="J322" s="15" t="s">
        <v>665</v>
      </c>
      <c r="K322" s="8" t="n">
        <v>6</v>
      </c>
      <c r="L322" s="8" t="n">
        <v>102</v>
      </c>
      <c r="M322" s="8" t="n">
        <v>7</v>
      </c>
      <c r="N322" s="8" t="n">
        <v>17</v>
      </c>
      <c r="O322" s="8" t="n">
        <v>7</v>
      </c>
      <c r="P322" s="9" t="n">
        <v>21.3709416083969</v>
      </c>
      <c r="Q322" s="10" t="n">
        <v>0.0467925100505206</v>
      </c>
      <c r="R322" s="9" t="n">
        <v>8.5</v>
      </c>
      <c r="S322" s="12" t="n">
        <f aca="false">IF(AND(ISNUMBER(R322),R322&gt;1,P322&gt;0),R322/P322-1,"")</f>
        <v>-0.602263664570574</v>
      </c>
      <c r="T322" s="9" t="n">
        <f aca="false">IF(AND(ISNUMBER(P322),P322&gt;0),P322*EXP('Read me'!$B$22),"")</f>
        <v>26.1025270249759</v>
      </c>
    </row>
    <row r="323" customFormat="false" ht="15" hidden="false" customHeight="false" outlineLevel="0" collapsed="false">
      <c r="A323" s="15" t="s">
        <v>240</v>
      </c>
      <c r="B323" s="15" t="s">
        <v>56</v>
      </c>
      <c r="C323" s="15" t="s">
        <v>241</v>
      </c>
      <c r="D323" s="15"/>
      <c r="E323" s="16" t="n">
        <v>21.5</v>
      </c>
      <c r="F323" s="15" t="s">
        <v>844</v>
      </c>
      <c r="G323" s="8" t="n">
        <v>10</v>
      </c>
      <c r="H323" s="15" t="s">
        <v>925</v>
      </c>
      <c r="I323" s="15" t="s">
        <v>391</v>
      </c>
      <c r="J323" s="15" t="s">
        <v>926</v>
      </c>
      <c r="K323" s="8" t="n">
        <v>4</v>
      </c>
      <c r="L323" s="8" t="n">
        <v>110</v>
      </c>
      <c r="M323" s="8" t="n">
        <v>8</v>
      </c>
      <c r="N323" s="8" t="n">
        <v>8</v>
      </c>
      <c r="O323" s="8" t="n">
        <v>8</v>
      </c>
      <c r="P323" s="9" t="n">
        <v>24.1450236574205</v>
      </c>
      <c r="Q323" s="10" t="n">
        <v>0.0414164017475572</v>
      </c>
      <c r="R323" s="9" t="n">
        <v>26</v>
      </c>
      <c r="S323" s="12" t="n">
        <f aca="false">IF(AND(ISNUMBER(R323),R323&gt;1,P323&gt;0),R323/P323-1,"")</f>
        <v>0.0768264454364878</v>
      </c>
      <c r="T323" s="9" t="n">
        <f aca="false">IF(AND(ISNUMBER(P323),P323&gt;0),P323*EXP('Read me'!$B$22),"")</f>
        <v>29.4907984910159</v>
      </c>
    </row>
    <row r="324" customFormat="false" ht="15" hidden="false" customHeight="false" outlineLevel="0" collapsed="false">
      <c r="A324" s="15" t="s">
        <v>240</v>
      </c>
      <c r="B324" s="15" t="s">
        <v>56</v>
      </c>
      <c r="C324" s="15" t="s">
        <v>241</v>
      </c>
      <c r="D324" s="15"/>
      <c r="E324" s="16" t="n">
        <v>21.5</v>
      </c>
      <c r="F324" s="15" t="s">
        <v>844</v>
      </c>
      <c r="G324" s="8" t="n">
        <v>10</v>
      </c>
      <c r="H324" s="15" t="s">
        <v>927</v>
      </c>
      <c r="I324" s="15" t="s">
        <v>405</v>
      </c>
      <c r="J324" s="15" t="s">
        <v>60</v>
      </c>
      <c r="K324" s="8" t="n">
        <v>5</v>
      </c>
      <c r="L324" s="8" t="n">
        <v>110</v>
      </c>
      <c r="M324" s="8" t="n">
        <v>7</v>
      </c>
      <c r="N324" s="8" t="n">
        <v>113</v>
      </c>
      <c r="O324" s="8" t="n">
        <v>9</v>
      </c>
      <c r="P324" s="9" t="n">
        <v>40.8590399351295</v>
      </c>
      <c r="Q324" s="10" t="n">
        <v>0.0244743880812585</v>
      </c>
      <c r="R324" s="9" t="n">
        <v>29</v>
      </c>
      <c r="S324" s="12" t="n">
        <f aca="false">IF(AND(ISNUMBER(R324),R324&gt;1,P324&gt;0),R324/P324-1,"")</f>
        <v>-0.290242745643502</v>
      </c>
      <c r="T324" s="9" t="n">
        <f aca="false">IF(AND(ISNUMBER(P324),P324&gt;0),P324*EXP('Read me'!$B$22),"")</f>
        <v>49.9053440725437</v>
      </c>
    </row>
    <row r="325" customFormat="false" ht="15" hidden="false" customHeight="false" outlineLevel="0" collapsed="false">
      <c r="A325" s="15" t="s">
        <v>240</v>
      </c>
      <c r="B325" s="15" t="s">
        <v>56</v>
      </c>
      <c r="C325" s="15" t="s">
        <v>241</v>
      </c>
      <c r="D325" s="15"/>
      <c r="E325" s="16" t="n">
        <v>21.5</v>
      </c>
      <c r="F325" s="15" t="s">
        <v>844</v>
      </c>
      <c r="G325" s="8" t="n">
        <v>10</v>
      </c>
      <c r="H325" s="15" t="s">
        <v>928</v>
      </c>
      <c r="I325" s="15" t="s">
        <v>669</v>
      </c>
      <c r="J325" s="15" t="s">
        <v>670</v>
      </c>
      <c r="K325" s="8" t="n">
        <v>3</v>
      </c>
      <c r="L325" s="8" t="n">
        <v>110</v>
      </c>
      <c r="M325" s="8" t="n">
        <v>7</v>
      </c>
      <c r="N325" s="8" t="n">
        <v>31</v>
      </c>
      <c r="O325" s="8" t="n">
        <v>10</v>
      </c>
      <c r="P325" s="9" t="n">
        <v>53.036943506364</v>
      </c>
      <c r="Q325" s="10" t="n">
        <v>0.0188547818537093</v>
      </c>
      <c r="R325" s="9" t="n">
        <v>26</v>
      </c>
      <c r="S325" s="12" t="n">
        <f aca="false">IF(AND(ISNUMBER(R325),R325&gt;1,P325&gt;0),R325/P325-1,"")</f>
        <v>-0.509775671803557</v>
      </c>
      <c r="T325" s="9" t="n">
        <f aca="false">IF(AND(ISNUMBER(P325),P325&gt;0),P325*EXP('Read me'!$B$22),"")</f>
        <v>64.7794690830581</v>
      </c>
    </row>
    <row r="326" customFormat="false" ht="15" hidden="false" customHeight="false" outlineLevel="0" collapsed="false">
      <c r="A326" s="15" t="s">
        <v>246</v>
      </c>
      <c r="B326" s="15" t="s">
        <v>63</v>
      </c>
      <c r="C326" s="15" t="s">
        <v>247</v>
      </c>
      <c r="D326" s="15" t="s">
        <v>370</v>
      </c>
      <c r="E326" s="16" t="n">
        <v>12</v>
      </c>
      <c r="F326" s="15" t="s">
        <v>419</v>
      </c>
      <c r="G326" s="8" t="n">
        <v>10</v>
      </c>
      <c r="H326" s="15" t="s">
        <v>248</v>
      </c>
      <c r="I326" s="15" t="s">
        <v>249</v>
      </c>
      <c r="J326" s="15" t="s">
        <v>250</v>
      </c>
      <c r="K326" s="8" t="n">
        <v>9</v>
      </c>
      <c r="L326" s="8" t="n">
        <v>57</v>
      </c>
      <c r="M326" s="8" t="n">
        <v>4</v>
      </c>
      <c r="N326" s="8" t="n">
        <v>8</v>
      </c>
      <c r="O326" s="8" t="n">
        <v>1</v>
      </c>
      <c r="P326" s="9" t="n">
        <v>4.53387886655576</v>
      </c>
      <c r="Q326" s="10" t="n">
        <v>0.220561693294569</v>
      </c>
      <c r="R326" s="9" t="n">
        <v>4.5</v>
      </c>
      <c r="S326" s="12" t="n">
        <f aca="false">IF(AND(ISNUMBER(R326),R326&gt;1,P326&gt;0),R326/P326-1,"")</f>
        <v>-0.00747238017443841</v>
      </c>
      <c r="T326" s="9" t="n">
        <f aca="false">IF(AND(ISNUMBER(P326),P326&gt;0),P326*EXP('Read me'!$B$22),"")</f>
        <v>5.53769215277531</v>
      </c>
    </row>
    <row r="327" customFormat="false" ht="15" hidden="false" customHeight="false" outlineLevel="0" collapsed="false">
      <c r="A327" s="15" t="s">
        <v>246</v>
      </c>
      <c r="B327" s="15" t="s">
        <v>63</v>
      </c>
      <c r="C327" s="15" t="s">
        <v>247</v>
      </c>
      <c r="D327" s="15" t="s">
        <v>370</v>
      </c>
      <c r="E327" s="16" t="n">
        <v>12</v>
      </c>
      <c r="F327" s="15" t="s">
        <v>419</v>
      </c>
      <c r="G327" s="8" t="n">
        <v>10</v>
      </c>
      <c r="H327" s="15" t="s">
        <v>251</v>
      </c>
      <c r="I327" s="15" t="s">
        <v>607</v>
      </c>
      <c r="J327" s="15" t="s">
        <v>929</v>
      </c>
      <c r="K327" s="8" t="n">
        <v>6</v>
      </c>
      <c r="L327" s="8" t="n">
        <v>58</v>
      </c>
      <c r="M327" s="8" t="n">
        <v>3</v>
      </c>
      <c r="N327" s="8" t="n">
        <v>32</v>
      </c>
      <c r="O327" s="8" t="n">
        <v>2</v>
      </c>
      <c r="P327" s="9" t="n">
        <v>7.02630192407789</v>
      </c>
      <c r="Q327" s="10" t="n">
        <v>0.142322378230457</v>
      </c>
      <c r="R327" s="9" t="n">
        <v>7</v>
      </c>
      <c r="S327" s="12" t="n">
        <f aca="false">IF(AND(ISNUMBER(R327),R327&gt;1,P327&gt;0),R327/P327-1,"")</f>
        <v>-0.00374335238680257</v>
      </c>
      <c r="T327" s="9" t="n">
        <f aca="false">IF(AND(ISNUMBER(P327),P327&gt;0),P327*EXP('Read me'!$B$22),"")</f>
        <v>8.58194454973485</v>
      </c>
    </row>
    <row r="328" customFormat="false" ht="15" hidden="false" customHeight="false" outlineLevel="0" collapsed="false">
      <c r="A328" s="15" t="s">
        <v>246</v>
      </c>
      <c r="B328" s="15" t="s">
        <v>63</v>
      </c>
      <c r="C328" s="15" t="s">
        <v>247</v>
      </c>
      <c r="D328" s="15" t="s">
        <v>370</v>
      </c>
      <c r="E328" s="16" t="n">
        <v>12</v>
      </c>
      <c r="F328" s="15" t="s">
        <v>419</v>
      </c>
      <c r="G328" s="8" t="n">
        <v>10</v>
      </c>
      <c r="H328" s="15" t="s">
        <v>930</v>
      </c>
      <c r="I328" s="15" t="s">
        <v>126</v>
      </c>
      <c r="J328" s="15" t="s">
        <v>127</v>
      </c>
      <c r="K328" s="8" t="n">
        <v>2</v>
      </c>
      <c r="L328" s="8" t="n">
        <v>53</v>
      </c>
      <c r="M328" s="8" t="n">
        <v>4</v>
      </c>
      <c r="N328" s="8" t="n">
        <v>10</v>
      </c>
      <c r="O328" s="8" t="n">
        <v>3</v>
      </c>
      <c r="P328" s="9" t="n">
        <v>7.177643084477</v>
      </c>
      <c r="Q328" s="10" t="n">
        <v>0.13932149986152</v>
      </c>
      <c r="R328" s="9" t="n">
        <v>6.5</v>
      </c>
      <c r="S328" s="12" t="n">
        <f aca="false">IF(AND(ISNUMBER(R328),R328&gt;1,P328&gt;0),R328/P328-1,"")</f>
        <v>-0.094410250900122</v>
      </c>
      <c r="T328" s="9" t="n">
        <f aca="false">IF(AND(ISNUMBER(P328),P328&gt;0),P328*EXP('Read me'!$B$22),"")</f>
        <v>8.76679306046948</v>
      </c>
    </row>
    <row r="329" customFormat="false" ht="15" hidden="false" customHeight="false" outlineLevel="0" collapsed="false">
      <c r="A329" s="15" t="s">
        <v>246</v>
      </c>
      <c r="B329" s="15" t="s">
        <v>63</v>
      </c>
      <c r="C329" s="15" t="s">
        <v>247</v>
      </c>
      <c r="D329" s="15" t="s">
        <v>370</v>
      </c>
      <c r="E329" s="16" t="n">
        <v>12</v>
      </c>
      <c r="F329" s="15" t="s">
        <v>419</v>
      </c>
      <c r="G329" s="8" t="n">
        <v>10</v>
      </c>
      <c r="H329" s="15" t="s">
        <v>931</v>
      </c>
      <c r="I329" s="15" t="s">
        <v>932</v>
      </c>
      <c r="J329" s="15" t="s">
        <v>933</v>
      </c>
      <c r="K329" s="8" t="n">
        <v>3</v>
      </c>
      <c r="L329" s="8" t="n">
        <v>57</v>
      </c>
      <c r="M329" s="8" t="n">
        <v>3</v>
      </c>
      <c r="N329" s="8" t="n">
        <v>30</v>
      </c>
      <c r="O329" s="8" t="n">
        <v>4</v>
      </c>
      <c r="P329" s="9" t="n">
        <v>7.3713480775594</v>
      </c>
      <c r="Q329" s="10" t="n">
        <v>0.135660396100993</v>
      </c>
      <c r="R329" s="9" t="n">
        <v>8</v>
      </c>
      <c r="S329" s="12" t="n">
        <f aca="false">IF(AND(ISNUMBER(R329),R329&gt;1,P329&gt;0),R329/P329-1,"")</f>
        <v>0.085283168807943</v>
      </c>
      <c r="T329" s="9" t="n">
        <f aca="false">IF(AND(ISNUMBER(P329),P329&gt;0),P329*EXP('Read me'!$B$22),"")</f>
        <v>9.00338487328971</v>
      </c>
    </row>
    <row r="330" customFormat="false" ht="15" hidden="false" customHeight="false" outlineLevel="0" collapsed="false">
      <c r="A330" s="15" t="s">
        <v>246</v>
      </c>
      <c r="B330" s="15" t="s">
        <v>63</v>
      </c>
      <c r="C330" s="15" t="s">
        <v>247</v>
      </c>
      <c r="D330" s="15" t="s">
        <v>370</v>
      </c>
      <c r="E330" s="16" t="n">
        <v>12</v>
      </c>
      <c r="F330" s="15" t="s">
        <v>419</v>
      </c>
      <c r="G330" s="8" t="n">
        <v>10</v>
      </c>
      <c r="H330" s="15" t="s">
        <v>934</v>
      </c>
      <c r="I330" s="15" t="s">
        <v>508</v>
      </c>
      <c r="J330" s="15" t="s">
        <v>509</v>
      </c>
      <c r="K330" s="8" t="n">
        <v>1</v>
      </c>
      <c r="L330" s="8" t="n">
        <v>54</v>
      </c>
      <c r="M330" s="8" t="n">
        <v>4</v>
      </c>
      <c r="N330" s="8" t="n">
        <v>14</v>
      </c>
      <c r="O330" s="8" t="n">
        <v>5</v>
      </c>
      <c r="P330" s="9" t="n">
        <v>9.50366088401054</v>
      </c>
      <c r="Q330" s="10" t="n">
        <v>0.105222609708481</v>
      </c>
      <c r="R330" s="9" t="n">
        <v>10</v>
      </c>
      <c r="S330" s="12" t="n">
        <f aca="false">IF(AND(ISNUMBER(R330),R330&gt;1,P330&gt;0),R330/P330-1,"")</f>
        <v>0.0522260970848116</v>
      </c>
      <c r="T330" s="9" t="n">
        <f aca="false">IF(AND(ISNUMBER(P330),P330&gt;0),P330*EXP('Read me'!$B$22),"")</f>
        <v>11.6077976163494</v>
      </c>
    </row>
    <row r="331" customFormat="false" ht="15" hidden="false" customHeight="false" outlineLevel="0" collapsed="false">
      <c r="A331" s="15" t="s">
        <v>246</v>
      </c>
      <c r="B331" s="15" t="s">
        <v>63</v>
      </c>
      <c r="C331" s="15" t="s">
        <v>247</v>
      </c>
      <c r="D331" s="15" t="s">
        <v>370</v>
      </c>
      <c r="E331" s="16" t="n">
        <v>12</v>
      </c>
      <c r="F331" s="15" t="s">
        <v>419</v>
      </c>
      <c r="G331" s="8" t="n">
        <v>10</v>
      </c>
      <c r="H331" s="15" t="s">
        <v>935</v>
      </c>
      <c r="I331" s="15" t="s">
        <v>687</v>
      </c>
      <c r="J331" s="15" t="s">
        <v>936</v>
      </c>
      <c r="K331" s="8" t="n">
        <v>5</v>
      </c>
      <c r="L331" s="8" t="n">
        <v>57</v>
      </c>
      <c r="M331" s="8" t="n">
        <v>3</v>
      </c>
      <c r="N331" s="8" t="n">
        <v>60</v>
      </c>
      <c r="O331" s="8" t="n">
        <v>6</v>
      </c>
      <c r="P331" s="9" t="n">
        <v>12.0773349988847</v>
      </c>
      <c r="Q331" s="10" t="n">
        <v>0.0827997236221688</v>
      </c>
      <c r="R331" s="9" t="n">
        <v>17</v>
      </c>
      <c r="S331" s="12" t="n">
        <f aca="false">IF(AND(ISNUMBER(R331),R331&gt;1,P331&gt;0),R331/P331-1,"")</f>
        <v>0.40759530157687</v>
      </c>
      <c r="T331" s="9" t="n">
        <f aca="false">IF(AND(ISNUMBER(P331),P331&gt;0),P331*EXP('Read me'!$B$22),"")</f>
        <v>14.7512902788621</v>
      </c>
    </row>
    <row r="332" customFormat="false" ht="15" hidden="false" customHeight="false" outlineLevel="0" collapsed="false">
      <c r="A332" s="15" t="s">
        <v>246</v>
      </c>
      <c r="B332" s="15" t="s">
        <v>63</v>
      </c>
      <c r="C332" s="15" t="s">
        <v>247</v>
      </c>
      <c r="D332" s="15" t="s">
        <v>370</v>
      </c>
      <c r="E332" s="16" t="n">
        <v>12</v>
      </c>
      <c r="F332" s="15" t="s">
        <v>419</v>
      </c>
      <c r="G332" s="8" t="n">
        <v>10</v>
      </c>
      <c r="H332" s="15" t="s">
        <v>937</v>
      </c>
      <c r="I332" s="15" t="s">
        <v>938</v>
      </c>
      <c r="J332" s="15" t="s">
        <v>80</v>
      </c>
      <c r="K332" s="8" t="n">
        <v>8</v>
      </c>
      <c r="L332" s="8" t="n">
        <v>46</v>
      </c>
      <c r="M332" s="8" t="n">
        <v>3</v>
      </c>
      <c r="N332" s="8" t="n">
        <v>290</v>
      </c>
      <c r="O332" s="8" t="n">
        <v>7</v>
      </c>
      <c r="P332" s="9" t="n">
        <v>15.3926938005763</v>
      </c>
      <c r="Q332" s="10" t="n">
        <v>0.0649658866054075</v>
      </c>
      <c r="R332" s="9" t="n">
        <v>3.75</v>
      </c>
      <c r="S332" s="12" t="n">
        <f aca="false">IF(AND(ISNUMBER(R332),R332&gt;1,P332&gt;0),R332/P332-1,"")</f>
        <v>-0.756377925229722</v>
      </c>
      <c r="T332" s="9" t="n">
        <f aca="false">IF(AND(ISNUMBER(P332),P332&gt;0),P332*EXP('Read me'!$B$22),"")</f>
        <v>18.8006786635389</v>
      </c>
    </row>
    <row r="333" customFormat="false" ht="15" hidden="false" customHeight="false" outlineLevel="0" collapsed="false">
      <c r="A333" s="15" t="s">
        <v>246</v>
      </c>
      <c r="B333" s="15" t="s">
        <v>63</v>
      </c>
      <c r="C333" s="15" t="s">
        <v>247</v>
      </c>
      <c r="D333" s="15" t="s">
        <v>370</v>
      </c>
      <c r="E333" s="16" t="n">
        <v>12</v>
      </c>
      <c r="F333" s="15" t="s">
        <v>419</v>
      </c>
      <c r="G333" s="8" t="n">
        <v>10</v>
      </c>
      <c r="H333" s="15" t="s">
        <v>939</v>
      </c>
      <c r="I333" s="15" t="s">
        <v>940</v>
      </c>
      <c r="J333" s="15" t="s">
        <v>250</v>
      </c>
      <c r="K333" s="8" t="n">
        <v>4</v>
      </c>
      <c r="L333" s="8" t="n">
        <v>46</v>
      </c>
      <c r="M333" s="8" t="n">
        <v>4</v>
      </c>
      <c r="N333" s="8" t="n">
        <v>8</v>
      </c>
      <c r="O333" s="8" t="n">
        <v>8</v>
      </c>
      <c r="P333" s="9" t="n">
        <v>17.6768053763776</v>
      </c>
      <c r="Q333" s="10" t="n">
        <v>0.056571307920624</v>
      </c>
      <c r="R333" s="9" t="n">
        <v>13</v>
      </c>
      <c r="S333" s="12" t="n">
        <f aca="false">IF(AND(ISNUMBER(R333),R333&gt;1,P333&gt;0),R333/P333-1,"")</f>
        <v>-0.264572997031888</v>
      </c>
      <c r="T333" s="9" t="n">
        <f aca="false">IF(AND(ISNUMBER(P333),P333&gt;0),P333*EXP('Read me'!$B$22),"")</f>
        <v>21.5904988421681</v>
      </c>
    </row>
    <row r="334" customFormat="false" ht="15" hidden="false" customHeight="false" outlineLevel="0" collapsed="false">
      <c r="A334" s="15" t="s">
        <v>246</v>
      </c>
      <c r="B334" s="15" t="s">
        <v>63</v>
      </c>
      <c r="C334" s="15" t="s">
        <v>247</v>
      </c>
      <c r="D334" s="15" t="s">
        <v>370</v>
      </c>
      <c r="E334" s="16" t="n">
        <v>12</v>
      </c>
      <c r="F334" s="15" t="s">
        <v>419</v>
      </c>
      <c r="G334" s="8" t="n">
        <v>10</v>
      </c>
      <c r="H334" s="15" t="s">
        <v>941</v>
      </c>
      <c r="I334" s="15" t="s">
        <v>514</v>
      </c>
      <c r="J334" s="15" t="s">
        <v>428</v>
      </c>
      <c r="K334" s="8" t="n">
        <v>7</v>
      </c>
      <c r="L334" s="8" t="n">
        <v>46</v>
      </c>
      <c r="M334" s="8" t="n">
        <v>3</v>
      </c>
      <c r="N334" s="8" t="n">
        <v>12</v>
      </c>
      <c r="O334" s="8" t="n">
        <v>9</v>
      </c>
      <c r="P334" s="9" t="n">
        <v>35.7847976314115</v>
      </c>
      <c r="Q334" s="10" t="n">
        <v>0.027944827585729</v>
      </c>
      <c r="R334" s="9" t="n">
        <v>51</v>
      </c>
      <c r="S334" s="12" t="n">
        <f aca="false">IF(AND(ISNUMBER(R334),R334&gt;1,P334&gt;0),R334/P334-1,"")</f>
        <v>0.425186206872182</v>
      </c>
      <c r="T334" s="9" t="n">
        <f aca="false">IF(AND(ISNUMBER(P334),P334&gt;0),P334*EXP('Read me'!$B$22),"")</f>
        <v>43.7076505272095</v>
      </c>
    </row>
    <row r="335" customFormat="false" ht="15" hidden="false" customHeight="false" outlineLevel="0" collapsed="false">
      <c r="A335" s="15" t="s">
        <v>246</v>
      </c>
      <c r="B335" s="15" t="s">
        <v>63</v>
      </c>
      <c r="C335" s="15" t="s">
        <v>247</v>
      </c>
      <c r="D335" s="15" t="s">
        <v>370</v>
      </c>
      <c r="E335" s="16" t="n">
        <v>12</v>
      </c>
      <c r="F335" s="15" t="s">
        <v>419</v>
      </c>
      <c r="G335" s="8" t="n">
        <v>10</v>
      </c>
      <c r="H335" s="15" t="s">
        <v>942</v>
      </c>
      <c r="I335" s="15" t="s">
        <v>97</v>
      </c>
      <c r="J335" s="15" t="s">
        <v>943</v>
      </c>
      <c r="K335" s="8" t="n">
        <v>10</v>
      </c>
      <c r="L335" s="8" t="n">
        <v>60</v>
      </c>
      <c r="M335" s="8" t="n">
        <v>7</v>
      </c>
      <c r="N335" s="8" t="n">
        <v>30</v>
      </c>
      <c r="O335" s="8" t="n">
        <v>10</v>
      </c>
      <c r="P335" s="9" t="n">
        <v>40.6014255548637</v>
      </c>
      <c r="Q335" s="10" t="n">
        <v>0.0246296770700507</v>
      </c>
      <c r="R335" s="9" t="n">
        <v>51</v>
      </c>
      <c r="S335" s="12" t="n">
        <f aca="false">IF(AND(ISNUMBER(R335),R335&gt;1,P335&gt;0),R335/P335-1,"")</f>
        <v>0.256113530572589</v>
      </c>
      <c r="T335" s="9" t="n">
        <f aca="false">IF(AND(ISNUMBER(P335),P335&gt;0),P335*EXP('Read me'!$B$22),"")</f>
        <v>49.5906931579454</v>
      </c>
    </row>
    <row r="336" customFormat="false" ht="15" hidden="false" customHeight="false" outlineLevel="0" collapsed="false">
      <c r="A336" s="15" t="s">
        <v>252</v>
      </c>
      <c r="B336" s="15" t="s">
        <v>42</v>
      </c>
      <c r="C336" s="15" t="s">
        <v>253</v>
      </c>
      <c r="D336" s="15"/>
      <c r="E336" s="16" t="n">
        <v>13</v>
      </c>
      <c r="F336" s="15" t="s">
        <v>357</v>
      </c>
      <c r="G336" s="8" t="n">
        <v>14</v>
      </c>
      <c r="H336" s="15" t="s">
        <v>254</v>
      </c>
      <c r="I336" s="15" t="s">
        <v>255</v>
      </c>
      <c r="J336" s="15" t="s">
        <v>256</v>
      </c>
      <c r="K336" s="8" t="n">
        <v>12</v>
      </c>
      <c r="L336" s="8" t="n">
        <v>69</v>
      </c>
      <c r="M336" s="8" t="n">
        <v>4</v>
      </c>
      <c r="N336" s="8" t="n">
        <v>7</v>
      </c>
      <c r="O336" s="8" t="n">
        <v>1</v>
      </c>
      <c r="P336" s="9" t="n">
        <v>5.12959306220176</v>
      </c>
      <c r="Q336" s="10" t="n">
        <v>0.194947238089638</v>
      </c>
      <c r="R336" s="9" t="n">
        <v>6</v>
      </c>
      <c r="S336" s="12" t="n">
        <f aca="false">IF(AND(ISNUMBER(R336),R336&gt;1,P336&gt;0),R336/P336-1,"")</f>
        <v>0.169683428537827</v>
      </c>
      <c r="T336" s="9" t="n">
        <f aca="false">IF(AND(ISNUMBER(P336),P336&gt;0),P336*EXP('Read me'!$B$22),"")</f>
        <v>6.2652991144125</v>
      </c>
    </row>
    <row r="337" customFormat="false" ht="15" hidden="false" customHeight="false" outlineLevel="0" collapsed="false">
      <c r="A337" s="15" t="s">
        <v>252</v>
      </c>
      <c r="B337" s="15" t="s">
        <v>42</v>
      </c>
      <c r="C337" s="15" t="s">
        <v>253</v>
      </c>
      <c r="D337" s="15"/>
      <c r="E337" s="16" t="n">
        <v>13</v>
      </c>
      <c r="F337" s="15" t="s">
        <v>357</v>
      </c>
      <c r="G337" s="8" t="n">
        <v>14</v>
      </c>
      <c r="H337" s="15" t="s">
        <v>257</v>
      </c>
      <c r="I337" s="15" t="s">
        <v>138</v>
      </c>
      <c r="J337" s="15" t="s">
        <v>110</v>
      </c>
      <c r="K337" s="8" t="n">
        <v>4</v>
      </c>
      <c r="L337" s="8" t="n">
        <v>80</v>
      </c>
      <c r="M337" s="8" t="n">
        <v>3</v>
      </c>
      <c r="N337" s="8" t="n">
        <v>28</v>
      </c>
      <c r="O337" s="8" t="n">
        <v>2</v>
      </c>
      <c r="P337" s="9" t="n">
        <v>6.14982356783305</v>
      </c>
      <c r="Q337" s="10" t="n">
        <v>0.162606290891099</v>
      </c>
      <c r="R337" s="9" t="n">
        <v>7.5</v>
      </c>
      <c r="S337" s="12" t="n">
        <f aca="false">IF(AND(ISNUMBER(R337),R337&gt;1,P337&gt;0),R337/P337-1,"")</f>
        <v>0.219547181683246</v>
      </c>
      <c r="T337" s="9" t="n">
        <f aca="false">IF(AND(ISNUMBER(P337),P337&gt;0),P337*EXP('Read me'!$B$22),"")</f>
        <v>7.51141146794971</v>
      </c>
    </row>
    <row r="338" customFormat="false" ht="15" hidden="false" customHeight="false" outlineLevel="0" collapsed="false">
      <c r="A338" s="15" t="s">
        <v>252</v>
      </c>
      <c r="B338" s="15" t="s">
        <v>42</v>
      </c>
      <c r="C338" s="15" t="s">
        <v>253</v>
      </c>
      <c r="D338" s="15"/>
      <c r="E338" s="16" t="n">
        <v>13</v>
      </c>
      <c r="F338" s="15" t="s">
        <v>357</v>
      </c>
      <c r="G338" s="8" t="n">
        <v>14</v>
      </c>
      <c r="H338" s="15" t="s">
        <v>944</v>
      </c>
      <c r="I338" s="15" t="s">
        <v>226</v>
      </c>
      <c r="J338" s="15" t="s">
        <v>121</v>
      </c>
      <c r="K338" s="8" t="n">
        <v>16</v>
      </c>
      <c r="L338" s="8" t="n">
        <v>74</v>
      </c>
      <c r="M338" s="8" t="n">
        <v>5</v>
      </c>
      <c r="N338" s="8" t="n">
        <v>44</v>
      </c>
      <c r="O338" s="8" t="n">
        <v>3</v>
      </c>
      <c r="P338" s="9" t="n">
        <v>6.82182119629523</v>
      </c>
      <c r="Q338" s="10" t="n">
        <v>0.146588421365115</v>
      </c>
      <c r="R338" s="9" t="n">
        <v>3.5</v>
      </c>
      <c r="S338" s="12" t="n">
        <f aca="false">IF(AND(ISNUMBER(R338),R338&gt;1,P338&gt;0),R338/P338-1,"")</f>
        <v>-0.486940525222097</v>
      </c>
      <c r="T338" s="9" t="n">
        <f aca="false">IF(AND(ISNUMBER(P338),P338&gt;0),P338*EXP('Read me'!$B$22),"")</f>
        <v>8.3321912248305</v>
      </c>
    </row>
    <row r="339" customFormat="false" ht="15" hidden="false" customHeight="false" outlineLevel="0" collapsed="false">
      <c r="A339" s="15" t="s">
        <v>252</v>
      </c>
      <c r="B339" s="15" t="s">
        <v>42</v>
      </c>
      <c r="C339" s="15" t="s">
        <v>253</v>
      </c>
      <c r="D339" s="15"/>
      <c r="E339" s="16" t="n">
        <v>13</v>
      </c>
      <c r="F339" s="15" t="s">
        <v>357</v>
      </c>
      <c r="G339" s="8" t="n">
        <v>14</v>
      </c>
      <c r="H339" s="15" t="s">
        <v>945</v>
      </c>
      <c r="I339" s="15" t="s">
        <v>109</v>
      </c>
      <c r="J339" s="15" t="s">
        <v>396</v>
      </c>
      <c r="K339" s="8" t="n">
        <v>7</v>
      </c>
      <c r="L339" s="8" t="n">
        <v>74</v>
      </c>
      <c r="M339" s="8" t="n">
        <v>3</v>
      </c>
      <c r="N339" s="8" t="n">
        <v>31</v>
      </c>
      <c r="O339" s="8" t="n">
        <v>4</v>
      </c>
      <c r="P339" s="9" t="n">
        <v>9.69860943967515</v>
      </c>
      <c r="Q339" s="10" t="n">
        <v>0.10310756466893</v>
      </c>
      <c r="R339" s="9" t="n">
        <v>9</v>
      </c>
      <c r="S339" s="12" t="n">
        <f aca="false">IF(AND(ISNUMBER(R339),R339&gt;1,P339&gt;0),R339/P339-1,"")</f>
        <v>-0.0720319179796308</v>
      </c>
      <c r="T339" s="9" t="n">
        <f aca="false">IF(AND(ISNUMBER(P339),P339&gt;0),P339*EXP('Read me'!$B$22),"")</f>
        <v>11.8459083199375</v>
      </c>
    </row>
    <row r="340" customFormat="false" ht="15" hidden="false" customHeight="false" outlineLevel="0" collapsed="false">
      <c r="A340" s="15" t="s">
        <v>252</v>
      </c>
      <c r="B340" s="15" t="s">
        <v>42</v>
      </c>
      <c r="C340" s="15" t="s">
        <v>253</v>
      </c>
      <c r="D340" s="15"/>
      <c r="E340" s="16" t="n">
        <v>13</v>
      </c>
      <c r="F340" s="15" t="s">
        <v>357</v>
      </c>
      <c r="G340" s="8" t="n">
        <v>14</v>
      </c>
      <c r="H340" s="15" t="s">
        <v>946</v>
      </c>
      <c r="I340" s="15" t="s">
        <v>441</v>
      </c>
      <c r="J340" s="15" t="s">
        <v>442</v>
      </c>
      <c r="K340" s="8" t="n">
        <v>10</v>
      </c>
      <c r="L340" s="8" t="n">
        <v>74</v>
      </c>
      <c r="M340" s="8" t="n">
        <v>5</v>
      </c>
      <c r="N340" s="8" t="n">
        <v>44</v>
      </c>
      <c r="O340" s="8" t="n">
        <v>5</v>
      </c>
      <c r="P340" s="9" t="n">
        <v>12.9018139647535</v>
      </c>
      <c r="Q340" s="10" t="n">
        <v>0.0775084808021493</v>
      </c>
      <c r="R340" s="9" t="n">
        <v>8.5</v>
      </c>
      <c r="S340" s="12" t="n">
        <f aca="false">IF(AND(ISNUMBER(R340),R340&gt;1,P340&gt;0),R340/P340-1,"")</f>
        <v>-0.34117791318173</v>
      </c>
      <c r="T340" s="9" t="n">
        <f aca="false">IF(AND(ISNUMBER(P340),P340&gt;0),P340*EXP('Read me'!$B$22),"")</f>
        <v>15.7583111618193</v>
      </c>
    </row>
    <row r="341" customFormat="false" ht="15" hidden="false" customHeight="false" outlineLevel="0" collapsed="false">
      <c r="A341" s="15" t="s">
        <v>252</v>
      </c>
      <c r="B341" s="15" t="s">
        <v>42</v>
      </c>
      <c r="C341" s="15" t="s">
        <v>253</v>
      </c>
      <c r="D341" s="15"/>
      <c r="E341" s="16" t="n">
        <v>13</v>
      </c>
      <c r="F341" s="15" t="s">
        <v>357</v>
      </c>
      <c r="G341" s="8" t="n">
        <v>14</v>
      </c>
      <c r="H341" s="15" t="s">
        <v>947</v>
      </c>
      <c r="I341" s="15" t="s">
        <v>368</v>
      </c>
      <c r="J341" s="15" t="s">
        <v>721</v>
      </c>
      <c r="K341" s="8" t="n">
        <v>1</v>
      </c>
      <c r="L341" s="8" t="n">
        <v>78</v>
      </c>
      <c r="M341" s="8" t="n">
        <v>5</v>
      </c>
      <c r="N341" s="8" t="n">
        <v>7</v>
      </c>
      <c r="O341" s="8" t="n">
        <v>6</v>
      </c>
      <c r="P341" s="9" t="n">
        <v>14.6328994377659</v>
      </c>
      <c r="Q341" s="10" t="n">
        <v>0.0683391561770124</v>
      </c>
      <c r="R341" s="9" t="n">
        <v>9</v>
      </c>
      <c r="S341" s="12" t="n">
        <f aca="false">IF(AND(ISNUMBER(R341),R341&gt;1,P341&gt;0),R341/P341-1,"")</f>
        <v>-0.384947594406888</v>
      </c>
      <c r="T341" s="9" t="n">
        <f aca="false">IF(AND(ISNUMBER(P341),P341&gt;0),P341*EXP('Read me'!$B$22),"")</f>
        <v>17.8726637331677</v>
      </c>
    </row>
    <row r="342" customFormat="false" ht="15" hidden="false" customHeight="false" outlineLevel="0" collapsed="false">
      <c r="A342" s="15" t="s">
        <v>252</v>
      </c>
      <c r="B342" s="15" t="s">
        <v>42</v>
      </c>
      <c r="C342" s="15" t="s">
        <v>253</v>
      </c>
      <c r="D342" s="15"/>
      <c r="E342" s="16" t="n">
        <v>13</v>
      </c>
      <c r="F342" s="15" t="s">
        <v>357</v>
      </c>
      <c r="G342" s="8" t="n">
        <v>14</v>
      </c>
      <c r="H342" s="15" t="s">
        <v>948</v>
      </c>
      <c r="I342" s="15" t="s">
        <v>438</v>
      </c>
      <c r="J342" s="15" t="s">
        <v>110</v>
      </c>
      <c r="K342" s="8" t="n">
        <v>14</v>
      </c>
      <c r="L342" s="8" t="n">
        <v>71</v>
      </c>
      <c r="M342" s="8" t="n">
        <v>4</v>
      </c>
      <c r="N342" s="8" t="n">
        <v>20</v>
      </c>
      <c r="O342" s="8" t="n">
        <v>7</v>
      </c>
      <c r="P342" s="9" t="n">
        <v>14.8954818783001</v>
      </c>
      <c r="Q342" s="10" t="n">
        <v>0.0671344511154628</v>
      </c>
      <c r="R342" s="9" t="n">
        <v>17</v>
      </c>
      <c r="S342" s="12" t="n">
        <f aca="false">IF(AND(ISNUMBER(R342),R342&gt;1,P342&gt;0),R342/P342-1,"")</f>
        <v>0.141285668962869</v>
      </c>
      <c r="T342" s="9" t="n">
        <f aca="false">IF(AND(ISNUMBER(P342),P342&gt;0),P342*EXP('Read me'!$B$22),"")</f>
        <v>18.1933826502805</v>
      </c>
    </row>
    <row r="343" customFormat="false" ht="15" hidden="false" customHeight="false" outlineLevel="0" collapsed="false">
      <c r="A343" s="15" t="s">
        <v>252</v>
      </c>
      <c r="B343" s="15" t="s">
        <v>42</v>
      </c>
      <c r="C343" s="15" t="s">
        <v>253</v>
      </c>
      <c r="D343" s="15"/>
      <c r="E343" s="16" t="n">
        <v>13</v>
      </c>
      <c r="F343" s="15" t="s">
        <v>357</v>
      </c>
      <c r="G343" s="8" t="n">
        <v>14</v>
      </c>
      <c r="H343" s="15" t="s">
        <v>949</v>
      </c>
      <c r="I343" s="15" t="s">
        <v>950</v>
      </c>
      <c r="J343" s="15" t="s">
        <v>60</v>
      </c>
      <c r="K343" s="8" t="n">
        <v>15</v>
      </c>
      <c r="L343" s="8" t="n">
        <v>76</v>
      </c>
      <c r="M343" s="8" t="n">
        <v>5</v>
      </c>
      <c r="N343" s="8" t="n">
        <v>176</v>
      </c>
      <c r="O343" s="8" t="n">
        <v>8</v>
      </c>
      <c r="P343" s="9" t="n">
        <v>29.05866126727</v>
      </c>
      <c r="Q343" s="10" t="n">
        <v>0.0344131476258454</v>
      </c>
      <c r="R343" s="9" t="n">
        <v>17</v>
      </c>
      <c r="S343" s="12" t="n">
        <f aca="false">IF(AND(ISNUMBER(R343),R343&gt;1,P343&gt;0),R343/P343-1,"")</f>
        <v>-0.414976490360627</v>
      </c>
      <c r="T343" s="9" t="n">
        <f aca="false">IF(AND(ISNUMBER(P343),P343&gt;0),P343*EXP('Read me'!$B$22),"")</f>
        <v>35.4923290202857</v>
      </c>
    </row>
    <row r="344" customFormat="false" ht="15" hidden="false" customHeight="false" outlineLevel="0" collapsed="false">
      <c r="A344" s="15" t="s">
        <v>252</v>
      </c>
      <c r="B344" s="15" t="s">
        <v>42</v>
      </c>
      <c r="C344" s="15" t="s">
        <v>253</v>
      </c>
      <c r="D344" s="15"/>
      <c r="E344" s="16" t="n">
        <v>13</v>
      </c>
      <c r="F344" s="15" t="s">
        <v>357</v>
      </c>
      <c r="G344" s="8" t="n">
        <v>14</v>
      </c>
      <c r="H344" s="15" t="s">
        <v>951</v>
      </c>
      <c r="I344" s="15" t="s">
        <v>450</v>
      </c>
      <c r="J344" s="15" t="s">
        <v>789</v>
      </c>
      <c r="K344" s="8" t="n">
        <v>2</v>
      </c>
      <c r="L344" s="8" t="n">
        <v>75</v>
      </c>
      <c r="M344" s="8" t="n">
        <v>5</v>
      </c>
      <c r="N344" s="8" t="n">
        <v>4</v>
      </c>
      <c r="O344" s="8" t="n">
        <v>9</v>
      </c>
      <c r="P344" s="9" t="n">
        <v>31.8172434955178</v>
      </c>
      <c r="Q344" s="10" t="n">
        <v>0.0314294982889034</v>
      </c>
      <c r="R344" s="9" t="n">
        <v>23</v>
      </c>
      <c r="S344" s="12" t="n">
        <f aca="false">IF(AND(ISNUMBER(R344),R344&gt;1,P344&gt;0),R344/P344-1,"")</f>
        <v>-0.277121539355221</v>
      </c>
      <c r="T344" s="9" t="n">
        <f aca="false">IF(AND(ISNUMBER(P344),P344&gt;0),P344*EXP('Read me'!$B$22),"")</f>
        <v>38.8616689624791</v>
      </c>
    </row>
    <row r="345" customFormat="false" ht="15" hidden="false" customHeight="false" outlineLevel="0" collapsed="false">
      <c r="A345" s="15" t="s">
        <v>252</v>
      </c>
      <c r="B345" s="15" t="s">
        <v>42</v>
      </c>
      <c r="C345" s="15" t="s">
        <v>253</v>
      </c>
      <c r="D345" s="15"/>
      <c r="E345" s="16" t="n">
        <v>13</v>
      </c>
      <c r="F345" s="15" t="s">
        <v>357</v>
      </c>
      <c r="G345" s="8" t="n">
        <v>14</v>
      </c>
      <c r="H345" s="15" t="s">
        <v>952</v>
      </c>
      <c r="I345" s="15" t="s">
        <v>630</v>
      </c>
      <c r="J345" s="15" t="s">
        <v>139</v>
      </c>
      <c r="K345" s="8" t="n">
        <v>8</v>
      </c>
      <c r="L345" s="8" t="n">
        <v>77</v>
      </c>
      <c r="M345" s="8" t="n">
        <v>6</v>
      </c>
      <c r="N345" s="8" t="n">
        <v>28</v>
      </c>
      <c r="O345" s="8" t="n">
        <v>10</v>
      </c>
      <c r="P345" s="9" t="n">
        <v>32.3079228916185</v>
      </c>
      <c r="Q345" s="10" t="n">
        <v>0.0309521600430532</v>
      </c>
      <c r="R345" s="9" t="n">
        <v>29</v>
      </c>
      <c r="S345" s="12" t="n">
        <f aca="false">IF(AND(ISNUMBER(R345),R345&gt;1,P345&gt;0),R345/P345-1,"")</f>
        <v>-0.102387358751456</v>
      </c>
      <c r="T345" s="9" t="n">
        <f aca="false">IF(AND(ISNUMBER(P345),P345&gt;0),P345*EXP('Read me'!$B$22),"")</f>
        <v>39.460986130249</v>
      </c>
    </row>
    <row r="346" customFormat="false" ht="15" hidden="false" customHeight="false" outlineLevel="0" collapsed="false">
      <c r="A346" s="15" t="s">
        <v>252</v>
      </c>
      <c r="B346" s="15" t="s">
        <v>42</v>
      </c>
      <c r="C346" s="15" t="s">
        <v>253</v>
      </c>
      <c r="D346" s="15"/>
      <c r="E346" s="16" t="n">
        <v>13</v>
      </c>
      <c r="F346" s="15" t="s">
        <v>357</v>
      </c>
      <c r="G346" s="8" t="n">
        <v>14</v>
      </c>
      <c r="H346" s="15" t="s">
        <v>953</v>
      </c>
      <c r="I346" s="15" t="s">
        <v>714</v>
      </c>
      <c r="J346" s="15" t="s">
        <v>794</v>
      </c>
      <c r="K346" s="8" t="n">
        <v>9</v>
      </c>
      <c r="L346" s="8" t="n">
        <v>71</v>
      </c>
      <c r="M346" s="8" t="n">
        <v>8</v>
      </c>
      <c r="N346" s="8" t="n">
        <v>13</v>
      </c>
      <c r="O346" s="8" t="n">
        <v>11</v>
      </c>
      <c r="P346" s="9" t="n">
        <v>32.9043123704858</v>
      </c>
      <c r="Q346" s="10" t="n">
        <v>0.0303911532549444</v>
      </c>
      <c r="R346" s="9" t="n">
        <v>19</v>
      </c>
      <c r="S346" s="12" t="n">
        <f aca="false">IF(AND(ISNUMBER(R346),R346&gt;1,P346&gt;0),R346/P346-1,"")</f>
        <v>-0.422568088156055</v>
      </c>
      <c r="T346" s="9" t="n">
        <f aca="false">IF(AND(ISNUMBER(P346),P346&gt;0),P346*EXP('Read me'!$B$22),"")</f>
        <v>40.1894178846752</v>
      </c>
    </row>
    <row r="347" customFormat="false" ht="15" hidden="false" customHeight="false" outlineLevel="0" collapsed="false">
      <c r="A347" s="15" t="s">
        <v>252</v>
      </c>
      <c r="B347" s="15" t="s">
        <v>42</v>
      </c>
      <c r="C347" s="15" t="s">
        <v>253</v>
      </c>
      <c r="D347" s="15"/>
      <c r="E347" s="16" t="n">
        <v>13</v>
      </c>
      <c r="F347" s="15" t="s">
        <v>357</v>
      </c>
      <c r="G347" s="8" t="n">
        <v>14</v>
      </c>
      <c r="H347" s="15" t="s">
        <v>954</v>
      </c>
      <c r="I347" s="15" t="s">
        <v>542</v>
      </c>
      <c r="J347" s="15" t="s">
        <v>955</v>
      </c>
      <c r="K347" s="8" t="n">
        <v>6</v>
      </c>
      <c r="L347" s="8" t="n">
        <v>74</v>
      </c>
      <c r="M347" s="8" t="n">
        <v>4</v>
      </c>
      <c r="N347" s="8" t="n">
        <v>53</v>
      </c>
      <c r="O347" s="8" t="n">
        <v>12</v>
      </c>
      <c r="P347" s="9" t="n">
        <v>39.4720814610784</v>
      </c>
      <c r="Q347" s="10" t="n">
        <v>0.0253343619840786</v>
      </c>
      <c r="R347" s="9" t="n">
        <v>9.5</v>
      </c>
      <c r="S347" s="12" t="n">
        <f aca="false">IF(AND(ISNUMBER(R347),R347&gt;1,P347&gt;0),R347/P347-1,"")</f>
        <v>-0.759323561151253</v>
      </c>
      <c r="T347" s="9" t="n">
        <f aca="false">IF(AND(ISNUMBER(P347),P347&gt;0),P347*EXP('Read me'!$B$22),"")</f>
        <v>48.2113091668841</v>
      </c>
    </row>
    <row r="348" customFormat="false" ht="15" hidden="false" customHeight="false" outlineLevel="0" collapsed="false">
      <c r="A348" s="15" t="s">
        <v>252</v>
      </c>
      <c r="B348" s="15" t="s">
        <v>42</v>
      </c>
      <c r="C348" s="15" t="s">
        <v>253</v>
      </c>
      <c r="D348" s="15"/>
      <c r="E348" s="16" t="n">
        <v>13</v>
      </c>
      <c r="F348" s="15" t="s">
        <v>357</v>
      </c>
      <c r="G348" s="8" t="n">
        <v>14</v>
      </c>
      <c r="H348" s="15" t="s">
        <v>956</v>
      </c>
      <c r="I348" s="15" t="s">
        <v>957</v>
      </c>
      <c r="J348" s="15" t="s">
        <v>958</v>
      </c>
      <c r="K348" s="8" t="n">
        <v>11</v>
      </c>
      <c r="L348" s="8" t="n">
        <v>79</v>
      </c>
      <c r="M348" s="8" t="n">
        <v>6</v>
      </c>
      <c r="N348" s="8" t="n">
        <v>52</v>
      </c>
      <c r="O348" s="8" t="n">
        <v>13</v>
      </c>
      <c r="P348" s="9" t="n">
        <v>58.6242347188155</v>
      </c>
      <c r="Q348" s="10" t="n">
        <v>0.0170577919660083</v>
      </c>
      <c r="R348" s="9" t="n">
        <v>21</v>
      </c>
      <c r="S348" s="12" t="n">
        <f aca="false">IF(AND(ISNUMBER(R348),R348&gt;1,P348&gt;0),R348/P348-1,"")</f>
        <v>-0.641786368713824</v>
      </c>
      <c r="T348" s="9" t="n">
        <f aca="false">IF(AND(ISNUMBER(P348),P348&gt;0),P348*EXP('Read me'!$B$22),"")</f>
        <v>71.6038019805905</v>
      </c>
    </row>
    <row r="349" customFormat="false" ht="15" hidden="false" customHeight="false" outlineLevel="0" collapsed="false">
      <c r="A349" s="15" t="s">
        <v>252</v>
      </c>
      <c r="B349" s="15" t="s">
        <v>42</v>
      </c>
      <c r="C349" s="15" t="s">
        <v>253</v>
      </c>
      <c r="D349" s="15"/>
      <c r="E349" s="16" t="n">
        <v>13</v>
      </c>
      <c r="F349" s="15" t="s">
        <v>357</v>
      </c>
      <c r="G349" s="8" t="n">
        <v>14</v>
      </c>
      <c r="H349" s="15" t="s">
        <v>959</v>
      </c>
      <c r="I349" s="15" t="s">
        <v>365</v>
      </c>
      <c r="J349" s="15" t="s">
        <v>369</v>
      </c>
      <c r="K349" s="8" t="n">
        <v>3</v>
      </c>
      <c r="L349" s="8" t="n">
        <v>76</v>
      </c>
      <c r="M349" s="8" t="n">
        <v>3</v>
      </c>
      <c r="N349" s="8" t="n">
        <v>23</v>
      </c>
      <c r="O349" s="8" t="n">
        <v>14</v>
      </c>
      <c r="P349" s="9" t="n">
        <v>98.1326945074069</v>
      </c>
      <c r="Q349" s="10" t="n">
        <v>0.0101902837277592</v>
      </c>
      <c r="R349" s="9" t="n">
        <v>29</v>
      </c>
      <c r="S349" s="12" t="n">
        <f aca="false">IF(AND(ISNUMBER(R349),R349&gt;1,P349&gt;0),R349/P349-1,"")</f>
        <v>-0.704481771894981</v>
      </c>
      <c r="T349" s="9" t="n">
        <f aca="false">IF(AND(ISNUMBER(P349),P349&gt;0),P349*EXP('Read me'!$B$22),"")</f>
        <v>119.859543737036</v>
      </c>
    </row>
    <row r="350" customFormat="false" ht="15" hidden="false" customHeight="false" outlineLevel="0" collapsed="false">
      <c r="A350" s="15" t="s">
        <v>258</v>
      </c>
      <c r="B350" s="15" t="s">
        <v>194</v>
      </c>
      <c r="C350" s="15" t="s">
        <v>259</v>
      </c>
      <c r="D350" s="15" t="s">
        <v>432</v>
      </c>
      <c r="E350" s="16" t="n">
        <v>7</v>
      </c>
      <c r="F350" s="15" t="s">
        <v>805</v>
      </c>
      <c r="G350" s="8" t="n">
        <v>7</v>
      </c>
      <c r="H350" s="15" t="s">
        <v>260</v>
      </c>
      <c r="I350" s="15" t="s">
        <v>261</v>
      </c>
      <c r="J350" s="15" t="s">
        <v>262</v>
      </c>
      <c r="K350" s="8" t="n">
        <v>4</v>
      </c>
      <c r="L350" s="8" t="n">
        <v>77</v>
      </c>
      <c r="M350" s="8" t="n">
        <v>2</v>
      </c>
      <c r="N350" s="8" t="n">
        <v>27</v>
      </c>
      <c r="O350" s="8" t="n">
        <v>1</v>
      </c>
      <c r="P350" s="9" t="n">
        <v>1.81072639282478</v>
      </c>
      <c r="Q350" s="10" t="n">
        <v>0.552264551929337</v>
      </c>
      <c r="R350" s="9" t="n">
        <v>2.625</v>
      </c>
      <c r="S350" s="12" t="n">
        <f aca="false">IF(AND(ISNUMBER(R350),R350&gt;1,P350&gt;0),R350/P350-1,"")</f>
        <v>0.449694448814509</v>
      </c>
      <c r="T350" s="9" t="n">
        <f aca="false">IF(AND(ISNUMBER(P350),P350&gt;0),P350*EXP('Read me'!$B$22),"")</f>
        <v>2.2116262104696</v>
      </c>
    </row>
    <row r="351" customFormat="false" ht="15" hidden="false" customHeight="false" outlineLevel="0" collapsed="false">
      <c r="A351" s="15" t="s">
        <v>258</v>
      </c>
      <c r="B351" s="15" t="s">
        <v>194</v>
      </c>
      <c r="C351" s="15" t="s">
        <v>259</v>
      </c>
      <c r="D351" s="15" t="s">
        <v>432</v>
      </c>
      <c r="E351" s="16" t="n">
        <v>7</v>
      </c>
      <c r="F351" s="15" t="s">
        <v>805</v>
      </c>
      <c r="G351" s="8" t="n">
        <v>7</v>
      </c>
      <c r="H351" s="15" t="s">
        <v>263</v>
      </c>
      <c r="I351" s="15" t="s">
        <v>283</v>
      </c>
      <c r="J351" s="15" t="s">
        <v>563</v>
      </c>
      <c r="K351" s="8" t="n">
        <v>6</v>
      </c>
      <c r="L351" s="8" t="n">
        <v>0</v>
      </c>
      <c r="M351" s="8" t="n">
        <v>2</v>
      </c>
      <c r="N351" s="8" t="n">
        <v>30</v>
      </c>
      <c r="O351" s="8" t="n">
        <v>2</v>
      </c>
      <c r="P351" s="9" t="n">
        <v>5.1753202388693</v>
      </c>
      <c r="Q351" s="10" t="n">
        <v>0.193224757859328</v>
      </c>
      <c r="R351" s="9" t="n">
        <v>2.875</v>
      </c>
      <c r="S351" s="12" t="n">
        <f aca="false">IF(AND(ISNUMBER(R351),R351&gt;1,P351&gt;0),R351/P351-1,"")</f>
        <v>-0.444478821154432</v>
      </c>
      <c r="T351" s="9" t="n">
        <f aca="false">IF(AND(ISNUMBER(P351),P351&gt;0),P351*EXP('Read me'!$B$22),"")</f>
        <v>6.32115041411711</v>
      </c>
    </row>
    <row r="352" customFormat="false" ht="15" hidden="false" customHeight="false" outlineLevel="0" collapsed="false">
      <c r="A352" s="15" t="s">
        <v>258</v>
      </c>
      <c r="B352" s="15" t="s">
        <v>194</v>
      </c>
      <c r="C352" s="15" t="s">
        <v>259</v>
      </c>
      <c r="D352" s="15" t="s">
        <v>432</v>
      </c>
      <c r="E352" s="16" t="n">
        <v>7</v>
      </c>
      <c r="F352" s="15" t="s">
        <v>805</v>
      </c>
      <c r="G352" s="8" t="n">
        <v>7</v>
      </c>
      <c r="H352" s="15" t="s">
        <v>960</v>
      </c>
      <c r="I352" s="15" t="s">
        <v>231</v>
      </c>
      <c r="J352" s="15" t="s">
        <v>232</v>
      </c>
      <c r="K352" s="8" t="n">
        <v>2</v>
      </c>
      <c r="L352" s="8" t="n">
        <v>0</v>
      </c>
      <c r="M352" s="8" t="n">
        <v>2</v>
      </c>
      <c r="N352" s="8" t="n">
        <v>25</v>
      </c>
      <c r="O352" s="8" t="n">
        <v>3</v>
      </c>
      <c r="P352" s="9" t="n">
        <v>11.567571085388</v>
      </c>
      <c r="Q352" s="10" t="n">
        <v>0.0864485718409105</v>
      </c>
      <c r="R352" s="9" t="n">
        <v>5</v>
      </c>
      <c r="S352" s="12" t="n">
        <f aca="false">IF(AND(ISNUMBER(R352),R352&gt;1,P352&gt;0),R352/P352-1,"")</f>
        <v>-0.567757140795447</v>
      </c>
      <c r="T352" s="9" t="n">
        <f aca="false">IF(AND(ISNUMBER(P352),P352&gt;0),P352*EXP('Read me'!$B$22),"")</f>
        <v>14.1286632289067</v>
      </c>
    </row>
    <row r="353" customFormat="false" ht="15" hidden="false" customHeight="false" outlineLevel="0" collapsed="false">
      <c r="A353" s="15" t="s">
        <v>258</v>
      </c>
      <c r="B353" s="15" t="s">
        <v>194</v>
      </c>
      <c r="C353" s="15" t="s">
        <v>259</v>
      </c>
      <c r="D353" s="15" t="s">
        <v>432</v>
      </c>
      <c r="E353" s="16" t="n">
        <v>7</v>
      </c>
      <c r="F353" s="15" t="s">
        <v>805</v>
      </c>
      <c r="G353" s="8" t="n">
        <v>7</v>
      </c>
      <c r="H353" s="15" t="s">
        <v>961</v>
      </c>
      <c r="I353" s="15" t="s">
        <v>962</v>
      </c>
      <c r="J353" s="15" t="s">
        <v>963</v>
      </c>
      <c r="K353" s="8" t="n">
        <v>5</v>
      </c>
      <c r="L353" s="8" t="n">
        <v>0</v>
      </c>
      <c r="M353" s="8" t="n">
        <v>2</v>
      </c>
      <c r="N353" s="8" t="n">
        <v>135</v>
      </c>
      <c r="O353" s="8" t="n">
        <v>4</v>
      </c>
      <c r="P353" s="9" t="n">
        <v>12.8566751185684</v>
      </c>
      <c r="Q353" s="10" t="n">
        <v>0.0777806074103669</v>
      </c>
      <c r="R353" s="9" t="n">
        <v>8</v>
      </c>
      <c r="S353" s="12" t="n">
        <f aca="false">IF(AND(ISNUMBER(R353),R353&gt;1,P353&gt;0),R353/P353-1,"")</f>
        <v>-0.377755140717064</v>
      </c>
      <c r="T353" s="9" t="n">
        <f aca="false">IF(AND(ISNUMBER(P353),P353&gt;0),P353*EXP('Read me'!$B$22),"")</f>
        <v>15.7031784505886</v>
      </c>
    </row>
    <row r="354" customFormat="false" ht="15" hidden="false" customHeight="false" outlineLevel="0" collapsed="false">
      <c r="A354" s="15" t="s">
        <v>258</v>
      </c>
      <c r="B354" s="15" t="s">
        <v>194</v>
      </c>
      <c r="C354" s="15" t="s">
        <v>259</v>
      </c>
      <c r="D354" s="15" t="s">
        <v>432</v>
      </c>
      <c r="E354" s="16" t="n">
        <v>7</v>
      </c>
      <c r="F354" s="15" t="s">
        <v>805</v>
      </c>
      <c r="G354" s="8" t="n">
        <v>7</v>
      </c>
      <c r="H354" s="15" t="s">
        <v>964</v>
      </c>
      <c r="I354" s="15" t="s">
        <v>965</v>
      </c>
      <c r="J354" s="15" t="s">
        <v>551</v>
      </c>
      <c r="K354" s="8" t="n">
        <v>7</v>
      </c>
      <c r="L354" s="8" t="n">
        <v>0</v>
      </c>
      <c r="M354" s="8" t="n">
        <v>2</v>
      </c>
      <c r="N354" s="8"/>
      <c r="O354" s="8" t="n">
        <v>5</v>
      </c>
      <c r="P354" s="9" t="n">
        <v>17.9658336136715</v>
      </c>
      <c r="Q354" s="10" t="n">
        <v>0.0556612079073819</v>
      </c>
      <c r="R354" s="9" t="n">
        <v>34</v>
      </c>
      <c r="S354" s="12" t="n">
        <f aca="false">IF(AND(ISNUMBER(R354),R354&gt;1,P354&gt;0),R354/P354-1,"")</f>
        <v>0.892481068850985</v>
      </c>
      <c r="T354" s="9" t="n">
        <f aca="false">IF(AND(ISNUMBER(P354),P354&gt;0),P354*EXP('Read me'!$B$22),"")</f>
        <v>21.9435187283851</v>
      </c>
    </row>
    <row r="355" customFormat="false" ht="15" hidden="false" customHeight="false" outlineLevel="0" collapsed="false">
      <c r="A355" s="15" t="s">
        <v>258</v>
      </c>
      <c r="B355" s="15" t="s">
        <v>194</v>
      </c>
      <c r="C355" s="15" t="s">
        <v>259</v>
      </c>
      <c r="D355" s="15" t="s">
        <v>432</v>
      </c>
      <c r="E355" s="16" t="n">
        <v>7</v>
      </c>
      <c r="F355" s="15" t="s">
        <v>805</v>
      </c>
      <c r="G355" s="8" t="n">
        <v>7</v>
      </c>
      <c r="H355" s="15" t="s">
        <v>966</v>
      </c>
      <c r="I355" s="15" t="s">
        <v>967</v>
      </c>
      <c r="J355" s="15" t="s">
        <v>561</v>
      </c>
      <c r="K355" s="8" t="n">
        <v>3</v>
      </c>
      <c r="L355" s="8" t="n">
        <v>0</v>
      </c>
      <c r="M355" s="8" t="n">
        <v>2</v>
      </c>
      <c r="N355" s="8" t="n">
        <v>25</v>
      </c>
      <c r="O355" s="8" t="n">
        <v>6</v>
      </c>
      <c r="P355" s="9" t="n">
        <v>30.4712767613438</v>
      </c>
      <c r="Q355" s="10" t="n">
        <v>0.0328177912541102</v>
      </c>
      <c r="R355" s="9" t="n">
        <v>23</v>
      </c>
      <c r="S355" s="12" t="n">
        <f aca="false">IF(AND(ISNUMBER(R355),R355&gt;1,P355&gt;0),R355/P355-1,"")</f>
        <v>-0.245190801155465</v>
      </c>
      <c r="T355" s="9" t="n">
        <f aca="false">IF(AND(ISNUMBER(P355),P355&gt;0),P355*EXP('Read me'!$B$22),"")</f>
        <v>37.2177014809672</v>
      </c>
    </row>
    <row r="356" customFormat="false" ht="15" hidden="false" customHeight="false" outlineLevel="0" collapsed="false">
      <c r="A356" s="15" t="s">
        <v>258</v>
      </c>
      <c r="B356" s="15" t="s">
        <v>194</v>
      </c>
      <c r="C356" s="15" t="s">
        <v>259</v>
      </c>
      <c r="D356" s="15" t="s">
        <v>432</v>
      </c>
      <c r="E356" s="16" t="n">
        <v>7</v>
      </c>
      <c r="F356" s="15" t="s">
        <v>805</v>
      </c>
      <c r="G356" s="8" t="n">
        <v>7</v>
      </c>
      <c r="H356" s="15" t="s">
        <v>968</v>
      </c>
      <c r="I356" s="15" t="s">
        <v>294</v>
      </c>
      <c r="J356" s="15" t="s">
        <v>969</v>
      </c>
      <c r="K356" s="8" t="n">
        <v>1</v>
      </c>
      <c r="L356" s="8" t="n">
        <v>0</v>
      </c>
      <c r="M356" s="8" t="n">
        <v>2</v>
      </c>
      <c r="N356" s="8" t="n">
        <v>13</v>
      </c>
      <c r="O356" s="8" t="n">
        <v>7</v>
      </c>
      <c r="P356" s="9" t="n">
        <v>554.781389389997</v>
      </c>
      <c r="Q356" s="10" t="n">
        <v>0.0018025117985654</v>
      </c>
      <c r="R356" s="9" t="n">
        <v>201</v>
      </c>
      <c r="S356" s="12" t="n">
        <f aca="false">IF(AND(ISNUMBER(R356),R356&gt;1,P356&gt;0),R356/P356-1,"")</f>
        <v>-0.637695128488346</v>
      </c>
      <c r="T356" s="9" t="n">
        <f aca="false">IF(AND(ISNUMBER(P356),P356&gt;0),P356*EXP('Read me'!$B$22),"")</f>
        <v>677.611519176874</v>
      </c>
    </row>
    <row r="357" customFormat="false" ht="15" hidden="false" customHeight="false" outlineLevel="0" collapsed="false">
      <c r="A357" s="15" t="s">
        <v>264</v>
      </c>
      <c r="B357" s="15" t="s">
        <v>56</v>
      </c>
      <c r="C357" s="15" t="s">
        <v>265</v>
      </c>
      <c r="D357" s="15"/>
      <c r="E357" s="16" t="n">
        <v>15.5</v>
      </c>
      <c r="F357" s="15" t="s">
        <v>357</v>
      </c>
      <c r="G357" s="8" t="n">
        <v>16</v>
      </c>
      <c r="H357" s="15" t="s">
        <v>266</v>
      </c>
      <c r="I357" s="15" t="s">
        <v>267</v>
      </c>
      <c r="J357" s="15" t="s">
        <v>121</v>
      </c>
      <c r="K357" s="8" t="n">
        <v>16</v>
      </c>
      <c r="L357" s="8" t="n">
        <v>0</v>
      </c>
      <c r="M357" s="8" t="n">
        <v>4</v>
      </c>
      <c r="N357" s="8"/>
      <c r="O357" s="8" t="n">
        <v>1</v>
      </c>
      <c r="P357" s="9" t="n">
        <v>3.57316552697531</v>
      </c>
      <c r="Q357" s="10" t="n">
        <v>0.279863888882445</v>
      </c>
      <c r="R357" s="9" t="n">
        <v>2.75</v>
      </c>
      <c r="S357" s="12" t="n">
        <f aca="false">IF(AND(ISNUMBER(R357),R357&gt;1,P357&gt;0),R357/P357-1,"")</f>
        <v>-0.230374305573277</v>
      </c>
      <c r="T357" s="9" t="n">
        <f aca="false">IF(AND(ISNUMBER(P357),P357&gt;0),P357*EXP('Read me'!$B$22),"")</f>
        <v>4.36427423001048</v>
      </c>
    </row>
    <row r="358" customFormat="false" ht="15" hidden="false" customHeight="false" outlineLevel="0" collapsed="false">
      <c r="A358" s="15" t="s">
        <v>264</v>
      </c>
      <c r="B358" s="15" t="s">
        <v>56</v>
      </c>
      <c r="C358" s="15" t="s">
        <v>265</v>
      </c>
      <c r="D358" s="15"/>
      <c r="E358" s="16" t="n">
        <v>15.5</v>
      </c>
      <c r="F358" s="15" t="s">
        <v>357</v>
      </c>
      <c r="G358" s="8" t="n">
        <v>16</v>
      </c>
      <c r="H358" s="15" t="s">
        <v>268</v>
      </c>
      <c r="I358" s="15" t="s">
        <v>970</v>
      </c>
      <c r="J358" s="15" t="s">
        <v>595</v>
      </c>
      <c r="K358" s="8" t="n">
        <v>10</v>
      </c>
      <c r="L358" s="8" t="n">
        <v>0</v>
      </c>
      <c r="M358" s="8" t="n">
        <v>5</v>
      </c>
      <c r="N358" s="8" t="n">
        <v>246</v>
      </c>
      <c r="O358" s="8" t="n">
        <v>2</v>
      </c>
      <c r="P358" s="9" t="n">
        <v>7.97551785920999</v>
      </c>
      <c r="Q358" s="10" t="n">
        <v>0.12538370769808</v>
      </c>
      <c r="R358" s="9" t="n">
        <v>6</v>
      </c>
      <c r="S358" s="12" t="n">
        <f aca="false">IF(AND(ISNUMBER(R358),R358&gt;1,P358&gt;0),R358/P358-1,"")</f>
        <v>-0.247697753811522</v>
      </c>
      <c r="T358" s="9" t="n">
        <f aca="false">IF(AND(ISNUMBER(P358),P358&gt;0),P358*EXP('Read me'!$B$22),"")</f>
        <v>9.74131951099478</v>
      </c>
    </row>
    <row r="359" customFormat="false" ht="15" hidden="false" customHeight="false" outlineLevel="0" collapsed="false">
      <c r="A359" s="15" t="s">
        <v>264</v>
      </c>
      <c r="B359" s="15" t="s">
        <v>56</v>
      </c>
      <c r="C359" s="15" t="s">
        <v>265</v>
      </c>
      <c r="D359" s="15"/>
      <c r="E359" s="16" t="n">
        <v>15.5</v>
      </c>
      <c r="F359" s="15" t="s">
        <v>357</v>
      </c>
      <c r="G359" s="8" t="n">
        <v>16</v>
      </c>
      <c r="H359" s="15" t="s">
        <v>971</v>
      </c>
      <c r="I359" s="15" t="s">
        <v>972</v>
      </c>
      <c r="J359" s="15" t="s">
        <v>973</v>
      </c>
      <c r="K359" s="8" t="n">
        <v>8</v>
      </c>
      <c r="L359" s="8" t="n">
        <v>0</v>
      </c>
      <c r="M359" s="8" t="n">
        <v>6</v>
      </c>
      <c r="N359" s="8" t="n">
        <v>815</v>
      </c>
      <c r="O359" s="8" t="n">
        <v>3</v>
      </c>
      <c r="P359" s="9" t="n">
        <v>9.10843878956521</v>
      </c>
      <c r="Q359" s="10" t="n">
        <v>0.109788298862547</v>
      </c>
      <c r="R359" s="9" t="n">
        <v>23</v>
      </c>
      <c r="S359" s="12" t="n">
        <f aca="false">IF(AND(ISNUMBER(R359),R359&gt;1,P359&gt;0),R359/P359-1,"")</f>
        <v>1.52513087383858</v>
      </c>
      <c r="T359" s="9" t="n">
        <f aca="false">IF(AND(ISNUMBER(P359),P359&gt;0),P359*EXP('Read me'!$B$22),"")</f>
        <v>11.125072260108</v>
      </c>
    </row>
    <row r="360" customFormat="false" ht="15" hidden="false" customHeight="false" outlineLevel="0" collapsed="false">
      <c r="A360" s="15" t="s">
        <v>264</v>
      </c>
      <c r="B360" s="15" t="s">
        <v>56</v>
      </c>
      <c r="C360" s="15" t="s">
        <v>265</v>
      </c>
      <c r="D360" s="15"/>
      <c r="E360" s="16" t="n">
        <v>15.5</v>
      </c>
      <c r="F360" s="15" t="s">
        <v>357</v>
      </c>
      <c r="G360" s="8" t="n">
        <v>16</v>
      </c>
      <c r="H360" s="15" t="s">
        <v>974</v>
      </c>
      <c r="I360" s="15" t="s">
        <v>975</v>
      </c>
      <c r="J360" s="15" t="s">
        <v>976</v>
      </c>
      <c r="K360" s="8" t="n">
        <v>2</v>
      </c>
      <c r="L360" s="8" t="n">
        <v>0</v>
      </c>
      <c r="M360" s="8" t="n">
        <v>5</v>
      </c>
      <c r="N360" s="8"/>
      <c r="O360" s="8" t="n">
        <v>4</v>
      </c>
      <c r="P360" s="9" t="n">
        <v>9.91652167062219</v>
      </c>
      <c r="Q360" s="10" t="n">
        <v>0.100841810587931</v>
      </c>
      <c r="R360" s="9" t="n">
        <v>4.33333333333333</v>
      </c>
      <c r="S360" s="12" t="n">
        <f aca="false">IF(AND(ISNUMBER(R360),R360&gt;1,P360&gt;0),R360/P360-1,"")</f>
        <v>-0.56301882078563</v>
      </c>
      <c r="T360" s="9" t="n">
        <f aca="false">IF(AND(ISNUMBER(P360),P360&gt;0),P360*EXP('Read me'!$B$22),"")</f>
        <v>12.112066919853</v>
      </c>
    </row>
    <row r="361" customFormat="false" ht="15" hidden="false" customHeight="false" outlineLevel="0" collapsed="false">
      <c r="A361" s="15" t="s">
        <v>264</v>
      </c>
      <c r="B361" s="15" t="s">
        <v>56</v>
      </c>
      <c r="C361" s="15" t="s">
        <v>265</v>
      </c>
      <c r="D361" s="15"/>
      <c r="E361" s="16" t="n">
        <v>15.5</v>
      </c>
      <c r="F361" s="15" t="s">
        <v>357</v>
      </c>
      <c r="G361" s="8" t="n">
        <v>16</v>
      </c>
      <c r="H361" s="15" t="s">
        <v>977</v>
      </c>
      <c r="I361" s="15" t="s">
        <v>978</v>
      </c>
      <c r="J361" s="15" t="s">
        <v>471</v>
      </c>
      <c r="K361" s="8" t="n">
        <v>11</v>
      </c>
      <c r="L361" s="8" t="n">
        <v>0</v>
      </c>
      <c r="M361" s="8" t="n">
        <v>4</v>
      </c>
      <c r="N361" s="8"/>
      <c r="O361" s="8" t="n">
        <v>5</v>
      </c>
      <c r="P361" s="9" t="n">
        <v>10.3074989633125</v>
      </c>
      <c r="Q361" s="10" t="n">
        <v>0.0970167451444141</v>
      </c>
      <c r="R361" s="9" t="n">
        <v>8.5</v>
      </c>
      <c r="S361" s="12" t="n">
        <f aca="false">IF(AND(ISNUMBER(R361),R361&gt;1,P361&gt;0),R361/P361-1,"")</f>
        <v>-0.17535766627248</v>
      </c>
      <c r="T361" s="9" t="n">
        <f aca="false">IF(AND(ISNUMBER(P361),P361&gt;0),P361*EXP('Read me'!$B$22),"")</f>
        <v>12.589607663523</v>
      </c>
    </row>
    <row r="362" customFormat="false" ht="15" hidden="false" customHeight="false" outlineLevel="0" collapsed="false">
      <c r="A362" s="15" t="s">
        <v>264</v>
      </c>
      <c r="B362" s="15" t="s">
        <v>56</v>
      </c>
      <c r="C362" s="15" t="s">
        <v>265</v>
      </c>
      <c r="D362" s="15"/>
      <c r="E362" s="16" t="n">
        <v>15.5</v>
      </c>
      <c r="F362" s="15" t="s">
        <v>357</v>
      </c>
      <c r="G362" s="8" t="n">
        <v>16</v>
      </c>
      <c r="H362" s="15" t="s">
        <v>979</v>
      </c>
      <c r="I362" s="15" t="s">
        <v>980</v>
      </c>
      <c r="J362" s="15" t="s">
        <v>981</v>
      </c>
      <c r="K362" s="8" t="n">
        <v>7</v>
      </c>
      <c r="L362" s="8" t="n">
        <v>0</v>
      </c>
      <c r="M362" s="8" t="n">
        <v>5</v>
      </c>
      <c r="N362" s="8" t="n">
        <v>45</v>
      </c>
      <c r="O362" s="8" t="n">
        <v>6</v>
      </c>
      <c r="P362" s="9" t="n">
        <v>13.427533347204</v>
      </c>
      <c r="Q362" s="10" t="n">
        <v>0.0744738422271895</v>
      </c>
      <c r="R362" s="9" t="n">
        <v>9.5</v>
      </c>
      <c r="S362" s="12" t="n">
        <f aca="false">IF(AND(ISNUMBER(R362),R362&gt;1,P362&gt;0),R362/P362-1,"")</f>
        <v>-0.292498498841699</v>
      </c>
      <c r="T362" s="9" t="n">
        <f aca="false">IF(AND(ISNUMBER(P362),P362&gt;0),P362*EXP('Read me'!$B$22),"")</f>
        <v>16.4004262655627</v>
      </c>
    </row>
    <row r="363" customFormat="false" ht="15" hidden="false" customHeight="false" outlineLevel="0" collapsed="false">
      <c r="A363" s="15" t="s">
        <v>264</v>
      </c>
      <c r="B363" s="15" t="s">
        <v>56</v>
      </c>
      <c r="C363" s="15" t="s">
        <v>265</v>
      </c>
      <c r="D363" s="15"/>
      <c r="E363" s="16" t="n">
        <v>15.5</v>
      </c>
      <c r="F363" s="15" t="s">
        <v>357</v>
      </c>
      <c r="G363" s="8" t="n">
        <v>16</v>
      </c>
      <c r="H363" s="15" t="s">
        <v>982</v>
      </c>
      <c r="I363" s="15" t="s">
        <v>669</v>
      </c>
      <c r="J363" s="15" t="s">
        <v>983</v>
      </c>
      <c r="K363" s="8" t="n">
        <v>3</v>
      </c>
      <c r="L363" s="8" t="n">
        <v>0</v>
      </c>
      <c r="M363" s="8" t="n">
        <v>5</v>
      </c>
      <c r="N363" s="8"/>
      <c r="O363" s="8" t="n">
        <v>7</v>
      </c>
      <c r="P363" s="9" t="n">
        <v>23.815645002458</v>
      </c>
      <c r="Q363" s="10" t="n">
        <v>0.041989204990954</v>
      </c>
      <c r="R363" s="9" t="n">
        <v>10</v>
      </c>
      <c r="S363" s="12" t="n">
        <f aca="false">IF(AND(ISNUMBER(R363),R363&gt;1,P363&gt;0),R363/P363-1,"")</f>
        <v>-0.58010795009046</v>
      </c>
      <c r="T363" s="9" t="n">
        <f aca="false">IF(AND(ISNUMBER(P363),P363&gt;0),P363*EXP('Read me'!$B$22),"")</f>
        <v>29.0884944933657</v>
      </c>
    </row>
    <row r="364" customFormat="false" ht="15" hidden="false" customHeight="false" outlineLevel="0" collapsed="false">
      <c r="A364" s="15" t="s">
        <v>264</v>
      </c>
      <c r="B364" s="15" t="s">
        <v>56</v>
      </c>
      <c r="C364" s="15" t="s">
        <v>265</v>
      </c>
      <c r="D364" s="15"/>
      <c r="E364" s="16" t="n">
        <v>15.5</v>
      </c>
      <c r="F364" s="15" t="s">
        <v>357</v>
      </c>
      <c r="G364" s="8" t="n">
        <v>16</v>
      </c>
      <c r="H364" s="15" t="s">
        <v>984</v>
      </c>
      <c r="I364" s="15" t="s">
        <v>985</v>
      </c>
      <c r="J364" s="15" t="s">
        <v>121</v>
      </c>
      <c r="K364" s="8" t="n">
        <v>15</v>
      </c>
      <c r="L364" s="8" t="n">
        <v>0</v>
      </c>
      <c r="M364" s="8" t="n">
        <v>5</v>
      </c>
      <c r="N364" s="8" t="n">
        <v>25</v>
      </c>
      <c r="O364" s="8" t="n">
        <v>8</v>
      </c>
      <c r="P364" s="9" t="n">
        <v>24.5479748393928</v>
      </c>
      <c r="Q364" s="10" t="n">
        <v>0.0407365579662919</v>
      </c>
      <c r="R364" s="9" t="n">
        <v>11</v>
      </c>
      <c r="S364" s="12" t="n">
        <f aca="false">IF(AND(ISNUMBER(R364),R364&gt;1,P364&gt;0),R364/P364-1,"")</f>
        <v>-0.551897862370788</v>
      </c>
      <c r="T364" s="9" t="n">
        <f aca="false">IF(AND(ISNUMBER(P364),P364&gt;0),P364*EXP('Read me'!$B$22),"")</f>
        <v>29.9829641760808</v>
      </c>
    </row>
    <row r="365" customFormat="false" ht="15" hidden="false" customHeight="false" outlineLevel="0" collapsed="false">
      <c r="A365" s="15" t="s">
        <v>264</v>
      </c>
      <c r="B365" s="15" t="s">
        <v>56</v>
      </c>
      <c r="C365" s="15" t="s">
        <v>265</v>
      </c>
      <c r="D365" s="15"/>
      <c r="E365" s="16" t="n">
        <v>15.5</v>
      </c>
      <c r="F365" s="15" t="s">
        <v>357</v>
      </c>
      <c r="G365" s="8" t="n">
        <v>16</v>
      </c>
      <c r="H365" s="15" t="s">
        <v>986</v>
      </c>
      <c r="I365" s="15" t="s">
        <v>987</v>
      </c>
      <c r="J365" s="15" t="s">
        <v>988</v>
      </c>
      <c r="K365" s="8" t="n">
        <v>9</v>
      </c>
      <c r="L365" s="8" t="n">
        <v>0</v>
      </c>
      <c r="M365" s="8" t="n">
        <v>5</v>
      </c>
      <c r="N365" s="8"/>
      <c r="O365" s="8" t="n">
        <v>9</v>
      </c>
      <c r="P365" s="9" t="n">
        <v>33.122300879841</v>
      </c>
      <c r="Q365" s="10" t="n">
        <v>0.0301911393060445</v>
      </c>
      <c r="R365" s="9" t="n">
        <v>23</v>
      </c>
      <c r="S365" s="12" t="n">
        <f aca="false">IF(AND(ISNUMBER(R365),R365&gt;1,P365&gt;0),R365/P365-1,"")</f>
        <v>-0.305603795960976</v>
      </c>
      <c r="T365" s="9" t="n">
        <f aca="false">IF(AND(ISNUMBER(P365),P365&gt;0),P365*EXP('Read me'!$B$22),"")</f>
        <v>40.4556696512488</v>
      </c>
    </row>
    <row r="366" customFormat="false" ht="15" hidden="false" customHeight="false" outlineLevel="0" collapsed="false">
      <c r="A366" s="15" t="s">
        <v>264</v>
      </c>
      <c r="B366" s="15" t="s">
        <v>56</v>
      </c>
      <c r="C366" s="15" t="s">
        <v>265</v>
      </c>
      <c r="D366" s="15"/>
      <c r="E366" s="16" t="n">
        <v>15.5</v>
      </c>
      <c r="F366" s="15" t="s">
        <v>357</v>
      </c>
      <c r="G366" s="8" t="n">
        <v>16</v>
      </c>
      <c r="H366" s="15" t="s">
        <v>989</v>
      </c>
      <c r="I366" s="15" t="s">
        <v>990</v>
      </c>
      <c r="J366" s="15" t="s">
        <v>991</v>
      </c>
      <c r="K366" s="8" t="n">
        <v>6</v>
      </c>
      <c r="L366" s="8" t="n">
        <v>0</v>
      </c>
      <c r="M366" s="8" t="n">
        <v>5</v>
      </c>
      <c r="N366" s="8" t="n">
        <v>478</v>
      </c>
      <c r="O366" s="8" t="n">
        <v>10</v>
      </c>
      <c r="P366" s="9" t="n">
        <v>40.2069569649064</v>
      </c>
      <c r="Q366" s="10" t="n">
        <v>0.0248713176894442</v>
      </c>
      <c r="R366" s="9" t="n">
        <v>51</v>
      </c>
      <c r="S366" s="12" t="n">
        <f aca="false">IF(AND(ISNUMBER(R366),R366&gt;1,P366&gt;0),R366/P366-1,"")</f>
        <v>0.268437202161655</v>
      </c>
      <c r="T366" s="9" t="n">
        <f aca="false">IF(AND(ISNUMBER(P366),P366&gt;0),P366*EXP('Read me'!$B$22),"")</f>
        <v>49.108888134164</v>
      </c>
    </row>
    <row r="367" customFormat="false" ht="15" hidden="false" customHeight="false" outlineLevel="0" collapsed="false">
      <c r="A367" s="15" t="s">
        <v>264</v>
      </c>
      <c r="B367" s="15" t="s">
        <v>56</v>
      </c>
      <c r="C367" s="15" t="s">
        <v>265</v>
      </c>
      <c r="D367" s="15"/>
      <c r="E367" s="16" t="n">
        <v>15.5</v>
      </c>
      <c r="F367" s="15" t="s">
        <v>357</v>
      </c>
      <c r="G367" s="8" t="n">
        <v>16</v>
      </c>
      <c r="H367" s="15" t="s">
        <v>992</v>
      </c>
      <c r="I367" s="15" t="s">
        <v>993</v>
      </c>
      <c r="J367" s="15" t="s">
        <v>994</v>
      </c>
      <c r="K367" s="8" t="n">
        <v>12</v>
      </c>
      <c r="L367" s="8" t="n">
        <v>0</v>
      </c>
      <c r="M367" s="8" t="n">
        <v>4</v>
      </c>
      <c r="N367" s="8" t="n">
        <v>120</v>
      </c>
      <c r="O367" s="8" t="n">
        <v>11</v>
      </c>
      <c r="P367" s="9" t="n">
        <v>52.3497008545418</v>
      </c>
      <c r="Q367" s="10" t="n">
        <v>0.0191023059096094</v>
      </c>
      <c r="R367" s="9" t="n">
        <v>51</v>
      </c>
      <c r="S367" s="12" t="n">
        <f aca="false">IF(AND(ISNUMBER(R367),R367&gt;1,P367&gt;0),R367/P367-1,"")</f>
        <v>-0.0257823986099183</v>
      </c>
      <c r="T367" s="9" t="n">
        <f aca="false">IF(AND(ISNUMBER(P367),P367&gt;0),P367*EXP('Read me'!$B$22),"")</f>
        <v>63.9400690125971</v>
      </c>
    </row>
    <row r="368" customFormat="false" ht="15" hidden="false" customHeight="false" outlineLevel="0" collapsed="false">
      <c r="A368" s="15" t="s">
        <v>264</v>
      </c>
      <c r="B368" s="15" t="s">
        <v>56</v>
      </c>
      <c r="C368" s="15" t="s">
        <v>265</v>
      </c>
      <c r="D368" s="15"/>
      <c r="E368" s="16" t="n">
        <v>15.5</v>
      </c>
      <c r="F368" s="15" t="s">
        <v>357</v>
      </c>
      <c r="G368" s="8" t="n">
        <v>16</v>
      </c>
      <c r="H368" s="15" t="s">
        <v>995</v>
      </c>
      <c r="I368" s="15" t="s">
        <v>996</v>
      </c>
      <c r="J368" s="15" t="s">
        <v>997</v>
      </c>
      <c r="K368" s="8" t="n">
        <v>1</v>
      </c>
      <c r="L368" s="8" t="n">
        <v>0</v>
      </c>
      <c r="M368" s="8" t="n">
        <v>6</v>
      </c>
      <c r="N368" s="8"/>
      <c r="O368" s="8" t="n">
        <v>12</v>
      </c>
      <c r="P368" s="9" t="n">
        <v>53.4544905610612</v>
      </c>
      <c r="Q368" s="10" t="n">
        <v>0.0187075022042852</v>
      </c>
      <c r="R368" s="9" t="n">
        <v>29</v>
      </c>
      <c r="S368" s="12" t="n">
        <f aca="false">IF(AND(ISNUMBER(R368),R368&gt;1,P368&gt;0),R368/P368-1,"")</f>
        <v>-0.457482436075727</v>
      </c>
      <c r="T368" s="9" t="n">
        <f aca="false">IF(AND(ISNUMBER(P368),P368&gt;0),P368*EXP('Read me'!$B$22),"")</f>
        <v>65.2894622073269</v>
      </c>
    </row>
    <row r="369" customFormat="false" ht="15" hidden="false" customHeight="false" outlineLevel="0" collapsed="false">
      <c r="A369" s="15" t="s">
        <v>264</v>
      </c>
      <c r="B369" s="15" t="s">
        <v>56</v>
      </c>
      <c r="C369" s="15" t="s">
        <v>265</v>
      </c>
      <c r="D369" s="15"/>
      <c r="E369" s="16" t="n">
        <v>15.5</v>
      </c>
      <c r="F369" s="15" t="s">
        <v>357</v>
      </c>
      <c r="G369" s="8" t="n">
        <v>16</v>
      </c>
      <c r="H369" s="15" t="s">
        <v>998</v>
      </c>
      <c r="I369" s="15" t="s">
        <v>999</v>
      </c>
      <c r="J369" s="15" t="s">
        <v>1000</v>
      </c>
      <c r="K369" s="8" t="n">
        <v>4</v>
      </c>
      <c r="L369" s="8" t="n">
        <v>0</v>
      </c>
      <c r="M369" s="8" t="n">
        <v>6</v>
      </c>
      <c r="N369" s="8"/>
      <c r="O369" s="8" t="n">
        <v>13</v>
      </c>
      <c r="P369" s="9" t="n">
        <v>62.6024914685948</v>
      </c>
      <c r="Q369" s="10" t="n">
        <v>0.0159738051400344</v>
      </c>
      <c r="R369" s="9" t="n">
        <v>101</v>
      </c>
      <c r="S369" s="12" t="n">
        <f aca="false">IF(AND(ISNUMBER(R369),R369&gt;1,P369&gt;0),R369/P369-1,"")</f>
        <v>0.613354319143477</v>
      </c>
      <c r="T369" s="9" t="n">
        <f aca="false">IF(AND(ISNUMBER(P369),P369&gt;0),P369*EXP('Read me'!$B$22),"")</f>
        <v>76.4628557474401</v>
      </c>
    </row>
    <row r="370" customFormat="false" ht="15" hidden="false" customHeight="false" outlineLevel="0" collapsed="false">
      <c r="A370" s="15" t="s">
        <v>264</v>
      </c>
      <c r="B370" s="15" t="s">
        <v>56</v>
      </c>
      <c r="C370" s="15" t="s">
        <v>265</v>
      </c>
      <c r="D370" s="15"/>
      <c r="E370" s="16" t="n">
        <v>15.5</v>
      </c>
      <c r="F370" s="15" t="s">
        <v>357</v>
      </c>
      <c r="G370" s="8" t="n">
        <v>16</v>
      </c>
      <c r="H370" s="15" t="s">
        <v>1001</v>
      </c>
      <c r="I370" s="15" t="s">
        <v>1002</v>
      </c>
      <c r="J370" s="15" t="s">
        <v>1003</v>
      </c>
      <c r="K370" s="8" t="n">
        <v>13</v>
      </c>
      <c r="L370" s="8" t="n">
        <v>0</v>
      </c>
      <c r="M370" s="8" t="n">
        <v>4</v>
      </c>
      <c r="N370" s="8"/>
      <c r="O370" s="8" t="n">
        <v>14</v>
      </c>
      <c r="P370" s="9" t="n">
        <v>89.1748934634217</v>
      </c>
      <c r="Q370" s="10" t="n">
        <v>0.0112139186396694</v>
      </c>
      <c r="R370" s="9" t="n">
        <v>67</v>
      </c>
      <c r="S370" s="12" t="n">
        <f aca="false">IF(AND(ISNUMBER(R370),R370&gt;1,P370&gt;0),R370/P370-1,"")</f>
        <v>-0.248667451142148</v>
      </c>
      <c r="T370" s="9" t="n">
        <f aca="false">IF(AND(ISNUMBER(P370),P370&gt;0),P370*EXP('Read me'!$B$22),"")</f>
        <v>108.918460834863</v>
      </c>
    </row>
    <row r="371" customFormat="false" ht="15" hidden="false" customHeight="false" outlineLevel="0" collapsed="false">
      <c r="A371" s="15" t="s">
        <v>264</v>
      </c>
      <c r="B371" s="15" t="s">
        <v>56</v>
      </c>
      <c r="C371" s="15" t="s">
        <v>265</v>
      </c>
      <c r="D371" s="15"/>
      <c r="E371" s="16" t="n">
        <v>15.5</v>
      </c>
      <c r="F371" s="15" t="s">
        <v>357</v>
      </c>
      <c r="G371" s="8" t="n">
        <v>16</v>
      </c>
      <c r="H371" s="15" t="s">
        <v>1004</v>
      </c>
      <c r="I371" s="15" t="s">
        <v>1005</v>
      </c>
      <c r="J371" s="15" t="s">
        <v>1006</v>
      </c>
      <c r="K371" s="8" t="n">
        <v>5</v>
      </c>
      <c r="L371" s="8" t="n">
        <v>0</v>
      </c>
      <c r="M371" s="8" t="n">
        <v>6</v>
      </c>
      <c r="N371" s="8" t="n">
        <v>38</v>
      </c>
      <c r="O371" s="8" t="n">
        <v>15</v>
      </c>
      <c r="P371" s="9" t="n">
        <v>130.924961738682</v>
      </c>
      <c r="Q371" s="10" t="n">
        <v>0.0076379628966089</v>
      </c>
      <c r="R371" s="9" t="n">
        <v>67</v>
      </c>
      <c r="S371" s="12" t="n">
        <f aca="false">IF(AND(ISNUMBER(R371),R371&gt;1,P371&gt;0),R371/P371-1,"")</f>
        <v>-0.488256485927202</v>
      </c>
      <c r="T371" s="9" t="n">
        <f aca="false">IF(AND(ISNUMBER(P371),P371&gt;0),P371*EXP('Read me'!$B$22),"")</f>
        <v>159.912109379641</v>
      </c>
    </row>
    <row r="372" customFormat="false" ht="15" hidden="false" customHeight="false" outlineLevel="0" collapsed="false">
      <c r="A372" s="15" t="s">
        <v>264</v>
      </c>
      <c r="B372" s="15" t="s">
        <v>56</v>
      </c>
      <c r="C372" s="15" t="s">
        <v>265</v>
      </c>
      <c r="D372" s="15"/>
      <c r="E372" s="16" t="n">
        <v>15.5</v>
      </c>
      <c r="F372" s="15" t="s">
        <v>357</v>
      </c>
      <c r="G372" s="8" t="n">
        <v>16</v>
      </c>
      <c r="H372" s="15" t="s">
        <v>1007</v>
      </c>
      <c r="I372" s="15" t="s">
        <v>1008</v>
      </c>
      <c r="J372" s="15" t="s">
        <v>673</v>
      </c>
      <c r="K372" s="8" t="n">
        <v>14</v>
      </c>
      <c r="L372" s="8" t="n">
        <v>0</v>
      </c>
      <c r="M372" s="8" t="n">
        <v>4</v>
      </c>
      <c r="N372" s="8" t="n">
        <v>55</v>
      </c>
      <c r="O372" s="8" t="n">
        <v>16</v>
      </c>
      <c r="P372" s="9" t="n">
        <v>452.900221522062</v>
      </c>
      <c r="Q372" s="10" t="n">
        <v>0.0022079918544515</v>
      </c>
      <c r="R372" s="9" t="n">
        <v>201</v>
      </c>
      <c r="S372" s="12" t="n">
        <f aca="false">IF(AND(ISNUMBER(R372),R372&gt;1,P372&gt;0),R372/P372-1,"")</f>
        <v>-0.556193637255245</v>
      </c>
      <c r="T372" s="9" t="n">
        <f aca="false">IF(AND(ISNUMBER(P372),P372&gt;0),P372*EXP('Read me'!$B$22),"")</f>
        <v>553.173579738398</v>
      </c>
    </row>
    <row r="373" customFormat="false" ht="15" hidden="false" customHeight="false" outlineLevel="0" collapsed="false">
      <c r="A373" s="15" t="s">
        <v>269</v>
      </c>
      <c r="B373" s="15" t="s">
        <v>194</v>
      </c>
      <c r="C373" s="15" t="s">
        <v>270</v>
      </c>
      <c r="D373" s="15" t="s">
        <v>370</v>
      </c>
      <c r="E373" s="16" t="n">
        <v>7</v>
      </c>
      <c r="F373" s="15" t="s">
        <v>805</v>
      </c>
      <c r="G373" s="8" t="n">
        <v>11</v>
      </c>
      <c r="H373" s="15" t="s">
        <v>271</v>
      </c>
      <c r="I373" s="15" t="s">
        <v>261</v>
      </c>
      <c r="J373" s="15" t="s">
        <v>272</v>
      </c>
      <c r="K373" s="8" t="n">
        <v>10</v>
      </c>
      <c r="L373" s="8" t="n">
        <v>46</v>
      </c>
      <c r="M373" s="8" t="n">
        <v>3</v>
      </c>
      <c r="N373" s="8" t="n">
        <v>7</v>
      </c>
      <c r="O373" s="8" t="n">
        <v>1</v>
      </c>
      <c r="P373" s="9" t="n">
        <v>2.23822109169002</v>
      </c>
      <c r="Q373" s="10" t="n">
        <v>0.446783386910596</v>
      </c>
      <c r="R373" s="9" t="n">
        <v>1.83333333333333</v>
      </c>
      <c r="S373" s="12" t="n">
        <f aca="false">IF(AND(ISNUMBER(R373),R373&gt;1,P373&gt;0),R373/P373-1,"")</f>
        <v>-0.180897123997241</v>
      </c>
      <c r="T373" s="9" t="n">
        <f aca="false">IF(AND(ISNUMBER(P373),P373&gt;0),P373*EXP('Read me'!$B$22),"")</f>
        <v>2.73376941476246</v>
      </c>
    </row>
    <row r="374" customFormat="false" ht="15" hidden="false" customHeight="false" outlineLevel="0" collapsed="false">
      <c r="A374" s="15" t="s">
        <v>269</v>
      </c>
      <c r="B374" s="15" t="s">
        <v>194</v>
      </c>
      <c r="C374" s="15" t="s">
        <v>270</v>
      </c>
      <c r="D374" s="15" t="s">
        <v>370</v>
      </c>
      <c r="E374" s="16" t="n">
        <v>7</v>
      </c>
      <c r="F374" s="15" t="s">
        <v>805</v>
      </c>
      <c r="G374" s="8" t="n">
        <v>11</v>
      </c>
      <c r="H374" s="15" t="s">
        <v>273</v>
      </c>
      <c r="I374" s="15" t="s">
        <v>1009</v>
      </c>
      <c r="J374" s="15" t="s">
        <v>1010</v>
      </c>
      <c r="K374" s="8" t="n">
        <v>6</v>
      </c>
      <c r="L374" s="8" t="n">
        <v>55</v>
      </c>
      <c r="M374" s="8" t="n">
        <v>3</v>
      </c>
      <c r="N374" s="8" t="n">
        <v>28</v>
      </c>
      <c r="O374" s="8" t="n">
        <v>2</v>
      </c>
      <c r="P374" s="9" t="n">
        <v>3.7489318858321</v>
      </c>
      <c r="Q374" s="10" t="n">
        <v>0.266742643092338</v>
      </c>
      <c r="R374" s="9" t="n">
        <v>3.5</v>
      </c>
      <c r="S374" s="12" t="n">
        <f aca="false">IF(AND(ISNUMBER(R374),R374&gt;1,P374&gt;0),R374/P374-1,"")</f>
        <v>-0.0664007491768156</v>
      </c>
      <c r="T374" s="9" t="n">
        <f aca="false">IF(AND(ISNUMBER(P374),P374&gt;0),P374*EXP('Read me'!$B$22),"")</f>
        <v>4.57895574550994</v>
      </c>
    </row>
    <row r="375" customFormat="false" ht="15" hidden="false" customHeight="false" outlineLevel="0" collapsed="false">
      <c r="A375" s="15" t="s">
        <v>269</v>
      </c>
      <c r="B375" s="15" t="s">
        <v>194</v>
      </c>
      <c r="C375" s="15" t="s">
        <v>270</v>
      </c>
      <c r="D375" s="15" t="s">
        <v>370</v>
      </c>
      <c r="E375" s="16" t="n">
        <v>7</v>
      </c>
      <c r="F375" s="15" t="s">
        <v>805</v>
      </c>
      <c r="G375" s="8" t="n">
        <v>11</v>
      </c>
      <c r="H375" s="15" t="s">
        <v>1011</v>
      </c>
      <c r="I375" s="15" t="s">
        <v>1012</v>
      </c>
      <c r="J375" s="15" t="s">
        <v>1013</v>
      </c>
      <c r="K375" s="8" t="n">
        <v>3</v>
      </c>
      <c r="L375" s="8" t="n">
        <v>55</v>
      </c>
      <c r="M375" s="8" t="n">
        <v>11</v>
      </c>
      <c r="N375" s="8" t="n">
        <v>20</v>
      </c>
      <c r="O375" s="8" t="n">
        <v>3</v>
      </c>
      <c r="P375" s="9" t="n">
        <v>12.7458032681103</v>
      </c>
      <c r="Q375" s="10" t="n">
        <v>0.0784571971624557</v>
      </c>
      <c r="R375" s="9" t="n">
        <v>10</v>
      </c>
      <c r="S375" s="12" t="n">
        <f aca="false">IF(AND(ISNUMBER(R375),R375&gt;1,P375&gt;0),R375/P375-1,"")</f>
        <v>-0.215428028375442</v>
      </c>
      <c r="T375" s="9" t="n">
        <f aca="false">IF(AND(ISNUMBER(P375),P375&gt;0),P375*EXP('Read me'!$B$22),"")</f>
        <v>15.5677592666368</v>
      </c>
    </row>
    <row r="376" customFormat="false" ht="15" hidden="false" customHeight="false" outlineLevel="0" collapsed="false">
      <c r="A376" s="15" t="s">
        <v>269</v>
      </c>
      <c r="B376" s="15" t="s">
        <v>194</v>
      </c>
      <c r="C376" s="15" t="s">
        <v>270</v>
      </c>
      <c r="D376" s="15" t="s">
        <v>370</v>
      </c>
      <c r="E376" s="16" t="n">
        <v>7</v>
      </c>
      <c r="F376" s="15" t="s">
        <v>805</v>
      </c>
      <c r="G376" s="8" t="n">
        <v>11</v>
      </c>
      <c r="H376" s="15" t="s">
        <v>1014</v>
      </c>
      <c r="I376" s="15" t="s">
        <v>277</v>
      </c>
      <c r="J376" s="15" t="s">
        <v>278</v>
      </c>
      <c r="K376" s="8" t="n">
        <v>11</v>
      </c>
      <c r="L376" s="8" t="n">
        <v>47</v>
      </c>
      <c r="M376" s="8" t="n">
        <v>6</v>
      </c>
      <c r="N376" s="8" t="n">
        <v>27</v>
      </c>
      <c r="O376" s="8" t="n">
        <v>4</v>
      </c>
      <c r="P376" s="9" t="n">
        <v>17.8789065611558</v>
      </c>
      <c r="Q376" s="10" t="n">
        <v>0.0559318321050253</v>
      </c>
      <c r="R376" s="9" t="n">
        <v>15</v>
      </c>
      <c r="S376" s="12" t="n">
        <f aca="false">IF(AND(ISNUMBER(R376),R376&gt;1,P376&gt;0),R376/P376-1,"")</f>
        <v>-0.16102251842462</v>
      </c>
      <c r="T376" s="9" t="n">
        <f aca="false">IF(AND(ISNUMBER(P376),P376&gt;0),P376*EXP('Read me'!$B$22),"")</f>
        <v>21.8373457866836</v>
      </c>
    </row>
    <row r="377" customFormat="false" ht="15" hidden="false" customHeight="false" outlineLevel="0" collapsed="false">
      <c r="A377" s="15" t="s">
        <v>269</v>
      </c>
      <c r="B377" s="15" t="s">
        <v>194</v>
      </c>
      <c r="C377" s="15" t="s">
        <v>270</v>
      </c>
      <c r="D377" s="15" t="s">
        <v>370</v>
      </c>
      <c r="E377" s="16" t="n">
        <v>7</v>
      </c>
      <c r="F377" s="15" t="s">
        <v>805</v>
      </c>
      <c r="G377" s="8" t="n">
        <v>11</v>
      </c>
      <c r="H377" s="15" t="s">
        <v>1015</v>
      </c>
      <c r="I377" s="15" t="s">
        <v>1016</v>
      </c>
      <c r="J377" s="15" t="s">
        <v>431</v>
      </c>
      <c r="K377" s="8" t="n">
        <v>8</v>
      </c>
      <c r="L377" s="8" t="n">
        <v>53</v>
      </c>
      <c r="M377" s="8" t="n">
        <v>7</v>
      </c>
      <c r="N377" s="8" t="n">
        <v>74</v>
      </c>
      <c r="O377" s="8" t="n">
        <v>5</v>
      </c>
      <c r="P377" s="9" t="n">
        <v>19.8774416715677</v>
      </c>
      <c r="Q377" s="10" t="n">
        <v>0.0503082849655839</v>
      </c>
      <c r="R377" s="9" t="n">
        <v>17</v>
      </c>
      <c r="S377" s="12" t="n">
        <f aca="false">IF(AND(ISNUMBER(R377),R377&gt;1,P377&gt;0),R377/P377-1,"")</f>
        <v>-0.144759155585072</v>
      </c>
      <c r="T377" s="9" t="n">
        <f aca="false">IF(AND(ISNUMBER(P377),P377&gt;0),P377*EXP('Read me'!$B$22),"")</f>
        <v>24.2783620828206</v>
      </c>
    </row>
    <row r="378" customFormat="false" ht="15" hidden="false" customHeight="false" outlineLevel="0" collapsed="false">
      <c r="A378" s="15" t="s">
        <v>269</v>
      </c>
      <c r="B378" s="15" t="s">
        <v>194</v>
      </c>
      <c r="C378" s="15" t="s">
        <v>270</v>
      </c>
      <c r="D378" s="15" t="s">
        <v>370</v>
      </c>
      <c r="E378" s="16" t="n">
        <v>7</v>
      </c>
      <c r="F378" s="15" t="s">
        <v>805</v>
      </c>
      <c r="G378" s="8" t="n">
        <v>11</v>
      </c>
      <c r="H378" s="15" t="s">
        <v>1017</v>
      </c>
      <c r="I378" s="15" t="s">
        <v>901</v>
      </c>
      <c r="J378" s="15" t="s">
        <v>379</v>
      </c>
      <c r="K378" s="8" t="n">
        <v>2</v>
      </c>
      <c r="L378" s="8" t="n">
        <v>50</v>
      </c>
      <c r="M378" s="8" t="n">
        <v>6</v>
      </c>
      <c r="N378" s="8" t="n">
        <v>13</v>
      </c>
      <c r="O378" s="8" t="n">
        <v>6</v>
      </c>
      <c r="P378" s="9" t="n">
        <v>32.0108810456483</v>
      </c>
      <c r="Q378" s="10" t="n">
        <v>0.0312393775908253</v>
      </c>
      <c r="R378" s="9" t="n">
        <v>17</v>
      </c>
      <c r="S378" s="12" t="n">
        <f aca="false">IF(AND(ISNUMBER(R378),R378&gt;1,P378&gt;0),R378/P378-1,"")</f>
        <v>-0.468930580955969</v>
      </c>
      <c r="T378" s="9" t="n">
        <f aca="false">IF(AND(ISNUMBER(P378),P378&gt;0),P378*EXP('Read me'!$B$22),"")</f>
        <v>39.0981784002919</v>
      </c>
    </row>
    <row r="379" customFormat="false" ht="15" hidden="false" customHeight="false" outlineLevel="0" collapsed="false">
      <c r="A379" s="15" t="s">
        <v>269</v>
      </c>
      <c r="B379" s="15" t="s">
        <v>194</v>
      </c>
      <c r="C379" s="15" t="s">
        <v>270</v>
      </c>
      <c r="D379" s="15" t="s">
        <v>370</v>
      </c>
      <c r="E379" s="16" t="n">
        <v>7</v>
      </c>
      <c r="F379" s="15" t="s">
        <v>805</v>
      </c>
      <c r="G379" s="8" t="n">
        <v>11</v>
      </c>
      <c r="H379" s="15" t="s">
        <v>1018</v>
      </c>
      <c r="I379" s="15" t="s">
        <v>898</v>
      </c>
      <c r="J379" s="15" t="s">
        <v>1019</v>
      </c>
      <c r="K379" s="8" t="n">
        <v>7</v>
      </c>
      <c r="L379" s="8" t="n">
        <v>46</v>
      </c>
      <c r="M379" s="8" t="n">
        <v>6</v>
      </c>
      <c r="N379" s="8" t="n">
        <v>41</v>
      </c>
      <c r="O379" s="8" t="n">
        <v>7</v>
      </c>
      <c r="P379" s="9" t="n">
        <v>39.4655967591856</v>
      </c>
      <c r="Q379" s="10" t="n">
        <v>0.0253385247435096</v>
      </c>
      <c r="R379" s="9" t="n">
        <v>26</v>
      </c>
      <c r="S379" s="12" t="n">
        <f aca="false">IF(AND(ISNUMBER(R379),R379&gt;1,P379&gt;0),R379/P379-1,"")</f>
        <v>-0.341198356668748</v>
      </c>
      <c r="T379" s="9" t="n">
        <f aca="false">IF(AND(ISNUMBER(P379),P379&gt;0),P379*EXP('Read me'!$B$22),"")</f>
        <v>48.2033887341063</v>
      </c>
    </row>
    <row r="380" customFormat="false" ht="15" hidden="false" customHeight="false" outlineLevel="0" collapsed="false">
      <c r="A380" s="15" t="s">
        <v>269</v>
      </c>
      <c r="B380" s="15" t="s">
        <v>194</v>
      </c>
      <c r="C380" s="15" t="s">
        <v>270</v>
      </c>
      <c r="D380" s="15" t="s">
        <v>370</v>
      </c>
      <c r="E380" s="16" t="n">
        <v>7</v>
      </c>
      <c r="F380" s="15" t="s">
        <v>805</v>
      </c>
      <c r="G380" s="8" t="n">
        <v>11</v>
      </c>
      <c r="H380" s="15" t="s">
        <v>1020</v>
      </c>
      <c r="I380" s="15" t="s">
        <v>1021</v>
      </c>
      <c r="J380" s="15" t="s">
        <v>1022</v>
      </c>
      <c r="K380" s="8" t="n">
        <v>1</v>
      </c>
      <c r="L380" s="8" t="n">
        <v>50</v>
      </c>
      <c r="M380" s="8" t="n">
        <v>6</v>
      </c>
      <c r="N380" s="8" t="n">
        <v>47</v>
      </c>
      <c r="O380" s="8" t="n">
        <v>8</v>
      </c>
      <c r="P380" s="9" t="n">
        <v>43.4564636349803</v>
      </c>
      <c r="Q380" s="10" t="n">
        <v>0.0230115365207731</v>
      </c>
      <c r="R380" s="9" t="n">
        <v>34</v>
      </c>
      <c r="S380" s="12" t="n">
        <f aca="false">IF(AND(ISNUMBER(R380),R380&gt;1,P380&gt;0),R380/P380-1,"")</f>
        <v>-0.217607758293712</v>
      </c>
      <c r="T380" s="9" t="n">
        <f aca="false">IF(AND(ISNUMBER(P380),P380&gt;0),P380*EXP('Read me'!$B$22),"")</f>
        <v>53.077844543652</v>
      </c>
    </row>
    <row r="381" customFormat="false" ht="15" hidden="false" customHeight="false" outlineLevel="0" collapsed="false">
      <c r="A381" s="15" t="s">
        <v>269</v>
      </c>
      <c r="B381" s="15" t="s">
        <v>194</v>
      </c>
      <c r="C381" s="15" t="s">
        <v>270</v>
      </c>
      <c r="D381" s="15" t="s">
        <v>370</v>
      </c>
      <c r="E381" s="16" t="n">
        <v>7</v>
      </c>
      <c r="F381" s="15" t="s">
        <v>805</v>
      </c>
      <c r="G381" s="8" t="n">
        <v>11</v>
      </c>
      <c r="H381" s="15" t="s">
        <v>1023</v>
      </c>
      <c r="I381" s="15" t="s">
        <v>294</v>
      </c>
      <c r="J381" s="15" t="s">
        <v>387</v>
      </c>
      <c r="K381" s="8" t="n">
        <v>4</v>
      </c>
      <c r="L381" s="8" t="n">
        <v>46</v>
      </c>
      <c r="M381" s="8" t="n">
        <v>4</v>
      </c>
      <c r="N381" s="8" t="n">
        <v>7</v>
      </c>
      <c r="O381" s="8" t="n">
        <v>9</v>
      </c>
      <c r="P381" s="9" t="n">
        <v>67.8077654795079</v>
      </c>
      <c r="Q381" s="10" t="n">
        <v>0.0147475734221356</v>
      </c>
      <c r="R381" s="9" t="n">
        <v>51</v>
      </c>
      <c r="S381" s="12" t="n">
        <f aca="false">IF(AND(ISNUMBER(R381),R381&gt;1,P381&gt;0),R381/P381-1,"")</f>
        <v>-0.24787375547108</v>
      </c>
      <c r="T381" s="9" t="n">
        <f aca="false">IF(AND(ISNUMBER(P381),P381&gt;0),P381*EXP('Read me'!$B$22),"")</f>
        <v>82.8205917813489</v>
      </c>
    </row>
    <row r="382" customFormat="false" ht="15" hidden="false" customHeight="false" outlineLevel="0" collapsed="false">
      <c r="A382" s="15" t="s">
        <v>269</v>
      </c>
      <c r="B382" s="15" t="s">
        <v>194</v>
      </c>
      <c r="C382" s="15" t="s">
        <v>270</v>
      </c>
      <c r="D382" s="15" t="s">
        <v>370</v>
      </c>
      <c r="E382" s="16" t="n">
        <v>7</v>
      </c>
      <c r="F382" s="15" t="s">
        <v>805</v>
      </c>
      <c r="G382" s="8" t="n">
        <v>11</v>
      </c>
      <c r="H382" s="15" t="s">
        <v>1024</v>
      </c>
      <c r="I382" s="15" t="s">
        <v>1025</v>
      </c>
      <c r="J382" s="15" t="s">
        <v>828</v>
      </c>
      <c r="K382" s="8" t="n">
        <v>9</v>
      </c>
      <c r="L382" s="8" t="n">
        <v>46</v>
      </c>
      <c r="M382" s="8" t="n">
        <v>7</v>
      </c>
      <c r="N382" s="8" t="n">
        <v>32</v>
      </c>
      <c r="O382" s="8" t="n">
        <v>10</v>
      </c>
      <c r="P382" s="9" t="n">
        <v>211.334226850607</v>
      </c>
      <c r="Q382" s="10" t="n">
        <v>0.0047318411925149</v>
      </c>
      <c r="R382" s="9" t="n">
        <v>81</v>
      </c>
      <c r="S382" s="12" t="n">
        <f aca="false">IF(AND(ISNUMBER(R382),R382&gt;1,P382&gt;0),R382/P382-1,"")</f>
        <v>-0.616720863406289</v>
      </c>
      <c r="T382" s="9" t="n">
        <f aca="false">IF(AND(ISNUMBER(P382),P382&gt;0),P382*EXP('Read me'!$B$22),"")</f>
        <v>258.124207568978</v>
      </c>
    </row>
    <row r="383" customFormat="false" ht="15" hidden="false" customHeight="false" outlineLevel="0" collapsed="false">
      <c r="A383" s="15" t="s">
        <v>269</v>
      </c>
      <c r="B383" s="15" t="s">
        <v>194</v>
      </c>
      <c r="C383" s="15" t="s">
        <v>270</v>
      </c>
      <c r="D383" s="15" t="s">
        <v>370</v>
      </c>
      <c r="E383" s="16" t="n">
        <v>7</v>
      </c>
      <c r="F383" s="15" t="s">
        <v>805</v>
      </c>
      <c r="G383" s="8" t="n">
        <v>11</v>
      </c>
      <c r="H383" s="15" t="s">
        <v>1026</v>
      </c>
      <c r="I383" s="15" t="s">
        <v>1027</v>
      </c>
      <c r="J383" s="15" t="s">
        <v>379</v>
      </c>
      <c r="K383" s="8" t="n">
        <v>5</v>
      </c>
      <c r="L383" s="8" t="n">
        <v>46</v>
      </c>
      <c r="M383" s="8" t="n">
        <v>5</v>
      </c>
      <c r="N383" s="8" t="n">
        <v>7</v>
      </c>
      <c r="O383" s="8" t="n">
        <v>11</v>
      </c>
      <c r="P383" s="9" t="n">
        <v>369.303180710989</v>
      </c>
      <c r="Q383" s="10" t="n">
        <v>0.0027078022942417</v>
      </c>
      <c r="R383" s="9" t="n">
        <v>151</v>
      </c>
      <c r="S383" s="12" t="n">
        <f aca="false">IF(AND(ISNUMBER(R383),R383&gt;1,P383&gt;0),R383/P383-1,"")</f>
        <v>-0.591121853569493</v>
      </c>
      <c r="T383" s="9" t="n">
        <f aca="false">IF(AND(ISNUMBER(P383),P383&gt;0),P383*EXP('Read me'!$B$22),"")</f>
        <v>451.067923517726</v>
      </c>
    </row>
    <row r="384" customFormat="false" ht="15" hidden="false" customHeight="false" outlineLevel="0" collapsed="false">
      <c r="A384" s="15" t="s">
        <v>274</v>
      </c>
      <c r="B384" s="15" t="s">
        <v>194</v>
      </c>
      <c r="C384" s="15" t="s">
        <v>275</v>
      </c>
      <c r="D384" s="15" t="s">
        <v>370</v>
      </c>
      <c r="E384" s="16" t="n">
        <v>7</v>
      </c>
      <c r="F384" s="15" t="s">
        <v>805</v>
      </c>
      <c r="G384" s="8" t="n">
        <v>11</v>
      </c>
      <c r="H384" s="15" t="s">
        <v>276</v>
      </c>
      <c r="I384" s="15" t="s">
        <v>277</v>
      </c>
      <c r="J384" s="15" t="s">
        <v>278</v>
      </c>
      <c r="K384" s="8" t="n">
        <v>2</v>
      </c>
      <c r="L384" s="8" t="n">
        <v>50</v>
      </c>
      <c r="M384" s="8" t="n">
        <v>7</v>
      </c>
      <c r="N384" s="8" t="n">
        <v>7</v>
      </c>
      <c r="O384" s="8" t="n">
        <v>1</v>
      </c>
      <c r="P384" s="9" t="n">
        <v>4.55911037415167</v>
      </c>
      <c r="Q384" s="10" t="n">
        <v>0.219341037600142</v>
      </c>
      <c r="R384" s="9" t="n">
        <v>3.75</v>
      </c>
      <c r="S384" s="12" t="n">
        <f aca="false">IF(AND(ISNUMBER(R384),R384&gt;1,P384&gt;0),R384/P384-1,"")</f>
        <v>-0.177471108999467</v>
      </c>
      <c r="T384" s="9" t="n">
        <f aca="false">IF(AND(ISNUMBER(P384),P384&gt;0),P384*EXP('Read me'!$B$22),"")</f>
        <v>5.5685099857455</v>
      </c>
    </row>
    <row r="385" customFormat="false" ht="15" hidden="false" customHeight="false" outlineLevel="0" collapsed="false">
      <c r="A385" s="15" t="s">
        <v>274</v>
      </c>
      <c r="B385" s="15" t="s">
        <v>194</v>
      </c>
      <c r="C385" s="15" t="s">
        <v>275</v>
      </c>
      <c r="D385" s="15" t="s">
        <v>370</v>
      </c>
      <c r="E385" s="16" t="n">
        <v>7</v>
      </c>
      <c r="F385" s="15" t="s">
        <v>805</v>
      </c>
      <c r="G385" s="8" t="n">
        <v>11</v>
      </c>
      <c r="H385" s="15" t="s">
        <v>279</v>
      </c>
      <c r="I385" s="15" t="s">
        <v>967</v>
      </c>
      <c r="J385" s="15" t="s">
        <v>555</v>
      </c>
      <c r="K385" s="8" t="n">
        <v>4</v>
      </c>
      <c r="L385" s="8" t="n">
        <v>47</v>
      </c>
      <c r="M385" s="8" t="n">
        <v>5</v>
      </c>
      <c r="N385" s="8" t="n">
        <v>54</v>
      </c>
      <c r="O385" s="8" t="n">
        <v>2</v>
      </c>
      <c r="P385" s="9" t="n">
        <v>5.26152364399123</v>
      </c>
      <c r="Q385" s="10" t="n">
        <v>0.190059014776456</v>
      </c>
      <c r="R385" s="9" t="n">
        <v>5.5</v>
      </c>
      <c r="S385" s="12" t="n">
        <f aca="false">IF(AND(ISNUMBER(R385),R385&gt;1,P385&gt;0),R385/P385-1,"")</f>
        <v>0.0453245812705063</v>
      </c>
      <c r="T385" s="9" t="n">
        <f aca="false">IF(AND(ISNUMBER(P385),P385&gt;0),P385*EXP('Read me'!$B$22),"")</f>
        <v>6.42643949089583</v>
      </c>
    </row>
    <row r="386" customFormat="false" ht="15" hidden="false" customHeight="false" outlineLevel="0" collapsed="false">
      <c r="A386" s="15" t="s">
        <v>274</v>
      </c>
      <c r="B386" s="15" t="s">
        <v>194</v>
      </c>
      <c r="C386" s="15" t="s">
        <v>275</v>
      </c>
      <c r="D386" s="15" t="s">
        <v>370</v>
      </c>
      <c r="E386" s="16" t="n">
        <v>7</v>
      </c>
      <c r="F386" s="15" t="s">
        <v>805</v>
      </c>
      <c r="G386" s="8" t="n">
        <v>11</v>
      </c>
      <c r="H386" s="15" t="s">
        <v>1028</v>
      </c>
      <c r="I386" s="15" t="s">
        <v>1029</v>
      </c>
      <c r="J386" s="15" t="s">
        <v>551</v>
      </c>
      <c r="K386" s="8" t="n">
        <v>3</v>
      </c>
      <c r="L386" s="8" t="n">
        <v>52</v>
      </c>
      <c r="M386" s="8" t="n">
        <v>4</v>
      </c>
      <c r="N386" s="8" t="n">
        <v>10</v>
      </c>
      <c r="O386" s="8" t="n">
        <v>3</v>
      </c>
      <c r="P386" s="9" t="n">
        <v>6.59948788813393</v>
      </c>
      <c r="Q386" s="10" t="n">
        <v>0.151526908898193</v>
      </c>
      <c r="R386" s="9" t="n">
        <v>5</v>
      </c>
      <c r="S386" s="12" t="n">
        <f aca="false">IF(AND(ISNUMBER(R386),R386&gt;1,P386&gt;0),R386/P386-1,"")</f>
        <v>-0.242365455509034</v>
      </c>
      <c r="T386" s="9" t="n">
        <f aca="false">IF(AND(ISNUMBER(P386),P386&gt;0),P386*EXP('Read me'!$B$22),"")</f>
        <v>8.06063270901142</v>
      </c>
    </row>
    <row r="387" customFormat="false" ht="15" hidden="false" customHeight="false" outlineLevel="0" collapsed="false">
      <c r="A387" s="15" t="s">
        <v>274</v>
      </c>
      <c r="B387" s="15" t="s">
        <v>194</v>
      </c>
      <c r="C387" s="15" t="s">
        <v>275</v>
      </c>
      <c r="D387" s="15" t="s">
        <v>370</v>
      </c>
      <c r="E387" s="16" t="n">
        <v>7</v>
      </c>
      <c r="F387" s="15" t="s">
        <v>805</v>
      </c>
      <c r="G387" s="8" t="n">
        <v>11</v>
      </c>
      <c r="H387" s="15" t="s">
        <v>1030</v>
      </c>
      <c r="I387" s="15" t="s">
        <v>1031</v>
      </c>
      <c r="J387" s="15" t="s">
        <v>1032</v>
      </c>
      <c r="K387" s="8" t="n">
        <v>5</v>
      </c>
      <c r="L387" s="8" t="n">
        <v>48</v>
      </c>
      <c r="M387" s="8" t="n">
        <v>7</v>
      </c>
      <c r="N387" s="8" t="n">
        <v>16</v>
      </c>
      <c r="O387" s="8" t="n">
        <v>4</v>
      </c>
      <c r="P387" s="9" t="n">
        <v>6.70711118695941</v>
      </c>
      <c r="Q387" s="10" t="n">
        <v>0.149095485690515</v>
      </c>
      <c r="R387" s="9" t="n">
        <v>7</v>
      </c>
      <c r="S387" s="12" t="n">
        <f aca="false">IF(AND(ISNUMBER(R387),R387&gt;1,P387&gt;0),R387/P387-1,"")</f>
        <v>0.0436683998336056</v>
      </c>
      <c r="T387" s="9" t="n">
        <f aca="false">IF(AND(ISNUMBER(P387),P387&gt;0),P387*EXP('Read me'!$B$22),"")</f>
        <v>8.19208410303915</v>
      </c>
    </row>
    <row r="388" customFormat="false" ht="15" hidden="false" customHeight="false" outlineLevel="0" collapsed="false">
      <c r="A388" s="15" t="s">
        <v>274</v>
      </c>
      <c r="B388" s="15" t="s">
        <v>194</v>
      </c>
      <c r="C388" s="15" t="s">
        <v>275</v>
      </c>
      <c r="D388" s="15" t="s">
        <v>370</v>
      </c>
      <c r="E388" s="16" t="n">
        <v>7</v>
      </c>
      <c r="F388" s="15" t="s">
        <v>805</v>
      </c>
      <c r="G388" s="8" t="n">
        <v>11</v>
      </c>
      <c r="H388" s="15" t="s">
        <v>1033</v>
      </c>
      <c r="I388" s="15" t="s">
        <v>1034</v>
      </c>
      <c r="J388" s="15" t="s">
        <v>1019</v>
      </c>
      <c r="K388" s="8" t="n">
        <v>6</v>
      </c>
      <c r="L388" s="8" t="n">
        <v>50</v>
      </c>
      <c r="M388" s="8" t="n">
        <v>6</v>
      </c>
      <c r="N388" s="8" t="n">
        <v>18</v>
      </c>
      <c r="O388" s="8" t="n">
        <v>5</v>
      </c>
      <c r="P388" s="9" t="n">
        <v>8.54544000105141</v>
      </c>
      <c r="Q388" s="10" t="n">
        <v>0.117021475766837</v>
      </c>
      <c r="R388" s="9" t="n">
        <v>7</v>
      </c>
      <c r="S388" s="12" t="n">
        <f aca="false">IF(AND(ISNUMBER(R388),R388&gt;1,P388&gt;0),R388/P388-1,"")</f>
        <v>-0.180849669632139</v>
      </c>
      <c r="T388" s="9" t="n">
        <f aca="false">IF(AND(ISNUMBER(P388),P388&gt;0),P388*EXP('Read me'!$B$22),"")</f>
        <v>10.4374239869764</v>
      </c>
    </row>
    <row r="389" customFormat="false" ht="15" hidden="false" customHeight="false" outlineLevel="0" collapsed="false">
      <c r="A389" s="15" t="s">
        <v>274</v>
      </c>
      <c r="B389" s="15" t="s">
        <v>194</v>
      </c>
      <c r="C389" s="15" t="s">
        <v>275</v>
      </c>
      <c r="D389" s="15" t="s">
        <v>370</v>
      </c>
      <c r="E389" s="16" t="n">
        <v>7</v>
      </c>
      <c r="F389" s="15" t="s">
        <v>805</v>
      </c>
      <c r="G389" s="8" t="n">
        <v>11</v>
      </c>
      <c r="H389" s="15" t="s">
        <v>1035</v>
      </c>
      <c r="I389" s="15" t="s">
        <v>283</v>
      </c>
      <c r="J389" s="15" t="s">
        <v>1036</v>
      </c>
      <c r="K389" s="8" t="n">
        <v>9</v>
      </c>
      <c r="L389" s="8" t="n">
        <v>54</v>
      </c>
      <c r="M389" s="8" t="n">
        <v>7</v>
      </c>
      <c r="N389" s="8" t="n">
        <v>27</v>
      </c>
      <c r="O389" s="8" t="n">
        <v>6</v>
      </c>
      <c r="P389" s="9" t="n">
        <v>13.397978181114</v>
      </c>
      <c r="Q389" s="10" t="n">
        <v>0.0746381272220323</v>
      </c>
      <c r="R389" s="9" t="n">
        <v>8.5</v>
      </c>
      <c r="S389" s="12" t="n">
        <f aca="false">IF(AND(ISNUMBER(R389),R389&gt;1,P389&gt;0),R389/P389-1,"")</f>
        <v>-0.365575918612725</v>
      </c>
      <c r="T389" s="9" t="n">
        <f aca="false">IF(AND(ISNUMBER(P389),P389&gt;0),P389*EXP('Read me'!$B$22),"")</f>
        <v>16.3643275041824</v>
      </c>
    </row>
    <row r="390" customFormat="false" ht="15" hidden="false" customHeight="false" outlineLevel="0" collapsed="false">
      <c r="A390" s="15" t="s">
        <v>274</v>
      </c>
      <c r="B390" s="15" t="s">
        <v>194</v>
      </c>
      <c r="C390" s="15" t="s">
        <v>275</v>
      </c>
      <c r="D390" s="15" t="s">
        <v>370</v>
      </c>
      <c r="E390" s="16" t="n">
        <v>7</v>
      </c>
      <c r="F390" s="15" t="s">
        <v>805</v>
      </c>
      <c r="G390" s="8" t="n">
        <v>11</v>
      </c>
      <c r="H390" s="15" t="s">
        <v>1037</v>
      </c>
      <c r="I390" s="15" t="s">
        <v>1016</v>
      </c>
      <c r="J390" s="15" t="s">
        <v>431</v>
      </c>
      <c r="K390" s="8" t="n">
        <v>7</v>
      </c>
      <c r="L390" s="8" t="n">
        <v>52</v>
      </c>
      <c r="M390" s="8" t="n">
        <v>8</v>
      </c>
      <c r="N390" s="8" t="n">
        <v>390</v>
      </c>
      <c r="O390" s="8" t="n">
        <v>7</v>
      </c>
      <c r="P390" s="9" t="n">
        <v>29.1930644090143</v>
      </c>
      <c r="Q390" s="10" t="n">
        <v>0.0342547115297432</v>
      </c>
      <c r="R390" s="9" t="n">
        <v>34</v>
      </c>
      <c r="S390" s="12" t="n">
        <f aca="false">IF(AND(ISNUMBER(R390),R390&gt;1,P390&gt;0),R390/P390-1,"")</f>
        <v>0.164660192011272</v>
      </c>
      <c r="T390" s="9" t="n">
        <f aca="false">IF(AND(ISNUMBER(P390),P390&gt;0),P390*EXP('Read me'!$B$22),"")</f>
        <v>35.6564893883175</v>
      </c>
    </row>
    <row r="391" customFormat="false" ht="15" hidden="false" customHeight="false" outlineLevel="0" collapsed="false">
      <c r="A391" s="15" t="s">
        <v>274</v>
      </c>
      <c r="B391" s="15" t="s">
        <v>194</v>
      </c>
      <c r="C391" s="15" t="s">
        <v>275</v>
      </c>
      <c r="D391" s="15" t="s">
        <v>370</v>
      </c>
      <c r="E391" s="16" t="n">
        <v>7</v>
      </c>
      <c r="F391" s="15" t="s">
        <v>805</v>
      </c>
      <c r="G391" s="8" t="n">
        <v>11</v>
      </c>
      <c r="H391" s="15" t="s">
        <v>1038</v>
      </c>
      <c r="I391" s="15" t="s">
        <v>904</v>
      </c>
      <c r="J391" s="15" t="s">
        <v>1039</v>
      </c>
      <c r="K391" s="8" t="n">
        <v>10</v>
      </c>
      <c r="L391" s="8" t="n">
        <v>45</v>
      </c>
      <c r="M391" s="8" t="n">
        <v>3</v>
      </c>
      <c r="N391" s="8" t="n">
        <v>1</v>
      </c>
      <c r="O391" s="8" t="n">
        <v>8</v>
      </c>
      <c r="P391" s="9" t="n">
        <v>38.1853953066353</v>
      </c>
      <c r="Q391" s="10" t="n">
        <v>0.0261880227236048</v>
      </c>
      <c r="R391" s="9" t="n">
        <v>17</v>
      </c>
      <c r="S391" s="12" t="n">
        <f aca="false">IF(AND(ISNUMBER(R391),R391&gt;1,P391&gt;0),R391/P391-1,"")</f>
        <v>-0.554803613698717</v>
      </c>
      <c r="T391" s="9" t="n">
        <f aca="false">IF(AND(ISNUMBER(P391),P391&gt;0),P391*EXP('Read me'!$B$22),"")</f>
        <v>46.6397471489608</v>
      </c>
    </row>
    <row r="392" customFormat="false" ht="15" hidden="false" customHeight="false" outlineLevel="0" collapsed="false">
      <c r="A392" s="15" t="s">
        <v>274</v>
      </c>
      <c r="B392" s="15" t="s">
        <v>194</v>
      </c>
      <c r="C392" s="15" t="s">
        <v>275</v>
      </c>
      <c r="D392" s="15" t="s">
        <v>370</v>
      </c>
      <c r="E392" s="16" t="n">
        <v>7</v>
      </c>
      <c r="F392" s="15" t="s">
        <v>805</v>
      </c>
      <c r="G392" s="8" t="n">
        <v>11</v>
      </c>
      <c r="H392" s="15" t="s">
        <v>1040</v>
      </c>
      <c r="I392" s="15" t="s">
        <v>906</v>
      </c>
      <c r="J392" s="15" t="s">
        <v>825</v>
      </c>
      <c r="K392" s="8" t="n">
        <v>1</v>
      </c>
      <c r="L392" s="8" t="n">
        <v>48</v>
      </c>
      <c r="M392" s="8" t="n">
        <v>3</v>
      </c>
      <c r="N392" s="8" t="n">
        <v>16</v>
      </c>
      <c r="O392" s="8" t="n">
        <v>9</v>
      </c>
      <c r="P392" s="9" t="n">
        <v>55.0339540101353</v>
      </c>
      <c r="Q392" s="10" t="n">
        <v>0.0181706006407578</v>
      </c>
      <c r="R392" s="9" t="n">
        <v>29</v>
      </c>
      <c r="S392" s="12" t="n">
        <f aca="false">IF(AND(ISNUMBER(R392),R392&gt;1,P392&gt;0),R392/P392-1,"")</f>
        <v>-0.473052581418023</v>
      </c>
      <c r="T392" s="9" t="n">
        <f aca="false">IF(AND(ISNUMBER(P392),P392&gt;0),P392*EXP('Read me'!$B$22),"")</f>
        <v>67.2186232204392</v>
      </c>
    </row>
    <row r="393" customFormat="false" ht="15" hidden="false" customHeight="false" outlineLevel="0" collapsed="false">
      <c r="A393" s="15" t="s">
        <v>274</v>
      </c>
      <c r="B393" s="15" t="s">
        <v>194</v>
      </c>
      <c r="C393" s="15" t="s">
        <v>275</v>
      </c>
      <c r="D393" s="15" t="s">
        <v>370</v>
      </c>
      <c r="E393" s="16" t="n">
        <v>7</v>
      </c>
      <c r="F393" s="15" t="s">
        <v>805</v>
      </c>
      <c r="G393" s="8" t="n">
        <v>11</v>
      </c>
      <c r="H393" s="15" t="s">
        <v>1041</v>
      </c>
      <c r="I393" s="15" t="s">
        <v>1042</v>
      </c>
      <c r="J393" s="15" t="s">
        <v>1043</v>
      </c>
      <c r="K393" s="8" t="n">
        <v>8</v>
      </c>
      <c r="L393" s="8" t="n">
        <v>45</v>
      </c>
      <c r="M393" s="8" t="n">
        <v>8</v>
      </c>
      <c r="N393" s="8" t="n">
        <v>49</v>
      </c>
      <c r="O393" s="8" t="n">
        <v>10</v>
      </c>
      <c r="P393" s="9" t="n">
        <v>97.760568074312</v>
      </c>
      <c r="Q393" s="10" t="n">
        <v>0.0102290731293608</v>
      </c>
      <c r="R393" s="9" t="n">
        <v>51</v>
      </c>
      <c r="S393" s="12" t="n">
        <f aca="false">IF(AND(ISNUMBER(R393),R393&gt;1,P393&gt;0),R393/P393-1,"")</f>
        <v>-0.478317270402595</v>
      </c>
      <c r="T393" s="9" t="n">
        <f aca="false">IF(AND(ISNUMBER(P393),P393&gt;0),P393*EXP('Read me'!$B$22),"")</f>
        <v>119.40502748527</v>
      </c>
    </row>
    <row r="394" customFormat="false" ht="15" hidden="false" customHeight="false" outlineLevel="0" collapsed="false">
      <c r="A394" s="15" t="s">
        <v>274</v>
      </c>
      <c r="B394" s="15" t="s">
        <v>194</v>
      </c>
      <c r="C394" s="15" t="s">
        <v>275</v>
      </c>
      <c r="D394" s="15" t="s">
        <v>370</v>
      </c>
      <c r="E394" s="16" t="n">
        <v>7</v>
      </c>
      <c r="F394" s="15" t="s">
        <v>805</v>
      </c>
      <c r="G394" s="8" t="n">
        <v>11</v>
      </c>
      <c r="H394" s="15" t="s">
        <v>1044</v>
      </c>
      <c r="I394" s="15" t="s">
        <v>901</v>
      </c>
      <c r="J394" s="15" t="s">
        <v>379</v>
      </c>
      <c r="K394" s="8" t="n">
        <v>12</v>
      </c>
      <c r="L394" s="8" t="n">
        <v>45</v>
      </c>
      <c r="M394" s="8" t="n">
        <v>4</v>
      </c>
      <c r="N394" s="8" t="n">
        <v>9</v>
      </c>
      <c r="O394" s="8" t="n">
        <v>11</v>
      </c>
      <c r="P394" s="9" t="n">
        <v>105.534859920469</v>
      </c>
      <c r="Q394" s="10" t="n">
        <v>0.0094755420223573</v>
      </c>
      <c r="R394" s="9" t="n">
        <v>51</v>
      </c>
      <c r="S394" s="12" t="n">
        <f aca="false">IF(AND(ISNUMBER(R394),R394&gt;1,P394&gt;0),R394/P394-1,"")</f>
        <v>-0.516747356859775</v>
      </c>
      <c r="T394" s="9" t="n">
        <f aca="false">IF(AND(ISNUMBER(P394),P394&gt;0),P394*EXP('Read me'!$B$22),"")</f>
        <v>128.900568988908</v>
      </c>
    </row>
    <row r="395" customFormat="false" ht="15" hidden="false" customHeight="false" outlineLevel="0" collapsed="false">
      <c r="A395" s="15" t="s">
        <v>280</v>
      </c>
      <c r="B395" s="15" t="s">
        <v>194</v>
      </c>
      <c r="C395" s="15" t="s">
        <v>281</v>
      </c>
      <c r="D395" s="15" t="s">
        <v>370</v>
      </c>
      <c r="E395" s="16" t="n">
        <v>14</v>
      </c>
      <c r="F395" s="15" t="s">
        <v>805</v>
      </c>
      <c r="G395" s="8" t="n">
        <v>10</v>
      </c>
      <c r="H395" s="15" t="s">
        <v>282</v>
      </c>
      <c r="I395" s="15" t="s">
        <v>283</v>
      </c>
      <c r="J395" s="15" t="s">
        <v>284</v>
      </c>
      <c r="K395" s="8" t="n">
        <v>7</v>
      </c>
      <c r="L395" s="8" t="n">
        <v>49</v>
      </c>
      <c r="M395" s="8" t="n">
        <v>6</v>
      </c>
      <c r="N395" s="8" t="n">
        <v>24</v>
      </c>
      <c r="O395" s="8" t="n">
        <v>1</v>
      </c>
      <c r="P395" s="9" t="n">
        <v>2.18383223287161</v>
      </c>
      <c r="Q395" s="10" t="n">
        <v>0.457910632945032</v>
      </c>
      <c r="R395" s="9" t="n">
        <v>2.375</v>
      </c>
      <c r="S395" s="12" t="n">
        <f aca="false">IF(AND(ISNUMBER(R395),R395&gt;1,P395&gt;0),R395/P395-1,"")</f>
        <v>0.0875377532444503</v>
      </c>
      <c r="T395" s="9" t="n">
        <f aca="false">IF(AND(ISNUMBER(P395),P395&gt;0),P395*EXP('Read me'!$B$22),"")</f>
        <v>2.66733871258846</v>
      </c>
    </row>
    <row r="396" customFormat="false" ht="15" hidden="false" customHeight="false" outlineLevel="0" collapsed="false">
      <c r="A396" s="15" t="s">
        <v>280</v>
      </c>
      <c r="B396" s="15" t="s">
        <v>194</v>
      </c>
      <c r="C396" s="15" t="s">
        <v>281</v>
      </c>
      <c r="D396" s="15" t="s">
        <v>370</v>
      </c>
      <c r="E396" s="16" t="n">
        <v>14</v>
      </c>
      <c r="F396" s="15" t="s">
        <v>805</v>
      </c>
      <c r="G396" s="8" t="n">
        <v>10</v>
      </c>
      <c r="H396" s="15" t="s">
        <v>285</v>
      </c>
      <c r="I396" s="15" t="s">
        <v>1045</v>
      </c>
      <c r="J396" s="15" t="s">
        <v>1046</v>
      </c>
      <c r="K396" s="8" t="n">
        <v>6</v>
      </c>
      <c r="L396" s="8" t="n">
        <v>50</v>
      </c>
      <c r="M396" s="8" t="n">
        <v>3</v>
      </c>
      <c r="N396" s="8" t="n">
        <v>18</v>
      </c>
      <c r="O396" s="8" t="n">
        <v>2</v>
      </c>
      <c r="P396" s="9" t="n">
        <v>11.2369380957112</v>
      </c>
      <c r="Q396" s="10" t="n">
        <v>0.0889922140250702</v>
      </c>
      <c r="R396" s="9" t="n">
        <v>6</v>
      </c>
      <c r="S396" s="12" t="n">
        <f aca="false">IF(AND(ISNUMBER(R396),R396&gt;1,P396&gt;0),R396/P396-1,"")</f>
        <v>-0.466046715849578</v>
      </c>
      <c r="T396" s="9" t="n">
        <f aca="false">IF(AND(ISNUMBER(P396),P396&gt;0),P396*EXP('Read me'!$B$22),"")</f>
        <v>13.7248271833768</v>
      </c>
    </row>
    <row r="397" customFormat="false" ht="15" hidden="false" customHeight="false" outlineLevel="0" collapsed="false">
      <c r="A397" s="15" t="s">
        <v>280</v>
      </c>
      <c r="B397" s="15" t="s">
        <v>194</v>
      </c>
      <c r="C397" s="15" t="s">
        <v>281</v>
      </c>
      <c r="D397" s="15" t="s">
        <v>370</v>
      </c>
      <c r="E397" s="16" t="n">
        <v>14</v>
      </c>
      <c r="F397" s="15" t="s">
        <v>805</v>
      </c>
      <c r="G397" s="8" t="n">
        <v>10</v>
      </c>
      <c r="H397" s="15" t="s">
        <v>1047</v>
      </c>
      <c r="I397" s="15" t="s">
        <v>277</v>
      </c>
      <c r="J397" s="15" t="s">
        <v>278</v>
      </c>
      <c r="K397" s="8" t="n">
        <v>9</v>
      </c>
      <c r="L397" s="8" t="n">
        <v>49</v>
      </c>
      <c r="M397" s="8" t="n">
        <v>4</v>
      </c>
      <c r="N397" s="8" t="n">
        <v>10</v>
      </c>
      <c r="O397" s="8" t="n">
        <v>3</v>
      </c>
      <c r="P397" s="9" t="n">
        <v>12.5248677754881</v>
      </c>
      <c r="Q397" s="10" t="n">
        <v>0.0798411622322317</v>
      </c>
      <c r="R397" s="9" t="n">
        <v>8.5</v>
      </c>
      <c r="S397" s="12" t="n">
        <f aca="false">IF(AND(ISNUMBER(R397),R397&gt;1,P397&gt;0),R397/P397-1,"")</f>
        <v>-0.32135012102603</v>
      </c>
      <c r="T397" s="9" t="n">
        <f aca="false">IF(AND(ISNUMBER(P397),P397&gt;0),P397*EXP('Read me'!$B$22),"")</f>
        <v>15.2979080465726</v>
      </c>
    </row>
    <row r="398" customFormat="false" ht="15" hidden="false" customHeight="false" outlineLevel="0" collapsed="false">
      <c r="A398" s="15" t="s">
        <v>280</v>
      </c>
      <c r="B398" s="15" t="s">
        <v>194</v>
      </c>
      <c r="C398" s="15" t="s">
        <v>281</v>
      </c>
      <c r="D398" s="15" t="s">
        <v>370</v>
      </c>
      <c r="E398" s="16" t="n">
        <v>14</v>
      </c>
      <c r="F398" s="15" t="s">
        <v>805</v>
      </c>
      <c r="G398" s="8" t="n">
        <v>10</v>
      </c>
      <c r="H398" s="15" t="s">
        <v>1048</v>
      </c>
      <c r="I398" s="15" t="s">
        <v>1049</v>
      </c>
      <c r="J398" s="15" t="s">
        <v>936</v>
      </c>
      <c r="K398" s="8" t="n">
        <v>2</v>
      </c>
      <c r="L398" s="8" t="n">
        <v>50</v>
      </c>
      <c r="M398" s="8" t="n">
        <v>8</v>
      </c>
      <c r="N398" s="8" t="n">
        <v>28</v>
      </c>
      <c r="O398" s="8" t="n">
        <v>4</v>
      </c>
      <c r="P398" s="9" t="n">
        <v>14.0344430891322</v>
      </c>
      <c r="Q398" s="10" t="n">
        <v>0.07125327265564</v>
      </c>
      <c r="R398" s="9" t="n">
        <v>12</v>
      </c>
      <c r="S398" s="12" t="n">
        <f aca="false">IF(AND(ISNUMBER(R398),R398&gt;1,P398&gt;0),R398/P398-1,"")</f>
        <v>-0.144960728132319</v>
      </c>
      <c r="T398" s="9" t="n">
        <f aca="false">IF(AND(ISNUMBER(P398),P398&gt;0),P398*EXP('Read me'!$B$22),"")</f>
        <v>17.141707498308</v>
      </c>
    </row>
    <row r="399" customFormat="false" ht="15" hidden="false" customHeight="false" outlineLevel="0" collapsed="false">
      <c r="A399" s="15" t="s">
        <v>280</v>
      </c>
      <c r="B399" s="15" t="s">
        <v>194</v>
      </c>
      <c r="C399" s="15" t="s">
        <v>281</v>
      </c>
      <c r="D399" s="15" t="s">
        <v>370</v>
      </c>
      <c r="E399" s="16" t="n">
        <v>14</v>
      </c>
      <c r="F399" s="15" t="s">
        <v>805</v>
      </c>
      <c r="G399" s="8" t="n">
        <v>10</v>
      </c>
      <c r="H399" s="15" t="s">
        <v>1050</v>
      </c>
      <c r="I399" s="15" t="s">
        <v>294</v>
      </c>
      <c r="J399" s="15" t="s">
        <v>1051</v>
      </c>
      <c r="K399" s="8" t="n">
        <v>3</v>
      </c>
      <c r="L399" s="8" t="n">
        <v>55</v>
      </c>
      <c r="M399" s="8" t="n">
        <v>7</v>
      </c>
      <c r="N399" s="8" t="n">
        <v>10</v>
      </c>
      <c r="O399" s="8" t="n">
        <v>5</v>
      </c>
      <c r="P399" s="9" t="n">
        <v>14.1746911101871</v>
      </c>
      <c r="Q399" s="10" t="n">
        <v>0.0705482745427387</v>
      </c>
      <c r="R399" s="9" t="n">
        <v>8</v>
      </c>
      <c r="S399" s="12" t="n">
        <f aca="false">IF(AND(ISNUMBER(R399),R399&gt;1,P399&gt;0),R399/P399-1,"")</f>
        <v>-0.43561380365809</v>
      </c>
      <c r="T399" s="9" t="n">
        <f aca="false">IF(AND(ISNUMBER(P399),P399&gt;0),P399*EXP('Read me'!$B$22),"")</f>
        <v>17.313006818051</v>
      </c>
    </row>
    <row r="400" customFormat="false" ht="15" hidden="false" customHeight="false" outlineLevel="0" collapsed="false">
      <c r="A400" s="15" t="s">
        <v>280</v>
      </c>
      <c r="B400" s="15" t="s">
        <v>194</v>
      </c>
      <c r="C400" s="15" t="s">
        <v>281</v>
      </c>
      <c r="D400" s="15" t="s">
        <v>370</v>
      </c>
      <c r="E400" s="16" t="n">
        <v>14</v>
      </c>
      <c r="F400" s="15" t="s">
        <v>805</v>
      </c>
      <c r="G400" s="8" t="n">
        <v>10</v>
      </c>
      <c r="H400" s="15" t="s">
        <v>1052</v>
      </c>
      <c r="I400" s="15" t="s">
        <v>1053</v>
      </c>
      <c r="J400" s="15" t="s">
        <v>1054</v>
      </c>
      <c r="K400" s="8" t="n">
        <v>10</v>
      </c>
      <c r="L400" s="8" t="n">
        <v>48</v>
      </c>
      <c r="M400" s="8" t="n">
        <v>8</v>
      </c>
      <c r="N400" s="8" t="n">
        <v>30</v>
      </c>
      <c r="O400" s="8" t="n">
        <v>6</v>
      </c>
      <c r="P400" s="9" t="n">
        <v>16.26813601093</v>
      </c>
      <c r="Q400" s="10" t="n">
        <v>0.0614698573535491</v>
      </c>
      <c r="R400" s="9" t="n">
        <v>15</v>
      </c>
      <c r="S400" s="12" t="n">
        <f aca="false">IF(AND(ISNUMBER(R400),R400&gt;1,P400&gt;0),R400/P400-1,"")</f>
        <v>-0.0779521396967635</v>
      </c>
      <c r="T400" s="9" t="n">
        <f aca="false">IF(AND(ISNUMBER(P400),P400&gt;0),P400*EXP('Read me'!$B$22),"")</f>
        <v>19.8699461938746</v>
      </c>
    </row>
    <row r="401" customFormat="false" ht="15" hidden="false" customHeight="false" outlineLevel="0" collapsed="false">
      <c r="A401" s="15" t="s">
        <v>280</v>
      </c>
      <c r="B401" s="15" t="s">
        <v>194</v>
      </c>
      <c r="C401" s="15" t="s">
        <v>281</v>
      </c>
      <c r="D401" s="15" t="s">
        <v>370</v>
      </c>
      <c r="E401" s="16" t="n">
        <v>14</v>
      </c>
      <c r="F401" s="15" t="s">
        <v>805</v>
      </c>
      <c r="G401" s="8" t="n">
        <v>10</v>
      </c>
      <c r="H401" s="15" t="s">
        <v>1055</v>
      </c>
      <c r="I401" s="15" t="s">
        <v>1056</v>
      </c>
      <c r="J401" s="15" t="s">
        <v>915</v>
      </c>
      <c r="K401" s="8" t="n">
        <v>1</v>
      </c>
      <c r="L401" s="8" t="n">
        <v>54</v>
      </c>
      <c r="M401" s="8" t="n">
        <v>3</v>
      </c>
      <c r="N401" s="8" t="n">
        <v>30</v>
      </c>
      <c r="O401" s="8" t="n">
        <v>7</v>
      </c>
      <c r="P401" s="9" t="n">
        <v>16.7138435785666</v>
      </c>
      <c r="Q401" s="10" t="n">
        <v>0.0598306425029831</v>
      </c>
      <c r="R401" s="9" t="n">
        <v>13</v>
      </c>
      <c r="S401" s="12" t="n">
        <f aca="false">IF(AND(ISNUMBER(R401),R401&gt;1,P401&gt;0),R401/P401-1,"")</f>
        <v>-0.22220164746122</v>
      </c>
      <c r="T401" s="9" t="n">
        <f aca="false">IF(AND(ISNUMBER(P401),P401&gt;0),P401*EXP('Read me'!$B$22),"")</f>
        <v>20.4143346463189</v>
      </c>
    </row>
    <row r="402" customFormat="false" ht="15" hidden="false" customHeight="false" outlineLevel="0" collapsed="false">
      <c r="A402" s="15" t="s">
        <v>280</v>
      </c>
      <c r="B402" s="15" t="s">
        <v>194</v>
      </c>
      <c r="C402" s="15" t="s">
        <v>281</v>
      </c>
      <c r="D402" s="15" t="s">
        <v>370</v>
      </c>
      <c r="E402" s="16" t="n">
        <v>14</v>
      </c>
      <c r="F402" s="15" t="s">
        <v>805</v>
      </c>
      <c r="G402" s="8" t="n">
        <v>10</v>
      </c>
      <c r="H402" s="15" t="s">
        <v>1057</v>
      </c>
      <c r="I402" s="15" t="s">
        <v>901</v>
      </c>
      <c r="J402" s="15" t="s">
        <v>810</v>
      </c>
      <c r="K402" s="8" t="n">
        <v>8</v>
      </c>
      <c r="L402" s="8" t="n">
        <v>49</v>
      </c>
      <c r="M402" s="8" t="n">
        <v>3</v>
      </c>
      <c r="N402" s="8" t="n">
        <v>4</v>
      </c>
      <c r="O402" s="8" t="n">
        <v>8</v>
      </c>
      <c r="P402" s="9" t="n">
        <v>20.9433489131049</v>
      </c>
      <c r="Q402" s="10" t="n">
        <v>0.0477478556151193</v>
      </c>
      <c r="R402" s="9" t="n">
        <v>15</v>
      </c>
      <c r="S402" s="12" t="n">
        <f aca="false">IF(AND(ISNUMBER(R402),R402&gt;1,P402&gt;0),R402/P402-1,"")</f>
        <v>-0.28378216577321</v>
      </c>
      <c r="T402" s="9" t="n">
        <f aca="false">IF(AND(ISNUMBER(P402),P402&gt;0),P402*EXP('Read me'!$B$22),"")</f>
        <v>25.5802641275771</v>
      </c>
    </row>
    <row r="403" customFormat="false" ht="15" hidden="false" customHeight="false" outlineLevel="0" collapsed="false">
      <c r="A403" s="15" t="s">
        <v>280</v>
      </c>
      <c r="B403" s="15" t="s">
        <v>194</v>
      </c>
      <c r="C403" s="15" t="s">
        <v>281</v>
      </c>
      <c r="D403" s="15" t="s">
        <v>370</v>
      </c>
      <c r="E403" s="16" t="n">
        <v>14</v>
      </c>
      <c r="F403" s="15" t="s">
        <v>805</v>
      </c>
      <c r="G403" s="8" t="n">
        <v>10</v>
      </c>
      <c r="H403" s="15" t="s">
        <v>1058</v>
      </c>
      <c r="I403" s="15" t="s">
        <v>906</v>
      </c>
      <c r="J403" s="15" t="s">
        <v>1059</v>
      </c>
      <c r="K403" s="8" t="n">
        <v>4</v>
      </c>
      <c r="L403" s="8" t="n">
        <v>46</v>
      </c>
      <c r="M403" s="8" t="n">
        <v>9</v>
      </c>
      <c r="N403" s="8" t="n">
        <v>189</v>
      </c>
      <c r="O403" s="8" t="n">
        <v>9</v>
      </c>
      <c r="P403" s="9" t="n">
        <v>26.3448108374201</v>
      </c>
      <c r="Q403" s="10" t="n">
        <v>0.0379581393152234</v>
      </c>
      <c r="R403" s="9" t="n">
        <v>34</v>
      </c>
      <c r="S403" s="12" t="n">
        <f aca="false">IF(AND(ISNUMBER(R403),R403&gt;1,P403&gt;0),R403/P403-1,"")</f>
        <v>0.290576736717599</v>
      </c>
      <c r="T403" s="9" t="n">
        <f aca="false">IF(AND(ISNUMBER(P403),P403&gt;0),P403*EXP('Read me'!$B$22),"")</f>
        <v>32.1776246200328</v>
      </c>
    </row>
    <row r="404" customFormat="false" ht="15" hidden="false" customHeight="false" outlineLevel="0" collapsed="false">
      <c r="A404" s="15" t="s">
        <v>280</v>
      </c>
      <c r="B404" s="15" t="s">
        <v>194</v>
      </c>
      <c r="C404" s="15" t="s">
        <v>281</v>
      </c>
      <c r="D404" s="15" t="s">
        <v>370</v>
      </c>
      <c r="E404" s="16" t="n">
        <v>14</v>
      </c>
      <c r="F404" s="15" t="s">
        <v>805</v>
      </c>
      <c r="G404" s="8" t="n">
        <v>10</v>
      </c>
      <c r="H404" s="15" t="s">
        <v>1060</v>
      </c>
      <c r="I404" s="15" t="s">
        <v>1061</v>
      </c>
      <c r="J404" s="15" t="s">
        <v>902</v>
      </c>
      <c r="K404" s="8" t="n">
        <v>5</v>
      </c>
      <c r="L404" s="8" t="n">
        <v>46</v>
      </c>
      <c r="M404" s="8" t="n">
        <v>5</v>
      </c>
      <c r="N404" s="8" t="n">
        <v>7</v>
      </c>
      <c r="O404" s="8" t="n">
        <v>10</v>
      </c>
      <c r="P404" s="9" t="n">
        <v>40.903227001698</v>
      </c>
      <c r="Q404" s="10" t="n">
        <v>0.0244479488124124</v>
      </c>
      <c r="R404" s="9" t="n">
        <v>26</v>
      </c>
      <c r="S404" s="12" t="n">
        <f aca="false">IF(AND(ISNUMBER(R404),R404&gt;1,P404&gt;0),R404/P404-1,"")</f>
        <v>-0.364353330877277</v>
      </c>
      <c r="T404" s="9" t="n">
        <f aca="false">IF(AND(ISNUMBER(P404),P404&gt;0),P404*EXP('Read me'!$B$22),"")</f>
        <v>49.9593142775255</v>
      </c>
    </row>
    <row r="405" customFormat="false" ht="15" hidden="false" customHeight="false" outlineLevel="0" collapsed="false">
      <c r="A405" s="15" t="s">
        <v>286</v>
      </c>
      <c r="B405" s="15" t="s">
        <v>194</v>
      </c>
      <c r="C405" s="15" t="s">
        <v>287</v>
      </c>
      <c r="D405" s="15" t="s">
        <v>370</v>
      </c>
      <c r="E405" s="16" t="n">
        <v>8.5</v>
      </c>
      <c r="F405" s="15" t="s">
        <v>805</v>
      </c>
      <c r="G405" s="8" t="n">
        <v>12</v>
      </c>
      <c r="H405" s="15" t="s">
        <v>288</v>
      </c>
      <c r="I405" s="15" t="s">
        <v>261</v>
      </c>
      <c r="J405" s="15" t="s">
        <v>289</v>
      </c>
      <c r="K405" s="8" t="n">
        <v>9</v>
      </c>
      <c r="L405" s="8" t="n">
        <v>59</v>
      </c>
      <c r="M405" s="8" t="n">
        <v>3</v>
      </c>
      <c r="N405" s="8" t="n">
        <v>98</v>
      </c>
      <c r="O405" s="8" t="n">
        <v>1</v>
      </c>
      <c r="P405" s="9" t="n">
        <v>4.18919945043193</v>
      </c>
      <c r="Q405" s="10" t="n">
        <v>0.238709092711471</v>
      </c>
      <c r="R405" s="9" t="n">
        <v>4.5</v>
      </c>
      <c r="S405" s="12" t="n">
        <f aca="false">IF(AND(ISNUMBER(R405),R405&gt;1,P405&gt;0),R405/P405-1,"")</f>
        <v>0.0741909172016202</v>
      </c>
      <c r="T405" s="9" t="n">
        <f aca="false">IF(AND(ISNUMBER(P405),P405&gt;0),P405*EXP('Read me'!$B$22),"")</f>
        <v>5.11669976324063</v>
      </c>
    </row>
    <row r="406" customFormat="false" ht="15" hidden="false" customHeight="false" outlineLevel="0" collapsed="false">
      <c r="A406" s="15" t="s">
        <v>286</v>
      </c>
      <c r="B406" s="15" t="s">
        <v>194</v>
      </c>
      <c r="C406" s="15" t="s">
        <v>287</v>
      </c>
      <c r="D406" s="15" t="s">
        <v>370</v>
      </c>
      <c r="E406" s="16" t="n">
        <v>8.5</v>
      </c>
      <c r="F406" s="15" t="s">
        <v>805</v>
      </c>
      <c r="G406" s="8" t="n">
        <v>12</v>
      </c>
      <c r="H406" s="15" t="s">
        <v>290</v>
      </c>
      <c r="I406" s="15" t="s">
        <v>283</v>
      </c>
      <c r="J406" s="15" t="s">
        <v>563</v>
      </c>
      <c r="K406" s="8" t="n">
        <v>8</v>
      </c>
      <c r="L406" s="8" t="n">
        <v>56</v>
      </c>
      <c r="M406" s="8" t="n">
        <v>3</v>
      </c>
      <c r="N406" s="8" t="n">
        <v>21</v>
      </c>
      <c r="O406" s="8" t="n">
        <v>2</v>
      </c>
      <c r="P406" s="9" t="n">
        <v>5.10315863768851</v>
      </c>
      <c r="Q406" s="10" t="n">
        <v>0.195957067180838</v>
      </c>
      <c r="R406" s="9" t="n">
        <v>3.5</v>
      </c>
      <c r="S406" s="12" t="n">
        <f aca="false">IF(AND(ISNUMBER(R406),R406&gt;1,P406&gt;0),R406/P406-1,"")</f>
        <v>-0.314150264867068</v>
      </c>
      <c r="T406" s="9" t="n">
        <f aca="false">IF(AND(ISNUMBER(P406),P406&gt;0),P406*EXP('Read me'!$B$22),"")</f>
        <v>6.23301203540164</v>
      </c>
    </row>
    <row r="407" customFormat="false" ht="15" hidden="false" customHeight="false" outlineLevel="0" collapsed="false">
      <c r="A407" s="15" t="s">
        <v>286</v>
      </c>
      <c r="B407" s="15" t="s">
        <v>194</v>
      </c>
      <c r="C407" s="15" t="s">
        <v>287</v>
      </c>
      <c r="D407" s="15" t="s">
        <v>370</v>
      </c>
      <c r="E407" s="16" t="n">
        <v>8.5</v>
      </c>
      <c r="F407" s="15" t="s">
        <v>805</v>
      </c>
      <c r="G407" s="8" t="n">
        <v>12</v>
      </c>
      <c r="H407" s="15" t="s">
        <v>1062</v>
      </c>
      <c r="I407" s="15" t="s">
        <v>967</v>
      </c>
      <c r="J407" s="15" t="s">
        <v>632</v>
      </c>
      <c r="K407" s="8" t="n">
        <v>6</v>
      </c>
      <c r="L407" s="8" t="n">
        <v>50</v>
      </c>
      <c r="M407" s="8" t="n">
        <v>3</v>
      </c>
      <c r="N407" s="8" t="n">
        <v>21</v>
      </c>
      <c r="O407" s="8" t="n">
        <v>3</v>
      </c>
      <c r="P407" s="9" t="n">
        <v>7.6994330945984</v>
      </c>
      <c r="Q407" s="10" t="n">
        <v>0.129879692142732</v>
      </c>
      <c r="R407" s="9" t="n">
        <v>6.5</v>
      </c>
      <c r="S407" s="12" t="n">
        <f aca="false">IF(AND(ISNUMBER(R407),R407&gt;1,P407&gt;0),R407/P407-1,"")</f>
        <v>-0.155782001072244</v>
      </c>
      <c r="T407" s="9" t="n">
        <f aca="false">IF(AND(ISNUMBER(P407),P407&gt;0),P407*EXP('Read me'!$B$22),"")</f>
        <v>9.40410881801217</v>
      </c>
    </row>
    <row r="408" customFormat="false" ht="15" hidden="false" customHeight="false" outlineLevel="0" collapsed="false">
      <c r="A408" s="15" t="s">
        <v>286</v>
      </c>
      <c r="B408" s="15" t="s">
        <v>194</v>
      </c>
      <c r="C408" s="15" t="s">
        <v>287</v>
      </c>
      <c r="D408" s="15" t="s">
        <v>370</v>
      </c>
      <c r="E408" s="16" t="n">
        <v>8.5</v>
      </c>
      <c r="F408" s="15" t="s">
        <v>805</v>
      </c>
      <c r="G408" s="8" t="n">
        <v>12</v>
      </c>
      <c r="H408" s="15" t="s">
        <v>1063</v>
      </c>
      <c r="I408" s="15" t="s">
        <v>898</v>
      </c>
      <c r="J408" s="15" t="s">
        <v>899</v>
      </c>
      <c r="K408" s="8" t="n">
        <v>5</v>
      </c>
      <c r="L408" s="8" t="n">
        <v>58</v>
      </c>
      <c r="M408" s="8" t="n">
        <v>3</v>
      </c>
      <c r="N408" s="8" t="n">
        <v>19</v>
      </c>
      <c r="O408" s="8" t="n">
        <v>4</v>
      </c>
      <c r="P408" s="9" t="n">
        <v>8.1082537579196</v>
      </c>
      <c r="Q408" s="10" t="n">
        <v>0.123331117877665</v>
      </c>
      <c r="R408" s="9" t="n">
        <v>9</v>
      </c>
      <c r="S408" s="12" t="n">
        <f aca="false">IF(AND(ISNUMBER(R408),R408&gt;1,P408&gt;0),R408/P408-1,"")</f>
        <v>0.109980060898982</v>
      </c>
      <c r="T408" s="9" t="n">
        <f aca="false">IF(AND(ISNUMBER(P408),P408&gt;0),P408*EXP('Read me'!$B$22),"")</f>
        <v>9.90344350378556</v>
      </c>
    </row>
    <row r="409" customFormat="false" ht="15" hidden="false" customHeight="false" outlineLevel="0" collapsed="false">
      <c r="A409" s="15" t="s">
        <v>286</v>
      </c>
      <c r="B409" s="15" t="s">
        <v>194</v>
      </c>
      <c r="C409" s="15" t="s">
        <v>287</v>
      </c>
      <c r="D409" s="15" t="s">
        <v>370</v>
      </c>
      <c r="E409" s="16" t="n">
        <v>8.5</v>
      </c>
      <c r="F409" s="15" t="s">
        <v>805</v>
      </c>
      <c r="G409" s="8" t="n">
        <v>12</v>
      </c>
      <c r="H409" s="15" t="s">
        <v>1064</v>
      </c>
      <c r="I409" s="15" t="s">
        <v>1065</v>
      </c>
      <c r="J409" s="15" t="s">
        <v>115</v>
      </c>
      <c r="K409" s="8" t="n">
        <v>7</v>
      </c>
      <c r="L409" s="8" t="n">
        <v>54</v>
      </c>
      <c r="M409" s="8" t="n">
        <v>3</v>
      </c>
      <c r="N409" s="8" t="n">
        <v>16</v>
      </c>
      <c r="O409" s="8" t="n">
        <v>5</v>
      </c>
      <c r="P409" s="9" t="n">
        <v>8.74883084022358</v>
      </c>
      <c r="Q409" s="10" t="n">
        <v>0.11430098698473</v>
      </c>
      <c r="R409" s="9" t="n">
        <v>8</v>
      </c>
      <c r="S409" s="12" t="n">
        <f aca="false">IF(AND(ISNUMBER(R409),R409&gt;1,P409&gt;0),R409/P409-1,"")</f>
        <v>-0.0855921041221598</v>
      </c>
      <c r="T409" s="9" t="n">
        <f aca="false">IF(AND(ISNUMBER(P409),P409&gt;0),P409*EXP('Read me'!$B$22),"")</f>
        <v>10.6858461189258</v>
      </c>
    </row>
    <row r="410" customFormat="false" ht="15" hidden="false" customHeight="false" outlineLevel="0" collapsed="false">
      <c r="A410" s="15" t="s">
        <v>286</v>
      </c>
      <c r="B410" s="15" t="s">
        <v>194</v>
      </c>
      <c r="C410" s="15" t="s">
        <v>287</v>
      </c>
      <c r="D410" s="15" t="s">
        <v>370</v>
      </c>
      <c r="E410" s="16" t="n">
        <v>8.5</v>
      </c>
      <c r="F410" s="15" t="s">
        <v>805</v>
      </c>
      <c r="G410" s="8" t="n">
        <v>12</v>
      </c>
      <c r="H410" s="15" t="s">
        <v>1066</v>
      </c>
      <c r="I410" s="15" t="s">
        <v>965</v>
      </c>
      <c r="J410" s="15" t="s">
        <v>204</v>
      </c>
      <c r="K410" s="8" t="n">
        <v>13</v>
      </c>
      <c r="L410" s="8" t="n">
        <v>60</v>
      </c>
      <c r="M410" s="8" t="n">
        <v>3</v>
      </c>
      <c r="N410" s="8" t="n">
        <v>18</v>
      </c>
      <c r="O410" s="8" t="n">
        <v>6</v>
      </c>
      <c r="P410" s="9" t="n">
        <v>17.3941524860705</v>
      </c>
      <c r="Q410" s="10" t="n">
        <v>0.0574905848848233</v>
      </c>
      <c r="R410" s="9" t="n">
        <v>11</v>
      </c>
      <c r="S410" s="12" t="n">
        <f aca="false">IF(AND(ISNUMBER(R410),R410&gt;1,P410&gt;0),R410/P410-1,"")</f>
        <v>-0.367603566266942</v>
      </c>
      <c r="T410" s="9" t="n">
        <f aca="false">IF(AND(ISNUMBER(P410),P410&gt;0),P410*EXP('Read me'!$B$22),"")</f>
        <v>21.2452658223451</v>
      </c>
    </row>
    <row r="411" customFormat="false" ht="15" hidden="false" customHeight="false" outlineLevel="0" collapsed="false">
      <c r="A411" s="15" t="s">
        <v>286</v>
      </c>
      <c r="B411" s="15" t="s">
        <v>194</v>
      </c>
      <c r="C411" s="15" t="s">
        <v>287</v>
      </c>
      <c r="D411" s="15" t="s">
        <v>370</v>
      </c>
      <c r="E411" s="16" t="n">
        <v>8.5</v>
      </c>
      <c r="F411" s="15" t="s">
        <v>805</v>
      </c>
      <c r="G411" s="8" t="n">
        <v>12</v>
      </c>
      <c r="H411" s="15" t="s">
        <v>1067</v>
      </c>
      <c r="I411" s="15" t="s">
        <v>1068</v>
      </c>
      <c r="J411" s="15" t="s">
        <v>1069</v>
      </c>
      <c r="K411" s="8" t="n">
        <v>2</v>
      </c>
      <c r="L411" s="8" t="n">
        <v>48</v>
      </c>
      <c r="M411" s="8" t="n">
        <v>3</v>
      </c>
      <c r="N411" s="8" t="n">
        <v>18</v>
      </c>
      <c r="O411" s="8" t="n">
        <v>7</v>
      </c>
      <c r="P411" s="9" t="n">
        <v>22.4011343623127</v>
      </c>
      <c r="Q411" s="10" t="n">
        <v>0.0446405964906127</v>
      </c>
      <c r="R411" s="9" t="n">
        <v>12</v>
      </c>
      <c r="S411" s="12" t="n">
        <f aca="false">IF(AND(ISNUMBER(R411),R411&gt;1,P411&gt;0),R411/P411-1,"")</f>
        <v>-0.464312842112647</v>
      </c>
      <c r="T411" s="9" t="n">
        <f aca="false">IF(AND(ISNUMBER(P411),P411&gt;0),P411*EXP('Read me'!$B$22),"")</f>
        <v>27.3608072960453</v>
      </c>
    </row>
    <row r="412" customFormat="false" ht="15" hidden="false" customHeight="false" outlineLevel="0" collapsed="false">
      <c r="A412" s="15" t="s">
        <v>286</v>
      </c>
      <c r="B412" s="15" t="s">
        <v>194</v>
      </c>
      <c r="C412" s="15" t="s">
        <v>287</v>
      </c>
      <c r="D412" s="15" t="s">
        <v>370</v>
      </c>
      <c r="E412" s="16" t="n">
        <v>8.5</v>
      </c>
      <c r="F412" s="15" t="s">
        <v>805</v>
      </c>
      <c r="G412" s="8" t="n">
        <v>12</v>
      </c>
      <c r="H412" s="15" t="s">
        <v>1070</v>
      </c>
      <c r="I412" s="15" t="s">
        <v>1042</v>
      </c>
      <c r="J412" s="15" t="s">
        <v>1071</v>
      </c>
      <c r="K412" s="8" t="n">
        <v>11</v>
      </c>
      <c r="L412" s="8" t="n">
        <v>57</v>
      </c>
      <c r="M412" s="8" t="n">
        <v>3</v>
      </c>
      <c r="N412" s="8" t="n">
        <v>14</v>
      </c>
      <c r="O412" s="8" t="n">
        <v>8</v>
      </c>
      <c r="P412" s="9" t="n">
        <v>36.1383283939804</v>
      </c>
      <c r="Q412" s="10" t="n">
        <v>0.0276714514600119</v>
      </c>
      <c r="R412" s="9" t="n">
        <v>29</v>
      </c>
      <c r="S412" s="12" t="n">
        <f aca="false">IF(AND(ISNUMBER(R412),R412&gt;1,P412&gt;0),R412/P412-1,"")</f>
        <v>-0.197527907659654</v>
      </c>
      <c r="T412" s="9" t="n">
        <f aca="false">IF(AND(ISNUMBER(P412),P412&gt;0),P412*EXP('Read me'!$B$22),"")</f>
        <v>44.1394539757057</v>
      </c>
    </row>
    <row r="413" customFormat="false" ht="15" hidden="false" customHeight="false" outlineLevel="0" collapsed="false">
      <c r="A413" s="15" t="s">
        <v>286</v>
      </c>
      <c r="B413" s="15" t="s">
        <v>194</v>
      </c>
      <c r="C413" s="15" t="s">
        <v>287</v>
      </c>
      <c r="D413" s="15" t="s">
        <v>370</v>
      </c>
      <c r="E413" s="16" t="n">
        <v>8.5</v>
      </c>
      <c r="F413" s="15" t="s">
        <v>805</v>
      </c>
      <c r="G413" s="8" t="n">
        <v>12</v>
      </c>
      <c r="H413" s="15" t="s">
        <v>1072</v>
      </c>
      <c r="I413" s="15" t="s">
        <v>901</v>
      </c>
      <c r="J413" s="15" t="s">
        <v>902</v>
      </c>
      <c r="K413" s="8" t="n">
        <v>12</v>
      </c>
      <c r="L413" s="8" t="n">
        <v>46</v>
      </c>
      <c r="M413" s="8" t="n">
        <v>3</v>
      </c>
      <c r="N413" s="8" t="n">
        <v>33</v>
      </c>
      <c r="O413" s="8" t="n">
        <v>9</v>
      </c>
      <c r="P413" s="9" t="n">
        <v>36.2044175276392</v>
      </c>
      <c r="Q413" s="10" t="n">
        <v>0.0276209387773351</v>
      </c>
      <c r="R413" s="9" t="n">
        <v>12</v>
      </c>
      <c r="S413" s="12" t="n">
        <f aca="false">IF(AND(ISNUMBER(R413),R413&gt;1,P413&gt;0),R413/P413-1,"")</f>
        <v>-0.668548734671978</v>
      </c>
      <c r="T413" s="9" t="n">
        <f aca="false">IF(AND(ISNUMBER(P413),P413&gt;0),P413*EXP('Read me'!$B$22),"")</f>
        <v>44.2201754258409</v>
      </c>
    </row>
    <row r="414" customFormat="false" ht="15" hidden="false" customHeight="false" outlineLevel="0" collapsed="false">
      <c r="A414" s="15" t="s">
        <v>286</v>
      </c>
      <c r="B414" s="15" t="s">
        <v>194</v>
      </c>
      <c r="C414" s="15" t="s">
        <v>287</v>
      </c>
      <c r="D414" s="15" t="s">
        <v>370</v>
      </c>
      <c r="E414" s="16" t="n">
        <v>8.5</v>
      </c>
      <c r="F414" s="15" t="s">
        <v>805</v>
      </c>
      <c r="G414" s="8" t="n">
        <v>12</v>
      </c>
      <c r="H414" s="15" t="s">
        <v>1073</v>
      </c>
      <c r="I414" s="15" t="s">
        <v>1056</v>
      </c>
      <c r="J414" s="15" t="s">
        <v>915</v>
      </c>
      <c r="K414" s="8" t="n">
        <v>3</v>
      </c>
      <c r="L414" s="8" t="n">
        <v>55</v>
      </c>
      <c r="M414" s="8" t="n">
        <v>3</v>
      </c>
      <c r="N414" s="8" t="n">
        <v>12</v>
      </c>
      <c r="O414" s="8" t="n">
        <v>10</v>
      </c>
      <c r="P414" s="9" t="n">
        <v>39.5099732853838</v>
      </c>
      <c r="Q414" s="10" t="n">
        <v>0.0253100652024469</v>
      </c>
      <c r="R414" s="9" t="n">
        <v>17</v>
      </c>
      <c r="S414" s="12" t="n">
        <f aca="false">IF(AND(ISNUMBER(R414),R414&gt;1,P414&gt;0),R414/P414-1,"")</f>
        <v>-0.569728891558402</v>
      </c>
      <c r="T414" s="9" t="n">
        <f aca="false">IF(AND(ISNUMBER(P414),P414&gt;0),P414*EXP('Read me'!$B$22),"")</f>
        <v>48.2575903456024</v>
      </c>
    </row>
    <row r="415" customFormat="false" ht="15" hidden="false" customHeight="false" outlineLevel="0" collapsed="false">
      <c r="A415" s="15" t="s">
        <v>286</v>
      </c>
      <c r="B415" s="15" t="s">
        <v>194</v>
      </c>
      <c r="C415" s="15" t="s">
        <v>287</v>
      </c>
      <c r="D415" s="15" t="s">
        <v>370</v>
      </c>
      <c r="E415" s="16" t="n">
        <v>8.5</v>
      </c>
      <c r="F415" s="15" t="s">
        <v>805</v>
      </c>
      <c r="G415" s="8" t="n">
        <v>12</v>
      </c>
      <c r="H415" s="15" t="s">
        <v>1074</v>
      </c>
      <c r="I415" s="15" t="s">
        <v>277</v>
      </c>
      <c r="J415" s="15" t="s">
        <v>936</v>
      </c>
      <c r="K415" s="8" t="n">
        <v>4</v>
      </c>
      <c r="L415" s="8" t="n">
        <v>46</v>
      </c>
      <c r="M415" s="8" t="n">
        <v>3</v>
      </c>
      <c r="N415" s="8" t="n">
        <v>21</v>
      </c>
      <c r="O415" s="8" t="n">
        <v>11</v>
      </c>
      <c r="P415" s="9" t="n">
        <v>75.117225019347</v>
      </c>
      <c r="Q415" s="10" t="n">
        <v>0.0133125258519925</v>
      </c>
      <c r="R415" s="9" t="n">
        <v>34</v>
      </c>
      <c r="S415" s="12" t="n">
        <f aca="false">IF(AND(ISNUMBER(R415),R415&gt;1,P415&gt;0),R415/P415-1,"")</f>
        <v>-0.547374121032253</v>
      </c>
      <c r="T415" s="9" t="n">
        <f aca="false">IF(AND(ISNUMBER(P415),P415&gt;0),P415*EXP('Read me'!$B$22),"")</f>
        <v>91.7483858239686</v>
      </c>
    </row>
    <row r="416" customFormat="false" ht="15" hidden="false" customHeight="false" outlineLevel="0" collapsed="false">
      <c r="A416" s="15" t="s">
        <v>286</v>
      </c>
      <c r="B416" s="15" t="s">
        <v>194</v>
      </c>
      <c r="C416" s="15" t="s">
        <v>287</v>
      </c>
      <c r="D416" s="15" t="s">
        <v>370</v>
      </c>
      <c r="E416" s="16" t="n">
        <v>8.5</v>
      </c>
      <c r="F416" s="15" t="s">
        <v>805</v>
      </c>
      <c r="G416" s="8" t="n">
        <v>12</v>
      </c>
      <c r="H416" s="15" t="s">
        <v>1075</v>
      </c>
      <c r="I416" s="15" t="s">
        <v>906</v>
      </c>
      <c r="J416" s="15" t="s">
        <v>1032</v>
      </c>
      <c r="K416" s="8" t="n">
        <v>10</v>
      </c>
      <c r="L416" s="8" t="n">
        <v>46</v>
      </c>
      <c r="M416" s="8" t="n">
        <v>3</v>
      </c>
      <c r="N416" s="8" t="n">
        <v>28</v>
      </c>
      <c r="O416" s="8" t="n">
        <v>12</v>
      </c>
      <c r="P416" s="9" t="n">
        <v>563.100972395957</v>
      </c>
      <c r="Q416" s="10" t="n">
        <v>0.0017758804353419</v>
      </c>
      <c r="R416" s="9" t="n">
        <v>101</v>
      </c>
      <c r="S416" s="12" t="n">
        <f aca="false">IF(AND(ISNUMBER(R416),R416&gt;1,P416&gt;0),R416/P416-1,"")</f>
        <v>-0.820636076030464</v>
      </c>
      <c r="T416" s="9" t="n">
        <f aca="false">IF(AND(ISNUMBER(P416),P416&gt;0),P416*EXP('Read me'!$B$22),"")</f>
        <v>687.773080807095</v>
      </c>
    </row>
    <row r="417" customFormat="false" ht="15" hidden="false" customHeight="false" outlineLevel="0" collapsed="false">
      <c r="A417" s="15" t="s">
        <v>291</v>
      </c>
      <c r="B417" s="15" t="s">
        <v>194</v>
      </c>
      <c r="C417" s="15" t="s">
        <v>292</v>
      </c>
      <c r="D417" s="15" t="s">
        <v>418</v>
      </c>
      <c r="E417" s="16" t="n">
        <v>5</v>
      </c>
      <c r="F417" s="15" t="s">
        <v>805</v>
      </c>
      <c r="G417" s="8" t="n">
        <v>8</v>
      </c>
      <c r="H417" s="15" t="s">
        <v>293</v>
      </c>
      <c r="I417" s="15" t="s">
        <v>294</v>
      </c>
      <c r="J417" s="15" t="s">
        <v>295</v>
      </c>
      <c r="K417" s="8" t="n">
        <v>2</v>
      </c>
      <c r="L417" s="8" t="n">
        <v>75</v>
      </c>
      <c r="M417" s="8" t="n">
        <v>5</v>
      </c>
      <c r="N417" s="8" t="n">
        <v>27</v>
      </c>
      <c r="O417" s="8" t="n">
        <v>1</v>
      </c>
      <c r="P417" s="9" t="n">
        <v>3.93299965613433</v>
      </c>
      <c r="Q417" s="10" t="n">
        <v>0.254258857724611</v>
      </c>
      <c r="R417" s="9" t="n">
        <v>3.75</v>
      </c>
      <c r="S417" s="12" t="n">
        <f aca="false">IF(AND(ISNUMBER(R417),R417&gt;1,P417&gt;0),R417/P417-1,"")</f>
        <v>-0.0465292835327102</v>
      </c>
      <c r="T417" s="9" t="n">
        <f aca="false">IF(AND(ISNUMBER(P417),P417&gt;0),P417*EXP('Read me'!$B$22),"")</f>
        <v>4.80377662784547</v>
      </c>
    </row>
    <row r="418" customFormat="false" ht="15" hidden="false" customHeight="false" outlineLevel="0" collapsed="false">
      <c r="A418" s="15" t="s">
        <v>291</v>
      </c>
      <c r="B418" s="15" t="s">
        <v>194</v>
      </c>
      <c r="C418" s="15" t="s">
        <v>292</v>
      </c>
      <c r="D418" s="15" t="s">
        <v>418</v>
      </c>
      <c r="E418" s="16" t="n">
        <v>5</v>
      </c>
      <c r="F418" s="15" t="s">
        <v>805</v>
      </c>
      <c r="G418" s="8" t="n">
        <v>8</v>
      </c>
      <c r="H418" s="15" t="s">
        <v>296</v>
      </c>
      <c r="I418" s="15" t="s">
        <v>261</v>
      </c>
      <c r="J418" s="15" t="s">
        <v>563</v>
      </c>
      <c r="K418" s="8" t="n">
        <v>6</v>
      </c>
      <c r="L418" s="8" t="n">
        <v>71</v>
      </c>
      <c r="M418" s="8" t="n">
        <v>6</v>
      </c>
      <c r="N418" s="8" t="n">
        <v>20</v>
      </c>
      <c r="O418" s="8" t="n">
        <v>2</v>
      </c>
      <c r="P418" s="9" t="n">
        <v>5.11257268881692</v>
      </c>
      <c r="Q418" s="10" t="n">
        <v>0.195596241044625</v>
      </c>
      <c r="R418" s="9" t="n">
        <v>3.5</v>
      </c>
      <c r="S418" s="12" t="n">
        <f aca="false">IF(AND(ISNUMBER(R418),R418&gt;1,P418&gt;0),R418/P418-1,"")</f>
        <v>-0.315413156343813</v>
      </c>
      <c r="T418" s="9" t="n">
        <f aca="false">IF(AND(ISNUMBER(P418),P418&gt;0),P418*EXP('Read me'!$B$22),"")</f>
        <v>6.24451038341534</v>
      </c>
    </row>
    <row r="419" customFormat="false" ht="15" hidden="false" customHeight="false" outlineLevel="0" collapsed="false">
      <c r="A419" s="15" t="s">
        <v>291</v>
      </c>
      <c r="B419" s="15" t="s">
        <v>194</v>
      </c>
      <c r="C419" s="15" t="s">
        <v>292</v>
      </c>
      <c r="D419" s="15" t="s">
        <v>418</v>
      </c>
      <c r="E419" s="16" t="n">
        <v>5</v>
      </c>
      <c r="F419" s="15" t="s">
        <v>805</v>
      </c>
      <c r="G419" s="8" t="n">
        <v>8</v>
      </c>
      <c r="H419" s="15" t="s">
        <v>1076</v>
      </c>
      <c r="I419" s="15" t="s">
        <v>887</v>
      </c>
      <c r="J419" s="15" t="s">
        <v>262</v>
      </c>
      <c r="K419" s="8" t="n">
        <v>1</v>
      </c>
      <c r="L419" s="8" t="n">
        <v>75</v>
      </c>
      <c r="M419" s="8" t="n">
        <v>3</v>
      </c>
      <c r="N419" s="8" t="n">
        <v>58</v>
      </c>
      <c r="O419" s="8" t="n">
        <v>3</v>
      </c>
      <c r="P419" s="9" t="n">
        <v>6.69395358633963</v>
      </c>
      <c r="Q419" s="10" t="n">
        <v>0.149388547007661</v>
      </c>
      <c r="R419" s="9" t="n">
        <v>5.5</v>
      </c>
      <c r="S419" s="12" t="n">
        <f aca="false">IF(AND(ISNUMBER(R419),R419&gt;1,P419&gt;0),R419/P419-1,"")</f>
        <v>-0.178362991457863</v>
      </c>
      <c r="T419" s="9" t="n">
        <f aca="false">IF(AND(ISNUMBER(P419),P419&gt;0),P419*EXP('Read me'!$B$22),"")</f>
        <v>8.17601337335138</v>
      </c>
    </row>
    <row r="420" customFormat="false" ht="15" hidden="false" customHeight="false" outlineLevel="0" collapsed="false">
      <c r="A420" s="15" t="s">
        <v>291</v>
      </c>
      <c r="B420" s="15" t="s">
        <v>194</v>
      </c>
      <c r="C420" s="15" t="s">
        <v>292</v>
      </c>
      <c r="D420" s="15" t="s">
        <v>418</v>
      </c>
      <c r="E420" s="16" t="n">
        <v>5</v>
      </c>
      <c r="F420" s="15" t="s">
        <v>805</v>
      </c>
      <c r="G420" s="8" t="n">
        <v>8</v>
      </c>
      <c r="H420" s="15" t="s">
        <v>1077</v>
      </c>
      <c r="I420" s="15" t="s">
        <v>898</v>
      </c>
      <c r="J420" s="15" t="s">
        <v>1078</v>
      </c>
      <c r="K420" s="8" t="n">
        <v>7</v>
      </c>
      <c r="L420" s="8" t="n">
        <v>74</v>
      </c>
      <c r="M420" s="8" t="n">
        <v>3</v>
      </c>
      <c r="N420" s="8" t="n">
        <v>15</v>
      </c>
      <c r="O420" s="8" t="n">
        <v>4</v>
      </c>
      <c r="P420" s="9" t="n">
        <v>7.78551586667831</v>
      </c>
      <c r="Q420" s="10" t="n">
        <v>0.128443640360424</v>
      </c>
      <c r="R420" s="9" t="n">
        <v>7.5</v>
      </c>
      <c r="S420" s="12" t="n">
        <f aca="false">IF(AND(ISNUMBER(R420),R420&gt;1,P420&gt;0),R420/P420-1,"")</f>
        <v>-0.0366726972968231</v>
      </c>
      <c r="T420" s="9" t="n">
        <f aca="false">IF(AND(ISNUMBER(P420),P420&gt;0),P420*EXP('Read me'!$B$22),"")</f>
        <v>9.50925055326065</v>
      </c>
    </row>
    <row r="421" customFormat="false" ht="15" hidden="false" customHeight="false" outlineLevel="0" collapsed="false">
      <c r="A421" s="15" t="s">
        <v>291</v>
      </c>
      <c r="B421" s="15" t="s">
        <v>194</v>
      </c>
      <c r="C421" s="15" t="s">
        <v>292</v>
      </c>
      <c r="D421" s="15" t="s">
        <v>418</v>
      </c>
      <c r="E421" s="16" t="n">
        <v>5</v>
      </c>
      <c r="F421" s="15" t="s">
        <v>805</v>
      </c>
      <c r="G421" s="8" t="n">
        <v>8</v>
      </c>
      <c r="H421" s="15" t="s">
        <v>1079</v>
      </c>
      <c r="I421" s="15" t="s">
        <v>1068</v>
      </c>
      <c r="J421" s="15" t="s">
        <v>1080</v>
      </c>
      <c r="K421" s="8" t="n">
        <v>8</v>
      </c>
      <c r="L421" s="8" t="n">
        <v>73</v>
      </c>
      <c r="M421" s="8" t="n">
        <v>3</v>
      </c>
      <c r="N421" s="8" t="n">
        <v>21</v>
      </c>
      <c r="O421" s="8" t="n">
        <v>5</v>
      </c>
      <c r="P421" s="9" t="n">
        <v>8.59887720351826</v>
      </c>
      <c r="Q421" s="10" t="n">
        <v>0.116294252881161</v>
      </c>
      <c r="R421" s="9" t="n">
        <v>10</v>
      </c>
      <c r="S421" s="12" t="n">
        <f aca="false">IF(AND(ISNUMBER(R421),R421&gt;1,P421&gt;0),R421/P421-1,"")</f>
        <v>0.162942528811607</v>
      </c>
      <c r="T421" s="9" t="n">
        <f aca="false">IF(AND(ISNUMBER(P421),P421&gt;0),P421*EXP('Read me'!$B$22),"")</f>
        <v>10.5026923334578</v>
      </c>
    </row>
    <row r="422" customFormat="false" ht="15" hidden="false" customHeight="false" outlineLevel="0" collapsed="false">
      <c r="A422" s="15" t="s">
        <v>291</v>
      </c>
      <c r="B422" s="15" t="s">
        <v>194</v>
      </c>
      <c r="C422" s="15" t="s">
        <v>292</v>
      </c>
      <c r="D422" s="15" t="s">
        <v>418</v>
      </c>
      <c r="E422" s="16" t="n">
        <v>5</v>
      </c>
      <c r="F422" s="15" t="s">
        <v>805</v>
      </c>
      <c r="G422" s="8" t="n">
        <v>8</v>
      </c>
      <c r="H422" s="15" t="s">
        <v>1081</v>
      </c>
      <c r="I422" s="15" t="s">
        <v>1056</v>
      </c>
      <c r="J422" s="15" t="s">
        <v>915</v>
      </c>
      <c r="K422" s="8" t="n">
        <v>5</v>
      </c>
      <c r="L422" s="8" t="n">
        <v>72</v>
      </c>
      <c r="M422" s="8" t="n">
        <v>3</v>
      </c>
      <c r="N422" s="8" t="n">
        <v>17</v>
      </c>
      <c r="O422" s="8" t="n">
        <v>6</v>
      </c>
      <c r="P422" s="9" t="n">
        <v>14.616674141153</v>
      </c>
      <c r="Q422" s="10" t="n">
        <v>0.0684150163260817</v>
      </c>
      <c r="R422" s="9" t="n">
        <v>9.5</v>
      </c>
      <c r="S422" s="12" t="n">
        <f aca="false">IF(AND(ISNUMBER(R422),R422&gt;1,P422&gt;0),R422/P422-1,"")</f>
        <v>-0.350057344902224</v>
      </c>
      <c r="T422" s="9" t="n">
        <f aca="false">IF(AND(ISNUMBER(P422),P422&gt;0),P422*EXP('Read me'!$B$22),"")</f>
        <v>17.8528461111327</v>
      </c>
    </row>
    <row r="423" customFormat="false" ht="15" hidden="false" customHeight="false" outlineLevel="0" collapsed="false">
      <c r="A423" s="15" t="s">
        <v>291</v>
      </c>
      <c r="B423" s="15" t="s">
        <v>194</v>
      </c>
      <c r="C423" s="15" t="s">
        <v>292</v>
      </c>
      <c r="D423" s="15" t="s">
        <v>418</v>
      </c>
      <c r="E423" s="16" t="n">
        <v>5</v>
      </c>
      <c r="F423" s="15" t="s">
        <v>805</v>
      </c>
      <c r="G423" s="8" t="n">
        <v>8</v>
      </c>
      <c r="H423" s="15" t="s">
        <v>1082</v>
      </c>
      <c r="I423" s="15" t="s">
        <v>1027</v>
      </c>
      <c r="J423" s="15" t="s">
        <v>915</v>
      </c>
      <c r="K423" s="8" t="n">
        <v>3</v>
      </c>
      <c r="L423" s="8" t="n">
        <v>71</v>
      </c>
      <c r="M423" s="8" t="n">
        <v>3</v>
      </c>
      <c r="N423" s="8" t="n">
        <v>27</v>
      </c>
      <c r="O423" s="8" t="n">
        <v>7</v>
      </c>
      <c r="P423" s="9" t="n">
        <v>22.0363079584098</v>
      </c>
      <c r="Q423" s="10" t="n">
        <v>0.0453796526118327</v>
      </c>
      <c r="R423" s="9" t="n">
        <v>29</v>
      </c>
      <c r="S423" s="12" t="n">
        <f aca="false">IF(AND(ISNUMBER(R423),R423&gt;1,P423&gt;0),R423/P423-1,"")</f>
        <v>0.31600992574315</v>
      </c>
      <c r="T423" s="9" t="n">
        <f aca="false">IF(AND(ISNUMBER(P423),P423&gt;0),P423*EXP('Read me'!$B$22),"")</f>
        <v>26.9152073200686</v>
      </c>
    </row>
    <row r="424" customFormat="false" ht="15" hidden="false" customHeight="false" outlineLevel="0" collapsed="false">
      <c r="A424" s="15" t="s">
        <v>291</v>
      </c>
      <c r="B424" s="15" t="s">
        <v>194</v>
      </c>
      <c r="C424" s="15" t="s">
        <v>292</v>
      </c>
      <c r="D424" s="15" t="s">
        <v>418</v>
      </c>
      <c r="E424" s="16" t="n">
        <v>5</v>
      </c>
      <c r="F424" s="15" t="s">
        <v>805</v>
      </c>
      <c r="G424" s="8" t="n">
        <v>8</v>
      </c>
      <c r="H424" s="15" t="s">
        <v>1083</v>
      </c>
      <c r="I424" s="15" t="s">
        <v>283</v>
      </c>
      <c r="J424" s="15" t="s">
        <v>1071</v>
      </c>
      <c r="K424" s="8" t="n">
        <v>4</v>
      </c>
      <c r="L424" s="8" t="n">
        <v>67</v>
      </c>
      <c r="M424" s="8" t="n">
        <v>3</v>
      </c>
      <c r="N424" s="8" t="n">
        <v>14</v>
      </c>
      <c r="O424" s="8" t="n">
        <v>8</v>
      </c>
      <c r="P424" s="9" t="n">
        <v>23.6833299805782</v>
      </c>
      <c r="Q424" s="10" t="n">
        <v>0.0422237920436046</v>
      </c>
      <c r="R424" s="9" t="n">
        <v>17</v>
      </c>
      <c r="S424" s="12" t="n">
        <f aca="false">IF(AND(ISNUMBER(R424),R424&gt;1,P424&gt;0),R424/P424-1,"")</f>
        <v>-0.282195535258721</v>
      </c>
      <c r="T424" s="9" t="n">
        <f aca="false">IF(AND(ISNUMBER(P424),P424&gt;0),P424*EXP('Read me'!$B$22),"")</f>
        <v>28.9268845606956</v>
      </c>
    </row>
    <row r="425" customFormat="false" ht="15" hidden="false" customHeight="false" outlineLevel="0" collapsed="false">
      <c r="A425" s="15" t="s">
        <v>297</v>
      </c>
      <c r="B425" s="15" t="s">
        <v>194</v>
      </c>
      <c r="C425" s="15" t="s">
        <v>298</v>
      </c>
      <c r="D425" s="15" t="s">
        <v>418</v>
      </c>
      <c r="E425" s="16" t="n">
        <v>9.5</v>
      </c>
      <c r="F425" s="15" t="s">
        <v>805</v>
      </c>
      <c r="G425" s="8" t="n">
        <v>11</v>
      </c>
      <c r="H425" s="15" t="s">
        <v>299</v>
      </c>
      <c r="I425" s="15" t="s">
        <v>283</v>
      </c>
      <c r="J425" s="15" t="s">
        <v>300</v>
      </c>
      <c r="K425" s="8" t="n">
        <v>12</v>
      </c>
      <c r="L425" s="8" t="n">
        <v>65</v>
      </c>
      <c r="M425" s="8" t="n">
        <v>3</v>
      </c>
      <c r="N425" s="8" t="n">
        <v>7</v>
      </c>
      <c r="O425" s="8" t="n">
        <v>1</v>
      </c>
      <c r="P425" s="9" t="n">
        <v>3.18567540849695</v>
      </c>
      <c r="Q425" s="10" t="n">
        <v>0.313905176068084</v>
      </c>
      <c r="R425" s="9" t="n">
        <v>2.25</v>
      </c>
      <c r="S425" s="12" t="n">
        <f aca="false">IF(AND(ISNUMBER(R425),R425&gt;1,P425&gt;0),R425/P425-1,"")</f>
        <v>-0.293713353846811</v>
      </c>
      <c r="T425" s="9" t="n">
        <f aca="false">IF(AND(ISNUMBER(P425),P425&gt;0),P425*EXP('Read me'!$B$22),"")</f>
        <v>3.8909927305412</v>
      </c>
    </row>
    <row r="426" customFormat="false" ht="15" hidden="false" customHeight="false" outlineLevel="0" collapsed="false">
      <c r="A426" s="15" t="s">
        <v>297</v>
      </c>
      <c r="B426" s="15" t="s">
        <v>194</v>
      </c>
      <c r="C426" s="15" t="s">
        <v>298</v>
      </c>
      <c r="D426" s="15" t="s">
        <v>418</v>
      </c>
      <c r="E426" s="16" t="n">
        <v>9.5</v>
      </c>
      <c r="F426" s="15" t="s">
        <v>805</v>
      </c>
      <c r="G426" s="8" t="n">
        <v>11</v>
      </c>
      <c r="H426" s="15" t="s">
        <v>301</v>
      </c>
      <c r="I426" s="15" t="s">
        <v>890</v>
      </c>
      <c r="J426" s="15" t="s">
        <v>891</v>
      </c>
      <c r="K426" s="8" t="n">
        <v>3</v>
      </c>
      <c r="L426" s="8" t="n">
        <v>61</v>
      </c>
      <c r="M426" s="8" t="n">
        <v>3</v>
      </c>
      <c r="N426" s="8" t="n">
        <v>63</v>
      </c>
      <c r="O426" s="8" t="n">
        <v>2</v>
      </c>
      <c r="P426" s="9" t="n">
        <v>5.17923914596439</v>
      </c>
      <c r="Q426" s="10" t="n">
        <v>0.193078553010859</v>
      </c>
      <c r="R426" s="9" t="n">
        <v>6</v>
      </c>
      <c r="S426" s="12" t="n">
        <f aca="false">IF(AND(ISNUMBER(R426),R426&gt;1,P426&gt;0),R426/P426-1,"")</f>
        <v>0.158471318065151</v>
      </c>
      <c r="T426" s="9" t="n">
        <f aca="false">IF(AND(ISNUMBER(P426),P426&gt;0),P426*EXP('Read me'!$B$22),"")</f>
        <v>6.32593697805203</v>
      </c>
    </row>
    <row r="427" customFormat="false" ht="15" hidden="false" customHeight="false" outlineLevel="0" collapsed="false">
      <c r="A427" s="15" t="s">
        <v>297</v>
      </c>
      <c r="B427" s="15" t="s">
        <v>194</v>
      </c>
      <c r="C427" s="15" t="s">
        <v>298</v>
      </c>
      <c r="D427" s="15" t="s">
        <v>418</v>
      </c>
      <c r="E427" s="16" t="n">
        <v>9.5</v>
      </c>
      <c r="F427" s="15" t="s">
        <v>805</v>
      </c>
      <c r="G427" s="8" t="n">
        <v>11</v>
      </c>
      <c r="H427" s="15" t="s">
        <v>1084</v>
      </c>
      <c r="I427" s="15" t="s">
        <v>965</v>
      </c>
      <c r="J427" s="15" t="s">
        <v>1085</v>
      </c>
      <c r="K427" s="8" t="n">
        <v>5</v>
      </c>
      <c r="L427" s="8" t="n">
        <v>68</v>
      </c>
      <c r="M427" s="8" t="n">
        <v>3</v>
      </c>
      <c r="N427" s="8" t="n">
        <v>24</v>
      </c>
      <c r="O427" s="8" t="n">
        <v>3</v>
      </c>
      <c r="P427" s="9" t="n">
        <v>8.25153082199945</v>
      </c>
      <c r="Q427" s="10" t="n">
        <v>0.121189633968753</v>
      </c>
      <c r="R427" s="9" t="n">
        <v>3.75</v>
      </c>
      <c r="S427" s="12" t="n">
        <f aca="false">IF(AND(ISNUMBER(R427),R427&gt;1,P427&gt;0),R427/P427-1,"")</f>
        <v>-0.545538872617175</v>
      </c>
      <c r="T427" s="9" t="n">
        <f aca="false">IF(AND(ISNUMBER(P427),P427&gt;0),P427*EXP('Read me'!$B$22),"")</f>
        <v>10.0784425050338</v>
      </c>
    </row>
    <row r="428" customFormat="false" ht="15" hidden="false" customHeight="false" outlineLevel="0" collapsed="false">
      <c r="A428" s="15" t="s">
        <v>297</v>
      </c>
      <c r="B428" s="15" t="s">
        <v>194</v>
      </c>
      <c r="C428" s="15" t="s">
        <v>298</v>
      </c>
      <c r="D428" s="15" t="s">
        <v>418</v>
      </c>
      <c r="E428" s="16" t="n">
        <v>9.5</v>
      </c>
      <c r="F428" s="15" t="s">
        <v>805</v>
      </c>
      <c r="G428" s="8" t="n">
        <v>11</v>
      </c>
      <c r="H428" s="15" t="s">
        <v>1086</v>
      </c>
      <c r="I428" s="15" t="s">
        <v>294</v>
      </c>
      <c r="J428" s="15" t="s">
        <v>969</v>
      </c>
      <c r="K428" s="8" t="n">
        <v>7</v>
      </c>
      <c r="L428" s="8" t="n">
        <v>69</v>
      </c>
      <c r="M428" s="8" t="n">
        <v>3</v>
      </c>
      <c r="N428" s="8" t="n">
        <v>27</v>
      </c>
      <c r="O428" s="8" t="n">
        <v>4</v>
      </c>
      <c r="P428" s="9" t="n">
        <v>9.58766217282298</v>
      </c>
      <c r="Q428" s="10" t="n">
        <v>0.10430071293444</v>
      </c>
      <c r="R428" s="9" t="n">
        <v>13</v>
      </c>
      <c r="S428" s="12" t="n">
        <f aca="false">IF(AND(ISNUMBER(R428),R428&gt;1,P428&gt;0),R428/P428-1,"")</f>
        <v>0.355909268147721</v>
      </c>
      <c r="T428" s="9" t="n">
        <f aca="false">IF(AND(ISNUMBER(P428),P428&gt;0),P428*EXP('Read me'!$B$22),"")</f>
        <v>11.7103970221939</v>
      </c>
    </row>
    <row r="429" customFormat="false" ht="15" hidden="false" customHeight="false" outlineLevel="0" collapsed="false">
      <c r="A429" s="15" t="s">
        <v>297</v>
      </c>
      <c r="B429" s="15" t="s">
        <v>194</v>
      </c>
      <c r="C429" s="15" t="s">
        <v>298</v>
      </c>
      <c r="D429" s="15" t="s">
        <v>418</v>
      </c>
      <c r="E429" s="16" t="n">
        <v>9.5</v>
      </c>
      <c r="F429" s="15" t="s">
        <v>805</v>
      </c>
      <c r="G429" s="8" t="n">
        <v>11</v>
      </c>
      <c r="H429" s="15" t="s">
        <v>1087</v>
      </c>
      <c r="I429" s="15" t="s">
        <v>261</v>
      </c>
      <c r="J429" s="15" t="s">
        <v>458</v>
      </c>
      <c r="K429" s="8" t="n">
        <v>2</v>
      </c>
      <c r="L429" s="8" t="n">
        <v>64</v>
      </c>
      <c r="M429" s="8" t="n">
        <v>3</v>
      </c>
      <c r="N429" s="8" t="n">
        <v>17</v>
      </c>
      <c r="O429" s="8" t="n">
        <v>5</v>
      </c>
      <c r="P429" s="9" t="n">
        <v>14.7063927535275</v>
      </c>
      <c r="Q429" s="10" t="n">
        <v>0.0679976399895984</v>
      </c>
      <c r="R429" s="9" t="n">
        <v>23</v>
      </c>
      <c r="S429" s="12" t="n">
        <f aca="false">IF(AND(ISNUMBER(R429),R429&gt;1,P429&gt;0),R429/P429-1,"")</f>
        <v>0.563945719760765</v>
      </c>
      <c r="T429" s="9" t="n">
        <f aca="false">IF(AND(ISNUMBER(P429),P429&gt;0),P429*EXP('Read me'!$B$22),"")</f>
        <v>17.9624286717452</v>
      </c>
    </row>
    <row r="430" customFormat="false" ht="15" hidden="false" customHeight="false" outlineLevel="0" collapsed="false">
      <c r="A430" s="15" t="s">
        <v>297</v>
      </c>
      <c r="B430" s="15" t="s">
        <v>194</v>
      </c>
      <c r="C430" s="15" t="s">
        <v>298</v>
      </c>
      <c r="D430" s="15" t="s">
        <v>418</v>
      </c>
      <c r="E430" s="16" t="n">
        <v>9.5</v>
      </c>
      <c r="F430" s="15" t="s">
        <v>805</v>
      </c>
      <c r="G430" s="8" t="n">
        <v>11</v>
      </c>
      <c r="H430" s="15" t="s">
        <v>1088</v>
      </c>
      <c r="I430" s="15" t="s">
        <v>1029</v>
      </c>
      <c r="J430" s="15" t="s">
        <v>1089</v>
      </c>
      <c r="K430" s="8" t="n">
        <v>4</v>
      </c>
      <c r="L430" s="8" t="n">
        <v>69</v>
      </c>
      <c r="M430" s="8" t="n">
        <v>3</v>
      </c>
      <c r="N430" s="8" t="n">
        <v>17</v>
      </c>
      <c r="O430" s="8" t="n">
        <v>6</v>
      </c>
      <c r="P430" s="9" t="n">
        <v>14.7541572842031</v>
      </c>
      <c r="Q430" s="10" t="n">
        <v>0.0677775070942664</v>
      </c>
      <c r="R430" s="9" t="n">
        <v>23</v>
      </c>
      <c r="S430" s="12" t="n">
        <f aca="false">IF(AND(ISNUMBER(R430),R430&gt;1,P430&gt;0),R430/P430-1,"")</f>
        <v>0.558882663168128</v>
      </c>
      <c r="T430" s="9" t="n">
        <f aca="false">IF(AND(ISNUMBER(P430),P430&gt;0),P430*EXP('Read me'!$B$22),"")</f>
        <v>18.0207684012547</v>
      </c>
    </row>
    <row r="431" customFormat="false" ht="15" hidden="false" customHeight="false" outlineLevel="0" collapsed="false">
      <c r="A431" s="15" t="s">
        <v>297</v>
      </c>
      <c r="B431" s="15" t="s">
        <v>194</v>
      </c>
      <c r="C431" s="15" t="s">
        <v>298</v>
      </c>
      <c r="D431" s="15" t="s">
        <v>418</v>
      </c>
      <c r="E431" s="16" t="n">
        <v>9.5</v>
      </c>
      <c r="F431" s="15" t="s">
        <v>805</v>
      </c>
      <c r="G431" s="8" t="n">
        <v>11</v>
      </c>
      <c r="H431" s="15" t="s">
        <v>1090</v>
      </c>
      <c r="I431" s="15" t="s">
        <v>967</v>
      </c>
      <c r="J431" s="15" t="s">
        <v>1091</v>
      </c>
      <c r="K431" s="8" t="n">
        <v>9</v>
      </c>
      <c r="L431" s="8" t="n">
        <v>64</v>
      </c>
      <c r="M431" s="8" t="n">
        <v>3</v>
      </c>
      <c r="N431" s="8" t="n">
        <v>27</v>
      </c>
      <c r="O431" s="8" t="n">
        <v>7</v>
      </c>
      <c r="P431" s="9" t="n">
        <v>17.2767584975407</v>
      </c>
      <c r="Q431" s="10" t="n">
        <v>0.0578812281332951</v>
      </c>
      <c r="R431" s="9" t="n">
        <v>13</v>
      </c>
      <c r="S431" s="12" t="n">
        <f aca="false">IF(AND(ISNUMBER(R431),R431&gt;1,P431&gt;0),R431/P431-1,"")</f>
        <v>-0.247544034267163</v>
      </c>
      <c r="T431" s="9" t="n">
        <f aca="false">IF(AND(ISNUMBER(P431),P431&gt;0),P431*EXP('Read me'!$B$22),"")</f>
        <v>21.1018804809634</v>
      </c>
    </row>
    <row r="432" customFormat="false" ht="15" hidden="false" customHeight="false" outlineLevel="0" collapsed="false">
      <c r="A432" s="15" t="s">
        <v>297</v>
      </c>
      <c r="B432" s="15" t="s">
        <v>194</v>
      </c>
      <c r="C432" s="15" t="s">
        <v>298</v>
      </c>
      <c r="D432" s="15" t="s">
        <v>418</v>
      </c>
      <c r="E432" s="16" t="n">
        <v>9.5</v>
      </c>
      <c r="F432" s="15" t="s">
        <v>805</v>
      </c>
      <c r="G432" s="8" t="n">
        <v>11</v>
      </c>
      <c r="H432" s="15" t="s">
        <v>1092</v>
      </c>
      <c r="I432" s="15" t="s">
        <v>1093</v>
      </c>
      <c r="J432" s="15" t="s">
        <v>679</v>
      </c>
      <c r="K432" s="8" t="n">
        <v>6</v>
      </c>
      <c r="L432" s="8" t="n">
        <v>67</v>
      </c>
      <c r="M432" s="8" t="n">
        <v>3</v>
      </c>
      <c r="N432" s="8" t="n">
        <v>30</v>
      </c>
      <c r="O432" s="8" t="n">
        <v>8</v>
      </c>
      <c r="P432" s="9" t="n">
        <v>29.2673837261009</v>
      </c>
      <c r="Q432" s="10" t="n">
        <v>0.0341677277804708</v>
      </c>
      <c r="R432" s="9" t="n">
        <v>26</v>
      </c>
      <c r="S432" s="12" t="n">
        <f aca="false">IF(AND(ISNUMBER(R432),R432&gt;1,P432&gt;0),R432/P432-1,"")</f>
        <v>-0.111639077707757</v>
      </c>
      <c r="T432" s="9" t="n">
        <f aca="false">IF(AND(ISNUMBER(P432),P432&gt;0),P432*EXP('Read me'!$B$22),"")</f>
        <v>35.7472632071917</v>
      </c>
    </row>
    <row r="433" customFormat="false" ht="15" hidden="false" customHeight="false" outlineLevel="0" collapsed="false">
      <c r="A433" s="15" t="s">
        <v>297</v>
      </c>
      <c r="B433" s="15" t="s">
        <v>194</v>
      </c>
      <c r="C433" s="15" t="s">
        <v>298</v>
      </c>
      <c r="D433" s="15" t="s">
        <v>418</v>
      </c>
      <c r="E433" s="16" t="n">
        <v>9.5</v>
      </c>
      <c r="F433" s="15" t="s">
        <v>805</v>
      </c>
      <c r="G433" s="8" t="n">
        <v>11</v>
      </c>
      <c r="H433" s="15" t="s">
        <v>1094</v>
      </c>
      <c r="I433" s="15" t="s">
        <v>1031</v>
      </c>
      <c r="J433" s="15" t="s">
        <v>1095</v>
      </c>
      <c r="K433" s="8" t="n">
        <v>11</v>
      </c>
      <c r="L433" s="8" t="n">
        <v>69</v>
      </c>
      <c r="M433" s="8" t="n">
        <v>3</v>
      </c>
      <c r="N433" s="8" t="n">
        <v>73</v>
      </c>
      <c r="O433" s="8" t="n">
        <v>9</v>
      </c>
      <c r="P433" s="9" t="n">
        <v>46.7569759358675</v>
      </c>
      <c r="Q433" s="10" t="n">
        <v>0.0213871829814574</v>
      </c>
      <c r="R433" s="9" t="n">
        <v>34</v>
      </c>
      <c r="S433" s="12" t="n">
        <f aca="false">IF(AND(ISNUMBER(R433),R433&gt;1,P433&gt;0),R433/P433-1,"")</f>
        <v>-0.272835778630447</v>
      </c>
      <c r="T433" s="9" t="n">
        <f aca="false">IF(AND(ISNUMBER(P433),P433&gt;0),P433*EXP('Read me'!$B$22),"")</f>
        <v>57.1090993712972</v>
      </c>
    </row>
    <row r="434" customFormat="false" ht="15" hidden="false" customHeight="false" outlineLevel="0" collapsed="false">
      <c r="A434" s="15" t="s">
        <v>297</v>
      </c>
      <c r="B434" s="15" t="s">
        <v>194</v>
      </c>
      <c r="C434" s="15" t="s">
        <v>298</v>
      </c>
      <c r="D434" s="15" t="s">
        <v>418</v>
      </c>
      <c r="E434" s="16" t="n">
        <v>9.5</v>
      </c>
      <c r="F434" s="15" t="s">
        <v>805</v>
      </c>
      <c r="G434" s="8" t="n">
        <v>11</v>
      </c>
      <c r="H434" s="15" t="s">
        <v>1096</v>
      </c>
      <c r="I434" s="15" t="s">
        <v>898</v>
      </c>
      <c r="J434" s="15" t="s">
        <v>902</v>
      </c>
      <c r="K434" s="8" t="n">
        <v>1</v>
      </c>
      <c r="L434" s="8" t="n">
        <v>60</v>
      </c>
      <c r="M434" s="8" t="n">
        <v>3</v>
      </c>
      <c r="N434" s="8" t="n">
        <v>21</v>
      </c>
      <c r="O434" s="8" t="n">
        <v>10</v>
      </c>
      <c r="P434" s="9" t="n">
        <v>69.2941895496817</v>
      </c>
      <c r="Q434" s="10" t="n">
        <v>0.0144312244143216</v>
      </c>
      <c r="R434" s="9" t="n">
        <v>34</v>
      </c>
      <c r="S434" s="12" t="n">
        <f aca="false">IF(AND(ISNUMBER(R434),R434&gt;1,P434&gt;0),R434/P434-1,"")</f>
        <v>-0.509338369913063</v>
      </c>
      <c r="T434" s="9" t="n">
        <f aca="false">IF(AND(ISNUMBER(P434),P434&gt;0),P434*EXP('Read me'!$B$22),"")</f>
        <v>84.6361142404548</v>
      </c>
    </row>
    <row r="435" customFormat="false" ht="15" hidden="false" customHeight="false" outlineLevel="0" collapsed="false">
      <c r="A435" s="15" t="s">
        <v>297</v>
      </c>
      <c r="B435" s="15" t="s">
        <v>194</v>
      </c>
      <c r="C435" s="15" t="s">
        <v>298</v>
      </c>
      <c r="D435" s="15" t="s">
        <v>418</v>
      </c>
      <c r="E435" s="16" t="n">
        <v>9.5</v>
      </c>
      <c r="F435" s="15" t="s">
        <v>805</v>
      </c>
      <c r="G435" s="8" t="n">
        <v>11</v>
      </c>
      <c r="H435" s="15" t="s">
        <v>1097</v>
      </c>
      <c r="I435" s="15" t="s">
        <v>1016</v>
      </c>
      <c r="J435" s="15" t="s">
        <v>632</v>
      </c>
      <c r="K435" s="8" t="n">
        <v>8</v>
      </c>
      <c r="L435" s="8" t="n">
        <v>57</v>
      </c>
      <c r="M435" s="8" t="n">
        <v>3</v>
      </c>
      <c r="N435" s="8" t="n">
        <v>33</v>
      </c>
      <c r="O435" s="8" t="n">
        <v>11</v>
      </c>
      <c r="P435" s="9" t="n">
        <v>257.505405477028</v>
      </c>
      <c r="Q435" s="10" t="n">
        <v>0.0038834136244538</v>
      </c>
      <c r="R435" s="9" t="n">
        <v>67</v>
      </c>
      <c r="S435" s="12" t="n">
        <f aca="false">IF(AND(ISNUMBER(R435),R435&gt;1,P435&gt;0),R435/P435-1,"")</f>
        <v>-0.739811287161593</v>
      </c>
      <c r="T435" s="9" t="n">
        <f aca="false">IF(AND(ISNUMBER(P435),P435&gt;0),P435*EXP('Read me'!$B$22),"")</f>
        <v>314.517812490795</v>
      </c>
    </row>
  </sheetData>
  <autoFilter ref="A1:T435"/>
  <conditionalFormatting sqref="A2:T43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41</v>
      </c>
      <c r="B2" s="15" t="s">
        <v>42</v>
      </c>
      <c r="C2" s="15" t="s">
        <v>43</v>
      </c>
      <c r="D2" s="15"/>
      <c r="E2" s="16" t="n">
        <v>5</v>
      </c>
      <c r="F2" s="15" t="s">
        <v>357</v>
      </c>
      <c r="G2" s="8" t="n">
        <v>6</v>
      </c>
      <c r="H2" s="15" t="s">
        <v>44</v>
      </c>
      <c r="I2" s="15" t="s">
        <v>45</v>
      </c>
      <c r="J2" s="15" t="s">
        <v>46</v>
      </c>
      <c r="K2" s="8" t="n">
        <v>4</v>
      </c>
      <c r="L2" s="8" t="n">
        <v>59</v>
      </c>
      <c r="M2" s="8" t="n">
        <v>2</v>
      </c>
      <c r="N2" s="8" t="n">
        <v>11</v>
      </c>
      <c r="O2" s="8" t="n">
        <v>1</v>
      </c>
      <c r="P2" s="9" t="n">
        <v>2.21476755873419</v>
      </c>
      <c r="Q2" s="10" t="n">
        <v>0.451514650400394</v>
      </c>
      <c r="R2" s="9" t="n">
        <v>1.8</v>
      </c>
      <c r="S2" s="12" t="n">
        <f aca="false">IF(AND(ISNUMBER(R2),R2&gt;1,P2&gt;0),R2/P2-1,"")</f>
        <v>-0.18727362927929</v>
      </c>
      <c r="T2" s="9" t="n">
        <f aca="false">IF(AND(ISNUMBER(P2),P2&gt;0),P2*EXP('Read me'!$B$22),"")</f>
        <v>2.7051232049216</v>
      </c>
    </row>
    <row r="3" customFormat="false" ht="15" hidden="false" customHeight="false" outlineLevel="0" collapsed="false">
      <c r="A3" s="15" t="s">
        <v>41</v>
      </c>
      <c r="B3" s="15" t="s">
        <v>42</v>
      </c>
      <c r="C3" s="15" t="s">
        <v>43</v>
      </c>
      <c r="D3" s="15"/>
      <c r="E3" s="16" t="n">
        <v>5</v>
      </c>
      <c r="F3" s="15" t="s">
        <v>357</v>
      </c>
      <c r="G3" s="8" t="n">
        <v>6</v>
      </c>
      <c r="H3" s="15" t="s">
        <v>47</v>
      </c>
      <c r="I3" s="15" t="s">
        <v>358</v>
      </c>
      <c r="J3" s="15" t="s">
        <v>176</v>
      </c>
      <c r="K3" s="8" t="n">
        <v>2</v>
      </c>
      <c r="L3" s="8" t="n">
        <v>74</v>
      </c>
      <c r="M3" s="8" t="n">
        <v>2</v>
      </c>
      <c r="N3" s="8" t="n">
        <v>24</v>
      </c>
      <c r="O3" s="8" t="n">
        <v>2</v>
      </c>
      <c r="P3" s="9" t="n">
        <v>4.35968751963818</v>
      </c>
      <c r="Q3" s="10" t="n">
        <v>0.229374237372635</v>
      </c>
      <c r="R3" s="9" t="n">
        <v>4.33333333333333</v>
      </c>
      <c r="S3" s="12" t="n">
        <f aca="false">IF(AND(ISNUMBER(R3),R3&gt;1,P3&gt;0),R3/P3-1,"")</f>
        <v>-0.00604497138525018</v>
      </c>
      <c r="T3" s="9" t="n">
        <f aca="false">IF(AND(ISNUMBER(P3),P3&gt;0),P3*EXP('Read me'!$B$22),"")</f>
        <v>5.32493436120254</v>
      </c>
    </row>
    <row r="4" customFormat="false" ht="15" hidden="false" customHeight="false" outlineLevel="0" collapsed="false">
      <c r="A4" s="15" t="s">
        <v>41</v>
      </c>
      <c r="B4" s="15" t="s">
        <v>42</v>
      </c>
      <c r="C4" s="15" t="s">
        <v>43</v>
      </c>
      <c r="D4" s="15"/>
      <c r="E4" s="16" t="n">
        <v>5</v>
      </c>
      <c r="F4" s="15" t="s">
        <v>357</v>
      </c>
      <c r="G4" s="8" t="n">
        <v>6</v>
      </c>
      <c r="H4" s="15" t="s">
        <v>359</v>
      </c>
      <c r="I4" s="15" t="s">
        <v>226</v>
      </c>
      <c r="J4" s="15" t="s">
        <v>360</v>
      </c>
      <c r="K4" s="8" t="n">
        <v>1</v>
      </c>
      <c r="L4" s="8" t="n">
        <v>61</v>
      </c>
      <c r="M4" s="8" t="n">
        <v>2</v>
      </c>
      <c r="N4" s="8" t="n">
        <v>11</v>
      </c>
      <c r="O4" s="8" t="n">
        <v>3</v>
      </c>
      <c r="P4" s="9" t="n">
        <v>5.93406237530364</v>
      </c>
      <c r="Q4" s="10" t="n">
        <v>0.168518619582058</v>
      </c>
      <c r="R4" s="9" t="n">
        <v>6</v>
      </c>
      <c r="S4" s="12" t="n">
        <f aca="false">IF(AND(ISNUMBER(R4),R4&gt;1,P4&gt;0),R4/P4-1,"")</f>
        <v>0.0111117174923503</v>
      </c>
      <c r="T4" s="9" t="n">
        <f aca="false">IF(AND(ISNUMBER(P4),P4&gt;0),P4*EXP('Read me'!$B$22),"")</f>
        <v>7.24788015229036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/>
      <c r="E5" s="16" t="n">
        <v>5</v>
      </c>
      <c r="F5" s="15" t="s">
        <v>357</v>
      </c>
      <c r="G5" s="8" t="n">
        <v>6</v>
      </c>
      <c r="H5" s="15" t="s">
        <v>361</v>
      </c>
      <c r="I5" s="15" t="s">
        <v>362</v>
      </c>
      <c r="J5" s="15" t="s">
        <v>363</v>
      </c>
      <c r="K5" s="8" t="n">
        <v>6</v>
      </c>
      <c r="L5" s="8" t="n">
        <v>47</v>
      </c>
      <c r="M5" s="8" t="n">
        <v>2</v>
      </c>
      <c r="N5" s="8" t="n">
        <v>11</v>
      </c>
      <c r="O5" s="8" t="n">
        <v>4</v>
      </c>
      <c r="P5" s="9" t="n">
        <v>15.3025086937451</v>
      </c>
      <c r="Q5" s="10" t="n">
        <v>0.0653487620894965</v>
      </c>
      <c r="R5" s="9" t="n">
        <v>13</v>
      </c>
      <c r="S5" s="12" t="n">
        <f aca="false">IF(AND(ISNUMBER(R5),R5&gt;1,P5&gt;0),R5/P5-1,"")</f>
        <v>-0.150466092836545</v>
      </c>
      <c r="T5" s="9" t="n">
        <f aca="false">IF(AND(ISNUMBER(P5),P5&gt;0),P5*EXP('Read me'!$B$22),"")</f>
        <v>18.6905263253102</v>
      </c>
    </row>
    <row r="6" customFormat="false" ht="15" hidden="false" customHeight="false" outlineLevel="0" collapsed="false">
      <c r="A6" s="15" t="s">
        <v>41</v>
      </c>
      <c r="B6" s="15" t="s">
        <v>42</v>
      </c>
      <c r="C6" s="15" t="s">
        <v>43</v>
      </c>
      <c r="D6" s="15"/>
      <c r="E6" s="16" t="n">
        <v>5</v>
      </c>
      <c r="F6" s="15" t="s">
        <v>357</v>
      </c>
      <c r="G6" s="8" t="n">
        <v>6</v>
      </c>
      <c r="H6" s="15" t="s">
        <v>364</v>
      </c>
      <c r="I6" s="15" t="s">
        <v>365</v>
      </c>
      <c r="J6" s="15" t="s">
        <v>366</v>
      </c>
      <c r="K6" s="8" t="n">
        <v>7</v>
      </c>
      <c r="L6" s="8" t="n">
        <v>67</v>
      </c>
      <c r="M6" s="8" t="n">
        <v>2</v>
      </c>
      <c r="N6" s="8" t="n">
        <v>36</v>
      </c>
      <c r="O6" s="8" t="n">
        <v>5</v>
      </c>
      <c r="P6" s="9" t="n">
        <v>19.3433441442301</v>
      </c>
      <c r="Q6" s="10" t="n">
        <v>0.0516973690042261</v>
      </c>
      <c r="R6" s="9" t="n">
        <v>19</v>
      </c>
      <c r="S6" s="12" t="n">
        <f aca="false">IF(AND(ISNUMBER(R6),R6&gt;1,P6&gt;0),R6/P6-1,"")</f>
        <v>-0.0177499889197041</v>
      </c>
      <c r="T6" s="9" t="n">
        <f aca="false">IF(AND(ISNUMBER(P6),P6&gt;0),P6*EXP('Read me'!$B$22),"")</f>
        <v>23.626013889804</v>
      </c>
    </row>
    <row r="7" customFormat="false" ht="15" hidden="false" customHeight="false" outlineLevel="0" collapsed="false">
      <c r="A7" s="15" t="s">
        <v>41</v>
      </c>
      <c r="B7" s="15" t="s">
        <v>42</v>
      </c>
      <c r="C7" s="15" t="s">
        <v>43</v>
      </c>
      <c r="D7" s="15"/>
      <c r="E7" s="16" t="n">
        <v>5</v>
      </c>
      <c r="F7" s="15" t="s">
        <v>357</v>
      </c>
      <c r="G7" s="8" t="n">
        <v>6</v>
      </c>
      <c r="H7" s="15" t="s">
        <v>367</v>
      </c>
      <c r="I7" s="15" t="s">
        <v>368</v>
      </c>
      <c r="J7" s="15" t="s">
        <v>369</v>
      </c>
      <c r="K7" s="8" t="n">
        <v>5</v>
      </c>
      <c r="L7" s="8" t="n">
        <v>58</v>
      </c>
      <c r="M7" s="8" t="n">
        <v>2</v>
      </c>
      <c r="N7" s="8" t="n">
        <v>11</v>
      </c>
      <c r="O7" s="8" t="n">
        <v>6</v>
      </c>
      <c r="P7" s="9" t="n">
        <v>29.8094921106137</v>
      </c>
      <c r="Q7" s="10" t="n">
        <v>0.0335463615511902</v>
      </c>
      <c r="R7" s="9" t="n">
        <v>23</v>
      </c>
      <c r="S7" s="12" t="n">
        <f aca="false">IF(AND(ISNUMBER(R7),R7&gt;1,P7&gt;0),R7/P7-1,"")</f>
        <v>-0.228433684322623</v>
      </c>
      <c r="T7" s="9" t="n">
        <f aca="false">IF(AND(ISNUMBER(P7),P7&gt;0),P7*EXP('Read me'!$B$22),"")</f>
        <v>36.4093958832573</v>
      </c>
    </row>
    <row r="8" customFormat="false" ht="15" hidden="false" customHeight="false" outlineLevel="0" collapsed="false">
      <c r="A8" s="15" t="s">
        <v>76</v>
      </c>
      <c r="B8" s="15" t="s">
        <v>42</v>
      </c>
      <c r="C8" s="15" t="s">
        <v>77</v>
      </c>
      <c r="D8" s="15"/>
      <c r="E8" s="16" t="n">
        <v>13</v>
      </c>
      <c r="F8" s="15" t="s">
        <v>357</v>
      </c>
      <c r="G8" s="8" t="n">
        <v>10</v>
      </c>
      <c r="H8" s="15" t="s">
        <v>78</v>
      </c>
      <c r="I8" s="15" t="s">
        <v>79</v>
      </c>
      <c r="J8" s="15" t="s">
        <v>80</v>
      </c>
      <c r="K8" s="8" t="n">
        <v>5</v>
      </c>
      <c r="L8" s="8" t="n">
        <v>82</v>
      </c>
      <c r="M8" s="8" t="n">
        <v>3</v>
      </c>
      <c r="N8" s="8" t="n">
        <v>37</v>
      </c>
      <c r="O8" s="8" t="n">
        <v>1</v>
      </c>
      <c r="P8" s="9" t="n">
        <v>4.91146720532088</v>
      </c>
      <c r="Q8" s="10" t="n">
        <v>0.203605146526611</v>
      </c>
      <c r="R8" s="9" t="n">
        <v>4.5</v>
      </c>
      <c r="S8" s="12" t="n">
        <f aca="false">IF(AND(ISNUMBER(R8),R8&gt;1,P8&gt;0),R8/P8-1,"")</f>
        <v>-0.0837768406302526</v>
      </c>
      <c r="T8" s="9" t="n">
        <f aca="false">IF(AND(ISNUMBER(P8),P8&gt;0),P8*EXP('Read me'!$B$22),"")</f>
        <v>5.99887959119214</v>
      </c>
    </row>
    <row r="9" customFormat="false" ht="15" hidden="false" customHeight="false" outlineLevel="0" collapsed="false">
      <c r="A9" s="15" t="s">
        <v>76</v>
      </c>
      <c r="B9" s="15" t="s">
        <v>42</v>
      </c>
      <c r="C9" s="15" t="s">
        <v>77</v>
      </c>
      <c r="D9" s="15"/>
      <c r="E9" s="16" t="n">
        <v>13</v>
      </c>
      <c r="F9" s="15" t="s">
        <v>357</v>
      </c>
      <c r="G9" s="8" t="n">
        <v>10</v>
      </c>
      <c r="H9" s="15" t="s">
        <v>81</v>
      </c>
      <c r="I9" s="15" t="s">
        <v>438</v>
      </c>
      <c r="J9" s="15" t="s">
        <v>439</v>
      </c>
      <c r="K9" s="8" t="n">
        <v>7</v>
      </c>
      <c r="L9" s="8" t="n">
        <v>79</v>
      </c>
      <c r="M9" s="8" t="n">
        <v>3</v>
      </c>
      <c r="N9" s="8" t="n">
        <v>28</v>
      </c>
      <c r="O9" s="8" t="n">
        <v>2</v>
      </c>
      <c r="P9" s="9" t="n">
        <v>5.34048084184067</v>
      </c>
      <c r="Q9" s="10" t="n">
        <v>0.187249056707661</v>
      </c>
      <c r="R9" s="9" t="n">
        <v>4.33333333333333</v>
      </c>
      <c r="S9" s="12" t="n">
        <f aca="false">IF(AND(ISNUMBER(R9),R9&gt;1,P9&gt;0),R9/P9-1,"")</f>
        <v>-0.18858742093347</v>
      </c>
      <c r="T9" s="9" t="n">
        <f aca="false">IF(AND(ISNUMBER(P9),P9&gt;0),P9*EXP('Read me'!$B$22),"")</f>
        <v>6.52287803012574</v>
      </c>
    </row>
    <row r="10" customFormat="false" ht="15" hidden="false" customHeight="false" outlineLevel="0" collapsed="false">
      <c r="A10" s="15" t="s">
        <v>76</v>
      </c>
      <c r="B10" s="15" t="s">
        <v>42</v>
      </c>
      <c r="C10" s="15" t="s">
        <v>77</v>
      </c>
      <c r="D10" s="15"/>
      <c r="E10" s="16" t="n">
        <v>13</v>
      </c>
      <c r="F10" s="15" t="s">
        <v>357</v>
      </c>
      <c r="G10" s="8" t="n">
        <v>10</v>
      </c>
      <c r="H10" s="15" t="s">
        <v>440</v>
      </c>
      <c r="I10" s="15" t="s">
        <v>441</v>
      </c>
      <c r="J10" s="15" t="s">
        <v>442</v>
      </c>
      <c r="K10" s="8" t="n">
        <v>9</v>
      </c>
      <c r="L10" s="8" t="n">
        <v>72</v>
      </c>
      <c r="M10" s="8" t="n">
        <v>4</v>
      </c>
      <c r="N10" s="8" t="n">
        <v>12</v>
      </c>
      <c r="O10" s="8" t="n">
        <v>3</v>
      </c>
      <c r="P10" s="9" t="n">
        <v>6.21100779845963</v>
      </c>
      <c r="Q10" s="10" t="n">
        <v>0.161004466980062</v>
      </c>
      <c r="R10" s="9" t="n">
        <v>5.5</v>
      </c>
      <c r="S10" s="12" t="n">
        <f aca="false">IF(AND(ISNUMBER(R10),R10&gt;1,P10&gt;0),R10/P10-1,"")</f>
        <v>-0.11447543160966</v>
      </c>
      <c r="T10" s="9" t="n">
        <f aca="false">IF(AND(ISNUMBER(P10),P10&gt;0),P10*EXP('Read me'!$B$22),"")</f>
        <v>7.58614205599292</v>
      </c>
    </row>
    <row r="11" customFormat="false" ht="15" hidden="false" customHeight="false" outlineLevel="0" collapsed="false">
      <c r="A11" s="15" t="s">
        <v>76</v>
      </c>
      <c r="B11" s="15" t="s">
        <v>42</v>
      </c>
      <c r="C11" s="15" t="s">
        <v>77</v>
      </c>
      <c r="D11" s="15"/>
      <c r="E11" s="16" t="n">
        <v>13</v>
      </c>
      <c r="F11" s="15" t="s">
        <v>357</v>
      </c>
      <c r="G11" s="8" t="n">
        <v>10</v>
      </c>
      <c r="H11" s="15" t="s">
        <v>443</v>
      </c>
      <c r="I11" s="15" t="s">
        <v>45</v>
      </c>
      <c r="J11" s="15" t="s">
        <v>444</v>
      </c>
      <c r="K11" s="8" t="n">
        <v>2</v>
      </c>
      <c r="L11" s="8" t="n">
        <v>84</v>
      </c>
      <c r="M11" s="8" t="n">
        <v>5</v>
      </c>
      <c r="N11" s="8" t="n">
        <v>20</v>
      </c>
      <c r="O11" s="8" t="n">
        <v>4</v>
      </c>
      <c r="P11" s="9" t="n">
        <v>6.73534502933132</v>
      </c>
      <c r="Q11" s="10" t="n">
        <v>0.148470493440969</v>
      </c>
      <c r="R11" s="9" t="n">
        <v>5.5</v>
      </c>
      <c r="S11" s="12" t="n">
        <f aca="false">IF(AND(ISNUMBER(R11),R11&gt;1,P11&gt;0),R11/P11-1,"")</f>
        <v>-0.18341228607467</v>
      </c>
      <c r="T11" s="9" t="n">
        <f aca="false">IF(AND(ISNUMBER(P11),P11&gt;0),P11*EXP('Read me'!$B$22),"")</f>
        <v>8.22656899598567</v>
      </c>
    </row>
    <row r="12" customFormat="false" ht="15" hidden="false" customHeight="false" outlineLevel="0" collapsed="false">
      <c r="A12" s="15" t="s">
        <v>76</v>
      </c>
      <c r="B12" s="15" t="s">
        <v>42</v>
      </c>
      <c r="C12" s="15" t="s">
        <v>77</v>
      </c>
      <c r="D12" s="15"/>
      <c r="E12" s="16" t="n">
        <v>13</v>
      </c>
      <c r="F12" s="15" t="s">
        <v>357</v>
      </c>
      <c r="G12" s="8" t="n">
        <v>10</v>
      </c>
      <c r="H12" s="15" t="s">
        <v>445</v>
      </c>
      <c r="I12" s="15" t="s">
        <v>226</v>
      </c>
      <c r="J12" s="15" t="s">
        <v>446</v>
      </c>
      <c r="K12" s="8" t="n">
        <v>1</v>
      </c>
      <c r="L12" s="8" t="n">
        <v>84</v>
      </c>
      <c r="M12" s="8" t="n">
        <v>3</v>
      </c>
      <c r="N12" s="8" t="n">
        <v>37</v>
      </c>
      <c r="O12" s="8" t="n">
        <v>5</v>
      </c>
      <c r="P12" s="9" t="n">
        <v>13.0415161405213</v>
      </c>
      <c r="Q12" s="10" t="n">
        <v>0.0766782013091941</v>
      </c>
      <c r="R12" s="9" t="n">
        <v>10</v>
      </c>
      <c r="S12" s="12" t="n">
        <f aca="false">IF(AND(ISNUMBER(R12),R12&gt;1,P12&gt;0),R12/P12-1,"")</f>
        <v>-0.233217986908059</v>
      </c>
      <c r="T12" s="9" t="n">
        <f aca="false">IF(AND(ISNUMBER(P12),P12&gt;0),P12*EXP('Read me'!$B$22),"")</f>
        <v>15.9289437846231</v>
      </c>
    </row>
    <row r="13" customFormat="false" ht="15" hidden="false" customHeight="false" outlineLevel="0" collapsed="false">
      <c r="A13" s="15" t="s">
        <v>76</v>
      </c>
      <c r="B13" s="15" t="s">
        <v>42</v>
      </c>
      <c r="C13" s="15" t="s">
        <v>77</v>
      </c>
      <c r="D13" s="15"/>
      <c r="E13" s="16" t="n">
        <v>13</v>
      </c>
      <c r="F13" s="15" t="s">
        <v>357</v>
      </c>
      <c r="G13" s="8" t="n">
        <v>10</v>
      </c>
      <c r="H13" s="15" t="s">
        <v>447</v>
      </c>
      <c r="I13" s="15" t="s">
        <v>448</v>
      </c>
      <c r="J13" s="15" t="s">
        <v>396</v>
      </c>
      <c r="K13" s="8" t="n">
        <v>8</v>
      </c>
      <c r="L13" s="8" t="n">
        <v>78</v>
      </c>
      <c r="M13" s="8" t="n">
        <v>4</v>
      </c>
      <c r="N13" s="8" t="n">
        <v>108</v>
      </c>
      <c r="O13" s="8" t="n">
        <v>6</v>
      </c>
      <c r="P13" s="9" t="n">
        <v>13.8053919665288</v>
      </c>
      <c r="Q13" s="10" t="n">
        <v>0.0724354659704339</v>
      </c>
      <c r="R13" s="9" t="n">
        <v>12</v>
      </c>
      <c r="S13" s="12" t="n">
        <f aca="false">IF(AND(ISNUMBER(R13),R13&gt;1,P13&gt;0),R13/P13-1,"")</f>
        <v>-0.130774408354792</v>
      </c>
      <c r="T13" s="9" t="n">
        <f aca="false">IF(AND(ISNUMBER(P13),P13&gt;0),P13*EXP('Read me'!$B$22),"")</f>
        <v>16.8619438254005</v>
      </c>
    </row>
    <row r="14" customFormat="false" ht="15" hidden="false" customHeight="false" outlineLevel="0" collapsed="false">
      <c r="A14" s="15" t="s">
        <v>76</v>
      </c>
      <c r="B14" s="15" t="s">
        <v>42</v>
      </c>
      <c r="C14" s="15" t="s">
        <v>77</v>
      </c>
      <c r="D14" s="15"/>
      <c r="E14" s="16" t="n">
        <v>13</v>
      </c>
      <c r="F14" s="15" t="s">
        <v>357</v>
      </c>
      <c r="G14" s="8" t="n">
        <v>10</v>
      </c>
      <c r="H14" s="15" t="s">
        <v>449</v>
      </c>
      <c r="I14" s="15" t="s">
        <v>450</v>
      </c>
      <c r="J14" s="15" t="s">
        <v>80</v>
      </c>
      <c r="K14" s="8" t="n">
        <v>3</v>
      </c>
      <c r="L14" s="8" t="n">
        <v>84</v>
      </c>
      <c r="M14" s="8" t="n">
        <v>4</v>
      </c>
      <c r="N14" s="8" t="n">
        <v>37</v>
      </c>
      <c r="O14" s="8" t="n">
        <v>7</v>
      </c>
      <c r="P14" s="9" t="n">
        <v>14.9198514638945</v>
      </c>
      <c r="Q14" s="10" t="n">
        <v>0.0670247959518875</v>
      </c>
      <c r="R14" s="9" t="n">
        <v>13</v>
      </c>
      <c r="S14" s="12" t="n">
        <f aca="false">IF(AND(ISNUMBER(R14),R14&gt;1,P14&gt;0),R14/P14-1,"")</f>
        <v>-0.128677652625462</v>
      </c>
      <c r="T14" s="9" t="n">
        <f aca="false">IF(AND(ISNUMBER(P14),P14&gt;0),P14*EXP('Read me'!$B$22),"")</f>
        <v>18.2231477293408</v>
      </c>
    </row>
    <row r="15" customFormat="false" ht="15" hidden="false" customHeight="false" outlineLevel="0" collapsed="false">
      <c r="A15" s="15" t="s">
        <v>76</v>
      </c>
      <c r="B15" s="15" t="s">
        <v>42</v>
      </c>
      <c r="C15" s="15" t="s">
        <v>77</v>
      </c>
      <c r="D15" s="15"/>
      <c r="E15" s="16" t="n">
        <v>13</v>
      </c>
      <c r="F15" s="15" t="s">
        <v>357</v>
      </c>
      <c r="G15" s="8" t="n">
        <v>10</v>
      </c>
      <c r="H15" s="15" t="s">
        <v>451</v>
      </c>
      <c r="I15" s="15" t="s">
        <v>255</v>
      </c>
      <c r="J15" s="15" t="s">
        <v>452</v>
      </c>
      <c r="K15" s="8" t="n">
        <v>4</v>
      </c>
      <c r="L15" s="8" t="n">
        <v>69</v>
      </c>
      <c r="M15" s="8" t="n">
        <v>5</v>
      </c>
      <c r="N15" s="8" t="n">
        <v>59</v>
      </c>
      <c r="O15" s="8" t="n">
        <v>8</v>
      </c>
      <c r="P15" s="9" t="n">
        <v>26.9876184991093</v>
      </c>
      <c r="Q15" s="10" t="n">
        <v>0.0370540290553242</v>
      </c>
      <c r="R15" s="9" t="n">
        <v>21</v>
      </c>
      <c r="S15" s="12" t="n">
        <f aca="false">IF(AND(ISNUMBER(R15),R15&gt;1,P15&gt;0),R15/P15-1,"")</f>
        <v>-0.221865389838192</v>
      </c>
      <c r="T15" s="9" t="n">
        <f aca="false">IF(AND(ISNUMBER(P15),P15&gt;0),P15*EXP('Read me'!$B$22),"")</f>
        <v>32.9627516709865</v>
      </c>
    </row>
    <row r="16" customFormat="false" ht="15" hidden="false" customHeight="false" outlineLevel="0" collapsed="false">
      <c r="A16" s="15" t="s">
        <v>76</v>
      </c>
      <c r="B16" s="15" t="s">
        <v>42</v>
      </c>
      <c r="C16" s="15" t="s">
        <v>77</v>
      </c>
      <c r="D16" s="15"/>
      <c r="E16" s="16" t="n">
        <v>13</v>
      </c>
      <c r="F16" s="15" t="s">
        <v>357</v>
      </c>
      <c r="G16" s="8" t="n">
        <v>10</v>
      </c>
      <c r="H16" s="15" t="s">
        <v>453</v>
      </c>
      <c r="I16" s="15" t="s">
        <v>358</v>
      </c>
      <c r="J16" s="15" t="s">
        <v>256</v>
      </c>
      <c r="K16" s="8" t="n">
        <v>6</v>
      </c>
      <c r="L16" s="8" t="n">
        <v>83</v>
      </c>
      <c r="M16" s="8" t="n">
        <v>7</v>
      </c>
      <c r="N16" s="8" t="n">
        <v>7</v>
      </c>
      <c r="O16" s="8" t="n">
        <v>9</v>
      </c>
      <c r="P16" s="9" t="n">
        <v>36.0383207816514</v>
      </c>
      <c r="Q16" s="10" t="n">
        <v>0.0277482407146212</v>
      </c>
      <c r="R16" s="9" t="n">
        <v>17</v>
      </c>
      <c r="S16" s="12" t="n">
        <f aca="false">IF(AND(ISNUMBER(R16),R16&gt;1,P16&gt;0),R16/P16-1,"")</f>
        <v>-0.528279907851438</v>
      </c>
      <c r="T16" s="9" t="n">
        <f aca="false">IF(AND(ISNUMBER(P16),P16&gt;0),P16*EXP('Read me'!$B$22),"")</f>
        <v>44.0173044021699</v>
      </c>
    </row>
    <row r="17" customFormat="false" ht="15" hidden="false" customHeight="false" outlineLevel="0" collapsed="false">
      <c r="A17" s="15" t="s">
        <v>76</v>
      </c>
      <c r="B17" s="15" t="s">
        <v>42</v>
      </c>
      <c r="C17" s="15" t="s">
        <v>77</v>
      </c>
      <c r="D17" s="15"/>
      <c r="E17" s="16" t="n">
        <v>13</v>
      </c>
      <c r="F17" s="15" t="s">
        <v>357</v>
      </c>
      <c r="G17" s="8" t="n">
        <v>10</v>
      </c>
      <c r="H17" s="15" t="s">
        <v>454</v>
      </c>
      <c r="I17" s="15" t="s">
        <v>455</v>
      </c>
      <c r="J17" s="15" t="s">
        <v>80</v>
      </c>
      <c r="K17" s="8" t="n">
        <v>10</v>
      </c>
      <c r="L17" s="8" t="n">
        <v>86</v>
      </c>
      <c r="M17" s="8" t="n">
        <v>4</v>
      </c>
      <c r="N17" s="8" t="n">
        <v>20</v>
      </c>
      <c r="O17" s="8" t="n">
        <v>10</v>
      </c>
      <c r="P17" s="9" t="n">
        <v>53.3899883879229</v>
      </c>
      <c r="Q17" s="10" t="n">
        <v>0.0187301033432366</v>
      </c>
      <c r="R17" s="9" t="n">
        <v>26</v>
      </c>
      <c r="S17" s="12" t="n">
        <f aca="false">IF(AND(ISNUMBER(R17),R17&gt;1,P17&gt;0),R17/P17-1,"")</f>
        <v>-0.513017313075848</v>
      </c>
      <c r="T17" s="9" t="n">
        <f aca="false">IF(AND(ISNUMBER(P17),P17&gt;0),P17*EXP('Read me'!$B$22),"")</f>
        <v>65.2106790751485</v>
      </c>
    </row>
    <row r="18" customFormat="false" ht="15" hidden="false" customHeight="false" outlineLevel="0" collapsed="false">
      <c r="A18" s="15" t="s">
        <v>106</v>
      </c>
      <c r="B18" s="15" t="s">
        <v>42</v>
      </c>
      <c r="C18" s="15" t="s">
        <v>107</v>
      </c>
      <c r="D18" s="15"/>
      <c r="E18" s="16" t="n">
        <v>7</v>
      </c>
      <c r="F18" s="15" t="s">
        <v>357</v>
      </c>
      <c r="G18" s="8" t="n">
        <v>9</v>
      </c>
      <c r="H18" s="15" t="s">
        <v>108</v>
      </c>
      <c r="I18" s="15" t="s">
        <v>109</v>
      </c>
      <c r="J18" s="15" t="s">
        <v>110</v>
      </c>
      <c r="K18" s="8" t="n">
        <v>3</v>
      </c>
      <c r="L18" s="8" t="n">
        <v>0</v>
      </c>
      <c r="M18" s="8" t="n">
        <v>2</v>
      </c>
      <c r="N18" s="8" t="n">
        <v>24</v>
      </c>
      <c r="O18" s="8" t="n">
        <v>1</v>
      </c>
      <c r="P18" s="9" t="n">
        <v>2.30855202407745</v>
      </c>
      <c r="Q18" s="10" t="n">
        <v>0.433171957820453</v>
      </c>
      <c r="R18" s="9" t="n">
        <v>2.2</v>
      </c>
      <c r="S18" s="12" t="n">
        <f aca="false">IF(AND(ISNUMBER(R18),R18&gt;1,P18&gt;0),R18/P18-1,"")</f>
        <v>-0.0470216927950036</v>
      </c>
      <c r="T18" s="9" t="n">
        <f aca="false">IF(AND(ISNUMBER(P18),P18&gt;0),P18*EXP('Read me'!$B$22),"")</f>
        <v>2.81967180956445</v>
      </c>
    </row>
    <row r="19" customFormat="false" ht="15" hidden="false" customHeight="false" outlineLevel="0" collapsed="false">
      <c r="A19" s="15" t="s">
        <v>106</v>
      </c>
      <c r="B19" s="15" t="s">
        <v>42</v>
      </c>
      <c r="C19" s="15" t="s">
        <v>107</v>
      </c>
      <c r="D19" s="15"/>
      <c r="E19" s="16" t="n">
        <v>7</v>
      </c>
      <c r="F19" s="15" t="s">
        <v>357</v>
      </c>
      <c r="G19" s="8" t="n">
        <v>9</v>
      </c>
      <c r="H19" s="15" t="s">
        <v>111</v>
      </c>
      <c r="I19" s="15" t="s">
        <v>45</v>
      </c>
      <c r="J19" s="15" t="s">
        <v>529</v>
      </c>
      <c r="K19" s="8" t="n">
        <v>9</v>
      </c>
      <c r="L19" s="8" t="n">
        <v>0</v>
      </c>
      <c r="M19" s="8" t="n">
        <v>2</v>
      </c>
      <c r="N19" s="8"/>
      <c r="O19" s="8" t="n">
        <v>2</v>
      </c>
      <c r="P19" s="9" t="n">
        <v>3.96126453246617</v>
      </c>
      <c r="Q19" s="10" t="n">
        <v>0.25244464029203</v>
      </c>
      <c r="R19" s="9" t="n">
        <v>4</v>
      </c>
      <c r="S19" s="12" t="n">
        <f aca="false">IF(AND(ISNUMBER(R19),R19&gt;1,P19&gt;0),R19/P19-1,"")</f>
        <v>0.0097785611681207</v>
      </c>
      <c r="T19" s="9" t="n">
        <f aca="false">IF(AND(ISNUMBER(P19),P19&gt;0),P19*EXP('Read me'!$B$22),"")</f>
        <v>4.83829942575624</v>
      </c>
    </row>
    <row r="20" customFormat="false" ht="15" hidden="false" customHeight="false" outlineLevel="0" collapsed="false">
      <c r="A20" s="15" t="s">
        <v>106</v>
      </c>
      <c r="B20" s="15" t="s">
        <v>42</v>
      </c>
      <c r="C20" s="15" t="s">
        <v>107</v>
      </c>
      <c r="D20" s="15"/>
      <c r="E20" s="16" t="n">
        <v>7</v>
      </c>
      <c r="F20" s="15" t="s">
        <v>357</v>
      </c>
      <c r="G20" s="8" t="n">
        <v>9</v>
      </c>
      <c r="H20" s="15" t="s">
        <v>530</v>
      </c>
      <c r="I20" s="15" t="s">
        <v>531</v>
      </c>
      <c r="J20" s="15" t="s">
        <v>532</v>
      </c>
      <c r="K20" s="8" t="n">
        <v>8</v>
      </c>
      <c r="L20" s="8" t="n">
        <v>78</v>
      </c>
      <c r="M20" s="8" t="n">
        <v>2</v>
      </c>
      <c r="N20" s="8" t="n">
        <v>44</v>
      </c>
      <c r="O20" s="8" t="n">
        <v>3</v>
      </c>
      <c r="P20" s="9" t="n">
        <v>7.66012982473597</v>
      </c>
      <c r="Q20" s="10" t="n">
        <v>0.130546090324842</v>
      </c>
      <c r="R20" s="9" t="n">
        <v>6.5</v>
      </c>
      <c r="S20" s="12" t="n">
        <f aca="false">IF(AND(ISNUMBER(R20),R20&gt;1,P20&gt;0),R20/P20-1,"")</f>
        <v>-0.151450412888526</v>
      </c>
      <c r="T20" s="9" t="n">
        <f aca="false">IF(AND(ISNUMBER(P20),P20&gt;0),P20*EXP('Read me'!$B$22),"")</f>
        <v>9.3561036957975</v>
      </c>
    </row>
    <row r="21" customFormat="false" ht="15" hidden="false" customHeight="false" outlineLevel="0" collapsed="false">
      <c r="A21" s="15" t="s">
        <v>106</v>
      </c>
      <c r="B21" s="15" t="s">
        <v>42</v>
      </c>
      <c r="C21" s="15" t="s">
        <v>107</v>
      </c>
      <c r="D21" s="15"/>
      <c r="E21" s="16" t="n">
        <v>7</v>
      </c>
      <c r="F21" s="15" t="s">
        <v>357</v>
      </c>
      <c r="G21" s="8" t="n">
        <v>9</v>
      </c>
      <c r="H21" s="15" t="s">
        <v>533</v>
      </c>
      <c r="I21" s="15" t="s">
        <v>138</v>
      </c>
      <c r="J21" s="15" t="s">
        <v>534</v>
      </c>
      <c r="K21" s="8" t="n">
        <v>7</v>
      </c>
      <c r="L21" s="8" t="n">
        <v>0</v>
      </c>
      <c r="M21" s="8" t="n">
        <v>2</v>
      </c>
      <c r="N21" s="8"/>
      <c r="O21" s="8" t="n">
        <v>4</v>
      </c>
      <c r="P21" s="9" t="n">
        <v>19.3260086340314</v>
      </c>
      <c r="Q21" s="10" t="n">
        <v>0.0517437417594385</v>
      </c>
      <c r="R21" s="9" t="n">
        <v>19</v>
      </c>
      <c r="S21" s="12" t="n">
        <f aca="false">IF(AND(ISNUMBER(R21),R21&gt;1,P21&gt;0),R21/P21-1,"")</f>
        <v>-0.0168689065706675</v>
      </c>
      <c r="T21" s="9" t="n">
        <f aca="false">IF(AND(ISNUMBER(P21),P21&gt;0),P21*EXP('Read me'!$B$22),"")</f>
        <v>23.6048402498332</v>
      </c>
    </row>
    <row r="22" customFormat="false" ht="15" hidden="false" customHeight="false" outlineLevel="0" collapsed="false">
      <c r="A22" s="15" t="s">
        <v>106</v>
      </c>
      <c r="B22" s="15" t="s">
        <v>42</v>
      </c>
      <c r="C22" s="15" t="s">
        <v>107</v>
      </c>
      <c r="D22" s="15"/>
      <c r="E22" s="16" t="n">
        <v>7</v>
      </c>
      <c r="F22" s="15" t="s">
        <v>357</v>
      </c>
      <c r="G22" s="8" t="n">
        <v>9</v>
      </c>
      <c r="H22" s="15" t="s">
        <v>535</v>
      </c>
      <c r="I22" s="15" t="s">
        <v>448</v>
      </c>
      <c r="J22" s="15" t="s">
        <v>396</v>
      </c>
      <c r="K22" s="8" t="n">
        <v>6</v>
      </c>
      <c r="L22" s="8" t="n">
        <v>0</v>
      </c>
      <c r="M22" s="8" t="n">
        <v>2</v>
      </c>
      <c r="N22" s="8" t="n">
        <v>11</v>
      </c>
      <c r="O22" s="8" t="n">
        <v>5</v>
      </c>
      <c r="P22" s="9" t="n">
        <v>21.8518210357803</v>
      </c>
      <c r="Q22" s="10" t="n">
        <v>0.0457627764003097</v>
      </c>
      <c r="R22" s="9" t="n">
        <v>7</v>
      </c>
      <c r="S22" s="12" t="n">
        <f aca="false">IF(AND(ISNUMBER(R22),R22&gt;1,P22&gt;0),R22/P22-1,"")</f>
        <v>-0.679660565197832</v>
      </c>
      <c r="T22" s="9" t="n">
        <f aca="false">IF(AND(ISNUMBER(P22),P22&gt;0),P22*EXP('Read me'!$B$22),"")</f>
        <v>26.6898744839245</v>
      </c>
    </row>
    <row r="23" customFormat="false" ht="15" hidden="false" customHeight="false" outlineLevel="0" collapsed="false">
      <c r="A23" s="15" t="s">
        <v>106</v>
      </c>
      <c r="B23" s="15" t="s">
        <v>42</v>
      </c>
      <c r="C23" s="15" t="s">
        <v>107</v>
      </c>
      <c r="D23" s="15"/>
      <c r="E23" s="16" t="n">
        <v>7</v>
      </c>
      <c r="F23" s="15" t="s">
        <v>357</v>
      </c>
      <c r="G23" s="8" t="n">
        <v>9</v>
      </c>
      <c r="H23" s="15" t="s">
        <v>536</v>
      </c>
      <c r="I23" s="15"/>
      <c r="J23" s="15" t="s">
        <v>110</v>
      </c>
      <c r="K23" s="8" t="n">
        <v>10</v>
      </c>
      <c r="L23" s="8" t="n">
        <v>0</v>
      </c>
      <c r="M23" s="8" t="n">
        <v>2</v>
      </c>
      <c r="N23" s="8" t="n">
        <v>11</v>
      </c>
      <c r="O23" s="8" t="n">
        <v>6</v>
      </c>
      <c r="P23" s="9" t="n">
        <v>37.7097200571916</v>
      </c>
      <c r="Q23" s="10" t="n">
        <v>0.0265183618038896</v>
      </c>
      <c r="R23" s="9" t="n">
        <v>51</v>
      </c>
      <c r="S23" s="12" t="n">
        <f aca="false">IF(AND(ISNUMBER(R23),R23&gt;1,P23&gt;0),R23/P23-1,"")</f>
        <v>0.352436451998371</v>
      </c>
      <c r="T23" s="9" t="n">
        <f aca="false">IF(AND(ISNUMBER(P23),P23&gt;0),P23*EXP('Read me'!$B$22),"")</f>
        <v>46.0587560873017</v>
      </c>
    </row>
    <row r="24" customFormat="false" ht="15" hidden="false" customHeight="false" outlineLevel="0" collapsed="false">
      <c r="A24" s="15" t="s">
        <v>106</v>
      </c>
      <c r="B24" s="15" t="s">
        <v>42</v>
      </c>
      <c r="C24" s="15" t="s">
        <v>107</v>
      </c>
      <c r="D24" s="15"/>
      <c r="E24" s="16" t="n">
        <v>7</v>
      </c>
      <c r="F24" s="15" t="s">
        <v>357</v>
      </c>
      <c r="G24" s="8" t="n">
        <v>9</v>
      </c>
      <c r="H24" s="15" t="s">
        <v>537</v>
      </c>
      <c r="I24" s="15" t="s">
        <v>165</v>
      </c>
      <c r="J24" s="15" t="s">
        <v>538</v>
      </c>
      <c r="K24" s="8" t="n">
        <v>1</v>
      </c>
      <c r="L24" s="8" t="n">
        <v>0</v>
      </c>
      <c r="M24" s="8" t="n">
        <v>2</v>
      </c>
      <c r="N24" s="8"/>
      <c r="O24" s="8" t="n">
        <v>7</v>
      </c>
      <c r="P24" s="9" t="n">
        <v>39.9727227600982</v>
      </c>
      <c r="Q24" s="10" t="n">
        <v>0.0250170599086191</v>
      </c>
      <c r="R24" s="9" t="n">
        <v>34</v>
      </c>
      <c r="S24" s="12" t="n">
        <f aca="false">IF(AND(ISNUMBER(R24),R24&gt;1,P24&gt;0),R24/P24-1,"")</f>
        <v>-0.149419963106949</v>
      </c>
      <c r="T24" s="9" t="n">
        <f aca="false">IF(AND(ISNUMBER(P24),P24&gt;0),P24*EXP('Read me'!$B$22),"")</f>
        <v>48.8227938303557</v>
      </c>
    </row>
    <row r="25" customFormat="false" ht="15" hidden="false" customHeight="false" outlineLevel="0" collapsed="false">
      <c r="A25" s="15" t="s">
        <v>106</v>
      </c>
      <c r="B25" s="15" t="s">
        <v>42</v>
      </c>
      <c r="C25" s="15" t="s">
        <v>107</v>
      </c>
      <c r="D25" s="15"/>
      <c r="E25" s="16" t="n">
        <v>7</v>
      </c>
      <c r="F25" s="15" t="s">
        <v>357</v>
      </c>
      <c r="G25" s="8" t="n">
        <v>9</v>
      </c>
      <c r="H25" s="15" t="s">
        <v>539</v>
      </c>
      <c r="I25" s="15" t="s">
        <v>540</v>
      </c>
      <c r="J25" s="15" t="s">
        <v>538</v>
      </c>
      <c r="K25" s="8" t="n">
        <v>5</v>
      </c>
      <c r="L25" s="8" t="n">
        <v>0</v>
      </c>
      <c r="M25" s="8" t="n">
        <v>2</v>
      </c>
      <c r="N25" s="8" t="n">
        <v>65</v>
      </c>
      <c r="O25" s="8" t="n">
        <v>8</v>
      </c>
      <c r="P25" s="9" t="n">
        <v>40.6726377703319</v>
      </c>
      <c r="Q25" s="10" t="n">
        <v>0.0245865538804428</v>
      </c>
      <c r="R25" s="9" t="n">
        <v>10</v>
      </c>
      <c r="S25" s="12" t="n">
        <f aca="false">IF(AND(ISNUMBER(R25),R25&gt;1,P25&gt;0),R25/P25-1,"")</f>
        <v>-0.754134461195571</v>
      </c>
      <c r="T25" s="9" t="n">
        <f aca="false">IF(AND(ISNUMBER(P25),P25&gt;0),P25*EXP('Read me'!$B$22),"")</f>
        <v>49.6776719543328</v>
      </c>
    </row>
    <row r="26" customFormat="false" ht="15" hidden="false" customHeight="false" outlineLevel="0" collapsed="false">
      <c r="A26" s="15" t="s">
        <v>106</v>
      </c>
      <c r="B26" s="15" t="s">
        <v>42</v>
      </c>
      <c r="C26" s="15" t="s">
        <v>107</v>
      </c>
      <c r="D26" s="15"/>
      <c r="E26" s="16" t="n">
        <v>7</v>
      </c>
      <c r="F26" s="15" t="s">
        <v>357</v>
      </c>
      <c r="G26" s="8" t="n">
        <v>9</v>
      </c>
      <c r="H26" s="15" t="s">
        <v>541</v>
      </c>
      <c r="I26" s="15" t="s">
        <v>542</v>
      </c>
      <c r="J26" s="15" t="s">
        <v>543</v>
      </c>
      <c r="K26" s="8" t="n">
        <v>2</v>
      </c>
      <c r="L26" s="8" t="n">
        <v>0</v>
      </c>
      <c r="M26" s="8" t="n">
        <v>2</v>
      </c>
      <c r="N26" s="8"/>
      <c r="O26" s="8" t="n">
        <v>9</v>
      </c>
      <c r="P26" s="9" t="n">
        <v>97.9545348554391</v>
      </c>
      <c r="Q26" s="10" t="n">
        <v>0.0102088178099747</v>
      </c>
      <c r="R26" s="9" t="n">
        <v>67</v>
      </c>
      <c r="S26" s="12" t="n">
        <f aca="false">IF(AND(ISNUMBER(R26),R26&gt;1,P26&gt;0),R26/P26-1,"")</f>
        <v>-0.316009206731691</v>
      </c>
      <c r="T26" s="9" t="n">
        <f aca="false">IF(AND(ISNUMBER(P26),P26&gt;0),P26*EXP('Read me'!$B$22),"")</f>
        <v>119.64193904673</v>
      </c>
    </row>
    <row r="27" customFormat="false" ht="15" hidden="false" customHeight="false" outlineLevel="0" collapsed="false">
      <c r="A27" s="15" t="s">
        <v>135</v>
      </c>
      <c r="B27" s="15" t="s">
        <v>42</v>
      </c>
      <c r="C27" s="15" t="s">
        <v>136</v>
      </c>
      <c r="D27" s="15"/>
      <c r="E27" s="16" t="n">
        <v>7</v>
      </c>
      <c r="F27" s="15" t="s">
        <v>357</v>
      </c>
      <c r="G27" s="8" t="n">
        <v>9</v>
      </c>
      <c r="H27" s="15" t="s">
        <v>137</v>
      </c>
      <c r="I27" s="15" t="s">
        <v>138</v>
      </c>
      <c r="J27" s="15" t="s">
        <v>139</v>
      </c>
      <c r="K27" s="8" t="n">
        <v>2</v>
      </c>
      <c r="L27" s="8" t="n">
        <v>0</v>
      </c>
      <c r="M27" s="8" t="n">
        <v>3</v>
      </c>
      <c r="N27" s="8" t="n">
        <v>136</v>
      </c>
      <c r="O27" s="8" t="n">
        <v>1</v>
      </c>
      <c r="P27" s="9" t="n">
        <v>2.59199079340173</v>
      </c>
      <c r="Q27" s="10" t="n">
        <v>0.385803839483396</v>
      </c>
      <c r="R27" s="9" t="n">
        <v>2.1</v>
      </c>
      <c r="S27" s="12" t="n">
        <f aca="false">IF(AND(ISNUMBER(R27),R27&gt;1,P27&gt;0),R27/P27-1,"")</f>
        <v>-0.189811937084868</v>
      </c>
      <c r="T27" s="9" t="n">
        <f aca="false">IF(AND(ISNUMBER(P27),P27&gt;0),P27*EXP('Read me'!$B$22),"")</f>
        <v>3.16586470418663</v>
      </c>
    </row>
    <row r="28" customFormat="false" ht="15" hidden="false" customHeight="false" outlineLevel="0" collapsed="false">
      <c r="A28" s="15" t="s">
        <v>135</v>
      </c>
      <c r="B28" s="15" t="s">
        <v>42</v>
      </c>
      <c r="C28" s="15" t="s">
        <v>136</v>
      </c>
      <c r="D28" s="15"/>
      <c r="E28" s="16" t="n">
        <v>7</v>
      </c>
      <c r="F28" s="15" t="s">
        <v>357</v>
      </c>
      <c r="G28" s="8" t="n">
        <v>9</v>
      </c>
      <c r="H28" s="15" t="s">
        <v>140</v>
      </c>
      <c r="I28" s="15" t="s">
        <v>450</v>
      </c>
      <c r="J28" s="15" t="s">
        <v>80</v>
      </c>
      <c r="K28" s="8" t="n">
        <v>10</v>
      </c>
      <c r="L28" s="8" t="n">
        <v>0</v>
      </c>
      <c r="M28" s="8" t="n">
        <v>3</v>
      </c>
      <c r="N28" s="8" t="n">
        <v>109</v>
      </c>
      <c r="O28" s="8" t="n">
        <v>2</v>
      </c>
      <c r="P28" s="9" t="n">
        <v>4.82395995498687</v>
      </c>
      <c r="Q28" s="10" t="n">
        <v>0.207298569915828</v>
      </c>
      <c r="R28" s="9" t="n">
        <v>5</v>
      </c>
      <c r="S28" s="12" t="n">
        <f aca="false">IF(AND(ISNUMBER(R28),R28&gt;1,P28&gt;0),R28/P28-1,"")</f>
        <v>0.036492849579139</v>
      </c>
      <c r="T28" s="9" t="n">
        <f aca="false">IF(AND(ISNUMBER(P28),P28&gt;0),P28*EXP('Read me'!$B$22),"")</f>
        <v>5.89199799427518</v>
      </c>
    </row>
    <row r="29" customFormat="false" ht="15" hidden="false" customHeight="false" outlineLevel="0" collapsed="false">
      <c r="A29" s="15" t="s">
        <v>135</v>
      </c>
      <c r="B29" s="15" t="s">
        <v>42</v>
      </c>
      <c r="C29" s="15" t="s">
        <v>136</v>
      </c>
      <c r="D29" s="15"/>
      <c r="E29" s="16" t="n">
        <v>7</v>
      </c>
      <c r="F29" s="15" t="s">
        <v>357</v>
      </c>
      <c r="G29" s="8" t="n">
        <v>9</v>
      </c>
      <c r="H29" s="15" t="s">
        <v>616</v>
      </c>
      <c r="I29" s="15" t="s">
        <v>109</v>
      </c>
      <c r="J29" s="15" t="s">
        <v>617</v>
      </c>
      <c r="K29" s="8" t="n">
        <v>1</v>
      </c>
      <c r="L29" s="8" t="n">
        <v>74</v>
      </c>
      <c r="M29" s="8" t="n">
        <v>3</v>
      </c>
      <c r="N29" s="8" t="n">
        <v>101</v>
      </c>
      <c r="O29" s="8" t="n">
        <v>3</v>
      </c>
      <c r="P29" s="9" t="n">
        <v>5.18130178036093</v>
      </c>
      <c r="Q29" s="10" t="n">
        <v>0.193001689998134</v>
      </c>
      <c r="R29" s="9" t="n">
        <v>4.5</v>
      </c>
      <c r="S29" s="12" t="n">
        <f aca="false">IF(AND(ISNUMBER(R29),R29&gt;1,P29&gt;0),R29/P29-1,"")</f>
        <v>-0.131492395008398</v>
      </c>
      <c r="T29" s="9" t="n">
        <f aca="false">IF(AND(ISNUMBER(P29),P29&gt;0),P29*EXP('Read me'!$B$22),"")</f>
        <v>6.32845628539304</v>
      </c>
    </row>
    <row r="30" customFormat="false" ht="15" hidden="false" customHeight="false" outlineLevel="0" collapsed="false">
      <c r="A30" s="15" t="s">
        <v>135</v>
      </c>
      <c r="B30" s="15" t="s">
        <v>42</v>
      </c>
      <c r="C30" s="15" t="s">
        <v>136</v>
      </c>
      <c r="D30" s="15"/>
      <c r="E30" s="16" t="n">
        <v>7</v>
      </c>
      <c r="F30" s="15" t="s">
        <v>357</v>
      </c>
      <c r="G30" s="8" t="n">
        <v>9</v>
      </c>
      <c r="H30" s="15" t="s">
        <v>618</v>
      </c>
      <c r="I30" s="15" t="s">
        <v>619</v>
      </c>
      <c r="J30" s="15" t="s">
        <v>256</v>
      </c>
      <c r="K30" s="8" t="n">
        <v>4</v>
      </c>
      <c r="L30" s="8" t="n">
        <v>75</v>
      </c>
      <c r="M30" s="8" t="n">
        <v>3</v>
      </c>
      <c r="N30" s="8" t="n">
        <v>7</v>
      </c>
      <c r="O30" s="8" t="n">
        <v>4</v>
      </c>
      <c r="P30" s="9" t="n">
        <v>6.81583245388925</v>
      </c>
      <c r="Q30" s="10" t="n">
        <v>0.146717221522865</v>
      </c>
      <c r="R30" s="9" t="n">
        <v>4.5</v>
      </c>
      <c r="S30" s="12" t="n">
        <f aca="false">IF(AND(ISNUMBER(R30),R30&gt;1,P30&gt;0),R30/P30-1,"")</f>
        <v>-0.339772503147109</v>
      </c>
      <c r="T30" s="9" t="n">
        <f aca="false">IF(AND(ISNUMBER(P30),P30&gt;0),P30*EXP('Read me'!$B$22),"")</f>
        <v>8.32487655833793</v>
      </c>
    </row>
    <row r="31" customFormat="false" ht="15" hidden="false" customHeight="false" outlineLevel="0" collapsed="false">
      <c r="A31" s="15" t="s">
        <v>135</v>
      </c>
      <c r="B31" s="15" t="s">
        <v>42</v>
      </c>
      <c r="C31" s="15" t="s">
        <v>136</v>
      </c>
      <c r="D31" s="15"/>
      <c r="E31" s="16" t="n">
        <v>7</v>
      </c>
      <c r="F31" s="15" t="s">
        <v>357</v>
      </c>
      <c r="G31" s="8" t="n">
        <v>9</v>
      </c>
      <c r="H31" s="15" t="s">
        <v>620</v>
      </c>
      <c r="I31" s="15" t="s">
        <v>365</v>
      </c>
      <c r="J31" s="15" t="s">
        <v>621</v>
      </c>
      <c r="K31" s="8" t="n">
        <v>6</v>
      </c>
      <c r="L31" s="8" t="n">
        <v>0</v>
      </c>
      <c r="M31" s="8" t="n">
        <v>3</v>
      </c>
      <c r="N31" s="8" t="n">
        <v>101</v>
      </c>
      <c r="O31" s="8" t="n">
        <v>5</v>
      </c>
      <c r="P31" s="9" t="n">
        <v>15.9280274428547</v>
      </c>
      <c r="Q31" s="10" t="n">
        <v>0.0627824131762529</v>
      </c>
      <c r="R31" s="9" t="n">
        <v>21</v>
      </c>
      <c r="S31" s="12" t="n">
        <f aca="false">IF(AND(ISNUMBER(R31),R31&gt;1,P31&gt;0),R31/P31-1,"")</f>
        <v>0.318430676701312</v>
      </c>
      <c r="T31" s="9" t="n">
        <f aca="false">IF(AND(ISNUMBER(P31),P31&gt;0),P31*EXP('Read me'!$B$22),"")</f>
        <v>19.4545366507536</v>
      </c>
    </row>
    <row r="32" customFormat="false" ht="15" hidden="false" customHeight="false" outlineLevel="0" collapsed="false">
      <c r="A32" s="15" t="s">
        <v>135</v>
      </c>
      <c r="B32" s="15" t="s">
        <v>42</v>
      </c>
      <c r="C32" s="15" t="s">
        <v>136</v>
      </c>
      <c r="D32" s="15"/>
      <c r="E32" s="16" t="n">
        <v>7</v>
      </c>
      <c r="F32" s="15" t="s">
        <v>357</v>
      </c>
      <c r="G32" s="8" t="n">
        <v>9</v>
      </c>
      <c r="H32" s="15" t="s">
        <v>622</v>
      </c>
      <c r="I32" s="15" t="s">
        <v>441</v>
      </c>
      <c r="J32" s="15" t="s">
        <v>623</v>
      </c>
      <c r="K32" s="8" t="n">
        <v>3</v>
      </c>
      <c r="L32" s="8" t="n">
        <v>0</v>
      </c>
      <c r="M32" s="8" t="n">
        <v>3</v>
      </c>
      <c r="N32" s="8" t="n">
        <v>283</v>
      </c>
      <c r="O32" s="8" t="n">
        <v>6</v>
      </c>
      <c r="P32" s="9" t="n">
        <v>479.872599015714</v>
      </c>
      <c r="Q32" s="10" t="n">
        <v>0.002083886435798</v>
      </c>
      <c r="R32" s="9" t="n">
        <v>151</v>
      </c>
      <c r="S32" s="12" t="n">
        <f aca="false">IF(AND(ISNUMBER(R32),R32&gt;1,P32&gt;0),R32/P32-1,"")</f>
        <v>-0.685333148194496</v>
      </c>
      <c r="T32" s="9" t="n">
        <f aca="false">IF(AND(ISNUMBER(P32),P32&gt;0),P32*EXP('Read me'!$B$22),"")</f>
        <v>586.117716003283</v>
      </c>
    </row>
    <row r="33" customFormat="false" ht="15" hidden="false" customHeight="false" outlineLevel="0" collapsed="false">
      <c r="A33" s="15" t="s">
        <v>135</v>
      </c>
      <c r="B33" s="15" t="s">
        <v>42</v>
      </c>
      <c r="C33" s="15" t="s">
        <v>136</v>
      </c>
      <c r="D33" s="15"/>
      <c r="E33" s="16" t="n">
        <v>7</v>
      </c>
      <c r="F33" s="15" t="s">
        <v>357</v>
      </c>
      <c r="G33" s="8" t="n">
        <v>9</v>
      </c>
      <c r="H33" s="15" t="s">
        <v>624</v>
      </c>
      <c r="I33" s="15" t="s">
        <v>625</v>
      </c>
      <c r="J33" s="15" t="s">
        <v>626</v>
      </c>
      <c r="K33" s="8" t="n">
        <v>9</v>
      </c>
      <c r="L33" s="8" t="n">
        <v>0</v>
      </c>
      <c r="M33" s="8" t="n">
        <v>3</v>
      </c>
      <c r="N33" s="8" t="n">
        <v>19</v>
      </c>
      <c r="O33" s="8" t="n">
        <v>7</v>
      </c>
      <c r="P33" s="9" t="n">
        <v>1013.40548728078</v>
      </c>
      <c r="Q33" s="10" t="n">
        <v>0.0009867718426147</v>
      </c>
      <c r="R33" s="9" t="n">
        <v>126</v>
      </c>
      <c r="S33" s="12" t="n">
        <f aca="false">IF(AND(ISNUMBER(R33),R33&gt;1,P33&gt;0),R33/P33-1,"")</f>
        <v>-0.875666747830536</v>
      </c>
      <c r="T33" s="9" t="n">
        <f aca="false">IF(AND(ISNUMBER(P33),P33&gt;0),P33*EXP('Read me'!$B$22),"")</f>
        <v>1237.7762572994</v>
      </c>
    </row>
    <row r="34" customFormat="false" ht="15" hidden="false" customHeight="false" outlineLevel="0" collapsed="false">
      <c r="A34" s="15" t="s">
        <v>135</v>
      </c>
      <c r="B34" s="15" t="s">
        <v>42</v>
      </c>
      <c r="C34" s="15" t="s">
        <v>136</v>
      </c>
      <c r="D34" s="15"/>
      <c r="E34" s="16" t="n">
        <v>7</v>
      </c>
      <c r="F34" s="15" t="s">
        <v>357</v>
      </c>
      <c r="G34" s="8" t="n">
        <v>9</v>
      </c>
      <c r="H34" s="15" t="s">
        <v>627</v>
      </c>
      <c r="I34" s="15" t="s">
        <v>628</v>
      </c>
      <c r="J34" s="15" t="s">
        <v>503</v>
      </c>
      <c r="K34" s="8" t="n">
        <v>7</v>
      </c>
      <c r="L34" s="8" t="n">
        <v>0</v>
      </c>
      <c r="M34" s="8" t="n">
        <v>3</v>
      </c>
      <c r="N34" s="8" t="n">
        <v>7</v>
      </c>
      <c r="O34" s="8" t="n">
        <v>8</v>
      </c>
      <c r="P34" s="9" t="n">
        <v>1491.70449392883</v>
      </c>
      <c r="Q34" s="10" t="n">
        <v>0.0006703740613975</v>
      </c>
      <c r="R34" s="9" t="n">
        <v>126</v>
      </c>
      <c r="S34" s="12" t="n">
        <f aca="false">IF(AND(ISNUMBER(R34),R34&gt;1,P34&gt;0),R34/P34-1,"")</f>
        <v>-0.915532868263912</v>
      </c>
      <c r="T34" s="9" t="n">
        <f aca="false">IF(AND(ISNUMBER(P34),P34&gt;0),P34*EXP('Read me'!$B$22),"")</f>
        <v>1821.97198324459</v>
      </c>
    </row>
    <row r="35" customFormat="false" ht="15" hidden="false" customHeight="false" outlineLevel="0" collapsed="false">
      <c r="A35" s="15" t="s">
        <v>135</v>
      </c>
      <c r="B35" s="15" t="s">
        <v>42</v>
      </c>
      <c r="C35" s="15" t="s">
        <v>136</v>
      </c>
      <c r="D35" s="15"/>
      <c r="E35" s="16" t="n">
        <v>7</v>
      </c>
      <c r="F35" s="15" t="s">
        <v>357</v>
      </c>
      <c r="G35" s="8" t="n">
        <v>9</v>
      </c>
      <c r="H35" s="15" t="s">
        <v>629</v>
      </c>
      <c r="I35" s="15" t="s">
        <v>630</v>
      </c>
      <c r="J35" s="15" t="s">
        <v>631</v>
      </c>
      <c r="K35" s="8" t="n">
        <v>5</v>
      </c>
      <c r="L35" s="8" t="n">
        <v>0</v>
      </c>
      <c r="M35" s="8" t="n">
        <v>3</v>
      </c>
      <c r="N35" s="8" t="n">
        <v>73</v>
      </c>
      <c r="O35" s="8" t="n">
        <v>9</v>
      </c>
      <c r="P35" s="9" t="n">
        <v>1526.17334547327</v>
      </c>
      <c r="Q35" s="10" t="n">
        <v>0.0006552335637141</v>
      </c>
      <c r="R35" s="9" t="n">
        <v>201</v>
      </c>
      <c r="S35" s="12" t="n">
        <f aca="false">IF(AND(ISNUMBER(R35),R35&gt;1,P35&gt;0),R35/P35-1,"")</f>
        <v>-0.868298053693456</v>
      </c>
      <c r="T35" s="9" t="n">
        <f aca="false">IF(AND(ISNUMBER(P35),P35&gt;0),P35*EXP('Read me'!$B$22),"")</f>
        <v>1864.07233359159</v>
      </c>
    </row>
    <row r="36" customFormat="false" ht="15" hidden="false" customHeight="false" outlineLevel="0" collapsed="false">
      <c r="A36" s="15" t="s">
        <v>162</v>
      </c>
      <c r="B36" s="15" t="s">
        <v>42</v>
      </c>
      <c r="C36" s="15" t="s">
        <v>163</v>
      </c>
      <c r="D36" s="15"/>
      <c r="E36" s="16" t="n">
        <v>7</v>
      </c>
      <c r="F36" s="15" t="s">
        <v>357</v>
      </c>
      <c r="G36" s="8" t="n">
        <v>14</v>
      </c>
      <c r="H36" s="15" t="s">
        <v>164</v>
      </c>
      <c r="I36" s="15" t="s">
        <v>165</v>
      </c>
      <c r="J36" s="15" t="s">
        <v>166</v>
      </c>
      <c r="K36" s="8" t="n">
        <v>7</v>
      </c>
      <c r="L36" s="8" t="n">
        <v>70</v>
      </c>
      <c r="M36" s="8" t="n">
        <v>4</v>
      </c>
      <c r="N36" s="8" t="n">
        <v>10</v>
      </c>
      <c r="O36" s="8" t="n">
        <v>1</v>
      </c>
      <c r="P36" s="9" t="n">
        <v>6.98039711038764</v>
      </c>
      <c r="Q36" s="10" t="n">
        <v>0.143258325305287</v>
      </c>
      <c r="R36" s="9" t="n">
        <v>7</v>
      </c>
      <c r="S36" s="12" t="n">
        <f aca="false">IF(AND(ISNUMBER(R36),R36&gt;1,P36&gt;0),R36/P36-1,"")</f>
        <v>0.00280827713701148</v>
      </c>
      <c r="T36" s="9" t="n">
        <f aca="false">IF(AND(ISNUMBER(P36),P36&gt;0),P36*EXP('Read me'!$B$22),"")</f>
        <v>8.52587628368074</v>
      </c>
    </row>
    <row r="37" customFormat="false" ht="15" hidden="false" customHeight="false" outlineLevel="0" collapsed="false">
      <c r="A37" s="15" t="s">
        <v>162</v>
      </c>
      <c r="B37" s="15" t="s">
        <v>42</v>
      </c>
      <c r="C37" s="15" t="s">
        <v>163</v>
      </c>
      <c r="D37" s="15"/>
      <c r="E37" s="16" t="n">
        <v>7</v>
      </c>
      <c r="F37" s="15" t="s">
        <v>357</v>
      </c>
      <c r="G37" s="8" t="n">
        <v>14</v>
      </c>
      <c r="H37" s="15" t="s">
        <v>167</v>
      </c>
      <c r="I37" s="15" t="s">
        <v>710</v>
      </c>
      <c r="J37" s="15" t="s">
        <v>176</v>
      </c>
      <c r="K37" s="8" t="n">
        <v>2</v>
      </c>
      <c r="L37" s="8" t="n">
        <v>74</v>
      </c>
      <c r="M37" s="8" t="n">
        <v>7</v>
      </c>
      <c r="N37" s="8" t="n">
        <v>68</v>
      </c>
      <c r="O37" s="8" t="n">
        <v>2</v>
      </c>
      <c r="P37" s="9" t="n">
        <v>7.37394467471249</v>
      </c>
      <c r="Q37" s="10" t="n">
        <v>0.135612625821469</v>
      </c>
      <c r="R37" s="9" t="n">
        <v>7.5</v>
      </c>
      <c r="S37" s="12" t="n">
        <f aca="false">IF(AND(ISNUMBER(R37),R37&gt;1,P37&gt;0),R37/P37-1,"")</f>
        <v>0.0170946936610186</v>
      </c>
      <c r="T37" s="9" t="n">
        <f aca="false">IF(AND(ISNUMBER(P37),P37&gt;0),P37*EXP('Read me'!$B$22),"")</f>
        <v>9.00655636421433</v>
      </c>
    </row>
    <row r="38" customFormat="false" ht="15" hidden="false" customHeight="false" outlineLevel="0" collapsed="false">
      <c r="A38" s="15" t="s">
        <v>162</v>
      </c>
      <c r="B38" s="15" t="s">
        <v>42</v>
      </c>
      <c r="C38" s="15" t="s">
        <v>163</v>
      </c>
      <c r="D38" s="15"/>
      <c r="E38" s="16" t="n">
        <v>7</v>
      </c>
      <c r="F38" s="15" t="s">
        <v>357</v>
      </c>
      <c r="G38" s="8" t="n">
        <v>14</v>
      </c>
      <c r="H38" s="15" t="s">
        <v>711</v>
      </c>
      <c r="I38" s="15" t="s">
        <v>712</v>
      </c>
      <c r="J38" s="15" t="s">
        <v>538</v>
      </c>
      <c r="K38" s="8" t="n">
        <v>9</v>
      </c>
      <c r="L38" s="8" t="n">
        <v>68</v>
      </c>
      <c r="M38" s="8" t="n">
        <v>4</v>
      </c>
      <c r="N38" s="8" t="n">
        <v>7</v>
      </c>
      <c r="O38" s="8" t="n">
        <v>3</v>
      </c>
      <c r="P38" s="9" t="n">
        <v>7.86302698398681</v>
      </c>
      <c r="Q38" s="10" t="n">
        <v>0.127177485469212</v>
      </c>
      <c r="R38" s="9" t="n">
        <v>8</v>
      </c>
      <c r="S38" s="12" t="n">
        <f aca="false">IF(AND(ISNUMBER(R38),R38&gt;1,P38&gt;0),R38/P38-1,"")</f>
        <v>0.0174198837536921</v>
      </c>
      <c r="T38" s="9" t="n">
        <f aca="false">IF(AND(ISNUMBER(P38),P38&gt;0),P38*EXP('Read me'!$B$22),"")</f>
        <v>9.60392284572933</v>
      </c>
    </row>
    <row r="39" customFormat="false" ht="15" hidden="false" customHeight="false" outlineLevel="0" collapsed="false">
      <c r="A39" s="15" t="s">
        <v>162</v>
      </c>
      <c r="B39" s="15" t="s">
        <v>42</v>
      </c>
      <c r="C39" s="15" t="s">
        <v>163</v>
      </c>
      <c r="D39" s="15"/>
      <c r="E39" s="16" t="n">
        <v>7</v>
      </c>
      <c r="F39" s="15" t="s">
        <v>357</v>
      </c>
      <c r="G39" s="8" t="n">
        <v>14</v>
      </c>
      <c r="H39" s="15" t="s">
        <v>713</v>
      </c>
      <c r="I39" s="15" t="s">
        <v>714</v>
      </c>
      <c r="J39" s="15" t="s">
        <v>715</v>
      </c>
      <c r="K39" s="8" t="n">
        <v>12</v>
      </c>
      <c r="L39" s="8" t="n">
        <v>65</v>
      </c>
      <c r="M39" s="8" t="n">
        <v>4</v>
      </c>
      <c r="N39" s="8" t="n">
        <v>16</v>
      </c>
      <c r="O39" s="8" t="n">
        <v>4</v>
      </c>
      <c r="P39" s="9" t="n">
        <v>11.1916372539877</v>
      </c>
      <c r="Q39" s="10" t="n">
        <v>0.0893524314008381</v>
      </c>
      <c r="R39" s="9" t="n">
        <v>12</v>
      </c>
      <c r="S39" s="12" t="n">
        <f aca="false">IF(AND(ISNUMBER(R39),R39&gt;1,P39&gt;0),R39/P39-1,"")</f>
        <v>0.0722291768100583</v>
      </c>
      <c r="T39" s="9" t="n">
        <f aca="false">IF(AND(ISNUMBER(P39),P39&gt;0),P39*EXP('Read me'!$B$22),"")</f>
        <v>13.6694966103487</v>
      </c>
    </row>
    <row r="40" customFormat="false" ht="15" hidden="false" customHeight="false" outlineLevel="0" collapsed="false">
      <c r="A40" s="15" t="s">
        <v>162</v>
      </c>
      <c r="B40" s="15" t="s">
        <v>42</v>
      </c>
      <c r="C40" s="15" t="s">
        <v>163</v>
      </c>
      <c r="D40" s="15"/>
      <c r="E40" s="16" t="n">
        <v>7</v>
      </c>
      <c r="F40" s="15" t="s">
        <v>357</v>
      </c>
      <c r="G40" s="8" t="n">
        <v>14</v>
      </c>
      <c r="H40" s="15" t="s">
        <v>716</v>
      </c>
      <c r="I40" s="15" t="s">
        <v>717</v>
      </c>
      <c r="J40" s="15" t="s">
        <v>718</v>
      </c>
      <c r="K40" s="8" t="n">
        <v>15</v>
      </c>
      <c r="L40" s="8" t="n">
        <v>66</v>
      </c>
      <c r="M40" s="8" t="n">
        <v>7</v>
      </c>
      <c r="N40" s="8" t="n">
        <v>19</v>
      </c>
      <c r="O40" s="8" t="n">
        <v>5</v>
      </c>
      <c r="P40" s="9" t="n">
        <v>11.3634184367257</v>
      </c>
      <c r="Q40" s="10" t="n">
        <v>0.0880016876583614</v>
      </c>
      <c r="R40" s="9" t="n">
        <v>10</v>
      </c>
      <c r="S40" s="12" t="n">
        <f aca="false">IF(AND(ISNUMBER(R40),R40&gt;1,P40&gt;0),R40/P40-1,"")</f>
        <v>-0.119983123416386</v>
      </c>
      <c r="T40" s="9" t="n">
        <f aca="false">IF(AND(ISNUMBER(P40),P40&gt;0),P40*EXP('Read me'!$B$22),"")</f>
        <v>13.8793106207449</v>
      </c>
    </row>
    <row r="41" customFormat="false" ht="15" hidden="false" customHeight="false" outlineLevel="0" collapsed="false">
      <c r="A41" s="15" t="s">
        <v>162</v>
      </c>
      <c r="B41" s="15" t="s">
        <v>42</v>
      </c>
      <c r="C41" s="15" t="s">
        <v>163</v>
      </c>
      <c r="D41" s="15"/>
      <c r="E41" s="16" t="n">
        <v>7</v>
      </c>
      <c r="F41" s="15" t="s">
        <v>357</v>
      </c>
      <c r="G41" s="8" t="n">
        <v>14</v>
      </c>
      <c r="H41" s="15" t="s">
        <v>719</v>
      </c>
      <c r="I41" s="15" t="s">
        <v>441</v>
      </c>
      <c r="J41" s="15" t="s">
        <v>621</v>
      </c>
      <c r="K41" s="8" t="n">
        <v>6</v>
      </c>
      <c r="L41" s="8" t="n">
        <v>67</v>
      </c>
      <c r="M41" s="8" t="n">
        <v>3</v>
      </c>
      <c r="N41" s="8" t="n">
        <v>19</v>
      </c>
      <c r="O41" s="8" t="n">
        <v>6</v>
      </c>
      <c r="P41" s="9" t="n">
        <v>11.6392811664478</v>
      </c>
      <c r="Q41" s="10" t="n">
        <v>0.085915958700497</v>
      </c>
      <c r="R41" s="9" t="n">
        <v>13</v>
      </c>
      <c r="S41" s="12" t="n">
        <f aca="false">IF(AND(ISNUMBER(R41),R41&gt;1,P41&gt;0),R41/P41-1,"")</f>
        <v>0.116907463106462</v>
      </c>
      <c r="T41" s="9" t="n">
        <f aca="false">IF(AND(ISNUMBER(P41),P41&gt;0),P41*EXP('Read me'!$B$22),"")</f>
        <v>14.216250119701</v>
      </c>
    </row>
    <row r="42" customFormat="false" ht="15" hidden="false" customHeight="false" outlineLevel="0" collapsed="false">
      <c r="A42" s="15" t="s">
        <v>162</v>
      </c>
      <c r="B42" s="15" t="s">
        <v>42</v>
      </c>
      <c r="C42" s="15" t="s">
        <v>163</v>
      </c>
      <c r="D42" s="15"/>
      <c r="E42" s="16" t="n">
        <v>7</v>
      </c>
      <c r="F42" s="15" t="s">
        <v>357</v>
      </c>
      <c r="G42" s="8" t="n">
        <v>14</v>
      </c>
      <c r="H42" s="15" t="s">
        <v>720</v>
      </c>
      <c r="I42" s="15" t="s">
        <v>368</v>
      </c>
      <c r="J42" s="15" t="s">
        <v>721</v>
      </c>
      <c r="K42" s="8" t="n">
        <v>13</v>
      </c>
      <c r="L42" s="8" t="n">
        <v>64</v>
      </c>
      <c r="M42" s="8" t="n">
        <v>4</v>
      </c>
      <c r="N42" s="8" t="n">
        <v>7</v>
      </c>
      <c r="O42" s="8" t="n">
        <v>7</v>
      </c>
      <c r="P42" s="9" t="n">
        <v>14.8842194708385</v>
      </c>
      <c r="Q42" s="10" t="n">
        <v>0.0671852495832395</v>
      </c>
      <c r="R42" s="9" t="n">
        <v>8.5</v>
      </c>
      <c r="S42" s="12" t="n">
        <f aca="false">IF(AND(ISNUMBER(R42),R42&gt;1,P42&gt;0),R42/P42-1,"")</f>
        <v>-0.428925378542464</v>
      </c>
      <c r="T42" s="9" t="n">
        <f aca="false">IF(AND(ISNUMBER(P42),P42&gt;0),P42*EXP('Read me'!$B$22),"")</f>
        <v>18.1796267147435</v>
      </c>
    </row>
    <row r="43" customFormat="false" ht="15" hidden="false" customHeight="false" outlineLevel="0" collapsed="false">
      <c r="A43" s="15" t="s">
        <v>162</v>
      </c>
      <c r="B43" s="15" t="s">
        <v>42</v>
      </c>
      <c r="C43" s="15" t="s">
        <v>163</v>
      </c>
      <c r="D43" s="15"/>
      <c r="E43" s="16" t="n">
        <v>7</v>
      </c>
      <c r="F43" s="15" t="s">
        <v>357</v>
      </c>
      <c r="G43" s="8" t="n">
        <v>14</v>
      </c>
      <c r="H43" s="15" t="s">
        <v>722</v>
      </c>
      <c r="I43" s="15" t="s">
        <v>542</v>
      </c>
      <c r="J43" s="15" t="s">
        <v>723</v>
      </c>
      <c r="K43" s="8" t="n">
        <v>16</v>
      </c>
      <c r="L43" s="8" t="n">
        <v>63</v>
      </c>
      <c r="M43" s="8" t="n">
        <v>3</v>
      </c>
      <c r="N43" s="8" t="n">
        <v>39</v>
      </c>
      <c r="O43" s="8" t="n">
        <v>8</v>
      </c>
      <c r="P43" s="9" t="n">
        <v>15.7080464302404</v>
      </c>
      <c r="Q43" s="10" t="n">
        <v>0.0636616401944704</v>
      </c>
      <c r="R43" s="9" t="n">
        <v>6</v>
      </c>
      <c r="S43" s="12" t="n">
        <f aca="false">IF(AND(ISNUMBER(R43),R43&gt;1,P43&gt;0),R43/P43-1,"")</f>
        <v>-0.618030158833177</v>
      </c>
      <c r="T43" s="9" t="n">
        <f aca="false">IF(AND(ISNUMBER(P43),P43&gt;0),P43*EXP('Read me'!$B$22),"")</f>
        <v>19.1858512352036</v>
      </c>
    </row>
    <row r="44" customFormat="false" ht="15" hidden="false" customHeight="false" outlineLevel="0" collapsed="false">
      <c r="A44" s="15" t="s">
        <v>162</v>
      </c>
      <c r="B44" s="15" t="s">
        <v>42</v>
      </c>
      <c r="C44" s="15" t="s">
        <v>163</v>
      </c>
      <c r="D44" s="15"/>
      <c r="E44" s="16" t="n">
        <v>7</v>
      </c>
      <c r="F44" s="15" t="s">
        <v>357</v>
      </c>
      <c r="G44" s="8" t="n">
        <v>14</v>
      </c>
      <c r="H44" s="15" t="s">
        <v>724</v>
      </c>
      <c r="I44" s="15" t="s">
        <v>725</v>
      </c>
      <c r="J44" s="15" t="s">
        <v>715</v>
      </c>
      <c r="K44" s="8" t="n">
        <v>14</v>
      </c>
      <c r="L44" s="8" t="n">
        <v>62</v>
      </c>
      <c r="M44" s="8" t="n">
        <v>5</v>
      </c>
      <c r="N44" s="8" t="n">
        <v>10</v>
      </c>
      <c r="O44" s="8" t="n">
        <v>9</v>
      </c>
      <c r="P44" s="9" t="n">
        <v>16.350175127107</v>
      </c>
      <c r="Q44" s="10" t="n">
        <v>0.0611614244022437</v>
      </c>
      <c r="R44" s="9" t="n">
        <v>13</v>
      </c>
      <c r="S44" s="12" t="n">
        <f aca="false">IF(AND(ISNUMBER(R44),R44&gt;1,P44&gt;0),R44/P44-1,"")</f>
        <v>-0.204901482770831</v>
      </c>
      <c r="T44" s="9" t="n">
        <f aca="false">IF(AND(ISNUMBER(P44),P44&gt;0),P44*EXP('Read me'!$B$22),"")</f>
        <v>19.9701489966503</v>
      </c>
    </row>
    <row r="45" customFormat="false" ht="15" hidden="false" customHeight="false" outlineLevel="0" collapsed="false">
      <c r="A45" s="15" t="s">
        <v>162</v>
      </c>
      <c r="B45" s="15" t="s">
        <v>42</v>
      </c>
      <c r="C45" s="15" t="s">
        <v>163</v>
      </c>
      <c r="D45" s="15"/>
      <c r="E45" s="16" t="n">
        <v>7</v>
      </c>
      <c r="F45" s="15" t="s">
        <v>357</v>
      </c>
      <c r="G45" s="8" t="n">
        <v>14</v>
      </c>
      <c r="H45" s="15" t="s">
        <v>726</v>
      </c>
      <c r="I45" s="15" t="s">
        <v>448</v>
      </c>
      <c r="J45" s="15" t="s">
        <v>396</v>
      </c>
      <c r="K45" s="8" t="n">
        <v>10</v>
      </c>
      <c r="L45" s="8" t="n">
        <v>62</v>
      </c>
      <c r="M45" s="8" t="n">
        <v>3</v>
      </c>
      <c r="N45" s="8" t="n">
        <v>52</v>
      </c>
      <c r="O45" s="8" t="n">
        <v>10</v>
      </c>
      <c r="P45" s="9" t="n">
        <v>17.3353043943314</v>
      </c>
      <c r="Q45" s="10" t="n">
        <v>0.0576857479541573</v>
      </c>
      <c r="R45" s="9" t="n">
        <v>12</v>
      </c>
      <c r="S45" s="12" t="n">
        <f aca="false">IF(AND(ISNUMBER(R45),R45&gt;1,P45&gt;0),R45/P45-1,"")</f>
        <v>-0.307771024550112</v>
      </c>
      <c r="T45" s="9" t="n">
        <f aca="false">IF(AND(ISNUMBER(P45),P45&gt;0),P45*EXP('Read me'!$B$22),"")</f>
        <v>21.1733886007825</v>
      </c>
    </row>
    <row r="46" customFormat="false" ht="15" hidden="false" customHeight="false" outlineLevel="0" collapsed="false">
      <c r="A46" s="15" t="s">
        <v>162</v>
      </c>
      <c r="B46" s="15" t="s">
        <v>42</v>
      </c>
      <c r="C46" s="15" t="s">
        <v>163</v>
      </c>
      <c r="D46" s="15"/>
      <c r="E46" s="16" t="n">
        <v>7</v>
      </c>
      <c r="F46" s="15" t="s">
        <v>357</v>
      </c>
      <c r="G46" s="8" t="n">
        <v>14</v>
      </c>
      <c r="H46" s="15" t="s">
        <v>727</v>
      </c>
      <c r="I46" s="15" t="s">
        <v>628</v>
      </c>
      <c r="J46" s="15" t="s">
        <v>728</v>
      </c>
      <c r="K46" s="8" t="n">
        <v>3</v>
      </c>
      <c r="L46" s="8" t="n">
        <v>60</v>
      </c>
      <c r="M46" s="8" t="n">
        <v>5</v>
      </c>
      <c r="N46" s="8" t="n">
        <v>20</v>
      </c>
      <c r="O46" s="8" t="n">
        <v>11</v>
      </c>
      <c r="P46" s="9" t="n">
        <v>24.7139283755083</v>
      </c>
      <c r="Q46" s="10" t="n">
        <v>0.0404630127920499</v>
      </c>
      <c r="R46" s="9" t="n">
        <v>9.5</v>
      </c>
      <c r="S46" s="12" t="n">
        <f aca="false">IF(AND(ISNUMBER(R46),R46&gt;1,P46&gt;0),R46/P46-1,"")</f>
        <v>-0.615601378475525</v>
      </c>
      <c r="T46" s="9" t="n">
        <f aca="false">IF(AND(ISNUMBER(P46),P46&gt;0),P46*EXP('Read me'!$B$22),"")</f>
        <v>30.1856602828188</v>
      </c>
    </row>
    <row r="47" customFormat="false" ht="15" hidden="false" customHeight="false" outlineLevel="0" collapsed="false">
      <c r="A47" s="15" t="s">
        <v>162</v>
      </c>
      <c r="B47" s="15" t="s">
        <v>42</v>
      </c>
      <c r="C47" s="15" t="s">
        <v>163</v>
      </c>
      <c r="D47" s="15"/>
      <c r="E47" s="16" t="n">
        <v>7</v>
      </c>
      <c r="F47" s="15" t="s">
        <v>357</v>
      </c>
      <c r="G47" s="8" t="n">
        <v>14</v>
      </c>
      <c r="H47" s="15" t="s">
        <v>729</v>
      </c>
      <c r="I47" s="15" t="s">
        <v>630</v>
      </c>
      <c r="J47" s="15" t="s">
        <v>110</v>
      </c>
      <c r="K47" s="8" t="n">
        <v>4</v>
      </c>
      <c r="L47" s="8" t="n">
        <v>63</v>
      </c>
      <c r="M47" s="8" t="n">
        <v>3</v>
      </c>
      <c r="N47" s="8" t="n">
        <v>3</v>
      </c>
      <c r="O47" s="8" t="n">
        <v>12</v>
      </c>
      <c r="P47" s="9" t="n">
        <v>52.6872159771894</v>
      </c>
      <c r="Q47" s="10" t="n">
        <v>0.018979936241705</v>
      </c>
      <c r="R47" s="9" t="n">
        <v>21</v>
      </c>
      <c r="S47" s="12" t="n">
        <f aca="false">IF(AND(ISNUMBER(R47),R47&gt;1,P47&gt;0),R47/P47-1,"")</f>
        <v>-0.601421338924194</v>
      </c>
      <c r="T47" s="9" t="n">
        <f aca="false">IF(AND(ISNUMBER(P47),P47&gt;0),P47*EXP('Read me'!$B$22),"")</f>
        <v>64.3523109143197</v>
      </c>
    </row>
    <row r="48" customFormat="false" ht="15" hidden="false" customHeight="false" outlineLevel="0" collapsed="false">
      <c r="A48" s="15" t="s">
        <v>162</v>
      </c>
      <c r="B48" s="15" t="s">
        <v>42</v>
      </c>
      <c r="C48" s="15" t="s">
        <v>163</v>
      </c>
      <c r="D48" s="15"/>
      <c r="E48" s="16" t="n">
        <v>7</v>
      </c>
      <c r="F48" s="15" t="s">
        <v>357</v>
      </c>
      <c r="G48" s="8" t="n">
        <v>14</v>
      </c>
      <c r="H48" s="15" t="s">
        <v>730</v>
      </c>
      <c r="I48" s="15" t="s">
        <v>731</v>
      </c>
      <c r="J48" s="15" t="s">
        <v>110</v>
      </c>
      <c r="K48" s="8" t="n">
        <v>8</v>
      </c>
      <c r="L48" s="8" t="n">
        <v>62</v>
      </c>
      <c r="M48" s="8" t="n">
        <v>3</v>
      </c>
      <c r="N48" s="8" t="n">
        <v>39</v>
      </c>
      <c r="O48" s="8" t="n">
        <v>13</v>
      </c>
      <c r="P48" s="9" t="n">
        <v>70.0709141665116</v>
      </c>
      <c r="Q48" s="10" t="n">
        <v>0.0142712566532765</v>
      </c>
      <c r="R48" s="9" t="n">
        <v>41</v>
      </c>
      <c r="S48" s="12" t="n">
        <f aca="false">IF(AND(ISNUMBER(R48),R48&gt;1,P48&gt;0),R48/P48-1,"")</f>
        <v>-0.414878477215661</v>
      </c>
      <c r="T48" s="9" t="n">
        <f aca="false">IF(AND(ISNUMBER(P48),P48&gt;0),P48*EXP('Read me'!$B$22),"")</f>
        <v>85.5848078297818</v>
      </c>
    </row>
    <row r="49" customFormat="false" ht="15" hidden="false" customHeight="false" outlineLevel="0" collapsed="false">
      <c r="A49" s="15" t="s">
        <v>162</v>
      </c>
      <c r="B49" s="15" t="s">
        <v>42</v>
      </c>
      <c r="C49" s="15" t="s">
        <v>163</v>
      </c>
      <c r="D49" s="15"/>
      <c r="E49" s="16" t="n">
        <v>7</v>
      </c>
      <c r="F49" s="15" t="s">
        <v>357</v>
      </c>
      <c r="G49" s="8" t="n">
        <v>14</v>
      </c>
      <c r="H49" s="15" t="s">
        <v>732</v>
      </c>
      <c r="I49" s="15" t="s">
        <v>733</v>
      </c>
      <c r="J49" s="15" t="s">
        <v>734</v>
      </c>
      <c r="K49" s="8" t="n">
        <v>11</v>
      </c>
      <c r="L49" s="8" t="n">
        <v>65</v>
      </c>
      <c r="M49" s="8" t="n">
        <v>4</v>
      </c>
      <c r="N49" s="8" t="n">
        <v>10</v>
      </c>
      <c r="O49" s="8" t="n">
        <v>14</v>
      </c>
      <c r="P49" s="9" t="n">
        <v>137.490726155791</v>
      </c>
      <c r="Q49" s="10" t="n">
        <v>0.0072732178231926</v>
      </c>
      <c r="R49" s="9" t="n">
        <v>26</v>
      </c>
      <c r="S49" s="12" t="n">
        <f aca="false">IF(AND(ISNUMBER(R49),R49&gt;1,P49&gt;0),R49/P49-1,"")</f>
        <v>-0.810896336596991</v>
      </c>
      <c r="T49" s="9" t="n">
        <f aca="false">IF(AND(ISNUMBER(P49),P49&gt;0),P49*EXP('Read me'!$B$22),"")</f>
        <v>167.931552148128</v>
      </c>
    </row>
    <row r="50" customFormat="false" ht="15" hidden="false" customHeight="false" outlineLevel="0" collapsed="false">
      <c r="A50" s="15" t="s">
        <v>189</v>
      </c>
      <c r="B50" s="15" t="s">
        <v>42</v>
      </c>
      <c r="C50" s="15" t="s">
        <v>190</v>
      </c>
      <c r="D50" s="15"/>
      <c r="E50" s="16" t="n">
        <v>11</v>
      </c>
      <c r="F50" s="15" t="s">
        <v>357</v>
      </c>
      <c r="G50" s="8" t="n">
        <v>14</v>
      </c>
      <c r="H50" s="15" t="s">
        <v>191</v>
      </c>
      <c r="I50" s="15" t="s">
        <v>45</v>
      </c>
      <c r="J50" s="15" t="s">
        <v>110</v>
      </c>
      <c r="K50" s="8" t="n">
        <v>13</v>
      </c>
      <c r="L50" s="8" t="n">
        <v>58</v>
      </c>
      <c r="M50" s="8" t="n">
        <v>3</v>
      </c>
      <c r="N50" s="8" t="n">
        <v>24</v>
      </c>
      <c r="O50" s="8" t="n">
        <v>1</v>
      </c>
      <c r="P50" s="9" t="n">
        <v>3.56755407122095</v>
      </c>
      <c r="Q50" s="10" t="n">
        <v>0.280304090712145</v>
      </c>
      <c r="R50" s="9" t="n">
        <v>3.75</v>
      </c>
      <c r="S50" s="12" t="n">
        <f aca="false">IF(AND(ISNUMBER(R50),R50&gt;1,P50&gt;0),R50/P50-1,"")</f>
        <v>0.0511403401705435</v>
      </c>
      <c r="T50" s="9" t="n">
        <f aca="false">IF(AND(ISNUMBER(P50),P50&gt;0),P50*EXP('Read me'!$B$22),"")</f>
        <v>4.35742038247482</v>
      </c>
    </row>
    <row r="51" customFormat="false" ht="15" hidden="false" customHeight="false" outlineLevel="0" collapsed="false">
      <c r="A51" s="15" t="s">
        <v>189</v>
      </c>
      <c r="B51" s="15" t="s">
        <v>42</v>
      </c>
      <c r="C51" s="15" t="s">
        <v>190</v>
      </c>
      <c r="D51" s="15"/>
      <c r="E51" s="16" t="n">
        <v>11</v>
      </c>
      <c r="F51" s="15" t="s">
        <v>357</v>
      </c>
      <c r="G51" s="8" t="n">
        <v>14</v>
      </c>
      <c r="H51" s="15" t="s">
        <v>192</v>
      </c>
      <c r="I51" s="15" t="s">
        <v>362</v>
      </c>
      <c r="J51" s="15" t="s">
        <v>110</v>
      </c>
      <c r="K51" s="8" t="n">
        <v>9</v>
      </c>
      <c r="L51" s="8" t="n">
        <v>55</v>
      </c>
      <c r="M51" s="8" t="n">
        <v>3</v>
      </c>
      <c r="N51" s="8" t="n">
        <v>3</v>
      </c>
      <c r="O51" s="8" t="n">
        <v>2</v>
      </c>
      <c r="P51" s="9" t="n">
        <v>6.92613874147488</v>
      </c>
      <c r="Q51" s="10" t="n">
        <v>0.144380590300889</v>
      </c>
      <c r="R51" s="9" t="n">
        <v>6</v>
      </c>
      <c r="S51" s="12" t="n">
        <f aca="false">IF(AND(ISNUMBER(R51),R51&gt;1,P51&gt;0),R51/P51-1,"")</f>
        <v>-0.133716458194666</v>
      </c>
      <c r="T51" s="9" t="n">
        <f aca="false">IF(AND(ISNUMBER(P51),P51&gt;0),P51*EXP('Read me'!$B$22),"")</f>
        <v>8.45960496223743</v>
      </c>
    </row>
    <row r="52" customFormat="false" ht="15" hidden="false" customHeight="false" outlineLevel="0" collapsed="false">
      <c r="A52" s="15" t="s">
        <v>189</v>
      </c>
      <c r="B52" s="15" t="s">
        <v>42</v>
      </c>
      <c r="C52" s="15" t="s">
        <v>190</v>
      </c>
      <c r="D52" s="15"/>
      <c r="E52" s="16" t="n">
        <v>11</v>
      </c>
      <c r="F52" s="15" t="s">
        <v>357</v>
      </c>
      <c r="G52" s="8" t="n">
        <v>14</v>
      </c>
      <c r="H52" s="15" t="s">
        <v>783</v>
      </c>
      <c r="I52" s="15" t="s">
        <v>450</v>
      </c>
      <c r="J52" s="15" t="s">
        <v>80</v>
      </c>
      <c r="K52" s="8" t="n">
        <v>2</v>
      </c>
      <c r="L52" s="8" t="n">
        <v>51</v>
      </c>
      <c r="M52" s="8" t="n">
        <v>3</v>
      </c>
      <c r="N52" s="8" t="n">
        <v>10</v>
      </c>
      <c r="O52" s="8" t="n">
        <v>3</v>
      </c>
      <c r="P52" s="9" t="n">
        <v>10.3400464369868</v>
      </c>
      <c r="Q52" s="10" t="n">
        <v>0.0967113645082824</v>
      </c>
      <c r="R52" s="9" t="n">
        <v>15</v>
      </c>
      <c r="S52" s="12" t="n">
        <f aca="false">IF(AND(ISNUMBER(R52),R52&gt;1,P52&gt;0),R52/P52-1,"")</f>
        <v>0.450670467624236</v>
      </c>
      <c r="T52" s="9" t="n">
        <f aca="false">IF(AND(ISNUMBER(P52),P52&gt;0),P52*EXP('Read me'!$B$22),"")</f>
        <v>12.62936123764</v>
      </c>
    </row>
    <row r="53" customFormat="false" ht="15" hidden="false" customHeight="false" outlineLevel="0" collapsed="false">
      <c r="A53" s="15" t="s">
        <v>189</v>
      </c>
      <c r="B53" s="15" t="s">
        <v>42</v>
      </c>
      <c r="C53" s="15" t="s">
        <v>190</v>
      </c>
      <c r="D53" s="15"/>
      <c r="E53" s="16" t="n">
        <v>11</v>
      </c>
      <c r="F53" s="15" t="s">
        <v>357</v>
      </c>
      <c r="G53" s="8" t="n">
        <v>14</v>
      </c>
      <c r="H53" s="15" t="s">
        <v>784</v>
      </c>
      <c r="I53" s="15" t="s">
        <v>438</v>
      </c>
      <c r="J53" s="15" t="s">
        <v>785</v>
      </c>
      <c r="K53" s="8" t="n">
        <v>8</v>
      </c>
      <c r="L53" s="8" t="n">
        <v>46</v>
      </c>
      <c r="M53" s="8" t="n">
        <v>6</v>
      </c>
      <c r="N53" s="8" t="n">
        <v>24</v>
      </c>
      <c r="O53" s="8" t="n">
        <v>4</v>
      </c>
      <c r="P53" s="9" t="n">
        <v>11.8106480860453</v>
      </c>
      <c r="Q53" s="10" t="n">
        <v>0.0846693587612296</v>
      </c>
      <c r="R53" s="9" t="n">
        <v>7</v>
      </c>
      <c r="S53" s="12" t="n">
        <f aca="false">IF(AND(ISNUMBER(R53),R53&gt;1,P53&gt;0),R53/P53-1,"")</f>
        <v>-0.407314488671392</v>
      </c>
      <c r="T53" s="9" t="n">
        <f aca="false">IF(AND(ISNUMBER(P53),P53&gt;0),P53*EXP('Read me'!$B$22),"")</f>
        <v>14.4255581479549</v>
      </c>
    </row>
    <row r="54" customFormat="false" ht="15" hidden="false" customHeight="false" outlineLevel="0" collapsed="false">
      <c r="A54" s="15" t="s">
        <v>189</v>
      </c>
      <c r="B54" s="15" t="s">
        <v>42</v>
      </c>
      <c r="C54" s="15" t="s">
        <v>190</v>
      </c>
      <c r="D54" s="15"/>
      <c r="E54" s="16" t="n">
        <v>11</v>
      </c>
      <c r="F54" s="15" t="s">
        <v>357</v>
      </c>
      <c r="G54" s="8" t="n">
        <v>14</v>
      </c>
      <c r="H54" s="15" t="s">
        <v>786</v>
      </c>
      <c r="I54" s="15" t="s">
        <v>619</v>
      </c>
      <c r="J54" s="15" t="s">
        <v>256</v>
      </c>
      <c r="K54" s="8" t="n">
        <v>6</v>
      </c>
      <c r="L54" s="8" t="n">
        <v>54</v>
      </c>
      <c r="M54" s="8" t="n">
        <v>3</v>
      </c>
      <c r="N54" s="8" t="n">
        <v>13</v>
      </c>
      <c r="O54" s="8" t="n">
        <v>5</v>
      </c>
      <c r="P54" s="9" t="n">
        <v>11.8559554138483</v>
      </c>
      <c r="Q54" s="10" t="n">
        <v>0.0843457962765237</v>
      </c>
      <c r="R54" s="9" t="n">
        <v>6</v>
      </c>
      <c r="S54" s="12" t="n">
        <f aca="false">IF(AND(ISNUMBER(R54),R54&gt;1,P54&gt;0),R54/P54-1,"")</f>
        <v>-0.493925222340858</v>
      </c>
      <c r="T54" s="9" t="n">
        <f aca="false">IF(AND(ISNUMBER(P54),P54&gt;0),P54*EXP('Read me'!$B$22),"")</f>
        <v>14.4808966430983</v>
      </c>
    </row>
    <row r="55" customFormat="false" ht="15" hidden="false" customHeight="false" outlineLevel="0" collapsed="false">
      <c r="A55" s="15" t="s">
        <v>189</v>
      </c>
      <c r="B55" s="15" t="s">
        <v>42</v>
      </c>
      <c r="C55" s="15" t="s">
        <v>190</v>
      </c>
      <c r="D55" s="15"/>
      <c r="E55" s="16" t="n">
        <v>11</v>
      </c>
      <c r="F55" s="15" t="s">
        <v>357</v>
      </c>
      <c r="G55" s="8" t="n">
        <v>14</v>
      </c>
      <c r="H55" s="15" t="s">
        <v>787</v>
      </c>
      <c r="I55" s="15" t="s">
        <v>788</v>
      </c>
      <c r="J55" s="15" t="s">
        <v>789</v>
      </c>
      <c r="K55" s="8" t="n">
        <v>7</v>
      </c>
      <c r="L55" s="8" t="n">
        <v>58</v>
      </c>
      <c r="M55" s="8" t="n">
        <v>5</v>
      </c>
      <c r="N55" s="8" t="n">
        <v>24</v>
      </c>
      <c r="O55" s="8" t="n">
        <v>6</v>
      </c>
      <c r="P55" s="9" t="n">
        <v>13.3280514552994</v>
      </c>
      <c r="Q55" s="10" t="n">
        <v>0.075029722338173</v>
      </c>
      <c r="R55" s="9" t="n">
        <v>7</v>
      </c>
      <c r="S55" s="12" t="n">
        <f aca="false">IF(AND(ISNUMBER(R55),R55&gt;1,P55&gt;0),R55/P55-1,"")</f>
        <v>-0.474791943632788</v>
      </c>
      <c r="T55" s="9" t="n">
        <f aca="false">IF(AND(ISNUMBER(P55),P55&gt;0),P55*EXP('Read me'!$B$22),"")</f>
        <v>16.2789188084034</v>
      </c>
    </row>
    <row r="56" customFormat="false" ht="15" hidden="false" customHeight="false" outlineLevel="0" collapsed="false">
      <c r="A56" s="15" t="s">
        <v>189</v>
      </c>
      <c r="B56" s="15" t="s">
        <v>42</v>
      </c>
      <c r="C56" s="15" t="s">
        <v>190</v>
      </c>
      <c r="D56" s="15"/>
      <c r="E56" s="16" t="n">
        <v>11</v>
      </c>
      <c r="F56" s="15" t="s">
        <v>357</v>
      </c>
      <c r="G56" s="8" t="n">
        <v>14</v>
      </c>
      <c r="H56" s="15" t="s">
        <v>790</v>
      </c>
      <c r="I56" s="15" t="s">
        <v>714</v>
      </c>
      <c r="J56" s="15" t="s">
        <v>791</v>
      </c>
      <c r="K56" s="8" t="n">
        <v>10</v>
      </c>
      <c r="L56" s="8" t="n">
        <v>44</v>
      </c>
      <c r="M56" s="8" t="n">
        <v>4</v>
      </c>
      <c r="N56" s="8" t="n">
        <v>26</v>
      </c>
      <c r="O56" s="8" t="n">
        <v>7</v>
      </c>
      <c r="P56" s="9" t="n">
        <v>19.3965391585982</v>
      </c>
      <c r="Q56" s="10" t="n">
        <v>0.0515555889544715</v>
      </c>
      <c r="R56" s="9" t="n">
        <v>12</v>
      </c>
      <c r="S56" s="12" t="n">
        <f aca="false">IF(AND(ISNUMBER(R56),R56&gt;1,P56&gt;0),R56/P56-1,"")</f>
        <v>-0.381332932546341</v>
      </c>
      <c r="T56" s="9" t="n">
        <f aca="false">IF(AND(ISNUMBER(P56),P56&gt;0),P56*EXP('Read me'!$B$22),"")</f>
        <v>23.6909864270736</v>
      </c>
    </row>
    <row r="57" customFormat="false" ht="15" hidden="false" customHeight="false" outlineLevel="0" collapsed="false">
      <c r="A57" s="15" t="s">
        <v>189</v>
      </c>
      <c r="B57" s="15" t="s">
        <v>42</v>
      </c>
      <c r="C57" s="15" t="s">
        <v>190</v>
      </c>
      <c r="D57" s="15"/>
      <c r="E57" s="16" t="n">
        <v>11</v>
      </c>
      <c r="F57" s="15" t="s">
        <v>357</v>
      </c>
      <c r="G57" s="8" t="n">
        <v>14</v>
      </c>
      <c r="H57" s="15" t="s">
        <v>792</v>
      </c>
      <c r="I57" s="15" t="s">
        <v>793</v>
      </c>
      <c r="J57" s="15" t="s">
        <v>794</v>
      </c>
      <c r="K57" s="8" t="n">
        <v>3</v>
      </c>
      <c r="L57" s="8" t="n">
        <v>37</v>
      </c>
      <c r="M57" s="8" t="n">
        <v>6</v>
      </c>
      <c r="N57" s="8" t="n">
        <v>13</v>
      </c>
      <c r="O57" s="8" t="n">
        <v>8</v>
      </c>
      <c r="P57" s="9" t="n">
        <v>19.9541502468454</v>
      </c>
      <c r="Q57" s="10" t="n">
        <v>0.0501148877616621</v>
      </c>
      <c r="R57" s="9" t="n">
        <v>12</v>
      </c>
      <c r="S57" s="12" t="n">
        <f aca="false">IF(AND(ISNUMBER(R57),R57&gt;1,P57&gt;0),R57/P57-1,"")</f>
        <v>-0.398621346860054</v>
      </c>
      <c r="T57" s="9" t="n">
        <f aca="false">IF(AND(ISNUMBER(P57),P57&gt;0),P57*EXP('Read me'!$B$22),"")</f>
        <v>24.3720541482394</v>
      </c>
    </row>
    <row r="58" customFormat="false" ht="15" hidden="false" customHeight="false" outlineLevel="0" collapsed="false">
      <c r="A58" s="15" t="s">
        <v>189</v>
      </c>
      <c r="B58" s="15" t="s">
        <v>42</v>
      </c>
      <c r="C58" s="15" t="s">
        <v>190</v>
      </c>
      <c r="D58" s="15"/>
      <c r="E58" s="16" t="n">
        <v>11</v>
      </c>
      <c r="F58" s="15" t="s">
        <v>357</v>
      </c>
      <c r="G58" s="8" t="n">
        <v>14</v>
      </c>
      <c r="H58" s="15" t="s">
        <v>795</v>
      </c>
      <c r="I58" s="15" t="s">
        <v>796</v>
      </c>
      <c r="J58" s="15" t="s">
        <v>797</v>
      </c>
      <c r="K58" s="8" t="n">
        <v>11</v>
      </c>
      <c r="L58" s="8" t="n">
        <v>38</v>
      </c>
      <c r="M58" s="8" t="n">
        <v>4</v>
      </c>
      <c r="N58" s="8" t="n">
        <v>20</v>
      </c>
      <c r="O58" s="8" t="n">
        <v>9</v>
      </c>
      <c r="P58" s="9" t="n">
        <v>26.7166016725295</v>
      </c>
      <c r="Q58" s="10" t="n">
        <v>0.0374299101456536</v>
      </c>
      <c r="R58" s="9" t="n">
        <v>15</v>
      </c>
      <c r="S58" s="12" t="n">
        <f aca="false">IF(AND(ISNUMBER(R58),R58&gt;1,P58&gt;0),R58/P58-1,"")</f>
        <v>-0.438551347815195</v>
      </c>
      <c r="T58" s="9" t="n">
        <f aca="false">IF(AND(ISNUMBER(P58),P58&gt;0),P58*EXP('Read me'!$B$22),"")</f>
        <v>32.6317309714942</v>
      </c>
    </row>
    <row r="59" customFormat="false" ht="15" hidden="false" customHeight="false" outlineLevel="0" collapsed="false">
      <c r="A59" s="15" t="s">
        <v>189</v>
      </c>
      <c r="B59" s="15" t="s">
        <v>42</v>
      </c>
      <c r="C59" s="15" t="s">
        <v>190</v>
      </c>
      <c r="D59" s="15"/>
      <c r="E59" s="16" t="n">
        <v>11</v>
      </c>
      <c r="F59" s="15" t="s">
        <v>357</v>
      </c>
      <c r="G59" s="8" t="n">
        <v>14</v>
      </c>
      <c r="H59" s="15" t="s">
        <v>798</v>
      </c>
      <c r="I59" s="15" t="s">
        <v>79</v>
      </c>
      <c r="J59" s="15" t="s">
        <v>799</v>
      </c>
      <c r="K59" s="8" t="n">
        <v>12</v>
      </c>
      <c r="L59" s="8" t="n">
        <v>53</v>
      </c>
      <c r="M59" s="8" t="n">
        <v>3</v>
      </c>
      <c r="N59" s="8" t="n">
        <v>283</v>
      </c>
      <c r="O59" s="8" t="n">
        <v>10</v>
      </c>
      <c r="P59" s="9" t="n">
        <v>33.7810646995862</v>
      </c>
      <c r="Q59" s="10" t="n">
        <v>0.0296023825445694</v>
      </c>
      <c r="R59" s="9" t="n">
        <v>41</v>
      </c>
      <c r="S59" s="12" t="n">
        <f aca="false">IF(AND(ISNUMBER(R59),R59&gt;1,P59&gt;0),R59/P59-1,"")</f>
        <v>0.213697684327347</v>
      </c>
      <c r="T59" s="9" t="n">
        <f aca="false">IF(AND(ISNUMBER(P59),P59&gt;0),P59*EXP('Read me'!$B$22),"")</f>
        <v>41.2602855976617</v>
      </c>
    </row>
    <row r="60" customFormat="false" ht="15" hidden="false" customHeight="false" outlineLevel="0" collapsed="false">
      <c r="A60" s="15" t="s">
        <v>189</v>
      </c>
      <c r="B60" s="15" t="s">
        <v>42</v>
      </c>
      <c r="C60" s="15" t="s">
        <v>190</v>
      </c>
      <c r="D60" s="15"/>
      <c r="E60" s="16" t="n">
        <v>11</v>
      </c>
      <c r="F60" s="15" t="s">
        <v>357</v>
      </c>
      <c r="G60" s="8" t="n">
        <v>14</v>
      </c>
      <c r="H60" s="15" t="s">
        <v>800</v>
      </c>
      <c r="I60" s="15" t="s">
        <v>441</v>
      </c>
      <c r="J60" s="15" t="s">
        <v>210</v>
      </c>
      <c r="K60" s="8" t="n">
        <v>4</v>
      </c>
      <c r="L60" s="8" t="n">
        <v>50</v>
      </c>
      <c r="M60" s="8" t="n">
        <v>3</v>
      </c>
      <c r="N60" s="8" t="n">
        <v>28</v>
      </c>
      <c r="O60" s="8" t="n">
        <v>11</v>
      </c>
      <c r="P60" s="9" t="n">
        <v>37.8099444387886</v>
      </c>
      <c r="Q60" s="10" t="n">
        <v>0.0264480684868215</v>
      </c>
      <c r="R60" s="9" t="n">
        <v>34</v>
      </c>
      <c r="S60" s="12" t="n">
        <f aca="false">IF(AND(ISNUMBER(R60),R60&gt;1,P60&gt;0),R60/P60-1,"")</f>
        <v>-0.100765671448067</v>
      </c>
      <c r="T60" s="9" t="n">
        <f aca="false">IF(AND(ISNUMBER(P60),P60&gt;0),P60*EXP('Read me'!$B$22),"")</f>
        <v>46.1811704234192</v>
      </c>
    </row>
    <row r="61" customFormat="false" ht="15" hidden="false" customHeight="false" outlineLevel="0" collapsed="false">
      <c r="A61" s="15" t="s">
        <v>189</v>
      </c>
      <c r="B61" s="15" t="s">
        <v>42</v>
      </c>
      <c r="C61" s="15" t="s">
        <v>190</v>
      </c>
      <c r="D61" s="15"/>
      <c r="E61" s="16" t="n">
        <v>11</v>
      </c>
      <c r="F61" s="15" t="s">
        <v>357</v>
      </c>
      <c r="G61" s="8" t="n">
        <v>14</v>
      </c>
      <c r="H61" s="15" t="s">
        <v>801</v>
      </c>
      <c r="I61" s="15" t="s">
        <v>542</v>
      </c>
      <c r="J61" s="15" t="s">
        <v>723</v>
      </c>
      <c r="K61" s="8" t="n">
        <v>1</v>
      </c>
      <c r="L61" s="8" t="n">
        <v>48</v>
      </c>
      <c r="M61" s="8" t="n">
        <v>3</v>
      </c>
      <c r="N61" s="8" t="n">
        <v>13</v>
      </c>
      <c r="O61" s="8" t="n">
        <v>12</v>
      </c>
      <c r="P61" s="9" t="n">
        <v>59.5420867375112</v>
      </c>
      <c r="Q61" s="10" t="n">
        <v>0.0167948430226917</v>
      </c>
      <c r="R61" s="9" t="n">
        <v>19</v>
      </c>
      <c r="S61" s="12" t="n">
        <f aca="false">IF(AND(ISNUMBER(R61),R61&gt;1,P61&gt;0),R61/P61-1,"")</f>
        <v>-0.680897982568856</v>
      </c>
      <c r="T61" s="9" t="n">
        <f aca="false">IF(AND(ISNUMBER(P61),P61&gt;0),P61*EXP('Read me'!$B$22),"")</f>
        <v>72.7248689678083</v>
      </c>
    </row>
    <row r="62" customFormat="false" ht="15" hidden="false" customHeight="false" outlineLevel="0" collapsed="false">
      <c r="A62" s="15" t="s">
        <v>189</v>
      </c>
      <c r="B62" s="15" t="s">
        <v>42</v>
      </c>
      <c r="C62" s="15" t="s">
        <v>190</v>
      </c>
      <c r="D62" s="15"/>
      <c r="E62" s="16" t="n">
        <v>11</v>
      </c>
      <c r="F62" s="15" t="s">
        <v>357</v>
      </c>
      <c r="G62" s="8" t="n">
        <v>14</v>
      </c>
      <c r="H62" s="15" t="s">
        <v>802</v>
      </c>
      <c r="I62" s="15" t="s">
        <v>448</v>
      </c>
      <c r="J62" s="15" t="s">
        <v>803</v>
      </c>
      <c r="K62" s="8" t="n">
        <v>5</v>
      </c>
      <c r="L62" s="8" t="n">
        <v>34</v>
      </c>
      <c r="M62" s="8" t="n">
        <v>8</v>
      </c>
      <c r="N62" s="8" t="n">
        <v>12</v>
      </c>
      <c r="O62" s="8" t="n">
        <v>13</v>
      </c>
      <c r="P62" s="9" t="n">
        <v>61.510766344167</v>
      </c>
      <c r="Q62" s="10" t="n">
        <v>0.0162573165550363</v>
      </c>
      <c r="R62" s="9" t="n">
        <v>51</v>
      </c>
      <c r="S62" s="12" t="n">
        <f aca="false">IF(AND(ISNUMBER(R62),R62&gt;1,P62&gt;0),R62/P62-1,"")</f>
        <v>-0.170876855693145</v>
      </c>
      <c r="T62" s="9" t="n">
        <f aca="false">IF(AND(ISNUMBER(P62),P62&gt;0),P62*EXP('Read me'!$B$22),"")</f>
        <v>75.1294196693113</v>
      </c>
    </row>
    <row r="63" customFormat="false" ht="15" hidden="false" customHeight="false" outlineLevel="0" collapsed="false">
      <c r="A63" s="15" t="s">
        <v>189</v>
      </c>
      <c r="B63" s="15" t="s">
        <v>42</v>
      </c>
      <c r="C63" s="15" t="s">
        <v>190</v>
      </c>
      <c r="D63" s="15"/>
      <c r="E63" s="16" t="n">
        <v>11</v>
      </c>
      <c r="F63" s="15" t="s">
        <v>357</v>
      </c>
      <c r="G63" s="8" t="n">
        <v>14</v>
      </c>
      <c r="H63" s="15" t="s">
        <v>804</v>
      </c>
      <c r="I63" s="15" t="s">
        <v>255</v>
      </c>
      <c r="J63" s="15" t="s">
        <v>728</v>
      </c>
      <c r="K63" s="8" t="n">
        <v>14</v>
      </c>
      <c r="L63" s="8" t="n">
        <v>40</v>
      </c>
      <c r="M63" s="8" t="n">
        <v>5</v>
      </c>
      <c r="N63" s="8" t="n">
        <v>13</v>
      </c>
      <c r="O63" s="8" t="n">
        <v>14</v>
      </c>
      <c r="P63" s="9" t="n">
        <v>157.329684006624</v>
      </c>
      <c r="Q63" s="10" t="n">
        <v>0.0063560796318506</v>
      </c>
      <c r="R63" s="9" t="n">
        <v>41</v>
      </c>
      <c r="S63" s="12" t="n">
        <f aca="false">IF(AND(ISNUMBER(R63),R63&gt;1,P63&gt;0),R63/P63-1,"")</f>
        <v>-0.739400735094124</v>
      </c>
      <c r="T63" s="9" t="n">
        <f aca="false">IF(AND(ISNUMBER(P63),P63&gt;0),P63*EXP('Read me'!$B$22),"")</f>
        <v>192.162909986159</v>
      </c>
    </row>
    <row r="64" customFormat="false" ht="15" hidden="false" customHeight="false" outlineLevel="0" collapsed="false">
      <c r="A64" s="15" t="s">
        <v>223</v>
      </c>
      <c r="B64" s="15" t="s">
        <v>42</v>
      </c>
      <c r="C64" s="15" t="s">
        <v>224</v>
      </c>
      <c r="D64" s="15"/>
      <c r="E64" s="16" t="n">
        <v>11</v>
      </c>
      <c r="F64" s="15" t="s">
        <v>357</v>
      </c>
      <c r="G64" s="8" t="n">
        <v>14</v>
      </c>
      <c r="H64" s="15" t="s">
        <v>225</v>
      </c>
      <c r="I64" s="15" t="s">
        <v>226</v>
      </c>
      <c r="J64" s="15" t="s">
        <v>110</v>
      </c>
      <c r="K64" s="8" t="n">
        <v>13</v>
      </c>
      <c r="L64" s="8" t="n">
        <v>58</v>
      </c>
      <c r="M64" s="8" t="n">
        <v>3</v>
      </c>
      <c r="N64" s="8" t="n">
        <v>3</v>
      </c>
      <c r="O64" s="8" t="n">
        <v>1</v>
      </c>
      <c r="P64" s="9" t="n">
        <v>4.44502883147623</v>
      </c>
      <c r="Q64" s="10" t="n">
        <v>0.224970419295996</v>
      </c>
      <c r="R64" s="9" t="n">
        <v>5</v>
      </c>
      <c r="S64" s="12" t="n">
        <f aca="false">IF(AND(ISNUMBER(R64),R64&gt;1,P64&gt;0),R64/P64-1,"")</f>
        <v>0.124852096479982</v>
      </c>
      <c r="T64" s="9" t="n">
        <f aca="false">IF(AND(ISNUMBER(P64),P64&gt;0),P64*EXP('Read me'!$B$22),"")</f>
        <v>5.42917047486654</v>
      </c>
    </row>
    <row r="65" customFormat="false" ht="15" hidden="false" customHeight="false" outlineLevel="0" collapsed="false">
      <c r="A65" s="15" t="s">
        <v>223</v>
      </c>
      <c r="B65" s="15" t="s">
        <v>42</v>
      </c>
      <c r="C65" s="15" t="s">
        <v>224</v>
      </c>
      <c r="D65" s="15"/>
      <c r="E65" s="16" t="n">
        <v>11</v>
      </c>
      <c r="F65" s="15" t="s">
        <v>357</v>
      </c>
      <c r="G65" s="8" t="n">
        <v>14</v>
      </c>
      <c r="H65" s="15" t="s">
        <v>227</v>
      </c>
      <c r="I65" s="15" t="s">
        <v>441</v>
      </c>
      <c r="J65" s="15" t="s">
        <v>442</v>
      </c>
      <c r="K65" s="8" t="n">
        <v>10</v>
      </c>
      <c r="L65" s="8" t="n">
        <v>60</v>
      </c>
      <c r="M65" s="8" t="n">
        <v>3</v>
      </c>
      <c r="N65" s="8" t="n">
        <v>24</v>
      </c>
      <c r="O65" s="8" t="n">
        <v>2</v>
      </c>
      <c r="P65" s="9" t="n">
        <v>5.07355998801779</v>
      </c>
      <c r="Q65" s="10" t="n">
        <v>0.197100261426236</v>
      </c>
      <c r="R65" s="9" t="n">
        <v>5</v>
      </c>
      <c r="S65" s="12" t="n">
        <f aca="false">IF(AND(ISNUMBER(R65),R65&gt;1,P65&gt;0),R65/P65-1,"")</f>
        <v>-0.014498692868818</v>
      </c>
      <c r="T65" s="9" t="n">
        <f aca="false">IF(AND(ISNUMBER(P65),P65&gt;0),P65*EXP('Read me'!$B$22),"")</f>
        <v>6.19686016305601</v>
      </c>
    </row>
    <row r="66" customFormat="false" ht="15" hidden="false" customHeight="false" outlineLevel="0" collapsed="false">
      <c r="A66" s="15" t="s">
        <v>223</v>
      </c>
      <c r="B66" s="15" t="s">
        <v>42</v>
      </c>
      <c r="C66" s="15" t="s">
        <v>224</v>
      </c>
      <c r="D66" s="15"/>
      <c r="E66" s="16" t="n">
        <v>11</v>
      </c>
      <c r="F66" s="15" t="s">
        <v>357</v>
      </c>
      <c r="G66" s="8" t="n">
        <v>14</v>
      </c>
      <c r="H66" s="15" t="s">
        <v>872</v>
      </c>
      <c r="I66" s="15" t="s">
        <v>79</v>
      </c>
      <c r="J66" s="15" t="s">
        <v>80</v>
      </c>
      <c r="K66" s="8" t="n">
        <v>4</v>
      </c>
      <c r="L66" s="8" t="n">
        <v>50</v>
      </c>
      <c r="M66" s="8" t="n">
        <v>3</v>
      </c>
      <c r="N66" s="8" t="n">
        <v>28</v>
      </c>
      <c r="O66" s="8" t="n">
        <v>3</v>
      </c>
      <c r="P66" s="9" t="n">
        <v>8.10159043669364</v>
      </c>
      <c r="Q66" s="10" t="n">
        <v>0.123432554115647</v>
      </c>
      <c r="R66" s="9" t="n">
        <v>7</v>
      </c>
      <c r="S66" s="12" t="n">
        <f aca="false">IF(AND(ISNUMBER(R66),R66&gt;1,P66&gt;0),R66/P66-1,"")</f>
        <v>-0.135972121190468</v>
      </c>
      <c r="T66" s="9" t="n">
        <f aca="false">IF(AND(ISNUMBER(P66),P66&gt;0),P66*EXP('Read me'!$B$22),"")</f>
        <v>9.89530490486167</v>
      </c>
    </row>
    <row r="67" customFormat="false" ht="15" hidden="false" customHeight="false" outlineLevel="0" collapsed="false">
      <c r="A67" s="15" t="s">
        <v>223</v>
      </c>
      <c r="B67" s="15" t="s">
        <v>42</v>
      </c>
      <c r="C67" s="15" t="s">
        <v>224</v>
      </c>
      <c r="D67" s="15"/>
      <c r="E67" s="16" t="n">
        <v>11</v>
      </c>
      <c r="F67" s="15" t="s">
        <v>357</v>
      </c>
      <c r="G67" s="8" t="n">
        <v>14</v>
      </c>
      <c r="H67" s="15" t="s">
        <v>873</v>
      </c>
      <c r="I67" s="15" t="s">
        <v>45</v>
      </c>
      <c r="J67" s="15" t="s">
        <v>626</v>
      </c>
      <c r="K67" s="8" t="n">
        <v>11</v>
      </c>
      <c r="L67" s="8" t="n">
        <v>41</v>
      </c>
      <c r="M67" s="8" t="n">
        <v>4</v>
      </c>
      <c r="N67" s="8" t="n">
        <v>32</v>
      </c>
      <c r="O67" s="8" t="n">
        <v>4</v>
      </c>
      <c r="P67" s="9" t="n">
        <v>9.66533977008272</v>
      </c>
      <c r="Q67" s="10" t="n">
        <v>0.103462477656017</v>
      </c>
      <c r="R67" s="9" t="n">
        <v>5</v>
      </c>
      <c r="S67" s="12" t="n">
        <f aca="false">IF(AND(ISNUMBER(R67),R67&gt;1,P67&gt;0),R67/P67-1,"")</f>
        <v>-0.482687611719913</v>
      </c>
      <c r="T67" s="9" t="n">
        <f aca="false">IF(AND(ISNUMBER(P67),P67&gt;0),P67*EXP('Read me'!$B$22),"")</f>
        <v>11.8052726537342</v>
      </c>
    </row>
    <row r="68" customFormat="false" ht="15" hidden="false" customHeight="false" outlineLevel="0" collapsed="false">
      <c r="A68" s="15" t="s">
        <v>223</v>
      </c>
      <c r="B68" s="15" t="s">
        <v>42</v>
      </c>
      <c r="C68" s="15" t="s">
        <v>224</v>
      </c>
      <c r="D68" s="15"/>
      <c r="E68" s="16" t="n">
        <v>11</v>
      </c>
      <c r="F68" s="15" t="s">
        <v>357</v>
      </c>
      <c r="G68" s="8" t="n">
        <v>14</v>
      </c>
      <c r="H68" s="15" t="s">
        <v>874</v>
      </c>
      <c r="I68" s="15" t="s">
        <v>438</v>
      </c>
      <c r="J68" s="15" t="s">
        <v>799</v>
      </c>
      <c r="K68" s="8" t="n">
        <v>2</v>
      </c>
      <c r="L68" s="8" t="n">
        <v>59</v>
      </c>
      <c r="M68" s="8" t="n">
        <v>3</v>
      </c>
      <c r="N68" s="8" t="n">
        <v>23</v>
      </c>
      <c r="O68" s="8" t="n">
        <v>5</v>
      </c>
      <c r="P68" s="9" t="n">
        <v>12.8348885942744</v>
      </c>
      <c r="Q68" s="10" t="n">
        <v>0.077912635754867</v>
      </c>
      <c r="R68" s="9" t="n">
        <v>7</v>
      </c>
      <c r="S68" s="12" t="n">
        <f aca="false">IF(AND(ISNUMBER(R68),R68&gt;1,P68&gt;0),R68/P68-1,"")</f>
        <v>-0.454611549715931</v>
      </c>
      <c r="T68" s="9" t="n">
        <f aca="false">IF(AND(ISNUMBER(P68),P68&gt;0),P68*EXP('Read me'!$B$22),"")</f>
        <v>15.6765683297253</v>
      </c>
    </row>
    <row r="69" customFormat="false" ht="15" hidden="false" customHeight="false" outlineLevel="0" collapsed="false">
      <c r="A69" s="15" t="s">
        <v>223</v>
      </c>
      <c r="B69" s="15" t="s">
        <v>42</v>
      </c>
      <c r="C69" s="15" t="s">
        <v>224</v>
      </c>
      <c r="D69" s="15"/>
      <c r="E69" s="16" t="n">
        <v>11</v>
      </c>
      <c r="F69" s="15" t="s">
        <v>357</v>
      </c>
      <c r="G69" s="8" t="n">
        <v>14</v>
      </c>
      <c r="H69" s="15" t="s">
        <v>875</v>
      </c>
      <c r="I69" s="15" t="s">
        <v>796</v>
      </c>
      <c r="J69" s="15" t="s">
        <v>876</v>
      </c>
      <c r="K69" s="8" t="n">
        <v>7</v>
      </c>
      <c r="L69" s="8" t="n">
        <v>45</v>
      </c>
      <c r="M69" s="8" t="n">
        <v>6</v>
      </c>
      <c r="N69" s="8" t="n">
        <v>10</v>
      </c>
      <c r="O69" s="8" t="n">
        <v>6</v>
      </c>
      <c r="P69" s="9" t="n">
        <v>19.8649447050982</v>
      </c>
      <c r="Q69" s="10" t="n">
        <v>0.0503399337297605</v>
      </c>
      <c r="R69" s="9" t="n">
        <v>13</v>
      </c>
      <c r="S69" s="12" t="n">
        <f aca="false">IF(AND(ISNUMBER(R69),R69&gt;1,P69&gt;0),R69/P69-1,"")</f>
        <v>-0.345580861513112</v>
      </c>
      <c r="T69" s="9" t="n">
        <f aca="false">IF(AND(ISNUMBER(P69),P69&gt;0),P69*EXP('Read me'!$B$22),"")</f>
        <v>24.2630982535062</v>
      </c>
    </row>
    <row r="70" customFormat="false" ht="15" hidden="false" customHeight="false" outlineLevel="0" collapsed="false">
      <c r="A70" s="15" t="s">
        <v>223</v>
      </c>
      <c r="B70" s="15" t="s">
        <v>42</v>
      </c>
      <c r="C70" s="15" t="s">
        <v>224</v>
      </c>
      <c r="D70" s="15"/>
      <c r="E70" s="16" t="n">
        <v>11</v>
      </c>
      <c r="F70" s="15" t="s">
        <v>357</v>
      </c>
      <c r="G70" s="8" t="n">
        <v>14</v>
      </c>
      <c r="H70" s="15" t="s">
        <v>877</v>
      </c>
      <c r="I70" s="15" t="s">
        <v>725</v>
      </c>
      <c r="J70" s="15" t="s">
        <v>503</v>
      </c>
      <c r="K70" s="8" t="n">
        <v>5</v>
      </c>
      <c r="L70" s="8" t="n">
        <v>44</v>
      </c>
      <c r="M70" s="8" t="n">
        <v>9</v>
      </c>
      <c r="N70" s="8" t="n">
        <v>23</v>
      </c>
      <c r="O70" s="8" t="n">
        <v>7</v>
      </c>
      <c r="P70" s="9" t="n">
        <v>21.5536341265637</v>
      </c>
      <c r="Q70" s="10" t="n">
        <v>0.0463958882352721</v>
      </c>
      <c r="R70" s="9" t="n">
        <v>17</v>
      </c>
      <c r="S70" s="12" t="n">
        <f aca="false">IF(AND(ISNUMBER(R70),R70&gt;1,P70&gt;0),R70/P70-1,"")</f>
        <v>-0.211269900000373</v>
      </c>
      <c r="T70" s="9" t="n">
        <f aca="false">IF(AND(ISNUMBER(P70),P70&gt;0),P70*EXP('Read me'!$B$22),"")</f>
        <v>26.3256681705601</v>
      </c>
    </row>
    <row r="71" customFormat="false" ht="15" hidden="false" customHeight="false" outlineLevel="0" collapsed="false">
      <c r="A71" s="15" t="s">
        <v>223</v>
      </c>
      <c r="B71" s="15" t="s">
        <v>42</v>
      </c>
      <c r="C71" s="15" t="s">
        <v>224</v>
      </c>
      <c r="D71" s="15"/>
      <c r="E71" s="16" t="n">
        <v>11</v>
      </c>
      <c r="F71" s="15" t="s">
        <v>357</v>
      </c>
      <c r="G71" s="8" t="n">
        <v>14</v>
      </c>
      <c r="H71" s="15" t="s">
        <v>878</v>
      </c>
      <c r="I71" s="15" t="s">
        <v>542</v>
      </c>
      <c r="J71" s="15" t="s">
        <v>723</v>
      </c>
      <c r="K71" s="8" t="n">
        <v>3</v>
      </c>
      <c r="L71" s="8" t="n">
        <v>54</v>
      </c>
      <c r="M71" s="8" t="n">
        <v>3</v>
      </c>
      <c r="N71" s="8" t="n">
        <v>12</v>
      </c>
      <c r="O71" s="8" t="n">
        <v>8</v>
      </c>
      <c r="P71" s="9" t="n">
        <v>23.2735641103831</v>
      </c>
      <c r="Q71" s="10" t="n">
        <v>0.0429672049909135</v>
      </c>
      <c r="R71" s="9" t="n">
        <v>11</v>
      </c>
      <c r="S71" s="12" t="n">
        <f aca="false">IF(AND(ISNUMBER(R71),R71&gt;1,P71&gt;0),R71/P71-1,"")</f>
        <v>-0.527360745099951</v>
      </c>
      <c r="T71" s="9" t="n">
        <f aca="false">IF(AND(ISNUMBER(P71),P71&gt;0),P71*EXP('Read me'!$B$22),"")</f>
        <v>28.4263953966395</v>
      </c>
    </row>
    <row r="72" customFormat="false" ht="15" hidden="false" customHeight="false" outlineLevel="0" collapsed="false">
      <c r="A72" s="15" t="s">
        <v>223</v>
      </c>
      <c r="B72" s="15" t="s">
        <v>42</v>
      </c>
      <c r="C72" s="15" t="s">
        <v>224</v>
      </c>
      <c r="D72" s="15"/>
      <c r="E72" s="16" t="n">
        <v>11</v>
      </c>
      <c r="F72" s="15" t="s">
        <v>357</v>
      </c>
      <c r="G72" s="8" t="n">
        <v>14</v>
      </c>
      <c r="H72" s="15" t="s">
        <v>879</v>
      </c>
      <c r="I72" s="15" t="s">
        <v>368</v>
      </c>
      <c r="J72" s="15" t="s">
        <v>210</v>
      </c>
      <c r="K72" s="8" t="n">
        <v>15</v>
      </c>
      <c r="L72" s="8" t="n">
        <v>39</v>
      </c>
      <c r="M72" s="8" t="n">
        <v>3</v>
      </c>
      <c r="N72" s="8" t="n">
        <v>28</v>
      </c>
      <c r="O72" s="8" t="n">
        <v>9</v>
      </c>
      <c r="P72" s="9" t="n">
        <v>26.0844192980979</v>
      </c>
      <c r="Q72" s="10" t="n">
        <v>0.0383370620051688</v>
      </c>
      <c r="R72" s="9" t="n">
        <v>26</v>
      </c>
      <c r="S72" s="12" t="n">
        <f aca="false">IF(AND(ISNUMBER(R72),R72&gt;1,P72&gt;0),R72/P72-1,"")</f>
        <v>-0.00323638786561054</v>
      </c>
      <c r="T72" s="9" t="n">
        <f aca="false">IF(AND(ISNUMBER(P72),P72&gt;0),P72*EXP('Read me'!$B$22),"")</f>
        <v>31.8595816757031</v>
      </c>
    </row>
    <row r="73" customFormat="false" ht="15" hidden="false" customHeight="false" outlineLevel="0" collapsed="false">
      <c r="A73" s="15" t="s">
        <v>223</v>
      </c>
      <c r="B73" s="15" t="s">
        <v>42</v>
      </c>
      <c r="C73" s="15" t="s">
        <v>224</v>
      </c>
      <c r="D73" s="15"/>
      <c r="E73" s="16" t="n">
        <v>11</v>
      </c>
      <c r="F73" s="15" t="s">
        <v>357</v>
      </c>
      <c r="G73" s="8" t="n">
        <v>14</v>
      </c>
      <c r="H73" s="15" t="s">
        <v>880</v>
      </c>
      <c r="I73" s="15" t="s">
        <v>714</v>
      </c>
      <c r="J73" s="15" t="s">
        <v>474</v>
      </c>
      <c r="K73" s="8" t="n">
        <v>14</v>
      </c>
      <c r="L73" s="8" t="n">
        <v>56</v>
      </c>
      <c r="M73" s="8" t="n">
        <v>3</v>
      </c>
      <c r="N73" s="8" t="n">
        <v>336</v>
      </c>
      <c r="O73" s="8" t="n">
        <v>10</v>
      </c>
      <c r="P73" s="9" t="n">
        <v>29.473201548749</v>
      </c>
      <c r="Q73" s="10" t="n">
        <v>0.0339291270527902</v>
      </c>
      <c r="R73" s="9" t="n">
        <v>12</v>
      </c>
      <c r="S73" s="12" t="n">
        <f aca="false">IF(AND(ISNUMBER(R73),R73&gt;1,P73&gt;0),R73/P73-1,"")</f>
        <v>-0.592850475366517</v>
      </c>
      <c r="T73" s="9" t="n">
        <f aca="false">IF(AND(ISNUMBER(P73),P73&gt;0),P73*EXP('Read me'!$B$22),"")</f>
        <v>35.9986496634527</v>
      </c>
    </row>
    <row r="74" customFormat="false" ht="15" hidden="false" customHeight="false" outlineLevel="0" collapsed="false">
      <c r="A74" s="15" t="s">
        <v>223</v>
      </c>
      <c r="B74" s="15" t="s">
        <v>42</v>
      </c>
      <c r="C74" s="15" t="s">
        <v>224</v>
      </c>
      <c r="D74" s="15"/>
      <c r="E74" s="16" t="n">
        <v>11</v>
      </c>
      <c r="F74" s="15" t="s">
        <v>357</v>
      </c>
      <c r="G74" s="8" t="n">
        <v>14</v>
      </c>
      <c r="H74" s="15" t="s">
        <v>881</v>
      </c>
      <c r="I74" s="15" t="s">
        <v>450</v>
      </c>
      <c r="J74" s="15" t="s">
        <v>80</v>
      </c>
      <c r="K74" s="8" t="n">
        <v>1</v>
      </c>
      <c r="L74" s="8" t="n">
        <v>59</v>
      </c>
      <c r="M74" s="8" t="n">
        <v>3</v>
      </c>
      <c r="N74" s="8" t="n">
        <v>20</v>
      </c>
      <c r="O74" s="8" t="n">
        <v>11</v>
      </c>
      <c r="P74" s="9" t="n">
        <v>38.4237679381998</v>
      </c>
      <c r="Q74" s="10" t="n">
        <v>0.0260255579725649</v>
      </c>
      <c r="R74" s="9" t="n">
        <v>19</v>
      </c>
      <c r="S74" s="12" t="n">
        <f aca="false">IF(AND(ISNUMBER(R74),R74&gt;1,P74&gt;0),R74/P74-1,"")</f>
        <v>-0.505514398521266</v>
      </c>
      <c r="T74" s="9" t="n">
        <f aca="false">IF(AND(ISNUMBER(P74),P74&gt;0),P74*EXP('Read me'!$B$22),"")</f>
        <v>46.9308961386235</v>
      </c>
    </row>
    <row r="75" customFormat="false" ht="15" hidden="false" customHeight="false" outlineLevel="0" collapsed="false">
      <c r="A75" s="15" t="s">
        <v>223</v>
      </c>
      <c r="B75" s="15" t="s">
        <v>42</v>
      </c>
      <c r="C75" s="15" t="s">
        <v>224</v>
      </c>
      <c r="D75" s="15"/>
      <c r="E75" s="16" t="n">
        <v>11</v>
      </c>
      <c r="F75" s="15" t="s">
        <v>357</v>
      </c>
      <c r="G75" s="8" t="n">
        <v>14</v>
      </c>
      <c r="H75" s="15" t="s">
        <v>882</v>
      </c>
      <c r="I75" s="15" t="s">
        <v>138</v>
      </c>
      <c r="J75" s="15" t="s">
        <v>110</v>
      </c>
      <c r="K75" s="8" t="n">
        <v>8</v>
      </c>
      <c r="L75" s="8" t="n">
        <v>53</v>
      </c>
      <c r="M75" s="8" t="n">
        <v>3</v>
      </c>
      <c r="N75" s="8" t="n">
        <v>23</v>
      </c>
      <c r="O75" s="8" t="n">
        <v>12</v>
      </c>
      <c r="P75" s="9" t="n">
        <v>55.8574853836857</v>
      </c>
      <c r="Q75" s="10" t="n">
        <v>0.0179027035164757</v>
      </c>
      <c r="R75" s="9" t="n">
        <v>81</v>
      </c>
      <c r="S75" s="12" t="n">
        <f aca="false">IF(AND(ISNUMBER(R75),R75&gt;1,P75&gt;0),R75/P75-1,"")</f>
        <v>0.450118984834533</v>
      </c>
      <c r="T75" s="9" t="n">
        <f aca="false">IF(AND(ISNUMBER(P75),P75&gt;0),P75*EXP('Read me'!$B$22),"")</f>
        <v>68.224486711525</v>
      </c>
    </row>
    <row r="76" customFormat="false" ht="15" hidden="false" customHeight="false" outlineLevel="0" collapsed="false">
      <c r="A76" s="15" t="s">
        <v>223</v>
      </c>
      <c r="B76" s="15" t="s">
        <v>42</v>
      </c>
      <c r="C76" s="15" t="s">
        <v>224</v>
      </c>
      <c r="D76" s="15"/>
      <c r="E76" s="16" t="n">
        <v>11</v>
      </c>
      <c r="F76" s="15" t="s">
        <v>357</v>
      </c>
      <c r="G76" s="8" t="n">
        <v>14</v>
      </c>
      <c r="H76" s="15" t="s">
        <v>883</v>
      </c>
      <c r="I76" s="15" t="s">
        <v>625</v>
      </c>
      <c r="J76" s="15" t="s">
        <v>493</v>
      </c>
      <c r="K76" s="8" t="n">
        <v>9</v>
      </c>
      <c r="L76" s="8" t="n">
        <v>33</v>
      </c>
      <c r="M76" s="8" t="n">
        <v>5</v>
      </c>
      <c r="N76" s="8" t="n">
        <v>23</v>
      </c>
      <c r="O76" s="8" t="n">
        <v>13</v>
      </c>
      <c r="P76" s="9" t="n">
        <v>116.022739094969</v>
      </c>
      <c r="Q76" s="10" t="n">
        <v>0.008619000101191</v>
      </c>
      <c r="R76" s="9" t="n">
        <v>34</v>
      </c>
      <c r="S76" s="12" t="n">
        <f aca="false">IF(AND(ISNUMBER(R76),R76&gt;1,P76&gt;0),R76/P76-1,"")</f>
        <v>-0.706953996559504</v>
      </c>
      <c r="T76" s="9" t="n">
        <f aca="false">IF(AND(ISNUMBER(P76),P76&gt;0),P76*EXP('Read me'!$B$22),"")</f>
        <v>141.710493539893</v>
      </c>
    </row>
    <row r="77" customFormat="false" ht="15" hidden="false" customHeight="false" outlineLevel="0" collapsed="false">
      <c r="A77" s="15" t="s">
        <v>223</v>
      </c>
      <c r="B77" s="15" t="s">
        <v>42</v>
      </c>
      <c r="C77" s="15" t="s">
        <v>224</v>
      </c>
      <c r="D77" s="15"/>
      <c r="E77" s="16" t="n">
        <v>11</v>
      </c>
      <c r="F77" s="15" t="s">
        <v>357</v>
      </c>
      <c r="G77" s="8" t="n">
        <v>14</v>
      </c>
      <c r="H77" s="15" t="s">
        <v>884</v>
      </c>
      <c r="I77" s="15" t="s">
        <v>885</v>
      </c>
      <c r="J77" s="15" t="s">
        <v>886</v>
      </c>
      <c r="K77" s="8" t="n">
        <v>12</v>
      </c>
      <c r="L77" s="8" t="n">
        <v>35</v>
      </c>
      <c r="M77" s="8" t="n">
        <v>9</v>
      </c>
      <c r="N77" s="8" t="n">
        <v>133</v>
      </c>
      <c r="O77" s="8" t="n">
        <v>14</v>
      </c>
      <c r="P77" s="9" t="n">
        <v>116.209153110191</v>
      </c>
      <c r="Q77" s="10" t="n">
        <v>0.0086051741470982</v>
      </c>
      <c r="R77" s="9" t="n">
        <v>41</v>
      </c>
      <c r="S77" s="12" t="n">
        <f aca="false">IF(AND(ISNUMBER(R77),R77&gt;1,P77&gt;0),R77/P77-1,"")</f>
        <v>-0.647187859968972</v>
      </c>
      <c r="T77" s="9" t="n">
        <f aca="false">IF(AND(ISNUMBER(P77),P77&gt;0),P77*EXP('Read me'!$B$22),"")</f>
        <v>141.938180132245</v>
      </c>
    </row>
    <row r="78" customFormat="false" ht="15" hidden="false" customHeight="false" outlineLevel="0" collapsed="false">
      <c r="A78" s="15" t="s">
        <v>252</v>
      </c>
      <c r="B78" s="15" t="s">
        <v>42</v>
      </c>
      <c r="C78" s="15" t="s">
        <v>253</v>
      </c>
      <c r="D78" s="15"/>
      <c r="E78" s="16" t="n">
        <v>13</v>
      </c>
      <c r="F78" s="15" t="s">
        <v>357</v>
      </c>
      <c r="G78" s="8" t="n">
        <v>14</v>
      </c>
      <c r="H78" s="15" t="s">
        <v>254</v>
      </c>
      <c r="I78" s="15" t="s">
        <v>255</v>
      </c>
      <c r="J78" s="15" t="s">
        <v>256</v>
      </c>
      <c r="K78" s="8" t="n">
        <v>12</v>
      </c>
      <c r="L78" s="8" t="n">
        <v>69</v>
      </c>
      <c r="M78" s="8" t="n">
        <v>4</v>
      </c>
      <c r="N78" s="8" t="n">
        <v>7</v>
      </c>
      <c r="O78" s="8" t="n">
        <v>1</v>
      </c>
      <c r="P78" s="9" t="n">
        <v>5.12959306220176</v>
      </c>
      <c r="Q78" s="10" t="n">
        <v>0.194947238089638</v>
      </c>
      <c r="R78" s="9" t="n">
        <v>6</v>
      </c>
      <c r="S78" s="12" t="n">
        <f aca="false">IF(AND(ISNUMBER(R78),R78&gt;1,P78&gt;0),R78/P78-1,"")</f>
        <v>0.169683428537827</v>
      </c>
      <c r="T78" s="9" t="n">
        <f aca="false">IF(AND(ISNUMBER(P78),P78&gt;0),P78*EXP('Read me'!$B$22),"")</f>
        <v>6.2652991144125</v>
      </c>
    </row>
    <row r="79" customFormat="false" ht="15" hidden="false" customHeight="false" outlineLevel="0" collapsed="false">
      <c r="A79" s="15" t="s">
        <v>252</v>
      </c>
      <c r="B79" s="15" t="s">
        <v>42</v>
      </c>
      <c r="C79" s="15" t="s">
        <v>253</v>
      </c>
      <c r="D79" s="15"/>
      <c r="E79" s="16" t="n">
        <v>13</v>
      </c>
      <c r="F79" s="15" t="s">
        <v>357</v>
      </c>
      <c r="G79" s="8" t="n">
        <v>14</v>
      </c>
      <c r="H79" s="15" t="s">
        <v>257</v>
      </c>
      <c r="I79" s="15" t="s">
        <v>138</v>
      </c>
      <c r="J79" s="15" t="s">
        <v>110</v>
      </c>
      <c r="K79" s="8" t="n">
        <v>4</v>
      </c>
      <c r="L79" s="8" t="n">
        <v>80</v>
      </c>
      <c r="M79" s="8" t="n">
        <v>3</v>
      </c>
      <c r="N79" s="8" t="n">
        <v>28</v>
      </c>
      <c r="O79" s="8" t="n">
        <v>2</v>
      </c>
      <c r="P79" s="9" t="n">
        <v>6.14982356783305</v>
      </c>
      <c r="Q79" s="10" t="n">
        <v>0.162606290891099</v>
      </c>
      <c r="R79" s="9" t="n">
        <v>7.5</v>
      </c>
      <c r="S79" s="12" t="n">
        <f aca="false">IF(AND(ISNUMBER(R79),R79&gt;1,P79&gt;0),R79/P79-1,"")</f>
        <v>0.219547181683246</v>
      </c>
      <c r="T79" s="9" t="n">
        <f aca="false">IF(AND(ISNUMBER(P79),P79&gt;0),P79*EXP('Read me'!$B$22),"")</f>
        <v>7.51141146794971</v>
      </c>
    </row>
    <row r="80" customFormat="false" ht="15" hidden="false" customHeight="false" outlineLevel="0" collapsed="false">
      <c r="A80" s="15" t="s">
        <v>252</v>
      </c>
      <c r="B80" s="15" t="s">
        <v>42</v>
      </c>
      <c r="C80" s="15" t="s">
        <v>253</v>
      </c>
      <c r="D80" s="15"/>
      <c r="E80" s="16" t="n">
        <v>13</v>
      </c>
      <c r="F80" s="15" t="s">
        <v>357</v>
      </c>
      <c r="G80" s="8" t="n">
        <v>14</v>
      </c>
      <c r="H80" s="15" t="s">
        <v>944</v>
      </c>
      <c r="I80" s="15" t="s">
        <v>226</v>
      </c>
      <c r="J80" s="15" t="s">
        <v>121</v>
      </c>
      <c r="K80" s="8" t="n">
        <v>16</v>
      </c>
      <c r="L80" s="8" t="n">
        <v>74</v>
      </c>
      <c r="M80" s="8" t="n">
        <v>5</v>
      </c>
      <c r="N80" s="8" t="n">
        <v>44</v>
      </c>
      <c r="O80" s="8" t="n">
        <v>3</v>
      </c>
      <c r="P80" s="9" t="n">
        <v>6.82182119629523</v>
      </c>
      <c r="Q80" s="10" t="n">
        <v>0.146588421365115</v>
      </c>
      <c r="R80" s="9" t="n">
        <v>3.5</v>
      </c>
      <c r="S80" s="12" t="n">
        <f aca="false">IF(AND(ISNUMBER(R80),R80&gt;1,P80&gt;0),R80/P80-1,"")</f>
        <v>-0.486940525222097</v>
      </c>
      <c r="T80" s="9" t="n">
        <f aca="false">IF(AND(ISNUMBER(P80),P80&gt;0),P80*EXP('Read me'!$B$22),"")</f>
        <v>8.3321912248305</v>
      </c>
    </row>
    <row r="81" customFormat="false" ht="15" hidden="false" customHeight="false" outlineLevel="0" collapsed="false">
      <c r="A81" s="15" t="s">
        <v>252</v>
      </c>
      <c r="B81" s="15" t="s">
        <v>42</v>
      </c>
      <c r="C81" s="15" t="s">
        <v>253</v>
      </c>
      <c r="D81" s="15"/>
      <c r="E81" s="16" t="n">
        <v>13</v>
      </c>
      <c r="F81" s="15" t="s">
        <v>357</v>
      </c>
      <c r="G81" s="8" t="n">
        <v>14</v>
      </c>
      <c r="H81" s="15" t="s">
        <v>945</v>
      </c>
      <c r="I81" s="15" t="s">
        <v>109</v>
      </c>
      <c r="J81" s="15" t="s">
        <v>396</v>
      </c>
      <c r="K81" s="8" t="n">
        <v>7</v>
      </c>
      <c r="L81" s="8" t="n">
        <v>74</v>
      </c>
      <c r="M81" s="8" t="n">
        <v>3</v>
      </c>
      <c r="N81" s="8" t="n">
        <v>31</v>
      </c>
      <c r="O81" s="8" t="n">
        <v>4</v>
      </c>
      <c r="P81" s="9" t="n">
        <v>9.69860943967515</v>
      </c>
      <c r="Q81" s="10" t="n">
        <v>0.10310756466893</v>
      </c>
      <c r="R81" s="9" t="n">
        <v>9</v>
      </c>
      <c r="S81" s="12" t="n">
        <f aca="false">IF(AND(ISNUMBER(R81),R81&gt;1,P81&gt;0),R81/P81-1,"")</f>
        <v>-0.0720319179796308</v>
      </c>
      <c r="T81" s="9" t="n">
        <f aca="false">IF(AND(ISNUMBER(P81),P81&gt;0),P81*EXP('Read me'!$B$22),"")</f>
        <v>11.8459083199375</v>
      </c>
    </row>
    <row r="82" customFormat="false" ht="15" hidden="false" customHeight="false" outlineLevel="0" collapsed="false">
      <c r="A82" s="15" t="s">
        <v>252</v>
      </c>
      <c r="B82" s="15" t="s">
        <v>42</v>
      </c>
      <c r="C82" s="15" t="s">
        <v>253</v>
      </c>
      <c r="D82" s="15"/>
      <c r="E82" s="16" t="n">
        <v>13</v>
      </c>
      <c r="F82" s="15" t="s">
        <v>357</v>
      </c>
      <c r="G82" s="8" t="n">
        <v>14</v>
      </c>
      <c r="H82" s="15" t="s">
        <v>946</v>
      </c>
      <c r="I82" s="15" t="s">
        <v>441</v>
      </c>
      <c r="J82" s="15" t="s">
        <v>442</v>
      </c>
      <c r="K82" s="8" t="n">
        <v>10</v>
      </c>
      <c r="L82" s="8" t="n">
        <v>74</v>
      </c>
      <c r="M82" s="8" t="n">
        <v>5</v>
      </c>
      <c r="N82" s="8" t="n">
        <v>44</v>
      </c>
      <c r="O82" s="8" t="n">
        <v>5</v>
      </c>
      <c r="P82" s="9" t="n">
        <v>12.9018139647535</v>
      </c>
      <c r="Q82" s="10" t="n">
        <v>0.0775084808021493</v>
      </c>
      <c r="R82" s="9" t="n">
        <v>8.5</v>
      </c>
      <c r="S82" s="12" t="n">
        <f aca="false">IF(AND(ISNUMBER(R82),R82&gt;1,P82&gt;0),R82/P82-1,"")</f>
        <v>-0.34117791318173</v>
      </c>
      <c r="T82" s="9" t="n">
        <f aca="false">IF(AND(ISNUMBER(P82),P82&gt;0),P82*EXP('Read me'!$B$22),"")</f>
        <v>15.7583111618193</v>
      </c>
    </row>
    <row r="83" customFormat="false" ht="15" hidden="false" customHeight="false" outlineLevel="0" collapsed="false">
      <c r="A83" s="15" t="s">
        <v>252</v>
      </c>
      <c r="B83" s="15" t="s">
        <v>42</v>
      </c>
      <c r="C83" s="15" t="s">
        <v>253</v>
      </c>
      <c r="D83" s="15"/>
      <c r="E83" s="16" t="n">
        <v>13</v>
      </c>
      <c r="F83" s="15" t="s">
        <v>357</v>
      </c>
      <c r="G83" s="8" t="n">
        <v>14</v>
      </c>
      <c r="H83" s="15" t="s">
        <v>947</v>
      </c>
      <c r="I83" s="15" t="s">
        <v>368</v>
      </c>
      <c r="J83" s="15" t="s">
        <v>721</v>
      </c>
      <c r="K83" s="8" t="n">
        <v>1</v>
      </c>
      <c r="L83" s="8" t="n">
        <v>78</v>
      </c>
      <c r="M83" s="8" t="n">
        <v>5</v>
      </c>
      <c r="N83" s="8" t="n">
        <v>7</v>
      </c>
      <c r="O83" s="8" t="n">
        <v>6</v>
      </c>
      <c r="P83" s="9" t="n">
        <v>14.6328994377659</v>
      </c>
      <c r="Q83" s="10" t="n">
        <v>0.0683391561770124</v>
      </c>
      <c r="R83" s="9" t="n">
        <v>9</v>
      </c>
      <c r="S83" s="12" t="n">
        <f aca="false">IF(AND(ISNUMBER(R83),R83&gt;1,P83&gt;0),R83/P83-1,"")</f>
        <v>-0.384947594406888</v>
      </c>
      <c r="T83" s="9" t="n">
        <f aca="false">IF(AND(ISNUMBER(P83),P83&gt;0),P83*EXP('Read me'!$B$22),"")</f>
        <v>17.8726637331677</v>
      </c>
    </row>
    <row r="84" customFormat="false" ht="15" hidden="false" customHeight="false" outlineLevel="0" collapsed="false">
      <c r="A84" s="15" t="s">
        <v>252</v>
      </c>
      <c r="B84" s="15" t="s">
        <v>42</v>
      </c>
      <c r="C84" s="15" t="s">
        <v>253</v>
      </c>
      <c r="D84" s="15"/>
      <c r="E84" s="16" t="n">
        <v>13</v>
      </c>
      <c r="F84" s="15" t="s">
        <v>357</v>
      </c>
      <c r="G84" s="8" t="n">
        <v>14</v>
      </c>
      <c r="H84" s="15" t="s">
        <v>948</v>
      </c>
      <c r="I84" s="15" t="s">
        <v>438</v>
      </c>
      <c r="J84" s="15" t="s">
        <v>110</v>
      </c>
      <c r="K84" s="8" t="n">
        <v>14</v>
      </c>
      <c r="L84" s="8" t="n">
        <v>71</v>
      </c>
      <c r="M84" s="8" t="n">
        <v>4</v>
      </c>
      <c r="N84" s="8" t="n">
        <v>20</v>
      </c>
      <c r="O84" s="8" t="n">
        <v>7</v>
      </c>
      <c r="P84" s="9" t="n">
        <v>14.8954818783001</v>
      </c>
      <c r="Q84" s="10" t="n">
        <v>0.0671344511154628</v>
      </c>
      <c r="R84" s="9" t="n">
        <v>17</v>
      </c>
      <c r="S84" s="12" t="n">
        <f aca="false">IF(AND(ISNUMBER(R84),R84&gt;1,P84&gt;0),R84/P84-1,"")</f>
        <v>0.141285668962869</v>
      </c>
      <c r="T84" s="9" t="n">
        <f aca="false">IF(AND(ISNUMBER(P84),P84&gt;0),P84*EXP('Read me'!$B$22),"")</f>
        <v>18.1933826502805</v>
      </c>
    </row>
    <row r="85" customFormat="false" ht="15" hidden="false" customHeight="false" outlineLevel="0" collapsed="false">
      <c r="A85" s="15" t="s">
        <v>252</v>
      </c>
      <c r="B85" s="15" t="s">
        <v>42</v>
      </c>
      <c r="C85" s="15" t="s">
        <v>253</v>
      </c>
      <c r="D85" s="15"/>
      <c r="E85" s="16" t="n">
        <v>13</v>
      </c>
      <c r="F85" s="15" t="s">
        <v>357</v>
      </c>
      <c r="G85" s="8" t="n">
        <v>14</v>
      </c>
      <c r="H85" s="15" t="s">
        <v>949</v>
      </c>
      <c r="I85" s="15" t="s">
        <v>950</v>
      </c>
      <c r="J85" s="15" t="s">
        <v>60</v>
      </c>
      <c r="K85" s="8" t="n">
        <v>15</v>
      </c>
      <c r="L85" s="8" t="n">
        <v>76</v>
      </c>
      <c r="M85" s="8" t="n">
        <v>5</v>
      </c>
      <c r="N85" s="8" t="n">
        <v>176</v>
      </c>
      <c r="O85" s="8" t="n">
        <v>8</v>
      </c>
      <c r="P85" s="9" t="n">
        <v>29.05866126727</v>
      </c>
      <c r="Q85" s="10" t="n">
        <v>0.0344131476258454</v>
      </c>
      <c r="R85" s="9" t="n">
        <v>17</v>
      </c>
      <c r="S85" s="12" t="n">
        <f aca="false">IF(AND(ISNUMBER(R85),R85&gt;1,P85&gt;0),R85/P85-1,"")</f>
        <v>-0.414976490360627</v>
      </c>
      <c r="T85" s="9" t="n">
        <f aca="false">IF(AND(ISNUMBER(P85),P85&gt;0),P85*EXP('Read me'!$B$22),"")</f>
        <v>35.4923290202857</v>
      </c>
    </row>
    <row r="86" customFormat="false" ht="15" hidden="false" customHeight="false" outlineLevel="0" collapsed="false">
      <c r="A86" s="15" t="s">
        <v>252</v>
      </c>
      <c r="B86" s="15" t="s">
        <v>42</v>
      </c>
      <c r="C86" s="15" t="s">
        <v>253</v>
      </c>
      <c r="D86" s="15"/>
      <c r="E86" s="16" t="n">
        <v>13</v>
      </c>
      <c r="F86" s="15" t="s">
        <v>357</v>
      </c>
      <c r="G86" s="8" t="n">
        <v>14</v>
      </c>
      <c r="H86" s="15" t="s">
        <v>951</v>
      </c>
      <c r="I86" s="15" t="s">
        <v>450</v>
      </c>
      <c r="J86" s="15" t="s">
        <v>789</v>
      </c>
      <c r="K86" s="8" t="n">
        <v>2</v>
      </c>
      <c r="L86" s="8" t="n">
        <v>75</v>
      </c>
      <c r="M86" s="8" t="n">
        <v>5</v>
      </c>
      <c r="N86" s="8" t="n">
        <v>4</v>
      </c>
      <c r="O86" s="8" t="n">
        <v>9</v>
      </c>
      <c r="P86" s="9" t="n">
        <v>31.8172434955178</v>
      </c>
      <c r="Q86" s="10" t="n">
        <v>0.0314294982889034</v>
      </c>
      <c r="R86" s="9" t="n">
        <v>23</v>
      </c>
      <c r="S86" s="12" t="n">
        <f aca="false">IF(AND(ISNUMBER(R86),R86&gt;1,P86&gt;0),R86/P86-1,"")</f>
        <v>-0.277121539355221</v>
      </c>
      <c r="T86" s="9" t="n">
        <f aca="false">IF(AND(ISNUMBER(P86),P86&gt;0),P86*EXP('Read me'!$B$22),"")</f>
        <v>38.8616689624791</v>
      </c>
    </row>
    <row r="87" customFormat="false" ht="15" hidden="false" customHeight="false" outlineLevel="0" collapsed="false">
      <c r="A87" s="15" t="s">
        <v>252</v>
      </c>
      <c r="B87" s="15" t="s">
        <v>42</v>
      </c>
      <c r="C87" s="15" t="s">
        <v>253</v>
      </c>
      <c r="D87" s="15"/>
      <c r="E87" s="16" t="n">
        <v>13</v>
      </c>
      <c r="F87" s="15" t="s">
        <v>357</v>
      </c>
      <c r="G87" s="8" t="n">
        <v>14</v>
      </c>
      <c r="H87" s="15" t="s">
        <v>952</v>
      </c>
      <c r="I87" s="15" t="s">
        <v>630</v>
      </c>
      <c r="J87" s="15" t="s">
        <v>139</v>
      </c>
      <c r="K87" s="8" t="n">
        <v>8</v>
      </c>
      <c r="L87" s="8" t="n">
        <v>77</v>
      </c>
      <c r="M87" s="8" t="n">
        <v>6</v>
      </c>
      <c r="N87" s="8" t="n">
        <v>28</v>
      </c>
      <c r="O87" s="8" t="n">
        <v>10</v>
      </c>
      <c r="P87" s="9" t="n">
        <v>32.3079228916185</v>
      </c>
      <c r="Q87" s="10" t="n">
        <v>0.0309521600430532</v>
      </c>
      <c r="R87" s="9" t="n">
        <v>29</v>
      </c>
      <c r="S87" s="12" t="n">
        <f aca="false">IF(AND(ISNUMBER(R87),R87&gt;1,P87&gt;0),R87/P87-1,"")</f>
        <v>-0.102387358751456</v>
      </c>
      <c r="T87" s="9" t="n">
        <f aca="false">IF(AND(ISNUMBER(P87),P87&gt;0),P87*EXP('Read me'!$B$22),"")</f>
        <v>39.460986130249</v>
      </c>
    </row>
    <row r="88" customFormat="false" ht="15" hidden="false" customHeight="false" outlineLevel="0" collapsed="false">
      <c r="A88" s="15" t="s">
        <v>252</v>
      </c>
      <c r="B88" s="15" t="s">
        <v>42</v>
      </c>
      <c r="C88" s="15" t="s">
        <v>253</v>
      </c>
      <c r="D88" s="15"/>
      <c r="E88" s="16" t="n">
        <v>13</v>
      </c>
      <c r="F88" s="15" t="s">
        <v>357</v>
      </c>
      <c r="G88" s="8" t="n">
        <v>14</v>
      </c>
      <c r="H88" s="15" t="s">
        <v>953</v>
      </c>
      <c r="I88" s="15" t="s">
        <v>714</v>
      </c>
      <c r="J88" s="15" t="s">
        <v>794</v>
      </c>
      <c r="K88" s="8" t="n">
        <v>9</v>
      </c>
      <c r="L88" s="8" t="n">
        <v>71</v>
      </c>
      <c r="M88" s="8" t="n">
        <v>8</v>
      </c>
      <c r="N88" s="8" t="n">
        <v>13</v>
      </c>
      <c r="O88" s="8" t="n">
        <v>11</v>
      </c>
      <c r="P88" s="9" t="n">
        <v>32.9043123704858</v>
      </c>
      <c r="Q88" s="10" t="n">
        <v>0.0303911532549444</v>
      </c>
      <c r="R88" s="9" t="n">
        <v>19</v>
      </c>
      <c r="S88" s="12" t="n">
        <f aca="false">IF(AND(ISNUMBER(R88),R88&gt;1,P88&gt;0),R88/P88-1,"")</f>
        <v>-0.422568088156055</v>
      </c>
      <c r="T88" s="9" t="n">
        <f aca="false">IF(AND(ISNUMBER(P88),P88&gt;0),P88*EXP('Read me'!$B$22),"")</f>
        <v>40.1894178846752</v>
      </c>
    </row>
    <row r="89" customFormat="false" ht="15" hidden="false" customHeight="false" outlineLevel="0" collapsed="false">
      <c r="A89" s="15" t="s">
        <v>252</v>
      </c>
      <c r="B89" s="15" t="s">
        <v>42</v>
      </c>
      <c r="C89" s="15" t="s">
        <v>253</v>
      </c>
      <c r="D89" s="15"/>
      <c r="E89" s="16" t="n">
        <v>13</v>
      </c>
      <c r="F89" s="15" t="s">
        <v>357</v>
      </c>
      <c r="G89" s="8" t="n">
        <v>14</v>
      </c>
      <c r="H89" s="15" t="s">
        <v>954</v>
      </c>
      <c r="I89" s="15" t="s">
        <v>542</v>
      </c>
      <c r="J89" s="15" t="s">
        <v>955</v>
      </c>
      <c r="K89" s="8" t="n">
        <v>6</v>
      </c>
      <c r="L89" s="8" t="n">
        <v>74</v>
      </c>
      <c r="M89" s="8" t="n">
        <v>4</v>
      </c>
      <c r="N89" s="8" t="n">
        <v>53</v>
      </c>
      <c r="O89" s="8" t="n">
        <v>12</v>
      </c>
      <c r="P89" s="9" t="n">
        <v>39.4720814610784</v>
      </c>
      <c r="Q89" s="10" t="n">
        <v>0.0253343619840786</v>
      </c>
      <c r="R89" s="9" t="n">
        <v>9.5</v>
      </c>
      <c r="S89" s="12" t="n">
        <f aca="false">IF(AND(ISNUMBER(R89),R89&gt;1,P89&gt;0),R89/P89-1,"")</f>
        <v>-0.759323561151253</v>
      </c>
      <c r="T89" s="9" t="n">
        <f aca="false">IF(AND(ISNUMBER(P89),P89&gt;0),P89*EXP('Read me'!$B$22),"")</f>
        <v>48.2113091668841</v>
      </c>
    </row>
    <row r="90" customFormat="false" ht="15" hidden="false" customHeight="false" outlineLevel="0" collapsed="false">
      <c r="A90" s="15" t="s">
        <v>252</v>
      </c>
      <c r="B90" s="15" t="s">
        <v>42</v>
      </c>
      <c r="C90" s="15" t="s">
        <v>253</v>
      </c>
      <c r="D90" s="15"/>
      <c r="E90" s="16" t="n">
        <v>13</v>
      </c>
      <c r="F90" s="15" t="s">
        <v>357</v>
      </c>
      <c r="G90" s="8" t="n">
        <v>14</v>
      </c>
      <c r="H90" s="15" t="s">
        <v>956</v>
      </c>
      <c r="I90" s="15" t="s">
        <v>957</v>
      </c>
      <c r="J90" s="15" t="s">
        <v>958</v>
      </c>
      <c r="K90" s="8" t="n">
        <v>11</v>
      </c>
      <c r="L90" s="8" t="n">
        <v>79</v>
      </c>
      <c r="M90" s="8" t="n">
        <v>6</v>
      </c>
      <c r="N90" s="8" t="n">
        <v>52</v>
      </c>
      <c r="O90" s="8" t="n">
        <v>13</v>
      </c>
      <c r="P90" s="9" t="n">
        <v>58.6242347188155</v>
      </c>
      <c r="Q90" s="10" t="n">
        <v>0.0170577919660083</v>
      </c>
      <c r="R90" s="9" t="n">
        <v>21</v>
      </c>
      <c r="S90" s="12" t="n">
        <f aca="false">IF(AND(ISNUMBER(R90),R90&gt;1,P90&gt;0),R90/P90-1,"")</f>
        <v>-0.641786368713824</v>
      </c>
      <c r="T90" s="9" t="n">
        <f aca="false">IF(AND(ISNUMBER(P90),P90&gt;0),P90*EXP('Read me'!$B$22),"")</f>
        <v>71.6038019805905</v>
      </c>
    </row>
    <row r="91" customFormat="false" ht="15" hidden="false" customHeight="false" outlineLevel="0" collapsed="false">
      <c r="A91" s="15" t="s">
        <v>252</v>
      </c>
      <c r="B91" s="15" t="s">
        <v>42</v>
      </c>
      <c r="C91" s="15" t="s">
        <v>253</v>
      </c>
      <c r="D91" s="15"/>
      <c r="E91" s="16" t="n">
        <v>13</v>
      </c>
      <c r="F91" s="15" t="s">
        <v>357</v>
      </c>
      <c r="G91" s="8" t="n">
        <v>14</v>
      </c>
      <c r="H91" s="15" t="s">
        <v>959</v>
      </c>
      <c r="I91" s="15" t="s">
        <v>365</v>
      </c>
      <c r="J91" s="15" t="s">
        <v>369</v>
      </c>
      <c r="K91" s="8" t="n">
        <v>3</v>
      </c>
      <c r="L91" s="8" t="n">
        <v>76</v>
      </c>
      <c r="M91" s="8" t="n">
        <v>3</v>
      </c>
      <c r="N91" s="8" t="n">
        <v>23</v>
      </c>
      <c r="O91" s="8" t="n">
        <v>14</v>
      </c>
      <c r="P91" s="9" t="n">
        <v>98.1326945074069</v>
      </c>
      <c r="Q91" s="10" t="n">
        <v>0.0101902837277592</v>
      </c>
      <c r="R91" s="9" t="n">
        <v>29</v>
      </c>
      <c r="S91" s="12" t="n">
        <f aca="false">IF(AND(ISNUMBER(R91),R91&gt;1,P91&gt;0),R91/P91-1,"")</f>
        <v>-0.704481771894981</v>
      </c>
      <c r="T91" s="9" t="n">
        <f aca="false">IF(AND(ISNUMBER(P91),P91&gt;0),P91*EXP('Read me'!$B$22),"")</f>
        <v>119.859543737036</v>
      </c>
    </row>
  </sheetData>
  <autoFilter ref="A1:T91"/>
  <conditionalFormatting sqref="A2:T9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48</v>
      </c>
      <c r="B2" s="15" t="s">
        <v>49</v>
      </c>
      <c r="C2" s="15" t="s">
        <v>50</v>
      </c>
      <c r="D2" s="15" t="s">
        <v>370</v>
      </c>
      <c r="E2" s="16"/>
      <c r="F2" s="15" t="s">
        <v>371</v>
      </c>
      <c r="G2" s="8" t="n">
        <v>10</v>
      </c>
      <c r="H2" s="15" t="s">
        <v>51</v>
      </c>
      <c r="I2" s="15" t="s">
        <v>52</v>
      </c>
      <c r="J2" s="15" t="s">
        <v>53</v>
      </c>
      <c r="K2" s="8" t="n">
        <v>3</v>
      </c>
      <c r="L2" s="8" t="n">
        <v>47</v>
      </c>
      <c r="M2" s="8" t="n">
        <v>5</v>
      </c>
      <c r="N2" s="8" t="n">
        <v>21</v>
      </c>
      <c r="O2" s="8" t="n">
        <v>1</v>
      </c>
      <c r="P2" s="9" t="n">
        <v>5.1776254913338</v>
      </c>
      <c r="Q2" s="10" t="n">
        <v>0.193138727718677</v>
      </c>
      <c r="R2" s="9" t="n">
        <v>5.5</v>
      </c>
      <c r="S2" s="12" t="n">
        <f aca="false">IF(AND(ISNUMBER(R2),R2&gt;1,P2&gt;0),R2/P2-1,"")</f>
        <v>0.0622630024527233</v>
      </c>
      <c r="T2" s="9" t="n">
        <f aca="false">IF(AND(ISNUMBER(P2),P2&gt;0),P2*EXP('Read me'!$B$22),"")</f>
        <v>6.32396605583551</v>
      </c>
    </row>
    <row r="3" customFormat="false" ht="15" hidden="false" customHeight="false" outlineLevel="0" collapsed="false">
      <c r="A3" s="15" t="s">
        <v>48</v>
      </c>
      <c r="B3" s="15" t="s">
        <v>49</v>
      </c>
      <c r="C3" s="15" t="s">
        <v>50</v>
      </c>
      <c r="D3" s="15" t="s">
        <v>370</v>
      </c>
      <c r="E3" s="16"/>
      <c r="F3" s="15" t="s">
        <v>371</v>
      </c>
      <c r="G3" s="8" t="n">
        <v>10</v>
      </c>
      <c r="H3" s="15" t="s">
        <v>54</v>
      </c>
      <c r="I3" s="15" t="s">
        <v>372</v>
      </c>
      <c r="J3" s="15" t="s">
        <v>373</v>
      </c>
      <c r="K3" s="8" t="n">
        <v>9</v>
      </c>
      <c r="L3" s="8" t="n">
        <v>50</v>
      </c>
      <c r="M3" s="8" t="n">
        <v>6</v>
      </c>
      <c r="N3" s="8" t="n">
        <v>21</v>
      </c>
      <c r="O3" s="8" t="n">
        <v>2</v>
      </c>
      <c r="P3" s="9" t="n">
        <v>6.37793970598245</v>
      </c>
      <c r="Q3" s="10" t="n">
        <v>0.156790444265569</v>
      </c>
      <c r="R3" s="9" t="n">
        <v>5</v>
      </c>
      <c r="S3" s="12" t="n">
        <f aca="false">IF(AND(ISNUMBER(R3),R3&gt;1,P3&gt;0),R3/P3-1,"")</f>
        <v>-0.216047778672156</v>
      </c>
      <c r="T3" s="9" t="n">
        <f aca="false">IF(AND(ISNUMBER(P3),P3&gt;0),P3*EXP('Read me'!$B$22),"")</f>
        <v>7.79003314826623</v>
      </c>
    </row>
    <row r="4" customFormat="false" ht="15" hidden="false" customHeight="false" outlineLevel="0" collapsed="false">
      <c r="A4" s="15" t="s">
        <v>48</v>
      </c>
      <c r="B4" s="15" t="s">
        <v>49</v>
      </c>
      <c r="C4" s="15" t="s">
        <v>50</v>
      </c>
      <c r="D4" s="15" t="s">
        <v>370</v>
      </c>
      <c r="E4" s="16"/>
      <c r="F4" s="15" t="s">
        <v>371</v>
      </c>
      <c r="G4" s="8" t="n">
        <v>10</v>
      </c>
      <c r="H4" s="15" t="s">
        <v>374</v>
      </c>
      <c r="I4" s="15" t="s">
        <v>85</v>
      </c>
      <c r="J4" s="15" t="s">
        <v>375</v>
      </c>
      <c r="K4" s="8" t="n">
        <v>7</v>
      </c>
      <c r="L4" s="8" t="n">
        <v>53</v>
      </c>
      <c r="M4" s="8" t="n">
        <v>4</v>
      </c>
      <c r="N4" s="8" t="n">
        <v>21</v>
      </c>
      <c r="O4" s="8" t="n">
        <v>3</v>
      </c>
      <c r="P4" s="9" t="n">
        <v>6.70496928194642</v>
      </c>
      <c r="Q4" s="10" t="n">
        <v>0.149143114300697</v>
      </c>
      <c r="R4" s="9" t="n">
        <v>7.5</v>
      </c>
      <c r="S4" s="12" t="n">
        <f aca="false">IF(AND(ISNUMBER(R4),R4&gt;1,P4&gt;0),R4/P4-1,"")</f>
        <v>0.11857335725523</v>
      </c>
      <c r="T4" s="9" t="n">
        <f aca="false">IF(AND(ISNUMBER(P4),P4&gt;0),P4*EXP('Read me'!$B$22),"")</f>
        <v>8.18946797434857</v>
      </c>
    </row>
    <row r="5" customFormat="false" ht="15" hidden="false" customHeight="false" outlineLevel="0" collapsed="false">
      <c r="A5" s="15" t="s">
        <v>48</v>
      </c>
      <c r="B5" s="15" t="s">
        <v>49</v>
      </c>
      <c r="C5" s="15" t="s">
        <v>50</v>
      </c>
      <c r="D5" s="15" t="s">
        <v>370</v>
      </c>
      <c r="E5" s="16"/>
      <c r="F5" s="15" t="s">
        <v>371</v>
      </c>
      <c r="G5" s="8" t="n">
        <v>10</v>
      </c>
      <c r="H5" s="15" t="s">
        <v>376</v>
      </c>
      <c r="I5" s="15" t="s">
        <v>237</v>
      </c>
      <c r="J5" s="15" t="s">
        <v>238</v>
      </c>
      <c r="K5" s="8" t="n">
        <v>1</v>
      </c>
      <c r="L5" s="8" t="n">
        <v>59</v>
      </c>
      <c r="M5" s="8" t="n">
        <v>6</v>
      </c>
      <c r="N5" s="8" t="n">
        <v>4</v>
      </c>
      <c r="O5" s="8" t="n">
        <v>4</v>
      </c>
      <c r="P5" s="9" t="n">
        <v>7.44400218473571</v>
      </c>
      <c r="Q5" s="10" t="n">
        <v>0.134336338864939</v>
      </c>
      <c r="R5" s="9" t="n">
        <v>4.5</v>
      </c>
      <c r="S5" s="12" t="n">
        <f aca="false">IF(AND(ISNUMBER(R5),R5&gt;1,P5&gt;0),R5/P5-1,"")</f>
        <v>-0.395486475107776</v>
      </c>
      <c r="T5" s="9" t="n">
        <f aca="false">IF(AND(ISNUMBER(P5),P5&gt;0),P5*EXP('Read me'!$B$22),"")</f>
        <v>9.09212480018652</v>
      </c>
    </row>
    <row r="6" customFormat="false" ht="15" hidden="false" customHeight="false" outlineLevel="0" collapsed="false">
      <c r="A6" s="15" t="s">
        <v>48</v>
      </c>
      <c r="B6" s="15" t="s">
        <v>49</v>
      </c>
      <c r="C6" s="15" t="s">
        <v>50</v>
      </c>
      <c r="D6" s="15" t="s">
        <v>370</v>
      </c>
      <c r="E6" s="16"/>
      <c r="F6" s="15" t="s">
        <v>371</v>
      </c>
      <c r="G6" s="8" t="n">
        <v>10</v>
      </c>
      <c r="H6" s="15" t="s">
        <v>377</v>
      </c>
      <c r="I6" s="15" t="s">
        <v>378</v>
      </c>
      <c r="J6" s="15" t="s">
        <v>379</v>
      </c>
      <c r="K6" s="8" t="n">
        <v>4</v>
      </c>
      <c r="L6" s="8" t="n">
        <v>52</v>
      </c>
      <c r="M6" s="8" t="n">
        <v>3</v>
      </c>
      <c r="N6" s="8" t="n">
        <v>11</v>
      </c>
      <c r="O6" s="8" t="n">
        <v>5</v>
      </c>
      <c r="P6" s="9" t="n">
        <v>9.04195469994935</v>
      </c>
      <c r="Q6" s="10" t="n">
        <v>0.110595555185164</v>
      </c>
      <c r="R6" s="9" t="n">
        <v>10</v>
      </c>
      <c r="S6" s="12" t="n">
        <f aca="false">IF(AND(ISNUMBER(R6),R6&gt;1,P6&gt;0),R6/P6-1,"")</f>
        <v>0.105955551851638</v>
      </c>
      <c r="T6" s="9" t="n">
        <f aca="false">IF(AND(ISNUMBER(P6),P6&gt;0),P6*EXP('Read me'!$B$22),"")</f>
        <v>11.0438684096775</v>
      </c>
    </row>
    <row r="7" customFormat="false" ht="15" hidden="false" customHeight="false" outlineLevel="0" collapsed="false">
      <c r="A7" s="15" t="s">
        <v>48</v>
      </c>
      <c r="B7" s="15" t="s">
        <v>49</v>
      </c>
      <c r="C7" s="15" t="s">
        <v>50</v>
      </c>
      <c r="D7" s="15" t="s">
        <v>370</v>
      </c>
      <c r="E7" s="16"/>
      <c r="F7" s="15" t="s">
        <v>371</v>
      </c>
      <c r="G7" s="8" t="n">
        <v>10</v>
      </c>
      <c r="H7" s="15" t="s">
        <v>380</v>
      </c>
      <c r="I7" s="15" t="s">
        <v>144</v>
      </c>
      <c r="J7" s="15" t="s">
        <v>381</v>
      </c>
      <c r="K7" s="8" t="n">
        <v>2</v>
      </c>
      <c r="L7" s="8" t="n">
        <v>52</v>
      </c>
      <c r="M7" s="8" t="n">
        <v>6</v>
      </c>
      <c r="N7" s="8" t="n">
        <v>12</v>
      </c>
      <c r="O7" s="8" t="n">
        <v>6</v>
      </c>
      <c r="P7" s="9" t="n">
        <v>10.2574526636705</v>
      </c>
      <c r="Q7" s="10" t="n">
        <v>0.0974900916230176</v>
      </c>
      <c r="R7" s="9" t="n">
        <v>4</v>
      </c>
      <c r="S7" s="12" t="n">
        <f aca="false">IF(AND(ISNUMBER(R7),R7&gt;1,P7&gt;0),R7/P7-1,"")</f>
        <v>-0.61003963350793</v>
      </c>
      <c r="T7" s="9" t="n">
        <f aca="false">IF(AND(ISNUMBER(P7),P7&gt;0),P7*EXP('Read me'!$B$22),"")</f>
        <v>12.5284809751045</v>
      </c>
    </row>
    <row r="8" customFormat="false" ht="15" hidden="false" customHeight="false" outlineLevel="0" collapsed="false">
      <c r="A8" s="15" t="s">
        <v>48</v>
      </c>
      <c r="B8" s="15" t="s">
        <v>49</v>
      </c>
      <c r="C8" s="15" t="s">
        <v>50</v>
      </c>
      <c r="D8" s="15" t="s">
        <v>370</v>
      </c>
      <c r="E8" s="16"/>
      <c r="F8" s="15" t="s">
        <v>371</v>
      </c>
      <c r="G8" s="8" t="n">
        <v>10</v>
      </c>
      <c r="H8" s="15" t="s">
        <v>382</v>
      </c>
      <c r="I8" s="15" t="s">
        <v>383</v>
      </c>
      <c r="J8" s="15" t="s">
        <v>384</v>
      </c>
      <c r="K8" s="8" t="n">
        <v>10</v>
      </c>
      <c r="L8" s="8" t="n">
        <v>58</v>
      </c>
      <c r="M8" s="8" t="n">
        <v>6</v>
      </c>
      <c r="N8" s="8" t="n">
        <v>41</v>
      </c>
      <c r="O8" s="8" t="n">
        <v>7</v>
      </c>
      <c r="P8" s="9" t="n">
        <v>16.86867358442</v>
      </c>
      <c r="Q8" s="10" t="n">
        <v>0.0592814838105353</v>
      </c>
      <c r="R8" s="9" t="n">
        <v>23</v>
      </c>
      <c r="S8" s="12" t="n">
        <f aca="false">IF(AND(ISNUMBER(R8),R8&gt;1,P8&gt;0),R8/P8-1,"")</f>
        <v>0.363474127642313</v>
      </c>
      <c r="T8" s="9" t="n">
        <f aca="false">IF(AND(ISNUMBER(P8),P8&gt;0),P8*EXP('Read me'!$B$22),"")</f>
        <v>20.6034444425142</v>
      </c>
    </row>
    <row r="9" customFormat="false" ht="15" hidden="false" customHeight="false" outlineLevel="0" collapsed="false">
      <c r="A9" s="15" t="s">
        <v>48</v>
      </c>
      <c r="B9" s="15" t="s">
        <v>49</v>
      </c>
      <c r="C9" s="15" t="s">
        <v>50</v>
      </c>
      <c r="D9" s="15" t="s">
        <v>370</v>
      </c>
      <c r="E9" s="16"/>
      <c r="F9" s="15" t="s">
        <v>371</v>
      </c>
      <c r="G9" s="8" t="n">
        <v>10</v>
      </c>
      <c r="H9" s="15" t="s">
        <v>385</v>
      </c>
      <c r="I9" s="15" t="s">
        <v>386</v>
      </c>
      <c r="J9" s="15" t="s">
        <v>387</v>
      </c>
      <c r="K9" s="8" t="n">
        <v>8</v>
      </c>
      <c r="L9" s="8" t="n">
        <v>49</v>
      </c>
      <c r="M9" s="8" t="n">
        <v>4</v>
      </c>
      <c r="N9" s="8" t="n">
        <v>26</v>
      </c>
      <c r="O9" s="8" t="n">
        <v>8</v>
      </c>
      <c r="P9" s="9" t="n">
        <v>22.8161782224171</v>
      </c>
      <c r="Q9" s="10" t="n">
        <v>0.0438285496480515</v>
      </c>
      <c r="R9" s="9" t="n">
        <v>34</v>
      </c>
      <c r="S9" s="12" t="n">
        <f aca="false">IF(AND(ISNUMBER(R9),R9&gt;1,P9&gt;0),R9/P9-1,"")</f>
        <v>0.490170688033752</v>
      </c>
      <c r="T9" s="9" t="n">
        <f aca="false">IF(AND(ISNUMBER(P9),P9&gt;0),P9*EXP('Read me'!$B$22),"")</f>
        <v>27.8677430115342</v>
      </c>
    </row>
    <row r="10" customFormat="false" ht="15" hidden="false" customHeight="false" outlineLevel="0" collapsed="false">
      <c r="A10" s="15" t="s">
        <v>48</v>
      </c>
      <c r="B10" s="15" t="s">
        <v>49</v>
      </c>
      <c r="C10" s="15" t="s">
        <v>50</v>
      </c>
      <c r="D10" s="15" t="s">
        <v>370</v>
      </c>
      <c r="E10" s="16"/>
      <c r="F10" s="15" t="s">
        <v>371</v>
      </c>
      <c r="G10" s="8" t="n">
        <v>10</v>
      </c>
      <c r="H10" s="15" t="s">
        <v>388</v>
      </c>
      <c r="I10" s="15" t="s">
        <v>389</v>
      </c>
      <c r="J10" s="15" t="s">
        <v>379</v>
      </c>
      <c r="K10" s="8" t="n">
        <v>5</v>
      </c>
      <c r="L10" s="8" t="n">
        <v>45</v>
      </c>
      <c r="M10" s="8" t="n">
        <v>5</v>
      </c>
      <c r="N10" s="8" t="n">
        <v>138</v>
      </c>
      <c r="O10" s="8" t="n">
        <v>9</v>
      </c>
      <c r="P10" s="9" t="n">
        <v>27.7544631964922</v>
      </c>
      <c r="Q10" s="10" t="n">
        <v>0.0360302410794378</v>
      </c>
      <c r="R10" s="9" t="n">
        <v>34</v>
      </c>
      <c r="S10" s="12" t="n">
        <f aca="false">IF(AND(ISNUMBER(R10),R10&gt;1,P10&gt;0),R10/P10-1,"")</f>
        <v>0.225028196700887</v>
      </c>
      <c r="T10" s="9" t="n">
        <f aca="false">IF(AND(ISNUMBER(P10),P10&gt;0),P10*EXP('Read me'!$B$22),"")</f>
        <v>33.8993778994505</v>
      </c>
    </row>
    <row r="11" customFormat="false" ht="15" hidden="false" customHeight="false" outlineLevel="0" collapsed="false">
      <c r="A11" s="15" t="s">
        <v>48</v>
      </c>
      <c r="B11" s="15" t="s">
        <v>49</v>
      </c>
      <c r="C11" s="15" t="s">
        <v>50</v>
      </c>
      <c r="D11" s="15" t="s">
        <v>370</v>
      </c>
      <c r="E11" s="16"/>
      <c r="F11" s="15" t="s">
        <v>371</v>
      </c>
      <c r="G11" s="8" t="n">
        <v>10</v>
      </c>
      <c r="H11" s="15" t="s">
        <v>390</v>
      </c>
      <c r="I11" s="15"/>
      <c r="J11" s="15" t="s">
        <v>387</v>
      </c>
      <c r="K11" s="8" t="n">
        <v>6</v>
      </c>
      <c r="L11" s="8" t="n">
        <v>56</v>
      </c>
      <c r="M11" s="8" t="n">
        <v>4</v>
      </c>
      <c r="N11" s="8" t="n">
        <v>35</v>
      </c>
      <c r="O11" s="8" t="n">
        <v>10</v>
      </c>
      <c r="P11" s="9" t="n">
        <v>51.6383465947745</v>
      </c>
      <c r="Q11" s="10" t="n">
        <v>0.019365453503912</v>
      </c>
      <c r="R11" s="9" t="n">
        <v>81</v>
      </c>
      <c r="S11" s="12" t="n">
        <f aca="false">IF(AND(ISNUMBER(R11),R11&gt;1,P11&gt;0),R11/P11-1,"")</f>
        <v>0.568601733816877</v>
      </c>
      <c r="T11" s="9" t="n">
        <f aca="false">IF(AND(ISNUMBER(P11),P11&gt;0),P11*EXP('Read me'!$B$22),"")</f>
        <v>63.0712189576883</v>
      </c>
    </row>
    <row r="12" customFormat="false" ht="15" hidden="false" customHeight="false" outlineLevel="0" collapsed="false">
      <c r="A12" s="15" t="s">
        <v>82</v>
      </c>
      <c r="B12" s="15" t="s">
        <v>49</v>
      </c>
      <c r="C12" s="15" t="s">
        <v>83</v>
      </c>
      <c r="D12" s="15" t="s">
        <v>456</v>
      </c>
      <c r="E12" s="16" t="n">
        <v>7</v>
      </c>
      <c r="F12" s="15" t="s">
        <v>371</v>
      </c>
      <c r="G12" s="8" t="n">
        <v>4</v>
      </c>
      <c r="H12" s="15" t="s">
        <v>84</v>
      </c>
      <c r="I12" s="15" t="s">
        <v>85</v>
      </c>
      <c r="J12" s="15" t="s">
        <v>86</v>
      </c>
      <c r="K12" s="8" t="n">
        <v>6</v>
      </c>
      <c r="L12" s="8" t="n">
        <v>0</v>
      </c>
      <c r="M12" s="8" t="n">
        <v>3</v>
      </c>
      <c r="N12" s="8"/>
      <c r="O12" s="8" t="n">
        <v>1</v>
      </c>
      <c r="P12" s="9" t="n">
        <v>2.55144014050802</v>
      </c>
      <c r="Q12" s="10" t="n">
        <v>0.391935512859372</v>
      </c>
      <c r="R12" s="9" t="n">
        <v>1.57142857142857</v>
      </c>
      <c r="S12" s="12" t="n">
        <f aca="false">IF(AND(ISNUMBER(R12),R12&gt;1,P12&gt;0),R12/P12-1,"")</f>
        <v>-0.384101336935273</v>
      </c>
      <c r="T12" s="9" t="n">
        <f aca="false">IF(AND(ISNUMBER(P12),P12&gt;0),P12*EXP('Read me'!$B$22),"")</f>
        <v>3.11633602489707</v>
      </c>
    </row>
    <row r="13" customFormat="false" ht="15" hidden="false" customHeight="false" outlineLevel="0" collapsed="false">
      <c r="A13" s="15" t="s">
        <v>82</v>
      </c>
      <c r="B13" s="15" t="s">
        <v>49</v>
      </c>
      <c r="C13" s="15" t="s">
        <v>83</v>
      </c>
      <c r="D13" s="15" t="s">
        <v>456</v>
      </c>
      <c r="E13" s="16" t="n">
        <v>7</v>
      </c>
      <c r="F13" s="15" t="s">
        <v>371</v>
      </c>
      <c r="G13" s="8" t="n">
        <v>4</v>
      </c>
      <c r="H13" s="15" t="s">
        <v>87</v>
      </c>
      <c r="I13" s="15" t="s">
        <v>457</v>
      </c>
      <c r="J13" s="15" t="s">
        <v>458</v>
      </c>
      <c r="K13" s="8" t="n">
        <v>3</v>
      </c>
      <c r="L13" s="8" t="n">
        <v>74</v>
      </c>
      <c r="M13" s="8" t="n">
        <v>3</v>
      </c>
      <c r="N13" s="8" t="n">
        <v>11</v>
      </c>
      <c r="O13" s="8" t="n">
        <v>2</v>
      </c>
      <c r="P13" s="9" t="n">
        <v>2.98433103161612</v>
      </c>
      <c r="Q13" s="10" t="n">
        <v>0.335083470769817</v>
      </c>
      <c r="R13" s="9" t="n">
        <v>3</v>
      </c>
      <c r="S13" s="12" t="n">
        <f aca="false">IF(AND(ISNUMBER(R13),R13&gt;1,P13&gt;0),R13/P13-1,"")</f>
        <v>0.00525041230945167</v>
      </c>
      <c r="T13" s="9" t="n">
        <f aca="false">IF(AND(ISNUMBER(P13),P13&gt;0),P13*EXP('Read me'!$B$22),"")</f>
        <v>3.64507015327892</v>
      </c>
    </row>
    <row r="14" customFormat="false" ht="15" hidden="false" customHeight="false" outlineLevel="0" collapsed="false">
      <c r="A14" s="15" t="s">
        <v>82</v>
      </c>
      <c r="B14" s="15" t="s">
        <v>49</v>
      </c>
      <c r="C14" s="15" t="s">
        <v>83</v>
      </c>
      <c r="D14" s="15" t="s">
        <v>456</v>
      </c>
      <c r="E14" s="16" t="n">
        <v>7</v>
      </c>
      <c r="F14" s="15" t="s">
        <v>371</v>
      </c>
      <c r="G14" s="8" t="n">
        <v>4</v>
      </c>
      <c r="H14" s="15" t="s">
        <v>459</v>
      </c>
      <c r="I14" s="15" t="s">
        <v>460</v>
      </c>
      <c r="J14" s="15" t="s">
        <v>461</v>
      </c>
      <c r="K14" s="8" t="n">
        <v>1</v>
      </c>
      <c r="L14" s="8" t="n">
        <v>0</v>
      </c>
      <c r="M14" s="8" t="n">
        <v>3</v>
      </c>
      <c r="N14" s="8" t="n">
        <v>25</v>
      </c>
      <c r="O14" s="8" t="n">
        <v>3</v>
      </c>
      <c r="P14" s="9" t="n">
        <v>3.80716302154676</v>
      </c>
      <c r="Q14" s="10" t="n">
        <v>0.262662773918655</v>
      </c>
      <c r="R14" s="9" t="n">
        <v>7</v>
      </c>
      <c r="S14" s="12" t="n">
        <f aca="false">IF(AND(ISNUMBER(R14),R14&gt;1,P14&gt;0),R14/P14-1,"")</f>
        <v>0.838639417430585</v>
      </c>
      <c r="T14" s="9" t="n">
        <f aca="false">IF(AND(ISNUMBER(P14),P14&gt;0),P14*EXP('Read me'!$B$22),"")</f>
        <v>4.65007941528262</v>
      </c>
    </row>
    <row r="15" customFormat="false" ht="15" hidden="false" customHeight="false" outlineLevel="0" collapsed="false">
      <c r="A15" s="15" t="s">
        <v>82</v>
      </c>
      <c r="B15" s="15" t="s">
        <v>49</v>
      </c>
      <c r="C15" s="15" t="s">
        <v>83</v>
      </c>
      <c r="D15" s="15" t="s">
        <v>456</v>
      </c>
      <c r="E15" s="16" t="n">
        <v>7</v>
      </c>
      <c r="F15" s="15" t="s">
        <v>371</v>
      </c>
      <c r="G15" s="8" t="n">
        <v>4</v>
      </c>
      <c r="H15" s="15" t="s">
        <v>462</v>
      </c>
      <c r="I15" s="15" t="s">
        <v>463</v>
      </c>
      <c r="J15" s="15" t="s">
        <v>464</v>
      </c>
      <c r="K15" s="8" t="n">
        <v>5</v>
      </c>
      <c r="L15" s="8" t="n">
        <v>0</v>
      </c>
      <c r="M15" s="8" t="n">
        <v>4</v>
      </c>
      <c r="N15" s="8" t="n">
        <v>32</v>
      </c>
      <c r="O15" s="8" t="n">
        <v>4</v>
      </c>
      <c r="P15" s="9" t="n">
        <v>96.9157300419011</v>
      </c>
      <c r="Q15" s="10" t="n">
        <v>0.0103182424521556</v>
      </c>
      <c r="R15" s="9" t="n">
        <v>101</v>
      </c>
      <c r="S15" s="12" t="n">
        <f aca="false">IF(AND(ISNUMBER(R15),R15&gt;1,P15&gt;0),R15/P15-1,"")</f>
        <v>0.0421424876677201</v>
      </c>
      <c r="T15" s="9" t="n">
        <f aca="false">IF(AND(ISNUMBER(P15),P15&gt;0),P15*EXP('Read me'!$B$22),"")</f>
        <v>118.373139982284</v>
      </c>
    </row>
    <row r="16" customFormat="false" ht="15" hidden="false" customHeight="false" outlineLevel="0" collapsed="false">
      <c r="A16" s="15" t="s">
        <v>112</v>
      </c>
      <c r="B16" s="15" t="s">
        <v>49</v>
      </c>
      <c r="C16" s="15" t="s">
        <v>113</v>
      </c>
      <c r="D16" s="15" t="s">
        <v>370</v>
      </c>
      <c r="E16" s="16" t="n">
        <v>8</v>
      </c>
      <c r="F16" s="15" t="s">
        <v>371</v>
      </c>
      <c r="G16" s="8" t="n">
        <v>13</v>
      </c>
      <c r="H16" s="15" t="s">
        <v>114</v>
      </c>
      <c r="I16" s="15" t="s">
        <v>85</v>
      </c>
      <c r="J16" s="15" t="s">
        <v>115</v>
      </c>
      <c r="K16" s="8" t="n">
        <v>5</v>
      </c>
      <c r="L16" s="8" t="n">
        <v>57</v>
      </c>
      <c r="M16" s="8" t="n">
        <v>2</v>
      </c>
      <c r="N16" s="8" t="n">
        <v>15</v>
      </c>
      <c r="O16" s="8" t="n">
        <v>1</v>
      </c>
      <c r="P16" s="9" t="n">
        <v>6.79632339490165</v>
      </c>
      <c r="Q16" s="10" t="n">
        <v>0.14713837789858</v>
      </c>
      <c r="R16" s="9" t="n">
        <v>5.5</v>
      </c>
      <c r="S16" s="12" t="n">
        <f aca="false">IF(AND(ISNUMBER(R16),R16&gt;1,P16&gt;0),R16/P16-1,"")</f>
        <v>-0.190738921557809</v>
      </c>
      <c r="T16" s="9" t="n">
        <f aca="false">IF(AND(ISNUMBER(P16),P16&gt;0),P16*EXP('Read me'!$B$22),"")</f>
        <v>8.30104813988136</v>
      </c>
    </row>
    <row r="17" customFormat="false" ht="15" hidden="false" customHeight="false" outlineLevel="0" collapsed="false">
      <c r="A17" s="15" t="s">
        <v>112</v>
      </c>
      <c r="B17" s="15" t="s">
        <v>49</v>
      </c>
      <c r="C17" s="15" t="s">
        <v>113</v>
      </c>
      <c r="D17" s="15" t="s">
        <v>370</v>
      </c>
      <c r="E17" s="16" t="n">
        <v>8</v>
      </c>
      <c r="F17" s="15" t="s">
        <v>371</v>
      </c>
      <c r="G17" s="8" t="n">
        <v>13</v>
      </c>
      <c r="H17" s="15" t="s">
        <v>116</v>
      </c>
      <c r="I17" s="15" t="s">
        <v>544</v>
      </c>
      <c r="J17" s="15" t="s">
        <v>545</v>
      </c>
      <c r="K17" s="8" t="n">
        <v>3</v>
      </c>
      <c r="L17" s="8" t="n">
        <v>63</v>
      </c>
      <c r="M17" s="8" t="n">
        <v>2</v>
      </c>
      <c r="N17" s="8" t="n">
        <v>17</v>
      </c>
      <c r="O17" s="8" t="n">
        <v>2</v>
      </c>
      <c r="P17" s="9" t="n">
        <v>8.0427546904221</v>
      </c>
      <c r="Q17" s="10" t="n">
        <v>0.12433550922433</v>
      </c>
      <c r="R17" s="9" t="n">
        <v>5</v>
      </c>
      <c r="S17" s="12" t="n">
        <f aca="false">IF(AND(ISNUMBER(R17),R17&gt;1,P17&gt;0),R17/P17-1,"")</f>
        <v>-0.37832245387835</v>
      </c>
      <c r="T17" s="9" t="n">
        <f aca="false">IF(AND(ISNUMBER(P17),P17&gt;0),P17*EXP('Read me'!$B$22),"")</f>
        <v>9.8234427620872</v>
      </c>
    </row>
    <row r="18" customFormat="false" ht="15" hidden="false" customHeight="false" outlineLevel="0" collapsed="false">
      <c r="A18" s="15" t="s">
        <v>112</v>
      </c>
      <c r="B18" s="15" t="s">
        <v>49</v>
      </c>
      <c r="C18" s="15" t="s">
        <v>113</v>
      </c>
      <c r="D18" s="15" t="s">
        <v>370</v>
      </c>
      <c r="E18" s="16" t="n">
        <v>8</v>
      </c>
      <c r="F18" s="15" t="s">
        <v>371</v>
      </c>
      <c r="G18" s="8" t="n">
        <v>13</v>
      </c>
      <c r="H18" s="15" t="s">
        <v>546</v>
      </c>
      <c r="I18" s="15" t="s">
        <v>547</v>
      </c>
      <c r="J18" s="15" t="s">
        <v>548</v>
      </c>
      <c r="K18" s="8" t="n">
        <v>13</v>
      </c>
      <c r="L18" s="8" t="n">
        <v>63</v>
      </c>
      <c r="M18" s="8" t="n">
        <v>2</v>
      </c>
      <c r="N18" s="8" t="n">
        <v>35</v>
      </c>
      <c r="O18" s="8" t="n">
        <v>3</v>
      </c>
      <c r="P18" s="9" t="n">
        <v>8.78482864176114</v>
      </c>
      <c r="Q18" s="10" t="n">
        <v>0.113832613108265</v>
      </c>
      <c r="R18" s="9" t="n">
        <v>15</v>
      </c>
      <c r="S18" s="12" t="n">
        <f aca="false">IF(AND(ISNUMBER(R18),R18&gt;1,P18&gt;0),R18/P18-1,"")</f>
        <v>0.707489196623973</v>
      </c>
      <c r="T18" s="9" t="n">
        <f aca="false">IF(AND(ISNUMBER(P18),P18&gt;0),P18*EXP('Read me'!$B$22),"")</f>
        <v>10.7298139330115</v>
      </c>
    </row>
    <row r="19" customFormat="false" ht="15" hidden="false" customHeight="false" outlineLevel="0" collapsed="false">
      <c r="A19" s="15" t="s">
        <v>112</v>
      </c>
      <c r="B19" s="15" t="s">
        <v>49</v>
      </c>
      <c r="C19" s="15" t="s">
        <v>113</v>
      </c>
      <c r="D19" s="15" t="s">
        <v>370</v>
      </c>
      <c r="E19" s="16" t="n">
        <v>8</v>
      </c>
      <c r="F19" s="15" t="s">
        <v>371</v>
      </c>
      <c r="G19" s="8" t="n">
        <v>13</v>
      </c>
      <c r="H19" s="15" t="s">
        <v>549</v>
      </c>
      <c r="I19" s="15" t="s">
        <v>550</v>
      </c>
      <c r="J19" s="15" t="s">
        <v>551</v>
      </c>
      <c r="K19" s="8" t="n">
        <v>11</v>
      </c>
      <c r="L19" s="8" t="n">
        <v>50</v>
      </c>
      <c r="M19" s="8" t="n">
        <v>2</v>
      </c>
      <c r="N19" s="8" t="n">
        <v>11</v>
      </c>
      <c r="O19" s="8" t="n">
        <v>4</v>
      </c>
      <c r="P19" s="9" t="n">
        <v>10.8889162513054</v>
      </c>
      <c r="Q19" s="10" t="n">
        <v>0.091836503920224</v>
      </c>
      <c r="R19" s="9" t="n">
        <v>8</v>
      </c>
      <c r="S19" s="12" t="n">
        <f aca="false">IF(AND(ISNUMBER(R19),R19&gt;1,P19&gt;0),R19/P19-1,"")</f>
        <v>-0.265307968638207</v>
      </c>
      <c r="T19" s="9" t="n">
        <f aca="false">IF(AND(ISNUMBER(P19),P19&gt;0),P19*EXP('Read me'!$B$22),"")</f>
        <v>13.2997523427195</v>
      </c>
    </row>
    <row r="20" customFormat="false" ht="15" hidden="false" customHeight="false" outlineLevel="0" collapsed="false">
      <c r="A20" s="15" t="s">
        <v>112</v>
      </c>
      <c r="B20" s="15" t="s">
        <v>49</v>
      </c>
      <c r="C20" s="15" t="s">
        <v>113</v>
      </c>
      <c r="D20" s="15" t="s">
        <v>370</v>
      </c>
      <c r="E20" s="16" t="n">
        <v>8</v>
      </c>
      <c r="F20" s="15" t="s">
        <v>371</v>
      </c>
      <c r="G20" s="8" t="n">
        <v>13</v>
      </c>
      <c r="H20" s="15" t="s">
        <v>552</v>
      </c>
      <c r="I20" s="15" t="s">
        <v>460</v>
      </c>
      <c r="J20" s="15" t="s">
        <v>553</v>
      </c>
      <c r="K20" s="8" t="n">
        <v>12</v>
      </c>
      <c r="L20" s="8" t="n">
        <v>62</v>
      </c>
      <c r="M20" s="8" t="n">
        <v>2</v>
      </c>
      <c r="N20" s="8" t="n">
        <v>21</v>
      </c>
      <c r="O20" s="8" t="n">
        <v>5</v>
      </c>
      <c r="P20" s="9" t="n">
        <v>11.7395049464379</v>
      </c>
      <c r="Q20" s="10" t="n">
        <v>0.0851824676221486</v>
      </c>
      <c r="R20" s="9" t="n">
        <v>6.5</v>
      </c>
      <c r="S20" s="12" t="n">
        <f aca="false">IF(AND(ISNUMBER(R20),R20&gt;1,P20&gt;0),R20/P20-1,"")</f>
        <v>-0.446313960456033</v>
      </c>
      <c r="T20" s="9" t="n">
        <f aca="false">IF(AND(ISNUMBER(P20),P20&gt;0),P20*EXP('Read me'!$B$22),"")</f>
        <v>14.3386637210142</v>
      </c>
    </row>
    <row r="21" customFormat="false" ht="15" hidden="false" customHeight="false" outlineLevel="0" collapsed="false">
      <c r="A21" s="15" t="s">
        <v>112</v>
      </c>
      <c r="B21" s="15" t="s">
        <v>49</v>
      </c>
      <c r="C21" s="15" t="s">
        <v>113</v>
      </c>
      <c r="D21" s="15" t="s">
        <v>370</v>
      </c>
      <c r="E21" s="16" t="n">
        <v>8</v>
      </c>
      <c r="F21" s="15" t="s">
        <v>371</v>
      </c>
      <c r="G21" s="8" t="n">
        <v>13</v>
      </c>
      <c r="H21" s="15" t="s">
        <v>554</v>
      </c>
      <c r="I21" s="15" t="s">
        <v>383</v>
      </c>
      <c r="J21" s="15" t="s">
        <v>555</v>
      </c>
      <c r="K21" s="8" t="n">
        <v>6</v>
      </c>
      <c r="L21" s="8" t="n">
        <v>65</v>
      </c>
      <c r="M21" s="8" t="n">
        <v>2</v>
      </c>
      <c r="N21" s="8" t="n">
        <v>13</v>
      </c>
      <c r="O21" s="8" t="n">
        <v>6</v>
      </c>
      <c r="P21" s="9" t="n">
        <v>12.3535357364281</v>
      </c>
      <c r="Q21" s="10" t="n">
        <v>0.0809484848172816</v>
      </c>
      <c r="R21" s="9" t="n">
        <v>13</v>
      </c>
      <c r="S21" s="12" t="n">
        <f aca="false">IF(AND(ISNUMBER(R21),R21&gt;1,P21&gt;0),R21/P21-1,"")</f>
        <v>0.0523303026246618</v>
      </c>
      <c r="T21" s="9" t="n">
        <f aca="false">IF(AND(ISNUMBER(P21),P21&gt;0),P21*EXP('Read me'!$B$22),"")</f>
        <v>15.0886426215036</v>
      </c>
    </row>
    <row r="22" customFormat="false" ht="15" hidden="false" customHeight="false" outlineLevel="0" collapsed="false">
      <c r="A22" s="15" t="s">
        <v>112</v>
      </c>
      <c r="B22" s="15" t="s">
        <v>49</v>
      </c>
      <c r="C22" s="15" t="s">
        <v>113</v>
      </c>
      <c r="D22" s="15" t="s">
        <v>370</v>
      </c>
      <c r="E22" s="16" t="n">
        <v>8</v>
      </c>
      <c r="F22" s="15" t="s">
        <v>371</v>
      </c>
      <c r="G22" s="8" t="n">
        <v>13</v>
      </c>
      <c r="H22" s="15" t="s">
        <v>556</v>
      </c>
      <c r="I22" s="15" t="s">
        <v>557</v>
      </c>
      <c r="J22" s="15" t="s">
        <v>558</v>
      </c>
      <c r="K22" s="8" t="n">
        <v>9</v>
      </c>
      <c r="L22" s="8" t="n">
        <v>46</v>
      </c>
      <c r="M22" s="8" t="n">
        <v>2</v>
      </c>
      <c r="N22" s="8" t="n">
        <v>15</v>
      </c>
      <c r="O22" s="8" t="n">
        <v>7</v>
      </c>
      <c r="P22" s="9" t="n">
        <v>14.8617608076133</v>
      </c>
      <c r="Q22" s="10" t="n">
        <v>0.067286777989841</v>
      </c>
      <c r="R22" s="9" t="n">
        <v>8.5</v>
      </c>
      <c r="S22" s="12" t="n">
        <f aca="false">IF(AND(ISNUMBER(R22),R22&gt;1,P22&gt;0),R22/P22-1,"")</f>
        <v>-0.428062387086351</v>
      </c>
      <c r="T22" s="9" t="n">
        <f aca="false">IF(AND(ISNUMBER(P22),P22&gt;0),P22*EXP('Read me'!$B$22),"")</f>
        <v>18.1521956415357</v>
      </c>
    </row>
    <row r="23" customFormat="false" ht="15" hidden="false" customHeight="false" outlineLevel="0" collapsed="false">
      <c r="A23" s="15" t="s">
        <v>112</v>
      </c>
      <c r="B23" s="15" t="s">
        <v>49</v>
      </c>
      <c r="C23" s="15" t="s">
        <v>113</v>
      </c>
      <c r="D23" s="15" t="s">
        <v>370</v>
      </c>
      <c r="E23" s="16" t="n">
        <v>8</v>
      </c>
      <c r="F23" s="15" t="s">
        <v>371</v>
      </c>
      <c r="G23" s="8" t="n">
        <v>13</v>
      </c>
      <c r="H23" s="15" t="s">
        <v>559</v>
      </c>
      <c r="I23" s="15" t="s">
        <v>560</v>
      </c>
      <c r="J23" s="15" t="s">
        <v>561</v>
      </c>
      <c r="K23" s="8" t="n">
        <v>1</v>
      </c>
      <c r="L23" s="8" t="n">
        <v>62</v>
      </c>
      <c r="M23" s="8" t="n">
        <v>2</v>
      </c>
      <c r="N23" s="8" t="n">
        <v>84</v>
      </c>
      <c r="O23" s="8" t="n">
        <v>8</v>
      </c>
      <c r="P23" s="9" t="n">
        <v>16.328806016519</v>
      </c>
      <c r="Q23" s="10" t="n">
        <v>0.0612414648681816</v>
      </c>
      <c r="R23" s="9" t="n">
        <v>15</v>
      </c>
      <c r="S23" s="12" t="n">
        <f aca="false">IF(AND(ISNUMBER(R23),R23&gt;1,P23&gt;0),R23/P23-1,"")</f>
        <v>-0.081378026977276</v>
      </c>
      <c r="T23" s="9" t="n">
        <f aca="false">IF(AND(ISNUMBER(P23),P23&gt;0),P23*EXP('Read me'!$B$22),"")</f>
        <v>19.9440487060387</v>
      </c>
    </row>
    <row r="24" customFormat="false" ht="15" hidden="false" customHeight="false" outlineLevel="0" collapsed="false">
      <c r="A24" s="15" t="s">
        <v>112</v>
      </c>
      <c r="B24" s="15" t="s">
        <v>49</v>
      </c>
      <c r="C24" s="15" t="s">
        <v>113</v>
      </c>
      <c r="D24" s="15" t="s">
        <v>370</v>
      </c>
      <c r="E24" s="16" t="n">
        <v>8</v>
      </c>
      <c r="F24" s="15" t="s">
        <v>371</v>
      </c>
      <c r="G24" s="8" t="n">
        <v>13</v>
      </c>
      <c r="H24" s="15" t="s">
        <v>562</v>
      </c>
      <c r="I24" s="15" t="s">
        <v>52</v>
      </c>
      <c r="J24" s="15" t="s">
        <v>563</v>
      </c>
      <c r="K24" s="8" t="n">
        <v>4</v>
      </c>
      <c r="L24" s="8" t="n">
        <v>57</v>
      </c>
      <c r="M24" s="8" t="n">
        <v>2</v>
      </c>
      <c r="N24" s="8" t="n">
        <v>33</v>
      </c>
      <c r="O24" s="8" t="n">
        <v>9</v>
      </c>
      <c r="P24" s="9" t="n">
        <v>17.409374290264</v>
      </c>
      <c r="Q24" s="10" t="n">
        <v>0.0574403182634336</v>
      </c>
      <c r="R24" s="9" t="n">
        <v>29</v>
      </c>
      <c r="S24" s="12" t="n">
        <f aca="false">IF(AND(ISNUMBER(R24),R24&gt;1,P24&gt;0),R24/P24-1,"")</f>
        <v>0.665769229639575</v>
      </c>
      <c r="T24" s="9" t="n">
        <f aca="false">IF(AND(ISNUMBER(P24),P24&gt;0),P24*EXP('Read me'!$B$22),"")</f>
        <v>21.2638577759711</v>
      </c>
    </row>
    <row r="25" customFormat="false" ht="15" hidden="false" customHeight="false" outlineLevel="0" collapsed="false">
      <c r="A25" s="15" t="s">
        <v>112</v>
      </c>
      <c r="B25" s="15" t="s">
        <v>49</v>
      </c>
      <c r="C25" s="15" t="s">
        <v>113</v>
      </c>
      <c r="D25" s="15" t="s">
        <v>370</v>
      </c>
      <c r="E25" s="16" t="n">
        <v>8</v>
      </c>
      <c r="F25" s="15" t="s">
        <v>371</v>
      </c>
      <c r="G25" s="8" t="n">
        <v>13</v>
      </c>
      <c r="H25" s="15" t="s">
        <v>564</v>
      </c>
      <c r="I25" s="15" t="s">
        <v>237</v>
      </c>
      <c r="J25" s="15" t="s">
        <v>565</v>
      </c>
      <c r="K25" s="8" t="n">
        <v>8</v>
      </c>
      <c r="L25" s="8" t="n">
        <v>65</v>
      </c>
      <c r="M25" s="8" t="n">
        <v>2</v>
      </c>
      <c r="N25" s="8" t="n">
        <v>23</v>
      </c>
      <c r="O25" s="8" t="n">
        <v>10</v>
      </c>
      <c r="P25" s="9" t="n">
        <v>19.8732823570945</v>
      </c>
      <c r="Q25" s="10" t="n">
        <v>0.0503188140756735</v>
      </c>
      <c r="R25" s="9" t="n">
        <v>17</v>
      </c>
      <c r="S25" s="12" t="n">
        <f aca="false">IF(AND(ISNUMBER(R25),R25&gt;1,P25&gt;0),R25/P25-1,"")</f>
        <v>-0.144580160713551</v>
      </c>
      <c r="T25" s="9" t="n">
        <f aca="false">IF(AND(ISNUMBER(P25),P25&gt;0),P25*EXP('Read me'!$B$22),"")</f>
        <v>24.2732818846511</v>
      </c>
    </row>
    <row r="26" customFormat="false" ht="15" hidden="false" customHeight="false" outlineLevel="0" collapsed="false">
      <c r="A26" s="15" t="s">
        <v>112</v>
      </c>
      <c r="B26" s="15" t="s">
        <v>49</v>
      </c>
      <c r="C26" s="15" t="s">
        <v>113</v>
      </c>
      <c r="D26" s="15" t="s">
        <v>370</v>
      </c>
      <c r="E26" s="16" t="n">
        <v>8</v>
      </c>
      <c r="F26" s="15" t="s">
        <v>371</v>
      </c>
      <c r="G26" s="8" t="n">
        <v>13</v>
      </c>
      <c r="H26" s="15" t="s">
        <v>566</v>
      </c>
      <c r="I26" s="15" t="s">
        <v>171</v>
      </c>
      <c r="J26" s="15" t="s">
        <v>53</v>
      </c>
      <c r="K26" s="8" t="n">
        <v>7</v>
      </c>
      <c r="L26" s="8" t="n">
        <v>60</v>
      </c>
      <c r="M26" s="8" t="n">
        <v>2</v>
      </c>
      <c r="N26" s="8" t="n">
        <v>40</v>
      </c>
      <c r="O26" s="8" t="n">
        <v>11</v>
      </c>
      <c r="P26" s="9" t="n">
        <v>20.0771636589557</v>
      </c>
      <c r="Q26" s="10" t="n">
        <v>0.0498078322708663</v>
      </c>
      <c r="R26" s="9" t="n">
        <v>9</v>
      </c>
      <c r="S26" s="12" t="n">
        <f aca="false">IF(AND(ISNUMBER(R26),R26&gt;1,P26&gt;0),R26/P26-1,"")</f>
        <v>-0.551729509562202</v>
      </c>
      <c r="T26" s="9" t="n">
        <f aca="false">IF(AND(ISNUMBER(P26),P26&gt;0),P26*EXP('Read me'!$B$22),"")</f>
        <v>24.5223030690816</v>
      </c>
    </row>
    <row r="27" customFormat="false" ht="15" hidden="false" customHeight="false" outlineLevel="0" collapsed="false">
      <c r="A27" s="15" t="s">
        <v>112</v>
      </c>
      <c r="B27" s="15" t="s">
        <v>49</v>
      </c>
      <c r="C27" s="15" t="s">
        <v>113</v>
      </c>
      <c r="D27" s="15" t="s">
        <v>370</v>
      </c>
      <c r="E27" s="16" t="n">
        <v>8</v>
      </c>
      <c r="F27" s="15" t="s">
        <v>371</v>
      </c>
      <c r="G27" s="8" t="n">
        <v>13</v>
      </c>
      <c r="H27" s="15" t="s">
        <v>567</v>
      </c>
      <c r="I27" s="15" t="s">
        <v>568</v>
      </c>
      <c r="J27" s="15" t="s">
        <v>569</v>
      </c>
      <c r="K27" s="8" t="n">
        <v>10</v>
      </c>
      <c r="L27" s="8" t="n">
        <v>56</v>
      </c>
      <c r="M27" s="8" t="n">
        <v>2</v>
      </c>
      <c r="N27" s="8" t="n">
        <v>17</v>
      </c>
      <c r="O27" s="8" t="n">
        <v>12</v>
      </c>
      <c r="P27" s="9" t="n">
        <v>21.0094546053829</v>
      </c>
      <c r="Q27" s="10" t="n">
        <v>0.0475976182524884</v>
      </c>
      <c r="R27" s="9" t="n">
        <v>17</v>
      </c>
      <c r="S27" s="12" t="n">
        <f aca="false">IF(AND(ISNUMBER(R27),R27&gt;1,P27&gt;0),R27/P27-1,"")</f>
        <v>-0.190840489707696</v>
      </c>
      <c r="T27" s="9" t="n">
        <f aca="false">IF(AND(ISNUMBER(P27),P27&gt;0),P27*EXP('Read me'!$B$22),"")</f>
        <v>25.6610058024555</v>
      </c>
    </row>
    <row r="28" customFormat="false" ht="15" hidden="false" customHeight="false" outlineLevel="0" collapsed="false">
      <c r="A28" s="15" t="s">
        <v>112</v>
      </c>
      <c r="B28" s="15" t="s">
        <v>49</v>
      </c>
      <c r="C28" s="15" t="s">
        <v>113</v>
      </c>
      <c r="D28" s="15" t="s">
        <v>370</v>
      </c>
      <c r="E28" s="16" t="n">
        <v>8</v>
      </c>
      <c r="F28" s="15" t="s">
        <v>371</v>
      </c>
      <c r="G28" s="8" t="n">
        <v>13</v>
      </c>
      <c r="H28" s="15" t="s">
        <v>570</v>
      </c>
      <c r="I28" s="15" t="s">
        <v>571</v>
      </c>
      <c r="J28" s="15" t="s">
        <v>115</v>
      </c>
      <c r="K28" s="8" t="n">
        <v>2</v>
      </c>
      <c r="L28" s="8" t="n">
        <v>48</v>
      </c>
      <c r="M28" s="8" t="n">
        <v>2</v>
      </c>
      <c r="N28" s="8" t="n">
        <v>11</v>
      </c>
      <c r="O28" s="8" t="n">
        <v>13</v>
      </c>
      <c r="P28" s="9" t="n">
        <v>43.4155580655675</v>
      </c>
      <c r="Q28" s="10" t="n">
        <v>0.0230332176886859</v>
      </c>
      <c r="R28" s="9" t="n">
        <v>51</v>
      </c>
      <c r="S28" s="12" t="n">
        <f aca="false">IF(AND(ISNUMBER(R28),R28&gt;1,P28&gt;0),R28/P28-1,"")</f>
        <v>0.174694102122982</v>
      </c>
      <c r="T28" s="9" t="n">
        <f aca="false">IF(AND(ISNUMBER(P28),P28&gt;0),P28*EXP('Read me'!$B$22),"")</f>
        <v>53.0278823683471</v>
      </c>
    </row>
    <row r="29" customFormat="false" ht="15" hidden="false" customHeight="false" outlineLevel="0" collapsed="false">
      <c r="A29" s="15" t="s">
        <v>141</v>
      </c>
      <c r="B29" s="15" t="s">
        <v>49</v>
      </c>
      <c r="C29" s="15" t="s">
        <v>142</v>
      </c>
      <c r="D29" s="15" t="s">
        <v>418</v>
      </c>
      <c r="E29" s="16" t="n">
        <v>8</v>
      </c>
      <c r="F29" s="15" t="s">
        <v>371</v>
      </c>
      <c r="G29" s="8" t="n">
        <v>10</v>
      </c>
      <c r="H29" s="15" t="s">
        <v>143</v>
      </c>
      <c r="I29" s="15" t="s">
        <v>144</v>
      </c>
      <c r="J29" s="15" t="s">
        <v>145</v>
      </c>
      <c r="K29" s="8" t="n">
        <v>8</v>
      </c>
      <c r="L29" s="8" t="n">
        <v>72</v>
      </c>
      <c r="M29" s="8" t="n">
        <v>5</v>
      </c>
      <c r="N29" s="8" t="n">
        <v>14</v>
      </c>
      <c r="O29" s="8" t="n">
        <v>1</v>
      </c>
      <c r="P29" s="9" t="n">
        <v>4.29172414817471</v>
      </c>
      <c r="Q29" s="10" t="n">
        <v>0.233006587906006</v>
      </c>
      <c r="R29" s="9" t="n">
        <v>3</v>
      </c>
      <c r="S29" s="12" t="n">
        <f aca="false">IF(AND(ISNUMBER(R29),R29&gt;1,P29&gt;0),R29/P29-1,"")</f>
        <v>-0.300980236281981</v>
      </c>
      <c r="T29" s="9" t="n">
        <f aca="false">IF(AND(ISNUMBER(P29),P29&gt;0),P29*EXP('Read me'!$B$22),"")</f>
        <v>5.24192371184319</v>
      </c>
    </row>
    <row r="30" customFormat="false" ht="15" hidden="false" customHeight="false" outlineLevel="0" collapsed="false">
      <c r="A30" s="15" t="s">
        <v>141</v>
      </c>
      <c r="B30" s="15" t="s">
        <v>49</v>
      </c>
      <c r="C30" s="15" t="s">
        <v>142</v>
      </c>
      <c r="D30" s="15" t="s">
        <v>418</v>
      </c>
      <c r="E30" s="16" t="n">
        <v>8</v>
      </c>
      <c r="F30" s="15" t="s">
        <v>371</v>
      </c>
      <c r="G30" s="8" t="n">
        <v>10</v>
      </c>
      <c r="H30" s="15" t="s">
        <v>146</v>
      </c>
      <c r="I30" s="15" t="s">
        <v>85</v>
      </c>
      <c r="J30" s="15" t="s">
        <v>632</v>
      </c>
      <c r="K30" s="8" t="n">
        <v>4</v>
      </c>
      <c r="L30" s="8" t="n">
        <v>70</v>
      </c>
      <c r="M30" s="8" t="n">
        <v>5</v>
      </c>
      <c r="N30" s="8" t="n">
        <v>15</v>
      </c>
      <c r="O30" s="8" t="n">
        <v>2</v>
      </c>
      <c r="P30" s="9" t="n">
        <v>6.47003996606428</v>
      </c>
      <c r="Q30" s="10" t="n">
        <v>0.15455855068053</v>
      </c>
      <c r="R30" s="9" t="n">
        <v>6.5</v>
      </c>
      <c r="S30" s="12" t="n">
        <f aca="false">IF(AND(ISNUMBER(R30),R30&gt;1,P30&gt;0),R30/P30-1,"")</f>
        <v>0.00463057942344358</v>
      </c>
      <c r="T30" s="9" t="n">
        <f aca="false">IF(AND(ISNUMBER(P30),P30&gt;0),P30*EXP('Read me'!$B$22),"")</f>
        <v>7.90252465995745</v>
      </c>
    </row>
    <row r="31" customFormat="false" ht="15" hidden="false" customHeight="false" outlineLevel="0" collapsed="false">
      <c r="A31" s="15" t="s">
        <v>141</v>
      </c>
      <c r="B31" s="15" t="s">
        <v>49</v>
      </c>
      <c r="C31" s="15" t="s">
        <v>142</v>
      </c>
      <c r="D31" s="15" t="s">
        <v>418</v>
      </c>
      <c r="E31" s="16" t="n">
        <v>8</v>
      </c>
      <c r="F31" s="15" t="s">
        <v>371</v>
      </c>
      <c r="G31" s="8" t="n">
        <v>10</v>
      </c>
      <c r="H31" s="15" t="s">
        <v>633</v>
      </c>
      <c r="I31" s="15" t="s">
        <v>634</v>
      </c>
      <c r="J31" s="15" t="s">
        <v>635</v>
      </c>
      <c r="K31" s="8" t="n">
        <v>6</v>
      </c>
      <c r="L31" s="8" t="n">
        <v>75</v>
      </c>
      <c r="M31" s="8" t="n">
        <v>7</v>
      </c>
      <c r="N31" s="8" t="n">
        <v>14</v>
      </c>
      <c r="O31" s="8" t="n">
        <v>3</v>
      </c>
      <c r="P31" s="9" t="n">
        <v>7.70332730226141</v>
      </c>
      <c r="Q31" s="10" t="n">
        <v>0.129814034995818</v>
      </c>
      <c r="R31" s="9" t="n">
        <v>8.5</v>
      </c>
      <c r="S31" s="12" t="n">
        <f aca="false">IF(AND(ISNUMBER(R31),R31&gt;1,P31&gt;0),R31/P31-1,"")</f>
        <v>0.103419297464451</v>
      </c>
      <c r="T31" s="9" t="n">
        <f aca="false">IF(AND(ISNUMBER(P31),P31&gt;0),P31*EXP('Read me'!$B$22),"")</f>
        <v>9.40886521399262</v>
      </c>
    </row>
    <row r="32" customFormat="false" ht="15" hidden="false" customHeight="false" outlineLevel="0" collapsed="false">
      <c r="A32" s="15" t="s">
        <v>141</v>
      </c>
      <c r="B32" s="15" t="s">
        <v>49</v>
      </c>
      <c r="C32" s="15" t="s">
        <v>142</v>
      </c>
      <c r="D32" s="15" t="s">
        <v>418</v>
      </c>
      <c r="E32" s="16" t="n">
        <v>8</v>
      </c>
      <c r="F32" s="15" t="s">
        <v>371</v>
      </c>
      <c r="G32" s="8" t="n">
        <v>10</v>
      </c>
      <c r="H32" s="15" t="s">
        <v>636</v>
      </c>
      <c r="I32" s="15" t="s">
        <v>637</v>
      </c>
      <c r="J32" s="15" t="s">
        <v>53</v>
      </c>
      <c r="K32" s="8" t="n">
        <v>5</v>
      </c>
      <c r="L32" s="8" t="n">
        <v>69</v>
      </c>
      <c r="M32" s="8" t="n">
        <v>5</v>
      </c>
      <c r="N32" s="8" t="n">
        <v>31</v>
      </c>
      <c r="O32" s="8" t="n">
        <v>4</v>
      </c>
      <c r="P32" s="9" t="n">
        <v>8.63474671847115</v>
      </c>
      <c r="Q32" s="10" t="n">
        <v>0.115811156088787</v>
      </c>
      <c r="R32" s="9" t="n">
        <v>6</v>
      </c>
      <c r="S32" s="12" t="n">
        <f aca="false">IF(AND(ISNUMBER(R32),R32&gt;1,P32&gt;0),R32/P32-1,"")</f>
        <v>-0.305133063467281</v>
      </c>
      <c r="T32" s="9" t="n">
        <f aca="false">IF(AND(ISNUMBER(P32),P32&gt;0),P32*EXP('Read me'!$B$22),"")</f>
        <v>10.5465034579551</v>
      </c>
    </row>
    <row r="33" customFormat="false" ht="15" hidden="false" customHeight="false" outlineLevel="0" collapsed="false">
      <c r="A33" s="15" t="s">
        <v>141</v>
      </c>
      <c r="B33" s="15" t="s">
        <v>49</v>
      </c>
      <c r="C33" s="15" t="s">
        <v>142</v>
      </c>
      <c r="D33" s="15" t="s">
        <v>418</v>
      </c>
      <c r="E33" s="16" t="n">
        <v>8</v>
      </c>
      <c r="F33" s="15" t="s">
        <v>371</v>
      </c>
      <c r="G33" s="8" t="n">
        <v>10</v>
      </c>
      <c r="H33" s="15" t="s">
        <v>638</v>
      </c>
      <c r="I33" s="15" t="s">
        <v>460</v>
      </c>
      <c r="J33" s="15" t="s">
        <v>300</v>
      </c>
      <c r="K33" s="8" t="n">
        <v>1</v>
      </c>
      <c r="L33" s="8" t="n">
        <v>73</v>
      </c>
      <c r="M33" s="8" t="n">
        <v>3</v>
      </c>
      <c r="N33" s="8" t="n">
        <v>17</v>
      </c>
      <c r="O33" s="8" t="n">
        <v>5</v>
      </c>
      <c r="P33" s="9" t="n">
        <v>9.78481027120201</v>
      </c>
      <c r="Q33" s="10" t="n">
        <v>0.102199222292857</v>
      </c>
      <c r="R33" s="9" t="n">
        <v>8.5</v>
      </c>
      <c r="S33" s="12" t="n">
        <f aca="false">IF(AND(ISNUMBER(R33),R33&gt;1,P33&gt;0),R33/P33-1,"")</f>
        <v>-0.131306610510719</v>
      </c>
      <c r="T33" s="9" t="n">
        <f aca="false">IF(AND(ISNUMBER(P33),P33&gt;0),P33*EXP('Read me'!$B$22),"")</f>
        <v>11.9511942533201</v>
      </c>
    </row>
    <row r="34" customFormat="false" ht="15" hidden="false" customHeight="false" outlineLevel="0" collapsed="false">
      <c r="A34" s="15" t="s">
        <v>141</v>
      </c>
      <c r="B34" s="15" t="s">
        <v>49</v>
      </c>
      <c r="C34" s="15" t="s">
        <v>142</v>
      </c>
      <c r="D34" s="15" t="s">
        <v>418</v>
      </c>
      <c r="E34" s="16" t="n">
        <v>8</v>
      </c>
      <c r="F34" s="15" t="s">
        <v>371</v>
      </c>
      <c r="G34" s="8" t="n">
        <v>10</v>
      </c>
      <c r="H34" s="15" t="s">
        <v>639</v>
      </c>
      <c r="I34" s="15" t="s">
        <v>550</v>
      </c>
      <c r="J34" s="15" t="s">
        <v>640</v>
      </c>
      <c r="K34" s="8" t="n">
        <v>7</v>
      </c>
      <c r="L34" s="8" t="n">
        <v>71</v>
      </c>
      <c r="M34" s="8" t="n">
        <v>3</v>
      </c>
      <c r="N34" s="8" t="n">
        <v>27</v>
      </c>
      <c r="O34" s="8" t="n">
        <v>6</v>
      </c>
      <c r="P34" s="9" t="n">
        <v>10.981931056762</v>
      </c>
      <c r="Q34" s="10" t="n">
        <v>0.0910586667163844</v>
      </c>
      <c r="R34" s="9" t="n">
        <v>10</v>
      </c>
      <c r="S34" s="12" t="n">
        <f aca="false">IF(AND(ISNUMBER(R34),R34&gt;1,P34&gt;0),R34/P34-1,"")</f>
        <v>-0.0894133328361555</v>
      </c>
      <c r="T34" s="9" t="n">
        <f aca="false">IF(AND(ISNUMBER(P34),P34&gt;0),P34*EXP('Read me'!$B$22),"")</f>
        <v>13.4133608826539</v>
      </c>
    </row>
    <row r="35" customFormat="false" ht="15" hidden="false" customHeight="false" outlineLevel="0" collapsed="false">
      <c r="A35" s="15" t="s">
        <v>141</v>
      </c>
      <c r="B35" s="15" t="s">
        <v>49</v>
      </c>
      <c r="C35" s="15" t="s">
        <v>142</v>
      </c>
      <c r="D35" s="15" t="s">
        <v>418</v>
      </c>
      <c r="E35" s="16" t="n">
        <v>8</v>
      </c>
      <c r="F35" s="15" t="s">
        <v>371</v>
      </c>
      <c r="G35" s="8" t="n">
        <v>10</v>
      </c>
      <c r="H35" s="15" t="s">
        <v>641</v>
      </c>
      <c r="I35" s="15" t="s">
        <v>568</v>
      </c>
      <c r="J35" s="15" t="s">
        <v>215</v>
      </c>
      <c r="K35" s="8" t="n">
        <v>10</v>
      </c>
      <c r="L35" s="8" t="n">
        <v>71</v>
      </c>
      <c r="M35" s="8" t="n">
        <v>7</v>
      </c>
      <c r="N35" s="8" t="n">
        <v>27</v>
      </c>
      <c r="O35" s="8" t="n">
        <v>7</v>
      </c>
      <c r="P35" s="9" t="n">
        <v>14.9936122232124</v>
      </c>
      <c r="Q35" s="10" t="n">
        <v>0.0666950688808564</v>
      </c>
      <c r="R35" s="9" t="n">
        <v>10</v>
      </c>
      <c r="S35" s="12" t="n">
        <f aca="false">IF(AND(ISNUMBER(R35),R35&gt;1,P35&gt;0),R35/P35-1,"")</f>
        <v>-0.333049311191436</v>
      </c>
      <c r="T35" s="9" t="n">
        <f aca="false">IF(AND(ISNUMBER(P35),P35&gt;0),P35*EXP('Read me'!$B$22),"")</f>
        <v>18.3132393242156</v>
      </c>
    </row>
    <row r="36" customFormat="false" ht="15" hidden="false" customHeight="false" outlineLevel="0" collapsed="false">
      <c r="A36" s="15" t="s">
        <v>141</v>
      </c>
      <c r="B36" s="15" t="s">
        <v>49</v>
      </c>
      <c r="C36" s="15" t="s">
        <v>142</v>
      </c>
      <c r="D36" s="15" t="s">
        <v>418</v>
      </c>
      <c r="E36" s="16" t="n">
        <v>8</v>
      </c>
      <c r="F36" s="15" t="s">
        <v>371</v>
      </c>
      <c r="G36" s="8" t="n">
        <v>10</v>
      </c>
      <c r="H36" s="15" t="s">
        <v>642</v>
      </c>
      <c r="I36" s="15" t="s">
        <v>560</v>
      </c>
      <c r="J36" s="15" t="s">
        <v>551</v>
      </c>
      <c r="K36" s="8" t="n">
        <v>3</v>
      </c>
      <c r="L36" s="8" t="n">
        <v>72</v>
      </c>
      <c r="M36" s="8" t="n">
        <v>3</v>
      </c>
      <c r="N36" s="8" t="n">
        <v>67</v>
      </c>
      <c r="O36" s="8" t="n">
        <v>8</v>
      </c>
      <c r="P36" s="9" t="n">
        <v>19.2854372760125</v>
      </c>
      <c r="Q36" s="10" t="n">
        <v>0.0518525966348615</v>
      </c>
      <c r="R36" s="9" t="n">
        <v>19</v>
      </c>
      <c r="S36" s="12" t="n">
        <f aca="false">IF(AND(ISNUMBER(R36),R36&gt;1,P36&gt;0),R36/P36-1,"")</f>
        <v>-0.0148006639376302</v>
      </c>
      <c r="T36" s="9" t="n">
        <f aca="false">IF(AND(ISNUMBER(P36),P36&gt;0),P36*EXP('Read me'!$B$22),"")</f>
        <v>23.5552862812466</v>
      </c>
    </row>
    <row r="37" customFormat="false" ht="15" hidden="false" customHeight="false" outlineLevel="0" collapsed="false">
      <c r="A37" s="15" t="s">
        <v>141</v>
      </c>
      <c r="B37" s="15" t="s">
        <v>49</v>
      </c>
      <c r="C37" s="15" t="s">
        <v>142</v>
      </c>
      <c r="D37" s="15" t="s">
        <v>418</v>
      </c>
      <c r="E37" s="16" t="n">
        <v>8</v>
      </c>
      <c r="F37" s="15" t="s">
        <v>371</v>
      </c>
      <c r="G37" s="8" t="n">
        <v>10</v>
      </c>
      <c r="H37" s="15" t="s">
        <v>643</v>
      </c>
      <c r="I37" s="15" t="s">
        <v>383</v>
      </c>
      <c r="J37" s="15" t="s">
        <v>384</v>
      </c>
      <c r="K37" s="8" t="n">
        <v>9</v>
      </c>
      <c r="L37" s="8" t="n">
        <v>67</v>
      </c>
      <c r="M37" s="8" t="n">
        <v>8</v>
      </c>
      <c r="N37" s="8" t="n">
        <v>38</v>
      </c>
      <c r="O37" s="8" t="n">
        <v>9</v>
      </c>
      <c r="P37" s="9" t="n">
        <v>20.9159344449261</v>
      </c>
      <c r="Q37" s="10" t="n">
        <v>0.0478104386219563</v>
      </c>
      <c r="R37" s="9" t="n">
        <v>17</v>
      </c>
      <c r="S37" s="12" t="n">
        <f aca="false">IF(AND(ISNUMBER(R37),R37&gt;1,P37&gt;0),R37/P37-1,"")</f>
        <v>-0.187222543426742</v>
      </c>
      <c r="T37" s="9" t="n">
        <f aca="false">IF(AND(ISNUMBER(P37),P37&gt;0),P37*EXP('Read me'!$B$22),"")</f>
        <v>25.54678002053</v>
      </c>
    </row>
    <row r="38" customFormat="false" ht="15" hidden="false" customHeight="false" outlineLevel="0" collapsed="false">
      <c r="A38" s="15" t="s">
        <v>141</v>
      </c>
      <c r="B38" s="15" t="s">
        <v>49</v>
      </c>
      <c r="C38" s="15" t="s">
        <v>142</v>
      </c>
      <c r="D38" s="15" t="s">
        <v>418</v>
      </c>
      <c r="E38" s="16" t="n">
        <v>8</v>
      </c>
      <c r="F38" s="15" t="s">
        <v>371</v>
      </c>
      <c r="G38" s="8" t="n">
        <v>10</v>
      </c>
      <c r="H38" s="15" t="s">
        <v>644</v>
      </c>
      <c r="I38" s="15" t="s">
        <v>52</v>
      </c>
      <c r="J38" s="15" t="s">
        <v>645</v>
      </c>
      <c r="K38" s="8" t="n">
        <v>2</v>
      </c>
      <c r="L38" s="8" t="n">
        <v>67</v>
      </c>
      <c r="M38" s="8" t="n">
        <v>3</v>
      </c>
      <c r="N38" s="8" t="n">
        <v>19</v>
      </c>
      <c r="O38" s="8" t="n">
        <v>10</v>
      </c>
      <c r="P38" s="9" t="n">
        <v>139.010964032404</v>
      </c>
      <c r="Q38" s="10" t="n">
        <v>0.0071936771819444</v>
      </c>
      <c r="R38" s="9" t="n">
        <v>81</v>
      </c>
      <c r="S38" s="12" t="n">
        <f aca="false">IF(AND(ISNUMBER(R38),R38&gt;1,P38&gt;0),R38/P38-1,"")</f>
        <v>-0.417312148262503</v>
      </c>
      <c r="T38" s="9" t="n">
        <f aca="false">IF(AND(ISNUMBER(P38),P38&gt;0),P38*EXP('Read me'!$B$22),"")</f>
        <v>169.788374883683</v>
      </c>
    </row>
    <row r="39" customFormat="false" ht="15" hidden="false" customHeight="false" outlineLevel="0" collapsed="false">
      <c r="A39" s="15" t="s">
        <v>168</v>
      </c>
      <c r="B39" s="15" t="s">
        <v>49</v>
      </c>
      <c r="C39" s="15" t="s">
        <v>169</v>
      </c>
      <c r="D39" s="15" t="s">
        <v>418</v>
      </c>
      <c r="E39" s="16" t="n">
        <v>12</v>
      </c>
      <c r="F39" s="15" t="s">
        <v>371</v>
      </c>
      <c r="G39" s="8" t="n">
        <v>7</v>
      </c>
      <c r="H39" s="15" t="s">
        <v>170</v>
      </c>
      <c r="I39" s="15" t="s">
        <v>171</v>
      </c>
      <c r="J39" s="15" t="s">
        <v>53</v>
      </c>
      <c r="K39" s="8" t="n">
        <v>6</v>
      </c>
      <c r="L39" s="8" t="n">
        <v>67</v>
      </c>
      <c r="M39" s="8" t="n">
        <v>4</v>
      </c>
      <c r="N39" s="8" t="n">
        <v>156</v>
      </c>
      <c r="O39" s="8" t="n">
        <v>1</v>
      </c>
      <c r="P39" s="9" t="n">
        <v>5.39940121223242</v>
      </c>
      <c r="Q39" s="10" t="n">
        <v>0.185205722022376</v>
      </c>
      <c r="R39" s="9" t="n">
        <v>4</v>
      </c>
      <c r="S39" s="12" t="n">
        <f aca="false">IF(AND(ISNUMBER(R39),R39&gt;1,P39&gt;0),R39/P39-1,"")</f>
        <v>-0.259177111910495</v>
      </c>
      <c r="T39" s="9" t="n">
        <f aca="false">IF(AND(ISNUMBER(P39),P39&gt;0),P39*EXP('Read me'!$B$22),"")</f>
        <v>6.59484353303405</v>
      </c>
    </row>
    <row r="40" customFormat="false" ht="15" hidden="false" customHeight="false" outlineLevel="0" collapsed="false">
      <c r="A40" s="15" t="s">
        <v>168</v>
      </c>
      <c r="B40" s="15" t="s">
        <v>49</v>
      </c>
      <c r="C40" s="15" t="s">
        <v>169</v>
      </c>
      <c r="D40" s="15" t="s">
        <v>418</v>
      </c>
      <c r="E40" s="16" t="n">
        <v>12</v>
      </c>
      <c r="F40" s="15" t="s">
        <v>371</v>
      </c>
      <c r="G40" s="8" t="n">
        <v>7</v>
      </c>
      <c r="H40" s="15" t="s">
        <v>172</v>
      </c>
      <c r="I40" s="15" t="s">
        <v>735</v>
      </c>
      <c r="J40" s="15" t="s">
        <v>736</v>
      </c>
      <c r="K40" s="8" t="n">
        <v>1</v>
      </c>
      <c r="L40" s="8" t="n">
        <v>62</v>
      </c>
      <c r="M40" s="8" t="n">
        <v>3</v>
      </c>
      <c r="N40" s="8" t="n">
        <v>18</v>
      </c>
      <c r="O40" s="8" t="n">
        <v>2</v>
      </c>
      <c r="P40" s="9" t="n">
        <v>5.58718260140416</v>
      </c>
      <c r="Q40" s="10" t="n">
        <v>0.178981084267531</v>
      </c>
      <c r="R40" s="9" t="n">
        <v>4.5</v>
      </c>
      <c r="S40" s="12" t="n">
        <f aca="false">IF(AND(ISNUMBER(R40),R40&gt;1,P40&gt;0),R40/P40-1,"")</f>
        <v>-0.194585120796111</v>
      </c>
      <c r="T40" s="9" t="n">
        <f aca="false">IF(AND(ISNUMBER(P40),P40&gt;0),P40*EXP('Read me'!$B$22),"")</f>
        <v>6.82420023969955</v>
      </c>
    </row>
    <row r="41" customFormat="false" ht="15" hidden="false" customHeight="false" outlineLevel="0" collapsed="false">
      <c r="A41" s="15" t="s">
        <v>168</v>
      </c>
      <c r="B41" s="15" t="s">
        <v>49</v>
      </c>
      <c r="C41" s="15" t="s">
        <v>169</v>
      </c>
      <c r="D41" s="15" t="s">
        <v>418</v>
      </c>
      <c r="E41" s="16" t="n">
        <v>12</v>
      </c>
      <c r="F41" s="15" t="s">
        <v>371</v>
      </c>
      <c r="G41" s="8" t="n">
        <v>7</v>
      </c>
      <c r="H41" s="15" t="s">
        <v>737</v>
      </c>
      <c r="I41" s="15" t="s">
        <v>457</v>
      </c>
      <c r="J41" s="15" t="s">
        <v>738</v>
      </c>
      <c r="K41" s="8" t="n">
        <v>2</v>
      </c>
      <c r="L41" s="8" t="n">
        <v>68</v>
      </c>
      <c r="M41" s="8" t="n">
        <v>6</v>
      </c>
      <c r="N41" s="8" t="n">
        <v>43</v>
      </c>
      <c r="O41" s="8" t="n">
        <v>3</v>
      </c>
      <c r="P41" s="9" t="n">
        <v>5.68787732683995</v>
      </c>
      <c r="Q41" s="10" t="n">
        <v>0.175812511862941</v>
      </c>
      <c r="R41" s="9" t="n">
        <v>4.5</v>
      </c>
      <c r="S41" s="12" t="n">
        <f aca="false">IF(AND(ISNUMBER(R41),R41&gt;1,P41&gt;0),R41/P41-1,"")</f>
        <v>-0.208843696616767</v>
      </c>
      <c r="T41" s="9" t="n">
        <f aca="false">IF(AND(ISNUMBER(P41),P41&gt;0),P41*EXP('Read me'!$B$22),"")</f>
        <v>6.94718905507901</v>
      </c>
    </row>
    <row r="42" customFormat="false" ht="15" hidden="false" customHeight="false" outlineLevel="0" collapsed="false">
      <c r="A42" s="15" t="s">
        <v>168</v>
      </c>
      <c r="B42" s="15" t="s">
        <v>49</v>
      </c>
      <c r="C42" s="15" t="s">
        <v>169</v>
      </c>
      <c r="D42" s="15" t="s">
        <v>418</v>
      </c>
      <c r="E42" s="16" t="n">
        <v>12</v>
      </c>
      <c r="F42" s="15" t="s">
        <v>371</v>
      </c>
      <c r="G42" s="8" t="n">
        <v>7</v>
      </c>
      <c r="H42" s="15" t="s">
        <v>739</v>
      </c>
      <c r="I42" s="15" t="s">
        <v>740</v>
      </c>
      <c r="J42" s="15" t="s">
        <v>741</v>
      </c>
      <c r="K42" s="8" t="n">
        <v>7</v>
      </c>
      <c r="L42" s="8" t="n">
        <v>63</v>
      </c>
      <c r="M42" s="8" t="n">
        <v>3</v>
      </c>
      <c r="N42" s="8" t="n">
        <v>17</v>
      </c>
      <c r="O42" s="8" t="n">
        <v>4</v>
      </c>
      <c r="P42" s="9" t="n">
        <v>5.86309501870827</v>
      </c>
      <c r="Q42" s="10" t="n">
        <v>0.17055838201652</v>
      </c>
      <c r="R42" s="9" t="n">
        <v>4.5</v>
      </c>
      <c r="S42" s="12" t="n">
        <f aca="false">IF(AND(ISNUMBER(R42),R42&gt;1,P42&gt;0),R42/P42-1,"")</f>
        <v>-0.232487280925661</v>
      </c>
      <c r="T42" s="9" t="n">
        <f aca="false">IF(AND(ISNUMBER(P42),P42&gt;0),P42*EXP('Read me'!$B$22),"")</f>
        <v>7.16120042720544</v>
      </c>
    </row>
    <row r="43" customFormat="false" ht="15" hidden="false" customHeight="false" outlineLevel="0" collapsed="false">
      <c r="A43" s="15" t="s">
        <v>168</v>
      </c>
      <c r="B43" s="15" t="s">
        <v>49</v>
      </c>
      <c r="C43" s="15" t="s">
        <v>169</v>
      </c>
      <c r="D43" s="15" t="s">
        <v>418</v>
      </c>
      <c r="E43" s="16" t="n">
        <v>12</v>
      </c>
      <c r="F43" s="15" t="s">
        <v>371</v>
      </c>
      <c r="G43" s="8" t="n">
        <v>7</v>
      </c>
      <c r="H43" s="15" t="s">
        <v>742</v>
      </c>
      <c r="I43" s="15" t="s">
        <v>383</v>
      </c>
      <c r="J43" s="15" t="s">
        <v>743</v>
      </c>
      <c r="K43" s="8" t="n">
        <v>5</v>
      </c>
      <c r="L43" s="8" t="n">
        <v>69</v>
      </c>
      <c r="M43" s="8" t="n">
        <v>4</v>
      </c>
      <c r="N43" s="8" t="n">
        <v>31</v>
      </c>
      <c r="O43" s="8" t="n">
        <v>5</v>
      </c>
      <c r="P43" s="9" t="n">
        <v>6.67796259715477</v>
      </c>
      <c r="Q43" s="10" t="n">
        <v>0.149746271478978</v>
      </c>
      <c r="R43" s="9" t="n">
        <v>8</v>
      </c>
      <c r="S43" s="12" t="n">
        <f aca="false">IF(AND(ISNUMBER(R43),R43&gt;1,P43&gt;0),R43/P43-1,"")</f>
        <v>0.197970171831826</v>
      </c>
      <c r="T43" s="9" t="n">
        <f aca="false">IF(AND(ISNUMBER(P43),P43&gt;0),P43*EXP('Read me'!$B$22),"")</f>
        <v>8.15648193505528</v>
      </c>
    </row>
    <row r="44" customFormat="false" ht="15" hidden="false" customHeight="false" outlineLevel="0" collapsed="false">
      <c r="A44" s="15" t="s">
        <v>168</v>
      </c>
      <c r="B44" s="15" t="s">
        <v>49</v>
      </c>
      <c r="C44" s="15" t="s">
        <v>169</v>
      </c>
      <c r="D44" s="15" t="s">
        <v>418</v>
      </c>
      <c r="E44" s="16" t="n">
        <v>12</v>
      </c>
      <c r="F44" s="15" t="s">
        <v>371</v>
      </c>
      <c r="G44" s="8" t="n">
        <v>7</v>
      </c>
      <c r="H44" s="15" t="s">
        <v>744</v>
      </c>
      <c r="I44" s="15" t="s">
        <v>637</v>
      </c>
      <c r="J44" s="15" t="s">
        <v>53</v>
      </c>
      <c r="K44" s="8" t="n">
        <v>4</v>
      </c>
      <c r="L44" s="8" t="n">
        <v>64</v>
      </c>
      <c r="M44" s="8" t="n">
        <v>6</v>
      </c>
      <c r="N44" s="8" t="n">
        <v>35</v>
      </c>
      <c r="O44" s="8" t="n">
        <v>6</v>
      </c>
      <c r="P44" s="9" t="n">
        <v>11.5598288989795</v>
      </c>
      <c r="Q44" s="10" t="n">
        <v>0.0865064707046212</v>
      </c>
      <c r="R44" s="9" t="n">
        <v>12</v>
      </c>
      <c r="S44" s="12" t="n">
        <f aca="false">IF(AND(ISNUMBER(R44),R44&gt;1,P44&gt;0),R44/P44-1,"")</f>
        <v>0.0380776484554544</v>
      </c>
      <c r="T44" s="9" t="n">
        <f aca="false">IF(AND(ISNUMBER(P44),P44&gt;0),P44*EXP('Read me'!$B$22),"")</f>
        <v>14.1192069010732</v>
      </c>
    </row>
    <row r="45" customFormat="false" ht="15" hidden="false" customHeight="false" outlineLevel="0" collapsed="false">
      <c r="A45" s="15" t="s">
        <v>168</v>
      </c>
      <c r="B45" s="15" t="s">
        <v>49</v>
      </c>
      <c r="C45" s="15" t="s">
        <v>169</v>
      </c>
      <c r="D45" s="15" t="s">
        <v>418</v>
      </c>
      <c r="E45" s="16" t="n">
        <v>12</v>
      </c>
      <c r="F45" s="15" t="s">
        <v>371</v>
      </c>
      <c r="G45" s="8" t="n">
        <v>7</v>
      </c>
      <c r="H45" s="15" t="s">
        <v>745</v>
      </c>
      <c r="I45" s="15" t="s">
        <v>746</v>
      </c>
      <c r="J45" s="15" t="s">
        <v>747</v>
      </c>
      <c r="K45" s="8" t="n">
        <v>3</v>
      </c>
      <c r="L45" s="8" t="n">
        <v>59</v>
      </c>
      <c r="M45" s="8" t="n">
        <v>5</v>
      </c>
      <c r="N45" s="8" t="n">
        <v>151</v>
      </c>
      <c r="O45" s="8" t="n">
        <v>7</v>
      </c>
      <c r="P45" s="9" t="n">
        <v>18.8006827700284</v>
      </c>
      <c r="Q45" s="10" t="n">
        <v>0.0531895576470328</v>
      </c>
      <c r="R45" s="9" t="n">
        <v>21</v>
      </c>
      <c r="S45" s="12" t="n">
        <f aca="false">IF(AND(ISNUMBER(R45),R45&gt;1,P45&gt;0),R45/P45-1,"")</f>
        <v>0.116980710587689</v>
      </c>
      <c r="T45" s="9" t="n">
        <f aca="false">IF(AND(ISNUMBER(P45),P45&gt;0),P45*EXP('Read me'!$B$22),"")</f>
        <v>22.963205790607</v>
      </c>
    </row>
    <row r="46" customFormat="false" ht="15" hidden="false" customHeight="false" outlineLevel="0" collapsed="false">
      <c r="A46" s="15" t="s">
        <v>200</v>
      </c>
      <c r="B46" s="15" t="s">
        <v>49</v>
      </c>
      <c r="C46" s="15" t="s">
        <v>201</v>
      </c>
      <c r="D46" s="15" t="s">
        <v>370</v>
      </c>
      <c r="E46" s="16" t="n">
        <v>7</v>
      </c>
      <c r="F46" s="15" t="s">
        <v>371</v>
      </c>
      <c r="G46" s="8" t="n">
        <v>11</v>
      </c>
      <c r="H46" s="15" t="s">
        <v>202</v>
      </c>
      <c r="I46" s="15" t="s">
        <v>203</v>
      </c>
      <c r="J46" s="15" t="s">
        <v>204</v>
      </c>
      <c r="K46" s="8" t="n">
        <v>5</v>
      </c>
      <c r="L46" s="8" t="n">
        <v>60</v>
      </c>
      <c r="M46" s="8" t="n">
        <v>4</v>
      </c>
      <c r="N46" s="8" t="n">
        <v>29</v>
      </c>
      <c r="O46" s="8" t="n">
        <v>1</v>
      </c>
      <c r="P46" s="9" t="n">
        <v>4.44762115301633</v>
      </c>
      <c r="Q46" s="10" t="n">
        <v>0.224839293994681</v>
      </c>
      <c r="R46" s="9" t="n">
        <v>5</v>
      </c>
      <c r="S46" s="12" t="n">
        <f aca="false">IF(AND(ISNUMBER(R46),R46&gt;1,P46&gt;0),R46/P46-1,"")</f>
        <v>0.124196469973404</v>
      </c>
      <c r="T46" s="9" t="n">
        <f aca="false">IF(AND(ISNUMBER(P46),P46&gt;0),P46*EXP('Read me'!$B$22),"")</f>
        <v>5.43233674354566</v>
      </c>
    </row>
    <row r="47" customFormat="false" ht="15" hidden="false" customHeight="false" outlineLevel="0" collapsed="false">
      <c r="A47" s="15" t="s">
        <v>200</v>
      </c>
      <c r="B47" s="15" t="s">
        <v>49</v>
      </c>
      <c r="C47" s="15" t="s">
        <v>201</v>
      </c>
      <c r="D47" s="15" t="s">
        <v>370</v>
      </c>
      <c r="E47" s="16" t="n">
        <v>7</v>
      </c>
      <c r="F47" s="15" t="s">
        <v>371</v>
      </c>
      <c r="G47" s="8" t="n">
        <v>11</v>
      </c>
      <c r="H47" s="15" t="s">
        <v>205</v>
      </c>
      <c r="I47" s="15" t="s">
        <v>85</v>
      </c>
      <c r="J47" s="15" t="s">
        <v>461</v>
      </c>
      <c r="K47" s="8" t="n">
        <v>1</v>
      </c>
      <c r="L47" s="8" t="n">
        <v>65</v>
      </c>
      <c r="M47" s="8" t="n">
        <v>3</v>
      </c>
      <c r="N47" s="8" t="n">
        <v>16</v>
      </c>
      <c r="O47" s="8" t="n">
        <v>2</v>
      </c>
      <c r="P47" s="9" t="n">
        <v>4.60894616582965</v>
      </c>
      <c r="Q47" s="10" t="n">
        <v>0.216969338330293</v>
      </c>
      <c r="R47" s="9" t="n">
        <v>4</v>
      </c>
      <c r="S47" s="12" t="n">
        <f aca="false">IF(AND(ISNUMBER(R47),R47&gt;1,P47&gt;0),R47/P47-1,"")</f>
        <v>-0.132122646678828</v>
      </c>
      <c r="T47" s="9" t="n">
        <f aca="false">IF(AND(ISNUMBER(P47),P47&gt;0),P47*EXP('Read me'!$B$22),"")</f>
        <v>5.62937955915607</v>
      </c>
    </row>
    <row r="48" customFormat="false" ht="15" hidden="false" customHeight="false" outlineLevel="0" collapsed="false">
      <c r="A48" s="15" t="s">
        <v>200</v>
      </c>
      <c r="B48" s="15" t="s">
        <v>49</v>
      </c>
      <c r="C48" s="15" t="s">
        <v>201</v>
      </c>
      <c r="D48" s="15" t="s">
        <v>370</v>
      </c>
      <c r="E48" s="16" t="n">
        <v>7</v>
      </c>
      <c r="F48" s="15" t="s">
        <v>371</v>
      </c>
      <c r="G48" s="8" t="n">
        <v>11</v>
      </c>
      <c r="H48" s="15" t="s">
        <v>829</v>
      </c>
      <c r="I48" s="15" t="s">
        <v>386</v>
      </c>
      <c r="J48" s="15" t="s">
        <v>632</v>
      </c>
      <c r="K48" s="8" t="n">
        <v>9</v>
      </c>
      <c r="L48" s="8" t="n">
        <v>62</v>
      </c>
      <c r="M48" s="8" t="n">
        <v>3</v>
      </c>
      <c r="N48" s="8" t="n">
        <v>16</v>
      </c>
      <c r="O48" s="8" t="n">
        <v>3</v>
      </c>
      <c r="P48" s="9" t="n">
        <v>9.45863273786449</v>
      </c>
      <c r="Q48" s="10" t="n">
        <v>0.105723525557434</v>
      </c>
      <c r="R48" s="9" t="n">
        <v>10</v>
      </c>
      <c r="S48" s="12" t="n">
        <f aca="false">IF(AND(ISNUMBER(R48),R48&gt;1,P48&gt;0),R48/P48-1,"")</f>
        <v>0.0572352555743414</v>
      </c>
      <c r="T48" s="9" t="n">
        <f aca="false">IF(AND(ISNUMBER(P48),P48&gt;0),P48*EXP('Read me'!$B$22),"")</f>
        <v>11.5528001144518</v>
      </c>
    </row>
    <row r="49" customFormat="false" ht="15" hidden="false" customHeight="false" outlineLevel="0" collapsed="false">
      <c r="A49" s="15" t="s">
        <v>200</v>
      </c>
      <c r="B49" s="15" t="s">
        <v>49</v>
      </c>
      <c r="C49" s="15" t="s">
        <v>201</v>
      </c>
      <c r="D49" s="15" t="s">
        <v>370</v>
      </c>
      <c r="E49" s="16" t="n">
        <v>7</v>
      </c>
      <c r="F49" s="15" t="s">
        <v>371</v>
      </c>
      <c r="G49" s="8" t="n">
        <v>11</v>
      </c>
      <c r="H49" s="15" t="s">
        <v>830</v>
      </c>
      <c r="I49" s="15" t="s">
        <v>831</v>
      </c>
      <c r="J49" s="15" t="s">
        <v>741</v>
      </c>
      <c r="K49" s="8" t="n">
        <v>6</v>
      </c>
      <c r="L49" s="8" t="n">
        <v>54</v>
      </c>
      <c r="M49" s="8" t="n">
        <v>3</v>
      </c>
      <c r="N49" s="8" t="n">
        <v>26</v>
      </c>
      <c r="O49" s="8" t="n">
        <v>4</v>
      </c>
      <c r="P49" s="9" t="n">
        <v>10.6408267042934</v>
      </c>
      <c r="Q49" s="10" t="n">
        <v>0.0939776605511782</v>
      </c>
      <c r="R49" s="9" t="n">
        <v>8</v>
      </c>
      <c r="S49" s="12" t="n">
        <f aca="false">IF(AND(ISNUMBER(R49),R49&gt;1,P49&gt;0),R49/P49-1,"")</f>
        <v>-0.248178715590574</v>
      </c>
      <c r="T49" s="9" t="n">
        <f aca="false">IF(AND(ISNUMBER(P49),P49&gt;0),P49*EXP('Read me'!$B$22),"")</f>
        <v>12.9967350857284</v>
      </c>
    </row>
    <row r="50" customFormat="false" ht="15" hidden="false" customHeight="false" outlineLevel="0" collapsed="false">
      <c r="A50" s="15" t="s">
        <v>200</v>
      </c>
      <c r="B50" s="15" t="s">
        <v>49</v>
      </c>
      <c r="C50" s="15" t="s">
        <v>201</v>
      </c>
      <c r="D50" s="15" t="s">
        <v>370</v>
      </c>
      <c r="E50" s="16" t="n">
        <v>7</v>
      </c>
      <c r="F50" s="15" t="s">
        <v>371</v>
      </c>
      <c r="G50" s="8" t="n">
        <v>11</v>
      </c>
      <c r="H50" s="15" t="s">
        <v>832</v>
      </c>
      <c r="I50" s="15" t="s">
        <v>560</v>
      </c>
      <c r="J50" s="15" t="s">
        <v>198</v>
      </c>
      <c r="K50" s="8" t="n">
        <v>2</v>
      </c>
      <c r="L50" s="8" t="n">
        <v>62</v>
      </c>
      <c r="M50" s="8" t="n">
        <v>3</v>
      </c>
      <c r="N50" s="8" t="n">
        <v>11</v>
      </c>
      <c r="O50" s="8" t="n">
        <v>5</v>
      </c>
      <c r="P50" s="9" t="n">
        <v>10.6636796569233</v>
      </c>
      <c r="Q50" s="10" t="n">
        <v>0.0937762603690701</v>
      </c>
      <c r="R50" s="9" t="n">
        <v>7.5</v>
      </c>
      <c r="S50" s="12" t="n">
        <f aca="false">IF(AND(ISNUMBER(R50),R50&gt;1,P50&gt;0),R50/P50-1,"")</f>
        <v>-0.296678047231974</v>
      </c>
      <c r="T50" s="9" t="n">
        <f aca="false">IF(AND(ISNUMBER(P50),P50&gt;0),P50*EXP('Read me'!$B$22),"")</f>
        <v>13.0246477451027</v>
      </c>
    </row>
    <row r="51" customFormat="false" ht="15" hidden="false" customHeight="false" outlineLevel="0" collapsed="false">
      <c r="A51" s="15" t="s">
        <v>200</v>
      </c>
      <c r="B51" s="15" t="s">
        <v>49</v>
      </c>
      <c r="C51" s="15" t="s">
        <v>201</v>
      </c>
      <c r="D51" s="15" t="s">
        <v>370</v>
      </c>
      <c r="E51" s="16" t="n">
        <v>7</v>
      </c>
      <c r="F51" s="15" t="s">
        <v>371</v>
      </c>
      <c r="G51" s="8" t="n">
        <v>11</v>
      </c>
      <c r="H51" s="15" t="s">
        <v>833</v>
      </c>
      <c r="I51" s="15" t="s">
        <v>544</v>
      </c>
      <c r="J51" s="15" t="s">
        <v>834</v>
      </c>
      <c r="K51" s="8" t="n">
        <v>4</v>
      </c>
      <c r="L51" s="8" t="n">
        <v>54</v>
      </c>
      <c r="M51" s="8" t="n">
        <v>5</v>
      </c>
      <c r="N51" s="8" t="n">
        <v>27</v>
      </c>
      <c r="O51" s="8" t="n">
        <v>6</v>
      </c>
      <c r="P51" s="9" t="n">
        <v>11.2694760117667</v>
      </c>
      <c r="Q51" s="10" t="n">
        <v>0.0887352702961411</v>
      </c>
      <c r="R51" s="9" t="n">
        <v>7</v>
      </c>
      <c r="S51" s="12" t="n">
        <f aca="false">IF(AND(ISNUMBER(R51),R51&gt;1,P51&gt;0),R51/P51-1,"")</f>
        <v>-0.378853107927012</v>
      </c>
      <c r="T51" s="9" t="n">
        <f aca="false">IF(AND(ISNUMBER(P51),P51&gt;0),P51*EXP('Read me'!$B$22),"")</f>
        <v>13.7645690837918</v>
      </c>
    </row>
    <row r="52" customFormat="false" ht="15" hidden="false" customHeight="false" outlineLevel="0" collapsed="false">
      <c r="A52" s="15" t="s">
        <v>200</v>
      </c>
      <c r="B52" s="15" t="s">
        <v>49</v>
      </c>
      <c r="C52" s="15" t="s">
        <v>201</v>
      </c>
      <c r="D52" s="15" t="s">
        <v>370</v>
      </c>
      <c r="E52" s="16" t="n">
        <v>7</v>
      </c>
      <c r="F52" s="15" t="s">
        <v>371</v>
      </c>
      <c r="G52" s="8" t="n">
        <v>11</v>
      </c>
      <c r="H52" s="15" t="s">
        <v>835</v>
      </c>
      <c r="I52" s="15" t="s">
        <v>550</v>
      </c>
      <c r="J52" s="15" t="s">
        <v>836</v>
      </c>
      <c r="K52" s="8" t="n">
        <v>11</v>
      </c>
      <c r="L52" s="8" t="n">
        <v>64</v>
      </c>
      <c r="M52" s="8" t="n">
        <v>8</v>
      </c>
      <c r="N52" s="8" t="n">
        <v>11</v>
      </c>
      <c r="O52" s="8" t="n">
        <v>7</v>
      </c>
      <c r="P52" s="9" t="n">
        <v>15.4361598384384</v>
      </c>
      <c r="Q52" s="10" t="n">
        <v>0.064782951878345</v>
      </c>
      <c r="R52" s="9" t="n">
        <v>10</v>
      </c>
      <c r="S52" s="12" t="n">
        <f aca="false">IF(AND(ISNUMBER(R52),R52&gt;1,P52&gt;0),R52/P52-1,"")</f>
        <v>-0.35217048121655</v>
      </c>
      <c r="T52" s="9" t="n">
        <f aca="false">IF(AND(ISNUMBER(P52),P52&gt;0),P52*EXP('Read me'!$B$22),"")</f>
        <v>18.85376820207</v>
      </c>
    </row>
    <row r="53" customFormat="false" ht="15" hidden="false" customHeight="false" outlineLevel="0" collapsed="false">
      <c r="A53" s="15" t="s">
        <v>200</v>
      </c>
      <c r="B53" s="15" t="s">
        <v>49</v>
      </c>
      <c r="C53" s="15" t="s">
        <v>201</v>
      </c>
      <c r="D53" s="15" t="s">
        <v>370</v>
      </c>
      <c r="E53" s="16" t="n">
        <v>7</v>
      </c>
      <c r="F53" s="15" t="s">
        <v>371</v>
      </c>
      <c r="G53" s="8" t="n">
        <v>11</v>
      </c>
      <c r="H53" s="15" t="s">
        <v>837</v>
      </c>
      <c r="I53" s="15" t="s">
        <v>838</v>
      </c>
      <c r="J53" s="15" t="s">
        <v>839</v>
      </c>
      <c r="K53" s="8" t="n">
        <v>3</v>
      </c>
      <c r="L53" s="8" t="n">
        <v>62</v>
      </c>
      <c r="M53" s="8" t="n">
        <v>5</v>
      </c>
      <c r="N53" s="8" t="n">
        <v>15</v>
      </c>
      <c r="O53" s="8" t="n">
        <v>8</v>
      </c>
      <c r="P53" s="9" t="n">
        <v>24.6988423768843</v>
      </c>
      <c r="Q53" s="10" t="n">
        <v>0.0404877275113065</v>
      </c>
      <c r="R53" s="9" t="n">
        <v>23</v>
      </c>
      <c r="S53" s="12" t="n">
        <f aca="false">IF(AND(ISNUMBER(R53),R53&gt;1,P53&gt;0),R53/P53-1,"")</f>
        <v>-0.0687822672399503</v>
      </c>
      <c r="T53" s="9" t="n">
        <f aca="false">IF(AND(ISNUMBER(P53),P53&gt;0),P53*EXP('Read me'!$B$22),"")</f>
        <v>30.1672342024897</v>
      </c>
    </row>
    <row r="54" customFormat="false" ht="15" hidden="false" customHeight="false" outlineLevel="0" collapsed="false">
      <c r="A54" s="15" t="s">
        <v>200</v>
      </c>
      <c r="B54" s="15" t="s">
        <v>49</v>
      </c>
      <c r="C54" s="15" t="s">
        <v>201</v>
      </c>
      <c r="D54" s="15" t="s">
        <v>370</v>
      </c>
      <c r="E54" s="16" t="n">
        <v>7</v>
      </c>
      <c r="F54" s="15" t="s">
        <v>371</v>
      </c>
      <c r="G54" s="8" t="n">
        <v>11</v>
      </c>
      <c r="H54" s="15" t="s">
        <v>840</v>
      </c>
      <c r="I54" s="15" t="s">
        <v>547</v>
      </c>
      <c r="J54" s="15" t="s">
        <v>684</v>
      </c>
      <c r="K54" s="8" t="n">
        <v>7</v>
      </c>
      <c r="L54" s="8" t="n">
        <v>56</v>
      </c>
      <c r="M54" s="8" t="n">
        <v>3</v>
      </c>
      <c r="N54" s="8" t="n">
        <v>39</v>
      </c>
      <c r="O54" s="8" t="n">
        <v>9</v>
      </c>
      <c r="P54" s="9" t="n">
        <v>29.263334079361</v>
      </c>
      <c r="Q54" s="10" t="n">
        <v>0.0341724561284794</v>
      </c>
      <c r="R54" s="9" t="n">
        <v>19</v>
      </c>
      <c r="S54" s="12" t="n">
        <f aca="false">IF(AND(ISNUMBER(R54),R54&gt;1,P54&gt;0),R54/P54-1,"")</f>
        <v>-0.350723333558891</v>
      </c>
      <c r="T54" s="9" t="n">
        <f aca="false">IF(AND(ISNUMBER(P54),P54&gt;0),P54*EXP('Read me'!$B$22),"")</f>
        <v>35.742316957494</v>
      </c>
    </row>
    <row r="55" customFormat="false" ht="15" hidden="false" customHeight="false" outlineLevel="0" collapsed="false">
      <c r="A55" s="15" t="s">
        <v>200</v>
      </c>
      <c r="B55" s="15" t="s">
        <v>49</v>
      </c>
      <c r="C55" s="15" t="s">
        <v>201</v>
      </c>
      <c r="D55" s="15" t="s">
        <v>370</v>
      </c>
      <c r="E55" s="16" t="n">
        <v>7</v>
      </c>
      <c r="F55" s="15" t="s">
        <v>371</v>
      </c>
      <c r="G55" s="8" t="n">
        <v>11</v>
      </c>
      <c r="H55" s="15" t="s">
        <v>841</v>
      </c>
      <c r="I55" s="15" t="s">
        <v>52</v>
      </c>
      <c r="J55" s="15" t="s">
        <v>736</v>
      </c>
      <c r="K55" s="8" t="n">
        <v>10</v>
      </c>
      <c r="L55" s="8" t="n">
        <v>65</v>
      </c>
      <c r="M55" s="8" t="n">
        <v>3</v>
      </c>
      <c r="N55" s="8" t="n">
        <v>25</v>
      </c>
      <c r="O55" s="8" t="n">
        <v>10</v>
      </c>
      <c r="P55" s="9" t="n">
        <v>41.9279573627109</v>
      </c>
      <c r="Q55" s="10" t="n">
        <v>0.0238504344809642</v>
      </c>
      <c r="R55" s="9" t="n">
        <v>34</v>
      </c>
      <c r="S55" s="12" t="n">
        <f aca="false">IF(AND(ISNUMBER(R55),R55&gt;1,P55&gt;0),R55/P55-1,"")</f>
        <v>-0.189085227647214</v>
      </c>
      <c r="T55" s="9" t="n">
        <f aca="false">IF(AND(ISNUMBER(P55),P55&gt;0),P55*EXP('Read me'!$B$22),"")</f>
        <v>51.2109227668371</v>
      </c>
    </row>
    <row r="56" customFormat="false" ht="15" hidden="false" customHeight="false" outlineLevel="0" collapsed="false">
      <c r="A56" s="15" t="s">
        <v>200</v>
      </c>
      <c r="B56" s="15" t="s">
        <v>49</v>
      </c>
      <c r="C56" s="15" t="s">
        <v>201</v>
      </c>
      <c r="D56" s="15" t="s">
        <v>370</v>
      </c>
      <c r="E56" s="16" t="n">
        <v>7</v>
      </c>
      <c r="F56" s="15" t="s">
        <v>371</v>
      </c>
      <c r="G56" s="8" t="n">
        <v>11</v>
      </c>
      <c r="H56" s="15" t="s">
        <v>842</v>
      </c>
      <c r="I56" s="15" t="s">
        <v>383</v>
      </c>
      <c r="J56" s="15" t="s">
        <v>384</v>
      </c>
      <c r="K56" s="8" t="n">
        <v>8</v>
      </c>
      <c r="L56" s="8" t="n">
        <v>53</v>
      </c>
      <c r="M56" s="8" t="n">
        <v>9</v>
      </c>
      <c r="N56" s="8" t="n">
        <v>26</v>
      </c>
      <c r="O56" s="8" t="n">
        <v>11</v>
      </c>
      <c r="P56" s="9" t="n">
        <v>78.8327648611127</v>
      </c>
      <c r="Q56" s="10" t="n">
        <v>0.012685080902107</v>
      </c>
      <c r="R56" s="9" t="n">
        <v>41</v>
      </c>
      <c r="S56" s="12" t="n">
        <f aca="false">IF(AND(ISNUMBER(R56),R56&gt;1,P56&gt;0),R56/P56-1,"")</f>
        <v>-0.479911683013609</v>
      </c>
      <c r="T56" s="9" t="n">
        <f aca="false">IF(AND(ISNUMBER(P56),P56&gt;0),P56*EXP('Read me'!$B$22),"")</f>
        <v>96.2865564347552</v>
      </c>
    </row>
    <row r="57" customFormat="false" ht="15" hidden="false" customHeight="false" outlineLevel="0" collapsed="false">
      <c r="A57" s="15" t="s">
        <v>234</v>
      </c>
      <c r="B57" s="15" t="s">
        <v>49</v>
      </c>
      <c r="C57" s="15" t="s">
        <v>235</v>
      </c>
      <c r="D57" s="15" t="s">
        <v>370</v>
      </c>
      <c r="E57" s="16" t="n">
        <v>6</v>
      </c>
      <c r="F57" s="15" t="s">
        <v>371</v>
      </c>
      <c r="G57" s="8" t="n">
        <v>8</v>
      </c>
      <c r="H57" s="15" t="s">
        <v>236</v>
      </c>
      <c r="I57" s="15" t="s">
        <v>237</v>
      </c>
      <c r="J57" s="15" t="s">
        <v>238</v>
      </c>
      <c r="K57" s="8" t="n">
        <v>4</v>
      </c>
      <c r="L57" s="8" t="n">
        <v>53</v>
      </c>
      <c r="M57" s="8" t="n">
        <v>3</v>
      </c>
      <c r="N57" s="8" t="n">
        <v>6</v>
      </c>
      <c r="O57" s="8" t="n">
        <v>1</v>
      </c>
      <c r="P57" s="9" t="n">
        <v>3.12421020571934</v>
      </c>
      <c r="Q57" s="10" t="n">
        <v>0.320080895379367</v>
      </c>
      <c r="R57" s="9" t="n">
        <v>3.5</v>
      </c>
      <c r="S57" s="12" t="n">
        <f aca="false">IF(AND(ISNUMBER(R57),R57&gt;1,P57&gt;0),R57/P57-1,"")</f>
        <v>0.120283133827783</v>
      </c>
      <c r="T57" s="9" t="n">
        <f aca="false">IF(AND(ISNUMBER(P57),P57&gt;0),P57*EXP('Read me'!$B$22),"")</f>
        <v>3.81591896233775</v>
      </c>
    </row>
    <row r="58" customFormat="false" ht="15" hidden="false" customHeight="false" outlineLevel="0" collapsed="false">
      <c r="A58" s="15" t="s">
        <v>234</v>
      </c>
      <c r="B58" s="15" t="s">
        <v>49</v>
      </c>
      <c r="C58" s="15" t="s">
        <v>235</v>
      </c>
      <c r="D58" s="15" t="s">
        <v>370</v>
      </c>
      <c r="E58" s="16" t="n">
        <v>6</v>
      </c>
      <c r="F58" s="15" t="s">
        <v>371</v>
      </c>
      <c r="G58" s="8" t="n">
        <v>8</v>
      </c>
      <c r="H58" s="15" t="s">
        <v>239</v>
      </c>
      <c r="I58" s="15" t="s">
        <v>378</v>
      </c>
      <c r="J58" s="15" t="s">
        <v>379</v>
      </c>
      <c r="K58" s="8" t="n">
        <v>3</v>
      </c>
      <c r="L58" s="8" t="n">
        <v>54</v>
      </c>
      <c r="M58" s="8" t="n">
        <v>7</v>
      </c>
      <c r="N58" s="8" t="n">
        <v>13</v>
      </c>
      <c r="O58" s="8" t="n">
        <v>2</v>
      </c>
      <c r="P58" s="9" t="n">
        <v>5.17303098925536</v>
      </c>
      <c r="Q58" s="10" t="n">
        <v>0.193310266665143</v>
      </c>
      <c r="R58" s="9" t="n">
        <v>4.5</v>
      </c>
      <c r="S58" s="12" t="n">
        <f aca="false">IF(AND(ISNUMBER(R58),R58&gt;1,P58&gt;0),R58/P58-1,"")</f>
        <v>-0.130103800006859</v>
      </c>
      <c r="T58" s="9" t="n">
        <f aca="false">IF(AND(ISNUMBER(P58),P58&gt;0),P58*EXP('Read me'!$B$22),"")</f>
        <v>6.31835431832453</v>
      </c>
    </row>
    <row r="59" customFormat="false" ht="15" hidden="false" customHeight="false" outlineLevel="0" collapsed="false">
      <c r="A59" s="15" t="s">
        <v>234</v>
      </c>
      <c r="B59" s="15" t="s">
        <v>49</v>
      </c>
      <c r="C59" s="15" t="s">
        <v>235</v>
      </c>
      <c r="D59" s="15" t="s">
        <v>370</v>
      </c>
      <c r="E59" s="16" t="n">
        <v>6</v>
      </c>
      <c r="F59" s="15" t="s">
        <v>371</v>
      </c>
      <c r="G59" s="8" t="n">
        <v>8</v>
      </c>
      <c r="H59" s="15" t="s">
        <v>908</v>
      </c>
      <c r="I59" s="15" t="s">
        <v>550</v>
      </c>
      <c r="J59" s="15" t="s">
        <v>738</v>
      </c>
      <c r="K59" s="8" t="n">
        <v>2</v>
      </c>
      <c r="L59" s="8" t="n">
        <v>60</v>
      </c>
      <c r="M59" s="8" t="n">
        <v>5</v>
      </c>
      <c r="N59" s="8" t="n">
        <v>15</v>
      </c>
      <c r="O59" s="8" t="n">
        <v>3</v>
      </c>
      <c r="P59" s="9" t="n">
        <v>5.65188330014704</v>
      </c>
      <c r="Q59" s="10" t="n">
        <v>0.176932174090357</v>
      </c>
      <c r="R59" s="9" t="n">
        <v>5</v>
      </c>
      <c r="S59" s="12" t="n">
        <f aca="false">IF(AND(ISNUMBER(R59),R59&gt;1,P59&gt;0),R59/P59-1,"")</f>
        <v>-0.115339129548213</v>
      </c>
      <c r="T59" s="9" t="n">
        <f aca="false">IF(AND(ISNUMBER(P59),P59&gt;0),P59*EXP('Read me'!$B$22),"")</f>
        <v>6.903225851599</v>
      </c>
    </row>
    <row r="60" customFormat="false" ht="15" hidden="false" customHeight="false" outlineLevel="0" collapsed="false">
      <c r="A60" s="15" t="s">
        <v>234</v>
      </c>
      <c r="B60" s="15" t="s">
        <v>49</v>
      </c>
      <c r="C60" s="15" t="s">
        <v>235</v>
      </c>
      <c r="D60" s="15" t="s">
        <v>370</v>
      </c>
      <c r="E60" s="16" t="n">
        <v>6</v>
      </c>
      <c r="F60" s="15" t="s">
        <v>371</v>
      </c>
      <c r="G60" s="8" t="n">
        <v>8</v>
      </c>
      <c r="H60" s="15" t="s">
        <v>909</v>
      </c>
      <c r="I60" s="15" t="s">
        <v>910</v>
      </c>
      <c r="J60" s="15" t="s">
        <v>387</v>
      </c>
      <c r="K60" s="8" t="n">
        <v>5</v>
      </c>
      <c r="L60" s="8" t="n">
        <v>57</v>
      </c>
      <c r="M60" s="8" t="n">
        <v>7</v>
      </c>
      <c r="N60" s="8" t="n">
        <v>15</v>
      </c>
      <c r="O60" s="8" t="n">
        <v>4</v>
      </c>
      <c r="P60" s="9" t="n">
        <v>10.7988572615345</v>
      </c>
      <c r="Q60" s="10" t="n">
        <v>0.0926023907698081</v>
      </c>
      <c r="R60" s="9" t="n">
        <v>8</v>
      </c>
      <c r="S60" s="12" t="n">
        <f aca="false">IF(AND(ISNUMBER(R60),R60&gt;1,P60&gt;0),R60/P60-1,"")</f>
        <v>-0.259180873841535</v>
      </c>
      <c r="T60" s="9" t="n">
        <f aca="false">IF(AND(ISNUMBER(P60),P60&gt;0),P60*EXP('Read me'!$B$22),"")</f>
        <v>13.1897540442162</v>
      </c>
    </row>
    <row r="61" customFormat="false" ht="15" hidden="false" customHeight="false" outlineLevel="0" collapsed="false">
      <c r="A61" s="15" t="s">
        <v>234</v>
      </c>
      <c r="B61" s="15" t="s">
        <v>49</v>
      </c>
      <c r="C61" s="15" t="s">
        <v>235</v>
      </c>
      <c r="D61" s="15" t="s">
        <v>370</v>
      </c>
      <c r="E61" s="16" t="n">
        <v>6</v>
      </c>
      <c r="F61" s="15" t="s">
        <v>371</v>
      </c>
      <c r="G61" s="8" t="n">
        <v>8</v>
      </c>
      <c r="H61" s="15" t="s">
        <v>911</v>
      </c>
      <c r="I61" s="15" t="s">
        <v>912</v>
      </c>
      <c r="J61" s="15" t="s">
        <v>632</v>
      </c>
      <c r="K61" s="8" t="n">
        <v>7</v>
      </c>
      <c r="L61" s="8" t="n">
        <v>47</v>
      </c>
      <c r="M61" s="8" t="n">
        <v>5</v>
      </c>
      <c r="N61" s="8" t="n">
        <v>26</v>
      </c>
      <c r="O61" s="8" t="n">
        <v>5</v>
      </c>
      <c r="P61" s="9" t="n">
        <v>10.8350640775274</v>
      </c>
      <c r="Q61" s="10" t="n">
        <v>0.0922929474938743</v>
      </c>
      <c r="R61" s="9" t="n">
        <v>7</v>
      </c>
      <c r="S61" s="12" t="n">
        <f aca="false">IF(AND(ISNUMBER(R61),R61&gt;1,P61&gt;0),R61/P61-1,"")</f>
        <v>-0.353949367542879</v>
      </c>
      <c r="T61" s="9" t="n">
        <f aca="false">IF(AND(ISNUMBER(P61),P61&gt;0),P61*EXP('Read me'!$B$22),"")</f>
        <v>13.2339771491341</v>
      </c>
    </row>
    <row r="62" customFormat="false" ht="15" hidden="false" customHeight="false" outlineLevel="0" collapsed="false">
      <c r="A62" s="15" t="s">
        <v>234</v>
      </c>
      <c r="B62" s="15" t="s">
        <v>49</v>
      </c>
      <c r="C62" s="15" t="s">
        <v>235</v>
      </c>
      <c r="D62" s="15" t="s">
        <v>370</v>
      </c>
      <c r="E62" s="16" t="n">
        <v>6</v>
      </c>
      <c r="F62" s="15" t="s">
        <v>371</v>
      </c>
      <c r="G62" s="8" t="n">
        <v>8</v>
      </c>
      <c r="H62" s="15" t="s">
        <v>913</v>
      </c>
      <c r="I62" s="15" t="s">
        <v>914</v>
      </c>
      <c r="J62" s="15" t="s">
        <v>915</v>
      </c>
      <c r="K62" s="8" t="n">
        <v>1</v>
      </c>
      <c r="L62" s="8" t="n">
        <v>58</v>
      </c>
      <c r="M62" s="8" t="n">
        <v>3</v>
      </c>
      <c r="N62" s="8" t="n">
        <v>18</v>
      </c>
      <c r="O62" s="8" t="n">
        <v>6</v>
      </c>
      <c r="P62" s="9" t="n">
        <v>12.7084204368215</v>
      </c>
      <c r="Q62" s="10" t="n">
        <v>0.0786879852591743</v>
      </c>
      <c r="R62" s="9" t="n">
        <v>10</v>
      </c>
      <c r="S62" s="12" t="n">
        <f aca="false">IF(AND(ISNUMBER(R62),R62&gt;1,P62&gt;0),R62/P62-1,"")</f>
        <v>-0.213120147408256</v>
      </c>
      <c r="T62" s="9" t="n">
        <f aca="false">IF(AND(ISNUMBER(P62),P62&gt;0),P62*EXP('Read me'!$B$22),"")</f>
        <v>15.5220997733928</v>
      </c>
    </row>
    <row r="63" customFormat="false" ht="15" hidden="false" customHeight="false" outlineLevel="0" collapsed="false">
      <c r="A63" s="15" t="s">
        <v>234</v>
      </c>
      <c r="B63" s="15" t="s">
        <v>49</v>
      </c>
      <c r="C63" s="15" t="s">
        <v>235</v>
      </c>
      <c r="D63" s="15" t="s">
        <v>370</v>
      </c>
      <c r="E63" s="16" t="n">
        <v>6</v>
      </c>
      <c r="F63" s="15" t="s">
        <v>371</v>
      </c>
      <c r="G63" s="8" t="n">
        <v>8</v>
      </c>
      <c r="H63" s="15" t="s">
        <v>916</v>
      </c>
      <c r="I63" s="15" t="s">
        <v>171</v>
      </c>
      <c r="J63" s="15" t="s">
        <v>53</v>
      </c>
      <c r="K63" s="8" t="n">
        <v>8</v>
      </c>
      <c r="L63" s="8" t="n">
        <v>46</v>
      </c>
      <c r="M63" s="8" t="n">
        <v>6</v>
      </c>
      <c r="N63" s="8" t="n">
        <v>90</v>
      </c>
      <c r="O63" s="8" t="n">
        <v>7</v>
      </c>
      <c r="P63" s="9" t="n">
        <v>31.1622514394338</v>
      </c>
      <c r="Q63" s="10" t="n">
        <v>0.0320901075438524</v>
      </c>
      <c r="R63" s="9" t="n">
        <v>21</v>
      </c>
      <c r="S63" s="12" t="n">
        <f aca="false">IF(AND(ISNUMBER(R63),R63&gt;1,P63&gt;0),R63/P63-1,"")</f>
        <v>-0.326107741579099</v>
      </c>
      <c r="T63" s="9" t="n">
        <f aca="false">IF(AND(ISNUMBER(P63),P63&gt;0),P63*EXP('Read me'!$B$22),"")</f>
        <v>38.0616598586051</v>
      </c>
    </row>
    <row r="64" customFormat="false" ht="15" hidden="false" customHeight="false" outlineLevel="0" collapsed="false">
      <c r="A64" s="15" t="s">
        <v>234</v>
      </c>
      <c r="B64" s="15" t="s">
        <v>49</v>
      </c>
      <c r="C64" s="15" t="s">
        <v>235</v>
      </c>
      <c r="D64" s="15" t="s">
        <v>370</v>
      </c>
      <c r="E64" s="16" t="n">
        <v>6</v>
      </c>
      <c r="F64" s="15" t="s">
        <v>371</v>
      </c>
      <c r="G64" s="8" t="n">
        <v>8</v>
      </c>
      <c r="H64" s="15" t="s">
        <v>917</v>
      </c>
      <c r="I64" s="15" t="s">
        <v>918</v>
      </c>
      <c r="J64" s="15" t="s">
        <v>632</v>
      </c>
      <c r="K64" s="8" t="n">
        <v>6</v>
      </c>
      <c r="L64" s="8" t="n">
        <v>46</v>
      </c>
      <c r="M64" s="8" t="n">
        <v>6</v>
      </c>
      <c r="N64" s="8" t="n">
        <v>26</v>
      </c>
      <c r="O64" s="8" t="n">
        <v>8</v>
      </c>
      <c r="P64" s="9" t="n">
        <v>71.4120813668503</v>
      </c>
      <c r="Q64" s="10" t="n">
        <v>0.0140032327984239</v>
      </c>
      <c r="R64" s="9" t="n">
        <v>34</v>
      </c>
      <c r="S64" s="12" t="n">
        <f aca="false">IF(AND(ISNUMBER(R64),R64&gt;1,P64&gt;0),R64/P64-1,"")</f>
        <v>-0.523890084853585</v>
      </c>
      <c r="T64" s="9" t="n">
        <f aca="false">IF(AND(ISNUMBER(P64),P64&gt;0),P64*EXP('Read me'!$B$22),"")</f>
        <v>87.2229131474294</v>
      </c>
    </row>
  </sheetData>
  <autoFilter ref="A1:T64"/>
  <conditionalFormatting sqref="A2:T64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55</v>
      </c>
      <c r="B2" s="15" t="s">
        <v>56</v>
      </c>
      <c r="C2" s="15" t="s">
        <v>57</v>
      </c>
      <c r="D2" s="15"/>
      <c r="E2" s="16" t="n">
        <v>15.5</v>
      </c>
      <c r="F2" s="15" t="s">
        <v>357</v>
      </c>
      <c r="G2" s="8" t="n">
        <v>13</v>
      </c>
      <c r="H2" s="15" t="s">
        <v>58</v>
      </c>
      <c r="I2" s="15" t="s">
        <v>59</v>
      </c>
      <c r="J2" s="15" t="s">
        <v>60</v>
      </c>
      <c r="K2" s="8" t="n">
        <v>2</v>
      </c>
      <c r="L2" s="8" t="n">
        <v>97</v>
      </c>
      <c r="M2" s="8" t="n">
        <v>4</v>
      </c>
      <c r="N2" s="8" t="n">
        <v>10</v>
      </c>
      <c r="O2" s="8" t="n">
        <v>1</v>
      </c>
      <c r="P2" s="9" t="n">
        <v>3.18623580381569</v>
      </c>
      <c r="Q2" s="10" t="n">
        <v>0.313849966409406</v>
      </c>
      <c r="R2" s="9" t="n">
        <v>5</v>
      </c>
      <c r="S2" s="12" t="n">
        <f aca="false">IF(AND(ISNUMBER(R2),R2&gt;1,P2&gt;0),R2/P2-1,"")</f>
        <v>0.569249832047027</v>
      </c>
      <c r="T2" s="9" t="n">
        <f aca="false">IF(AND(ISNUMBER(P2),P2&gt;0),P2*EXP('Read me'!$B$22),"")</f>
        <v>3.89167719892917</v>
      </c>
    </row>
    <row r="3" customFormat="false" ht="15" hidden="false" customHeight="false" outlineLevel="0" collapsed="false">
      <c r="A3" s="15" t="s">
        <v>55</v>
      </c>
      <c r="B3" s="15" t="s">
        <v>56</v>
      </c>
      <c r="C3" s="15" t="s">
        <v>57</v>
      </c>
      <c r="D3" s="15"/>
      <c r="E3" s="16" t="n">
        <v>15.5</v>
      </c>
      <c r="F3" s="15" t="s">
        <v>357</v>
      </c>
      <c r="G3" s="8" t="n">
        <v>13</v>
      </c>
      <c r="H3" s="15" t="s">
        <v>61</v>
      </c>
      <c r="I3" s="15" t="s">
        <v>391</v>
      </c>
      <c r="J3" s="15" t="s">
        <v>392</v>
      </c>
      <c r="K3" s="8" t="n">
        <v>7</v>
      </c>
      <c r="L3" s="8" t="n">
        <v>0</v>
      </c>
      <c r="M3" s="8" t="n">
        <v>4</v>
      </c>
      <c r="N3" s="8" t="n">
        <v>25</v>
      </c>
      <c r="O3" s="8" t="n">
        <v>2</v>
      </c>
      <c r="P3" s="9" t="n">
        <v>3.19272279685269</v>
      </c>
      <c r="Q3" s="10" t="n">
        <v>0.313212284193847</v>
      </c>
      <c r="R3" s="9" t="n">
        <v>1.61538461538462</v>
      </c>
      <c r="S3" s="12" t="n">
        <f aca="false">IF(AND(ISNUMBER(R3),R3&gt;1,P3&gt;0),R3/P3-1,"")</f>
        <v>-0.494041694763785</v>
      </c>
      <c r="T3" s="9" t="n">
        <f aca="false">IF(AND(ISNUMBER(P3),P3&gt;0),P3*EXP('Read me'!$B$22),"")</f>
        <v>3.89960043011673</v>
      </c>
    </row>
    <row r="4" customFormat="false" ht="15" hidden="false" customHeight="false" outlineLevel="0" collapsed="false">
      <c r="A4" s="15" t="s">
        <v>55</v>
      </c>
      <c r="B4" s="15" t="s">
        <v>56</v>
      </c>
      <c r="C4" s="15" t="s">
        <v>57</v>
      </c>
      <c r="D4" s="15"/>
      <c r="E4" s="16" t="n">
        <v>15.5</v>
      </c>
      <c r="F4" s="15" t="s">
        <v>357</v>
      </c>
      <c r="G4" s="8" t="n">
        <v>13</v>
      </c>
      <c r="H4" s="15" t="s">
        <v>393</v>
      </c>
      <c r="I4" s="15" t="s">
        <v>150</v>
      </c>
      <c r="J4" s="15" t="s">
        <v>176</v>
      </c>
      <c r="K4" s="8" t="n">
        <v>15</v>
      </c>
      <c r="L4" s="8" t="n">
        <v>0</v>
      </c>
      <c r="M4" s="8" t="n">
        <v>4</v>
      </c>
      <c r="N4" s="8" t="n">
        <v>31</v>
      </c>
      <c r="O4" s="8" t="n">
        <v>3</v>
      </c>
      <c r="P4" s="9" t="n">
        <v>8.12370487774919</v>
      </c>
      <c r="Q4" s="10" t="n">
        <v>0.123096544624485</v>
      </c>
      <c r="R4" s="9" t="n">
        <v>10</v>
      </c>
      <c r="S4" s="12" t="n">
        <f aca="false">IF(AND(ISNUMBER(R4),R4&gt;1,P4&gt;0),R4/P4-1,"")</f>
        <v>0.23096544624485</v>
      </c>
      <c r="T4" s="9" t="n">
        <f aca="false">IF(AND(ISNUMBER(P4),P4&gt;0),P4*EXP('Read me'!$B$22),"")</f>
        <v>9.92231554416209</v>
      </c>
    </row>
    <row r="5" customFormat="false" ht="15" hidden="false" customHeight="false" outlineLevel="0" collapsed="false">
      <c r="A5" s="15" t="s">
        <v>55</v>
      </c>
      <c r="B5" s="15" t="s">
        <v>56</v>
      </c>
      <c r="C5" s="15" t="s">
        <v>57</v>
      </c>
      <c r="D5" s="15"/>
      <c r="E5" s="16" t="n">
        <v>15.5</v>
      </c>
      <c r="F5" s="15" t="s">
        <v>357</v>
      </c>
      <c r="G5" s="8" t="n">
        <v>13</v>
      </c>
      <c r="H5" s="15" t="s">
        <v>394</v>
      </c>
      <c r="I5" s="15" t="s">
        <v>395</v>
      </c>
      <c r="J5" s="15" t="s">
        <v>396</v>
      </c>
      <c r="K5" s="8" t="n">
        <v>3</v>
      </c>
      <c r="L5" s="8" t="n">
        <v>0</v>
      </c>
      <c r="M5" s="8" t="n">
        <v>4</v>
      </c>
      <c r="N5" s="8" t="n">
        <v>54</v>
      </c>
      <c r="O5" s="8" t="n">
        <v>4</v>
      </c>
      <c r="P5" s="9" t="n">
        <v>10.0146950498546</v>
      </c>
      <c r="Q5" s="10" t="n">
        <v>0.0998532651290787</v>
      </c>
      <c r="R5" s="9" t="n">
        <v>7.5</v>
      </c>
      <c r="S5" s="12" t="n">
        <f aca="false">IF(AND(ISNUMBER(R5),R5&gt;1,P5&gt;0),R5/P5-1,"")</f>
        <v>-0.251100511531909</v>
      </c>
      <c r="T5" s="9" t="n">
        <f aca="false">IF(AND(ISNUMBER(P5),P5&gt;0),P5*EXP('Read me'!$B$22),"")</f>
        <v>12.2319761560254</v>
      </c>
    </row>
    <row r="6" customFormat="false" ht="15" hidden="false" customHeight="false" outlineLevel="0" collapsed="false">
      <c r="A6" s="15" t="s">
        <v>55</v>
      </c>
      <c r="B6" s="15" t="s">
        <v>56</v>
      </c>
      <c r="C6" s="15" t="s">
        <v>57</v>
      </c>
      <c r="D6" s="15"/>
      <c r="E6" s="16" t="n">
        <v>15.5</v>
      </c>
      <c r="F6" s="15" t="s">
        <v>357</v>
      </c>
      <c r="G6" s="8" t="n">
        <v>13</v>
      </c>
      <c r="H6" s="15" t="s">
        <v>397</v>
      </c>
      <c r="I6" s="15" t="s">
        <v>398</v>
      </c>
      <c r="J6" s="15" t="s">
        <v>399</v>
      </c>
      <c r="K6" s="8" t="n">
        <v>9</v>
      </c>
      <c r="L6" s="8" t="n">
        <v>0</v>
      </c>
      <c r="M6" s="8" t="n">
        <v>4</v>
      </c>
      <c r="N6" s="8" t="n">
        <v>58</v>
      </c>
      <c r="O6" s="8" t="n">
        <v>5</v>
      </c>
      <c r="P6" s="9" t="n">
        <v>23.9254839693955</v>
      </c>
      <c r="Q6" s="10" t="n">
        <v>0.0417964376929286</v>
      </c>
      <c r="R6" s="9" t="n">
        <v>21</v>
      </c>
      <c r="S6" s="12" t="n">
        <f aca="false">IF(AND(ISNUMBER(R6),R6&gt;1,P6&gt;0),R6/P6-1,"")</f>
        <v>-0.122274808448499</v>
      </c>
      <c r="T6" s="9" t="n">
        <f aca="false">IF(AND(ISNUMBER(P6),P6&gt;0),P6*EXP('Read me'!$B$22),"")</f>
        <v>29.2226521105366</v>
      </c>
    </row>
    <row r="7" customFormat="false" ht="15" hidden="false" customHeight="false" outlineLevel="0" collapsed="false">
      <c r="A7" s="15" t="s">
        <v>55</v>
      </c>
      <c r="B7" s="15" t="s">
        <v>56</v>
      </c>
      <c r="C7" s="15" t="s">
        <v>57</v>
      </c>
      <c r="D7" s="15"/>
      <c r="E7" s="16" t="n">
        <v>15.5</v>
      </c>
      <c r="F7" s="15" t="s">
        <v>357</v>
      </c>
      <c r="G7" s="8" t="n">
        <v>13</v>
      </c>
      <c r="H7" s="15" t="s">
        <v>400</v>
      </c>
      <c r="I7" s="15" t="s">
        <v>401</v>
      </c>
      <c r="J7" s="15" t="s">
        <v>46</v>
      </c>
      <c r="K7" s="8" t="n">
        <v>6</v>
      </c>
      <c r="L7" s="8" t="n">
        <v>0</v>
      </c>
      <c r="M7" s="8" t="n">
        <v>4</v>
      </c>
      <c r="N7" s="8" t="n">
        <v>23</v>
      </c>
      <c r="O7" s="8" t="n">
        <v>6</v>
      </c>
      <c r="P7" s="9" t="n">
        <v>26.1552917442028</v>
      </c>
      <c r="Q7" s="10" t="n">
        <v>0.0382331808713869</v>
      </c>
      <c r="R7" s="9" t="n">
        <v>15</v>
      </c>
      <c r="S7" s="12" t="n">
        <f aca="false">IF(AND(ISNUMBER(R7),R7&gt;1,P7&gt;0),R7/P7-1,"")</f>
        <v>-0.426502286929195</v>
      </c>
      <c r="T7" s="9" t="n">
        <f aca="false">IF(AND(ISNUMBER(P7),P7&gt;0),P7*EXP('Read me'!$B$22),"")</f>
        <v>31.9461454768532</v>
      </c>
    </row>
    <row r="8" customFormat="false" ht="15" hidden="false" customHeight="false" outlineLevel="0" collapsed="false">
      <c r="A8" s="15" t="s">
        <v>55</v>
      </c>
      <c r="B8" s="15" t="s">
        <v>56</v>
      </c>
      <c r="C8" s="15" t="s">
        <v>57</v>
      </c>
      <c r="D8" s="15"/>
      <c r="E8" s="16" t="n">
        <v>15.5</v>
      </c>
      <c r="F8" s="15" t="s">
        <v>357</v>
      </c>
      <c r="G8" s="8" t="n">
        <v>13</v>
      </c>
      <c r="H8" s="15" t="s">
        <v>402</v>
      </c>
      <c r="I8" s="15" t="s">
        <v>243</v>
      </c>
      <c r="J8" s="15" t="s">
        <v>403</v>
      </c>
      <c r="K8" s="8" t="n">
        <v>1</v>
      </c>
      <c r="L8" s="8" t="n">
        <v>0</v>
      </c>
      <c r="M8" s="8" t="n">
        <v>4</v>
      </c>
      <c r="N8" s="8" t="n">
        <v>97</v>
      </c>
      <c r="O8" s="8" t="n">
        <v>7</v>
      </c>
      <c r="P8" s="9" t="n">
        <v>44.1292494042335</v>
      </c>
      <c r="Q8" s="10" t="n">
        <v>0.0226607072066824</v>
      </c>
      <c r="R8" s="9" t="n">
        <v>34</v>
      </c>
      <c r="S8" s="12" t="n">
        <f aca="false">IF(AND(ISNUMBER(R8),R8&gt;1,P8&gt;0),R8/P8-1,"")</f>
        <v>-0.229535954972798</v>
      </c>
      <c r="T8" s="9" t="n">
        <f aca="false">IF(AND(ISNUMBER(P8),P8&gt;0),P8*EXP('Read me'!$B$22),"")</f>
        <v>53.8995869378688</v>
      </c>
    </row>
    <row r="9" customFormat="false" ht="15" hidden="false" customHeight="false" outlineLevel="0" collapsed="false">
      <c r="A9" s="15" t="s">
        <v>55</v>
      </c>
      <c r="B9" s="15" t="s">
        <v>56</v>
      </c>
      <c r="C9" s="15" t="s">
        <v>57</v>
      </c>
      <c r="D9" s="15"/>
      <c r="E9" s="16" t="n">
        <v>15.5</v>
      </c>
      <c r="F9" s="15" t="s">
        <v>357</v>
      </c>
      <c r="G9" s="8" t="n">
        <v>13</v>
      </c>
      <c r="H9" s="15" t="s">
        <v>404</v>
      </c>
      <c r="I9" s="15" t="s">
        <v>405</v>
      </c>
      <c r="J9" s="15" t="s">
        <v>60</v>
      </c>
      <c r="K9" s="8" t="n">
        <v>5</v>
      </c>
      <c r="L9" s="8" t="n">
        <v>0</v>
      </c>
      <c r="M9" s="8" t="n">
        <v>4</v>
      </c>
      <c r="N9" s="8" t="n">
        <v>25</v>
      </c>
      <c r="O9" s="8" t="n">
        <v>8</v>
      </c>
      <c r="P9" s="9" t="n">
        <v>75.7239367778443</v>
      </c>
      <c r="Q9" s="10" t="n">
        <v>0.0132058638595845</v>
      </c>
      <c r="R9" s="9" t="n">
        <v>101</v>
      </c>
      <c r="S9" s="12" t="n">
        <f aca="false">IF(AND(ISNUMBER(R9),R9&gt;1,P9&gt;0),R9/P9-1,"")</f>
        <v>0.333792249818041</v>
      </c>
      <c r="T9" s="9" t="n">
        <f aca="false">IF(AND(ISNUMBER(P9),P9&gt;0),P9*EXP('Read me'!$B$22),"")</f>
        <v>92.4894252392053</v>
      </c>
    </row>
    <row r="10" customFormat="false" ht="15" hidden="false" customHeight="false" outlineLevel="0" collapsed="false">
      <c r="A10" s="15" t="s">
        <v>55</v>
      </c>
      <c r="B10" s="15" t="s">
        <v>56</v>
      </c>
      <c r="C10" s="15" t="s">
        <v>57</v>
      </c>
      <c r="D10" s="15"/>
      <c r="E10" s="16" t="n">
        <v>15.5</v>
      </c>
      <c r="F10" s="15" t="s">
        <v>357</v>
      </c>
      <c r="G10" s="8" t="n">
        <v>13</v>
      </c>
      <c r="H10" s="15" t="s">
        <v>406</v>
      </c>
      <c r="I10" s="15" t="s">
        <v>407</v>
      </c>
      <c r="J10" s="15" t="s">
        <v>60</v>
      </c>
      <c r="K10" s="8" t="n">
        <v>13</v>
      </c>
      <c r="L10" s="8" t="n">
        <v>0</v>
      </c>
      <c r="M10" s="8" t="n">
        <v>4</v>
      </c>
      <c r="N10" s="8" t="n">
        <v>67</v>
      </c>
      <c r="O10" s="8" t="n">
        <v>9</v>
      </c>
      <c r="P10" s="9" t="n">
        <v>85.6831803354884</v>
      </c>
      <c r="Q10" s="10" t="n">
        <v>0.011670901991319</v>
      </c>
      <c r="R10" s="9" t="n">
        <v>101</v>
      </c>
      <c r="S10" s="12" t="n">
        <f aca="false">IF(AND(ISNUMBER(R10),R10&gt;1,P10&gt;0),R10/P10-1,"")</f>
        <v>0.178761101123223</v>
      </c>
      <c r="T10" s="9" t="n">
        <f aca="false">IF(AND(ISNUMBER(P10),P10&gt;0),P10*EXP('Read me'!$B$22),"")</f>
        <v>104.653672789701</v>
      </c>
    </row>
    <row r="11" customFormat="false" ht="15" hidden="false" customHeight="false" outlineLevel="0" collapsed="false">
      <c r="A11" s="15" t="s">
        <v>55</v>
      </c>
      <c r="B11" s="15" t="s">
        <v>56</v>
      </c>
      <c r="C11" s="15" t="s">
        <v>57</v>
      </c>
      <c r="D11" s="15"/>
      <c r="E11" s="16" t="n">
        <v>15.5</v>
      </c>
      <c r="F11" s="15" t="s">
        <v>357</v>
      </c>
      <c r="G11" s="8" t="n">
        <v>13</v>
      </c>
      <c r="H11" s="15" t="s">
        <v>408</v>
      </c>
      <c r="I11" s="15" t="s">
        <v>409</v>
      </c>
      <c r="J11" s="15" t="s">
        <v>399</v>
      </c>
      <c r="K11" s="8" t="n">
        <v>4</v>
      </c>
      <c r="L11" s="8" t="n">
        <v>0</v>
      </c>
      <c r="M11" s="8" t="n">
        <v>4</v>
      </c>
      <c r="N11" s="8"/>
      <c r="O11" s="8" t="n">
        <v>10</v>
      </c>
      <c r="P11" s="9" t="n">
        <v>131.325912551316</v>
      </c>
      <c r="Q11" s="10" t="n">
        <v>0.007614643451339</v>
      </c>
      <c r="R11" s="9" t="n">
        <v>81</v>
      </c>
      <c r="S11" s="12" t="n">
        <f aca="false">IF(AND(ISNUMBER(R11),R11&gt;1,P11&gt;0),R11/P11-1,"")</f>
        <v>-0.383213880441537</v>
      </c>
      <c r="T11" s="9" t="n">
        <f aca="false">IF(AND(ISNUMBER(P11),P11&gt;0),P11*EXP('Read me'!$B$22),"")</f>
        <v>160.401831808078</v>
      </c>
    </row>
    <row r="12" customFormat="false" ht="15" hidden="false" customHeight="false" outlineLevel="0" collapsed="false">
      <c r="A12" s="15" t="s">
        <v>55</v>
      </c>
      <c r="B12" s="15" t="s">
        <v>56</v>
      </c>
      <c r="C12" s="15" t="s">
        <v>57</v>
      </c>
      <c r="D12" s="15"/>
      <c r="E12" s="16" t="n">
        <v>15.5</v>
      </c>
      <c r="F12" s="15" t="s">
        <v>357</v>
      </c>
      <c r="G12" s="8" t="n">
        <v>13</v>
      </c>
      <c r="H12" s="15" t="s">
        <v>410</v>
      </c>
      <c r="I12" s="15" t="s">
        <v>411</v>
      </c>
      <c r="J12" s="15" t="s">
        <v>412</v>
      </c>
      <c r="K12" s="8" t="n">
        <v>12</v>
      </c>
      <c r="L12" s="8" t="n">
        <v>0</v>
      </c>
      <c r="M12" s="8" t="n">
        <v>4</v>
      </c>
      <c r="N12" s="8"/>
      <c r="O12" s="8" t="n">
        <v>11</v>
      </c>
      <c r="P12" s="9" t="n">
        <v>159.937855841865</v>
      </c>
      <c r="Q12" s="10" t="n">
        <v>0.0062524284493893</v>
      </c>
      <c r="R12" s="9" t="n">
        <v>101</v>
      </c>
      <c r="S12" s="12" t="n">
        <f aca="false">IF(AND(ISNUMBER(R12),R12&gt;1,P12&gt;0),R12/P12-1,"")</f>
        <v>-0.36850472661168</v>
      </c>
      <c r="T12" s="9" t="n">
        <f aca="false">IF(AND(ISNUMBER(P12),P12&gt;0),P12*EXP('Read me'!$B$22),"")</f>
        <v>195.348538259477</v>
      </c>
    </row>
    <row r="13" customFormat="false" ht="15" hidden="false" customHeight="false" outlineLevel="0" collapsed="false">
      <c r="A13" s="15" t="s">
        <v>55</v>
      </c>
      <c r="B13" s="15" t="s">
        <v>56</v>
      </c>
      <c r="C13" s="15" t="s">
        <v>57</v>
      </c>
      <c r="D13" s="15"/>
      <c r="E13" s="16" t="n">
        <v>15.5</v>
      </c>
      <c r="F13" s="15" t="s">
        <v>357</v>
      </c>
      <c r="G13" s="8" t="n">
        <v>13</v>
      </c>
      <c r="H13" s="15" t="s">
        <v>413</v>
      </c>
      <c r="I13" s="15" t="s">
        <v>414</v>
      </c>
      <c r="J13" s="15" t="s">
        <v>415</v>
      </c>
      <c r="K13" s="8" t="n">
        <v>14</v>
      </c>
      <c r="L13" s="8" t="n">
        <v>0</v>
      </c>
      <c r="M13" s="8" t="n">
        <v>4</v>
      </c>
      <c r="N13" s="8" t="n">
        <v>56</v>
      </c>
      <c r="O13" s="8" t="n">
        <v>12</v>
      </c>
      <c r="P13" s="9" t="n">
        <v>167.628227293356</v>
      </c>
      <c r="Q13" s="10" t="n">
        <v>0.0059655823851788</v>
      </c>
      <c r="R13" s="9" t="n">
        <v>151</v>
      </c>
      <c r="S13" s="12" t="n">
        <f aca="false">IF(AND(ISNUMBER(R13),R13&gt;1,P13&gt;0),R13/P13-1,"")</f>
        <v>-0.0991970598379968</v>
      </c>
      <c r="T13" s="9" t="n">
        <f aca="false">IF(AND(ISNUMBER(P13),P13&gt;0),P13*EXP('Read me'!$B$22),"")</f>
        <v>204.741579161605</v>
      </c>
    </row>
    <row r="14" customFormat="false" ht="15" hidden="false" customHeight="false" outlineLevel="0" collapsed="false">
      <c r="A14" s="15" t="s">
        <v>55</v>
      </c>
      <c r="B14" s="15" t="s">
        <v>56</v>
      </c>
      <c r="C14" s="15" t="s">
        <v>57</v>
      </c>
      <c r="D14" s="15"/>
      <c r="E14" s="16" t="n">
        <v>15.5</v>
      </c>
      <c r="F14" s="15" t="s">
        <v>357</v>
      </c>
      <c r="G14" s="8" t="n">
        <v>13</v>
      </c>
      <c r="H14" s="15" t="s">
        <v>416</v>
      </c>
      <c r="I14" s="15" t="s">
        <v>91</v>
      </c>
      <c r="J14" s="15" t="s">
        <v>417</v>
      </c>
      <c r="K14" s="8" t="n">
        <v>11</v>
      </c>
      <c r="L14" s="8" t="n">
        <v>0</v>
      </c>
      <c r="M14" s="8" t="n">
        <v>4</v>
      </c>
      <c r="N14" s="8" t="n">
        <v>69</v>
      </c>
      <c r="O14" s="8" t="n">
        <v>13</v>
      </c>
      <c r="P14" s="9" t="n">
        <v>386.369840221874</v>
      </c>
      <c r="Q14" s="10" t="n">
        <v>0.0025881937353747</v>
      </c>
      <c r="R14" s="9" t="n">
        <v>201</v>
      </c>
      <c r="S14" s="12" t="n">
        <f aca="false">IF(AND(ISNUMBER(R14),R14&gt;1,P14&gt;0),R14/P14-1,"")</f>
        <v>-0.479773059189674</v>
      </c>
      <c r="T14" s="9" t="n">
        <f aca="false">IF(AND(ISNUMBER(P14),P14&gt;0),P14*EXP('Read me'!$B$22),"")</f>
        <v>471.913188516901</v>
      </c>
    </row>
    <row r="15" customFormat="false" ht="15" hidden="false" customHeight="false" outlineLevel="0" collapsed="false">
      <c r="A15" s="15" t="s">
        <v>88</v>
      </c>
      <c r="B15" s="15" t="s">
        <v>56</v>
      </c>
      <c r="C15" s="15" t="s">
        <v>89</v>
      </c>
      <c r="D15" s="15"/>
      <c r="E15" s="16" t="n">
        <v>15.5</v>
      </c>
      <c r="F15" s="15" t="s">
        <v>357</v>
      </c>
      <c r="G15" s="8" t="n">
        <v>16</v>
      </c>
      <c r="H15" s="15" t="s">
        <v>90</v>
      </c>
      <c r="I15" s="15" t="s">
        <v>91</v>
      </c>
      <c r="J15" s="15" t="s">
        <v>92</v>
      </c>
      <c r="K15" s="8" t="n">
        <v>3</v>
      </c>
      <c r="L15" s="8" t="n">
        <v>95</v>
      </c>
      <c r="M15" s="8" t="n">
        <v>6</v>
      </c>
      <c r="N15" s="8" t="n">
        <v>31</v>
      </c>
      <c r="O15" s="8" t="n">
        <v>1</v>
      </c>
      <c r="P15" s="9" t="n">
        <v>3.93562199462767</v>
      </c>
      <c r="Q15" s="10" t="n">
        <v>0.25408944287969</v>
      </c>
      <c r="R15" s="9" t="n">
        <v>4</v>
      </c>
      <c r="S15" s="12" t="n">
        <f aca="false">IF(AND(ISNUMBER(R15),R15&gt;1,P15&gt;0),R15/P15-1,"")</f>
        <v>0.0163577715187599</v>
      </c>
      <c r="T15" s="9" t="n">
        <f aca="false">IF(AND(ISNUMBER(P15),P15&gt;0),P15*EXP('Read me'!$B$22),"")</f>
        <v>4.80697955931407</v>
      </c>
    </row>
    <row r="16" customFormat="false" ht="15" hidden="false" customHeight="false" outlineLevel="0" collapsed="false">
      <c r="A16" s="15" t="s">
        <v>88</v>
      </c>
      <c r="B16" s="15" t="s">
        <v>56</v>
      </c>
      <c r="C16" s="15" t="s">
        <v>89</v>
      </c>
      <c r="D16" s="15"/>
      <c r="E16" s="16" t="n">
        <v>15.5</v>
      </c>
      <c r="F16" s="15" t="s">
        <v>357</v>
      </c>
      <c r="G16" s="8" t="n">
        <v>16</v>
      </c>
      <c r="H16" s="15" t="s">
        <v>93</v>
      </c>
      <c r="I16" s="15" t="s">
        <v>465</v>
      </c>
      <c r="J16" s="15" t="s">
        <v>466</v>
      </c>
      <c r="K16" s="8" t="n">
        <v>2</v>
      </c>
      <c r="L16" s="8" t="n">
        <v>95</v>
      </c>
      <c r="M16" s="8" t="n">
        <v>5</v>
      </c>
      <c r="N16" s="8" t="n">
        <v>43</v>
      </c>
      <c r="O16" s="8" t="n">
        <v>2</v>
      </c>
      <c r="P16" s="9" t="n">
        <v>8.67108640040703</v>
      </c>
      <c r="Q16" s="10" t="n">
        <v>0.115325802768274</v>
      </c>
      <c r="R16" s="9" t="n">
        <v>7</v>
      </c>
      <c r="S16" s="12" t="n">
        <f aca="false">IF(AND(ISNUMBER(R16),R16&gt;1,P16&gt;0),R16/P16-1,"")</f>
        <v>-0.192719380622085</v>
      </c>
      <c r="T16" s="9" t="n">
        <f aca="false">IF(AND(ISNUMBER(P16),P16&gt;0),P16*EXP('Read me'!$B$22),"")</f>
        <v>10.5908888457023</v>
      </c>
    </row>
    <row r="17" customFormat="false" ht="15" hidden="false" customHeight="false" outlineLevel="0" collapsed="false">
      <c r="A17" s="15" t="s">
        <v>88</v>
      </c>
      <c r="B17" s="15" t="s">
        <v>56</v>
      </c>
      <c r="C17" s="15" t="s">
        <v>89</v>
      </c>
      <c r="D17" s="15"/>
      <c r="E17" s="16" t="n">
        <v>15.5</v>
      </c>
      <c r="F17" s="15" t="s">
        <v>357</v>
      </c>
      <c r="G17" s="8" t="n">
        <v>16</v>
      </c>
      <c r="H17" s="15" t="s">
        <v>467</v>
      </c>
      <c r="I17" s="15" t="s">
        <v>398</v>
      </c>
      <c r="J17" s="15" t="s">
        <v>468</v>
      </c>
      <c r="K17" s="8" t="n">
        <v>12</v>
      </c>
      <c r="L17" s="8" t="n">
        <v>82</v>
      </c>
      <c r="M17" s="8" t="n">
        <v>7</v>
      </c>
      <c r="N17" s="8" t="n">
        <v>13</v>
      </c>
      <c r="O17" s="8" t="n">
        <v>3</v>
      </c>
      <c r="P17" s="9" t="n">
        <v>10.0706534054098</v>
      </c>
      <c r="Q17" s="10" t="n">
        <v>0.0992984228275415</v>
      </c>
      <c r="R17" s="9" t="n">
        <v>5</v>
      </c>
      <c r="S17" s="12" t="n">
        <f aca="false">IF(AND(ISNUMBER(R17),R17&gt;1,P17&gt;0),R17/P17-1,"")</f>
        <v>-0.503507885862293</v>
      </c>
      <c r="T17" s="9" t="n">
        <f aca="false">IF(AND(ISNUMBER(P17),P17&gt;0),P17*EXP('Read me'!$B$22),"")</f>
        <v>12.3003238458426</v>
      </c>
    </row>
    <row r="18" customFormat="false" ht="15" hidden="false" customHeight="false" outlineLevel="0" collapsed="false">
      <c r="A18" s="15" t="s">
        <v>88</v>
      </c>
      <c r="B18" s="15" t="s">
        <v>56</v>
      </c>
      <c r="C18" s="15" t="s">
        <v>89</v>
      </c>
      <c r="D18" s="15"/>
      <c r="E18" s="16" t="n">
        <v>15.5</v>
      </c>
      <c r="F18" s="15" t="s">
        <v>357</v>
      </c>
      <c r="G18" s="8" t="n">
        <v>16</v>
      </c>
      <c r="H18" s="15" t="s">
        <v>469</v>
      </c>
      <c r="I18" s="15" t="s">
        <v>470</v>
      </c>
      <c r="J18" s="15" t="s">
        <v>471</v>
      </c>
      <c r="K18" s="8" t="n">
        <v>1</v>
      </c>
      <c r="L18" s="8" t="n">
        <v>95</v>
      </c>
      <c r="M18" s="8" t="n">
        <v>6</v>
      </c>
      <c r="N18" s="8" t="n">
        <v>139</v>
      </c>
      <c r="O18" s="8" t="n">
        <v>4</v>
      </c>
      <c r="P18" s="9" t="n">
        <v>10.4191825705799</v>
      </c>
      <c r="Q18" s="10" t="n">
        <v>0.0959768190283614</v>
      </c>
      <c r="R18" s="9" t="n">
        <v>12</v>
      </c>
      <c r="S18" s="12" t="n">
        <f aca="false">IF(AND(ISNUMBER(R18),R18&gt;1,P18&gt;0),R18/P18-1,"")</f>
        <v>0.151721828340336</v>
      </c>
      <c r="T18" s="9" t="n">
        <f aca="false">IF(AND(ISNUMBER(P18),P18&gt;0),P18*EXP('Read me'!$B$22),"")</f>
        <v>12.7260183294806</v>
      </c>
    </row>
    <row r="19" customFormat="false" ht="15" hidden="false" customHeight="false" outlineLevel="0" collapsed="false">
      <c r="A19" s="15" t="s">
        <v>88</v>
      </c>
      <c r="B19" s="15" t="s">
        <v>56</v>
      </c>
      <c r="C19" s="15" t="s">
        <v>89</v>
      </c>
      <c r="D19" s="15"/>
      <c r="E19" s="16" t="n">
        <v>15.5</v>
      </c>
      <c r="F19" s="15" t="s">
        <v>357</v>
      </c>
      <c r="G19" s="8" t="n">
        <v>16</v>
      </c>
      <c r="H19" s="15" t="s">
        <v>472</v>
      </c>
      <c r="I19" s="15" t="s">
        <v>473</v>
      </c>
      <c r="J19" s="15" t="s">
        <v>474</v>
      </c>
      <c r="K19" s="8" t="n">
        <v>4</v>
      </c>
      <c r="L19" s="8" t="n">
        <v>95</v>
      </c>
      <c r="M19" s="8" t="n">
        <v>6</v>
      </c>
      <c r="N19" s="8" t="n">
        <v>245</v>
      </c>
      <c r="O19" s="8" t="n">
        <v>5</v>
      </c>
      <c r="P19" s="9" t="n">
        <v>12.8811682726954</v>
      </c>
      <c r="Q19" s="10" t="n">
        <v>0.0776327099242796</v>
      </c>
      <c r="R19" s="9" t="n">
        <v>7</v>
      </c>
      <c r="S19" s="12" t="n">
        <f aca="false">IF(AND(ISNUMBER(R19),R19&gt;1,P19&gt;0),R19/P19-1,"")</f>
        <v>-0.456571030530042</v>
      </c>
      <c r="T19" s="9" t="n">
        <f aca="false">IF(AND(ISNUMBER(P19),P19&gt;0),P19*EXP('Read me'!$B$22),"")</f>
        <v>15.7330944565955</v>
      </c>
    </row>
    <row r="20" customFormat="false" ht="15" hidden="false" customHeight="false" outlineLevel="0" collapsed="false">
      <c r="A20" s="15" t="s">
        <v>88</v>
      </c>
      <c r="B20" s="15" t="s">
        <v>56</v>
      </c>
      <c r="C20" s="15" t="s">
        <v>89</v>
      </c>
      <c r="D20" s="15"/>
      <c r="E20" s="16" t="n">
        <v>15.5</v>
      </c>
      <c r="F20" s="15" t="s">
        <v>357</v>
      </c>
      <c r="G20" s="8" t="n">
        <v>16</v>
      </c>
      <c r="H20" s="15" t="s">
        <v>475</v>
      </c>
      <c r="I20" s="15" t="s">
        <v>391</v>
      </c>
      <c r="J20" s="15" t="s">
        <v>476</v>
      </c>
      <c r="K20" s="8" t="n">
        <v>5</v>
      </c>
      <c r="L20" s="8" t="n">
        <v>95</v>
      </c>
      <c r="M20" s="8" t="n">
        <v>8</v>
      </c>
      <c r="N20" s="8" t="n">
        <v>84</v>
      </c>
      <c r="O20" s="8" t="n">
        <v>6</v>
      </c>
      <c r="P20" s="9" t="n">
        <v>14.0541885988793</v>
      </c>
      <c r="Q20" s="10" t="n">
        <v>0.0711531649774319</v>
      </c>
      <c r="R20" s="9" t="n">
        <v>21</v>
      </c>
      <c r="S20" s="12" t="n">
        <f aca="false">IF(AND(ISNUMBER(R20),R20&gt;1,P20&gt;0),R20/P20-1,"")</f>
        <v>0.49421646452607</v>
      </c>
      <c r="T20" s="9" t="n">
        <f aca="false">IF(AND(ISNUMBER(P20),P20&gt;0),P20*EXP('Read me'!$B$22),"")</f>
        <v>17.1658247183744</v>
      </c>
    </row>
    <row r="21" customFormat="false" ht="15" hidden="false" customHeight="false" outlineLevel="0" collapsed="false">
      <c r="A21" s="15" t="s">
        <v>88</v>
      </c>
      <c r="B21" s="15" t="s">
        <v>56</v>
      </c>
      <c r="C21" s="15" t="s">
        <v>89</v>
      </c>
      <c r="D21" s="15"/>
      <c r="E21" s="16" t="n">
        <v>15.5</v>
      </c>
      <c r="F21" s="15" t="s">
        <v>357</v>
      </c>
      <c r="G21" s="8" t="n">
        <v>16</v>
      </c>
      <c r="H21" s="15" t="s">
        <v>477</v>
      </c>
      <c r="I21" s="15" t="s">
        <v>478</v>
      </c>
      <c r="J21" s="15" t="s">
        <v>479</v>
      </c>
      <c r="K21" s="8" t="n">
        <v>8</v>
      </c>
      <c r="L21" s="8" t="n">
        <v>92</v>
      </c>
      <c r="M21" s="8" t="n">
        <v>6</v>
      </c>
      <c r="N21" s="8" t="n">
        <v>137</v>
      </c>
      <c r="O21" s="8" t="n">
        <v>7</v>
      </c>
      <c r="P21" s="9" t="n">
        <v>19.5983447965036</v>
      </c>
      <c r="Q21" s="10" t="n">
        <v>0.0510247171576655</v>
      </c>
      <c r="R21" s="9" t="n">
        <v>19</v>
      </c>
      <c r="S21" s="12" t="n">
        <f aca="false">IF(AND(ISNUMBER(R21),R21&gt;1,P21&gt;0),R21/P21-1,"")</f>
        <v>-0.0305303740043557</v>
      </c>
      <c r="T21" s="9" t="n">
        <f aca="false">IF(AND(ISNUMBER(P21),P21&gt;0),P21*EXP('Read me'!$B$22),"")</f>
        <v>23.9374723898235</v>
      </c>
    </row>
    <row r="22" customFormat="false" ht="15" hidden="false" customHeight="false" outlineLevel="0" collapsed="false">
      <c r="A22" s="15" t="s">
        <v>88</v>
      </c>
      <c r="B22" s="15" t="s">
        <v>56</v>
      </c>
      <c r="C22" s="15" t="s">
        <v>89</v>
      </c>
      <c r="D22" s="15"/>
      <c r="E22" s="16" t="n">
        <v>15.5</v>
      </c>
      <c r="F22" s="15" t="s">
        <v>357</v>
      </c>
      <c r="G22" s="8" t="n">
        <v>16</v>
      </c>
      <c r="H22" s="15" t="s">
        <v>480</v>
      </c>
      <c r="I22" s="15" t="s">
        <v>481</v>
      </c>
      <c r="J22" s="15" t="s">
        <v>482</v>
      </c>
      <c r="K22" s="8" t="n">
        <v>16</v>
      </c>
      <c r="L22" s="8" t="n">
        <v>72</v>
      </c>
      <c r="M22" s="8" t="n">
        <v>6</v>
      </c>
      <c r="N22" s="8" t="n">
        <v>33</v>
      </c>
      <c r="O22" s="8" t="n">
        <v>8</v>
      </c>
      <c r="P22" s="9" t="n">
        <v>23.3257630248505</v>
      </c>
      <c r="Q22" s="10" t="n">
        <v>0.0428710520180898</v>
      </c>
      <c r="R22" s="9" t="n">
        <v>13</v>
      </c>
      <c r="S22" s="12" t="n">
        <f aca="false">IF(AND(ISNUMBER(R22),R22&gt;1,P22&gt;0),R22/P22-1,"")</f>
        <v>-0.442676323764832</v>
      </c>
      <c r="T22" s="9" t="n">
        <f aca="false">IF(AND(ISNUMBER(P22),P22&gt;0),P22*EXP('Read me'!$B$22),"")</f>
        <v>28.4901512947428</v>
      </c>
    </row>
    <row r="23" customFormat="false" ht="15" hidden="false" customHeight="false" outlineLevel="0" collapsed="false">
      <c r="A23" s="15" t="s">
        <v>88</v>
      </c>
      <c r="B23" s="15" t="s">
        <v>56</v>
      </c>
      <c r="C23" s="15" t="s">
        <v>89</v>
      </c>
      <c r="D23" s="15"/>
      <c r="E23" s="16" t="n">
        <v>15.5</v>
      </c>
      <c r="F23" s="15" t="s">
        <v>357</v>
      </c>
      <c r="G23" s="8" t="n">
        <v>16</v>
      </c>
      <c r="H23" s="15" t="s">
        <v>483</v>
      </c>
      <c r="I23" s="15" t="s">
        <v>484</v>
      </c>
      <c r="J23" s="15" t="s">
        <v>482</v>
      </c>
      <c r="K23" s="8" t="n">
        <v>9</v>
      </c>
      <c r="L23" s="8" t="n">
        <v>89</v>
      </c>
      <c r="M23" s="8" t="n">
        <v>5</v>
      </c>
      <c r="N23" s="8" t="n">
        <v>50</v>
      </c>
      <c r="O23" s="8" t="n">
        <v>9</v>
      </c>
      <c r="P23" s="9" t="n">
        <v>26.8040159349673</v>
      </c>
      <c r="Q23" s="10" t="n">
        <v>0.0373078423183387</v>
      </c>
      <c r="R23" s="9" t="n">
        <v>11</v>
      </c>
      <c r="S23" s="12" t="n">
        <f aca="false">IF(AND(ISNUMBER(R23),R23&gt;1,P23&gt;0),R23/P23-1,"")</f>
        <v>-0.589613734498274</v>
      </c>
      <c r="T23" s="9" t="n">
        <f aca="false">IF(AND(ISNUMBER(P23),P23&gt;0),P23*EXP('Read me'!$B$22),"")</f>
        <v>32.7384989927382</v>
      </c>
    </row>
    <row r="24" customFormat="false" ht="15" hidden="false" customHeight="false" outlineLevel="0" collapsed="false">
      <c r="A24" s="15" t="s">
        <v>88</v>
      </c>
      <c r="B24" s="15" t="s">
        <v>56</v>
      </c>
      <c r="C24" s="15" t="s">
        <v>89</v>
      </c>
      <c r="D24" s="15"/>
      <c r="E24" s="16" t="n">
        <v>15.5</v>
      </c>
      <c r="F24" s="15" t="s">
        <v>357</v>
      </c>
      <c r="G24" s="8" t="n">
        <v>16</v>
      </c>
      <c r="H24" s="15" t="s">
        <v>485</v>
      </c>
      <c r="I24" s="15" t="s">
        <v>486</v>
      </c>
      <c r="J24" s="15" t="s">
        <v>487</v>
      </c>
      <c r="K24" s="8" t="n">
        <v>7</v>
      </c>
      <c r="L24" s="8" t="n">
        <v>92</v>
      </c>
      <c r="M24" s="8" t="n">
        <v>6</v>
      </c>
      <c r="N24" s="8" t="n">
        <v>157</v>
      </c>
      <c r="O24" s="8" t="n">
        <v>10</v>
      </c>
      <c r="P24" s="9" t="n">
        <v>28.4370642115372</v>
      </c>
      <c r="Q24" s="10" t="n">
        <v>0.0351653740541292</v>
      </c>
      <c r="R24" s="9" t="n">
        <v>21</v>
      </c>
      <c r="S24" s="12" t="n">
        <f aca="false">IF(AND(ISNUMBER(R24),R24&gt;1,P24&gt;0),R24/P24-1,"")</f>
        <v>-0.261527144863285</v>
      </c>
      <c r="T24" s="9" t="n">
        <f aca="false">IF(AND(ISNUMBER(P24),P24&gt;0),P24*EXP('Read me'!$B$22),"")</f>
        <v>34.7331086619494</v>
      </c>
    </row>
    <row r="25" customFormat="false" ht="15" hidden="false" customHeight="false" outlineLevel="0" collapsed="false">
      <c r="A25" s="15" t="s">
        <v>88</v>
      </c>
      <c r="B25" s="15" t="s">
        <v>56</v>
      </c>
      <c r="C25" s="15" t="s">
        <v>89</v>
      </c>
      <c r="D25" s="15"/>
      <c r="E25" s="16" t="n">
        <v>15.5</v>
      </c>
      <c r="F25" s="15" t="s">
        <v>357</v>
      </c>
      <c r="G25" s="8" t="n">
        <v>16</v>
      </c>
      <c r="H25" s="15" t="s">
        <v>488</v>
      </c>
      <c r="I25" s="15" t="s">
        <v>489</v>
      </c>
      <c r="J25" s="15" t="s">
        <v>490</v>
      </c>
      <c r="K25" s="8" t="n">
        <v>14</v>
      </c>
      <c r="L25" s="8" t="n">
        <v>75</v>
      </c>
      <c r="M25" s="8" t="n">
        <v>5</v>
      </c>
      <c r="N25" s="8" t="n">
        <v>31</v>
      </c>
      <c r="O25" s="8" t="n">
        <v>11</v>
      </c>
      <c r="P25" s="9" t="n">
        <v>33.1293812066255</v>
      </c>
      <c r="Q25" s="10" t="n">
        <v>0.0301846869328187</v>
      </c>
      <c r="R25" s="9" t="n">
        <v>17</v>
      </c>
      <c r="S25" s="12" t="n">
        <f aca="false">IF(AND(ISNUMBER(R25),R25&gt;1,P25&gt;0),R25/P25-1,"")</f>
        <v>-0.486860322142081</v>
      </c>
      <c r="T25" s="9" t="n">
        <f aca="false">IF(AND(ISNUMBER(P25),P25&gt;0),P25*EXP('Read me'!$B$22),"")</f>
        <v>40.4643175819121</v>
      </c>
    </row>
    <row r="26" customFormat="false" ht="15" hidden="false" customHeight="false" outlineLevel="0" collapsed="false">
      <c r="A26" s="15" t="s">
        <v>88</v>
      </c>
      <c r="B26" s="15" t="s">
        <v>56</v>
      </c>
      <c r="C26" s="15" t="s">
        <v>89</v>
      </c>
      <c r="D26" s="15"/>
      <c r="E26" s="16" t="n">
        <v>15.5</v>
      </c>
      <c r="F26" s="15" t="s">
        <v>357</v>
      </c>
      <c r="G26" s="8" t="n">
        <v>16</v>
      </c>
      <c r="H26" s="15" t="s">
        <v>491</v>
      </c>
      <c r="I26" s="15" t="s">
        <v>492</v>
      </c>
      <c r="J26" s="15" t="s">
        <v>493</v>
      </c>
      <c r="K26" s="8" t="n">
        <v>15</v>
      </c>
      <c r="L26" s="8" t="n">
        <v>75</v>
      </c>
      <c r="M26" s="8" t="n">
        <v>9</v>
      </c>
      <c r="N26" s="8" t="n">
        <v>163</v>
      </c>
      <c r="O26" s="8" t="n">
        <v>12</v>
      </c>
      <c r="P26" s="9" t="n">
        <v>48.0272322679773</v>
      </c>
      <c r="Q26" s="10" t="n">
        <v>0.0208215204744738</v>
      </c>
      <c r="R26" s="9" t="n">
        <v>29</v>
      </c>
      <c r="S26" s="12" t="n">
        <f aca="false">IF(AND(ISNUMBER(R26),R26&gt;1,P26&gt;0),R26/P26-1,"")</f>
        <v>-0.396175906240258</v>
      </c>
      <c r="T26" s="9" t="n">
        <f aca="false">IF(AND(ISNUMBER(P26),P26&gt;0),P26*EXP('Read me'!$B$22),"")</f>
        <v>58.6605939589065</v>
      </c>
    </row>
    <row r="27" customFormat="false" ht="15" hidden="false" customHeight="false" outlineLevel="0" collapsed="false">
      <c r="A27" s="15" t="s">
        <v>88</v>
      </c>
      <c r="B27" s="15" t="s">
        <v>56</v>
      </c>
      <c r="C27" s="15" t="s">
        <v>89</v>
      </c>
      <c r="D27" s="15"/>
      <c r="E27" s="16" t="n">
        <v>15.5</v>
      </c>
      <c r="F27" s="15" t="s">
        <v>357</v>
      </c>
      <c r="G27" s="8" t="n">
        <v>16</v>
      </c>
      <c r="H27" s="15" t="s">
        <v>494</v>
      </c>
      <c r="I27" s="15" t="s">
        <v>495</v>
      </c>
      <c r="J27" s="15" t="s">
        <v>496</v>
      </c>
      <c r="K27" s="8" t="n">
        <v>11</v>
      </c>
      <c r="L27" s="8" t="n">
        <v>82</v>
      </c>
      <c r="M27" s="8" t="n">
        <v>6</v>
      </c>
      <c r="N27" s="8" t="n">
        <v>31</v>
      </c>
      <c r="O27" s="8" t="n">
        <v>13</v>
      </c>
      <c r="P27" s="9" t="n">
        <v>48.7989298589751</v>
      </c>
      <c r="Q27" s="10" t="n">
        <v>0.020492252655743</v>
      </c>
      <c r="R27" s="9" t="n">
        <v>17</v>
      </c>
      <c r="S27" s="12" t="n">
        <f aca="false">IF(AND(ISNUMBER(R27),R27&gt;1,P27&gt;0),R27/P27-1,"")</f>
        <v>-0.651631704852369</v>
      </c>
      <c r="T27" s="9" t="n">
        <f aca="false">IF(AND(ISNUMBER(P27),P27&gt;0),P27*EXP('Read me'!$B$22),"")</f>
        <v>59.6031475250168</v>
      </c>
    </row>
    <row r="28" customFormat="false" ht="15" hidden="false" customHeight="false" outlineLevel="0" collapsed="false">
      <c r="A28" s="15" t="s">
        <v>88</v>
      </c>
      <c r="B28" s="15" t="s">
        <v>56</v>
      </c>
      <c r="C28" s="15" t="s">
        <v>89</v>
      </c>
      <c r="D28" s="15"/>
      <c r="E28" s="16" t="n">
        <v>15.5</v>
      </c>
      <c r="F28" s="15" t="s">
        <v>357</v>
      </c>
      <c r="G28" s="8" t="n">
        <v>16</v>
      </c>
      <c r="H28" s="15" t="s">
        <v>497</v>
      </c>
      <c r="I28" s="15" t="s">
        <v>407</v>
      </c>
      <c r="J28" s="15" t="s">
        <v>498</v>
      </c>
      <c r="K28" s="8" t="n">
        <v>13</v>
      </c>
      <c r="L28" s="8" t="n">
        <v>82</v>
      </c>
      <c r="M28" s="8" t="n">
        <v>4</v>
      </c>
      <c r="N28" s="8" t="n">
        <v>33</v>
      </c>
      <c r="O28" s="8" t="n">
        <v>14</v>
      </c>
      <c r="P28" s="9" t="n">
        <v>50.9939954985164</v>
      </c>
      <c r="Q28" s="10" t="n">
        <v>0.0196101519448322</v>
      </c>
      <c r="R28" s="9" t="n">
        <v>26</v>
      </c>
      <c r="S28" s="12" t="n">
        <f aca="false">IF(AND(ISNUMBER(R28),R28&gt;1,P28&gt;0),R28/P28-1,"")</f>
        <v>-0.49013604943436</v>
      </c>
      <c r="T28" s="9" t="n">
        <f aca="false">IF(AND(ISNUMBER(P28),P28&gt;0),P28*EXP('Read me'!$B$22),"")</f>
        <v>62.2842067514952</v>
      </c>
    </row>
    <row r="29" customFormat="false" ht="15" hidden="false" customHeight="false" outlineLevel="0" collapsed="false">
      <c r="A29" s="15" t="s">
        <v>88</v>
      </c>
      <c r="B29" s="15" t="s">
        <v>56</v>
      </c>
      <c r="C29" s="15" t="s">
        <v>89</v>
      </c>
      <c r="D29" s="15"/>
      <c r="E29" s="16" t="n">
        <v>15.5</v>
      </c>
      <c r="F29" s="15" t="s">
        <v>357</v>
      </c>
      <c r="G29" s="8" t="n">
        <v>16</v>
      </c>
      <c r="H29" s="15" t="s">
        <v>499</v>
      </c>
      <c r="I29" s="15" t="s">
        <v>500</v>
      </c>
      <c r="J29" s="15" t="s">
        <v>501</v>
      </c>
      <c r="K29" s="8" t="n">
        <v>6</v>
      </c>
      <c r="L29" s="8" t="n">
        <v>94</v>
      </c>
      <c r="M29" s="8" t="n">
        <v>7</v>
      </c>
      <c r="N29" s="8" t="n">
        <v>25</v>
      </c>
      <c r="O29" s="8" t="n">
        <v>15</v>
      </c>
      <c r="P29" s="9" t="n">
        <v>58.3670756602088</v>
      </c>
      <c r="Q29" s="10" t="n">
        <v>0.0171329467630282</v>
      </c>
      <c r="R29" s="9" t="n">
        <v>51</v>
      </c>
      <c r="S29" s="12" t="n">
        <f aca="false">IF(AND(ISNUMBER(R29),R29&gt;1,P29&gt;0),R29/P29-1,"")</f>
        <v>-0.126219715085558</v>
      </c>
      <c r="T29" s="9" t="n">
        <f aca="false">IF(AND(ISNUMBER(P29),P29&gt;0),P29*EXP('Read me'!$B$22),"")</f>
        <v>71.2897071971223</v>
      </c>
    </row>
    <row r="30" customFormat="false" ht="15" hidden="false" customHeight="false" outlineLevel="0" collapsed="false">
      <c r="A30" s="15" t="s">
        <v>88</v>
      </c>
      <c r="B30" s="15" t="s">
        <v>56</v>
      </c>
      <c r="C30" s="15" t="s">
        <v>89</v>
      </c>
      <c r="D30" s="15"/>
      <c r="E30" s="16" t="n">
        <v>15.5</v>
      </c>
      <c r="F30" s="15" t="s">
        <v>357</v>
      </c>
      <c r="G30" s="8" t="n">
        <v>16</v>
      </c>
      <c r="H30" s="15" t="s">
        <v>502</v>
      </c>
      <c r="I30" s="15" t="s">
        <v>209</v>
      </c>
      <c r="J30" s="15" t="s">
        <v>503</v>
      </c>
      <c r="K30" s="8" t="n">
        <v>10</v>
      </c>
      <c r="L30" s="8" t="n">
        <v>86</v>
      </c>
      <c r="M30" s="8" t="n">
        <v>5</v>
      </c>
      <c r="N30" s="8" t="n">
        <v>90</v>
      </c>
      <c r="O30" s="8" t="n">
        <v>16</v>
      </c>
      <c r="P30" s="9" t="n">
        <v>83.9412549613089</v>
      </c>
      <c r="Q30" s="10" t="n">
        <v>0.0119130932753022</v>
      </c>
      <c r="R30" s="9" t="n">
        <v>34</v>
      </c>
      <c r="S30" s="12" t="n">
        <f aca="false">IF(AND(ISNUMBER(R30),R30&gt;1,P30&gt;0),R30/P30-1,"")</f>
        <v>-0.594954828639724</v>
      </c>
      <c r="T30" s="9" t="n">
        <f aca="false">IF(AND(ISNUMBER(P30),P30&gt;0),P30*EXP('Read me'!$B$22),"")</f>
        <v>102.526080333169</v>
      </c>
    </row>
    <row r="31" customFormat="false" ht="15" hidden="false" customHeight="false" outlineLevel="0" collapsed="false">
      <c r="A31" s="15" t="s">
        <v>117</v>
      </c>
      <c r="B31" s="15" t="s">
        <v>56</v>
      </c>
      <c r="C31" s="15" t="s">
        <v>118</v>
      </c>
      <c r="D31" s="15"/>
      <c r="E31" s="16" t="n">
        <v>20</v>
      </c>
      <c r="F31" s="15" t="s">
        <v>357</v>
      </c>
      <c r="G31" s="8" t="n">
        <v>15</v>
      </c>
      <c r="H31" s="15" t="s">
        <v>119</v>
      </c>
      <c r="I31" s="15" t="s">
        <v>120</v>
      </c>
      <c r="J31" s="15" t="s">
        <v>121</v>
      </c>
      <c r="K31" s="8" t="n">
        <v>3</v>
      </c>
      <c r="L31" s="8" t="n">
        <v>114</v>
      </c>
      <c r="M31" s="8" t="n">
        <v>6</v>
      </c>
      <c r="N31" s="8" t="n">
        <v>38</v>
      </c>
      <c r="O31" s="8" t="n">
        <v>1</v>
      </c>
      <c r="P31" s="9" t="n">
        <v>2.32794661282362</v>
      </c>
      <c r="Q31" s="10" t="n">
        <v>0.429563115619339</v>
      </c>
      <c r="R31" s="9" t="n">
        <v>2.375</v>
      </c>
      <c r="S31" s="12" t="n">
        <f aca="false">IF(AND(ISNUMBER(R31),R31&gt;1,P31&gt;0),R31/P31-1,"")</f>
        <v>0.0202123995959287</v>
      </c>
      <c r="T31" s="9" t="n">
        <f aca="false">IF(AND(ISNUMBER(P31),P31&gt;0),P31*EXP('Read me'!$B$22),"")</f>
        <v>2.84336041375239</v>
      </c>
    </row>
    <row r="32" customFormat="false" ht="15" hidden="false" customHeight="false" outlineLevel="0" collapsed="false">
      <c r="A32" s="15" t="s">
        <v>117</v>
      </c>
      <c r="B32" s="15" t="s">
        <v>56</v>
      </c>
      <c r="C32" s="15" t="s">
        <v>118</v>
      </c>
      <c r="D32" s="15"/>
      <c r="E32" s="16" t="n">
        <v>20</v>
      </c>
      <c r="F32" s="15" t="s">
        <v>357</v>
      </c>
      <c r="G32" s="8" t="n">
        <v>15</v>
      </c>
      <c r="H32" s="15" t="s">
        <v>122</v>
      </c>
      <c r="I32" s="15" t="s">
        <v>405</v>
      </c>
      <c r="J32" s="15" t="s">
        <v>572</v>
      </c>
      <c r="K32" s="8" t="n">
        <v>4</v>
      </c>
      <c r="L32" s="8" t="n">
        <v>104</v>
      </c>
      <c r="M32" s="8" t="n">
        <v>5</v>
      </c>
      <c r="N32" s="8" t="n">
        <v>17</v>
      </c>
      <c r="O32" s="8" t="n">
        <v>2</v>
      </c>
      <c r="P32" s="9" t="n">
        <v>5.67088227871866</v>
      </c>
      <c r="Q32" s="10" t="n">
        <v>0.176339403791318</v>
      </c>
      <c r="R32" s="9" t="n">
        <v>5</v>
      </c>
      <c r="S32" s="12" t="n">
        <f aca="false">IF(AND(ISNUMBER(R32),R32&gt;1,P32&gt;0),R32/P32-1,"")</f>
        <v>-0.11830298104341</v>
      </c>
      <c r="T32" s="9" t="n">
        <f aca="false">IF(AND(ISNUMBER(P32),P32&gt;0),P32*EXP('Read me'!$B$22),"")</f>
        <v>6.9264312564286</v>
      </c>
    </row>
    <row r="33" customFormat="false" ht="15" hidden="false" customHeight="false" outlineLevel="0" collapsed="false">
      <c r="A33" s="15" t="s">
        <v>117</v>
      </c>
      <c r="B33" s="15" t="s">
        <v>56</v>
      </c>
      <c r="C33" s="15" t="s">
        <v>118</v>
      </c>
      <c r="D33" s="15"/>
      <c r="E33" s="16" t="n">
        <v>20</v>
      </c>
      <c r="F33" s="15" t="s">
        <v>357</v>
      </c>
      <c r="G33" s="8" t="n">
        <v>15</v>
      </c>
      <c r="H33" s="15" t="s">
        <v>573</v>
      </c>
      <c r="I33" s="15" t="s">
        <v>574</v>
      </c>
      <c r="J33" s="15" t="s">
        <v>121</v>
      </c>
      <c r="K33" s="8" t="n">
        <v>13</v>
      </c>
      <c r="L33" s="8" t="n">
        <v>0</v>
      </c>
      <c r="M33" s="8" t="n">
        <v>4</v>
      </c>
      <c r="N33" s="8" t="n">
        <v>50</v>
      </c>
      <c r="O33" s="8" t="n">
        <v>3</v>
      </c>
      <c r="P33" s="9" t="n">
        <v>7.00323357822625</v>
      </c>
      <c r="Q33" s="10" t="n">
        <v>0.142791181934742</v>
      </c>
      <c r="R33" s="9" t="n">
        <v>9</v>
      </c>
      <c r="S33" s="12" t="n">
        <f aca="false">IF(AND(ISNUMBER(R33),R33&gt;1,P33&gt;0),R33/P33-1,"")</f>
        <v>0.28512063741268</v>
      </c>
      <c r="T33" s="9" t="n">
        <f aca="false">IF(AND(ISNUMBER(P33),P33&gt;0),P33*EXP('Read me'!$B$22),"")</f>
        <v>8.55376880848546</v>
      </c>
    </row>
    <row r="34" customFormat="false" ht="15" hidden="false" customHeight="false" outlineLevel="0" collapsed="false">
      <c r="A34" s="15" t="s">
        <v>117</v>
      </c>
      <c r="B34" s="15" t="s">
        <v>56</v>
      </c>
      <c r="C34" s="15" t="s">
        <v>118</v>
      </c>
      <c r="D34" s="15"/>
      <c r="E34" s="16" t="n">
        <v>20</v>
      </c>
      <c r="F34" s="15" t="s">
        <v>357</v>
      </c>
      <c r="G34" s="8" t="n">
        <v>15</v>
      </c>
      <c r="H34" s="15" t="s">
        <v>575</v>
      </c>
      <c r="I34" s="15" t="s">
        <v>150</v>
      </c>
      <c r="J34" s="15" t="s">
        <v>176</v>
      </c>
      <c r="K34" s="8" t="n">
        <v>10</v>
      </c>
      <c r="L34" s="8" t="n">
        <v>0</v>
      </c>
      <c r="M34" s="8" t="n">
        <v>5</v>
      </c>
      <c r="N34" s="8" t="n">
        <v>226</v>
      </c>
      <c r="O34" s="8" t="n">
        <v>4</v>
      </c>
      <c r="P34" s="9" t="n">
        <v>7.3385916615006</v>
      </c>
      <c r="Q34" s="10" t="n">
        <v>0.136265927595639</v>
      </c>
      <c r="R34" s="9" t="n">
        <v>3</v>
      </c>
      <c r="S34" s="12" t="n">
        <f aca="false">IF(AND(ISNUMBER(R34),R34&gt;1,P34&gt;0),R34/P34-1,"")</f>
        <v>-0.591202217213083</v>
      </c>
      <c r="T34" s="9" t="n">
        <f aca="false">IF(AND(ISNUMBER(P34),P34&gt;0),P34*EXP('Read me'!$B$22),"")</f>
        <v>8.96337609636806</v>
      </c>
    </row>
    <row r="35" customFormat="false" ht="15" hidden="false" customHeight="false" outlineLevel="0" collapsed="false">
      <c r="A35" s="15" t="s">
        <v>117</v>
      </c>
      <c r="B35" s="15" t="s">
        <v>56</v>
      </c>
      <c r="C35" s="15" t="s">
        <v>118</v>
      </c>
      <c r="D35" s="15"/>
      <c r="E35" s="16" t="n">
        <v>20</v>
      </c>
      <c r="F35" s="15" t="s">
        <v>357</v>
      </c>
      <c r="G35" s="8" t="n">
        <v>15</v>
      </c>
      <c r="H35" s="15" t="s">
        <v>576</v>
      </c>
      <c r="I35" s="15" t="s">
        <v>243</v>
      </c>
      <c r="J35" s="15" t="s">
        <v>577</v>
      </c>
      <c r="K35" s="8" t="n">
        <v>1</v>
      </c>
      <c r="L35" s="8" t="n">
        <v>0</v>
      </c>
      <c r="M35" s="8" t="n">
        <v>5</v>
      </c>
      <c r="N35" s="8" t="n">
        <v>152</v>
      </c>
      <c r="O35" s="8" t="n">
        <v>5</v>
      </c>
      <c r="P35" s="9" t="n">
        <v>29.4192783339842</v>
      </c>
      <c r="Q35" s="10" t="n">
        <v>0.0339913164642394</v>
      </c>
      <c r="R35" s="9" t="n">
        <v>15</v>
      </c>
      <c r="S35" s="12" t="n">
        <f aca="false">IF(AND(ISNUMBER(R35),R35&gt;1,P35&gt;0),R35/P35-1,"")</f>
        <v>-0.490130253036409</v>
      </c>
      <c r="T35" s="9" t="n">
        <f aca="false">IF(AND(ISNUMBER(P35),P35&gt;0),P35*EXP('Read me'!$B$22),"")</f>
        <v>35.9327877002101</v>
      </c>
    </row>
    <row r="36" customFormat="false" ht="15" hidden="false" customHeight="false" outlineLevel="0" collapsed="false">
      <c r="A36" s="15" t="s">
        <v>117</v>
      </c>
      <c r="B36" s="15" t="s">
        <v>56</v>
      </c>
      <c r="C36" s="15" t="s">
        <v>118</v>
      </c>
      <c r="D36" s="15"/>
      <c r="E36" s="16" t="n">
        <v>20</v>
      </c>
      <c r="F36" s="15" t="s">
        <v>357</v>
      </c>
      <c r="G36" s="8" t="n">
        <v>15</v>
      </c>
      <c r="H36" s="15" t="s">
        <v>578</v>
      </c>
      <c r="I36" s="15" t="s">
        <v>59</v>
      </c>
      <c r="J36" s="15" t="s">
        <v>60</v>
      </c>
      <c r="K36" s="8" t="n">
        <v>2</v>
      </c>
      <c r="L36" s="8" t="n">
        <v>103</v>
      </c>
      <c r="M36" s="8" t="n">
        <v>7</v>
      </c>
      <c r="N36" s="8" t="n">
        <v>31</v>
      </c>
      <c r="O36" s="8" t="n">
        <v>6</v>
      </c>
      <c r="P36" s="9" t="n">
        <v>37.3436047183735</v>
      </c>
      <c r="Q36" s="10" t="n">
        <v>0.0267783468559474</v>
      </c>
      <c r="R36" s="9" t="n">
        <v>41</v>
      </c>
      <c r="S36" s="12" t="n">
        <f aca="false">IF(AND(ISNUMBER(R36),R36&gt;1,P36&gt;0),R36/P36-1,"")</f>
        <v>0.0979122210938437</v>
      </c>
      <c r="T36" s="9" t="n">
        <f aca="false">IF(AND(ISNUMBER(P36),P36&gt;0),P36*EXP('Read me'!$B$22),"")</f>
        <v>45.6115818026645</v>
      </c>
    </row>
    <row r="37" customFormat="false" ht="15" hidden="false" customHeight="false" outlineLevel="0" collapsed="false">
      <c r="A37" s="15" t="s">
        <v>117</v>
      </c>
      <c r="B37" s="15" t="s">
        <v>56</v>
      </c>
      <c r="C37" s="15" t="s">
        <v>118</v>
      </c>
      <c r="D37" s="15"/>
      <c r="E37" s="16" t="n">
        <v>20</v>
      </c>
      <c r="F37" s="15" t="s">
        <v>357</v>
      </c>
      <c r="G37" s="8" t="n">
        <v>15</v>
      </c>
      <c r="H37" s="15" t="s">
        <v>579</v>
      </c>
      <c r="I37" s="15" t="s">
        <v>398</v>
      </c>
      <c r="J37" s="15" t="s">
        <v>580</v>
      </c>
      <c r="K37" s="8" t="n">
        <v>9</v>
      </c>
      <c r="L37" s="8" t="n">
        <v>0</v>
      </c>
      <c r="M37" s="8" t="n">
        <v>5</v>
      </c>
      <c r="N37" s="8" t="n">
        <v>35</v>
      </c>
      <c r="O37" s="8" t="n">
        <v>7</v>
      </c>
      <c r="P37" s="9" t="n">
        <v>41.8026813404111</v>
      </c>
      <c r="Q37" s="10" t="n">
        <v>0.0239219104596835</v>
      </c>
      <c r="R37" s="9" t="n">
        <v>23</v>
      </c>
      <c r="S37" s="12" t="n">
        <f aca="false">IF(AND(ISNUMBER(R37),R37&gt;1,P37&gt;0),R37/P37-1,"")</f>
        <v>-0.449796059427278</v>
      </c>
      <c r="T37" s="9" t="n">
        <f aca="false">IF(AND(ISNUMBER(P37),P37&gt;0),P37*EXP('Read me'!$B$22),"")</f>
        <v>51.0579102876688</v>
      </c>
    </row>
    <row r="38" customFormat="false" ht="15" hidden="false" customHeight="false" outlineLevel="0" collapsed="false">
      <c r="A38" s="15" t="s">
        <v>117</v>
      </c>
      <c r="B38" s="15" t="s">
        <v>56</v>
      </c>
      <c r="C38" s="15" t="s">
        <v>118</v>
      </c>
      <c r="D38" s="15"/>
      <c r="E38" s="16" t="n">
        <v>20</v>
      </c>
      <c r="F38" s="15" t="s">
        <v>357</v>
      </c>
      <c r="G38" s="8" t="n">
        <v>15</v>
      </c>
      <c r="H38" s="15" t="s">
        <v>581</v>
      </c>
      <c r="I38" s="15" t="s">
        <v>582</v>
      </c>
      <c r="J38" s="15" t="s">
        <v>583</v>
      </c>
      <c r="K38" s="8" t="n">
        <v>7</v>
      </c>
      <c r="L38" s="8" t="n">
        <v>0</v>
      </c>
      <c r="M38" s="8" t="n">
        <v>5</v>
      </c>
      <c r="N38" s="8" t="n">
        <v>58</v>
      </c>
      <c r="O38" s="8" t="n">
        <v>8</v>
      </c>
      <c r="P38" s="9" t="n">
        <v>94.6603689801292</v>
      </c>
      <c r="Q38" s="10" t="n">
        <v>0.0105640830558131</v>
      </c>
      <c r="R38" s="9" t="n">
        <v>34</v>
      </c>
      <c r="S38" s="12" t="n">
        <f aca="false">IF(AND(ISNUMBER(R38),R38&gt;1,P38&gt;0),R38/P38-1,"")</f>
        <v>-0.640821176102354</v>
      </c>
      <c r="T38" s="9" t="n">
        <f aca="false">IF(AND(ISNUMBER(P38),P38&gt;0),P38*EXP('Read me'!$B$22),"")</f>
        <v>115.618435760789</v>
      </c>
    </row>
    <row r="39" customFormat="false" ht="15" hidden="false" customHeight="false" outlineLevel="0" collapsed="false">
      <c r="A39" s="15" t="s">
        <v>117</v>
      </c>
      <c r="B39" s="15" t="s">
        <v>56</v>
      </c>
      <c r="C39" s="15" t="s">
        <v>118</v>
      </c>
      <c r="D39" s="15"/>
      <c r="E39" s="16" t="n">
        <v>20</v>
      </c>
      <c r="F39" s="15" t="s">
        <v>357</v>
      </c>
      <c r="G39" s="8" t="n">
        <v>15</v>
      </c>
      <c r="H39" s="15" t="s">
        <v>584</v>
      </c>
      <c r="I39" s="15" t="s">
        <v>585</v>
      </c>
      <c r="J39" s="15" t="s">
        <v>586</v>
      </c>
      <c r="K39" s="8" t="n">
        <v>12</v>
      </c>
      <c r="L39" s="8" t="n">
        <v>0</v>
      </c>
      <c r="M39" s="8" t="n">
        <v>4</v>
      </c>
      <c r="N39" s="8" t="n">
        <v>10</v>
      </c>
      <c r="O39" s="8" t="n">
        <v>9</v>
      </c>
      <c r="P39" s="9" t="n">
        <v>165.85979354259</v>
      </c>
      <c r="Q39" s="10" t="n">
        <v>0.0060291887421361</v>
      </c>
      <c r="R39" s="9" t="n">
        <v>67</v>
      </c>
      <c r="S39" s="12" t="n">
        <f aca="false">IF(AND(ISNUMBER(R39),R39&gt;1,P39&gt;0),R39/P39-1,"")</f>
        <v>-0.596044354276881</v>
      </c>
      <c r="T39" s="9" t="n">
        <f aca="false">IF(AND(ISNUMBER(P39),P39&gt;0),P39*EXP('Read me'!$B$22),"")</f>
        <v>202.581609300795</v>
      </c>
    </row>
    <row r="40" customFormat="false" ht="15" hidden="false" customHeight="false" outlineLevel="0" collapsed="false">
      <c r="A40" s="15" t="s">
        <v>117</v>
      </c>
      <c r="B40" s="15" t="s">
        <v>56</v>
      </c>
      <c r="C40" s="15" t="s">
        <v>118</v>
      </c>
      <c r="D40" s="15"/>
      <c r="E40" s="16" t="n">
        <v>20</v>
      </c>
      <c r="F40" s="15" t="s">
        <v>357</v>
      </c>
      <c r="G40" s="8" t="n">
        <v>15</v>
      </c>
      <c r="H40" s="15" t="s">
        <v>587</v>
      </c>
      <c r="I40" s="15" t="s">
        <v>209</v>
      </c>
      <c r="J40" s="15" t="s">
        <v>588</v>
      </c>
      <c r="K40" s="8" t="n">
        <v>11</v>
      </c>
      <c r="L40" s="8" t="n">
        <v>0</v>
      </c>
      <c r="M40" s="8" t="n">
        <v>6</v>
      </c>
      <c r="N40" s="8" t="n">
        <v>58</v>
      </c>
      <c r="O40" s="8" t="n">
        <v>10</v>
      </c>
      <c r="P40" s="9" t="n">
        <v>257.442514638778</v>
      </c>
      <c r="Q40" s="10" t="n">
        <v>0.0038843623066808</v>
      </c>
      <c r="R40" s="9" t="n">
        <v>101</v>
      </c>
      <c r="S40" s="12" t="n">
        <f aca="false">IF(AND(ISNUMBER(R40),R40&gt;1,P40&gt;0),R40/P40-1,"")</f>
        <v>-0.607679407025234</v>
      </c>
      <c r="T40" s="9" t="n">
        <f aca="false">IF(AND(ISNUMBER(P40),P40&gt;0),P40*EXP('Read me'!$B$22),"")</f>
        <v>314.440997447493</v>
      </c>
    </row>
    <row r="41" customFormat="false" ht="15" hidden="false" customHeight="false" outlineLevel="0" collapsed="false">
      <c r="A41" s="15" t="s">
        <v>117</v>
      </c>
      <c r="B41" s="15" t="s">
        <v>56</v>
      </c>
      <c r="C41" s="15" t="s">
        <v>118</v>
      </c>
      <c r="D41" s="15"/>
      <c r="E41" s="16" t="n">
        <v>20</v>
      </c>
      <c r="F41" s="15" t="s">
        <v>357</v>
      </c>
      <c r="G41" s="8" t="n">
        <v>15</v>
      </c>
      <c r="H41" s="15" t="s">
        <v>589</v>
      </c>
      <c r="I41" s="15" t="s">
        <v>590</v>
      </c>
      <c r="J41" s="15" t="s">
        <v>591</v>
      </c>
      <c r="K41" s="8" t="n">
        <v>15</v>
      </c>
      <c r="L41" s="8" t="n">
        <v>93</v>
      </c>
      <c r="M41" s="8" t="n">
        <v>4</v>
      </c>
      <c r="N41" s="8" t="n">
        <v>122</v>
      </c>
      <c r="O41" s="8" t="n">
        <v>11</v>
      </c>
      <c r="P41" s="9" t="n">
        <v>317.617507963828</v>
      </c>
      <c r="Q41" s="10" t="n">
        <v>0.0031484410491435</v>
      </c>
      <c r="R41" s="9" t="n">
        <v>81</v>
      </c>
      <c r="S41" s="12" t="n">
        <f aca="false">IF(AND(ISNUMBER(R41),R41&gt;1,P41&gt;0),R41/P41-1,"")</f>
        <v>-0.744976275019371</v>
      </c>
      <c r="T41" s="9" t="n">
        <f aca="false">IF(AND(ISNUMBER(P41),P41&gt;0),P41*EXP('Read me'!$B$22),"")</f>
        <v>387.93890026698</v>
      </c>
    </row>
    <row r="42" customFormat="false" ht="15" hidden="false" customHeight="false" outlineLevel="0" collapsed="false">
      <c r="A42" s="15" t="s">
        <v>117</v>
      </c>
      <c r="B42" s="15" t="s">
        <v>56</v>
      </c>
      <c r="C42" s="15" t="s">
        <v>118</v>
      </c>
      <c r="D42" s="15"/>
      <c r="E42" s="16" t="n">
        <v>20</v>
      </c>
      <c r="F42" s="15" t="s">
        <v>357</v>
      </c>
      <c r="G42" s="8" t="n">
        <v>15</v>
      </c>
      <c r="H42" s="15" t="s">
        <v>592</v>
      </c>
      <c r="I42" s="15" t="s">
        <v>593</v>
      </c>
      <c r="J42" s="15" t="s">
        <v>588</v>
      </c>
      <c r="K42" s="8" t="n">
        <v>14</v>
      </c>
      <c r="L42" s="8" t="n">
        <v>0</v>
      </c>
      <c r="M42" s="8" t="n">
        <v>4</v>
      </c>
      <c r="N42" s="8" t="n">
        <v>24</v>
      </c>
      <c r="O42" s="8" t="n">
        <v>12</v>
      </c>
      <c r="P42" s="9" t="n">
        <v>481.328934689963</v>
      </c>
      <c r="Q42" s="10" t="n">
        <v>0.0020775813127547</v>
      </c>
      <c r="R42" s="9" t="n">
        <v>126</v>
      </c>
      <c r="S42" s="12" t="n">
        <f aca="false">IF(AND(ISNUMBER(R42),R42&gt;1,P42&gt;0),R42/P42-1,"")</f>
        <v>-0.738224754592906</v>
      </c>
      <c r="T42" s="9" t="n">
        <f aca="false">IF(AND(ISNUMBER(P42),P42&gt;0),P42*EXP('Read me'!$B$22),"")</f>
        <v>587.896488412617</v>
      </c>
    </row>
    <row r="43" customFormat="false" ht="15" hidden="false" customHeight="false" outlineLevel="0" collapsed="false">
      <c r="A43" s="15" t="s">
        <v>117</v>
      </c>
      <c r="B43" s="15" t="s">
        <v>56</v>
      </c>
      <c r="C43" s="15" t="s">
        <v>118</v>
      </c>
      <c r="D43" s="15"/>
      <c r="E43" s="16" t="n">
        <v>20</v>
      </c>
      <c r="F43" s="15" t="s">
        <v>357</v>
      </c>
      <c r="G43" s="8" t="n">
        <v>15</v>
      </c>
      <c r="H43" s="15" t="s">
        <v>594</v>
      </c>
      <c r="I43" s="15" t="s">
        <v>395</v>
      </c>
      <c r="J43" s="15" t="s">
        <v>595</v>
      </c>
      <c r="K43" s="8" t="n">
        <v>6</v>
      </c>
      <c r="L43" s="8" t="n">
        <v>0</v>
      </c>
      <c r="M43" s="8" t="n">
        <v>5</v>
      </c>
      <c r="N43" s="8" t="n">
        <v>24</v>
      </c>
      <c r="O43" s="8" t="n">
        <v>13</v>
      </c>
      <c r="P43" s="9" t="n">
        <v>495.914615004881</v>
      </c>
      <c r="Q43" s="10" t="n">
        <v>0.002016476162918</v>
      </c>
      <c r="R43" s="9" t="n">
        <v>101</v>
      </c>
      <c r="S43" s="12" t="n">
        <f aca="false">IF(AND(ISNUMBER(R43),R43&gt;1,P43&gt;0),R43/P43-1,"")</f>
        <v>-0.796335907545282</v>
      </c>
      <c r="T43" s="9" t="n">
        <f aca="false">IF(AND(ISNUMBER(P43),P43&gt;0),P43*EXP('Read me'!$B$22),"")</f>
        <v>605.711478578901</v>
      </c>
    </row>
    <row r="44" customFormat="false" ht="15" hidden="false" customHeight="false" outlineLevel="0" collapsed="false">
      <c r="A44" s="15" t="s">
        <v>117</v>
      </c>
      <c r="B44" s="15" t="s">
        <v>56</v>
      </c>
      <c r="C44" s="15" t="s">
        <v>118</v>
      </c>
      <c r="D44" s="15"/>
      <c r="E44" s="16" t="n">
        <v>20</v>
      </c>
      <c r="F44" s="15" t="s">
        <v>357</v>
      </c>
      <c r="G44" s="8" t="n">
        <v>15</v>
      </c>
      <c r="H44" s="15" t="s">
        <v>596</v>
      </c>
      <c r="I44" s="15" t="s">
        <v>597</v>
      </c>
      <c r="J44" s="15" t="s">
        <v>412</v>
      </c>
      <c r="K44" s="8" t="n">
        <v>16</v>
      </c>
      <c r="L44" s="8" t="n">
        <v>0</v>
      </c>
      <c r="M44" s="8" t="n">
        <v>4</v>
      </c>
      <c r="N44" s="8" t="n">
        <v>120</v>
      </c>
      <c r="O44" s="8" t="n">
        <v>14</v>
      </c>
      <c r="P44" s="9" t="n">
        <v>665.923669381994</v>
      </c>
      <c r="Q44" s="10" t="n">
        <v>0.001501673609121</v>
      </c>
      <c r="R44" s="9" t="n">
        <v>301</v>
      </c>
      <c r="S44" s="12" t="n">
        <f aca="false">IF(AND(ISNUMBER(R44),R44&gt;1,P44&gt;0),R44/P44-1,"")</f>
        <v>-0.54799624365456</v>
      </c>
      <c r="T44" s="9" t="n">
        <f aca="false">IF(AND(ISNUMBER(P44),P44&gt;0),P44*EXP('Read me'!$B$22),"")</f>
        <v>813.361006507309</v>
      </c>
    </row>
    <row r="45" customFormat="false" ht="15" hidden="false" customHeight="false" outlineLevel="0" collapsed="false">
      <c r="A45" s="15" t="s">
        <v>117</v>
      </c>
      <c r="B45" s="15" t="s">
        <v>56</v>
      </c>
      <c r="C45" s="15" t="s">
        <v>118</v>
      </c>
      <c r="D45" s="15"/>
      <c r="E45" s="16" t="n">
        <v>20</v>
      </c>
      <c r="F45" s="15" t="s">
        <v>357</v>
      </c>
      <c r="G45" s="8" t="n">
        <v>15</v>
      </c>
      <c r="H45" s="15" t="s">
        <v>598</v>
      </c>
      <c r="I45" s="15" t="s">
        <v>599</v>
      </c>
      <c r="J45" s="15" t="s">
        <v>476</v>
      </c>
      <c r="K45" s="8" t="n">
        <v>5</v>
      </c>
      <c r="L45" s="8" t="n">
        <v>0</v>
      </c>
      <c r="M45" s="8" t="n">
        <v>6</v>
      </c>
      <c r="N45" s="8" t="n">
        <v>35</v>
      </c>
      <c r="O45" s="8" t="n">
        <v>15</v>
      </c>
      <c r="P45" s="9" t="n">
        <v>887.318500362312</v>
      </c>
      <c r="Q45" s="10" t="n">
        <v>0.0011269910405245</v>
      </c>
      <c r="R45" s="9" t="n">
        <v>301</v>
      </c>
      <c r="S45" s="12" t="n">
        <f aca="false">IF(AND(ISNUMBER(R45),R45&gt;1,P45&gt;0),R45/P45-1,"")</f>
        <v>-0.660775696802112</v>
      </c>
      <c r="T45" s="9" t="n">
        <f aca="false">IF(AND(ISNUMBER(P45),P45&gt;0),P45*EXP('Read me'!$B$22),"")</f>
        <v>1083.77326370907</v>
      </c>
    </row>
    <row r="46" customFormat="false" ht="15" hidden="false" customHeight="false" outlineLevel="0" collapsed="false">
      <c r="A46" s="15" t="s">
        <v>147</v>
      </c>
      <c r="B46" s="15" t="s">
        <v>56</v>
      </c>
      <c r="C46" s="15" t="s">
        <v>148</v>
      </c>
      <c r="D46" s="15"/>
      <c r="E46" s="16" t="n">
        <v>20</v>
      </c>
      <c r="F46" s="15" t="s">
        <v>357</v>
      </c>
      <c r="G46" s="8" t="n">
        <v>16</v>
      </c>
      <c r="H46" s="15" t="s">
        <v>149</v>
      </c>
      <c r="I46" s="15" t="s">
        <v>150</v>
      </c>
      <c r="J46" s="15" t="s">
        <v>151</v>
      </c>
      <c r="K46" s="8" t="n">
        <v>8</v>
      </c>
      <c r="L46" s="8" t="n">
        <v>89</v>
      </c>
      <c r="M46" s="8" t="n">
        <v>7</v>
      </c>
      <c r="N46" s="8" t="n">
        <v>169</v>
      </c>
      <c r="O46" s="8" t="n">
        <v>1</v>
      </c>
      <c r="P46" s="9" t="n">
        <v>4.89371056595047</v>
      </c>
      <c r="Q46" s="10" t="n">
        <v>0.204343919919951</v>
      </c>
      <c r="R46" s="9" t="n">
        <v>3.5</v>
      </c>
      <c r="S46" s="12" t="n">
        <f aca="false">IF(AND(ISNUMBER(R46),R46&gt;1,P46&gt;0),R46/P46-1,"")</f>
        <v>-0.284796280280173</v>
      </c>
      <c r="T46" s="9" t="n">
        <f aca="false">IF(AND(ISNUMBER(P46),P46&gt;0),P46*EXP('Read me'!$B$22),"")</f>
        <v>5.97719158288947</v>
      </c>
    </row>
    <row r="47" customFormat="false" ht="15" hidden="false" customHeight="false" outlineLevel="0" collapsed="false">
      <c r="A47" s="15" t="s">
        <v>147</v>
      </c>
      <c r="B47" s="15" t="s">
        <v>56</v>
      </c>
      <c r="C47" s="15" t="s">
        <v>148</v>
      </c>
      <c r="D47" s="15"/>
      <c r="E47" s="16" t="n">
        <v>20</v>
      </c>
      <c r="F47" s="15" t="s">
        <v>357</v>
      </c>
      <c r="G47" s="8" t="n">
        <v>16</v>
      </c>
      <c r="H47" s="15" t="s">
        <v>152</v>
      </c>
      <c r="I47" s="15" t="s">
        <v>391</v>
      </c>
      <c r="J47" s="15" t="s">
        <v>646</v>
      </c>
      <c r="K47" s="8" t="n">
        <v>12</v>
      </c>
      <c r="L47" s="8" t="n">
        <v>84</v>
      </c>
      <c r="M47" s="8" t="n">
        <v>5</v>
      </c>
      <c r="N47" s="8" t="n">
        <v>31</v>
      </c>
      <c r="O47" s="8" t="n">
        <v>2</v>
      </c>
      <c r="P47" s="9" t="n">
        <v>9.3154391185215</v>
      </c>
      <c r="Q47" s="10" t="n">
        <v>0.107348670017256</v>
      </c>
      <c r="R47" s="9" t="n">
        <v>7.5</v>
      </c>
      <c r="S47" s="12" t="n">
        <f aca="false">IF(AND(ISNUMBER(R47),R47&gt;1,P47&gt;0),R47/P47-1,"")</f>
        <v>-0.194884974870582</v>
      </c>
      <c r="T47" s="9" t="n">
        <f aca="false">IF(AND(ISNUMBER(P47),P47&gt;0),P47*EXP('Read me'!$B$22),"")</f>
        <v>11.3779030328353</v>
      </c>
    </row>
    <row r="48" customFormat="false" ht="15" hidden="false" customHeight="false" outlineLevel="0" collapsed="false">
      <c r="A48" s="15" t="s">
        <v>147</v>
      </c>
      <c r="B48" s="15" t="s">
        <v>56</v>
      </c>
      <c r="C48" s="15" t="s">
        <v>148</v>
      </c>
      <c r="D48" s="15"/>
      <c r="E48" s="16" t="n">
        <v>20</v>
      </c>
      <c r="F48" s="15" t="s">
        <v>357</v>
      </c>
      <c r="G48" s="8" t="n">
        <v>16</v>
      </c>
      <c r="H48" s="15" t="s">
        <v>647</v>
      </c>
      <c r="I48" s="15" t="s">
        <v>395</v>
      </c>
      <c r="J48" s="15" t="s">
        <v>648</v>
      </c>
      <c r="K48" s="8" t="n">
        <v>1</v>
      </c>
      <c r="L48" s="8" t="n">
        <v>100</v>
      </c>
      <c r="M48" s="8" t="n">
        <v>5</v>
      </c>
      <c r="N48" s="8" t="n">
        <v>9</v>
      </c>
      <c r="O48" s="8" t="n">
        <v>3</v>
      </c>
      <c r="P48" s="9" t="n">
        <v>10.7121545819056</v>
      </c>
      <c r="Q48" s="10" t="n">
        <v>0.0933519015576145</v>
      </c>
      <c r="R48" s="9" t="n">
        <v>8</v>
      </c>
      <c r="S48" s="12" t="n">
        <f aca="false">IF(AND(ISNUMBER(R48),R48&gt;1,P48&gt;0),R48/P48-1,"")</f>
        <v>-0.253184787539084</v>
      </c>
      <c r="T48" s="9" t="n">
        <f aca="false">IF(AND(ISNUMBER(P48),P48&gt;0),P48*EXP('Read me'!$B$22),"")</f>
        <v>13.0838551521776</v>
      </c>
    </row>
    <row r="49" customFormat="false" ht="15" hidden="false" customHeight="false" outlineLevel="0" collapsed="false">
      <c r="A49" s="15" t="s">
        <v>147</v>
      </c>
      <c r="B49" s="15" t="s">
        <v>56</v>
      </c>
      <c r="C49" s="15" t="s">
        <v>148</v>
      </c>
      <c r="D49" s="15"/>
      <c r="E49" s="16" t="n">
        <v>20</v>
      </c>
      <c r="F49" s="15" t="s">
        <v>357</v>
      </c>
      <c r="G49" s="8" t="n">
        <v>16</v>
      </c>
      <c r="H49" s="15" t="s">
        <v>649</v>
      </c>
      <c r="I49" s="15" t="s">
        <v>409</v>
      </c>
      <c r="J49" s="15" t="s">
        <v>498</v>
      </c>
      <c r="K49" s="8" t="n">
        <v>5</v>
      </c>
      <c r="L49" s="8" t="n">
        <v>94</v>
      </c>
      <c r="M49" s="8" t="n">
        <v>5</v>
      </c>
      <c r="N49" s="8" t="n">
        <v>169</v>
      </c>
      <c r="O49" s="8" t="n">
        <v>4</v>
      </c>
      <c r="P49" s="9" t="n">
        <v>10.947433883555</v>
      </c>
      <c r="Q49" s="10" t="n">
        <v>0.0913456076224567</v>
      </c>
      <c r="R49" s="9" t="n">
        <v>13</v>
      </c>
      <c r="S49" s="12" t="n">
        <f aca="false">IF(AND(ISNUMBER(R49),R49&gt;1,P49&gt;0),R49/P49-1,"")</f>
        <v>0.187492899091938</v>
      </c>
      <c r="T49" s="9" t="n">
        <f aca="false">IF(AND(ISNUMBER(P49),P49&gt;0),P49*EXP('Read me'!$B$22),"")</f>
        <v>13.3712259401501</v>
      </c>
    </row>
    <row r="50" customFormat="false" ht="15" hidden="false" customHeight="false" outlineLevel="0" collapsed="false">
      <c r="A50" s="15" t="s">
        <v>147</v>
      </c>
      <c r="B50" s="15" t="s">
        <v>56</v>
      </c>
      <c r="C50" s="15" t="s">
        <v>148</v>
      </c>
      <c r="D50" s="15"/>
      <c r="E50" s="16" t="n">
        <v>20</v>
      </c>
      <c r="F50" s="15" t="s">
        <v>357</v>
      </c>
      <c r="G50" s="8" t="n">
        <v>16</v>
      </c>
      <c r="H50" s="15" t="s">
        <v>650</v>
      </c>
      <c r="I50" s="15" t="s">
        <v>651</v>
      </c>
      <c r="J50" s="15" t="s">
        <v>652</v>
      </c>
      <c r="K50" s="8" t="n">
        <v>11</v>
      </c>
      <c r="L50" s="8" t="n">
        <v>84</v>
      </c>
      <c r="M50" s="8" t="n">
        <v>6</v>
      </c>
      <c r="N50" s="8" t="n">
        <v>33</v>
      </c>
      <c r="O50" s="8" t="n">
        <v>5</v>
      </c>
      <c r="P50" s="9" t="n">
        <v>11.9310004985268</v>
      </c>
      <c r="Q50" s="10" t="n">
        <v>0.0838152676402519</v>
      </c>
      <c r="R50" s="9" t="n">
        <v>8.5</v>
      </c>
      <c r="S50" s="12" t="n">
        <f aca="false">IF(AND(ISNUMBER(R50),R50&gt;1,P50&gt;0),R50/P50-1,"")</f>
        <v>-0.287570225057859</v>
      </c>
      <c r="T50" s="9" t="n">
        <f aca="false">IF(AND(ISNUMBER(P50),P50&gt;0),P50*EXP('Read me'!$B$22),"")</f>
        <v>14.572556916511</v>
      </c>
    </row>
    <row r="51" customFormat="false" ht="15" hidden="false" customHeight="false" outlineLevel="0" collapsed="false">
      <c r="A51" s="15" t="s">
        <v>147</v>
      </c>
      <c r="B51" s="15" t="s">
        <v>56</v>
      </c>
      <c r="C51" s="15" t="s">
        <v>148</v>
      </c>
      <c r="D51" s="15"/>
      <c r="E51" s="16" t="n">
        <v>20</v>
      </c>
      <c r="F51" s="15" t="s">
        <v>357</v>
      </c>
      <c r="G51" s="8" t="n">
        <v>16</v>
      </c>
      <c r="H51" s="15" t="s">
        <v>653</v>
      </c>
      <c r="I51" s="15" t="s">
        <v>654</v>
      </c>
      <c r="J51" s="15" t="s">
        <v>655</v>
      </c>
      <c r="K51" s="8" t="n">
        <v>14</v>
      </c>
      <c r="L51" s="8" t="n">
        <v>81</v>
      </c>
      <c r="M51" s="8" t="n">
        <v>6</v>
      </c>
      <c r="N51" s="8" t="n">
        <v>31</v>
      </c>
      <c r="O51" s="8" t="n">
        <v>6</v>
      </c>
      <c r="P51" s="9" t="n">
        <v>15.1233656486897</v>
      </c>
      <c r="Q51" s="10" t="n">
        <v>0.0661228474685883</v>
      </c>
      <c r="R51" s="9" t="n">
        <v>11</v>
      </c>
      <c r="S51" s="12" t="n">
        <f aca="false">IF(AND(ISNUMBER(R51),R51&gt;1,P51&gt;0),R51/P51-1,"")</f>
        <v>-0.272648677845528</v>
      </c>
      <c r="T51" s="9" t="n">
        <f aca="false">IF(AND(ISNUMBER(P51),P51&gt;0),P51*EXP('Read me'!$B$22),"")</f>
        <v>18.4717205159744</v>
      </c>
    </row>
    <row r="52" customFormat="false" ht="15" hidden="false" customHeight="false" outlineLevel="0" collapsed="false">
      <c r="A52" s="15" t="s">
        <v>147</v>
      </c>
      <c r="B52" s="15" t="s">
        <v>56</v>
      </c>
      <c r="C52" s="15" t="s">
        <v>148</v>
      </c>
      <c r="D52" s="15"/>
      <c r="E52" s="16" t="n">
        <v>20</v>
      </c>
      <c r="F52" s="15" t="s">
        <v>357</v>
      </c>
      <c r="G52" s="8" t="n">
        <v>16</v>
      </c>
      <c r="H52" s="15" t="s">
        <v>656</v>
      </c>
      <c r="I52" s="15" t="s">
        <v>91</v>
      </c>
      <c r="J52" s="15" t="s">
        <v>417</v>
      </c>
      <c r="K52" s="8" t="n">
        <v>3</v>
      </c>
      <c r="L52" s="8" t="n">
        <v>99</v>
      </c>
      <c r="M52" s="8" t="n">
        <v>6</v>
      </c>
      <c r="N52" s="8" t="n">
        <v>38</v>
      </c>
      <c r="O52" s="8" t="n">
        <v>7</v>
      </c>
      <c r="P52" s="9" t="n">
        <v>15.8641823139274</v>
      </c>
      <c r="Q52" s="10" t="n">
        <v>0.0630350799184958</v>
      </c>
      <c r="R52" s="9" t="n">
        <v>17</v>
      </c>
      <c r="S52" s="12" t="n">
        <f aca="false">IF(AND(ISNUMBER(R52),R52&gt;1,P52&gt;0),R52/P52-1,"")</f>
        <v>0.0715963586144286</v>
      </c>
      <c r="T52" s="9" t="n">
        <f aca="false">IF(AND(ISNUMBER(P52),P52&gt;0),P52*EXP('Read me'!$B$22),"")</f>
        <v>19.3765560341867</v>
      </c>
    </row>
    <row r="53" customFormat="false" ht="15" hidden="false" customHeight="false" outlineLevel="0" collapsed="false">
      <c r="A53" s="15" t="s">
        <v>147</v>
      </c>
      <c r="B53" s="15" t="s">
        <v>56</v>
      </c>
      <c r="C53" s="15" t="s">
        <v>148</v>
      </c>
      <c r="D53" s="15"/>
      <c r="E53" s="16" t="n">
        <v>20</v>
      </c>
      <c r="F53" s="15" t="s">
        <v>357</v>
      </c>
      <c r="G53" s="8" t="n">
        <v>16</v>
      </c>
      <c r="H53" s="15" t="s">
        <v>657</v>
      </c>
      <c r="I53" s="15" t="s">
        <v>405</v>
      </c>
      <c r="J53" s="15" t="s">
        <v>658</v>
      </c>
      <c r="K53" s="8" t="n">
        <v>7</v>
      </c>
      <c r="L53" s="8" t="n">
        <v>90</v>
      </c>
      <c r="M53" s="8" t="n">
        <v>5</v>
      </c>
      <c r="N53" s="8" t="n">
        <v>35</v>
      </c>
      <c r="O53" s="8" t="n">
        <v>8</v>
      </c>
      <c r="P53" s="9" t="n">
        <v>18.0085784405914</v>
      </c>
      <c r="Q53" s="10" t="n">
        <v>0.0555290914993044</v>
      </c>
      <c r="R53" s="9" t="n">
        <v>8</v>
      </c>
      <c r="S53" s="12" t="n">
        <f aca="false">IF(AND(ISNUMBER(R53),R53&gt;1,P53&gt;0),R53/P53-1,"")</f>
        <v>-0.555767268005564</v>
      </c>
      <c r="T53" s="9" t="n">
        <f aca="false">IF(AND(ISNUMBER(P53),P53&gt;0),P53*EXP('Read me'!$B$22),"")</f>
        <v>21.9957273778821</v>
      </c>
    </row>
    <row r="54" customFormat="false" ht="15" hidden="false" customHeight="false" outlineLevel="0" collapsed="false">
      <c r="A54" s="15" t="s">
        <v>147</v>
      </c>
      <c r="B54" s="15" t="s">
        <v>56</v>
      </c>
      <c r="C54" s="15" t="s">
        <v>148</v>
      </c>
      <c r="D54" s="15"/>
      <c r="E54" s="16" t="n">
        <v>20</v>
      </c>
      <c r="F54" s="15" t="s">
        <v>357</v>
      </c>
      <c r="G54" s="8" t="n">
        <v>16</v>
      </c>
      <c r="H54" s="15" t="s">
        <v>659</v>
      </c>
      <c r="I54" s="15" t="s">
        <v>478</v>
      </c>
      <c r="J54" s="15" t="s">
        <v>660</v>
      </c>
      <c r="K54" s="8" t="n">
        <v>13</v>
      </c>
      <c r="L54" s="8" t="n">
        <v>83</v>
      </c>
      <c r="M54" s="8" t="n">
        <v>5</v>
      </c>
      <c r="N54" s="8" t="n">
        <v>40</v>
      </c>
      <c r="O54" s="8" t="n">
        <v>9</v>
      </c>
      <c r="P54" s="9" t="n">
        <v>18.4031592812494</v>
      </c>
      <c r="Q54" s="10" t="n">
        <v>0.0543384961634756</v>
      </c>
      <c r="R54" s="9" t="n">
        <v>11</v>
      </c>
      <c r="S54" s="12" t="n">
        <f aca="false">IF(AND(ISNUMBER(R54),R54&gt;1,P54&gt;0),R54/P54-1,"")</f>
        <v>-0.402276542201768</v>
      </c>
      <c r="T54" s="9" t="n">
        <f aca="false">IF(AND(ISNUMBER(P54),P54&gt;0),P54*EXP('Read me'!$B$22),"")</f>
        <v>22.4776695049789</v>
      </c>
    </row>
    <row r="55" customFormat="false" ht="15" hidden="false" customHeight="false" outlineLevel="0" collapsed="false">
      <c r="A55" s="15" t="s">
        <v>147</v>
      </c>
      <c r="B55" s="15" t="s">
        <v>56</v>
      </c>
      <c r="C55" s="15" t="s">
        <v>148</v>
      </c>
      <c r="D55" s="15"/>
      <c r="E55" s="16" t="n">
        <v>20</v>
      </c>
      <c r="F55" s="15" t="s">
        <v>357</v>
      </c>
      <c r="G55" s="8" t="n">
        <v>16</v>
      </c>
      <c r="H55" s="15" t="s">
        <v>661</v>
      </c>
      <c r="I55" s="15" t="s">
        <v>486</v>
      </c>
      <c r="J55" s="15" t="s">
        <v>662</v>
      </c>
      <c r="K55" s="8" t="n">
        <v>4</v>
      </c>
      <c r="L55" s="8" t="n">
        <v>95</v>
      </c>
      <c r="M55" s="8" t="n">
        <v>6</v>
      </c>
      <c r="N55" s="8" t="n">
        <v>49</v>
      </c>
      <c r="O55" s="8" t="n">
        <v>10</v>
      </c>
      <c r="P55" s="9" t="n">
        <v>20.7757496183802</v>
      </c>
      <c r="Q55" s="10" t="n">
        <v>0.0481330406059237</v>
      </c>
      <c r="R55" s="9" t="n">
        <v>12</v>
      </c>
      <c r="S55" s="12" t="n">
        <f aca="false">IF(AND(ISNUMBER(R55),R55&gt;1,P55&gt;0),R55/P55-1,"")</f>
        <v>-0.422403512728915</v>
      </c>
      <c r="T55" s="9" t="n">
        <f aca="false">IF(AND(ISNUMBER(P55),P55&gt;0),P55*EXP('Read me'!$B$22),"")</f>
        <v>25.3755578867347</v>
      </c>
    </row>
    <row r="56" customFormat="false" ht="15" hidden="false" customHeight="false" outlineLevel="0" collapsed="false">
      <c r="A56" s="15" t="s">
        <v>147</v>
      </c>
      <c r="B56" s="15" t="s">
        <v>56</v>
      </c>
      <c r="C56" s="15" t="s">
        <v>148</v>
      </c>
      <c r="D56" s="15"/>
      <c r="E56" s="16" t="n">
        <v>20</v>
      </c>
      <c r="F56" s="15" t="s">
        <v>357</v>
      </c>
      <c r="G56" s="8" t="n">
        <v>16</v>
      </c>
      <c r="H56" s="15" t="s">
        <v>663</v>
      </c>
      <c r="I56" s="15" t="s">
        <v>664</v>
      </c>
      <c r="J56" s="15" t="s">
        <v>665</v>
      </c>
      <c r="K56" s="8" t="n">
        <v>6</v>
      </c>
      <c r="L56" s="8" t="n">
        <v>91</v>
      </c>
      <c r="M56" s="8" t="n">
        <v>11</v>
      </c>
      <c r="N56" s="8" t="n">
        <v>17</v>
      </c>
      <c r="O56" s="8" t="n">
        <v>11</v>
      </c>
      <c r="P56" s="9" t="n">
        <v>23.7228735020308</v>
      </c>
      <c r="Q56" s="10" t="n">
        <v>0.0421534094474008</v>
      </c>
      <c r="R56" s="9" t="n">
        <v>26</v>
      </c>
      <c r="S56" s="12" t="n">
        <f aca="false">IF(AND(ISNUMBER(R56),R56&gt;1,P56&gt;0),R56/P56-1,"")</f>
        <v>0.095988645632421</v>
      </c>
      <c r="T56" s="9" t="n">
        <f aca="false">IF(AND(ISNUMBER(P56),P56&gt;0),P56*EXP('Read me'!$B$22),"")</f>
        <v>28.9751831268652</v>
      </c>
    </row>
    <row r="57" customFormat="false" ht="15" hidden="false" customHeight="false" outlineLevel="0" collapsed="false">
      <c r="A57" s="15" t="s">
        <v>147</v>
      </c>
      <c r="B57" s="15" t="s">
        <v>56</v>
      </c>
      <c r="C57" s="15" t="s">
        <v>148</v>
      </c>
      <c r="D57" s="15"/>
      <c r="E57" s="16" t="n">
        <v>20</v>
      </c>
      <c r="F57" s="15" t="s">
        <v>357</v>
      </c>
      <c r="G57" s="8" t="n">
        <v>16</v>
      </c>
      <c r="H57" s="15" t="s">
        <v>666</v>
      </c>
      <c r="I57" s="15" t="s">
        <v>398</v>
      </c>
      <c r="J57" s="15" t="s">
        <v>667</v>
      </c>
      <c r="K57" s="8" t="n">
        <v>15</v>
      </c>
      <c r="L57" s="8" t="n">
        <v>72</v>
      </c>
      <c r="M57" s="8" t="n">
        <v>7</v>
      </c>
      <c r="N57" s="8" t="n">
        <v>137</v>
      </c>
      <c r="O57" s="8" t="n">
        <v>12</v>
      </c>
      <c r="P57" s="9" t="n">
        <v>32.7058174619013</v>
      </c>
      <c r="Q57" s="10" t="n">
        <v>0.0305756002327381</v>
      </c>
      <c r="R57" s="9" t="n">
        <v>29</v>
      </c>
      <c r="S57" s="12" t="n">
        <f aca="false">IF(AND(ISNUMBER(R57),R57&gt;1,P57&gt;0),R57/P57-1,"")</f>
        <v>-0.113307593250594</v>
      </c>
      <c r="T57" s="9" t="n">
        <f aca="false">IF(AND(ISNUMBER(P57),P57&gt;0),P57*EXP('Read me'!$B$22),"")</f>
        <v>39.9469756558493</v>
      </c>
    </row>
    <row r="58" customFormat="false" ht="15" hidden="false" customHeight="false" outlineLevel="0" collapsed="false">
      <c r="A58" s="15" t="s">
        <v>147</v>
      </c>
      <c r="B58" s="15" t="s">
        <v>56</v>
      </c>
      <c r="C58" s="15" t="s">
        <v>148</v>
      </c>
      <c r="D58" s="15"/>
      <c r="E58" s="16" t="n">
        <v>20</v>
      </c>
      <c r="F58" s="15" t="s">
        <v>357</v>
      </c>
      <c r="G58" s="8" t="n">
        <v>16</v>
      </c>
      <c r="H58" s="15" t="s">
        <v>668</v>
      </c>
      <c r="I58" s="15" t="s">
        <v>669</v>
      </c>
      <c r="J58" s="15" t="s">
        <v>670</v>
      </c>
      <c r="K58" s="8" t="n">
        <v>2</v>
      </c>
      <c r="L58" s="8" t="n">
        <v>99</v>
      </c>
      <c r="M58" s="8" t="n">
        <v>10</v>
      </c>
      <c r="N58" s="8" t="n">
        <v>55</v>
      </c>
      <c r="O58" s="8" t="n">
        <v>13</v>
      </c>
      <c r="P58" s="9" t="n">
        <v>50.8295485612206</v>
      </c>
      <c r="Q58" s="10" t="n">
        <v>0.019673595935946</v>
      </c>
      <c r="R58" s="9" t="n">
        <v>34</v>
      </c>
      <c r="S58" s="12" t="n">
        <f aca="false">IF(AND(ISNUMBER(R58),R58&gt;1,P58&gt;0),R58/P58-1,"")</f>
        <v>-0.331097738177835</v>
      </c>
      <c r="T58" s="9" t="n">
        <f aca="false">IF(AND(ISNUMBER(P58),P58&gt;0),P58*EXP('Read me'!$B$22),"")</f>
        <v>62.0833508087111</v>
      </c>
    </row>
    <row r="59" customFormat="false" ht="15" hidden="false" customHeight="false" outlineLevel="0" collapsed="false">
      <c r="A59" s="15" t="s">
        <v>147</v>
      </c>
      <c r="B59" s="15" t="s">
        <v>56</v>
      </c>
      <c r="C59" s="15" t="s">
        <v>148</v>
      </c>
      <c r="D59" s="15"/>
      <c r="E59" s="16" t="n">
        <v>20</v>
      </c>
      <c r="F59" s="15" t="s">
        <v>357</v>
      </c>
      <c r="G59" s="8" t="n">
        <v>16</v>
      </c>
      <c r="H59" s="15" t="s">
        <v>671</v>
      </c>
      <c r="I59" s="15" t="s">
        <v>672</v>
      </c>
      <c r="J59" s="15" t="s">
        <v>673</v>
      </c>
      <c r="K59" s="8" t="n">
        <v>16</v>
      </c>
      <c r="L59" s="8" t="n">
        <v>72</v>
      </c>
      <c r="M59" s="8" t="n">
        <v>9</v>
      </c>
      <c r="N59" s="8" t="n">
        <v>40</v>
      </c>
      <c r="O59" s="8" t="n">
        <v>14</v>
      </c>
      <c r="P59" s="9" t="n">
        <v>53.4346583066642</v>
      </c>
      <c r="Q59" s="10" t="n">
        <v>0.0187144454870647</v>
      </c>
      <c r="R59" s="9" t="n">
        <v>19</v>
      </c>
      <c r="S59" s="12" t="n">
        <f aca="false">IF(AND(ISNUMBER(R59),R59&gt;1,P59&gt;0),R59/P59-1,"")</f>
        <v>-0.644425535745769</v>
      </c>
      <c r="T59" s="9" t="n">
        <f aca="false">IF(AND(ISNUMBER(P59),P59&gt;0),P59*EXP('Read me'!$B$22),"")</f>
        <v>65.2652390371058</v>
      </c>
    </row>
    <row r="60" customFormat="false" ht="15" hidden="false" customHeight="false" outlineLevel="0" collapsed="false">
      <c r="A60" s="15" t="s">
        <v>147</v>
      </c>
      <c r="B60" s="15" t="s">
        <v>56</v>
      </c>
      <c r="C60" s="15" t="s">
        <v>148</v>
      </c>
      <c r="D60" s="15"/>
      <c r="E60" s="16" t="n">
        <v>20</v>
      </c>
      <c r="F60" s="15" t="s">
        <v>357</v>
      </c>
      <c r="G60" s="8" t="n">
        <v>16</v>
      </c>
      <c r="H60" s="15" t="s">
        <v>674</v>
      </c>
      <c r="I60" s="15" t="s">
        <v>495</v>
      </c>
      <c r="J60" s="15" t="s">
        <v>496</v>
      </c>
      <c r="K60" s="8" t="n">
        <v>9</v>
      </c>
      <c r="L60" s="8" t="n">
        <v>89</v>
      </c>
      <c r="M60" s="8" t="n">
        <v>9</v>
      </c>
      <c r="N60" s="8" t="n">
        <v>731</v>
      </c>
      <c r="O60" s="8" t="n">
        <v>15</v>
      </c>
      <c r="P60" s="9" t="n">
        <v>66.5806777813867</v>
      </c>
      <c r="Q60" s="10" t="n">
        <v>0.0150193724864657</v>
      </c>
      <c r="R60" s="9" t="n">
        <v>34</v>
      </c>
      <c r="S60" s="12" t="n">
        <f aca="false">IF(AND(ISNUMBER(R60),R60&gt;1,P60&gt;0),R60/P60-1,"")</f>
        <v>-0.489341335460165</v>
      </c>
      <c r="T60" s="9" t="n">
        <f aca="false">IF(AND(ISNUMBER(P60),P60&gt;0),P60*EXP('Read me'!$B$22),"")</f>
        <v>81.3218234823592</v>
      </c>
    </row>
    <row r="61" customFormat="false" ht="15" hidden="false" customHeight="false" outlineLevel="0" collapsed="false">
      <c r="A61" s="15" t="s">
        <v>147</v>
      </c>
      <c r="B61" s="15" t="s">
        <v>56</v>
      </c>
      <c r="C61" s="15" t="s">
        <v>148</v>
      </c>
      <c r="D61" s="15"/>
      <c r="E61" s="16" t="n">
        <v>20</v>
      </c>
      <c r="F61" s="15" t="s">
        <v>357</v>
      </c>
      <c r="G61" s="8" t="n">
        <v>16</v>
      </c>
      <c r="H61" s="15" t="s">
        <v>675</v>
      </c>
      <c r="I61" s="15" t="s">
        <v>676</v>
      </c>
      <c r="J61" s="15" t="s">
        <v>677</v>
      </c>
      <c r="K61" s="8" t="n">
        <v>10</v>
      </c>
      <c r="L61" s="8" t="n">
        <v>86</v>
      </c>
      <c r="M61" s="8" t="n">
        <v>8</v>
      </c>
      <c r="N61" s="8" t="n">
        <v>639</v>
      </c>
      <c r="O61" s="8" t="n">
        <v>16</v>
      </c>
      <c r="P61" s="9" t="n">
        <v>153.854343700646</v>
      </c>
      <c r="Q61" s="10" t="n">
        <v>0.0064996539970668</v>
      </c>
      <c r="R61" s="9" t="n">
        <v>29</v>
      </c>
      <c r="S61" s="12" t="n">
        <f aca="false">IF(AND(ISNUMBER(R61),R61&gt;1,P61&gt;0),R61/P61-1,"")</f>
        <v>-0.811510034085061</v>
      </c>
      <c r="T61" s="9" t="n">
        <f aca="false">IF(AND(ISNUMBER(P61),P61&gt;0),P61*EXP('Read me'!$B$22),"")</f>
        <v>187.918119750892</v>
      </c>
    </row>
    <row r="62" customFormat="false" ht="15" hidden="false" customHeight="false" outlineLevel="0" collapsed="false">
      <c r="A62" s="15" t="s">
        <v>173</v>
      </c>
      <c r="B62" s="15" t="s">
        <v>56</v>
      </c>
      <c r="C62" s="15" t="s">
        <v>174</v>
      </c>
      <c r="D62" s="15"/>
      <c r="E62" s="16" t="n">
        <v>24</v>
      </c>
      <c r="F62" s="15" t="s">
        <v>357</v>
      </c>
      <c r="G62" s="8" t="n">
        <v>11</v>
      </c>
      <c r="H62" s="15" t="s">
        <v>175</v>
      </c>
      <c r="I62" s="15" t="s">
        <v>150</v>
      </c>
      <c r="J62" s="15" t="s">
        <v>176</v>
      </c>
      <c r="K62" s="8" t="n">
        <v>8</v>
      </c>
      <c r="L62" s="8" t="n">
        <v>101</v>
      </c>
      <c r="M62" s="8" t="n">
        <v>6</v>
      </c>
      <c r="N62" s="8" t="n">
        <v>24</v>
      </c>
      <c r="O62" s="8" t="n">
        <v>1</v>
      </c>
      <c r="P62" s="9" t="n">
        <v>4.58043095111302</v>
      </c>
      <c r="Q62" s="10" t="n">
        <v>0.218320068716898</v>
      </c>
      <c r="R62" s="9" t="n">
        <v>5.5</v>
      </c>
      <c r="S62" s="12" t="n">
        <f aca="false">IF(AND(ISNUMBER(R62),R62&gt;1,P62&gt;0),R62/P62-1,"")</f>
        <v>0.200760377942939</v>
      </c>
      <c r="T62" s="9" t="n">
        <f aca="false">IF(AND(ISNUMBER(P62),P62&gt;0),P62*EXP('Read me'!$B$22),"")</f>
        <v>5.59455099725165</v>
      </c>
    </row>
    <row r="63" customFormat="false" ht="15" hidden="false" customHeight="false" outlineLevel="0" collapsed="false">
      <c r="A63" s="15" t="s">
        <v>173</v>
      </c>
      <c r="B63" s="15" t="s">
        <v>56</v>
      </c>
      <c r="C63" s="15" t="s">
        <v>174</v>
      </c>
      <c r="D63" s="15"/>
      <c r="E63" s="16" t="n">
        <v>24</v>
      </c>
      <c r="F63" s="15" t="s">
        <v>357</v>
      </c>
      <c r="G63" s="8" t="n">
        <v>11</v>
      </c>
      <c r="H63" s="15" t="s">
        <v>177</v>
      </c>
      <c r="I63" s="15" t="s">
        <v>91</v>
      </c>
      <c r="J63" s="15" t="s">
        <v>417</v>
      </c>
      <c r="K63" s="8" t="n">
        <v>9</v>
      </c>
      <c r="L63" s="8" t="n">
        <v>101</v>
      </c>
      <c r="M63" s="8" t="n">
        <v>6</v>
      </c>
      <c r="N63" s="8" t="n">
        <v>24</v>
      </c>
      <c r="O63" s="8" t="n">
        <v>2</v>
      </c>
      <c r="P63" s="9" t="n">
        <v>7.95623251761418</v>
      </c>
      <c r="Q63" s="10" t="n">
        <v>0.12568762888542</v>
      </c>
      <c r="R63" s="9" t="n">
        <v>8.5</v>
      </c>
      <c r="S63" s="12" t="n">
        <f aca="false">IF(AND(ISNUMBER(R63),R63&gt;1,P63&gt;0),R63/P63-1,"")</f>
        <v>0.0683448455260687</v>
      </c>
      <c r="T63" s="9" t="n">
        <f aca="false">IF(AND(ISNUMBER(P63),P63&gt;0),P63*EXP('Read me'!$B$22),"")</f>
        <v>9.71776434157759</v>
      </c>
    </row>
    <row r="64" customFormat="false" ht="15" hidden="false" customHeight="false" outlineLevel="0" collapsed="false">
      <c r="A64" s="15" t="s">
        <v>173</v>
      </c>
      <c r="B64" s="15" t="s">
        <v>56</v>
      </c>
      <c r="C64" s="15" t="s">
        <v>174</v>
      </c>
      <c r="D64" s="15"/>
      <c r="E64" s="16" t="n">
        <v>24</v>
      </c>
      <c r="F64" s="15" t="s">
        <v>357</v>
      </c>
      <c r="G64" s="8" t="n">
        <v>11</v>
      </c>
      <c r="H64" s="15" t="s">
        <v>748</v>
      </c>
      <c r="I64" s="15" t="s">
        <v>597</v>
      </c>
      <c r="J64" s="15" t="s">
        <v>749</v>
      </c>
      <c r="K64" s="8" t="n">
        <v>6</v>
      </c>
      <c r="L64" s="8" t="n">
        <v>106</v>
      </c>
      <c r="M64" s="8" t="n">
        <v>5</v>
      </c>
      <c r="N64" s="8" t="n">
        <v>135</v>
      </c>
      <c r="O64" s="8" t="n">
        <v>3</v>
      </c>
      <c r="P64" s="9" t="n">
        <v>8.54476535521238</v>
      </c>
      <c r="Q64" s="10" t="n">
        <v>0.117030715113785</v>
      </c>
      <c r="R64" s="9" t="n">
        <v>6.5</v>
      </c>
      <c r="S64" s="12" t="n">
        <f aca="false">IF(AND(ISNUMBER(R64),R64&gt;1,P64&gt;0),R64/P64-1,"")</f>
        <v>-0.239300351760397</v>
      </c>
      <c r="T64" s="9" t="n">
        <f aca="false">IF(AND(ISNUMBER(P64),P64&gt;0),P64*EXP('Read me'!$B$22),"")</f>
        <v>10.4365999726879</v>
      </c>
    </row>
    <row r="65" customFormat="false" ht="15" hidden="false" customHeight="false" outlineLevel="0" collapsed="false">
      <c r="A65" s="15" t="s">
        <v>173</v>
      </c>
      <c r="B65" s="15" t="s">
        <v>56</v>
      </c>
      <c r="C65" s="15" t="s">
        <v>174</v>
      </c>
      <c r="D65" s="15"/>
      <c r="E65" s="16" t="n">
        <v>24</v>
      </c>
      <c r="F65" s="15" t="s">
        <v>357</v>
      </c>
      <c r="G65" s="8" t="n">
        <v>11</v>
      </c>
      <c r="H65" s="15" t="s">
        <v>750</v>
      </c>
      <c r="I65" s="15" t="s">
        <v>398</v>
      </c>
      <c r="J65" s="15" t="s">
        <v>665</v>
      </c>
      <c r="K65" s="8" t="n">
        <v>11</v>
      </c>
      <c r="L65" s="8" t="n">
        <v>99</v>
      </c>
      <c r="M65" s="8" t="n">
        <v>9</v>
      </c>
      <c r="N65" s="8" t="n">
        <v>5</v>
      </c>
      <c r="O65" s="8" t="n">
        <v>4</v>
      </c>
      <c r="P65" s="9" t="n">
        <v>9.60048900591183</v>
      </c>
      <c r="Q65" s="10" t="n">
        <v>0.104161360883202</v>
      </c>
      <c r="R65" s="9" t="n">
        <v>4.33333333333333</v>
      </c>
      <c r="S65" s="12" t="n">
        <f aca="false">IF(AND(ISNUMBER(R65),R65&gt;1,P65&gt;0),R65/P65-1,"")</f>
        <v>-0.548634102839456</v>
      </c>
      <c r="T65" s="9" t="n">
        <f aca="false">IF(AND(ISNUMBER(P65),P65&gt;0),P65*EXP('Read me'!$B$22),"")</f>
        <v>11.7260637515071</v>
      </c>
    </row>
    <row r="66" customFormat="false" ht="15" hidden="false" customHeight="false" outlineLevel="0" collapsed="false">
      <c r="A66" s="15" t="s">
        <v>173</v>
      </c>
      <c r="B66" s="15" t="s">
        <v>56</v>
      </c>
      <c r="C66" s="15" t="s">
        <v>174</v>
      </c>
      <c r="D66" s="15"/>
      <c r="E66" s="16" t="n">
        <v>24</v>
      </c>
      <c r="F66" s="15" t="s">
        <v>357</v>
      </c>
      <c r="G66" s="8" t="n">
        <v>11</v>
      </c>
      <c r="H66" s="15" t="s">
        <v>751</v>
      </c>
      <c r="I66" s="15" t="s">
        <v>405</v>
      </c>
      <c r="J66" s="15" t="s">
        <v>452</v>
      </c>
      <c r="K66" s="8" t="n">
        <v>3</v>
      </c>
      <c r="L66" s="8" t="n">
        <v>113</v>
      </c>
      <c r="M66" s="8" t="n">
        <v>7</v>
      </c>
      <c r="N66" s="8" t="n">
        <v>24</v>
      </c>
      <c r="O66" s="8" t="n">
        <v>5</v>
      </c>
      <c r="P66" s="9" t="n">
        <v>9.87466859087478</v>
      </c>
      <c r="Q66" s="10" t="n">
        <v>0.101269221422186</v>
      </c>
      <c r="R66" s="9" t="n">
        <v>15</v>
      </c>
      <c r="S66" s="12" t="n">
        <f aca="false">IF(AND(ISNUMBER(R66),R66&gt;1,P66&gt;0),R66/P66-1,"")</f>
        <v>0.519038321332785</v>
      </c>
      <c r="T66" s="9" t="n">
        <f aca="false">IF(AND(ISNUMBER(P66),P66&gt;0),P66*EXP('Read me'!$B$22),"")</f>
        <v>12.0609474528121</v>
      </c>
    </row>
    <row r="67" customFormat="false" ht="15" hidden="false" customHeight="false" outlineLevel="0" collapsed="false">
      <c r="A67" s="15" t="s">
        <v>173</v>
      </c>
      <c r="B67" s="15" t="s">
        <v>56</v>
      </c>
      <c r="C67" s="15" t="s">
        <v>174</v>
      </c>
      <c r="D67" s="15"/>
      <c r="E67" s="16" t="n">
        <v>24</v>
      </c>
      <c r="F67" s="15" t="s">
        <v>357</v>
      </c>
      <c r="G67" s="8" t="n">
        <v>11</v>
      </c>
      <c r="H67" s="15" t="s">
        <v>752</v>
      </c>
      <c r="I67" s="15" t="s">
        <v>664</v>
      </c>
      <c r="J67" s="15" t="s">
        <v>753</v>
      </c>
      <c r="K67" s="8" t="n">
        <v>2</v>
      </c>
      <c r="L67" s="8" t="n">
        <v>116</v>
      </c>
      <c r="M67" s="8" t="n">
        <v>7</v>
      </c>
      <c r="N67" s="8" t="n">
        <v>21</v>
      </c>
      <c r="O67" s="8" t="n">
        <v>6</v>
      </c>
      <c r="P67" s="9" t="n">
        <v>10.1606283130888</v>
      </c>
      <c r="Q67" s="10" t="n">
        <v>0.0984191104315673</v>
      </c>
      <c r="R67" s="9" t="n">
        <v>9.5</v>
      </c>
      <c r="S67" s="12" t="n">
        <f aca="false">IF(AND(ISNUMBER(R67),R67&gt;1,P67&gt;0),R67/P67-1,"")</f>
        <v>-0.0650184509001097</v>
      </c>
      <c r="T67" s="9" t="n">
        <f aca="false">IF(AND(ISNUMBER(P67),P67&gt;0),P67*EXP('Read me'!$B$22),"")</f>
        <v>12.410219446247</v>
      </c>
    </row>
    <row r="68" customFormat="false" ht="15" hidden="false" customHeight="false" outlineLevel="0" collapsed="false">
      <c r="A68" s="15" t="s">
        <v>173</v>
      </c>
      <c r="B68" s="15" t="s">
        <v>56</v>
      </c>
      <c r="C68" s="15" t="s">
        <v>174</v>
      </c>
      <c r="D68" s="15"/>
      <c r="E68" s="16" t="n">
        <v>24</v>
      </c>
      <c r="F68" s="15" t="s">
        <v>357</v>
      </c>
      <c r="G68" s="8" t="n">
        <v>11</v>
      </c>
      <c r="H68" s="15" t="s">
        <v>754</v>
      </c>
      <c r="I68" s="15" t="s">
        <v>755</v>
      </c>
      <c r="J68" s="15" t="s">
        <v>580</v>
      </c>
      <c r="K68" s="8" t="n">
        <v>13</v>
      </c>
      <c r="L68" s="8" t="n">
        <v>94</v>
      </c>
      <c r="M68" s="8" t="n">
        <v>7</v>
      </c>
      <c r="N68" s="8" t="n">
        <v>21</v>
      </c>
      <c r="O68" s="8" t="n">
        <v>7</v>
      </c>
      <c r="P68" s="9" t="n">
        <v>11.3520577247702</v>
      </c>
      <c r="Q68" s="10" t="n">
        <v>0.0880897564340251</v>
      </c>
      <c r="R68" s="9" t="n">
        <v>6</v>
      </c>
      <c r="S68" s="12" t="n">
        <f aca="false">IF(AND(ISNUMBER(R68),R68&gt;1,P68&gt;0),R68/P68-1,"")</f>
        <v>-0.471461461395849</v>
      </c>
      <c r="T68" s="9" t="n">
        <f aca="false">IF(AND(ISNUMBER(P68),P68&gt;0),P68*EXP('Read me'!$B$22),"")</f>
        <v>13.8654346158278</v>
      </c>
    </row>
    <row r="69" customFormat="false" ht="15" hidden="false" customHeight="false" outlineLevel="0" collapsed="false">
      <c r="A69" s="15" t="s">
        <v>173</v>
      </c>
      <c r="B69" s="15" t="s">
        <v>56</v>
      </c>
      <c r="C69" s="15" t="s">
        <v>174</v>
      </c>
      <c r="D69" s="15"/>
      <c r="E69" s="16" t="n">
        <v>24</v>
      </c>
      <c r="F69" s="15" t="s">
        <v>357</v>
      </c>
      <c r="G69" s="8" t="n">
        <v>11</v>
      </c>
      <c r="H69" s="15" t="s">
        <v>756</v>
      </c>
      <c r="I69" s="15" t="s">
        <v>757</v>
      </c>
      <c r="J69" s="15" t="s">
        <v>758</v>
      </c>
      <c r="K69" s="8" t="n">
        <v>1</v>
      </c>
      <c r="L69" s="8" t="n">
        <v>118</v>
      </c>
      <c r="M69" s="8" t="n">
        <v>9</v>
      </c>
      <c r="N69" s="8" t="n">
        <v>73</v>
      </c>
      <c r="O69" s="8" t="n">
        <v>8</v>
      </c>
      <c r="P69" s="9" t="n">
        <v>13.5730941621262</v>
      </c>
      <c r="Q69" s="10" t="n">
        <v>0.0736751685397097</v>
      </c>
      <c r="R69" s="9" t="n">
        <v>9</v>
      </c>
      <c r="S69" s="12" t="n">
        <f aca="false">IF(AND(ISNUMBER(R69),R69&gt;1,P69&gt;0),R69/P69-1,"")</f>
        <v>-0.336923483142612</v>
      </c>
      <c r="T69" s="9" t="n">
        <f aca="false">IF(AND(ISNUMBER(P69),P69&gt;0),P69*EXP('Read me'!$B$22),"")</f>
        <v>16.5782146463887</v>
      </c>
    </row>
    <row r="70" customFormat="false" ht="15" hidden="false" customHeight="false" outlineLevel="0" collapsed="false">
      <c r="A70" s="15" t="s">
        <v>173</v>
      </c>
      <c r="B70" s="15" t="s">
        <v>56</v>
      </c>
      <c r="C70" s="15" t="s">
        <v>174</v>
      </c>
      <c r="D70" s="15"/>
      <c r="E70" s="16" t="n">
        <v>24</v>
      </c>
      <c r="F70" s="15" t="s">
        <v>357</v>
      </c>
      <c r="G70" s="8" t="n">
        <v>11</v>
      </c>
      <c r="H70" s="15" t="s">
        <v>759</v>
      </c>
      <c r="I70" s="15" t="s">
        <v>593</v>
      </c>
      <c r="J70" s="15" t="s">
        <v>760</v>
      </c>
      <c r="K70" s="8" t="n">
        <v>4</v>
      </c>
      <c r="L70" s="8" t="n">
        <v>109</v>
      </c>
      <c r="M70" s="8" t="n">
        <v>10</v>
      </c>
      <c r="N70" s="8" t="n">
        <v>176</v>
      </c>
      <c r="O70" s="8" t="n">
        <v>9</v>
      </c>
      <c r="P70" s="9" t="n">
        <v>28.7733923977084</v>
      </c>
      <c r="Q70" s="10" t="n">
        <v>0.0347543308824316</v>
      </c>
      <c r="R70" s="9" t="n">
        <v>21</v>
      </c>
      <c r="S70" s="12" t="n">
        <f aca="false">IF(AND(ISNUMBER(R70),R70&gt;1,P70&gt;0),R70/P70-1,"")</f>
        <v>-0.270159051468936</v>
      </c>
      <c r="T70" s="9" t="n">
        <f aca="false">IF(AND(ISNUMBER(P70),P70&gt;0),P70*EXP('Read me'!$B$22),"")</f>
        <v>35.1439008361859</v>
      </c>
    </row>
    <row r="71" customFormat="false" ht="15" hidden="false" customHeight="false" outlineLevel="0" collapsed="false">
      <c r="A71" s="15" t="s">
        <v>173</v>
      </c>
      <c r="B71" s="15" t="s">
        <v>56</v>
      </c>
      <c r="C71" s="15" t="s">
        <v>174</v>
      </c>
      <c r="D71" s="15"/>
      <c r="E71" s="16" t="n">
        <v>24</v>
      </c>
      <c r="F71" s="15" t="s">
        <v>357</v>
      </c>
      <c r="G71" s="8" t="n">
        <v>11</v>
      </c>
      <c r="H71" s="15" t="s">
        <v>761</v>
      </c>
      <c r="I71" s="15" t="s">
        <v>484</v>
      </c>
      <c r="J71" s="15" t="s">
        <v>482</v>
      </c>
      <c r="K71" s="8" t="n">
        <v>10</v>
      </c>
      <c r="L71" s="8" t="n">
        <v>100</v>
      </c>
      <c r="M71" s="8" t="n">
        <v>9</v>
      </c>
      <c r="N71" s="8" t="n">
        <v>24</v>
      </c>
      <c r="O71" s="8" t="n">
        <v>10</v>
      </c>
      <c r="P71" s="9" t="n">
        <v>34.2544249047733</v>
      </c>
      <c r="Q71" s="10" t="n">
        <v>0.0291933086828923</v>
      </c>
      <c r="R71" s="9" t="n">
        <v>15</v>
      </c>
      <c r="S71" s="12" t="n">
        <f aca="false">IF(AND(ISNUMBER(R71),R71&gt;1,P71&gt;0),R71/P71-1,"")</f>
        <v>-0.562100369756616</v>
      </c>
      <c r="T71" s="9" t="n">
        <f aca="false">IF(AND(ISNUMBER(P71),P71&gt;0),P71*EXP('Read me'!$B$22),"")</f>
        <v>41.8384490578805</v>
      </c>
    </row>
    <row r="72" customFormat="false" ht="15" hidden="false" customHeight="false" outlineLevel="0" collapsed="false">
      <c r="A72" s="15" t="s">
        <v>173</v>
      </c>
      <c r="B72" s="15" t="s">
        <v>56</v>
      </c>
      <c r="C72" s="15" t="s">
        <v>174</v>
      </c>
      <c r="D72" s="15"/>
      <c r="E72" s="16" t="n">
        <v>24</v>
      </c>
      <c r="F72" s="15" t="s">
        <v>357</v>
      </c>
      <c r="G72" s="8" t="n">
        <v>11</v>
      </c>
      <c r="H72" s="15" t="s">
        <v>762</v>
      </c>
      <c r="I72" s="15" t="s">
        <v>763</v>
      </c>
      <c r="J72" s="15" t="s">
        <v>764</v>
      </c>
      <c r="K72" s="8" t="n">
        <v>12</v>
      </c>
      <c r="L72" s="8" t="n">
        <v>96</v>
      </c>
      <c r="M72" s="8" t="n">
        <v>10</v>
      </c>
      <c r="N72" s="8" t="n">
        <v>111</v>
      </c>
      <c r="O72" s="8" t="n">
        <v>11</v>
      </c>
      <c r="P72" s="9" t="n">
        <v>106.390561791248</v>
      </c>
      <c r="Q72" s="10" t="n">
        <v>0.0093993300078829</v>
      </c>
      <c r="R72" s="9" t="n">
        <v>51</v>
      </c>
      <c r="S72" s="12" t="n">
        <f aca="false">IF(AND(ISNUMBER(R72),R72&gt;1,P72&gt;0),R72/P72-1,"")</f>
        <v>-0.520634169597972</v>
      </c>
      <c r="T72" s="9" t="n">
        <f aca="false">IF(AND(ISNUMBER(P72),P72&gt;0),P72*EXP('Read me'!$B$22),"")</f>
        <v>129.945725614041</v>
      </c>
    </row>
    <row r="73" customFormat="false" ht="15" hidden="false" customHeight="false" outlineLevel="0" collapsed="false">
      <c r="A73" s="15" t="s">
        <v>206</v>
      </c>
      <c r="B73" s="15" t="s">
        <v>56</v>
      </c>
      <c r="C73" s="15" t="s">
        <v>207</v>
      </c>
      <c r="D73" s="15" t="s">
        <v>843</v>
      </c>
      <c r="E73" s="16" t="n">
        <v>16.5</v>
      </c>
      <c r="F73" s="15" t="s">
        <v>844</v>
      </c>
      <c r="G73" s="8" t="n">
        <v>4</v>
      </c>
      <c r="H73" s="15" t="s">
        <v>208</v>
      </c>
      <c r="I73" s="15" t="s">
        <v>209</v>
      </c>
      <c r="J73" s="15" t="s">
        <v>210</v>
      </c>
      <c r="K73" s="8" t="n">
        <v>2</v>
      </c>
      <c r="L73" s="8" t="n">
        <v>133</v>
      </c>
      <c r="M73" s="8" t="n">
        <v>4</v>
      </c>
      <c r="N73" s="8" t="n">
        <v>60</v>
      </c>
      <c r="O73" s="8" t="n">
        <v>1</v>
      </c>
      <c r="P73" s="9" t="n">
        <v>1.86625935497548</v>
      </c>
      <c r="Q73" s="10" t="n">
        <v>0.535831205525632</v>
      </c>
      <c r="R73" s="9" t="n">
        <v>2.5</v>
      </c>
      <c r="S73" s="12" t="n">
        <f aca="false">IF(AND(ISNUMBER(R73),R73&gt;1,P73&gt;0),R73/P73-1,"")</f>
        <v>0.33957801381408</v>
      </c>
      <c r="T73" s="9" t="n">
        <f aca="false">IF(AND(ISNUMBER(P73),P73&gt;0),P73*EXP('Read me'!$B$22),"")</f>
        <v>2.27945432360927</v>
      </c>
    </row>
    <row r="74" customFormat="false" ht="15" hidden="false" customHeight="false" outlineLevel="0" collapsed="false">
      <c r="A74" s="15" t="s">
        <v>206</v>
      </c>
      <c r="B74" s="15" t="s">
        <v>56</v>
      </c>
      <c r="C74" s="15" t="s">
        <v>207</v>
      </c>
      <c r="D74" s="15" t="s">
        <v>843</v>
      </c>
      <c r="E74" s="16" t="n">
        <v>16.5</v>
      </c>
      <c r="F74" s="15" t="s">
        <v>844</v>
      </c>
      <c r="G74" s="8" t="n">
        <v>4</v>
      </c>
      <c r="H74" s="15" t="s">
        <v>211</v>
      </c>
      <c r="I74" s="15" t="s">
        <v>654</v>
      </c>
      <c r="J74" s="15" t="s">
        <v>845</v>
      </c>
      <c r="K74" s="8" t="n">
        <v>4</v>
      </c>
      <c r="L74" s="8" t="n">
        <v>125</v>
      </c>
      <c r="M74" s="8" t="n">
        <v>8</v>
      </c>
      <c r="N74" s="8" t="n">
        <v>31</v>
      </c>
      <c r="O74" s="8" t="n">
        <v>2</v>
      </c>
      <c r="P74" s="9" t="n">
        <v>4.17084581344219</v>
      </c>
      <c r="Q74" s="10" t="n">
        <v>0.239759522343671</v>
      </c>
      <c r="R74" s="9" t="n">
        <v>2.375</v>
      </c>
      <c r="S74" s="12" t="n">
        <f aca="false">IF(AND(ISNUMBER(R74),R74&gt;1,P74&gt;0),R74/P74-1,"")</f>
        <v>-0.430571134433782</v>
      </c>
      <c r="T74" s="9" t="n">
        <f aca="false">IF(AND(ISNUMBER(P74),P74&gt;0),P74*EXP('Read me'!$B$22),"")</f>
        <v>5.09428258039909</v>
      </c>
    </row>
    <row r="75" customFormat="false" ht="15" hidden="false" customHeight="false" outlineLevel="0" collapsed="false">
      <c r="A75" s="15" t="s">
        <v>206</v>
      </c>
      <c r="B75" s="15" t="s">
        <v>56</v>
      </c>
      <c r="C75" s="15" t="s">
        <v>207</v>
      </c>
      <c r="D75" s="15" t="s">
        <v>843</v>
      </c>
      <c r="E75" s="16" t="n">
        <v>16.5</v>
      </c>
      <c r="F75" s="15" t="s">
        <v>844</v>
      </c>
      <c r="G75" s="8" t="n">
        <v>4</v>
      </c>
      <c r="H75" s="15" t="s">
        <v>846</v>
      </c>
      <c r="I75" s="15" t="s">
        <v>574</v>
      </c>
      <c r="J75" s="15" t="s">
        <v>847</v>
      </c>
      <c r="K75" s="8" t="n">
        <v>3</v>
      </c>
      <c r="L75" s="8" t="n">
        <v>112</v>
      </c>
      <c r="M75" s="8" t="n">
        <v>5</v>
      </c>
      <c r="N75" s="8" t="n">
        <v>43</v>
      </c>
      <c r="O75" s="8" t="n">
        <v>3</v>
      </c>
      <c r="P75" s="9" t="n">
        <v>6.4118529113865</v>
      </c>
      <c r="Q75" s="10" t="n">
        <v>0.155961157222454</v>
      </c>
      <c r="R75" s="9" t="n">
        <v>6</v>
      </c>
      <c r="S75" s="12" t="n">
        <f aca="false">IF(AND(ISNUMBER(R75),R75&gt;1,P75&gt;0),R75/P75-1,"")</f>
        <v>-0.0642330566652747</v>
      </c>
      <c r="T75" s="9" t="n">
        <f aca="false">IF(AND(ISNUMBER(P75),P75&gt;0),P75*EXP('Read me'!$B$22),"")</f>
        <v>7.83145483088478</v>
      </c>
    </row>
    <row r="76" customFormat="false" ht="15" hidden="false" customHeight="false" outlineLevel="0" collapsed="false">
      <c r="A76" s="15" t="s">
        <v>206</v>
      </c>
      <c r="B76" s="15" t="s">
        <v>56</v>
      </c>
      <c r="C76" s="15" t="s">
        <v>207</v>
      </c>
      <c r="D76" s="15" t="s">
        <v>843</v>
      </c>
      <c r="E76" s="16" t="n">
        <v>16.5</v>
      </c>
      <c r="F76" s="15" t="s">
        <v>844</v>
      </c>
      <c r="G76" s="8" t="n">
        <v>4</v>
      </c>
      <c r="H76" s="15" t="s">
        <v>848</v>
      </c>
      <c r="I76" s="15" t="s">
        <v>407</v>
      </c>
      <c r="J76" s="15" t="s">
        <v>60</v>
      </c>
      <c r="K76" s="8" t="n">
        <v>5</v>
      </c>
      <c r="L76" s="8" t="n">
        <v>0</v>
      </c>
      <c r="M76" s="8" t="n">
        <v>9</v>
      </c>
      <c r="N76" s="8" t="n">
        <v>43</v>
      </c>
      <c r="O76" s="8" t="n">
        <v>4</v>
      </c>
      <c r="P76" s="9" t="n">
        <v>14.6096061424122</v>
      </c>
      <c r="Q76" s="10" t="n">
        <v>0.0684481149082426</v>
      </c>
      <c r="R76" s="9" t="n">
        <v>8.5</v>
      </c>
      <c r="S76" s="12" t="n">
        <f aca="false">IF(AND(ISNUMBER(R76),R76&gt;1,P76&gt;0),R76/P76-1,"")</f>
        <v>-0.418191023279938</v>
      </c>
      <c r="T76" s="9" t="n">
        <f aca="false">IF(AND(ISNUMBER(P76),P76&gt;0),P76*EXP('Read me'!$B$22),"")</f>
        <v>17.8442132379761</v>
      </c>
    </row>
    <row r="77" customFormat="false" ht="15" hidden="false" customHeight="false" outlineLevel="0" collapsed="false">
      <c r="A77" s="15" t="s">
        <v>240</v>
      </c>
      <c r="B77" s="15" t="s">
        <v>56</v>
      </c>
      <c r="C77" s="15" t="s">
        <v>241</v>
      </c>
      <c r="D77" s="15"/>
      <c r="E77" s="16" t="n">
        <v>21.5</v>
      </c>
      <c r="F77" s="15" t="s">
        <v>844</v>
      </c>
      <c r="G77" s="8" t="n">
        <v>10</v>
      </c>
      <c r="H77" s="15" t="s">
        <v>242</v>
      </c>
      <c r="I77" s="15" t="s">
        <v>243</v>
      </c>
      <c r="J77" s="15" t="s">
        <v>244</v>
      </c>
      <c r="K77" s="8" t="n">
        <v>2</v>
      </c>
      <c r="L77" s="8" t="n">
        <v>112</v>
      </c>
      <c r="M77" s="8" t="n">
        <v>7</v>
      </c>
      <c r="N77" s="8" t="n">
        <v>35</v>
      </c>
      <c r="O77" s="8" t="n">
        <v>1</v>
      </c>
      <c r="P77" s="9" t="n">
        <v>4.10679719677629</v>
      </c>
      <c r="Q77" s="10" t="n">
        <v>0.243498753915818</v>
      </c>
      <c r="R77" s="9" t="n">
        <v>4.33333333333333</v>
      </c>
      <c r="S77" s="12" t="n">
        <f aca="false">IF(AND(ISNUMBER(R77),R77&gt;1,P77&gt;0),R77/P77-1,"")</f>
        <v>0.0551612669685446</v>
      </c>
      <c r="T77" s="9" t="n">
        <f aca="false">IF(AND(ISNUMBER(P77),P77&gt;0),P77*EXP('Read me'!$B$22),"")</f>
        <v>5.01605342334701</v>
      </c>
    </row>
    <row r="78" customFormat="false" ht="15" hidden="false" customHeight="false" outlineLevel="0" collapsed="false">
      <c r="A78" s="15" t="s">
        <v>240</v>
      </c>
      <c r="B78" s="15" t="s">
        <v>56</v>
      </c>
      <c r="C78" s="15" t="s">
        <v>241</v>
      </c>
      <c r="D78" s="15"/>
      <c r="E78" s="16" t="n">
        <v>21.5</v>
      </c>
      <c r="F78" s="15" t="s">
        <v>844</v>
      </c>
      <c r="G78" s="8" t="n">
        <v>10</v>
      </c>
      <c r="H78" s="15" t="s">
        <v>245</v>
      </c>
      <c r="I78" s="15" t="s">
        <v>654</v>
      </c>
      <c r="J78" s="15" t="s">
        <v>538</v>
      </c>
      <c r="K78" s="8" t="n">
        <v>8</v>
      </c>
      <c r="L78" s="8" t="n">
        <v>98</v>
      </c>
      <c r="M78" s="8" t="n">
        <v>6</v>
      </c>
      <c r="N78" s="8" t="n">
        <v>17</v>
      </c>
      <c r="O78" s="8" t="n">
        <v>2</v>
      </c>
      <c r="P78" s="9" t="n">
        <v>5.37718867932138</v>
      </c>
      <c r="Q78" s="10" t="n">
        <v>0.185970785039703</v>
      </c>
      <c r="R78" s="9" t="n">
        <v>4.5</v>
      </c>
      <c r="S78" s="12" t="n">
        <f aca="false">IF(AND(ISNUMBER(R78),R78&gt;1,P78&gt;0),R78/P78-1,"")</f>
        <v>-0.163131467321336</v>
      </c>
      <c r="T78" s="9" t="n">
        <f aca="false">IF(AND(ISNUMBER(P78),P78&gt;0),P78*EXP('Read me'!$B$22),"")</f>
        <v>6.56771308407077</v>
      </c>
    </row>
    <row r="79" customFormat="false" ht="15" hidden="false" customHeight="false" outlineLevel="0" collapsed="false">
      <c r="A79" s="15" t="s">
        <v>240</v>
      </c>
      <c r="B79" s="15" t="s">
        <v>56</v>
      </c>
      <c r="C79" s="15" t="s">
        <v>241</v>
      </c>
      <c r="D79" s="15"/>
      <c r="E79" s="16" t="n">
        <v>21.5</v>
      </c>
      <c r="F79" s="15" t="s">
        <v>844</v>
      </c>
      <c r="G79" s="8" t="n">
        <v>10</v>
      </c>
      <c r="H79" s="15" t="s">
        <v>919</v>
      </c>
      <c r="I79" s="15" t="s">
        <v>91</v>
      </c>
      <c r="J79" s="15" t="s">
        <v>920</v>
      </c>
      <c r="K79" s="8" t="n">
        <v>7</v>
      </c>
      <c r="L79" s="8" t="n">
        <v>100</v>
      </c>
      <c r="M79" s="8" t="n">
        <v>10</v>
      </c>
      <c r="N79" s="8" t="n">
        <v>8</v>
      </c>
      <c r="O79" s="8" t="n">
        <v>3</v>
      </c>
      <c r="P79" s="9" t="n">
        <v>6.91089603021005</v>
      </c>
      <c r="Q79" s="10" t="n">
        <v>0.144699036945229</v>
      </c>
      <c r="R79" s="9" t="n">
        <v>7.5</v>
      </c>
      <c r="S79" s="12" t="n">
        <f aca="false">IF(AND(ISNUMBER(R79),R79&gt;1,P79&gt;0),R79/P79-1,"")</f>
        <v>0.0852427770892177</v>
      </c>
      <c r="T79" s="9" t="n">
        <f aca="false">IF(AND(ISNUMBER(P79),P79&gt;0),P79*EXP('Read me'!$B$22),"")</f>
        <v>8.44098747265672</v>
      </c>
    </row>
    <row r="80" customFormat="false" ht="15" hidden="false" customHeight="false" outlineLevel="0" collapsed="false">
      <c r="A80" s="15" t="s">
        <v>240</v>
      </c>
      <c r="B80" s="15" t="s">
        <v>56</v>
      </c>
      <c r="C80" s="15" t="s">
        <v>241</v>
      </c>
      <c r="D80" s="15"/>
      <c r="E80" s="16" t="n">
        <v>21.5</v>
      </c>
      <c r="F80" s="15" t="s">
        <v>844</v>
      </c>
      <c r="G80" s="8" t="n">
        <v>10</v>
      </c>
      <c r="H80" s="15" t="s">
        <v>921</v>
      </c>
      <c r="I80" s="15" t="s">
        <v>481</v>
      </c>
      <c r="J80" s="15" t="s">
        <v>482</v>
      </c>
      <c r="K80" s="8" t="n">
        <v>10</v>
      </c>
      <c r="L80" s="8" t="n">
        <v>88</v>
      </c>
      <c r="M80" s="8" t="n">
        <v>6</v>
      </c>
      <c r="N80" s="8" t="n">
        <v>50</v>
      </c>
      <c r="O80" s="8" t="n">
        <v>4</v>
      </c>
      <c r="P80" s="9" t="n">
        <v>9.08223963439576</v>
      </c>
      <c r="Q80" s="10" t="n">
        <v>0.110105000556565</v>
      </c>
      <c r="R80" s="9" t="n">
        <v>4</v>
      </c>
      <c r="S80" s="12" t="n">
        <f aca="false">IF(AND(ISNUMBER(R80),R80&gt;1,P80&gt;0),R80/P80-1,"")</f>
        <v>-0.559579997773741</v>
      </c>
      <c r="T80" s="9" t="n">
        <f aca="false">IF(AND(ISNUMBER(P80),P80&gt;0),P80*EXP('Read me'!$B$22),"")</f>
        <v>11.0930725397226</v>
      </c>
    </row>
    <row r="81" customFormat="false" ht="15" hidden="false" customHeight="false" outlineLevel="0" collapsed="false">
      <c r="A81" s="15" t="s">
        <v>240</v>
      </c>
      <c r="B81" s="15" t="s">
        <v>56</v>
      </c>
      <c r="C81" s="15" t="s">
        <v>241</v>
      </c>
      <c r="D81" s="15"/>
      <c r="E81" s="16" t="n">
        <v>21.5</v>
      </c>
      <c r="F81" s="15" t="s">
        <v>844</v>
      </c>
      <c r="G81" s="8" t="n">
        <v>10</v>
      </c>
      <c r="H81" s="15" t="s">
        <v>922</v>
      </c>
      <c r="I81" s="15" t="s">
        <v>150</v>
      </c>
      <c r="J81" s="15" t="s">
        <v>176</v>
      </c>
      <c r="K81" s="8" t="n">
        <v>1</v>
      </c>
      <c r="L81" s="8" t="n">
        <v>116</v>
      </c>
      <c r="M81" s="8" t="n">
        <v>7</v>
      </c>
      <c r="N81" s="8" t="n">
        <v>43</v>
      </c>
      <c r="O81" s="8" t="n">
        <v>5</v>
      </c>
      <c r="P81" s="9" t="n">
        <v>9.16803129912776</v>
      </c>
      <c r="Q81" s="10" t="n">
        <v>0.109074671254137</v>
      </c>
      <c r="R81" s="9" t="n">
        <v>13</v>
      </c>
      <c r="S81" s="12" t="n">
        <f aca="false">IF(AND(ISNUMBER(R81),R81&gt;1,P81&gt;0),R81/P81-1,"")</f>
        <v>0.417970726303783</v>
      </c>
      <c r="T81" s="9" t="n">
        <f aca="false">IF(AND(ISNUMBER(P81),P81&gt;0),P81*EXP('Read me'!$B$22),"")</f>
        <v>11.1978587156534</v>
      </c>
    </row>
    <row r="82" customFormat="false" ht="15" hidden="false" customHeight="false" outlineLevel="0" collapsed="false">
      <c r="A82" s="15" t="s">
        <v>240</v>
      </c>
      <c r="B82" s="15" t="s">
        <v>56</v>
      </c>
      <c r="C82" s="15" t="s">
        <v>241</v>
      </c>
      <c r="D82" s="15"/>
      <c r="E82" s="16" t="n">
        <v>21.5</v>
      </c>
      <c r="F82" s="15" t="s">
        <v>844</v>
      </c>
      <c r="G82" s="8" t="n">
        <v>10</v>
      </c>
      <c r="H82" s="15" t="s">
        <v>923</v>
      </c>
      <c r="I82" s="15" t="s">
        <v>398</v>
      </c>
      <c r="J82" s="15" t="s">
        <v>468</v>
      </c>
      <c r="K82" s="8" t="n">
        <v>9</v>
      </c>
      <c r="L82" s="8" t="n">
        <v>97</v>
      </c>
      <c r="M82" s="8" t="n">
        <v>7</v>
      </c>
      <c r="N82" s="8" t="n">
        <v>39</v>
      </c>
      <c r="O82" s="8" t="n">
        <v>6</v>
      </c>
      <c r="P82" s="9" t="n">
        <v>13.3131558157724</v>
      </c>
      <c r="Q82" s="10" t="n">
        <v>0.0751136705555022</v>
      </c>
      <c r="R82" s="9" t="n">
        <v>10</v>
      </c>
      <c r="S82" s="12" t="n">
        <f aca="false">IF(AND(ISNUMBER(R82),R82&gt;1,P82&gt;0),R82/P82-1,"")</f>
        <v>-0.248863294444977</v>
      </c>
      <c r="T82" s="9" t="n">
        <f aca="false">IF(AND(ISNUMBER(P82),P82&gt;0),P82*EXP('Read me'!$B$22),"")</f>
        <v>16.2607252332006</v>
      </c>
    </row>
    <row r="83" customFormat="false" ht="15" hidden="false" customHeight="false" outlineLevel="0" collapsed="false">
      <c r="A83" s="15" t="s">
        <v>240</v>
      </c>
      <c r="B83" s="15" t="s">
        <v>56</v>
      </c>
      <c r="C83" s="15" t="s">
        <v>241</v>
      </c>
      <c r="D83" s="15"/>
      <c r="E83" s="16" t="n">
        <v>21.5</v>
      </c>
      <c r="F83" s="15" t="s">
        <v>844</v>
      </c>
      <c r="G83" s="8" t="n">
        <v>10</v>
      </c>
      <c r="H83" s="15" t="s">
        <v>924</v>
      </c>
      <c r="I83" s="15" t="s">
        <v>757</v>
      </c>
      <c r="J83" s="15" t="s">
        <v>665</v>
      </c>
      <c r="K83" s="8" t="n">
        <v>6</v>
      </c>
      <c r="L83" s="8" t="n">
        <v>102</v>
      </c>
      <c r="M83" s="8" t="n">
        <v>7</v>
      </c>
      <c r="N83" s="8" t="n">
        <v>17</v>
      </c>
      <c r="O83" s="8" t="n">
        <v>7</v>
      </c>
      <c r="P83" s="9" t="n">
        <v>21.3709416083969</v>
      </c>
      <c r="Q83" s="10" t="n">
        <v>0.0467925100505206</v>
      </c>
      <c r="R83" s="9" t="n">
        <v>8.5</v>
      </c>
      <c r="S83" s="12" t="n">
        <f aca="false">IF(AND(ISNUMBER(R83),R83&gt;1,P83&gt;0),R83/P83-1,"")</f>
        <v>-0.602263664570574</v>
      </c>
      <c r="T83" s="9" t="n">
        <f aca="false">IF(AND(ISNUMBER(P83),P83&gt;0),P83*EXP('Read me'!$B$22),"")</f>
        <v>26.1025270249759</v>
      </c>
    </row>
    <row r="84" customFormat="false" ht="15" hidden="false" customHeight="false" outlineLevel="0" collapsed="false">
      <c r="A84" s="15" t="s">
        <v>240</v>
      </c>
      <c r="B84" s="15" t="s">
        <v>56</v>
      </c>
      <c r="C84" s="15" t="s">
        <v>241</v>
      </c>
      <c r="D84" s="15"/>
      <c r="E84" s="16" t="n">
        <v>21.5</v>
      </c>
      <c r="F84" s="15" t="s">
        <v>844</v>
      </c>
      <c r="G84" s="8" t="n">
        <v>10</v>
      </c>
      <c r="H84" s="15" t="s">
        <v>925</v>
      </c>
      <c r="I84" s="15" t="s">
        <v>391</v>
      </c>
      <c r="J84" s="15" t="s">
        <v>926</v>
      </c>
      <c r="K84" s="8" t="n">
        <v>4</v>
      </c>
      <c r="L84" s="8" t="n">
        <v>110</v>
      </c>
      <c r="M84" s="8" t="n">
        <v>8</v>
      </c>
      <c r="N84" s="8" t="n">
        <v>8</v>
      </c>
      <c r="O84" s="8" t="n">
        <v>8</v>
      </c>
      <c r="P84" s="9" t="n">
        <v>24.1450236574205</v>
      </c>
      <c r="Q84" s="10" t="n">
        <v>0.0414164017475572</v>
      </c>
      <c r="R84" s="9" t="n">
        <v>26</v>
      </c>
      <c r="S84" s="12" t="n">
        <f aca="false">IF(AND(ISNUMBER(R84),R84&gt;1,P84&gt;0),R84/P84-1,"")</f>
        <v>0.0768264454364878</v>
      </c>
      <c r="T84" s="9" t="n">
        <f aca="false">IF(AND(ISNUMBER(P84),P84&gt;0),P84*EXP('Read me'!$B$22),"")</f>
        <v>29.4907984910159</v>
      </c>
    </row>
    <row r="85" customFormat="false" ht="15" hidden="false" customHeight="false" outlineLevel="0" collapsed="false">
      <c r="A85" s="15" t="s">
        <v>240</v>
      </c>
      <c r="B85" s="15" t="s">
        <v>56</v>
      </c>
      <c r="C85" s="15" t="s">
        <v>241</v>
      </c>
      <c r="D85" s="15"/>
      <c r="E85" s="16" t="n">
        <v>21.5</v>
      </c>
      <c r="F85" s="15" t="s">
        <v>844</v>
      </c>
      <c r="G85" s="8" t="n">
        <v>10</v>
      </c>
      <c r="H85" s="15" t="s">
        <v>927</v>
      </c>
      <c r="I85" s="15" t="s">
        <v>405</v>
      </c>
      <c r="J85" s="15" t="s">
        <v>60</v>
      </c>
      <c r="K85" s="8" t="n">
        <v>5</v>
      </c>
      <c r="L85" s="8" t="n">
        <v>110</v>
      </c>
      <c r="M85" s="8" t="n">
        <v>7</v>
      </c>
      <c r="N85" s="8" t="n">
        <v>113</v>
      </c>
      <c r="O85" s="8" t="n">
        <v>9</v>
      </c>
      <c r="P85" s="9" t="n">
        <v>40.8590399351295</v>
      </c>
      <c r="Q85" s="10" t="n">
        <v>0.0244743880812585</v>
      </c>
      <c r="R85" s="9" t="n">
        <v>29</v>
      </c>
      <c r="S85" s="12" t="n">
        <f aca="false">IF(AND(ISNUMBER(R85),R85&gt;1,P85&gt;0),R85/P85-1,"")</f>
        <v>-0.290242745643502</v>
      </c>
      <c r="T85" s="9" t="n">
        <f aca="false">IF(AND(ISNUMBER(P85),P85&gt;0),P85*EXP('Read me'!$B$22),"")</f>
        <v>49.9053440725437</v>
      </c>
    </row>
    <row r="86" customFormat="false" ht="15" hidden="false" customHeight="false" outlineLevel="0" collapsed="false">
      <c r="A86" s="15" t="s">
        <v>240</v>
      </c>
      <c r="B86" s="15" t="s">
        <v>56</v>
      </c>
      <c r="C86" s="15" t="s">
        <v>241</v>
      </c>
      <c r="D86" s="15"/>
      <c r="E86" s="16" t="n">
        <v>21.5</v>
      </c>
      <c r="F86" s="15" t="s">
        <v>844</v>
      </c>
      <c r="G86" s="8" t="n">
        <v>10</v>
      </c>
      <c r="H86" s="15" t="s">
        <v>928</v>
      </c>
      <c r="I86" s="15" t="s">
        <v>669</v>
      </c>
      <c r="J86" s="15" t="s">
        <v>670</v>
      </c>
      <c r="K86" s="8" t="n">
        <v>3</v>
      </c>
      <c r="L86" s="8" t="n">
        <v>110</v>
      </c>
      <c r="M86" s="8" t="n">
        <v>7</v>
      </c>
      <c r="N86" s="8" t="n">
        <v>31</v>
      </c>
      <c r="O86" s="8" t="n">
        <v>10</v>
      </c>
      <c r="P86" s="9" t="n">
        <v>53.036943506364</v>
      </c>
      <c r="Q86" s="10" t="n">
        <v>0.0188547818537093</v>
      </c>
      <c r="R86" s="9" t="n">
        <v>26</v>
      </c>
      <c r="S86" s="12" t="n">
        <f aca="false">IF(AND(ISNUMBER(R86),R86&gt;1,P86&gt;0),R86/P86-1,"")</f>
        <v>-0.509775671803557</v>
      </c>
      <c r="T86" s="9" t="n">
        <f aca="false">IF(AND(ISNUMBER(P86),P86&gt;0),P86*EXP('Read me'!$B$22),"")</f>
        <v>64.7794690830581</v>
      </c>
    </row>
    <row r="87" customFormat="false" ht="15" hidden="false" customHeight="false" outlineLevel="0" collapsed="false">
      <c r="A87" s="15" t="s">
        <v>264</v>
      </c>
      <c r="B87" s="15" t="s">
        <v>56</v>
      </c>
      <c r="C87" s="15" t="s">
        <v>265</v>
      </c>
      <c r="D87" s="15"/>
      <c r="E87" s="16" t="n">
        <v>15.5</v>
      </c>
      <c r="F87" s="15" t="s">
        <v>357</v>
      </c>
      <c r="G87" s="8" t="n">
        <v>16</v>
      </c>
      <c r="H87" s="15" t="s">
        <v>266</v>
      </c>
      <c r="I87" s="15" t="s">
        <v>267</v>
      </c>
      <c r="J87" s="15" t="s">
        <v>121</v>
      </c>
      <c r="K87" s="8" t="n">
        <v>16</v>
      </c>
      <c r="L87" s="8" t="n">
        <v>0</v>
      </c>
      <c r="M87" s="8" t="n">
        <v>4</v>
      </c>
      <c r="N87" s="8"/>
      <c r="O87" s="8" t="n">
        <v>1</v>
      </c>
      <c r="P87" s="9" t="n">
        <v>3.57316552697531</v>
      </c>
      <c r="Q87" s="10" t="n">
        <v>0.279863888882445</v>
      </c>
      <c r="R87" s="9" t="n">
        <v>2.75</v>
      </c>
      <c r="S87" s="12" t="n">
        <f aca="false">IF(AND(ISNUMBER(R87),R87&gt;1,P87&gt;0),R87/P87-1,"")</f>
        <v>-0.230374305573277</v>
      </c>
      <c r="T87" s="9" t="n">
        <f aca="false">IF(AND(ISNUMBER(P87),P87&gt;0),P87*EXP('Read me'!$B$22),"")</f>
        <v>4.36427423001048</v>
      </c>
    </row>
    <row r="88" customFormat="false" ht="15" hidden="false" customHeight="false" outlineLevel="0" collapsed="false">
      <c r="A88" s="15" t="s">
        <v>264</v>
      </c>
      <c r="B88" s="15" t="s">
        <v>56</v>
      </c>
      <c r="C88" s="15" t="s">
        <v>265</v>
      </c>
      <c r="D88" s="15"/>
      <c r="E88" s="16" t="n">
        <v>15.5</v>
      </c>
      <c r="F88" s="15" t="s">
        <v>357</v>
      </c>
      <c r="G88" s="8" t="n">
        <v>16</v>
      </c>
      <c r="H88" s="15" t="s">
        <v>268</v>
      </c>
      <c r="I88" s="15" t="s">
        <v>970</v>
      </c>
      <c r="J88" s="15" t="s">
        <v>595</v>
      </c>
      <c r="K88" s="8" t="n">
        <v>10</v>
      </c>
      <c r="L88" s="8" t="n">
        <v>0</v>
      </c>
      <c r="M88" s="8" t="n">
        <v>5</v>
      </c>
      <c r="N88" s="8" t="n">
        <v>246</v>
      </c>
      <c r="O88" s="8" t="n">
        <v>2</v>
      </c>
      <c r="P88" s="9" t="n">
        <v>7.97551785920999</v>
      </c>
      <c r="Q88" s="10" t="n">
        <v>0.12538370769808</v>
      </c>
      <c r="R88" s="9" t="n">
        <v>6</v>
      </c>
      <c r="S88" s="12" t="n">
        <f aca="false">IF(AND(ISNUMBER(R88),R88&gt;1,P88&gt;0),R88/P88-1,"")</f>
        <v>-0.247697753811522</v>
      </c>
      <c r="T88" s="9" t="n">
        <f aca="false">IF(AND(ISNUMBER(P88),P88&gt;0),P88*EXP('Read me'!$B$22),"")</f>
        <v>9.74131951099478</v>
      </c>
    </row>
    <row r="89" customFormat="false" ht="15" hidden="false" customHeight="false" outlineLevel="0" collapsed="false">
      <c r="A89" s="15" t="s">
        <v>264</v>
      </c>
      <c r="B89" s="15" t="s">
        <v>56</v>
      </c>
      <c r="C89" s="15" t="s">
        <v>265</v>
      </c>
      <c r="D89" s="15"/>
      <c r="E89" s="16" t="n">
        <v>15.5</v>
      </c>
      <c r="F89" s="15" t="s">
        <v>357</v>
      </c>
      <c r="G89" s="8" t="n">
        <v>16</v>
      </c>
      <c r="H89" s="15" t="s">
        <v>971</v>
      </c>
      <c r="I89" s="15" t="s">
        <v>972</v>
      </c>
      <c r="J89" s="15" t="s">
        <v>973</v>
      </c>
      <c r="K89" s="8" t="n">
        <v>8</v>
      </c>
      <c r="L89" s="8" t="n">
        <v>0</v>
      </c>
      <c r="M89" s="8" t="n">
        <v>6</v>
      </c>
      <c r="N89" s="8" t="n">
        <v>815</v>
      </c>
      <c r="O89" s="8" t="n">
        <v>3</v>
      </c>
      <c r="P89" s="9" t="n">
        <v>9.10843878956521</v>
      </c>
      <c r="Q89" s="10" t="n">
        <v>0.109788298862547</v>
      </c>
      <c r="R89" s="9" t="n">
        <v>23</v>
      </c>
      <c r="S89" s="12" t="n">
        <f aca="false">IF(AND(ISNUMBER(R89),R89&gt;1,P89&gt;0),R89/P89-1,"")</f>
        <v>1.52513087383858</v>
      </c>
      <c r="T89" s="9" t="n">
        <f aca="false">IF(AND(ISNUMBER(P89),P89&gt;0),P89*EXP('Read me'!$B$22),"")</f>
        <v>11.125072260108</v>
      </c>
    </row>
    <row r="90" customFormat="false" ht="15" hidden="false" customHeight="false" outlineLevel="0" collapsed="false">
      <c r="A90" s="15" t="s">
        <v>264</v>
      </c>
      <c r="B90" s="15" t="s">
        <v>56</v>
      </c>
      <c r="C90" s="15" t="s">
        <v>265</v>
      </c>
      <c r="D90" s="15"/>
      <c r="E90" s="16" t="n">
        <v>15.5</v>
      </c>
      <c r="F90" s="15" t="s">
        <v>357</v>
      </c>
      <c r="G90" s="8" t="n">
        <v>16</v>
      </c>
      <c r="H90" s="15" t="s">
        <v>974</v>
      </c>
      <c r="I90" s="15" t="s">
        <v>975</v>
      </c>
      <c r="J90" s="15" t="s">
        <v>976</v>
      </c>
      <c r="K90" s="8" t="n">
        <v>2</v>
      </c>
      <c r="L90" s="8" t="n">
        <v>0</v>
      </c>
      <c r="M90" s="8" t="n">
        <v>5</v>
      </c>
      <c r="N90" s="8"/>
      <c r="O90" s="8" t="n">
        <v>4</v>
      </c>
      <c r="P90" s="9" t="n">
        <v>9.91652167062219</v>
      </c>
      <c r="Q90" s="10" t="n">
        <v>0.100841810587931</v>
      </c>
      <c r="R90" s="9" t="n">
        <v>4.33333333333333</v>
      </c>
      <c r="S90" s="12" t="n">
        <f aca="false">IF(AND(ISNUMBER(R90),R90&gt;1,P90&gt;0),R90/P90-1,"")</f>
        <v>-0.56301882078563</v>
      </c>
      <c r="T90" s="9" t="n">
        <f aca="false">IF(AND(ISNUMBER(P90),P90&gt;0),P90*EXP('Read me'!$B$22),"")</f>
        <v>12.112066919853</v>
      </c>
    </row>
    <row r="91" customFormat="false" ht="15" hidden="false" customHeight="false" outlineLevel="0" collapsed="false">
      <c r="A91" s="15" t="s">
        <v>264</v>
      </c>
      <c r="B91" s="15" t="s">
        <v>56</v>
      </c>
      <c r="C91" s="15" t="s">
        <v>265</v>
      </c>
      <c r="D91" s="15"/>
      <c r="E91" s="16" t="n">
        <v>15.5</v>
      </c>
      <c r="F91" s="15" t="s">
        <v>357</v>
      </c>
      <c r="G91" s="8" t="n">
        <v>16</v>
      </c>
      <c r="H91" s="15" t="s">
        <v>977</v>
      </c>
      <c r="I91" s="15" t="s">
        <v>978</v>
      </c>
      <c r="J91" s="15" t="s">
        <v>471</v>
      </c>
      <c r="K91" s="8" t="n">
        <v>11</v>
      </c>
      <c r="L91" s="8" t="n">
        <v>0</v>
      </c>
      <c r="M91" s="8" t="n">
        <v>4</v>
      </c>
      <c r="N91" s="8"/>
      <c r="O91" s="8" t="n">
        <v>5</v>
      </c>
      <c r="P91" s="9" t="n">
        <v>10.3074989633125</v>
      </c>
      <c r="Q91" s="10" t="n">
        <v>0.0970167451444141</v>
      </c>
      <c r="R91" s="9" t="n">
        <v>8.5</v>
      </c>
      <c r="S91" s="12" t="n">
        <f aca="false">IF(AND(ISNUMBER(R91),R91&gt;1,P91&gt;0),R91/P91-1,"")</f>
        <v>-0.17535766627248</v>
      </c>
      <c r="T91" s="9" t="n">
        <f aca="false">IF(AND(ISNUMBER(P91),P91&gt;0),P91*EXP('Read me'!$B$22),"")</f>
        <v>12.589607663523</v>
      </c>
    </row>
    <row r="92" customFormat="false" ht="15" hidden="false" customHeight="false" outlineLevel="0" collapsed="false">
      <c r="A92" s="15" t="s">
        <v>264</v>
      </c>
      <c r="B92" s="15" t="s">
        <v>56</v>
      </c>
      <c r="C92" s="15" t="s">
        <v>265</v>
      </c>
      <c r="D92" s="15"/>
      <c r="E92" s="16" t="n">
        <v>15.5</v>
      </c>
      <c r="F92" s="15" t="s">
        <v>357</v>
      </c>
      <c r="G92" s="8" t="n">
        <v>16</v>
      </c>
      <c r="H92" s="15" t="s">
        <v>979</v>
      </c>
      <c r="I92" s="15" t="s">
        <v>980</v>
      </c>
      <c r="J92" s="15" t="s">
        <v>981</v>
      </c>
      <c r="K92" s="8" t="n">
        <v>7</v>
      </c>
      <c r="L92" s="8" t="n">
        <v>0</v>
      </c>
      <c r="M92" s="8" t="n">
        <v>5</v>
      </c>
      <c r="N92" s="8" t="n">
        <v>45</v>
      </c>
      <c r="O92" s="8" t="n">
        <v>6</v>
      </c>
      <c r="P92" s="9" t="n">
        <v>13.427533347204</v>
      </c>
      <c r="Q92" s="10" t="n">
        <v>0.0744738422271895</v>
      </c>
      <c r="R92" s="9" t="n">
        <v>9.5</v>
      </c>
      <c r="S92" s="12" t="n">
        <f aca="false">IF(AND(ISNUMBER(R92),R92&gt;1,P92&gt;0),R92/P92-1,"")</f>
        <v>-0.292498498841699</v>
      </c>
      <c r="T92" s="9" t="n">
        <f aca="false">IF(AND(ISNUMBER(P92),P92&gt;0),P92*EXP('Read me'!$B$22),"")</f>
        <v>16.4004262655627</v>
      </c>
    </row>
    <row r="93" customFormat="false" ht="15" hidden="false" customHeight="false" outlineLevel="0" collapsed="false">
      <c r="A93" s="15" t="s">
        <v>264</v>
      </c>
      <c r="B93" s="15" t="s">
        <v>56</v>
      </c>
      <c r="C93" s="15" t="s">
        <v>265</v>
      </c>
      <c r="D93" s="15"/>
      <c r="E93" s="16" t="n">
        <v>15.5</v>
      </c>
      <c r="F93" s="15" t="s">
        <v>357</v>
      </c>
      <c r="G93" s="8" t="n">
        <v>16</v>
      </c>
      <c r="H93" s="15" t="s">
        <v>982</v>
      </c>
      <c r="I93" s="15" t="s">
        <v>669</v>
      </c>
      <c r="J93" s="15" t="s">
        <v>983</v>
      </c>
      <c r="K93" s="8" t="n">
        <v>3</v>
      </c>
      <c r="L93" s="8" t="n">
        <v>0</v>
      </c>
      <c r="M93" s="8" t="n">
        <v>5</v>
      </c>
      <c r="N93" s="8"/>
      <c r="O93" s="8" t="n">
        <v>7</v>
      </c>
      <c r="P93" s="9" t="n">
        <v>23.815645002458</v>
      </c>
      <c r="Q93" s="10" t="n">
        <v>0.041989204990954</v>
      </c>
      <c r="R93" s="9" t="n">
        <v>10</v>
      </c>
      <c r="S93" s="12" t="n">
        <f aca="false">IF(AND(ISNUMBER(R93),R93&gt;1,P93&gt;0),R93/P93-1,"")</f>
        <v>-0.58010795009046</v>
      </c>
      <c r="T93" s="9" t="n">
        <f aca="false">IF(AND(ISNUMBER(P93),P93&gt;0),P93*EXP('Read me'!$B$22),"")</f>
        <v>29.0884944933657</v>
      </c>
    </row>
    <row r="94" customFormat="false" ht="15" hidden="false" customHeight="false" outlineLevel="0" collapsed="false">
      <c r="A94" s="15" t="s">
        <v>264</v>
      </c>
      <c r="B94" s="15" t="s">
        <v>56</v>
      </c>
      <c r="C94" s="15" t="s">
        <v>265</v>
      </c>
      <c r="D94" s="15"/>
      <c r="E94" s="16" t="n">
        <v>15.5</v>
      </c>
      <c r="F94" s="15" t="s">
        <v>357</v>
      </c>
      <c r="G94" s="8" t="n">
        <v>16</v>
      </c>
      <c r="H94" s="15" t="s">
        <v>984</v>
      </c>
      <c r="I94" s="15" t="s">
        <v>985</v>
      </c>
      <c r="J94" s="15" t="s">
        <v>121</v>
      </c>
      <c r="K94" s="8" t="n">
        <v>15</v>
      </c>
      <c r="L94" s="8" t="n">
        <v>0</v>
      </c>
      <c r="M94" s="8" t="n">
        <v>5</v>
      </c>
      <c r="N94" s="8" t="n">
        <v>25</v>
      </c>
      <c r="O94" s="8" t="n">
        <v>8</v>
      </c>
      <c r="P94" s="9" t="n">
        <v>24.5479748393928</v>
      </c>
      <c r="Q94" s="10" t="n">
        <v>0.0407365579662919</v>
      </c>
      <c r="R94" s="9" t="n">
        <v>11</v>
      </c>
      <c r="S94" s="12" t="n">
        <f aca="false">IF(AND(ISNUMBER(R94),R94&gt;1,P94&gt;0),R94/P94-1,"")</f>
        <v>-0.551897862370788</v>
      </c>
      <c r="T94" s="9" t="n">
        <f aca="false">IF(AND(ISNUMBER(P94),P94&gt;0),P94*EXP('Read me'!$B$22),"")</f>
        <v>29.9829641760808</v>
      </c>
    </row>
    <row r="95" customFormat="false" ht="15" hidden="false" customHeight="false" outlineLevel="0" collapsed="false">
      <c r="A95" s="15" t="s">
        <v>264</v>
      </c>
      <c r="B95" s="15" t="s">
        <v>56</v>
      </c>
      <c r="C95" s="15" t="s">
        <v>265</v>
      </c>
      <c r="D95" s="15"/>
      <c r="E95" s="16" t="n">
        <v>15.5</v>
      </c>
      <c r="F95" s="15" t="s">
        <v>357</v>
      </c>
      <c r="G95" s="8" t="n">
        <v>16</v>
      </c>
      <c r="H95" s="15" t="s">
        <v>986</v>
      </c>
      <c r="I95" s="15" t="s">
        <v>987</v>
      </c>
      <c r="J95" s="15" t="s">
        <v>988</v>
      </c>
      <c r="K95" s="8" t="n">
        <v>9</v>
      </c>
      <c r="L95" s="8" t="n">
        <v>0</v>
      </c>
      <c r="M95" s="8" t="n">
        <v>5</v>
      </c>
      <c r="N95" s="8"/>
      <c r="O95" s="8" t="n">
        <v>9</v>
      </c>
      <c r="P95" s="9" t="n">
        <v>33.122300879841</v>
      </c>
      <c r="Q95" s="10" t="n">
        <v>0.0301911393060445</v>
      </c>
      <c r="R95" s="9" t="n">
        <v>23</v>
      </c>
      <c r="S95" s="12" t="n">
        <f aca="false">IF(AND(ISNUMBER(R95),R95&gt;1,P95&gt;0),R95/P95-1,"")</f>
        <v>-0.305603795960976</v>
      </c>
      <c r="T95" s="9" t="n">
        <f aca="false">IF(AND(ISNUMBER(P95),P95&gt;0),P95*EXP('Read me'!$B$22),"")</f>
        <v>40.4556696512488</v>
      </c>
    </row>
    <row r="96" customFormat="false" ht="15" hidden="false" customHeight="false" outlineLevel="0" collapsed="false">
      <c r="A96" s="15" t="s">
        <v>264</v>
      </c>
      <c r="B96" s="15" t="s">
        <v>56</v>
      </c>
      <c r="C96" s="15" t="s">
        <v>265</v>
      </c>
      <c r="D96" s="15"/>
      <c r="E96" s="16" t="n">
        <v>15.5</v>
      </c>
      <c r="F96" s="15" t="s">
        <v>357</v>
      </c>
      <c r="G96" s="8" t="n">
        <v>16</v>
      </c>
      <c r="H96" s="15" t="s">
        <v>989</v>
      </c>
      <c r="I96" s="15" t="s">
        <v>990</v>
      </c>
      <c r="J96" s="15" t="s">
        <v>991</v>
      </c>
      <c r="K96" s="8" t="n">
        <v>6</v>
      </c>
      <c r="L96" s="8" t="n">
        <v>0</v>
      </c>
      <c r="M96" s="8" t="n">
        <v>5</v>
      </c>
      <c r="N96" s="8" t="n">
        <v>478</v>
      </c>
      <c r="O96" s="8" t="n">
        <v>10</v>
      </c>
      <c r="P96" s="9" t="n">
        <v>40.2069569649064</v>
      </c>
      <c r="Q96" s="10" t="n">
        <v>0.0248713176894442</v>
      </c>
      <c r="R96" s="9" t="n">
        <v>51</v>
      </c>
      <c r="S96" s="12" t="n">
        <f aca="false">IF(AND(ISNUMBER(R96),R96&gt;1,P96&gt;0),R96/P96-1,"")</f>
        <v>0.268437202161655</v>
      </c>
      <c r="T96" s="9" t="n">
        <f aca="false">IF(AND(ISNUMBER(P96),P96&gt;0),P96*EXP('Read me'!$B$22),"")</f>
        <v>49.108888134164</v>
      </c>
    </row>
    <row r="97" customFormat="false" ht="15" hidden="false" customHeight="false" outlineLevel="0" collapsed="false">
      <c r="A97" s="15" t="s">
        <v>264</v>
      </c>
      <c r="B97" s="15" t="s">
        <v>56</v>
      </c>
      <c r="C97" s="15" t="s">
        <v>265</v>
      </c>
      <c r="D97" s="15"/>
      <c r="E97" s="16" t="n">
        <v>15.5</v>
      </c>
      <c r="F97" s="15" t="s">
        <v>357</v>
      </c>
      <c r="G97" s="8" t="n">
        <v>16</v>
      </c>
      <c r="H97" s="15" t="s">
        <v>992</v>
      </c>
      <c r="I97" s="15" t="s">
        <v>993</v>
      </c>
      <c r="J97" s="15" t="s">
        <v>994</v>
      </c>
      <c r="K97" s="8" t="n">
        <v>12</v>
      </c>
      <c r="L97" s="8" t="n">
        <v>0</v>
      </c>
      <c r="M97" s="8" t="n">
        <v>4</v>
      </c>
      <c r="N97" s="8" t="n">
        <v>120</v>
      </c>
      <c r="O97" s="8" t="n">
        <v>11</v>
      </c>
      <c r="P97" s="9" t="n">
        <v>52.3497008545418</v>
      </c>
      <c r="Q97" s="10" t="n">
        <v>0.0191023059096094</v>
      </c>
      <c r="R97" s="9" t="n">
        <v>51</v>
      </c>
      <c r="S97" s="12" t="n">
        <f aca="false">IF(AND(ISNUMBER(R97),R97&gt;1,P97&gt;0),R97/P97-1,"")</f>
        <v>-0.0257823986099183</v>
      </c>
      <c r="T97" s="9" t="n">
        <f aca="false">IF(AND(ISNUMBER(P97),P97&gt;0),P97*EXP('Read me'!$B$22),"")</f>
        <v>63.9400690125971</v>
      </c>
    </row>
    <row r="98" customFormat="false" ht="15" hidden="false" customHeight="false" outlineLevel="0" collapsed="false">
      <c r="A98" s="15" t="s">
        <v>264</v>
      </c>
      <c r="B98" s="15" t="s">
        <v>56</v>
      </c>
      <c r="C98" s="15" t="s">
        <v>265</v>
      </c>
      <c r="D98" s="15"/>
      <c r="E98" s="16" t="n">
        <v>15.5</v>
      </c>
      <c r="F98" s="15" t="s">
        <v>357</v>
      </c>
      <c r="G98" s="8" t="n">
        <v>16</v>
      </c>
      <c r="H98" s="15" t="s">
        <v>995</v>
      </c>
      <c r="I98" s="15" t="s">
        <v>996</v>
      </c>
      <c r="J98" s="15" t="s">
        <v>997</v>
      </c>
      <c r="K98" s="8" t="n">
        <v>1</v>
      </c>
      <c r="L98" s="8" t="n">
        <v>0</v>
      </c>
      <c r="M98" s="8" t="n">
        <v>6</v>
      </c>
      <c r="N98" s="8"/>
      <c r="O98" s="8" t="n">
        <v>12</v>
      </c>
      <c r="P98" s="9" t="n">
        <v>53.4544905610612</v>
      </c>
      <c r="Q98" s="10" t="n">
        <v>0.0187075022042852</v>
      </c>
      <c r="R98" s="9" t="n">
        <v>29</v>
      </c>
      <c r="S98" s="12" t="n">
        <f aca="false">IF(AND(ISNUMBER(R98),R98&gt;1,P98&gt;0),R98/P98-1,"")</f>
        <v>-0.457482436075727</v>
      </c>
      <c r="T98" s="9" t="n">
        <f aca="false">IF(AND(ISNUMBER(P98),P98&gt;0),P98*EXP('Read me'!$B$22),"")</f>
        <v>65.2894622073269</v>
      </c>
    </row>
    <row r="99" customFormat="false" ht="15" hidden="false" customHeight="false" outlineLevel="0" collapsed="false">
      <c r="A99" s="15" t="s">
        <v>264</v>
      </c>
      <c r="B99" s="15" t="s">
        <v>56</v>
      </c>
      <c r="C99" s="15" t="s">
        <v>265</v>
      </c>
      <c r="D99" s="15"/>
      <c r="E99" s="16" t="n">
        <v>15.5</v>
      </c>
      <c r="F99" s="15" t="s">
        <v>357</v>
      </c>
      <c r="G99" s="8" t="n">
        <v>16</v>
      </c>
      <c r="H99" s="15" t="s">
        <v>998</v>
      </c>
      <c r="I99" s="15" t="s">
        <v>999</v>
      </c>
      <c r="J99" s="15" t="s">
        <v>1000</v>
      </c>
      <c r="K99" s="8" t="n">
        <v>4</v>
      </c>
      <c r="L99" s="8" t="n">
        <v>0</v>
      </c>
      <c r="M99" s="8" t="n">
        <v>6</v>
      </c>
      <c r="N99" s="8"/>
      <c r="O99" s="8" t="n">
        <v>13</v>
      </c>
      <c r="P99" s="9" t="n">
        <v>62.6024914685948</v>
      </c>
      <c r="Q99" s="10" t="n">
        <v>0.0159738051400344</v>
      </c>
      <c r="R99" s="9" t="n">
        <v>101</v>
      </c>
      <c r="S99" s="12" t="n">
        <f aca="false">IF(AND(ISNUMBER(R99),R99&gt;1,P99&gt;0),R99/P99-1,"")</f>
        <v>0.613354319143477</v>
      </c>
      <c r="T99" s="9" t="n">
        <f aca="false">IF(AND(ISNUMBER(P99),P99&gt;0),P99*EXP('Read me'!$B$22),"")</f>
        <v>76.4628557474401</v>
      </c>
    </row>
    <row r="100" customFormat="false" ht="15" hidden="false" customHeight="false" outlineLevel="0" collapsed="false">
      <c r="A100" s="15" t="s">
        <v>264</v>
      </c>
      <c r="B100" s="15" t="s">
        <v>56</v>
      </c>
      <c r="C100" s="15" t="s">
        <v>265</v>
      </c>
      <c r="D100" s="15"/>
      <c r="E100" s="16" t="n">
        <v>15.5</v>
      </c>
      <c r="F100" s="15" t="s">
        <v>357</v>
      </c>
      <c r="G100" s="8" t="n">
        <v>16</v>
      </c>
      <c r="H100" s="15" t="s">
        <v>1001</v>
      </c>
      <c r="I100" s="15" t="s">
        <v>1002</v>
      </c>
      <c r="J100" s="15" t="s">
        <v>1003</v>
      </c>
      <c r="K100" s="8" t="n">
        <v>13</v>
      </c>
      <c r="L100" s="8" t="n">
        <v>0</v>
      </c>
      <c r="M100" s="8" t="n">
        <v>4</v>
      </c>
      <c r="N100" s="8"/>
      <c r="O100" s="8" t="n">
        <v>14</v>
      </c>
      <c r="P100" s="9" t="n">
        <v>89.1748934634217</v>
      </c>
      <c r="Q100" s="10" t="n">
        <v>0.0112139186396694</v>
      </c>
      <c r="R100" s="9" t="n">
        <v>67</v>
      </c>
      <c r="S100" s="12" t="n">
        <f aca="false">IF(AND(ISNUMBER(R100),R100&gt;1,P100&gt;0),R100/P100-1,"")</f>
        <v>-0.248667451142148</v>
      </c>
      <c r="T100" s="9" t="n">
        <f aca="false">IF(AND(ISNUMBER(P100),P100&gt;0),P100*EXP('Read me'!$B$22),"")</f>
        <v>108.918460834863</v>
      </c>
    </row>
    <row r="101" customFormat="false" ht="15" hidden="false" customHeight="false" outlineLevel="0" collapsed="false">
      <c r="A101" s="15" t="s">
        <v>264</v>
      </c>
      <c r="B101" s="15" t="s">
        <v>56</v>
      </c>
      <c r="C101" s="15" t="s">
        <v>265</v>
      </c>
      <c r="D101" s="15"/>
      <c r="E101" s="16" t="n">
        <v>15.5</v>
      </c>
      <c r="F101" s="15" t="s">
        <v>357</v>
      </c>
      <c r="G101" s="8" t="n">
        <v>16</v>
      </c>
      <c r="H101" s="15" t="s">
        <v>1004</v>
      </c>
      <c r="I101" s="15" t="s">
        <v>1005</v>
      </c>
      <c r="J101" s="15" t="s">
        <v>1006</v>
      </c>
      <c r="K101" s="8" t="n">
        <v>5</v>
      </c>
      <c r="L101" s="8" t="n">
        <v>0</v>
      </c>
      <c r="M101" s="8" t="n">
        <v>6</v>
      </c>
      <c r="N101" s="8" t="n">
        <v>38</v>
      </c>
      <c r="O101" s="8" t="n">
        <v>15</v>
      </c>
      <c r="P101" s="9" t="n">
        <v>130.924961738682</v>
      </c>
      <c r="Q101" s="10" t="n">
        <v>0.0076379628966089</v>
      </c>
      <c r="R101" s="9" t="n">
        <v>67</v>
      </c>
      <c r="S101" s="12" t="n">
        <f aca="false">IF(AND(ISNUMBER(R101),R101&gt;1,P101&gt;0),R101/P101-1,"")</f>
        <v>-0.488256485927202</v>
      </c>
      <c r="T101" s="9" t="n">
        <f aca="false">IF(AND(ISNUMBER(P101),P101&gt;0),P101*EXP('Read me'!$B$22),"")</f>
        <v>159.912109379641</v>
      </c>
    </row>
    <row r="102" customFormat="false" ht="15" hidden="false" customHeight="false" outlineLevel="0" collapsed="false">
      <c r="A102" s="15" t="s">
        <v>264</v>
      </c>
      <c r="B102" s="15" t="s">
        <v>56</v>
      </c>
      <c r="C102" s="15" t="s">
        <v>265</v>
      </c>
      <c r="D102" s="15"/>
      <c r="E102" s="16" t="n">
        <v>15.5</v>
      </c>
      <c r="F102" s="15" t="s">
        <v>357</v>
      </c>
      <c r="G102" s="8" t="n">
        <v>16</v>
      </c>
      <c r="H102" s="15" t="s">
        <v>1007</v>
      </c>
      <c r="I102" s="15" t="s">
        <v>1008</v>
      </c>
      <c r="J102" s="15" t="s">
        <v>673</v>
      </c>
      <c r="K102" s="8" t="n">
        <v>14</v>
      </c>
      <c r="L102" s="8" t="n">
        <v>0</v>
      </c>
      <c r="M102" s="8" t="n">
        <v>4</v>
      </c>
      <c r="N102" s="8" t="n">
        <v>55</v>
      </c>
      <c r="O102" s="8" t="n">
        <v>16</v>
      </c>
      <c r="P102" s="9" t="n">
        <v>452.900221522062</v>
      </c>
      <c r="Q102" s="10" t="n">
        <v>0.0022079918544515</v>
      </c>
      <c r="R102" s="9" t="n">
        <v>201</v>
      </c>
      <c r="S102" s="12" t="n">
        <f aca="false">IF(AND(ISNUMBER(R102),R102&gt;1,P102&gt;0),R102/P102-1,"")</f>
        <v>-0.556193637255245</v>
      </c>
      <c r="T102" s="9" t="n">
        <f aca="false">IF(AND(ISNUMBER(P102),P102&gt;0),P102*EXP('Read me'!$B$22),"")</f>
        <v>553.173579738398</v>
      </c>
    </row>
  </sheetData>
  <autoFilter ref="A1:T102"/>
  <conditionalFormatting sqref="A2:T10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62</v>
      </c>
      <c r="B2" s="15" t="s">
        <v>63</v>
      </c>
      <c r="C2" s="15" t="s">
        <v>64</v>
      </c>
      <c r="D2" s="15" t="s">
        <v>418</v>
      </c>
      <c r="E2" s="16" t="n">
        <v>6</v>
      </c>
      <c r="F2" s="15" t="s">
        <v>419</v>
      </c>
      <c r="G2" s="8" t="n">
        <v>6</v>
      </c>
      <c r="H2" s="15" t="s">
        <v>65</v>
      </c>
      <c r="I2" s="15" t="s">
        <v>66</v>
      </c>
      <c r="J2" s="15" t="s">
        <v>67</v>
      </c>
      <c r="K2" s="8" t="n">
        <v>2</v>
      </c>
      <c r="L2" s="8" t="n">
        <v>72</v>
      </c>
      <c r="M2" s="8" t="n">
        <v>5</v>
      </c>
      <c r="N2" s="8" t="n">
        <v>8</v>
      </c>
      <c r="O2" s="8" t="n">
        <v>1</v>
      </c>
      <c r="P2" s="9" t="n">
        <v>3.14305114101269</v>
      </c>
      <c r="Q2" s="10" t="n">
        <v>0.318162179084939</v>
      </c>
      <c r="R2" s="9" t="n">
        <v>2.5</v>
      </c>
      <c r="S2" s="12" t="n">
        <f aca="false">IF(AND(ISNUMBER(R2),R2&gt;1,P2&gt;0),R2/P2-1,"")</f>
        <v>-0.204594552287653</v>
      </c>
      <c r="T2" s="9" t="n">
        <f aca="false">IF(AND(ISNUMBER(P2),P2&gt;0),P2*EXP('Read me'!$B$22),"")</f>
        <v>3.83893133267137</v>
      </c>
    </row>
    <row r="3" customFormat="false" ht="15" hidden="false" customHeight="false" outlineLevel="0" collapsed="false">
      <c r="A3" s="15" t="s">
        <v>62</v>
      </c>
      <c r="B3" s="15" t="s">
        <v>63</v>
      </c>
      <c r="C3" s="15" t="s">
        <v>64</v>
      </c>
      <c r="D3" s="15" t="s">
        <v>418</v>
      </c>
      <c r="E3" s="16" t="n">
        <v>6</v>
      </c>
      <c r="F3" s="15" t="s">
        <v>419</v>
      </c>
      <c r="G3" s="8" t="n">
        <v>6</v>
      </c>
      <c r="H3" s="15" t="s">
        <v>68</v>
      </c>
      <c r="I3" s="15" t="s">
        <v>420</v>
      </c>
      <c r="J3" s="15" t="s">
        <v>127</v>
      </c>
      <c r="K3" s="8" t="n">
        <v>1</v>
      </c>
      <c r="L3" s="8" t="n">
        <v>62</v>
      </c>
      <c r="M3" s="8" t="n">
        <v>7</v>
      </c>
      <c r="N3" s="8" t="n">
        <v>7</v>
      </c>
      <c r="O3" s="8" t="n">
        <v>2</v>
      </c>
      <c r="P3" s="9" t="n">
        <v>4.57211607394415</v>
      </c>
      <c r="Q3" s="10" t="n">
        <v>0.218717106877242</v>
      </c>
      <c r="R3" s="9" t="n">
        <v>3.75</v>
      </c>
      <c r="S3" s="12" t="n">
        <f aca="false">IF(AND(ISNUMBER(R3),R3&gt;1,P3&gt;0),R3/P3-1,"")</f>
        <v>-0.179810849210341</v>
      </c>
      <c r="T3" s="9" t="n">
        <f aca="false">IF(AND(ISNUMBER(P3),P3&gt;0),P3*EXP('Read me'!$B$22),"")</f>
        <v>5.58439518334383</v>
      </c>
    </row>
    <row r="4" customFormat="false" ht="15" hidden="false" customHeight="false" outlineLevel="0" collapsed="false">
      <c r="A4" s="15" t="s">
        <v>62</v>
      </c>
      <c r="B4" s="15" t="s">
        <v>63</v>
      </c>
      <c r="C4" s="15" t="s">
        <v>64</v>
      </c>
      <c r="D4" s="15" t="s">
        <v>418</v>
      </c>
      <c r="E4" s="16" t="n">
        <v>6</v>
      </c>
      <c r="F4" s="15" t="s">
        <v>419</v>
      </c>
      <c r="G4" s="8" t="n">
        <v>6</v>
      </c>
      <c r="H4" s="15" t="s">
        <v>421</v>
      </c>
      <c r="I4" s="15" t="s">
        <v>422</v>
      </c>
      <c r="J4" s="15" t="s">
        <v>423</v>
      </c>
      <c r="K4" s="8" t="n">
        <v>6</v>
      </c>
      <c r="L4" s="8" t="n">
        <v>65</v>
      </c>
      <c r="M4" s="8" t="n">
        <v>5</v>
      </c>
      <c r="N4" s="8" t="n">
        <v>26</v>
      </c>
      <c r="O4" s="8" t="n">
        <v>3</v>
      </c>
      <c r="P4" s="9" t="n">
        <v>6.44579149037322</v>
      </c>
      <c r="Q4" s="10" t="n">
        <v>0.155139985755589</v>
      </c>
      <c r="R4" s="9" t="n">
        <v>6</v>
      </c>
      <c r="S4" s="12" t="n">
        <f aca="false">IF(AND(ISNUMBER(R4),R4&gt;1,P4&gt;0),R4/P4-1,"")</f>
        <v>-0.0691600854664635</v>
      </c>
      <c r="T4" s="9" t="n">
        <f aca="false">IF(AND(ISNUMBER(P4),P4&gt;0),P4*EXP('Read me'!$B$22),"")</f>
        <v>7.8729075048672</v>
      </c>
    </row>
    <row r="5" customFormat="false" ht="15" hidden="false" customHeight="false" outlineLevel="0" collapsed="false">
      <c r="A5" s="15" t="s">
        <v>62</v>
      </c>
      <c r="B5" s="15" t="s">
        <v>63</v>
      </c>
      <c r="C5" s="15" t="s">
        <v>64</v>
      </c>
      <c r="D5" s="15" t="s">
        <v>418</v>
      </c>
      <c r="E5" s="16" t="n">
        <v>6</v>
      </c>
      <c r="F5" s="15" t="s">
        <v>419</v>
      </c>
      <c r="G5" s="8" t="n">
        <v>6</v>
      </c>
      <c r="H5" s="15" t="s">
        <v>424</v>
      </c>
      <c r="I5" s="15" t="s">
        <v>425</v>
      </c>
      <c r="J5" s="15" t="s">
        <v>250</v>
      </c>
      <c r="K5" s="8" t="n">
        <v>3</v>
      </c>
      <c r="L5" s="8" t="n">
        <v>68</v>
      </c>
      <c r="M5" s="8" t="n">
        <v>4</v>
      </c>
      <c r="N5" s="8" t="n">
        <v>7</v>
      </c>
      <c r="O5" s="8" t="n">
        <v>4</v>
      </c>
      <c r="P5" s="9" t="n">
        <v>7.12056598110508</v>
      </c>
      <c r="Q5" s="10" t="n">
        <v>0.140438274521094</v>
      </c>
      <c r="R5" s="9" t="n">
        <v>10</v>
      </c>
      <c r="S5" s="12" t="n">
        <f aca="false">IF(AND(ISNUMBER(R5),R5&gt;1,P5&gt;0),R5/P5-1,"")</f>
        <v>0.404382745210943</v>
      </c>
      <c r="T5" s="9" t="n">
        <f aca="false">IF(AND(ISNUMBER(P5),P5&gt;0),P5*EXP('Read me'!$B$22),"")</f>
        <v>8.69707892898322</v>
      </c>
    </row>
    <row r="6" customFormat="false" ht="15" hidden="false" customHeight="false" outlineLevel="0" collapsed="false">
      <c r="A6" s="15" t="s">
        <v>62</v>
      </c>
      <c r="B6" s="15" t="s">
        <v>63</v>
      </c>
      <c r="C6" s="15" t="s">
        <v>64</v>
      </c>
      <c r="D6" s="15" t="s">
        <v>418</v>
      </c>
      <c r="E6" s="16" t="n">
        <v>6</v>
      </c>
      <c r="F6" s="15" t="s">
        <v>419</v>
      </c>
      <c r="G6" s="8" t="n">
        <v>6</v>
      </c>
      <c r="H6" s="15" t="s">
        <v>426</v>
      </c>
      <c r="I6" s="15" t="s">
        <v>427</v>
      </c>
      <c r="J6" s="15" t="s">
        <v>428</v>
      </c>
      <c r="K6" s="8" t="n">
        <v>4</v>
      </c>
      <c r="L6" s="8" t="n">
        <v>69</v>
      </c>
      <c r="M6" s="8" t="n">
        <v>4</v>
      </c>
      <c r="N6" s="8" t="n">
        <v>23</v>
      </c>
      <c r="O6" s="8" t="n">
        <v>5</v>
      </c>
      <c r="P6" s="9" t="n">
        <v>8.77902614736169</v>
      </c>
      <c r="Q6" s="10" t="n">
        <v>0.113907850735873</v>
      </c>
      <c r="R6" s="9" t="n">
        <v>8</v>
      </c>
      <c r="S6" s="12" t="n">
        <f aca="false">IF(AND(ISNUMBER(R6),R6&gt;1,P6&gt;0),R6/P6-1,"")</f>
        <v>-0.0887371941130174</v>
      </c>
      <c r="T6" s="9" t="n">
        <f aca="false">IF(AND(ISNUMBER(P6),P6&gt;0),P6*EXP('Read me'!$B$22),"")</f>
        <v>10.7227267503478</v>
      </c>
    </row>
    <row r="7" customFormat="false" ht="15" hidden="false" customHeight="false" outlineLevel="0" collapsed="false">
      <c r="A7" s="15" t="s">
        <v>62</v>
      </c>
      <c r="B7" s="15" t="s">
        <v>63</v>
      </c>
      <c r="C7" s="15" t="s">
        <v>64</v>
      </c>
      <c r="D7" s="15" t="s">
        <v>418</v>
      </c>
      <c r="E7" s="16" t="n">
        <v>6</v>
      </c>
      <c r="F7" s="15" t="s">
        <v>419</v>
      </c>
      <c r="G7" s="8" t="n">
        <v>6</v>
      </c>
      <c r="H7" s="15" t="s">
        <v>429</v>
      </c>
      <c r="I7" s="15" t="s">
        <v>430</v>
      </c>
      <c r="J7" s="15" t="s">
        <v>431</v>
      </c>
      <c r="K7" s="8" t="n">
        <v>5</v>
      </c>
      <c r="L7" s="8" t="n">
        <v>64</v>
      </c>
      <c r="M7" s="8" t="n">
        <v>9</v>
      </c>
      <c r="N7" s="8" t="n">
        <v>21</v>
      </c>
      <c r="O7" s="8" t="n">
        <v>6</v>
      </c>
      <c r="P7" s="9" t="n">
        <v>18.6446798073436</v>
      </c>
      <c r="Q7" s="10" t="n">
        <v>0.0536346030252624</v>
      </c>
      <c r="R7" s="9" t="n">
        <v>15</v>
      </c>
      <c r="S7" s="12" t="n">
        <f aca="false">IF(AND(ISNUMBER(R7),R7&gt;1,P7&gt;0),R7/P7-1,"")</f>
        <v>-0.195480954621064</v>
      </c>
      <c r="T7" s="9" t="n">
        <f aca="false">IF(AND(ISNUMBER(P7),P7&gt;0),P7*EXP('Read me'!$B$22),"")</f>
        <v>22.7726633417027</v>
      </c>
    </row>
    <row r="8" customFormat="false" ht="15" hidden="false" customHeight="false" outlineLevel="0" collapsed="false">
      <c r="A8" s="15" t="s">
        <v>94</v>
      </c>
      <c r="B8" s="15" t="s">
        <v>63</v>
      </c>
      <c r="C8" s="15" t="s">
        <v>95</v>
      </c>
      <c r="D8" s="15" t="s">
        <v>456</v>
      </c>
      <c r="E8" s="16" t="n">
        <v>5</v>
      </c>
      <c r="F8" s="15" t="s">
        <v>419</v>
      </c>
      <c r="G8" s="8" t="n">
        <v>6</v>
      </c>
      <c r="H8" s="15" t="s">
        <v>96</v>
      </c>
      <c r="I8" s="15" t="s">
        <v>97</v>
      </c>
      <c r="J8" s="15" t="s">
        <v>98</v>
      </c>
      <c r="K8" s="8" t="n">
        <v>6</v>
      </c>
      <c r="L8" s="8" t="n">
        <v>0</v>
      </c>
      <c r="M8" s="8" t="n">
        <v>2</v>
      </c>
      <c r="N8" s="8" t="n">
        <v>13</v>
      </c>
      <c r="O8" s="8" t="n">
        <v>1</v>
      </c>
      <c r="P8" s="9" t="n">
        <v>2.09029031906183</v>
      </c>
      <c r="Q8" s="10" t="n">
        <v>0.478402445287515</v>
      </c>
      <c r="R8" s="9" t="n">
        <v>2.75</v>
      </c>
      <c r="S8" s="12" t="n">
        <f aca="false">IF(AND(ISNUMBER(R8),R8&gt;1,P8&gt;0),R8/P8-1,"")</f>
        <v>0.315606724540665</v>
      </c>
      <c r="T8" s="9" t="n">
        <f aca="false">IF(AND(ISNUMBER(P8),P8&gt;0),P8*EXP('Read me'!$B$22),"")</f>
        <v>2.55308636105762</v>
      </c>
    </row>
    <row r="9" customFormat="false" ht="15" hidden="false" customHeight="false" outlineLevel="0" collapsed="false">
      <c r="A9" s="15" t="s">
        <v>94</v>
      </c>
      <c r="B9" s="15" t="s">
        <v>63</v>
      </c>
      <c r="C9" s="15" t="s">
        <v>95</v>
      </c>
      <c r="D9" s="15" t="s">
        <v>456</v>
      </c>
      <c r="E9" s="16" t="n">
        <v>5</v>
      </c>
      <c r="F9" s="15" t="s">
        <v>419</v>
      </c>
      <c r="G9" s="8" t="n">
        <v>6</v>
      </c>
      <c r="H9" s="15" t="s">
        <v>99</v>
      </c>
      <c r="I9" s="15" t="s">
        <v>126</v>
      </c>
      <c r="J9" s="15" t="s">
        <v>127</v>
      </c>
      <c r="K9" s="8" t="n">
        <v>3</v>
      </c>
      <c r="L9" s="8" t="n">
        <v>63</v>
      </c>
      <c r="M9" s="8" t="n">
        <v>2</v>
      </c>
      <c r="N9" s="8" t="n">
        <v>19</v>
      </c>
      <c r="O9" s="8" t="n">
        <v>2</v>
      </c>
      <c r="P9" s="9" t="n">
        <v>4.28624627347399</v>
      </c>
      <c r="Q9" s="10" t="n">
        <v>0.233304373150146</v>
      </c>
      <c r="R9" s="9" t="n">
        <v>2.625</v>
      </c>
      <c r="S9" s="12" t="n">
        <f aca="false">IF(AND(ISNUMBER(R9),R9&gt;1,P9&gt;0),R9/P9-1,"")</f>
        <v>-0.387576020480866</v>
      </c>
      <c r="T9" s="9" t="n">
        <f aca="false">IF(AND(ISNUMBER(P9),P9&gt;0),P9*EXP('Read me'!$B$22),"")</f>
        <v>5.23523302057488</v>
      </c>
    </row>
    <row r="10" customFormat="false" ht="15" hidden="false" customHeight="false" outlineLevel="0" collapsed="false">
      <c r="A10" s="15" t="s">
        <v>94</v>
      </c>
      <c r="B10" s="15" t="s">
        <v>63</v>
      </c>
      <c r="C10" s="15" t="s">
        <v>95</v>
      </c>
      <c r="D10" s="15" t="s">
        <v>456</v>
      </c>
      <c r="E10" s="16" t="n">
        <v>5</v>
      </c>
      <c r="F10" s="15" t="s">
        <v>419</v>
      </c>
      <c r="G10" s="8" t="n">
        <v>6</v>
      </c>
      <c r="H10" s="15" t="s">
        <v>504</v>
      </c>
      <c r="I10" s="15" t="s">
        <v>505</v>
      </c>
      <c r="J10" s="15" t="s">
        <v>506</v>
      </c>
      <c r="K10" s="8" t="n">
        <v>1</v>
      </c>
      <c r="L10" s="8" t="n">
        <v>0</v>
      </c>
      <c r="M10" s="8" t="n">
        <v>2</v>
      </c>
      <c r="N10" s="8" t="n">
        <v>12</v>
      </c>
      <c r="O10" s="8" t="n">
        <v>3</v>
      </c>
      <c r="P10" s="9" t="n">
        <v>7.94459661336018</v>
      </c>
      <c r="Q10" s="10" t="n">
        <v>0.125871714911029</v>
      </c>
      <c r="R10" s="9" t="n">
        <v>6</v>
      </c>
      <c r="S10" s="12" t="n">
        <f aca="false">IF(AND(ISNUMBER(R10),R10&gt;1,P10&gt;0),R10/P10-1,"")</f>
        <v>-0.244769710533825</v>
      </c>
      <c r="T10" s="9" t="n">
        <f aca="false">IF(AND(ISNUMBER(P10),P10&gt;0),P10*EXP('Read me'!$B$22),"")</f>
        <v>9.70355221602807</v>
      </c>
    </row>
    <row r="11" customFormat="false" ht="15" hidden="false" customHeight="false" outlineLevel="0" collapsed="false">
      <c r="A11" s="15" t="s">
        <v>94</v>
      </c>
      <c r="B11" s="15" t="s">
        <v>63</v>
      </c>
      <c r="C11" s="15" t="s">
        <v>95</v>
      </c>
      <c r="D11" s="15" t="s">
        <v>456</v>
      </c>
      <c r="E11" s="16" t="n">
        <v>5</v>
      </c>
      <c r="F11" s="15" t="s">
        <v>419</v>
      </c>
      <c r="G11" s="8" t="n">
        <v>6</v>
      </c>
      <c r="H11" s="15" t="s">
        <v>507</v>
      </c>
      <c r="I11" s="15" t="s">
        <v>508</v>
      </c>
      <c r="J11" s="15" t="s">
        <v>509</v>
      </c>
      <c r="K11" s="8" t="n">
        <v>2</v>
      </c>
      <c r="L11" s="8" t="n">
        <v>0</v>
      </c>
      <c r="M11" s="8" t="n">
        <v>2</v>
      </c>
      <c r="N11" s="8" t="n">
        <v>12</v>
      </c>
      <c r="O11" s="8" t="n">
        <v>4</v>
      </c>
      <c r="P11" s="9" t="n">
        <v>9.91948982416437</v>
      </c>
      <c r="Q11" s="10" t="n">
        <v>0.100811636256126</v>
      </c>
      <c r="R11" s="9" t="n">
        <v>9</v>
      </c>
      <c r="S11" s="12" t="n">
        <f aca="false">IF(AND(ISNUMBER(R11),R11&gt;1,P11&gt;0),R11/P11-1,"")</f>
        <v>-0.0926952736948673</v>
      </c>
      <c r="T11" s="9" t="n">
        <f aca="false">IF(AND(ISNUMBER(P11),P11&gt;0),P11*EXP('Read me'!$B$22),"")</f>
        <v>12.1156922307761</v>
      </c>
    </row>
    <row r="12" customFormat="false" ht="15" hidden="false" customHeight="false" outlineLevel="0" collapsed="false">
      <c r="A12" s="15" t="s">
        <v>94</v>
      </c>
      <c r="B12" s="15" t="s">
        <v>63</v>
      </c>
      <c r="C12" s="15" t="s">
        <v>95</v>
      </c>
      <c r="D12" s="15" t="s">
        <v>456</v>
      </c>
      <c r="E12" s="16" t="n">
        <v>5</v>
      </c>
      <c r="F12" s="15" t="s">
        <v>419</v>
      </c>
      <c r="G12" s="8" t="n">
        <v>6</v>
      </c>
      <c r="H12" s="15" t="s">
        <v>510</v>
      </c>
      <c r="I12" s="15" t="s">
        <v>511</v>
      </c>
      <c r="J12" s="15" t="s">
        <v>512</v>
      </c>
      <c r="K12" s="8" t="n">
        <v>5</v>
      </c>
      <c r="L12" s="8" t="n">
        <v>0</v>
      </c>
      <c r="M12" s="8" t="n">
        <v>2</v>
      </c>
      <c r="N12" s="8" t="n">
        <v>12</v>
      </c>
      <c r="O12" s="8" t="n">
        <v>5</v>
      </c>
      <c r="P12" s="9" t="n">
        <v>26.0970228938945</v>
      </c>
      <c r="Q12" s="10" t="n">
        <v>0.0383185470643838</v>
      </c>
      <c r="R12" s="9" t="n">
        <v>15</v>
      </c>
      <c r="S12" s="12" t="n">
        <f aca="false">IF(AND(ISNUMBER(R12),R12&gt;1,P12&gt;0),R12/P12-1,"")</f>
        <v>-0.425221794034242</v>
      </c>
      <c r="T12" s="9" t="n">
        <f aca="false">IF(AND(ISNUMBER(P12),P12&gt;0),P12*EXP('Read me'!$B$22),"")</f>
        <v>31.8749757423718</v>
      </c>
    </row>
    <row r="13" customFormat="false" ht="15" hidden="false" customHeight="false" outlineLevel="0" collapsed="false">
      <c r="A13" s="15" t="s">
        <v>94</v>
      </c>
      <c r="B13" s="15" t="s">
        <v>63</v>
      </c>
      <c r="C13" s="15" t="s">
        <v>95</v>
      </c>
      <c r="D13" s="15" t="s">
        <v>456</v>
      </c>
      <c r="E13" s="16" t="n">
        <v>5</v>
      </c>
      <c r="F13" s="15" t="s">
        <v>419</v>
      </c>
      <c r="G13" s="8" t="n">
        <v>6</v>
      </c>
      <c r="H13" s="15" t="s">
        <v>513</v>
      </c>
      <c r="I13" s="15" t="s">
        <v>514</v>
      </c>
      <c r="J13" s="15" t="s">
        <v>428</v>
      </c>
      <c r="K13" s="8" t="n">
        <v>4</v>
      </c>
      <c r="L13" s="8" t="n">
        <v>59</v>
      </c>
      <c r="M13" s="8" t="n">
        <v>2</v>
      </c>
      <c r="N13" s="8" t="n">
        <v>12</v>
      </c>
      <c r="O13" s="8" t="n">
        <v>6</v>
      </c>
      <c r="P13" s="9" t="n">
        <v>42.9345169949315</v>
      </c>
      <c r="Q13" s="10" t="n">
        <v>0.0232912833308</v>
      </c>
      <c r="R13" s="9" t="n">
        <v>19</v>
      </c>
      <c r="S13" s="12" t="n">
        <f aca="false">IF(AND(ISNUMBER(R13),R13&gt;1,P13&gt;0),R13/P13-1,"")</f>
        <v>-0.557465616714799</v>
      </c>
      <c r="T13" s="9" t="n">
        <f aca="false">IF(AND(ISNUMBER(P13),P13&gt;0),P13*EXP('Read me'!$B$22),"")</f>
        <v>52.440337477884</v>
      </c>
    </row>
    <row r="14" customFormat="false" ht="15" hidden="false" customHeight="false" outlineLevel="0" collapsed="false">
      <c r="A14" s="15" t="s">
        <v>123</v>
      </c>
      <c r="B14" s="15" t="s">
        <v>63</v>
      </c>
      <c r="C14" s="15" t="s">
        <v>124</v>
      </c>
      <c r="D14" s="15" t="s">
        <v>418</v>
      </c>
      <c r="E14" s="16" t="n">
        <v>6</v>
      </c>
      <c r="F14" s="15" t="s">
        <v>419</v>
      </c>
      <c r="G14" s="8" t="n">
        <v>7</v>
      </c>
      <c r="H14" s="15" t="s">
        <v>125</v>
      </c>
      <c r="I14" s="15" t="s">
        <v>126</v>
      </c>
      <c r="J14" s="15" t="s">
        <v>127</v>
      </c>
      <c r="K14" s="8" t="n">
        <v>6</v>
      </c>
      <c r="L14" s="8" t="n">
        <v>65</v>
      </c>
      <c r="M14" s="8" t="n">
        <v>2</v>
      </c>
      <c r="N14" s="8" t="n">
        <v>13</v>
      </c>
      <c r="O14" s="8" t="n">
        <v>1</v>
      </c>
      <c r="P14" s="9" t="n">
        <v>2.88425361964778</v>
      </c>
      <c r="Q14" s="10" t="n">
        <v>0.346710148229655</v>
      </c>
      <c r="R14" s="9" t="n">
        <v>3</v>
      </c>
      <c r="S14" s="12" t="n">
        <f aca="false">IF(AND(ISNUMBER(R14),R14&gt;1,P14&gt;0),R14/P14-1,"")</f>
        <v>0.0401304446889659</v>
      </c>
      <c r="T14" s="9" t="n">
        <f aca="false">IF(AND(ISNUMBER(P14),P14&gt;0),P14*EXP('Read me'!$B$22),"")</f>
        <v>3.52283532627125</v>
      </c>
    </row>
    <row r="15" customFormat="false" ht="15" hidden="false" customHeight="false" outlineLevel="0" collapsed="false">
      <c r="A15" s="15" t="s">
        <v>123</v>
      </c>
      <c r="B15" s="15" t="s">
        <v>63</v>
      </c>
      <c r="C15" s="15" t="s">
        <v>124</v>
      </c>
      <c r="D15" s="15" t="s">
        <v>418</v>
      </c>
      <c r="E15" s="16" t="n">
        <v>6</v>
      </c>
      <c r="F15" s="15" t="s">
        <v>419</v>
      </c>
      <c r="G15" s="8" t="n">
        <v>7</v>
      </c>
      <c r="H15" s="15" t="s">
        <v>128</v>
      </c>
      <c r="I15" s="15" t="s">
        <v>514</v>
      </c>
      <c r="J15" s="15" t="s">
        <v>428</v>
      </c>
      <c r="K15" s="8" t="n">
        <v>1</v>
      </c>
      <c r="L15" s="8" t="n">
        <v>50</v>
      </c>
      <c r="M15" s="8" t="n">
        <v>2</v>
      </c>
      <c r="N15" s="8" t="n">
        <v>35</v>
      </c>
      <c r="O15" s="8" t="n">
        <v>2</v>
      </c>
      <c r="P15" s="9" t="n">
        <v>5.41645856092125</v>
      </c>
      <c r="Q15" s="10" t="n">
        <v>0.184622477722772</v>
      </c>
      <c r="R15" s="9" t="n">
        <v>4.5</v>
      </c>
      <c r="S15" s="12" t="n">
        <f aca="false">IF(AND(ISNUMBER(R15),R15&gt;1,P15&gt;0),R15/P15-1,"")</f>
        <v>-0.169198850247527</v>
      </c>
      <c r="T15" s="9" t="n">
        <f aca="false">IF(AND(ISNUMBER(P15),P15&gt;0),P15*EXP('Read me'!$B$22),"")</f>
        <v>6.61567742576948</v>
      </c>
    </row>
    <row r="16" customFormat="false" ht="15" hidden="false" customHeight="false" outlineLevel="0" collapsed="false">
      <c r="A16" s="15" t="s">
        <v>123</v>
      </c>
      <c r="B16" s="15" t="s">
        <v>63</v>
      </c>
      <c r="C16" s="15" t="s">
        <v>124</v>
      </c>
      <c r="D16" s="15" t="s">
        <v>418</v>
      </c>
      <c r="E16" s="16" t="n">
        <v>6</v>
      </c>
      <c r="F16" s="15" t="s">
        <v>419</v>
      </c>
      <c r="G16" s="8" t="n">
        <v>7</v>
      </c>
      <c r="H16" s="15" t="s">
        <v>600</v>
      </c>
      <c r="I16" s="15" t="s">
        <v>601</v>
      </c>
      <c r="J16" s="15" t="s">
        <v>602</v>
      </c>
      <c r="K16" s="8" t="n">
        <v>2</v>
      </c>
      <c r="L16" s="8" t="n">
        <v>48</v>
      </c>
      <c r="M16" s="8" t="n">
        <v>2</v>
      </c>
      <c r="N16" s="8" t="n">
        <v>26</v>
      </c>
      <c r="O16" s="8" t="n">
        <v>3</v>
      </c>
      <c r="P16" s="9" t="n">
        <v>6.42915632561056</v>
      </c>
      <c r="Q16" s="10" t="n">
        <v>0.155541403778984</v>
      </c>
      <c r="R16" s="9" t="n">
        <v>6.5</v>
      </c>
      <c r="S16" s="12" t="n">
        <f aca="false">IF(AND(ISNUMBER(R16),R16&gt;1,P16&gt;0),R16/P16-1,"")</f>
        <v>0.0110191245633948</v>
      </c>
      <c r="T16" s="9" t="n">
        <f aca="false">IF(AND(ISNUMBER(P16),P16&gt;0),P16*EXP('Read me'!$B$22),"")</f>
        <v>7.85258926874364</v>
      </c>
    </row>
    <row r="17" customFormat="false" ht="15" hidden="false" customHeight="false" outlineLevel="0" collapsed="false">
      <c r="A17" s="15" t="s">
        <v>123</v>
      </c>
      <c r="B17" s="15" t="s">
        <v>63</v>
      </c>
      <c r="C17" s="15" t="s">
        <v>124</v>
      </c>
      <c r="D17" s="15" t="s">
        <v>418</v>
      </c>
      <c r="E17" s="16" t="n">
        <v>6</v>
      </c>
      <c r="F17" s="15" t="s">
        <v>419</v>
      </c>
      <c r="G17" s="8" t="n">
        <v>7</v>
      </c>
      <c r="H17" s="15" t="s">
        <v>603</v>
      </c>
      <c r="I17" s="15" t="s">
        <v>604</v>
      </c>
      <c r="J17" s="15" t="s">
        <v>605</v>
      </c>
      <c r="K17" s="8" t="n">
        <v>4</v>
      </c>
      <c r="L17" s="8" t="n">
        <v>53</v>
      </c>
      <c r="M17" s="8" t="n">
        <v>2</v>
      </c>
      <c r="N17" s="8" t="n">
        <v>20</v>
      </c>
      <c r="O17" s="8" t="n">
        <v>4</v>
      </c>
      <c r="P17" s="9" t="n">
        <v>10.5451046147998</v>
      </c>
      <c r="Q17" s="10" t="n">
        <v>0.0948307329826318</v>
      </c>
      <c r="R17" s="9" t="n">
        <v>9.5</v>
      </c>
      <c r="S17" s="12" t="n">
        <f aca="false">IF(AND(ISNUMBER(R17),R17&gt;1,P17&gt;0),R17/P17-1,"")</f>
        <v>-0.099108036664998</v>
      </c>
      <c r="T17" s="9" t="n">
        <f aca="false">IF(AND(ISNUMBER(P17),P17&gt;0),P17*EXP('Read me'!$B$22),"")</f>
        <v>12.879819861604</v>
      </c>
    </row>
    <row r="18" customFormat="false" ht="15" hidden="false" customHeight="false" outlineLevel="0" collapsed="false">
      <c r="A18" s="15" t="s">
        <v>123</v>
      </c>
      <c r="B18" s="15" t="s">
        <v>63</v>
      </c>
      <c r="C18" s="15" t="s">
        <v>124</v>
      </c>
      <c r="D18" s="15" t="s">
        <v>418</v>
      </c>
      <c r="E18" s="16" t="n">
        <v>6</v>
      </c>
      <c r="F18" s="15" t="s">
        <v>419</v>
      </c>
      <c r="G18" s="8" t="n">
        <v>7</v>
      </c>
      <c r="H18" s="15" t="s">
        <v>606</v>
      </c>
      <c r="I18" s="15" t="s">
        <v>607</v>
      </c>
      <c r="J18" s="15" t="s">
        <v>608</v>
      </c>
      <c r="K18" s="8" t="n">
        <v>3</v>
      </c>
      <c r="L18" s="8" t="n">
        <v>66</v>
      </c>
      <c r="M18" s="8" t="n">
        <v>2</v>
      </c>
      <c r="N18" s="8" t="n">
        <v>23</v>
      </c>
      <c r="O18" s="8" t="n">
        <v>5</v>
      </c>
      <c r="P18" s="9" t="n">
        <v>10.9997626724353</v>
      </c>
      <c r="Q18" s="10" t="n">
        <v>0.0909110523362411</v>
      </c>
      <c r="R18" s="9" t="n">
        <v>8.5</v>
      </c>
      <c r="S18" s="12" t="n">
        <f aca="false">IF(AND(ISNUMBER(R18),R18&gt;1,P18&gt;0),R18/P18-1,"")</f>
        <v>-0.22725605514195</v>
      </c>
      <c r="T18" s="9" t="n">
        <f aca="false">IF(AND(ISNUMBER(P18),P18&gt;0),P18*EXP('Read me'!$B$22),"")</f>
        <v>13.4351404672198</v>
      </c>
    </row>
    <row r="19" customFormat="false" ht="15" hidden="false" customHeight="false" outlineLevel="0" collapsed="false">
      <c r="A19" s="15" t="s">
        <v>123</v>
      </c>
      <c r="B19" s="15" t="s">
        <v>63</v>
      </c>
      <c r="C19" s="15" t="s">
        <v>124</v>
      </c>
      <c r="D19" s="15" t="s">
        <v>418</v>
      </c>
      <c r="E19" s="16" t="n">
        <v>6</v>
      </c>
      <c r="F19" s="15" t="s">
        <v>419</v>
      </c>
      <c r="G19" s="8" t="n">
        <v>7</v>
      </c>
      <c r="H19" s="15" t="s">
        <v>609</v>
      </c>
      <c r="I19" s="15" t="s">
        <v>508</v>
      </c>
      <c r="J19" s="15" t="s">
        <v>610</v>
      </c>
      <c r="K19" s="8" t="n">
        <v>7</v>
      </c>
      <c r="L19" s="8" t="n">
        <v>55</v>
      </c>
      <c r="M19" s="8" t="n">
        <v>2</v>
      </c>
      <c r="N19" s="8" t="n">
        <v>14</v>
      </c>
      <c r="O19" s="8" t="n">
        <v>6</v>
      </c>
      <c r="P19" s="9" t="n">
        <v>14.8379135783269</v>
      </c>
      <c r="Q19" s="10" t="n">
        <v>0.0673949200958186</v>
      </c>
      <c r="R19" s="9" t="n">
        <v>10</v>
      </c>
      <c r="S19" s="12" t="n">
        <f aca="false">IF(AND(ISNUMBER(R19),R19&gt;1,P19&gt;0),R19/P19-1,"")</f>
        <v>-0.326050799041814</v>
      </c>
      <c r="T19" s="9" t="n">
        <f aca="false">IF(AND(ISNUMBER(P19),P19&gt;0),P19*EXP('Read me'!$B$22),"")</f>
        <v>18.1230685699107</v>
      </c>
    </row>
    <row r="20" customFormat="false" ht="15" hidden="false" customHeight="false" outlineLevel="0" collapsed="false">
      <c r="A20" s="15" t="s">
        <v>123</v>
      </c>
      <c r="B20" s="15" t="s">
        <v>63</v>
      </c>
      <c r="C20" s="15" t="s">
        <v>124</v>
      </c>
      <c r="D20" s="15" t="s">
        <v>418</v>
      </c>
      <c r="E20" s="16" t="n">
        <v>6</v>
      </c>
      <c r="F20" s="15" t="s">
        <v>419</v>
      </c>
      <c r="G20" s="8" t="n">
        <v>7</v>
      </c>
      <c r="H20" s="15" t="s">
        <v>611</v>
      </c>
      <c r="I20" s="15" t="s">
        <v>612</v>
      </c>
      <c r="J20" s="15" t="s">
        <v>512</v>
      </c>
      <c r="K20" s="8" t="n">
        <v>5</v>
      </c>
      <c r="L20" s="8" t="n">
        <v>46</v>
      </c>
      <c r="M20" s="8" t="n">
        <v>2</v>
      </c>
      <c r="N20" s="8" t="n">
        <v>17</v>
      </c>
      <c r="O20" s="8" t="n">
        <v>7</v>
      </c>
      <c r="P20" s="9" t="n">
        <v>16.6696491853247</v>
      </c>
      <c r="Q20" s="10" t="n">
        <v>0.0599892648538974</v>
      </c>
      <c r="R20" s="9" t="n">
        <v>8.5</v>
      </c>
      <c r="S20" s="12" t="n">
        <f aca="false">IF(AND(ISNUMBER(R20),R20&gt;1,P20&gt;0),R20/P20-1,"")</f>
        <v>-0.490091248741872</v>
      </c>
      <c r="T20" s="9" t="n">
        <f aca="false">IF(AND(ISNUMBER(P20),P20&gt;0),P20*EXP('Read me'!$B$22),"")</f>
        <v>20.360355492518</v>
      </c>
    </row>
    <row r="21" customFormat="false" ht="15" hidden="false" customHeight="false" outlineLevel="0" collapsed="false">
      <c r="A21" s="15" t="s">
        <v>153</v>
      </c>
      <c r="B21" s="15" t="s">
        <v>63</v>
      </c>
      <c r="C21" s="15" t="s">
        <v>154</v>
      </c>
      <c r="D21" s="15" t="s">
        <v>432</v>
      </c>
      <c r="E21" s="16" t="n">
        <v>8.5</v>
      </c>
      <c r="F21" s="15" t="s">
        <v>419</v>
      </c>
      <c r="G21" s="8" t="n">
        <v>13</v>
      </c>
      <c r="H21" s="15" t="s">
        <v>155</v>
      </c>
      <c r="I21" s="15" t="s">
        <v>156</v>
      </c>
      <c r="J21" s="15" t="s">
        <v>67</v>
      </c>
      <c r="K21" s="8" t="n">
        <v>7</v>
      </c>
      <c r="L21" s="8" t="n">
        <v>87</v>
      </c>
      <c r="M21" s="8" t="n">
        <v>4</v>
      </c>
      <c r="N21" s="8" t="n">
        <v>11</v>
      </c>
      <c r="O21" s="8" t="n">
        <v>1</v>
      </c>
      <c r="P21" s="9" t="n">
        <v>5.5218412838528</v>
      </c>
      <c r="Q21" s="10" t="n">
        <v>0.181099011832202</v>
      </c>
      <c r="R21" s="9" t="n">
        <v>5</v>
      </c>
      <c r="S21" s="12" t="n">
        <f aca="false">IF(AND(ISNUMBER(R21),R21&gt;1,P21&gt;0),R21/P21-1,"")</f>
        <v>-0.0945049408389892</v>
      </c>
      <c r="T21" s="9" t="n">
        <f aca="false">IF(AND(ISNUMBER(P21),P21&gt;0),P21*EXP('Read me'!$B$22),"")</f>
        <v>6.7443921742205</v>
      </c>
    </row>
    <row r="22" customFormat="false" ht="15" hidden="false" customHeight="false" outlineLevel="0" collapsed="false">
      <c r="A22" s="15" t="s">
        <v>153</v>
      </c>
      <c r="B22" s="15" t="s">
        <v>63</v>
      </c>
      <c r="C22" s="15" t="s">
        <v>154</v>
      </c>
      <c r="D22" s="15" t="s">
        <v>432</v>
      </c>
      <c r="E22" s="16" t="n">
        <v>8.5</v>
      </c>
      <c r="F22" s="15" t="s">
        <v>419</v>
      </c>
      <c r="G22" s="8" t="n">
        <v>13</v>
      </c>
      <c r="H22" s="15" t="s">
        <v>157</v>
      </c>
      <c r="I22" s="15" t="s">
        <v>678</v>
      </c>
      <c r="J22" s="15" t="s">
        <v>679</v>
      </c>
      <c r="K22" s="8" t="n">
        <v>3</v>
      </c>
      <c r="L22" s="8" t="n">
        <v>89</v>
      </c>
      <c r="M22" s="8" t="n">
        <v>4</v>
      </c>
      <c r="N22" s="8" t="n">
        <v>95</v>
      </c>
      <c r="O22" s="8" t="n">
        <v>2</v>
      </c>
      <c r="P22" s="9" t="n">
        <v>7.31118054998036</v>
      </c>
      <c r="Q22" s="10" t="n">
        <v>0.136776816433932</v>
      </c>
      <c r="R22" s="9" t="n">
        <v>5.5</v>
      </c>
      <c r="S22" s="12" t="n">
        <f aca="false">IF(AND(ISNUMBER(R22),R22&gt;1,P22&gt;0),R22/P22-1,"")</f>
        <v>-0.247727509613372</v>
      </c>
      <c r="T22" s="9" t="n">
        <f aca="false">IF(AND(ISNUMBER(P22),P22&gt;0),P22*EXP('Read me'!$B$22),"")</f>
        <v>8.929896089153</v>
      </c>
    </row>
    <row r="23" customFormat="false" ht="15" hidden="false" customHeight="false" outlineLevel="0" collapsed="false">
      <c r="A23" s="15" t="s">
        <v>153</v>
      </c>
      <c r="B23" s="15" t="s">
        <v>63</v>
      </c>
      <c r="C23" s="15" t="s">
        <v>154</v>
      </c>
      <c r="D23" s="15" t="s">
        <v>432</v>
      </c>
      <c r="E23" s="16" t="n">
        <v>8.5</v>
      </c>
      <c r="F23" s="15" t="s">
        <v>419</v>
      </c>
      <c r="G23" s="8" t="n">
        <v>13</v>
      </c>
      <c r="H23" s="15" t="s">
        <v>680</v>
      </c>
      <c r="I23" s="15" t="s">
        <v>181</v>
      </c>
      <c r="J23" s="15" t="s">
        <v>681</v>
      </c>
      <c r="K23" s="8" t="n">
        <v>4</v>
      </c>
      <c r="L23" s="8" t="n">
        <v>84</v>
      </c>
      <c r="M23" s="8" t="n">
        <v>8</v>
      </c>
      <c r="N23" s="8" t="n">
        <v>23</v>
      </c>
      <c r="O23" s="8" t="n">
        <v>3</v>
      </c>
      <c r="P23" s="9" t="n">
        <v>8.04234986015393</v>
      </c>
      <c r="Q23" s="10" t="n">
        <v>0.124341767939558</v>
      </c>
      <c r="R23" s="9" t="n">
        <v>7</v>
      </c>
      <c r="S23" s="12" t="n">
        <f aca="false">IF(AND(ISNUMBER(R23),R23&gt;1,P23&gt;0),R23/P23-1,"")</f>
        <v>-0.129607624423091</v>
      </c>
      <c r="T23" s="9" t="n">
        <f aca="false">IF(AND(ISNUMBER(P23),P23&gt;0),P23*EXP('Read me'!$B$22),"")</f>
        <v>9.82294830128107</v>
      </c>
    </row>
    <row r="24" customFormat="false" ht="15" hidden="false" customHeight="false" outlineLevel="0" collapsed="false">
      <c r="A24" s="15" t="s">
        <v>153</v>
      </c>
      <c r="B24" s="15" t="s">
        <v>63</v>
      </c>
      <c r="C24" s="15" t="s">
        <v>154</v>
      </c>
      <c r="D24" s="15" t="s">
        <v>432</v>
      </c>
      <c r="E24" s="16" t="n">
        <v>8.5</v>
      </c>
      <c r="F24" s="15" t="s">
        <v>419</v>
      </c>
      <c r="G24" s="8" t="n">
        <v>13</v>
      </c>
      <c r="H24" s="15" t="s">
        <v>682</v>
      </c>
      <c r="I24" s="15" t="s">
        <v>683</v>
      </c>
      <c r="J24" s="15" t="s">
        <v>684</v>
      </c>
      <c r="K24" s="8" t="n">
        <v>5</v>
      </c>
      <c r="L24" s="8" t="n">
        <v>82</v>
      </c>
      <c r="M24" s="8" t="n">
        <v>4</v>
      </c>
      <c r="N24" s="8" t="n">
        <v>16</v>
      </c>
      <c r="O24" s="8" t="n">
        <v>4</v>
      </c>
      <c r="P24" s="9" t="n">
        <v>9.027980916331</v>
      </c>
      <c r="Q24" s="10" t="n">
        <v>0.110766738351326</v>
      </c>
      <c r="R24" s="9" t="n">
        <v>9</v>
      </c>
      <c r="S24" s="12" t="n">
        <f aca="false">IF(AND(ISNUMBER(R24),R24&gt;1,P24&gt;0),R24/P24-1,"")</f>
        <v>-0.00309935483806578</v>
      </c>
      <c r="T24" s="9" t="n">
        <f aca="false">IF(AND(ISNUMBER(P24),P24&gt;0),P24*EXP('Read me'!$B$22),"")</f>
        <v>11.0268007918241</v>
      </c>
    </row>
    <row r="25" customFormat="false" ht="15" hidden="false" customHeight="false" outlineLevel="0" collapsed="false">
      <c r="A25" s="15" t="s">
        <v>153</v>
      </c>
      <c r="B25" s="15" t="s">
        <v>63</v>
      </c>
      <c r="C25" s="15" t="s">
        <v>154</v>
      </c>
      <c r="D25" s="15" t="s">
        <v>432</v>
      </c>
      <c r="E25" s="16" t="n">
        <v>8.5</v>
      </c>
      <c r="F25" s="15" t="s">
        <v>419</v>
      </c>
      <c r="G25" s="8" t="n">
        <v>13</v>
      </c>
      <c r="H25" s="15" t="s">
        <v>685</v>
      </c>
      <c r="I25" s="15" t="s">
        <v>604</v>
      </c>
      <c r="J25" s="15" t="s">
        <v>605</v>
      </c>
      <c r="K25" s="8" t="n">
        <v>9</v>
      </c>
      <c r="L25" s="8" t="n">
        <v>88</v>
      </c>
      <c r="M25" s="8" t="n">
        <v>3</v>
      </c>
      <c r="N25" s="8" t="n">
        <v>18</v>
      </c>
      <c r="O25" s="8" t="n">
        <v>5</v>
      </c>
      <c r="P25" s="9" t="n">
        <v>9.91036452391861</v>
      </c>
      <c r="Q25" s="10" t="n">
        <v>0.100904461948549</v>
      </c>
      <c r="R25" s="9" t="n">
        <v>8.5</v>
      </c>
      <c r="S25" s="12" t="n">
        <f aca="false">IF(AND(ISNUMBER(R25),R25&gt;1,P25&gt;0),R25/P25-1,"")</f>
        <v>-0.14231207343733</v>
      </c>
      <c r="T25" s="9" t="n">
        <f aca="false">IF(AND(ISNUMBER(P25),P25&gt;0),P25*EXP('Read me'!$B$22),"")</f>
        <v>12.1045465638869</v>
      </c>
    </row>
    <row r="26" customFormat="false" ht="15" hidden="false" customHeight="false" outlineLevel="0" collapsed="false">
      <c r="A26" s="15" t="s">
        <v>153</v>
      </c>
      <c r="B26" s="15" t="s">
        <v>63</v>
      </c>
      <c r="C26" s="15" t="s">
        <v>154</v>
      </c>
      <c r="D26" s="15" t="s">
        <v>432</v>
      </c>
      <c r="E26" s="16" t="n">
        <v>8.5</v>
      </c>
      <c r="F26" s="15" t="s">
        <v>419</v>
      </c>
      <c r="G26" s="8" t="n">
        <v>13</v>
      </c>
      <c r="H26" s="15" t="s">
        <v>686</v>
      </c>
      <c r="I26" s="15" t="s">
        <v>687</v>
      </c>
      <c r="J26" s="15" t="s">
        <v>688</v>
      </c>
      <c r="K26" s="8" t="n">
        <v>6</v>
      </c>
      <c r="L26" s="8" t="n">
        <v>87</v>
      </c>
      <c r="M26" s="8" t="n">
        <v>7</v>
      </c>
      <c r="N26" s="8" t="n">
        <v>9</v>
      </c>
      <c r="O26" s="8" t="n">
        <v>6</v>
      </c>
      <c r="P26" s="9" t="n">
        <v>16.54514131034</v>
      </c>
      <c r="Q26" s="10" t="n">
        <v>0.0604407046904484</v>
      </c>
      <c r="R26" s="9" t="n">
        <v>15</v>
      </c>
      <c r="S26" s="12" t="n">
        <f aca="false">IF(AND(ISNUMBER(R26),R26&gt;1,P26&gt;0),R26/P26-1,"")</f>
        <v>-0.0933894296432731</v>
      </c>
      <c r="T26" s="9" t="n">
        <f aca="false">IF(AND(ISNUMBER(P26),P26&gt;0),P26*EXP('Read me'!$B$22),"")</f>
        <v>20.2082812305991</v>
      </c>
    </row>
    <row r="27" customFormat="false" ht="15" hidden="false" customHeight="false" outlineLevel="0" collapsed="false">
      <c r="A27" s="15" t="s">
        <v>153</v>
      </c>
      <c r="B27" s="15" t="s">
        <v>63</v>
      </c>
      <c r="C27" s="15" t="s">
        <v>154</v>
      </c>
      <c r="D27" s="15" t="s">
        <v>432</v>
      </c>
      <c r="E27" s="16" t="n">
        <v>8.5</v>
      </c>
      <c r="F27" s="15" t="s">
        <v>419</v>
      </c>
      <c r="G27" s="8" t="n">
        <v>13</v>
      </c>
      <c r="H27" s="15" t="s">
        <v>689</v>
      </c>
      <c r="I27" s="15" t="s">
        <v>607</v>
      </c>
      <c r="J27" s="15" t="s">
        <v>428</v>
      </c>
      <c r="K27" s="8" t="n">
        <v>8</v>
      </c>
      <c r="L27" s="8" t="n">
        <v>82</v>
      </c>
      <c r="M27" s="8" t="n">
        <v>7</v>
      </c>
      <c r="N27" s="8" t="n">
        <v>22</v>
      </c>
      <c r="O27" s="8" t="n">
        <v>7</v>
      </c>
      <c r="P27" s="9" t="n">
        <v>17.0776836401755</v>
      </c>
      <c r="Q27" s="10" t="n">
        <v>0.0585559506236247</v>
      </c>
      <c r="R27" s="9" t="n">
        <v>6</v>
      </c>
      <c r="S27" s="12" t="n">
        <f aca="false">IF(AND(ISNUMBER(R27),R27&gt;1,P27&gt;0),R27/P27-1,"")</f>
        <v>-0.648664296258252</v>
      </c>
      <c r="T27" s="9" t="n">
        <f aca="false">IF(AND(ISNUMBER(P27),P27&gt;0),P27*EXP('Read me'!$B$22),"")</f>
        <v>20.8587299010972</v>
      </c>
    </row>
    <row r="28" customFormat="false" ht="15" hidden="false" customHeight="false" outlineLevel="0" collapsed="false">
      <c r="A28" s="15" t="s">
        <v>153</v>
      </c>
      <c r="B28" s="15" t="s">
        <v>63</v>
      </c>
      <c r="C28" s="15" t="s">
        <v>154</v>
      </c>
      <c r="D28" s="15" t="s">
        <v>432</v>
      </c>
      <c r="E28" s="16" t="n">
        <v>8.5</v>
      </c>
      <c r="F28" s="15" t="s">
        <v>419</v>
      </c>
      <c r="G28" s="8" t="n">
        <v>13</v>
      </c>
      <c r="H28" s="15" t="s">
        <v>690</v>
      </c>
      <c r="I28" s="15" t="s">
        <v>505</v>
      </c>
      <c r="J28" s="15" t="s">
        <v>506</v>
      </c>
      <c r="K28" s="8" t="n">
        <v>10</v>
      </c>
      <c r="L28" s="8" t="n">
        <v>75</v>
      </c>
      <c r="M28" s="8" t="n">
        <v>5</v>
      </c>
      <c r="N28" s="8" t="n">
        <v>8</v>
      </c>
      <c r="O28" s="8" t="n">
        <v>8</v>
      </c>
      <c r="P28" s="9" t="n">
        <v>18.4776164623925</v>
      </c>
      <c r="Q28" s="10" t="n">
        <v>0.0541195344126392</v>
      </c>
      <c r="R28" s="9" t="n">
        <v>21</v>
      </c>
      <c r="S28" s="12" t="n">
        <f aca="false">IF(AND(ISNUMBER(R28),R28&gt;1,P28&gt;0),R28/P28-1,"")</f>
        <v>0.136510222665424</v>
      </c>
      <c r="T28" s="9" t="n">
        <f aca="false">IF(AND(ISNUMBER(P28),P28&gt;0),P28*EXP('Read me'!$B$22),"")</f>
        <v>22.568611711392</v>
      </c>
    </row>
    <row r="29" customFormat="false" ht="15" hidden="false" customHeight="false" outlineLevel="0" collapsed="false">
      <c r="A29" s="15" t="s">
        <v>153</v>
      </c>
      <c r="B29" s="15" t="s">
        <v>63</v>
      </c>
      <c r="C29" s="15" t="s">
        <v>154</v>
      </c>
      <c r="D29" s="15" t="s">
        <v>432</v>
      </c>
      <c r="E29" s="16" t="n">
        <v>8.5</v>
      </c>
      <c r="F29" s="15" t="s">
        <v>419</v>
      </c>
      <c r="G29" s="8" t="n">
        <v>13</v>
      </c>
      <c r="H29" s="15" t="s">
        <v>691</v>
      </c>
      <c r="I29" s="15" t="s">
        <v>692</v>
      </c>
      <c r="J29" s="15" t="s">
        <v>693</v>
      </c>
      <c r="K29" s="8" t="n">
        <v>13</v>
      </c>
      <c r="L29" s="8" t="n">
        <v>77</v>
      </c>
      <c r="M29" s="8" t="n">
        <v>4</v>
      </c>
      <c r="N29" s="8" t="n">
        <v>22</v>
      </c>
      <c r="O29" s="8" t="n">
        <v>9</v>
      </c>
      <c r="P29" s="9" t="n">
        <v>18.5897175146878</v>
      </c>
      <c r="Q29" s="10" t="n">
        <v>0.0537931789017179</v>
      </c>
      <c r="R29" s="9" t="n">
        <v>19</v>
      </c>
      <c r="S29" s="12" t="n">
        <f aca="false">IF(AND(ISNUMBER(R29),R29&gt;1,P29&gt;0),R29/P29-1,"")</f>
        <v>0.0220703991326412</v>
      </c>
      <c r="T29" s="9" t="n">
        <f aca="false">IF(AND(ISNUMBER(P29),P29&gt;0),P29*EXP('Read me'!$B$22),"")</f>
        <v>22.7055322458581</v>
      </c>
    </row>
    <row r="30" customFormat="false" ht="15" hidden="false" customHeight="false" outlineLevel="0" collapsed="false">
      <c r="A30" s="15" t="s">
        <v>153</v>
      </c>
      <c r="B30" s="15" t="s">
        <v>63</v>
      </c>
      <c r="C30" s="15" t="s">
        <v>154</v>
      </c>
      <c r="D30" s="15" t="s">
        <v>432</v>
      </c>
      <c r="E30" s="16" t="n">
        <v>8.5</v>
      </c>
      <c r="F30" s="15" t="s">
        <v>419</v>
      </c>
      <c r="G30" s="8" t="n">
        <v>13</v>
      </c>
      <c r="H30" s="15" t="s">
        <v>694</v>
      </c>
      <c r="I30" s="15" t="s">
        <v>126</v>
      </c>
      <c r="J30" s="15" t="s">
        <v>127</v>
      </c>
      <c r="K30" s="8" t="n">
        <v>2</v>
      </c>
      <c r="L30" s="8" t="n">
        <v>81</v>
      </c>
      <c r="M30" s="8" t="n">
        <v>3</v>
      </c>
      <c r="N30" s="8" t="n">
        <v>22</v>
      </c>
      <c r="O30" s="8" t="n">
        <v>10</v>
      </c>
      <c r="P30" s="9" t="n">
        <v>25.8086747535464</v>
      </c>
      <c r="Q30" s="10" t="n">
        <v>0.0387466621029267</v>
      </c>
      <c r="R30" s="9" t="n">
        <v>17</v>
      </c>
      <c r="S30" s="12" t="n">
        <f aca="false">IF(AND(ISNUMBER(R30),R30&gt;1,P30&gt;0),R30/P30-1,"")</f>
        <v>-0.341306744250245</v>
      </c>
      <c r="T30" s="9" t="n">
        <f aca="false">IF(AND(ISNUMBER(P30),P30&gt;0),P30*EXP('Read me'!$B$22),"")</f>
        <v>31.5227865284403</v>
      </c>
    </row>
    <row r="31" customFormat="false" ht="15" hidden="false" customHeight="false" outlineLevel="0" collapsed="false">
      <c r="A31" s="15" t="s">
        <v>153</v>
      </c>
      <c r="B31" s="15" t="s">
        <v>63</v>
      </c>
      <c r="C31" s="15" t="s">
        <v>154</v>
      </c>
      <c r="D31" s="15" t="s">
        <v>432</v>
      </c>
      <c r="E31" s="16" t="n">
        <v>8.5</v>
      </c>
      <c r="F31" s="15" t="s">
        <v>419</v>
      </c>
      <c r="G31" s="8" t="n">
        <v>13</v>
      </c>
      <c r="H31" s="15" t="s">
        <v>695</v>
      </c>
      <c r="I31" s="15" t="s">
        <v>696</v>
      </c>
      <c r="J31" s="15" t="s">
        <v>182</v>
      </c>
      <c r="K31" s="8" t="n">
        <v>12</v>
      </c>
      <c r="L31" s="8" t="n">
        <v>81</v>
      </c>
      <c r="M31" s="8" t="n">
        <v>6</v>
      </c>
      <c r="N31" s="8" t="n">
        <v>11</v>
      </c>
      <c r="O31" s="8" t="n">
        <v>11</v>
      </c>
      <c r="P31" s="9" t="n">
        <v>29.6907971458603</v>
      </c>
      <c r="Q31" s="10" t="n">
        <v>0.033680469914208</v>
      </c>
      <c r="R31" s="9" t="n">
        <v>29</v>
      </c>
      <c r="S31" s="12" t="n">
        <f aca="false">IF(AND(ISNUMBER(R31),R31&gt;1,P31&gt;0),R31/P31-1,"")</f>
        <v>-0.023266372487967</v>
      </c>
      <c r="T31" s="9" t="n">
        <f aca="false">IF(AND(ISNUMBER(P31),P31&gt;0),P31*EXP('Read me'!$B$22),"")</f>
        <v>36.2644215259278</v>
      </c>
    </row>
    <row r="32" customFormat="false" ht="15" hidden="false" customHeight="false" outlineLevel="0" collapsed="false">
      <c r="A32" s="15" t="s">
        <v>153</v>
      </c>
      <c r="B32" s="15" t="s">
        <v>63</v>
      </c>
      <c r="C32" s="15" t="s">
        <v>154</v>
      </c>
      <c r="D32" s="15" t="s">
        <v>432</v>
      </c>
      <c r="E32" s="16" t="n">
        <v>8.5</v>
      </c>
      <c r="F32" s="15" t="s">
        <v>419</v>
      </c>
      <c r="G32" s="8" t="n">
        <v>13</v>
      </c>
      <c r="H32" s="15" t="s">
        <v>697</v>
      </c>
      <c r="I32" s="15" t="s">
        <v>249</v>
      </c>
      <c r="J32" s="15" t="s">
        <v>250</v>
      </c>
      <c r="K32" s="8" t="n">
        <v>11</v>
      </c>
      <c r="L32" s="8" t="n">
        <v>70</v>
      </c>
      <c r="M32" s="8" t="n">
        <v>4</v>
      </c>
      <c r="N32" s="8" t="n">
        <v>11</v>
      </c>
      <c r="O32" s="8" t="n">
        <v>12</v>
      </c>
      <c r="P32" s="9" t="n">
        <v>36.4030067253592</v>
      </c>
      <c r="Q32" s="10" t="n">
        <v>0.0274702583647678</v>
      </c>
      <c r="R32" s="9" t="n">
        <v>23</v>
      </c>
      <c r="S32" s="12" t="n">
        <f aca="false">IF(AND(ISNUMBER(R32),R32&gt;1,P32&gt;0),R32/P32-1,"")</f>
        <v>-0.368184057610339</v>
      </c>
      <c r="T32" s="9" t="n">
        <f aca="false">IF(AND(ISNUMBER(P32),P32&gt;0),P32*EXP('Read me'!$B$22),"")</f>
        <v>44.4627328196769</v>
      </c>
    </row>
    <row r="33" customFormat="false" ht="15" hidden="false" customHeight="false" outlineLevel="0" collapsed="false">
      <c r="A33" s="15" t="s">
        <v>153</v>
      </c>
      <c r="B33" s="15" t="s">
        <v>63</v>
      </c>
      <c r="C33" s="15" t="s">
        <v>154</v>
      </c>
      <c r="D33" s="15" t="s">
        <v>432</v>
      </c>
      <c r="E33" s="16" t="n">
        <v>8.5</v>
      </c>
      <c r="F33" s="15" t="s">
        <v>419</v>
      </c>
      <c r="G33" s="8" t="n">
        <v>13</v>
      </c>
      <c r="H33" s="15" t="s">
        <v>698</v>
      </c>
      <c r="I33" s="15" t="s">
        <v>508</v>
      </c>
      <c r="J33" s="15" t="s">
        <v>509</v>
      </c>
      <c r="K33" s="8" t="n">
        <v>1</v>
      </c>
      <c r="L33" s="8" t="n">
        <v>86</v>
      </c>
      <c r="M33" s="8" t="n">
        <v>4</v>
      </c>
      <c r="N33" s="8" t="n">
        <v>16</v>
      </c>
      <c r="O33" s="8" t="n">
        <v>13</v>
      </c>
      <c r="P33" s="9" t="n">
        <v>51.8015424284145</v>
      </c>
      <c r="Q33" s="10" t="n">
        <v>0.0193044444840985</v>
      </c>
      <c r="R33" s="9" t="n">
        <v>51</v>
      </c>
      <c r="S33" s="12" t="n">
        <f aca="false">IF(AND(ISNUMBER(R33),R33&gt;1,P33&gt;0),R33/P33-1,"")</f>
        <v>-0.0154733313109764</v>
      </c>
      <c r="T33" s="9" t="n">
        <f aca="false">IF(AND(ISNUMBER(P33),P33&gt;0),P33*EXP('Read me'!$B$22),"")</f>
        <v>63.2705467990165</v>
      </c>
    </row>
    <row r="34" customFormat="false" ht="15" hidden="false" customHeight="false" outlineLevel="0" collapsed="false">
      <c r="A34" s="15" t="s">
        <v>178</v>
      </c>
      <c r="B34" s="15" t="s">
        <v>63</v>
      </c>
      <c r="C34" s="15" t="s">
        <v>179</v>
      </c>
      <c r="D34" s="15" t="s">
        <v>432</v>
      </c>
      <c r="E34" s="16" t="n">
        <v>5</v>
      </c>
      <c r="F34" s="15" t="s">
        <v>419</v>
      </c>
      <c r="G34" s="8" t="n">
        <v>9</v>
      </c>
      <c r="H34" s="15" t="s">
        <v>180</v>
      </c>
      <c r="I34" s="15" t="s">
        <v>181</v>
      </c>
      <c r="J34" s="15" t="s">
        <v>182</v>
      </c>
      <c r="K34" s="8" t="n">
        <v>5</v>
      </c>
      <c r="L34" s="8" t="n">
        <v>82</v>
      </c>
      <c r="M34" s="8" t="n">
        <v>4</v>
      </c>
      <c r="N34" s="8" t="n">
        <v>7</v>
      </c>
      <c r="O34" s="8" t="n">
        <v>1</v>
      </c>
      <c r="P34" s="9" t="n">
        <v>2.65922917843824</v>
      </c>
      <c r="Q34" s="10" t="n">
        <v>0.376048822007623</v>
      </c>
      <c r="R34" s="9" t="n">
        <v>2.2</v>
      </c>
      <c r="S34" s="12" t="n">
        <f aca="false">IF(AND(ISNUMBER(R34),R34&gt;1,P34&gt;0),R34/P34-1,"")</f>
        <v>-0.17269259158323</v>
      </c>
      <c r="T34" s="9" t="n">
        <f aca="false">IF(AND(ISNUMBER(P34),P34&gt;0),P34*EXP('Read me'!$B$22),"")</f>
        <v>3.24798985312447</v>
      </c>
    </row>
    <row r="35" customFormat="false" ht="15" hidden="false" customHeight="false" outlineLevel="0" collapsed="false">
      <c r="A35" s="15" t="s">
        <v>178</v>
      </c>
      <c r="B35" s="15" t="s">
        <v>63</v>
      </c>
      <c r="C35" s="15" t="s">
        <v>179</v>
      </c>
      <c r="D35" s="15" t="s">
        <v>432</v>
      </c>
      <c r="E35" s="16" t="n">
        <v>5</v>
      </c>
      <c r="F35" s="15" t="s">
        <v>419</v>
      </c>
      <c r="G35" s="8" t="n">
        <v>9</v>
      </c>
      <c r="H35" s="15" t="s">
        <v>183</v>
      </c>
      <c r="I35" s="15" t="s">
        <v>765</v>
      </c>
      <c r="J35" s="15" t="s">
        <v>766</v>
      </c>
      <c r="K35" s="8" t="n">
        <v>8</v>
      </c>
      <c r="L35" s="8" t="n">
        <v>84</v>
      </c>
      <c r="M35" s="8" t="n">
        <v>4</v>
      </c>
      <c r="N35" s="8" t="n">
        <v>10</v>
      </c>
      <c r="O35" s="8" t="n">
        <v>2</v>
      </c>
      <c r="P35" s="9" t="n">
        <v>6.1222196396582</v>
      </c>
      <c r="Q35" s="10" t="n">
        <v>0.163339451842311</v>
      </c>
      <c r="R35" s="9" t="n">
        <v>4.33333333333333</v>
      </c>
      <c r="S35" s="12" t="n">
        <f aca="false">IF(AND(ISNUMBER(R35),R35&gt;1,P35&gt;0),R35/P35-1,"")</f>
        <v>-0.29219570868332</v>
      </c>
      <c r="T35" s="9" t="n">
        <f aca="false">IF(AND(ISNUMBER(P35),P35&gt;0),P35*EXP('Read me'!$B$22),"")</f>
        <v>7.47769595394089</v>
      </c>
    </row>
    <row r="36" customFormat="false" ht="15" hidden="false" customHeight="false" outlineLevel="0" collapsed="false">
      <c r="A36" s="15" t="s">
        <v>178</v>
      </c>
      <c r="B36" s="15" t="s">
        <v>63</v>
      </c>
      <c r="C36" s="15" t="s">
        <v>179</v>
      </c>
      <c r="D36" s="15" t="s">
        <v>432</v>
      </c>
      <c r="E36" s="16" t="n">
        <v>5</v>
      </c>
      <c r="F36" s="15" t="s">
        <v>419</v>
      </c>
      <c r="G36" s="8" t="n">
        <v>9</v>
      </c>
      <c r="H36" s="15" t="s">
        <v>767</v>
      </c>
      <c r="I36" s="15" t="s">
        <v>97</v>
      </c>
      <c r="J36" s="15" t="s">
        <v>250</v>
      </c>
      <c r="K36" s="8" t="n">
        <v>6</v>
      </c>
      <c r="L36" s="8" t="n">
        <v>88</v>
      </c>
      <c r="M36" s="8" t="n">
        <v>10</v>
      </c>
      <c r="N36" s="8" t="n">
        <v>7</v>
      </c>
      <c r="O36" s="8" t="n">
        <v>3</v>
      </c>
      <c r="P36" s="9" t="n">
        <v>8.4429428742156</v>
      </c>
      <c r="Q36" s="10" t="n">
        <v>0.118442113715344</v>
      </c>
      <c r="R36" s="9" t="n">
        <v>7.5</v>
      </c>
      <c r="S36" s="12" t="n">
        <f aca="false">IF(AND(ISNUMBER(R36),R36&gt;1,P36&gt;0),R36/P36-1,"")</f>
        <v>-0.111684147134917</v>
      </c>
      <c r="T36" s="9" t="n">
        <f aca="false">IF(AND(ISNUMBER(P36),P36&gt;0),P36*EXP('Read me'!$B$22),"")</f>
        <v>10.3122337135557</v>
      </c>
    </row>
    <row r="37" customFormat="false" ht="15" hidden="false" customHeight="false" outlineLevel="0" collapsed="false">
      <c r="A37" s="15" t="s">
        <v>178</v>
      </c>
      <c r="B37" s="15" t="s">
        <v>63</v>
      </c>
      <c r="C37" s="15" t="s">
        <v>179</v>
      </c>
      <c r="D37" s="15" t="s">
        <v>432</v>
      </c>
      <c r="E37" s="16" t="n">
        <v>5</v>
      </c>
      <c r="F37" s="15" t="s">
        <v>419</v>
      </c>
      <c r="G37" s="8" t="n">
        <v>9</v>
      </c>
      <c r="H37" s="15" t="s">
        <v>768</v>
      </c>
      <c r="I37" s="15" t="s">
        <v>514</v>
      </c>
      <c r="J37" s="15" t="s">
        <v>428</v>
      </c>
      <c r="K37" s="8" t="n">
        <v>7</v>
      </c>
      <c r="L37" s="8" t="n">
        <v>81</v>
      </c>
      <c r="M37" s="8" t="n">
        <v>3</v>
      </c>
      <c r="N37" s="8" t="n">
        <v>9</v>
      </c>
      <c r="O37" s="8" t="n">
        <v>4</v>
      </c>
      <c r="P37" s="9" t="n">
        <v>10.9387317933415</v>
      </c>
      <c r="Q37" s="10" t="n">
        <v>0.0914182758012867</v>
      </c>
      <c r="R37" s="9" t="n">
        <v>17</v>
      </c>
      <c r="S37" s="12" t="n">
        <f aca="false">IF(AND(ISNUMBER(R37),R37&gt;1,P37&gt;0),R37/P37-1,"")</f>
        <v>0.554110688621875</v>
      </c>
      <c r="T37" s="9" t="n">
        <f aca="false">IF(AND(ISNUMBER(P37),P37&gt;0),P37*EXP('Read me'!$B$22),"")</f>
        <v>13.3605971831617</v>
      </c>
    </row>
    <row r="38" customFormat="false" ht="15" hidden="false" customHeight="false" outlineLevel="0" collapsed="false">
      <c r="A38" s="15" t="s">
        <v>178</v>
      </c>
      <c r="B38" s="15" t="s">
        <v>63</v>
      </c>
      <c r="C38" s="15" t="s">
        <v>179</v>
      </c>
      <c r="D38" s="15" t="s">
        <v>432</v>
      </c>
      <c r="E38" s="16" t="n">
        <v>5</v>
      </c>
      <c r="F38" s="15" t="s">
        <v>419</v>
      </c>
      <c r="G38" s="8" t="n">
        <v>9</v>
      </c>
      <c r="H38" s="15" t="s">
        <v>769</v>
      </c>
      <c r="I38" s="15" t="s">
        <v>604</v>
      </c>
      <c r="J38" s="15" t="s">
        <v>602</v>
      </c>
      <c r="K38" s="8" t="n">
        <v>2</v>
      </c>
      <c r="L38" s="8" t="n">
        <v>75</v>
      </c>
      <c r="M38" s="8" t="n">
        <v>7</v>
      </c>
      <c r="N38" s="8" t="n">
        <v>22</v>
      </c>
      <c r="O38" s="8" t="n">
        <v>5</v>
      </c>
      <c r="P38" s="9" t="n">
        <v>13.7645258098386</v>
      </c>
      <c r="Q38" s="10" t="n">
        <v>0.0726505230776072</v>
      </c>
      <c r="R38" s="9" t="n">
        <v>13</v>
      </c>
      <c r="S38" s="12" t="n">
        <f aca="false">IF(AND(ISNUMBER(R38),R38&gt;1,P38&gt;0),R38/P38-1,"")</f>
        <v>-0.0555431999911056</v>
      </c>
      <c r="T38" s="9" t="n">
        <f aca="false">IF(AND(ISNUMBER(P38),P38&gt;0),P38*EXP('Read me'!$B$22),"")</f>
        <v>16.8120297889037</v>
      </c>
    </row>
    <row r="39" customFormat="false" ht="15" hidden="false" customHeight="false" outlineLevel="0" collapsed="false">
      <c r="A39" s="15" t="s">
        <v>178</v>
      </c>
      <c r="B39" s="15" t="s">
        <v>63</v>
      </c>
      <c r="C39" s="15" t="s">
        <v>179</v>
      </c>
      <c r="D39" s="15" t="s">
        <v>432</v>
      </c>
      <c r="E39" s="16" t="n">
        <v>5</v>
      </c>
      <c r="F39" s="15" t="s">
        <v>419</v>
      </c>
      <c r="G39" s="8" t="n">
        <v>9</v>
      </c>
      <c r="H39" s="15" t="s">
        <v>770</v>
      </c>
      <c r="I39" s="15" t="s">
        <v>678</v>
      </c>
      <c r="J39" s="15" t="s">
        <v>679</v>
      </c>
      <c r="K39" s="8" t="n">
        <v>1</v>
      </c>
      <c r="L39" s="8" t="n">
        <v>85</v>
      </c>
      <c r="M39" s="8" t="n">
        <v>4</v>
      </c>
      <c r="N39" s="8" t="n">
        <v>15</v>
      </c>
      <c r="O39" s="8" t="n">
        <v>6</v>
      </c>
      <c r="P39" s="9" t="n">
        <v>13.9133344455592</v>
      </c>
      <c r="Q39" s="10" t="n">
        <v>0.0718734968898252</v>
      </c>
      <c r="R39" s="9" t="n">
        <v>11</v>
      </c>
      <c r="S39" s="12" t="n">
        <f aca="false">IF(AND(ISNUMBER(R39),R39&gt;1,P39&gt;0),R39/P39-1,"")</f>
        <v>-0.209391534211922</v>
      </c>
      <c r="T39" s="9" t="n">
        <f aca="false">IF(AND(ISNUMBER(P39),P39&gt;0),P39*EXP('Read me'!$B$22),"")</f>
        <v>16.9937850670109</v>
      </c>
    </row>
    <row r="40" customFormat="false" ht="15" hidden="false" customHeight="false" outlineLevel="0" collapsed="false">
      <c r="A40" s="15" t="s">
        <v>178</v>
      </c>
      <c r="B40" s="15" t="s">
        <v>63</v>
      </c>
      <c r="C40" s="15" t="s">
        <v>179</v>
      </c>
      <c r="D40" s="15" t="s">
        <v>432</v>
      </c>
      <c r="E40" s="16" t="n">
        <v>5</v>
      </c>
      <c r="F40" s="15" t="s">
        <v>419</v>
      </c>
      <c r="G40" s="8" t="n">
        <v>9</v>
      </c>
      <c r="H40" s="15" t="s">
        <v>771</v>
      </c>
      <c r="I40" s="15" t="s">
        <v>772</v>
      </c>
      <c r="J40" s="15" t="s">
        <v>127</v>
      </c>
      <c r="K40" s="8" t="n">
        <v>10</v>
      </c>
      <c r="L40" s="8" t="n">
        <v>74</v>
      </c>
      <c r="M40" s="8" t="n">
        <v>12</v>
      </c>
      <c r="N40" s="8" t="n">
        <v>9</v>
      </c>
      <c r="O40" s="8" t="n">
        <v>7</v>
      </c>
      <c r="P40" s="9" t="n">
        <v>20.5201859754337</v>
      </c>
      <c r="Q40" s="10" t="n">
        <v>0.0487325018007721</v>
      </c>
      <c r="R40" s="9" t="n">
        <v>21</v>
      </c>
      <c r="S40" s="12" t="n">
        <f aca="false">IF(AND(ISNUMBER(R40),R40&gt;1,P40&gt;0),R40/P40-1,"")</f>
        <v>0.0233825378162154</v>
      </c>
      <c r="T40" s="9" t="n">
        <f aca="false">IF(AND(ISNUMBER(P40),P40&gt;0),P40*EXP('Read me'!$B$22),"")</f>
        <v>25.0634117483543</v>
      </c>
    </row>
    <row r="41" customFormat="false" ht="15" hidden="false" customHeight="false" outlineLevel="0" collapsed="false">
      <c r="A41" s="15" t="s">
        <v>178</v>
      </c>
      <c r="B41" s="15" t="s">
        <v>63</v>
      </c>
      <c r="C41" s="15" t="s">
        <v>179</v>
      </c>
      <c r="D41" s="15" t="s">
        <v>432</v>
      </c>
      <c r="E41" s="16" t="n">
        <v>5</v>
      </c>
      <c r="F41" s="15" t="s">
        <v>419</v>
      </c>
      <c r="G41" s="8" t="n">
        <v>9</v>
      </c>
      <c r="H41" s="15" t="s">
        <v>773</v>
      </c>
      <c r="I41" s="15" t="s">
        <v>508</v>
      </c>
      <c r="J41" s="15" t="s">
        <v>509</v>
      </c>
      <c r="K41" s="8" t="n">
        <v>9</v>
      </c>
      <c r="L41" s="8" t="n">
        <v>81</v>
      </c>
      <c r="M41" s="8" t="n">
        <v>6</v>
      </c>
      <c r="N41" s="8" t="n">
        <v>15</v>
      </c>
      <c r="O41" s="8" t="n">
        <v>8</v>
      </c>
      <c r="P41" s="9" t="n">
        <v>21.2679146563913</v>
      </c>
      <c r="Q41" s="10" t="n">
        <v>0.0470191843514608</v>
      </c>
      <c r="R41" s="9" t="n">
        <v>23</v>
      </c>
      <c r="S41" s="12" t="n">
        <f aca="false">IF(AND(ISNUMBER(R41),R41&gt;1,P41&gt;0),R41/P41-1,"")</f>
        <v>0.0814412400836</v>
      </c>
      <c r="T41" s="9" t="n">
        <f aca="false">IF(AND(ISNUMBER(P41),P41&gt;0),P41*EXP('Read me'!$B$22),"")</f>
        <v>25.9766896216315</v>
      </c>
    </row>
    <row r="42" customFormat="false" ht="15" hidden="false" customHeight="false" outlineLevel="0" collapsed="false">
      <c r="A42" s="15" t="s">
        <v>178</v>
      </c>
      <c r="B42" s="15" t="s">
        <v>63</v>
      </c>
      <c r="C42" s="15" t="s">
        <v>179</v>
      </c>
      <c r="D42" s="15" t="s">
        <v>432</v>
      </c>
      <c r="E42" s="16" t="n">
        <v>5</v>
      </c>
      <c r="F42" s="15" t="s">
        <v>419</v>
      </c>
      <c r="G42" s="8" t="n">
        <v>9</v>
      </c>
      <c r="H42" s="15" t="s">
        <v>774</v>
      </c>
      <c r="I42" s="15" t="s">
        <v>683</v>
      </c>
      <c r="J42" s="15" t="s">
        <v>775</v>
      </c>
      <c r="K42" s="8" t="n">
        <v>3</v>
      </c>
      <c r="L42" s="8" t="n">
        <v>92</v>
      </c>
      <c r="M42" s="8" t="n">
        <v>5</v>
      </c>
      <c r="N42" s="8" t="n">
        <v>51</v>
      </c>
      <c r="O42" s="8" t="n">
        <v>9</v>
      </c>
      <c r="P42" s="9" t="n">
        <v>95.4596478642072</v>
      </c>
      <c r="Q42" s="10" t="n">
        <v>0.0104756305137697</v>
      </c>
      <c r="R42" s="9" t="n">
        <v>67</v>
      </c>
      <c r="S42" s="12" t="n">
        <f aca="false">IF(AND(ISNUMBER(R42),R42&gt;1,P42&gt;0),R42/P42-1,"")</f>
        <v>-0.29813275557743</v>
      </c>
      <c r="T42" s="9" t="n">
        <f aca="false">IF(AND(ISNUMBER(P42),P42&gt;0),P42*EXP('Read me'!$B$22),"")</f>
        <v>116.594677194341</v>
      </c>
    </row>
    <row r="43" customFormat="false" ht="15" hidden="false" customHeight="false" outlineLevel="0" collapsed="false">
      <c r="A43" s="15" t="s">
        <v>212</v>
      </c>
      <c r="B43" s="15" t="s">
        <v>63</v>
      </c>
      <c r="C43" s="15" t="s">
        <v>213</v>
      </c>
      <c r="D43" s="15" t="s">
        <v>418</v>
      </c>
      <c r="E43" s="16" t="n">
        <v>5</v>
      </c>
      <c r="F43" s="15" t="s">
        <v>419</v>
      </c>
      <c r="G43" s="8" t="n">
        <v>8</v>
      </c>
      <c r="H43" s="15" t="s">
        <v>214</v>
      </c>
      <c r="I43" s="15" t="s">
        <v>97</v>
      </c>
      <c r="J43" s="15" t="s">
        <v>215</v>
      </c>
      <c r="K43" s="8" t="n">
        <v>2</v>
      </c>
      <c r="L43" s="8" t="n">
        <v>70</v>
      </c>
      <c r="M43" s="8" t="n">
        <v>7</v>
      </c>
      <c r="N43" s="8" t="n">
        <v>2</v>
      </c>
      <c r="O43" s="8" t="n">
        <v>1</v>
      </c>
      <c r="P43" s="9" t="n">
        <v>5.6681008366391</v>
      </c>
      <c r="Q43" s="10" t="n">
        <v>0.176425936803367</v>
      </c>
      <c r="R43" s="9" t="n">
        <v>3</v>
      </c>
      <c r="S43" s="12" t="n">
        <f aca="false">IF(AND(ISNUMBER(R43),R43&gt;1,P43&gt;0),R43/P43-1,"")</f>
        <v>-0.4707221895899</v>
      </c>
      <c r="T43" s="9" t="n">
        <f aca="false">IF(AND(ISNUMBER(P43),P43&gt;0),P43*EXP('Read me'!$B$22),"")</f>
        <v>6.92303399540097</v>
      </c>
    </row>
    <row r="44" customFormat="false" ht="15" hidden="false" customHeight="false" outlineLevel="0" collapsed="false">
      <c r="A44" s="15" t="s">
        <v>212</v>
      </c>
      <c r="B44" s="15" t="s">
        <v>63</v>
      </c>
      <c r="C44" s="15" t="s">
        <v>213</v>
      </c>
      <c r="D44" s="15" t="s">
        <v>418</v>
      </c>
      <c r="E44" s="16" t="n">
        <v>5</v>
      </c>
      <c r="F44" s="15" t="s">
        <v>419</v>
      </c>
      <c r="G44" s="8" t="n">
        <v>8</v>
      </c>
      <c r="H44" s="15" t="s">
        <v>216</v>
      </c>
      <c r="I44" s="15" t="s">
        <v>249</v>
      </c>
      <c r="J44" s="15" t="s">
        <v>250</v>
      </c>
      <c r="K44" s="8" t="n">
        <v>8</v>
      </c>
      <c r="L44" s="8" t="n">
        <v>70</v>
      </c>
      <c r="M44" s="8" t="n">
        <v>5</v>
      </c>
      <c r="N44" s="8" t="n">
        <v>8</v>
      </c>
      <c r="O44" s="8" t="n">
        <v>2</v>
      </c>
      <c r="P44" s="9" t="n">
        <v>5.84055770271616</v>
      </c>
      <c r="Q44" s="10" t="n">
        <v>0.171216526040818</v>
      </c>
      <c r="R44" s="9" t="n">
        <v>6</v>
      </c>
      <c r="S44" s="12" t="n">
        <f aca="false">IF(AND(ISNUMBER(R44),R44&gt;1,P44&gt;0),R44/P44-1,"")</f>
        <v>0.0272991562449061</v>
      </c>
      <c r="T44" s="9" t="n">
        <f aca="false">IF(AND(ISNUMBER(P44),P44&gt;0),P44*EXP('Read me'!$B$22),"")</f>
        <v>7.13367328729115</v>
      </c>
    </row>
    <row r="45" customFormat="false" ht="15" hidden="false" customHeight="false" outlineLevel="0" collapsed="false">
      <c r="A45" s="15" t="s">
        <v>212</v>
      </c>
      <c r="B45" s="15" t="s">
        <v>63</v>
      </c>
      <c r="C45" s="15" t="s">
        <v>213</v>
      </c>
      <c r="D45" s="15" t="s">
        <v>418</v>
      </c>
      <c r="E45" s="16" t="n">
        <v>5</v>
      </c>
      <c r="F45" s="15" t="s">
        <v>419</v>
      </c>
      <c r="G45" s="8" t="n">
        <v>8</v>
      </c>
      <c r="H45" s="15" t="s">
        <v>849</v>
      </c>
      <c r="I45" s="15" t="s">
        <v>126</v>
      </c>
      <c r="J45" s="15" t="s">
        <v>127</v>
      </c>
      <c r="K45" s="8" t="n">
        <v>1</v>
      </c>
      <c r="L45" s="8" t="n">
        <v>68</v>
      </c>
      <c r="M45" s="8" t="n">
        <v>5</v>
      </c>
      <c r="N45" s="8" t="n">
        <v>11</v>
      </c>
      <c r="O45" s="8" t="n">
        <v>3</v>
      </c>
      <c r="P45" s="9" t="n">
        <v>6.76358477486601</v>
      </c>
      <c r="Q45" s="10" t="n">
        <v>0.147850590077037</v>
      </c>
      <c r="R45" s="9" t="n">
        <v>8.5</v>
      </c>
      <c r="S45" s="12" t="n">
        <f aca="false">IF(AND(ISNUMBER(R45),R45&gt;1,P45&gt;0),R45/P45-1,"")</f>
        <v>0.256730015654812</v>
      </c>
      <c r="T45" s="9" t="n">
        <f aca="false">IF(AND(ISNUMBER(P45),P45&gt;0),P45*EXP('Read me'!$B$22),"")</f>
        <v>8.26106109907147</v>
      </c>
    </row>
    <row r="46" customFormat="false" ht="15" hidden="false" customHeight="false" outlineLevel="0" collapsed="false">
      <c r="A46" s="15" t="s">
        <v>212</v>
      </c>
      <c r="B46" s="15" t="s">
        <v>63</v>
      </c>
      <c r="C46" s="15" t="s">
        <v>213</v>
      </c>
      <c r="D46" s="15" t="s">
        <v>418</v>
      </c>
      <c r="E46" s="16" t="n">
        <v>5</v>
      </c>
      <c r="F46" s="15" t="s">
        <v>419</v>
      </c>
      <c r="G46" s="8" t="n">
        <v>8</v>
      </c>
      <c r="H46" s="15" t="s">
        <v>850</v>
      </c>
      <c r="I46" s="15" t="s">
        <v>505</v>
      </c>
      <c r="J46" s="15" t="s">
        <v>67</v>
      </c>
      <c r="K46" s="8" t="n">
        <v>7</v>
      </c>
      <c r="L46" s="8" t="n">
        <v>58</v>
      </c>
      <c r="M46" s="8" t="n">
        <v>9</v>
      </c>
      <c r="N46" s="8" t="n">
        <v>8</v>
      </c>
      <c r="O46" s="8" t="n">
        <v>4</v>
      </c>
      <c r="P46" s="9" t="n">
        <v>7.79079355407202</v>
      </c>
      <c r="Q46" s="10" t="n">
        <v>0.128356629277813</v>
      </c>
      <c r="R46" s="9" t="n">
        <v>7.5</v>
      </c>
      <c r="S46" s="12" t="n">
        <f aca="false">IF(AND(ISNUMBER(R46),R46&gt;1,P46&gt;0),R46/P46-1,"")</f>
        <v>-0.0373252804163996</v>
      </c>
      <c r="T46" s="9" t="n">
        <f aca="false">IF(AND(ISNUMBER(P46),P46&gt;0),P46*EXP('Read me'!$B$22),"")</f>
        <v>9.51569673520003</v>
      </c>
    </row>
    <row r="47" customFormat="false" ht="15" hidden="false" customHeight="false" outlineLevel="0" collapsed="false">
      <c r="A47" s="15" t="s">
        <v>212</v>
      </c>
      <c r="B47" s="15" t="s">
        <v>63</v>
      </c>
      <c r="C47" s="15" t="s">
        <v>213</v>
      </c>
      <c r="D47" s="15" t="s">
        <v>418</v>
      </c>
      <c r="E47" s="16" t="n">
        <v>5</v>
      </c>
      <c r="F47" s="15" t="s">
        <v>419</v>
      </c>
      <c r="G47" s="8" t="n">
        <v>8</v>
      </c>
      <c r="H47" s="15" t="s">
        <v>851</v>
      </c>
      <c r="I47" s="15" t="s">
        <v>852</v>
      </c>
      <c r="J47" s="15" t="s">
        <v>853</v>
      </c>
      <c r="K47" s="8" t="n">
        <v>3</v>
      </c>
      <c r="L47" s="8" t="n">
        <v>70</v>
      </c>
      <c r="M47" s="8" t="n">
        <v>3</v>
      </c>
      <c r="N47" s="8" t="n">
        <v>11</v>
      </c>
      <c r="O47" s="8" t="n">
        <v>5</v>
      </c>
      <c r="P47" s="9" t="n">
        <v>7.91484293248555</v>
      </c>
      <c r="Q47" s="10" t="n">
        <v>0.126344895095216</v>
      </c>
      <c r="R47" s="9" t="n">
        <v>7</v>
      </c>
      <c r="S47" s="12" t="n">
        <f aca="false">IF(AND(ISNUMBER(R47),R47&gt;1,P47&gt;0),R47/P47-1,"")</f>
        <v>-0.115585734333487</v>
      </c>
      <c r="T47" s="9" t="n">
        <f aca="false">IF(AND(ISNUMBER(P47),P47&gt;0),P47*EXP('Read me'!$B$22),"")</f>
        <v>9.66721098814238</v>
      </c>
    </row>
    <row r="48" customFormat="false" ht="15" hidden="false" customHeight="false" outlineLevel="0" collapsed="false">
      <c r="A48" s="15" t="s">
        <v>212</v>
      </c>
      <c r="B48" s="15" t="s">
        <v>63</v>
      </c>
      <c r="C48" s="15" t="s">
        <v>213</v>
      </c>
      <c r="D48" s="15" t="s">
        <v>418</v>
      </c>
      <c r="E48" s="16" t="n">
        <v>5</v>
      </c>
      <c r="F48" s="15" t="s">
        <v>419</v>
      </c>
      <c r="G48" s="8" t="n">
        <v>8</v>
      </c>
      <c r="H48" s="15" t="s">
        <v>854</v>
      </c>
      <c r="I48" s="15" t="s">
        <v>601</v>
      </c>
      <c r="J48" s="15" t="s">
        <v>602</v>
      </c>
      <c r="K48" s="8" t="n">
        <v>6</v>
      </c>
      <c r="L48" s="8" t="n">
        <v>54</v>
      </c>
      <c r="M48" s="8" t="n">
        <v>3</v>
      </c>
      <c r="N48" s="8" t="n">
        <v>8</v>
      </c>
      <c r="O48" s="8" t="n">
        <v>6</v>
      </c>
      <c r="P48" s="9" t="n">
        <v>9.76437626266871</v>
      </c>
      <c r="Q48" s="10" t="n">
        <v>0.102413095634507</v>
      </c>
      <c r="R48" s="9" t="n">
        <v>8</v>
      </c>
      <c r="S48" s="12" t="n">
        <f aca="false">IF(AND(ISNUMBER(R48),R48&gt;1,P48&gt;0),R48/P48-1,"")</f>
        <v>-0.180695234923944</v>
      </c>
      <c r="T48" s="9" t="n">
        <f aca="false">IF(AND(ISNUMBER(P48),P48&gt;0),P48*EXP('Read me'!$B$22),"")</f>
        <v>11.9262360989373</v>
      </c>
    </row>
    <row r="49" customFormat="false" ht="15" hidden="false" customHeight="false" outlineLevel="0" collapsed="false">
      <c r="A49" s="15" t="s">
        <v>212</v>
      </c>
      <c r="B49" s="15" t="s">
        <v>63</v>
      </c>
      <c r="C49" s="15" t="s">
        <v>213</v>
      </c>
      <c r="D49" s="15" t="s">
        <v>418</v>
      </c>
      <c r="E49" s="16" t="n">
        <v>5</v>
      </c>
      <c r="F49" s="15" t="s">
        <v>419</v>
      </c>
      <c r="G49" s="8" t="n">
        <v>8</v>
      </c>
      <c r="H49" s="15" t="s">
        <v>855</v>
      </c>
      <c r="I49" s="15" t="s">
        <v>856</v>
      </c>
      <c r="J49" s="15" t="s">
        <v>602</v>
      </c>
      <c r="K49" s="8" t="n">
        <v>4</v>
      </c>
      <c r="L49" s="8" t="n">
        <v>51</v>
      </c>
      <c r="M49" s="8" t="n">
        <v>9</v>
      </c>
      <c r="N49" s="8" t="n">
        <v>11</v>
      </c>
      <c r="O49" s="8" t="n">
        <v>7</v>
      </c>
      <c r="P49" s="9" t="n">
        <v>10.871819696217</v>
      </c>
      <c r="Q49" s="10" t="n">
        <v>0.0919809220482165</v>
      </c>
      <c r="R49" s="9" t="n">
        <v>13</v>
      </c>
      <c r="S49" s="12" t="n">
        <f aca="false">IF(AND(ISNUMBER(R49),R49&gt;1,P49&gt;0),R49/P49-1,"")</f>
        <v>0.195751986626815</v>
      </c>
      <c r="T49" s="9" t="n">
        <f aca="false">IF(AND(ISNUMBER(P49),P49&gt;0),P49*EXP('Read me'!$B$22),"")</f>
        <v>13.2788705631795</v>
      </c>
    </row>
    <row r="50" customFormat="false" ht="15" hidden="false" customHeight="false" outlineLevel="0" collapsed="false">
      <c r="A50" s="15" t="s">
        <v>212</v>
      </c>
      <c r="B50" s="15" t="s">
        <v>63</v>
      </c>
      <c r="C50" s="15" t="s">
        <v>213</v>
      </c>
      <c r="D50" s="15" t="s">
        <v>418</v>
      </c>
      <c r="E50" s="16" t="n">
        <v>5</v>
      </c>
      <c r="F50" s="15" t="s">
        <v>419</v>
      </c>
      <c r="G50" s="8" t="n">
        <v>8</v>
      </c>
      <c r="H50" s="15" t="s">
        <v>857</v>
      </c>
      <c r="I50" s="15" t="s">
        <v>508</v>
      </c>
      <c r="J50" s="15" t="s">
        <v>509</v>
      </c>
      <c r="K50" s="8" t="n">
        <v>5</v>
      </c>
      <c r="L50" s="8" t="n">
        <v>58</v>
      </c>
      <c r="M50" s="8" t="n">
        <v>4</v>
      </c>
      <c r="N50" s="8" t="n">
        <v>9</v>
      </c>
      <c r="O50" s="8" t="n">
        <v>8</v>
      </c>
      <c r="P50" s="9" t="n">
        <v>18.0468262731193</v>
      </c>
      <c r="Q50" s="10" t="n">
        <v>0.0554114050230259</v>
      </c>
      <c r="R50" s="9" t="n">
        <v>13</v>
      </c>
      <c r="S50" s="12" t="n">
        <f aca="false">IF(AND(ISNUMBER(R50),R50&gt;1,P50&gt;0),R50/P50-1,"")</f>
        <v>-0.279651734700663</v>
      </c>
      <c r="T50" s="9" t="n">
        <f aca="false">IF(AND(ISNUMBER(P50),P50&gt;0),P50*EXP('Read me'!$B$22),"")</f>
        <v>22.0424433860253</v>
      </c>
    </row>
    <row r="51" customFormat="false" ht="15" hidden="false" customHeight="false" outlineLevel="0" collapsed="false">
      <c r="A51" s="15" t="s">
        <v>246</v>
      </c>
      <c r="B51" s="15" t="s">
        <v>63</v>
      </c>
      <c r="C51" s="15" t="s">
        <v>247</v>
      </c>
      <c r="D51" s="15" t="s">
        <v>370</v>
      </c>
      <c r="E51" s="16" t="n">
        <v>12</v>
      </c>
      <c r="F51" s="15" t="s">
        <v>419</v>
      </c>
      <c r="G51" s="8" t="n">
        <v>10</v>
      </c>
      <c r="H51" s="15" t="s">
        <v>248</v>
      </c>
      <c r="I51" s="15" t="s">
        <v>249</v>
      </c>
      <c r="J51" s="15" t="s">
        <v>250</v>
      </c>
      <c r="K51" s="8" t="n">
        <v>9</v>
      </c>
      <c r="L51" s="8" t="n">
        <v>57</v>
      </c>
      <c r="M51" s="8" t="n">
        <v>4</v>
      </c>
      <c r="N51" s="8" t="n">
        <v>8</v>
      </c>
      <c r="O51" s="8" t="n">
        <v>1</v>
      </c>
      <c r="P51" s="9" t="n">
        <v>4.53387886655576</v>
      </c>
      <c r="Q51" s="10" t="n">
        <v>0.220561693294569</v>
      </c>
      <c r="R51" s="9" t="n">
        <v>4.5</v>
      </c>
      <c r="S51" s="12" t="n">
        <f aca="false">IF(AND(ISNUMBER(R51),R51&gt;1,P51&gt;0),R51/P51-1,"")</f>
        <v>-0.00747238017443841</v>
      </c>
      <c r="T51" s="9" t="n">
        <f aca="false">IF(AND(ISNUMBER(P51),P51&gt;0),P51*EXP('Read me'!$B$22),"")</f>
        <v>5.53769215277531</v>
      </c>
    </row>
    <row r="52" customFormat="false" ht="15" hidden="false" customHeight="false" outlineLevel="0" collapsed="false">
      <c r="A52" s="15" t="s">
        <v>246</v>
      </c>
      <c r="B52" s="15" t="s">
        <v>63</v>
      </c>
      <c r="C52" s="15" t="s">
        <v>247</v>
      </c>
      <c r="D52" s="15" t="s">
        <v>370</v>
      </c>
      <c r="E52" s="16" t="n">
        <v>12</v>
      </c>
      <c r="F52" s="15" t="s">
        <v>419</v>
      </c>
      <c r="G52" s="8" t="n">
        <v>10</v>
      </c>
      <c r="H52" s="15" t="s">
        <v>251</v>
      </c>
      <c r="I52" s="15" t="s">
        <v>607</v>
      </c>
      <c r="J52" s="15" t="s">
        <v>929</v>
      </c>
      <c r="K52" s="8" t="n">
        <v>6</v>
      </c>
      <c r="L52" s="8" t="n">
        <v>58</v>
      </c>
      <c r="M52" s="8" t="n">
        <v>3</v>
      </c>
      <c r="N52" s="8" t="n">
        <v>32</v>
      </c>
      <c r="O52" s="8" t="n">
        <v>2</v>
      </c>
      <c r="P52" s="9" t="n">
        <v>7.02630192407789</v>
      </c>
      <c r="Q52" s="10" t="n">
        <v>0.142322378230457</v>
      </c>
      <c r="R52" s="9" t="n">
        <v>7</v>
      </c>
      <c r="S52" s="12" t="n">
        <f aca="false">IF(AND(ISNUMBER(R52),R52&gt;1,P52&gt;0),R52/P52-1,"")</f>
        <v>-0.00374335238680257</v>
      </c>
      <c r="T52" s="9" t="n">
        <f aca="false">IF(AND(ISNUMBER(P52),P52&gt;0),P52*EXP('Read me'!$B$22),"")</f>
        <v>8.58194454973485</v>
      </c>
    </row>
    <row r="53" customFormat="false" ht="15" hidden="false" customHeight="false" outlineLevel="0" collapsed="false">
      <c r="A53" s="15" t="s">
        <v>246</v>
      </c>
      <c r="B53" s="15" t="s">
        <v>63</v>
      </c>
      <c r="C53" s="15" t="s">
        <v>247</v>
      </c>
      <c r="D53" s="15" t="s">
        <v>370</v>
      </c>
      <c r="E53" s="16" t="n">
        <v>12</v>
      </c>
      <c r="F53" s="15" t="s">
        <v>419</v>
      </c>
      <c r="G53" s="8" t="n">
        <v>10</v>
      </c>
      <c r="H53" s="15" t="s">
        <v>930</v>
      </c>
      <c r="I53" s="15" t="s">
        <v>126</v>
      </c>
      <c r="J53" s="15" t="s">
        <v>127</v>
      </c>
      <c r="K53" s="8" t="n">
        <v>2</v>
      </c>
      <c r="L53" s="8" t="n">
        <v>53</v>
      </c>
      <c r="M53" s="8" t="n">
        <v>4</v>
      </c>
      <c r="N53" s="8" t="n">
        <v>10</v>
      </c>
      <c r="O53" s="8" t="n">
        <v>3</v>
      </c>
      <c r="P53" s="9" t="n">
        <v>7.177643084477</v>
      </c>
      <c r="Q53" s="10" t="n">
        <v>0.13932149986152</v>
      </c>
      <c r="R53" s="9" t="n">
        <v>6.5</v>
      </c>
      <c r="S53" s="12" t="n">
        <f aca="false">IF(AND(ISNUMBER(R53),R53&gt;1,P53&gt;0),R53/P53-1,"")</f>
        <v>-0.094410250900122</v>
      </c>
      <c r="T53" s="9" t="n">
        <f aca="false">IF(AND(ISNUMBER(P53),P53&gt;0),P53*EXP('Read me'!$B$22),"")</f>
        <v>8.76679306046948</v>
      </c>
    </row>
    <row r="54" customFormat="false" ht="15" hidden="false" customHeight="false" outlineLevel="0" collapsed="false">
      <c r="A54" s="15" t="s">
        <v>246</v>
      </c>
      <c r="B54" s="15" t="s">
        <v>63</v>
      </c>
      <c r="C54" s="15" t="s">
        <v>247</v>
      </c>
      <c r="D54" s="15" t="s">
        <v>370</v>
      </c>
      <c r="E54" s="16" t="n">
        <v>12</v>
      </c>
      <c r="F54" s="15" t="s">
        <v>419</v>
      </c>
      <c r="G54" s="8" t="n">
        <v>10</v>
      </c>
      <c r="H54" s="15" t="s">
        <v>931</v>
      </c>
      <c r="I54" s="15" t="s">
        <v>932</v>
      </c>
      <c r="J54" s="15" t="s">
        <v>933</v>
      </c>
      <c r="K54" s="8" t="n">
        <v>3</v>
      </c>
      <c r="L54" s="8" t="n">
        <v>57</v>
      </c>
      <c r="M54" s="8" t="n">
        <v>3</v>
      </c>
      <c r="N54" s="8" t="n">
        <v>30</v>
      </c>
      <c r="O54" s="8" t="n">
        <v>4</v>
      </c>
      <c r="P54" s="9" t="n">
        <v>7.3713480775594</v>
      </c>
      <c r="Q54" s="10" t="n">
        <v>0.135660396100993</v>
      </c>
      <c r="R54" s="9" t="n">
        <v>8</v>
      </c>
      <c r="S54" s="12" t="n">
        <f aca="false">IF(AND(ISNUMBER(R54),R54&gt;1,P54&gt;0),R54/P54-1,"")</f>
        <v>0.085283168807943</v>
      </c>
      <c r="T54" s="9" t="n">
        <f aca="false">IF(AND(ISNUMBER(P54),P54&gt;0),P54*EXP('Read me'!$B$22),"")</f>
        <v>9.00338487328971</v>
      </c>
    </row>
    <row r="55" customFormat="false" ht="15" hidden="false" customHeight="false" outlineLevel="0" collapsed="false">
      <c r="A55" s="15" t="s">
        <v>246</v>
      </c>
      <c r="B55" s="15" t="s">
        <v>63</v>
      </c>
      <c r="C55" s="15" t="s">
        <v>247</v>
      </c>
      <c r="D55" s="15" t="s">
        <v>370</v>
      </c>
      <c r="E55" s="16" t="n">
        <v>12</v>
      </c>
      <c r="F55" s="15" t="s">
        <v>419</v>
      </c>
      <c r="G55" s="8" t="n">
        <v>10</v>
      </c>
      <c r="H55" s="15" t="s">
        <v>934</v>
      </c>
      <c r="I55" s="15" t="s">
        <v>508</v>
      </c>
      <c r="J55" s="15" t="s">
        <v>509</v>
      </c>
      <c r="K55" s="8" t="n">
        <v>1</v>
      </c>
      <c r="L55" s="8" t="n">
        <v>54</v>
      </c>
      <c r="M55" s="8" t="n">
        <v>4</v>
      </c>
      <c r="N55" s="8" t="n">
        <v>14</v>
      </c>
      <c r="O55" s="8" t="n">
        <v>5</v>
      </c>
      <c r="P55" s="9" t="n">
        <v>9.50366088401054</v>
      </c>
      <c r="Q55" s="10" t="n">
        <v>0.105222609708481</v>
      </c>
      <c r="R55" s="9" t="n">
        <v>10</v>
      </c>
      <c r="S55" s="12" t="n">
        <f aca="false">IF(AND(ISNUMBER(R55),R55&gt;1,P55&gt;0),R55/P55-1,"")</f>
        <v>0.0522260970848116</v>
      </c>
      <c r="T55" s="9" t="n">
        <f aca="false">IF(AND(ISNUMBER(P55),P55&gt;0),P55*EXP('Read me'!$B$22),"")</f>
        <v>11.6077976163494</v>
      </c>
    </row>
    <row r="56" customFormat="false" ht="15" hidden="false" customHeight="false" outlineLevel="0" collapsed="false">
      <c r="A56" s="15" t="s">
        <v>246</v>
      </c>
      <c r="B56" s="15" t="s">
        <v>63</v>
      </c>
      <c r="C56" s="15" t="s">
        <v>247</v>
      </c>
      <c r="D56" s="15" t="s">
        <v>370</v>
      </c>
      <c r="E56" s="16" t="n">
        <v>12</v>
      </c>
      <c r="F56" s="15" t="s">
        <v>419</v>
      </c>
      <c r="G56" s="8" t="n">
        <v>10</v>
      </c>
      <c r="H56" s="15" t="s">
        <v>935</v>
      </c>
      <c r="I56" s="15" t="s">
        <v>687</v>
      </c>
      <c r="J56" s="15" t="s">
        <v>936</v>
      </c>
      <c r="K56" s="8" t="n">
        <v>5</v>
      </c>
      <c r="L56" s="8" t="n">
        <v>57</v>
      </c>
      <c r="M56" s="8" t="n">
        <v>3</v>
      </c>
      <c r="N56" s="8" t="n">
        <v>60</v>
      </c>
      <c r="O56" s="8" t="n">
        <v>6</v>
      </c>
      <c r="P56" s="9" t="n">
        <v>12.0773349988847</v>
      </c>
      <c r="Q56" s="10" t="n">
        <v>0.0827997236221688</v>
      </c>
      <c r="R56" s="9" t="n">
        <v>17</v>
      </c>
      <c r="S56" s="12" t="n">
        <f aca="false">IF(AND(ISNUMBER(R56),R56&gt;1,P56&gt;0),R56/P56-1,"")</f>
        <v>0.40759530157687</v>
      </c>
      <c r="T56" s="9" t="n">
        <f aca="false">IF(AND(ISNUMBER(P56),P56&gt;0),P56*EXP('Read me'!$B$22),"")</f>
        <v>14.7512902788621</v>
      </c>
    </row>
    <row r="57" customFormat="false" ht="15" hidden="false" customHeight="false" outlineLevel="0" collapsed="false">
      <c r="A57" s="15" t="s">
        <v>246</v>
      </c>
      <c r="B57" s="15" t="s">
        <v>63</v>
      </c>
      <c r="C57" s="15" t="s">
        <v>247</v>
      </c>
      <c r="D57" s="15" t="s">
        <v>370</v>
      </c>
      <c r="E57" s="16" t="n">
        <v>12</v>
      </c>
      <c r="F57" s="15" t="s">
        <v>419</v>
      </c>
      <c r="G57" s="8" t="n">
        <v>10</v>
      </c>
      <c r="H57" s="15" t="s">
        <v>937</v>
      </c>
      <c r="I57" s="15" t="s">
        <v>938</v>
      </c>
      <c r="J57" s="15" t="s">
        <v>80</v>
      </c>
      <c r="K57" s="8" t="n">
        <v>8</v>
      </c>
      <c r="L57" s="8" t="n">
        <v>46</v>
      </c>
      <c r="M57" s="8" t="n">
        <v>3</v>
      </c>
      <c r="N57" s="8" t="n">
        <v>290</v>
      </c>
      <c r="O57" s="8" t="n">
        <v>7</v>
      </c>
      <c r="P57" s="9" t="n">
        <v>15.3926938005763</v>
      </c>
      <c r="Q57" s="10" t="n">
        <v>0.0649658866054075</v>
      </c>
      <c r="R57" s="9" t="n">
        <v>3.75</v>
      </c>
      <c r="S57" s="12" t="n">
        <f aca="false">IF(AND(ISNUMBER(R57),R57&gt;1,P57&gt;0),R57/P57-1,"")</f>
        <v>-0.756377925229722</v>
      </c>
      <c r="T57" s="9" t="n">
        <f aca="false">IF(AND(ISNUMBER(P57),P57&gt;0),P57*EXP('Read me'!$B$22),"")</f>
        <v>18.8006786635389</v>
      </c>
    </row>
    <row r="58" customFormat="false" ht="15" hidden="false" customHeight="false" outlineLevel="0" collapsed="false">
      <c r="A58" s="15" t="s">
        <v>246</v>
      </c>
      <c r="B58" s="15" t="s">
        <v>63</v>
      </c>
      <c r="C58" s="15" t="s">
        <v>247</v>
      </c>
      <c r="D58" s="15" t="s">
        <v>370</v>
      </c>
      <c r="E58" s="16" t="n">
        <v>12</v>
      </c>
      <c r="F58" s="15" t="s">
        <v>419</v>
      </c>
      <c r="G58" s="8" t="n">
        <v>10</v>
      </c>
      <c r="H58" s="15" t="s">
        <v>939</v>
      </c>
      <c r="I58" s="15" t="s">
        <v>940</v>
      </c>
      <c r="J58" s="15" t="s">
        <v>250</v>
      </c>
      <c r="K58" s="8" t="n">
        <v>4</v>
      </c>
      <c r="L58" s="8" t="n">
        <v>46</v>
      </c>
      <c r="M58" s="8" t="n">
        <v>4</v>
      </c>
      <c r="N58" s="8" t="n">
        <v>8</v>
      </c>
      <c r="O58" s="8" t="n">
        <v>8</v>
      </c>
      <c r="P58" s="9" t="n">
        <v>17.6768053763776</v>
      </c>
      <c r="Q58" s="10" t="n">
        <v>0.056571307920624</v>
      </c>
      <c r="R58" s="9" t="n">
        <v>13</v>
      </c>
      <c r="S58" s="12" t="n">
        <f aca="false">IF(AND(ISNUMBER(R58),R58&gt;1,P58&gt;0),R58/P58-1,"")</f>
        <v>-0.264572997031888</v>
      </c>
      <c r="T58" s="9" t="n">
        <f aca="false">IF(AND(ISNUMBER(P58),P58&gt;0),P58*EXP('Read me'!$B$22),"")</f>
        <v>21.5904988421681</v>
      </c>
    </row>
    <row r="59" customFormat="false" ht="15" hidden="false" customHeight="false" outlineLevel="0" collapsed="false">
      <c r="A59" s="15" t="s">
        <v>246</v>
      </c>
      <c r="B59" s="15" t="s">
        <v>63</v>
      </c>
      <c r="C59" s="15" t="s">
        <v>247</v>
      </c>
      <c r="D59" s="15" t="s">
        <v>370</v>
      </c>
      <c r="E59" s="16" t="n">
        <v>12</v>
      </c>
      <c r="F59" s="15" t="s">
        <v>419</v>
      </c>
      <c r="G59" s="8" t="n">
        <v>10</v>
      </c>
      <c r="H59" s="15" t="s">
        <v>941</v>
      </c>
      <c r="I59" s="15" t="s">
        <v>514</v>
      </c>
      <c r="J59" s="15" t="s">
        <v>428</v>
      </c>
      <c r="K59" s="8" t="n">
        <v>7</v>
      </c>
      <c r="L59" s="8" t="n">
        <v>46</v>
      </c>
      <c r="M59" s="8" t="n">
        <v>3</v>
      </c>
      <c r="N59" s="8" t="n">
        <v>12</v>
      </c>
      <c r="O59" s="8" t="n">
        <v>9</v>
      </c>
      <c r="P59" s="9" t="n">
        <v>35.7847976314115</v>
      </c>
      <c r="Q59" s="10" t="n">
        <v>0.027944827585729</v>
      </c>
      <c r="R59" s="9" t="n">
        <v>51</v>
      </c>
      <c r="S59" s="12" t="n">
        <f aca="false">IF(AND(ISNUMBER(R59),R59&gt;1,P59&gt;0),R59/P59-1,"")</f>
        <v>0.425186206872182</v>
      </c>
      <c r="T59" s="9" t="n">
        <f aca="false">IF(AND(ISNUMBER(P59),P59&gt;0),P59*EXP('Read me'!$B$22),"")</f>
        <v>43.7076505272095</v>
      </c>
    </row>
    <row r="60" customFormat="false" ht="15" hidden="false" customHeight="false" outlineLevel="0" collapsed="false">
      <c r="A60" s="15" t="s">
        <v>246</v>
      </c>
      <c r="B60" s="15" t="s">
        <v>63</v>
      </c>
      <c r="C60" s="15" t="s">
        <v>247</v>
      </c>
      <c r="D60" s="15" t="s">
        <v>370</v>
      </c>
      <c r="E60" s="16" t="n">
        <v>12</v>
      </c>
      <c r="F60" s="15" t="s">
        <v>419</v>
      </c>
      <c r="G60" s="8" t="n">
        <v>10</v>
      </c>
      <c r="H60" s="15" t="s">
        <v>942</v>
      </c>
      <c r="I60" s="15" t="s">
        <v>97</v>
      </c>
      <c r="J60" s="15" t="s">
        <v>943</v>
      </c>
      <c r="K60" s="8" t="n">
        <v>10</v>
      </c>
      <c r="L60" s="8" t="n">
        <v>60</v>
      </c>
      <c r="M60" s="8" t="n">
        <v>7</v>
      </c>
      <c r="N60" s="8" t="n">
        <v>30</v>
      </c>
      <c r="O60" s="8" t="n">
        <v>10</v>
      </c>
      <c r="P60" s="9" t="n">
        <v>40.6014255548637</v>
      </c>
      <c r="Q60" s="10" t="n">
        <v>0.0246296770700507</v>
      </c>
      <c r="R60" s="9" t="n">
        <v>51</v>
      </c>
      <c r="S60" s="12" t="n">
        <f aca="false">IF(AND(ISNUMBER(R60),R60&gt;1,P60&gt;0),R60/P60-1,"")</f>
        <v>0.256113530572589</v>
      </c>
      <c r="T60" s="9" t="n">
        <f aca="false">IF(AND(ISNUMBER(P60),P60&gt;0),P60*EXP('Read me'!$B$22),"")</f>
        <v>49.5906931579454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69</v>
      </c>
      <c r="B2" s="15" t="s">
        <v>70</v>
      </c>
      <c r="C2" s="15" t="s">
        <v>71</v>
      </c>
      <c r="D2" s="15" t="s">
        <v>432</v>
      </c>
      <c r="E2" s="16" t="n">
        <v>26</v>
      </c>
      <c r="F2" s="15" t="s">
        <v>357</v>
      </c>
      <c r="G2" s="8" t="n">
        <v>3</v>
      </c>
      <c r="H2" s="15" t="s">
        <v>72</v>
      </c>
      <c r="I2" s="15" t="s">
        <v>73</v>
      </c>
      <c r="J2" s="15" t="s">
        <v>74</v>
      </c>
      <c r="K2" s="8" t="n">
        <v>3</v>
      </c>
      <c r="L2" s="8" t="n">
        <v>102</v>
      </c>
      <c r="M2" s="8" t="n">
        <v>7</v>
      </c>
      <c r="N2" s="8" t="n">
        <v>10</v>
      </c>
      <c r="O2" s="8" t="n">
        <v>1</v>
      </c>
      <c r="P2" s="9" t="n">
        <v>2.19556200918287</v>
      </c>
      <c r="Q2" s="10" t="n">
        <v>0.455464248250576</v>
      </c>
      <c r="R2" s="9" t="n">
        <v>1.66666666666667</v>
      </c>
      <c r="S2" s="12" t="n">
        <f aca="false">IF(AND(ISNUMBER(R2),R2&gt;1,P2&gt;0),R2/P2-1,"")</f>
        <v>-0.240892919582373</v>
      </c>
      <c r="T2" s="9" t="n">
        <f aca="false">IF(AND(ISNUMBER(P2),P2&gt;0),P2*EXP('Read me'!$B$22),"")</f>
        <v>2.68166549372764</v>
      </c>
    </row>
    <row r="3" customFormat="false" ht="15" hidden="false" customHeight="false" outlineLevel="0" collapsed="false">
      <c r="A3" s="15" t="s">
        <v>69</v>
      </c>
      <c r="B3" s="15" t="s">
        <v>70</v>
      </c>
      <c r="C3" s="15" t="s">
        <v>71</v>
      </c>
      <c r="D3" s="15" t="s">
        <v>432</v>
      </c>
      <c r="E3" s="16" t="n">
        <v>26</v>
      </c>
      <c r="F3" s="15" t="s">
        <v>357</v>
      </c>
      <c r="G3" s="8" t="n">
        <v>3</v>
      </c>
      <c r="H3" s="15" t="s">
        <v>75</v>
      </c>
      <c r="I3" s="15" t="s">
        <v>433</v>
      </c>
      <c r="J3" s="15" t="s">
        <v>434</v>
      </c>
      <c r="K3" s="8" t="n">
        <v>1</v>
      </c>
      <c r="L3" s="8" t="n">
        <v>120</v>
      </c>
      <c r="M3" s="8" t="n">
        <v>7</v>
      </c>
      <c r="N3" s="8" t="n">
        <v>40</v>
      </c>
      <c r="O3" s="8" t="n">
        <v>2</v>
      </c>
      <c r="P3" s="9" t="n">
        <v>3.18590078013026</v>
      </c>
      <c r="Q3" s="10" t="n">
        <v>0.313882970316205</v>
      </c>
      <c r="R3" s="9" t="n">
        <v>5.5</v>
      </c>
      <c r="S3" s="12" t="n">
        <f aca="false">IF(AND(ISNUMBER(R3),R3&gt;1,P3&gt;0),R3/P3-1,"")</f>
        <v>0.726356336739126</v>
      </c>
      <c r="T3" s="9" t="n">
        <f aca="false">IF(AND(ISNUMBER(P3),P3&gt;0),P3*EXP('Read me'!$B$22),"")</f>
        <v>3.89126800007574</v>
      </c>
    </row>
    <row r="4" customFormat="false" ht="15" hidden="false" customHeight="false" outlineLevel="0" collapsed="false">
      <c r="A4" s="15" t="s">
        <v>69</v>
      </c>
      <c r="B4" s="15" t="s">
        <v>70</v>
      </c>
      <c r="C4" s="15" t="s">
        <v>71</v>
      </c>
      <c r="D4" s="15" t="s">
        <v>432</v>
      </c>
      <c r="E4" s="16" t="n">
        <v>26</v>
      </c>
      <c r="F4" s="15" t="s">
        <v>357</v>
      </c>
      <c r="G4" s="8" t="n">
        <v>3</v>
      </c>
      <c r="H4" s="15" t="s">
        <v>435</v>
      </c>
      <c r="I4" s="15" t="s">
        <v>436</v>
      </c>
      <c r="J4" s="15" t="s">
        <v>437</v>
      </c>
      <c r="K4" s="8" t="n">
        <v>2</v>
      </c>
      <c r="L4" s="8" t="n">
        <v>110</v>
      </c>
      <c r="M4" s="8" t="n">
        <v>9</v>
      </c>
      <c r="N4" s="8" t="n">
        <v>12</v>
      </c>
      <c r="O4" s="8" t="n">
        <v>3</v>
      </c>
      <c r="P4" s="9" t="n">
        <v>4.33552109706307</v>
      </c>
      <c r="Q4" s="10" t="n">
        <v>0.230652781433219</v>
      </c>
      <c r="R4" s="9" t="n">
        <v>3.5</v>
      </c>
      <c r="S4" s="12" t="n">
        <f aca="false">IF(AND(ISNUMBER(R4),R4&gt;1,P4&gt;0),R4/P4-1,"")</f>
        <v>-0.192715264983733</v>
      </c>
      <c r="T4" s="9" t="n">
        <f aca="false">IF(AND(ISNUMBER(P4),P4&gt;0),P4*EXP('Read me'!$B$22),"")</f>
        <v>5.29541742601444</v>
      </c>
    </row>
    <row r="5" customFormat="false" ht="15" hidden="false" customHeight="false" outlineLevel="0" collapsed="false">
      <c r="A5" s="15" t="s">
        <v>100</v>
      </c>
      <c r="B5" s="15" t="s">
        <v>70</v>
      </c>
      <c r="C5" s="15" t="s">
        <v>101</v>
      </c>
      <c r="D5" s="15" t="s">
        <v>456</v>
      </c>
      <c r="E5" s="16" t="n">
        <v>17</v>
      </c>
      <c r="F5" s="15" t="s">
        <v>357</v>
      </c>
      <c r="G5" s="8" t="n">
        <v>6</v>
      </c>
      <c r="H5" s="15" t="s">
        <v>102</v>
      </c>
      <c r="I5" s="15" t="s">
        <v>103</v>
      </c>
      <c r="J5" s="15" t="s">
        <v>104</v>
      </c>
      <c r="K5" s="8" t="n">
        <v>4</v>
      </c>
      <c r="L5" s="8" t="n">
        <v>119</v>
      </c>
      <c r="M5" s="8" t="n">
        <v>4</v>
      </c>
      <c r="N5" s="8" t="n">
        <v>219</v>
      </c>
      <c r="O5" s="8" t="n">
        <v>1</v>
      </c>
      <c r="P5" s="9" t="n">
        <v>1.30531416430074</v>
      </c>
      <c r="Q5" s="10" t="n">
        <v>0.766099095029514</v>
      </c>
      <c r="R5" s="9" t="n">
        <v>1.28571428571429</v>
      </c>
      <c r="S5" s="12" t="n">
        <f aca="false">IF(AND(ISNUMBER(R5),R5&gt;1,P5&gt;0),R5/P5-1,"")</f>
        <v>-0.0150154492477677</v>
      </c>
      <c r="T5" s="9" t="n">
        <f aca="false">IF(AND(ISNUMBER(P5),P5&gt;0),P5*EXP('Read me'!$B$22),"")</f>
        <v>1.59431432054246</v>
      </c>
    </row>
    <row r="6" customFormat="false" ht="15" hidden="false" customHeight="false" outlineLevel="0" collapsed="false">
      <c r="A6" s="15" t="s">
        <v>100</v>
      </c>
      <c r="B6" s="15" t="s">
        <v>70</v>
      </c>
      <c r="C6" s="15" t="s">
        <v>101</v>
      </c>
      <c r="D6" s="15" t="s">
        <v>456</v>
      </c>
      <c r="E6" s="16" t="n">
        <v>17</v>
      </c>
      <c r="F6" s="15" t="s">
        <v>357</v>
      </c>
      <c r="G6" s="8" t="n">
        <v>6</v>
      </c>
      <c r="H6" s="15" t="s">
        <v>105</v>
      </c>
      <c r="I6" s="15" t="s">
        <v>515</v>
      </c>
      <c r="J6" s="15" t="s">
        <v>516</v>
      </c>
      <c r="K6" s="8" t="n">
        <v>6</v>
      </c>
      <c r="L6" s="8" t="n">
        <v>0</v>
      </c>
      <c r="M6" s="8" t="n">
        <v>4</v>
      </c>
      <c r="N6" s="8" t="n">
        <v>188</v>
      </c>
      <c r="O6" s="8" t="n">
        <v>2</v>
      </c>
      <c r="P6" s="9" t="n">
        <v>5.18891599241525</v>
      </c>
      <c r="Q6" s="10" t="n">
        <v>0.192718479439968</v>
      </c>
      <c r="R6" s="9" t="n">
        <v>4</v>
      </c>
      <c r="S6" s="12" t="n">
        <f aca="false">IF(AND(ISNUMBER(R6),R6&gt;1,P6&gt;0),R6/P6-1,"")</f>
        <v>-0.229126082240127</v>
      </c>
      <c r="T6" s="9" t="n">
        <f aca="false">IF(AND(ISNUMBER(P6),P6&gt;0),P6*EXP('Read me'!$B$22),"")</f>
        <v>6.3377563049974</v>
      </c>
    </row>
    <row r="7" customFormat="false" ht="15" hidden="false" customHeight="false" outlineLevel="0" collapsed="false">
      <c r="A7" s="15" t="s">
        <v>100</v>
      </c>
      <c r="B7" s="15" t="s">
        <v>70</v>
      </c>
      <c r="C7" s="15" t="s">
        <v>101</v>
      </c>
      <c r="D7" s="15" t="s">
        <v>456</v>
      </c>
      <c r="E7" s="16" t="n">
        <v>17</v>
      </c>
      <c r="F7" s="15" t="s">
        <v>357</v>
      </c>
      <c r="G7" s="8" t="n">
        <v>6</v>
      </c>
      <c r="H7" s="15" t="s">
        <v>517</v>
      </c>
      <c r="I7" s="15" t="s">
        <v>518</v>
      </c>
      <c r="J7" s="15" t="s">
        <v>519</v>
      </c>
      <c r="K7" s="8" t="n">
        <v>7</v>
      </c>
      <c r="L7" s="8" t="n">
        <v>0</v>
      </c>
      <c r="M7" s="8" t="n">
        <v>4</v>
      </c>
      <c r="N7" s="8" t="n">
        <v>22</v>
      </c>
      <c r="O7" s="8" t="n">
        <v>3</v>
      </c>
      <c r="P7" s="9" t="n">
        <v>55.9608578727715</v>
      </c>
      <c r="Q7" s="10" t="n">
        <v>0.0178696331331004</v>
      </c>
      <c r="R7" s="9" t="n">
        <v>41</v>
      </c>
      <c r="S7" s="12" t="n">
        <f aca="false">IF(AND(ISNUMBER(R7),R7&gt;1,P7&gt;0),R7/P7-1,"")</f>
        <v>-0.267345041542884</v>
      </c>
      <c r="T7" s="9" t="n">
        <f aca="false">IF(AND(ISNUMBER(P7),P7&gt;0),P7*EXP('Read me'!$B$22),"")</f>
        <v>68.3507461548124</v>
      </c>
    </row>
    <row r="8" customFormat="false" ht="15" hidden="false" customHeight="false" outlineLevel="0" collapsed="false">
      <c r="A8" s="15" t="s">
        <v>100</v>
      </c>
      <c r="B8" s="15" t="s">
        <v>70</v>
      </c>
      <c r="C8" s="15" t="s">
        <v>101</v>
      </c>
      <c r="D8" s="15" t="s">
        <v>456</v>
      </c>
      <c r="E8" s="16" t="n">
        <v>17</v>
      </c>
      <c r="F8" s="15" t="s">
        <v>357</v>
      </c>
      <c r="G8" s="8" t="n">
        <v>6</v>
      </c>
      <c r="H8" s="15" t="s">
        <v>520</v>
      </c>
      <c r="I8" s="15" t="s">
        <v>521</v>
      </c>
      <c r="J8" s="15" t="s">
        <v>522</v>
      </c>
      <c r="K8" s="8" t="n">
        <v>1</v>
      </c>
      <c r="L8" s="8" t="n">
        <v>0</v>
      </c>
      <c r="M8" s="8" t="n">
        <v>5</v>
      </c>
      <c r="N8" s="8" t="n">
        <v>21</v>
      </c>
      <c r="O8" s="8" t="n">
        <v>4</v>
      </c>
      <c r="P8" s="9" t="n">
        <v>80.64201404272</v>
      </c>
      <c r="Q8" s="10" t="n">
        <v>0.0124004839396775</v>
      </c>
      <c r="R8" s="9" t="n">
        <v>21</v>
      </c>
      <c r="S8" s="12" t="n">
        <f aca="false">IF(AND(ISNUMBER(R8),R8&gt;1,P8&gt;0),R8/P8-1,"")</f>
        <v>-0.739589837266772</v>
      </c>
      <c r="T8" s="9" t="n">
        <f aca="false">IF(AND(ISNUMBER(P8),P8&gt;0),P8*EXP('Read me'!$B$22),"")</f>
        <v>98.4963783753694</v>
      </c>
    </row>
    <row r="9" customFormat="false" ht="15" hidden="false" customHeight="false" outlineLevel="0" collapsed="false">
      <c r="A9" s="15" t="s">
        <v>100</v>
      </c>
      <c r="B9" s="15" t="s">
        <v>70</v>
      </c>
      <c r="C9" s="15" t="s">
        <v>101</v>
      </c>
      <c r="D9" s="15" t="s">
        <v>456</v>
      </c>
      <c r="E9" s="16" t="n">
        <v>17</v>
      </c>
      <c r="F9" s="15" t="s">
        <v>357</v>
      </c>
      <c r="G9" s="8" t="n">
        <v>6</v>
      </c>
      <c r="H9" s="15" t="s">
        <v>523</v>
      </c>
      <c r="I9" s="15" t="s">
        <v>524</v>
      </c>
      <c r="J9" s="15" t="s">
        <v>525</v>
      </c>
      <c r="K9" s="8" t="n">
        <v>5</v>
      </c>
      <c r="L9" s="8" t="n">
        <v>0</v>
      </c>
      <c r="M9" s="8" t="n">
        <v>4</v>
      </c>
      <c r="N9" s="8" t="n">
        <v>18</v>
      </c>
      <c r="O9" s="8" t="n">
        <v>5</v>
      </c>
      <c r="P9" s="9" t="n">
        <v>155.933074647092</v>
      </c>
      <c r="Q9" s="10" t="n">
        <v>0.0064130076461533</v>
      </c>
      <c r="R9" s="9" t="n">
        <v>51</v>
      </c>
      <c r="S9" s="12" t="n">
        <f aca="false">IF(AND(ISNUMBER(R9),R9&gt;1,P9&gt;0),R9/P9-1,"")</f>
        <v>-0.672936610046181</v>
      </c>
      <c r="T9" s="9" t="n">
        <f aca="false">IF(AND(ISNUMBER(P9),P9&gt;0),P9*EXP('Read me'!$B$22),"")</f>
        <v>190.457087462354</v>
      </c>
    </row>
    <row r="10" customFormat="false" ht="15" hidden="false" customHeight="false" outlineLevel="0" collapsed="false">
      <c r="A10" s="15" t="s">
        <v>100</v>
      </c>
      <c r="B10" s="15" t="s">
        <v>70</v>
      </c>
      <c r="C10" s="15" t="s">
        <v>101</v>
      </c>
      <c r="D10" s="15" t="s">
        <v>456</v>
      </c>
      <c r="E10" s="16" t="n">
        <v>17</v>
      </c>
      <c r="F10" s="15" t="s">
        <v>357</v>
      </c>
      <c r="G10" s="8" t="n">
        <v>6</v>
      </c>
      <c r="H10" s="15" t="s">
        <v>526</v>
      </c>
      <c r="I10" s="15" t="s">
        <v>527</v>
      </c>
      <c r="J10" s="15" t="s">
        <v>528</v>
      </c>
      <c r="K10" s="8" t="n">
        <v>2</v>
      </c>
      <c r="L10" s="8" t="n">
        <v>0</v>
      </c>
      <c r="M10" s="8" t="n">
        <v>5</v>
      </c>
      <c r="N10" s="8" t="n">
        <v>10</v>
      </c>
      <c r="O10" s="8" t="n">
        <v>6</v>
      </c>
      <c r="P10" s="9" t="n">
        <v>222.256755410702</v>
      </c>
      <c r="Q10" s="10" t="n">
        <v>0.0044993008115867</v>
      </c>
      <c r="R10" s="9" t="n">
        <v>41</v>
      </c>
      <c r="S10" s="12" t="n">
        <f aca="false">IF(AND(ISNUMBER(R10),R10&gt;1,P10&gt;0),R10/P10-1,"")</f>
        <v>-0.815528666724945</v>
      </c>
      <c r="T10" s="9" t="n">
        <f aca="false">IF(AND(ISNUMBER(P10),P10&gt;0),P10*EXP('Read me'!$B$22),"")</f>
        <v>271.465014078361</v>
      </c>
    </row>
    <row r="11" customFormat="false" ht="15" hidden="false" customHeight="false" outlineLevel="0" collapsed="false">
      <c r="A11" s="15" t="s">
        <v>129</v>
      </c>
      <c r="B11" s="15" t="s">
        <v>70</v>
      </c>
      <c r="C11" s="15" t="s">
        <v>130</v>
      </c>
      <c r="D11" s="15" t="s">
        <v>432</v>
      </c>
      <c r="E11" s="16" t="n">
        <v>16.5</v>
      </c>
      <c r="F11" s="15" t="s">
        <v>357</v>
      </c>
      <c r="G11" s="8" t="n">
        <v>4</v>
      </c>
      <c r="H11" s="15" t="s">
        <v>131</v>
      </c>
      <c r="I11" s="15" t="s">
        <v>132</v>
      </c>
      <c r="J11" s="15" t="s">
        <v>133</v>
      </c>
      <c r="K11" s="8" t="n">
        <v>1</v>
      </c>
      <c r="L11" s="8" t="n">
        <v>125</v>
      </c>
      <c r="M11" s="8" t="n">
        <v>6</v>
      </c>
      <c r="N11" s="8" t="n">
        <v>32</v>
      </c>
      <c r="O11" s="8" t="n">
        <v>1</v>
      </c>
      <c r="P11" s="9" t="n">
        <v>3.54237891223166</v>
      </c>
      <c r="Q11" s="10" t="n">
        <v>0.282296170109597</v>
      </c>
      <c r="R11" s="9" t="n">
        <v>5.5</v>
      </c>
      <c r="S11" s="12" t="n">
        <f aca="false">IF(AND(ISNUMBER(R11),R11&gt;1,P11&gt;0),R11/P11-1,"")</f>
        <v>0.552628935602785</v>
      </c>
      <c r="T11" s="9" t="n">
        <f aca="false">IF(AND(ISNUMBER(P11),P11&gt;0),P11*EXP('Read me'!$B$22),"")</f>
        <v>4.32667137384818</v>
      </c>
    </row>
    <row r="12" customFormat="false" ht="15" hidden="false" customHeight="false" outlineLevel="0" collapsed="false">
      <c r="A12" s="15" t="s">
        <v>129</v>
      </c>
      <c r="B12" s="15" t="s">
        <v>70</v>
      </c>
      <c r="C12" s="15" t="s">
        <v>130</v>
      </c>
      <c r="D12" s="15" t="s">
        <v>432</v>
      </c>
      <c r="E12" s="16" t="n">
        <v>16.5</v>
      </c>
      <c r="F12" s="15" t="s">
        <v>357</v>
      </c>
      <c r="G12" s="8" t="n">
        <v>4</v>
      </c>
      <c r="H12" s="15" t="s">
        <v>134</v>
      </c>
      <c r="I12" s="15" t="s">
        <v>613</v>
      </c>
      <c r="J12" s="15" t="s">
        <v>133</v>
      </c>
      <c r="K12" s="8" t="n">
        <v>4</v>
      </c>
      <c r="L12" s="8" t="n">
        <v>106</v>
      </c>
      <c r="M12" s="8" t="n">
        <v>7</v>
      </c>
      <c r="N12" s="8" t="n">
        <v>21</v>
      </c>
      <c r="O12" s="8" t="n">
        <v>2</v>
      </c>
      <c r="P12" s="9" t="n">
        <v>3.67357012240958</v>
      </c>
      <c r="Q12" s="10" t="n">
        <v>0.27221475749157</v>
      </c>
      <c r="R12" s="9" t="n">
        <v>3.5</v>
      </c>
      <c r="S12" s="12" t="n">
        <f aca="false">IF(AND(ISNUMBER(R12),R12&gt;1,P12&gt;0),R12/P12-1,"")</f>
        <v>-0.0472483487795047</v>
      </c>
      <c r="T12" s="9" t="n">
        <f aca="false">IF(AND(ISNUMBER(P12),P12&gt;0),P12*EXP('Read me'!$B$22),"")</f>
        <v>4.48690867980585</v>
      </c>
    </row>
    <row r="13" customFormat="false" ht="15" hidden="false" customHeight="false" outlineLevel="0" collapsed="false">
      <c r="A13" s="15" t="s">
        <v>129</v>
      </c>
      <c r="B13" s="15" t="s">
        <v>70</v>
      </c>
      <c r="C13" s="15" t="s">
        <v>130</v>
      </c>
      <c r="D13" s="15" t="s">
        <v>432</v>
      </c>
      <c r="E13" s="16" t="n">
        <v>16.5</v>
      </c>
      <c r="F13" s="15" t="s">
        <v>357</v>
      </c>
      <c r="G13" s="8" t="n">
        <v>4</v>
      </c>
      <c r="H13" s="15" t="s">
        <v>614</v>
      </c>
      <c r="I13" s="15" t="s">
        <v>103</v>
      </c>
      <c r="J13" s="15" t="s">
        <v>104</v>
      </c>
      <c r="K13" s="8" t="n">
        <v>3</v>
      </c>
      <c r="L13" s="8" t="n">
        <v>120</v>
      </c>
      <c r="M13" s="8" t="n">
        <v>6</v>
      </c>
      <c r="N13" s="8" t="n">
        <v>157</v>
      </c>
      <c r="O13" s="8" t="n">
        <v>3</v>
      </c>
      <c r="P13" s="9" t="n">
        <v>3.85732239103047</v>
      </c>
      <c r="Q13" s="10" t="n">
        <v>0.259247192385403</v>
      </c>
      <c r="R13" s="9" t="n">
        <v>3.25</v>
      </c>
      <c r="S13" s="12" t="n">
        <f aca="false">IF(AND(ISNUMBER(R13),R13&gt;1,P13&gt;0),R13/P13-1,"")</f>
        <v>-0.15744662474744</v>
      </c>
      <c r="T13" s="9" t="n">
        <f aca="false">IF(AND(ISNUMBER(P13),P13&gt;0),P13*EXP('Read me'!$B$22),"")</f>
        <v>4.7113442075176</v>
      </c>
    </row>
    <row r="14" customFormat="false" ht="15" hidden="false" customHeight="false" outlineLevel="0" collapsed="false">
      <c r="A14" s="15" t="s">
        <v>129</v>
      </c>
      <c r="B14" s="15" t="s">
        <v>70</v>
      </c>
      <c r="C14" s="15" t="s">
        <v>130</v>
      </c>
      <c r="D14" s="15" t="s">
        <v>432</v>
      </c>
      <c r="E14" s="16" t="n">
        <v>16.5</v>
      </c>
      <c r="F14" s="15" t="s">
        <v>357</v>
      </c>
      <c r="G14" s="8" t="n">
        <v>4</v>
      </c>
      <c r="H14" s="15" t="s">
        <v>615</v>
      </c>
      <c r="I14" s="15" t="s">
        <v>515</v>
      </c>
      <c r="J14" s="15" t="s">
        <v>516</v>
      </c>
      <c r="K14" s="8" t="n">
        <v>2</v>
      </c>
      <c r="L14" s="8" t="n">
        <v>122</v>
      </c>
      <c r="M14" s="8" t="n">
        <v>6</v>
      </c>
      <c r="N14" s="8" t="n">
        <v>175</v>
      </c>
      <c r="O14" s="8" t="n">
        <v>4</v>
      </c>
      <c r="P14" s="9" t="n">
        <v>5.36936160614301</v>
      </c>
      <c r="Q14" s="10" t="n">
        <v>0.186241880013429</v>
      </c>
      <c r="R14" s="9" t="n">
        <v>3.25</v>
      </c>
      <c r="S14" s="12" t="n">
        <f aca="false">IF(AND(ISNUMBER(R14),R14&gt;1,P14&gt;0),R14/P14-1,"")</f>
        <v>-0.394713889956355</v>
      </c>
      <c r="T14" s="9" t="n">
        <f aca="false">IF(AND(ISNUMBER(P14),P14&gt;0),P14*EXP('Read me'!$B$22),"")</f>
        <v>6.55815307530239</v>
      </c>
    </row>
    <row r="15" customFormat="false" ht="15" hidden="false" customHeight="false" outlineLevel="0" collapsed="false">
      <c r="A15" s="15" t="s">
        <v>158</v>
      </c>
      <c r="B15" s="15" t="s">
        <v>70</v>
      </c>
      <c r="C15" s="15" t="s">
        <v>159</v>
      </c>
      <c r="D15" s="15" t="s">
        <v>418</v>
      </c>
      <c r="E15" s="16" t="n">
        <v>17</v>
      </c>
      <c r="F15" s="15" t="s">
        <v>357</v>
      </c>
      <c r="G15" s="8" t="n">
        <v>6</v>
      </c>
      <c r="H15" s="15" t="s">
        <v>160</v>
      </c>
      <c r="I15" s="15"/>
      <c r="J15" s="15" t="s">
        <v>74</v>
      </c>
      <c r="K15" s="8" t="n">
        <v>4</v>
      </c>
      <c r="L15" s="8" t="n">
        <v>87</v>
      </c>
      <c r="M15" s="8" t="n">
        <v>8</v>
      </c>
      <c r="N15" s="8" t="n">
        <v>18</v>
      </c>
      <c r="O15" s="8" t="n">
        <v>1</v>
      </c>
      <c r="P15" s="9" t="n">
        <v>2.68447458540384</v>
      </c>
      <c r="Q15" s="10" t="n">
        <v>0.372512373720076</v>
      </c>
      <c r="R15" s="9" t="n">
        <v>2.875</v>
      </c>
      <c r="S15" s="12" t="n">
        <f aca="false">IF(AND(ISNUMBER(R15),R15&gt;1,P15&gt;0),R15/P15-1,"")</f>
        <v>0.0709730744452175</v>
      </c>
      <c r="T15" s="9" t="n">
        <f aca="false">IF(AND(ISNUMBER(P15),P15&gt;0),P15*EXP('Read me'!$B$22),"")</f>
        <v>3.27882466282313</v>
      </c>
    </row>
    <row r="16" customFormat="false" ht="15" hidden="false" customHeight="false" outlineLevel="0" collapsed="false">
      <c r="A16" s="15" t="s">
        <v>158</v>
      </c>
      <c r="B16" s="15" t="s">
        <v>70</v>
      </c>
      <c r="C16" s="15" t="s">
        <v>159</v>
      </c>
      <c r="D16" s="15" t="s">
        <v>418</v>
      </c>
      <c r="E16" s="16" t="n">
        <v>17</v>
      </c>
      <c r="F16" s="15" t="s">
        <v>357</v>
      </c>
      <c r="G16" s="8" t="n">
        <v>6</v>
      </c>
      <c r="H16" s="15" t="s">
        <v>161</v>
      </c>
      <c r="I16" s="15" t="s">
        <v>699</v>
      </c>
      <c r="J16" s="15" t="s">
        <v>700</v>
      </c>
      <c r="K16" s="8" t="n">
        <v>1</v>
      </c>
      <c r="L16" s="8" t="n">
        <v>109</v>
      </c>
      <c r="M16" s="8" t="n">
        <v>6</v>
      </c>
      <c r="N16" s="8" t="n">
        <v>21</v>
      </c>
      <c r="O16" s="8" t="n">
        <v>2</v>
      </c>
      <c r="P16" s="9" t="n">
        <v>3.61202824617391</v>
      </c>
      <c r="Q16" s="10" t="n">
        <v>0.276852763003519</v>
      </c>
      <c r="R16" s="9" t="n">
        <v>3.25</v>
      </c>
      <c r="S16" s="12" t="n">
        <f aca="false">IF(AND(ISNUMBER(R16),R16&gt;1,P16&gt;0),R16/P16-1,"")</f>
        <v>-0.100228520238565</v>
      </c>
      <c r="T16" s="9" t="n">
        <f aca="false">IF(AND(ISNUMBER(P16),P16&gt;0),P16*EXP('Read me'!$B$22),"")</f>
        <v>4.41174126242925</v>
      </c>
    </row>
    <row r="17" customFormat="false" ht="15" hidden="false" customHeight="false" outlineLevel="0" collapsed="false">
      <c r="A17" s="15" t="s">
        <v>158</v>
      </c>
      <c r="B17" s="15" t="s">
        <v>70</v>
      </c>
      <c r="C17" s="15" t="s">
        <v>159</v>
      </c>
      <c r="D17" s="15" t="s">
        <v>418</v>
      </c>
      <c r="E17" s="16" t="n">
        <v>17</v>
      </c>
      <c r="F17" s="15" t="s">
        <v>357</v>
      </c>
      <c r="G17" s="8" t="n">
        <v>6</v>
      </c>
      <c r="H17" s="15" t="s">
        <v>701</v>
      </c>
      <c r="I17" s="15" t="s">
        <v>702</v>
      </c>
      <c r="J17" s="15" t="s">
        <v>703</v>
      </c>
      <c r="K17" s="8" t="n">
        <v>6</v>
      </c>
      <c r="L17" s="8" t="n">
        <v>83</v>
      </c>
      <c r="M17" s="8" t="n">
        <v>5</v>
      </c>
      <c r="N17" s="8" t="n">
        <v>10</v>
      </c>
      <c r="O17" s="8" t="n">
        <v>3</v>
      </c>
      <c r="P17" s="9" t="n">
        <v>9.79889167762399</v>
      </c>
      <c r="Q17" s="10" t="n">
        <v>0.102052357848136</v>
      </c>
      <c r="R17" s="9" t="n">
        <v>4.33333333333333</v>
      </c>
      <c r="S17" s="12" t="n">
        <f aca="false">IF(AND(ISNUMBER(R17),R17&gt;1,P17&gt;0),R17/P17-1,"")</f>
        <v>-0.557773115991413</v>
      </c>
      <c r="T17" s="9" t="n">
        <f aca="false">IF(AND(ISNUMBER(P17),P17&gt;0),P17*EXP('Read me'!$B$22),"")</f>
        <v>11.9683933219627</v>
      </c>
    </row>
    <row r="18" customFormat="false" ht="15" hidden="false" customHeight="false" outlineLevel="0" collapsed="false">
      <c r="A18" s="15" t="s">
        <v>158</v>
      </c>
      <c r="B18" s="15" t="s">
        <v>70</v>
      </c>
      <c r="C18" s="15" t="s">
        <v>159</v>
      </c>
      <c r="D18" s="15" t="s">
        <v>418</v>
      </c>
      <c r="E18" s="16" t="n">
        <v>17</v>
      </c>
      <c r="F18" s="15" t="s">
        <v>357</v>
      </c>
      <c r="G18" s="8" t="n">
        <v>6</v>
      </c>
      <c r="H18" s="15" t="s">
        <v>704</v>
      </c>
      <c r="I18" s="15" t="s">
        <v>515</v>
      </c>
      <c r="J18" s="15" t="s">
        <v>516</v>
      </c>
      <c r="K18" s="8" t="n">
        <v>2</v>
      </c>
      <c r="L18" s="8" t="n">
        <v>106</v>
      </c>
      <c r="M18" s="8" t="n">
        <v>6</v>
      </c>
      <c r="N18" s="8" t="n">
        <v>145</v>
      </c>
      <c r="O18" s="8" t="n">
        <v>4</v>
      </c>
      <c r="P18" s="9" t="n">
        <v>10.8439808630834</v>
      </c>
      <c r="Q18" s="10" t="n">
        <v>0.0922170568747813</v>
      </c>
      <c r="R18" s="9" t="n">
        <v>3.25</v>
      </c>
      <c r="S18" s="12" t="n">
        <f aca="false">IF(AND(ISNUMBER(R18),R18&gt;1,P18&gt;0),R18/P18-1,"")</f>
        <v>-0.700294565156961</v>
      </c>
      <c r="T18" s="9" t="n">
        <f aca="false">IF(AND(ISNUMBER(P18),P18&gt;0),P18*EXP('Read me'!$B$22),"")</f>
        <v>13.2448681356061</v>
      </c>
    </row>
    <row r="19" customFormat="false" ht="15" hidden="false" customHeight="false" outlineLevel="0" collapsed="false">
      <c r="A19" s="15" t="s">
        <v>158</v>
      </c>
      <c r="B19" s="15" t="s">
        <v>70</v>
      </c>
      <c r="C19" s="15" t="s">
        <v>159</v>
      </c>
      <c r="D19" s="15" t="s">
        <v>418</v>
      </c>
      <c r="E19" s="16" t="n">
        <v>17</v>
      </c>
      <c r="F19" s="15" t="s">
        <v>357</v>
      </c>
      <c r="G19" s="8" t="n">
        <v>6</v>
      </c>
      <c r="H19" s="15" t="s">
        <v>705</v>
      </c>
      <c r="I19" s="15" t="s">
        <v>706</v>
      </c>
      <c r="J19" s="15" t="s">
        <v>707</v>
      </c>
      <c r="K19" s="8" t="n">
        <v>3</v>
      </c>
      <c r="L19" s="8" t="n">
        <v>91</v>
      </c>
      <c r="M19" s="8" t="n">
        <v>11</v>
      </c>
      <c r="N19" s="8" t="n">
        <v>38</v>
      </c>
      <c r="O19" s="8" t="n">
        <v>5</v>
      </c>
      <c r="P19" s="9" t="n">
        <v>11.2694098927309</v>
      </c>
      <c r="Q19" s="10" t="n">
        <v>0.0887357909170584</v>
      </c>
      <c r="R19" s="9" t="n">
        <v>6.5</v>
      </c>
      <c r="S19" s="12" t="n">
        <f aca="false">IF(AND(ISNUMBER(R19),R19&gt;1,P19&gt;0),R19/P19-1,"")</f>
        <v>-0.42321735903912</v>
      </c>
      <c r="T19" s="9" t="n">
        <f aca="false">IF(AND(ISNUMBER(P19),P19&gt;0),P19*EXP('Read me'!$B$22),"")</f>
        <v>13.764488325819</v>
      </c>
    </row>
    <row r="20" customFormat="false" ht="15" hidden="false" customHeight="false" outlineLevel="0" collapsed="false">
      <c r="A20" s="15" t="s">
        <v>158</v>
      </c>
      <c r="B20" s="15" t="s">
        <v>70</v>
      </c>
      <c r="C20" s="15" t="s">
        <v>159</v>
      </c>
      <c r="D20" s="15" t="s">
        <v>418</v>
      </c>
      <c r="E20" s="16" t="n">
        <v>17</v>
      </c>
      <c r="F20" s="15" t="s">
        <v>357</v>
      </c>
      <c r="G20" s="8" t="n">
        <v>6</v>
      </c>
      <c r="H20" s="15" t="s">
        <v>708</v>
      </c>
      <c r="I20" s="15" t="s">
        <v>521</v>
      </c>
      <c r="J20" s="15" t="s">
        <v>709</v>
      </c>
      <c r="K20" s="8" t="n">
        <v>5</v>
      </c>
      <c r="L20" s="8" t="n">
        <v>85</v>
      </c>
      <c r="M20" s="8" t="n">
        <v>4</v>
      </c>
      <c r="N20" s="8" t="n">
        <v>34</v>
      </c>
      <c r="O20" s="8" t="n">
        <v>6</v>
      </c>
      <c r="P20" s="9" t="n">
        <v>14.7864122775231</v>
      </c>
      <c r="Q20" s="10" t="n">
        <v>0.0676296576364304</v>
      </c>
      <c r="R20" s="9" t="n">
        <v>12</v>
      </c>
      <c r="S20" s="12" t="n">
        <f aca="false">IF(AND(ISNUMBER(R20),R20&gt;1,P20&gt;0),R20/P20-1,"")</f>
        <v>-0.188444108362834</v>
      </c>
      <c r="T20" s="9" t="n">
        <f aca="false">IF(AND(ISNUMBER(P20),P20&gt;0),P20*EXP('Read me'!$B$22),"")</f>
        <v>18.0601647390601</v>
      </c>
    </row>
    <row r="21" customFormat="false" ht="15" hidden="false" customHeight="false" outlineLevel="0" collapsed="false">
      <c r="A21" s="15" t="s">
        <v>184</v>
      </c>
      <c r="B21" s="15" t="s">
        <v>70</v>
      </c>
      <c r="C21" s="15" t="s">
        <v>185</v>
      </c>
      <c r="D21" s="15" t="s">
        <v>456</v>
      </c>
      <c r="E21" s="16" t="n">
        <v>22</v>
      </c>
      <c r="F21" s="15" t="s">
        <v>357</v>
      </c>
      <c r="G21" s="8" t="n">
        <v>4</v>
      </c>
      <c r="H21" s="15" t="s">
        <v>186</v>
      </c>
      <c r="I21" s="15" t="s">
        <v>132</v>
      </c>
      <c r="J21" s="15" t="s">
        <v>187</v>
      </c>
      <c r="K21" s="8" t="n">
        <v>1</v>
      </c>
      <c r="L21" s="8" t="n">
        <v>115</v>
      </c>
      <c r="M21" s="8" t="n">
        <v>6</v>
      </c>
      <c r="N21" s="8" t="n">
        <v>10</v>
      </c>
      <c r="O21" s="8" t="n">
        <v>1</v>
      </c>
      <c r="P21" s="9" t="n">
        <v>3.05873719651781</v>
      </c>
      <c r="Q21" s="10" t="n">
        <v>0.326932304330833</v>
      </c>
      <c r="R21" s="9" t="n">
        <v>3.5</v>
      </c>
      <c r="S21" s="12" t="n">
        <f aca="false">IF(AND(ISNUMBER(R21),R21&gt;1,P21&gt;0),R21/P21-1,"")</f>
        <v>0.144263065157916</v>
      </c>
      <c r="T21" s="9" t="n">
        <f aca="false">IF(AND(ISNUMBER(P21),P21&gt;0),P21*EXP('Read me'!$B$22),"")</f>
        <v>3.73595004831396</v>
      </c>
    </row>
    <row r="22" customFormat="false" ht="15" hidden="false" customHeight="false" outlineLevel="0" collapsed="false">
      <c r="A22" s="15" t="s">
        <v>184</v>
      </c>
      <c r="B22" s="15" t="s">
        <v>70</v>
      </c>
      <c r="C22" s="15" t="s">
        <v>185</v>
      </c>
      <c r="D22" s="15" t="s">
        <v>456</v>
      </c>
      <c r="E22" s="16" t="n">
        <v>22</v>
      </c>
      <c r="F22" s="15" t="s">
        <v>357</v>
      </c>
      <c r="G22" s="8" t="n">
        <v>4</v>
      </c>
      <c r="H22" s="15" t="s">
        <v>188</v>
      </c>
      <c r="I22" s="15" t="s">
        <v>515</v>
      </c>
      <c r="J22" s="15" t="s">
        <v>776</v>
      </c>
      <c r="K22" s="8" t="n">
        <v>2</v>
      </c>
      <c r="L22" s="8" t="n">
        <v>106</v>
      </c>
      <c r="M22" s="8" t="n">
        <v>5</v>
      </c>
      <c r="N22" s="8" t="n">
        <v>159</v>
      </c>
      <c r="O22" s="8" t="n">
        <v>2</v>
      </c>
      <c r="P22" s="9" t="n">
        <v>3.28022058728687</v>
      </c>
      <c r="Q22" s="10" t="n">
        <v>0.304857546433216</v>
      </c>
      <c r="R22" s="9" t="n">
        <v>2.75</v>
      </c>
      <c r="S22" s="12" t="n">
        <f aca="false">IF(AND(ISNUMBER(R22),R22&gt;1,P22&gt;0),R22/P22-1,"")</f>
        <v>-0.161641747308655</v>
      </c>
      <c r="T22" s="9" t="n">
        <f aca="false">IF(AND(ISNUMBER(P22),P22&gt;0),P22*EXP('Read me'!$B$22),"")</f>
        <v>4.00647047268596</v>
      </c>
    </row>
    <row r="23" customFormat="false" ht="15" hidden="false" customHeight="false" outlineLevel="0" collapsed="false">
      <c r="A23" s="15" t="s">
        <v>184</v>
      </c>
      <c r="B23" s="15" t="s">
        <v>70</v>
      </c>
      <c r="C23" s="15" t="s">
        <v>185</v>
      </c>
      <c r="D23" s="15" t="s">
        <v>456</v>
      </c>
      <c r="E23" s="16" t="n">
        <v>22</v>
      </c>
      <c r="F23" s="15" t="s">
        <v>357</v>
      </c>
      <c r="G23" s="8" t="n">
        <v>4</v>
      </c>
      <c r="H23" s="15" t="s">
        <v>777</v>
      </c>
      <c r="I23" s="15" t="s">
        <v>778</v>
      </c>
      <c r="J23" s="15" t="s">
        <v>779</v>
      </c>
      <c r="K23" s="8" t="n">
        <v>4</v>
      </c>
      <c r="L23" s="8" t="n">
        <v>105</v>
      </c>
      <c r="M23" s="8" t="n">
        <v>5</v>
      </c>
      <c r="N23" s="8" t="n">
        <v>39</v>
      </c>
      <c r="O23" s="8" t="n">
        <v>3</v>
      </c>
      <c r="P23" s="9" t="n">
        <v>4.54850463733998</v>
      </c>
      <c r="Q23" s="10" t="n">
        <v>0.219852474545307</v>
      </c>
      <c r="R23" s="9" t="n">
        <v>4</v>
      </c>
      <c r="S23" s="12" t="n">
        <f aca="false">IF(AND(ISNUMBER(R23),R23&gt;1,P23&gt;0),R23/P23-1,"")</f>
        <v>-0.120590101818771</v>
      </c>
      <c r="T23" s="9" t="n">
        <f aca="false">IF(AND(ISNUMBER(P23),P23&gt;0),P23*EXP('Read me'!$B$22),"")</f>
        <v>5.55555610955137</v>
      </c>
    </row>
    <row r="24" customFormat="false" ht="15" hidden="false" customHeight="false" outlineLevel="0" collapsed="false">
      <c r="A24" s="15" t="s">
        <v>184</v>
      </c>
      <c r="B24" s="15" t="s">
        <v>70</v>
      </c>
      <c r="C24" s="15" t="s">
        <v>185</v>
      </c>
      <c r="D24" s="15" t="s">
        <v>456</v>
      </c>
      <c r="E24" s="16" t="n">
        <v>22</v>
      </c>
      <c r="F24" s="15" t="s">
        <v>357</v>
      </c>
      <c r="G24" s="8" t="n">
        <v>4</v>
      </c>
      <c r="H24" s="15" t="s">
        <v>780</v>
      </c>
      <c r="I24" s="15" t="s">
        <v>781</v>
      </c>
      <c r="J24" s="15" t="s">
        <v>782</v>
      </c>
      <c r="K24" s="8" t="n">
        <v>3</v>
      </c>
      <c r="L24" s="8" t="n">
        <v>106</v>
      </c>
      <c r="M24" s="8" t="n">
        <v>6</v>
      </c>
      <c r="N24" s="8" t="n">
        <v>21</v>
      </c>
      <c r="O24" s="8" t="n">
        <v>4</v>
      </c>
      <c r="P24" s="9" t="n">
        <v>6.74046692956876</v>
      </c>
      <c r="Q24" s="10" t="n">
        <v>0.148357674690643</v>
      </c>
      <c r="R24" s="9" t="n">
        <v>5.5</v>
      </c>
      <c r="S24" s="12" t="n">
        <f aca="false">IF(AND(ISNUMBER(R24),R24&gt;1,P24&gt;0),R24/P24-1,"")</f>
        <v>-0.184032789201463</v>
      </c>
      <c r="T24" s="9" t="n">
        <f aca="false">IF(AND(ISNUMBER(P24),P24&gt;0),P24*EXP('Read me'!$B$22),"")</f>
        <v>8.2328248990627</v>
      </c>
    </row>
    <row r="25" customFormat="false" ht="15" hidden="false" customHeight="false" outlineLevel="0" collapsed="false">
      <c r="A25" s="15" t="s">
        <v>217</v>
      </c>
      <c r="B25" s="15" t="s">
        <v>70</v>
      </c>
      <c r="C25" s="15" t="s">
        <v>218</v>
      </c>
      <c r="D25" s="15" t="s">
        <v>418</v>
      </c>
      <c r="E25" s="16" t="n">
        <v>27</v>
      </c>
      <c r="F25" s="15" t="s">
        <v>357</v>
      </c>
      <c r="G25" s="8" t="n">
        <v>7</v>
      </c>
      <c r="H25" s="15" t="s">
        <v>219</v>
      </c>
      <c r="I25" s="15" t="s">
        <v>220</v>
      </c>
      <c r="J25" s="15" t="s">
        <v>221</v>
      </c>
      <c r="K25" s="8" t="n">
        <v>4</v>
      </c>
      <c r="L25" s="8" t="n">
        <v>83</v>
      </c>
      <c r="M25" s="8" t="n">
        <v>7</v>
      </c>
      <c r="N25" s="8" t="n">
        <v>8</v>
      </c>
      <c r="O25" s="8" t="n">
        <v>1</v>
      </c>
      <c r="P25" s="9" t="n">
        <v>2.91883614264486</v>
      </c>
      <c r="Q25" s="10" t="n">
        <v>0.342602308293286</v>
      </c>
      <c r="R25" s="9" t="n">
        <v>3.25</v>
      </c>
      <c r="S25" s="12" t="n">
        <f aca="false">IF(AND(ISNUMBER(R25),R25&gt;1,P25&gt;0),R25/P25-1,"")</f>
        <v>0.113457501953181</v>
      </c>
      <c r="T25" s="9" t="n">
        <f aca="false">IF(AND(ISNUMBER(P25),P25&gt;0),P25*EXP('Read me'!$B$22),"")</f>
        <v>3.56507451524402</v>
      </c>
    </row>
    <row r="26" customFormat="false" ht="15" hidden="false" customHeight="false" outlineLevel="0" collapsed="false">
      <c r="A26" s="15" t="s">
        <v>217</v>
      </c>
      <c r="B26" s="15" t="s">
        <v>70</v>
      </c>
      <c r="C26" s="15" t="s">
        <v>218</v>
      </c>
      <c r="D26" s="15" t="s">
        <v>418</v>
      </c>
      <c r="E26" s="16" t="n">
        <v>27</v>
      </c>
      <c r="F26" s="15" t="s">
        <v>357</v>
      </c>
      <c r="G26" s="8" t="n">
        <v>7</v>
      </c>
      <c r="H26" s="15" t="s">
        <v>222</v>
      </c>
      <c r="I26" s="15" t="s">
        <v>858</v>
      </c>
      <c r="J26" s="15" t="s">
        <v>525</v>
      </c>
      <c r="K26" s="8" t="n">
        <v>2</v>
      </c>
      <c r="L26" s="8" t="n">
        <v>97</v>
      </c>
      <c r="M26" s="8" t="n">
        <v>5</v>
      </c>
      <c r="N26" s="8" t="n">
        <v>24</v>
      </c>
      <c r="O26" s="8" t="n">
        <v>2</v>
      </c>
      <c r="P26" s="9" t="n">
        <v>5.18596911990645</v>
      </c>
      <c r="Q26" s="10" t="n">
        <v>0.192827989692704</v>
      </c>
      <c r="R26" s="9" t="n">
        <v>5</v>
      </c>
      <c r="S26" s="12" t="n">
        <f aca="false">IF(AND(ISNUMBER(R26),R26&gt;1,P26&gt;0),R26/P26-1,"")</f>
        <v>-0.0358600515364823</v>
      </c>
      <c r="T26" s="9" t="n">
        <f aca="false">IF(AND(ISNUMBER(P26),P26&gt;0),P26*EXP('Read me'!$B$22),"")</f>
        <v>6.33415698678721</v>
      </c>
    </row>
    <row r="27" customFormat="false" ht="15" hidden="false" customHeight="false" outlineLevel="0" collapsed="false">
      <c r="A27" s="15" t="s">
        <v>217</v>
      </c>
      <c r="B27" s="15" t="s">
        <v>70</v>
      </c>
      <c r="C27" s="15" t="s">
        <v>218</v>
      </c>
      <c r="D27" s="15" t="s">
        <v>418</v>
      </c>
      <c r="E27" s="16" t="n">
        <v>27</v>
      </c>
      <c r="F27" s="15" t="s">
        <v>357</v>
      </c>
      <c r="G27" s="8" t="n">
        <v>7</v>
      </c>
      <c r="H27" s="15" t="s">
        <v>859</v>
      </c>
      <c r="I27" s="15" t="s">
        <v>860</v>
      </c>
      <c r="J27" s="15" t="s">
        <v>861</v>
      </c>
      <c r="K27" s="8" t="n">
        <v>7</v>
      </c>
      <c r="L27" s="8" t="n">
        <v>84</v>
      </c>
      <c r="M27" s="8" t="n">
        <v>4</v>
      </c>
      <c r="N27" s="8" t="n">
        <v>8</v>
      </c>
      <c r="O27" s="8" t="n">
        <v>3</v>
      </c>
      <c r="P27" s="9" t="n">
        <v>6.19245627520951</v>
      </c>
      <c r="Q27" s="10" t="n">
        <v>0.161486808393519</v>
      </c>
      <c r="R27" s="9" t="n">
        <v>4.5</v>
      </c>
      <c r="S27" s="12" t="n">
        <f aca="false">IF(AND(ISNUMBER(R27),R27&gt;1,P27&gt;0),R27/P27-1,"")</f>
        <v>-0.273309362229167</v>
      </c>
      <c r="T27" s="9" t="n">
        <f aca="false">IF(AND(ISNUMBER(P27),P27&gt;0),P27*EXP('Read me'!$B$22),"")</f>
        <v>7.56348317432715</v>
      </c>
    </row>
    <row r="28" customFormat="false" ht="15" hidden="false" customHeight="false" outlineLevel="0" collapsed="false">
      <c r="A28" s="15" t="s">
        <v>217</v>
      </c>
      <c r="B28" s="15" t="s">
        <v>70</v>
      </c>
      <c r="C28" s="15" t="s">
        <v>218</v>
      </c>
      <c r="D28" s="15" t="s">
        <v>418</v>
      </c>
      <c r="E28" s="16" t="n">
        <v>27</v>
      </c>
      <c r="F28" s="15" t="s">
        <v>357</v>
      </c>
      <c r="G28" s="8" t="n">
        <v>7</v>
      </c>
      <c r="H28" s="15" t="s">
        <v>862</v>
      </c>
      <c r="I28" s="15" t="s">
        <v>863</v>
      </c>
      <c r="J28" s="15" t="s">
        <v>516</v>
      </c>
      <c r="K28" s="8" t="n">
        <v>6</v>
      </c>
      <c r="L28" s="8" t="n">
        <v>79</v>
      </c>
      <c r="M28" s="8" t="n">
        <v>5</v>
      </c>
      <c r="N28" s="8" t="n">
        <v>78</v>
      </c>
      <c r="O28" s="8" t="n">
        <v>4</v>
      </c>
      <c r="P28" s="9" t="n">
        <v>11.0361440068946</v>
      </c>
      <c r="Q28" s="10" t="n">
        <v>0.0906113584033765</v>
      </c>
      <c r="R28" s="9" t="n">
        <v>5.5</v>
      </c>
      <c r="S28" s="12" t="n">
        <f aca="false">IF(AND(ISNUMBER(R28),R28&gt;1,P28&gt;0),R28/P28-1,"")</f>
        <v>-0.501637528781429</v>
      </c>
      <c r="T28" s="9" t="n">
        <f aca="false">IF(AND(ISNUMBER(P28),P28&gt;0),P28*EXP('Read me'!$B$22),"")</f>
        <v>13.4795767294739</v>
      </c>
    </row>
    <row r="29" customFormat="false" ht="15" hidden="false" customHeight="false" outlineLevel="0" collapsed="false">
      <c r="A29" s="15" t="s">
        <v>217</v>
      </c>
      <c r="B29" s="15" t="s">
        <v>70</v>
      </c>
      <c r="C29" s="15" t="s">
        <v>218</v>
      </c>
      <c r="D29" s="15" t="s">
        <v>418</v>
      </c>
      <c r="E29" s="16" t="n">
        <v>27</v>
      </c>
      <c r="F29" s="15" t="s">
        <v>357</v>
      </c>
      <c r="G29" s="8" t="n">
        <v>7</v>
      </c>
      <c r="H29" s="15" t="s">
        <v>864</v>
      </c>
      <c r="I29" s="15" t="s">
        <v>865</v>
      </c>
      <c r="J29" s="15" t="s">
        <v>866</v>
      </c>
      <c r="K29" s="8" t="n">
        <v>1</v>
      </c>
      <c r="L29" s="8" t="n">
        <v>105</v>
      </c>
      <c r="M29" s="8" t="n">
        <v>5</v>
      </c>
      <c r="N29" s="8" t="n">
        <v>55</v>
      </c>
      <c r="O29" s="8" t="n">
        <v>5</v>
      </c>
      <c r="P29" s="9" t="n">
        <v>13.0147775761542</v>
      </c>
      <c r="Q29" s="10" t="n">
        <v>0.0768357349289019</v>
      </c>
      <c r="R29" s="9" t="n">
        <v>17</v>
      </c>
      <c r="S29" s="12" t="n">
        <f aca="false">IF(AND(ISNUMBER(R29),R29&gt;1,P29&gt;0),R29/P29-1,"")</f>
        <v>0.306207493791333</v>
      </c>
      <c r="T29" s="9" t="n">
        <f aca="false">IF(AND(ISNUMBER(P29),P29&gt;0),P29*EXP('Read me'!$B$22),"")</f>
        <v>15.8962852283559</v>
      </c>
    </row>
    <row r="30" customFormat="false" ht="15" hidden="false" customHeight="false" outlineLevel="0" collapsed="false">
      <c r="A30" s="15" t="s">
        <v>217</v>
      </c>
      <c r="B30" s="15" t="s">
        <v>70</v>
      </c>
      <c r="C30" s="15" t="s">
        <v>218</v>
      </c>
      <c r="D30" s="15" t="s">
        <v>418</v>
      </c>
      <c r="E30" s="16" t="n">
        <v>27</v>
      </c>
      <c r="F30" s="15" t="s">
        <v>357</v>
      </c>
      <c r="G30" s="8" t="n">
        <v>7</v>
      </c>
      <c r="H30" s="15" t="s">
        <v>867</v>
      </c>
      <c r="I30" s="15" t="s">
        <v>868</v>
      </c>
      <c r="J30" s="15" t="s">
        <v>133</v>
      </c>
      <c r="K30" s="8" t="n">
        <v>5</v>
      </c>
      <c r="L30" s="8" t="n">
        <v>81</v>
      </c>
      <c r="M30" s="8" t="n">
        <v>7</v>
      </c>
      <c r="N30" s="8" t="n">
        <v>10</v>
      </c>
      <c r="O30" s="8" t="n">
        <v>6</v>
      </c>
      <c r="P30" s="9" t="n">
        <v>13.9485279699709</v>
      </c>
      <c r="Q30" s="10" t="n">
        <v>0.0716921529033638</v>
      </c>
      <c r="R30" s="9" t="n">
        <v>11</v>
      </c>
      <c r="S30" s="12" t="n">
        <f aca="false">IF(AND(ISNUMBER(R30),R30&gt;1,P30&gt;0),R30/P30-1,"")</f>
        <v>-0.211386318062999</v>
      </c>
      <c r="T30" s="9" t="n">
        <f aca="false">IF(AND(ISNUMBER(P30),P30&gt;0),P30*EXP('Read me'!$B$22),"")</f>
        <v>17.0367705347967</v>
      </c>
    </row>
    <row r="31" customFormat="false" ht="15" hidden="false" customHeight="false" outlineLevel="0" collapsed="false">
      <c r="A31" s="15" t="s">
        <v>217</v>
      </c>
      <c r="B31" s="15" t="s">
        <v>70</v>
      </c>
      <c r="C31" s="15" t="s">
        <v>218</v>
      </c>
      <c r="D31" s="15" t="s">
        <v>418</v>
      </c>
      <c r="E31" s="16" t="n">
        <v>27</v>
      </c>
      <c r="F31" s="15" t="s">
        <v>357</v>
      </c>
      <c r="G31" s="8" t="n">
        <v>7</v>
      </c>
      <c r="H31" s="15" t="s">
        <v>869</v>
      </c>
      <c r="I31" s="15" t="s">
        <v>870</v>
      </c>
      <c r="J31" s="15" t="s">
        <v>871</v>
      </c>
      <c r="K31" s="8" t="n">
        <v>3</v>
      </c>
      <c r="L31" s="8" t="n">
        <v>87</v>
      </c>
      <c r="M31" s="8" t="n">
        <v>5</v>
      </c>
      <c r="N31" s="8" t="n">
        <v>131</v>
      </c>
      <c r="O31" s="8" t="n">
        <v>7</v>
      </c>
      <c r="P31" s="9" t="n">
        <v>15.6387700873776</v>
      </c>
      <c r="Q31" s="10" t="n">
        <v>0.0639436473848492</v>
      </c>
      <c r="R31" s="9" t="n">
        <v>11</v>
      </c>
      <c r="S31" s="12" t="n">
        <f aca="false">IF(AND(ISNUMBER(R31),R31&gt;1,P31&gt;0),R31/P31-1,"")</f>
        <v>-0.296619878766658</v>
      </c>
      <c r="T31" s="9" t="n">
        <f aca="false">IF(AND(ISNUMBER(P31),P31&gt;0),P31*EXP('Read me'!$B$22),"")</f>
        <v>19.1012369189557</v>
      </c>
    </row>
  </sheetData>
  <autoFilter ref="A1:T31"/>
  <conditionalFormatting sqref="A2:T3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350</v>
      </c>
      <c r="E1" s="6" t="s">
        <v>351</v>
      </c>
      <c r="F1" s="6" t="s">
        <v>352</v>
      </c>
      <c r="G1" s="6" t="s">
        <v>1</v>
      </c>
      <c r="H1" s="6" t="s">
        <v>302</v>
      </c>
      <c r="I1" s="6" t="s">
        <v>35</v>
      </c>
      <c r="J1" s="6" t="s">
        <v>36</v>
      </c>
      <c r="K1" s="6" t="s">
        <v>353</v>
      </c>
      <c r="L1" s="6" t="s">
        <v>354</v>
      </c>
      <c r="M1" s="6" t="s">
        <v>355</v>
      </c>
      <c r="N1" s="6" t="s">
        <v>356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5" t="s">
        <v>193</v>
      </c>
      <c r="B2" s="15" t="s">
        <v>194</v>
      </c>
      <c r="C2" s="15" t="s">
        <v>195</v>
      </c>
      <c r="D2" s="15" t="s">
        <v>370</v>
      </c>
      <c r="E2" s="16" t="n">
        <v>9.5</v>
      </c>
      <c r="F2" s="15" t="s">
        <v>805</v>
      </c>
      <c r="G2" s="8" t="n">
        <v>10</v>
      </c>
      <c r="H2" s="15" t="s">
        <v>196</v>
      </c>
      <c r="I2" s="15" t="s">
        <v>197</v>
      </c>
      <c r="J2" s="15" t="s">
        <v>198</v>
      </c>
      <c r="K2" s="8" t="n">
        <v>11</v>
      </c>
      <c r="L2" s="8" t="n">
        <v>63</v>
      </c>
      <c r="M2" s="8" t="n">
        <v>5</v>
      </c>
      <c r="N2" s="8" t="n">
        <v>11</v>
      </c>
      <c r="O2" s="8" t="n">
        <v>1</v>
      </c>
      <c r="P2" s="9" t="n">
        <v>3.50760964899785</v>
      </c>
      <c r="Q2" s="10" t="n">
        <v>0.285094437542589</v>
      </c>
      <c r="R2" s="9" t="n">
        <v>3.5</v>
      </c>
      <c r="S2" s="12" t="n">
        <f aca="false">IF(AND(ISNUMBER(R2),R2&gt;1,P2&gt;0),R2/P2-1,"")</f>
        <v>-0.00216946860093747</v>
      </c>
      <c r="T2" s="9" t="n">
        <f aca="false">IF(AND(ISNUMBER(P2),P2&gt;0),P2*EXP('Read me'!$B$22),"")</f>
        <v>4.28420409983519</v>
      </c>
    </row>
    <row r="3" customFormat="false" ht="15" hidden="false" customHeight="false" outlineLevel="0" collapsed="false">
      <c r="A3" s="15" t="s">
        <v>193</v>
      </c>
      <c r="B3" s="15" t="s">
        <v>194</v>
      </c>
      <c r="C3" s="15" t="s">
        <v>195</v>
      </c>
      <c r="D3" s="15" t="s">
        <v>370</v>
      </c>
      <c r="E3" s="16" t="n">
        <v>9.5</v>
      </c>
      <c r="F3" s="15" t="s">
        <v>805</v>
      </c>
      <c r="G3" s="8" t="n">
        <v>10</v>
      </c>
      <c r="H3" s="15" t="s">
        <v>199</v>
      </c>
      <c r="I3" s="15" t="s">
        <v>806</v>
      </c>
      <c r="J3" s="15" t="s">
        <v>807</v>
      </c>
      <c r="K3" s="8" t="n">
        <v>7</v>
      </c>
      <c r="L3" s="8" t="n">
        <v>65</v>
      </c>
      <c r="M3" s="8" t="n">
        <v>5</v>
      </c>
      <c r="N3" s="8" t="n">
        <v>67</v>
      </c>
      <c r="O3" s="8" t="n">
        <v>2</v>
      </c>
      <c r="P3" s="9" t="n">
        <v>6.5228194299544</v>
      </c>
      <c r="Q3" s="10" t="n">
        <v>0.153307938497845</v>
      </c>
      <c r="R3" s="9" t="n">
        <v>6.5</v>
      </c>
      <c r="S3" s="12" t="n">
        <f aca="false">IF(AND(ISNUMBER(R3),R3&gt;1,P3&gt;0),R3/P3-1,"")</f>
        <v>-0.00349839976400534</v>
      </c>
      <c r="T3" s="9" t="n">
        <f aca="false">IF(AND(ISNUMBER(P3),P3&gt;0),P3*EXP('Read me'!$B$22),"")</f>
        <v>7.96698964272705</v>
      </c>
    </row>
    <row r="4" customFormat="false" ht="15" hidden="false" customHeight="false" outlineLevel="0" collapsed="false">
      <c r="A4" s="15" t="s">
        <v>193</v>
      </c>
      <c r="B4" s="15" t="s">
        <v>194</v>
      </c>
      <c r="C4" s="15" t="s">
        <v>195</v>
      </c>
      <c r="D4" s="15" t="s">
        <v>370</v>
      </c>
      <c r="E4" s="16" t="n">
        <v>9.5</v>
      </c>
      <c r="F4" s="15" t="s">
        <v>805</v>
      </c>
      <c r="G4" s="8" t="n">
        <v>10</v>
      </c>
      <c r="H4" s="15" t="s">
        <v>808</v>
      </c>
      <c r="I4" s="15" t="s">
        <v>809</v>
      </c>
      <c r="J4" s="15" t="s">
        <v>810</v>
      </c>
      <c r="K4" s="8" t="n">
        <v>2</v>
      </c>
      <c r="L4" s="8" t="n">
        <v>49</v>
      </c>
      <c r="M4" s="8" t="n">
        <v>4</v>
      </c>
      <c r="N4" s="8" t="n">
        <v>27</v>
      </c>
      <c r="O4" s="8" t="n">
        <v>3</v>
      </c>
      <c r="P4" s="9" t="n">
        <v>7.21975921314815</v>
      </c>
      <c r="Q4" s="10" t="n">
        <v>0.138508774389437</v>
      </c>
      <c r="R4" s="9" t="n">
        <v>5</v>
      </c>
      <c r="S4" s="12" t="n">
        <f aca="false">IF(AND(ISNUMBER(R4),R4&gt;1,P4&gt;0),R4/P4-1,"")</f>
        <v>-0.307456128052813</v>
      </c>
      <c r="T4" s="9" t="n">
        <f aca="false">IF(AND(ISNUMBER(P4),P4&gt;0),P4*EXP('Read me'!$B$22),"")</f>
        <v>8.81823381619145</v>
      </c>
    </row>
    <row r="5" customFormat="false" ht="15" hidden="false" customHeight="false" outlineLevel="0" collapsed="false">
      <c r="A5" s="15" t="s">
        <v>193</v>
      </c>
      <c r="B5" s="15" t="s">
        <v>194</v>
      </c>
      <c r="C5" s="15" t="s">
        <v>195</v>
      </c>
      <c r="D5" s="15" t="s">
        <v>370</v>
      </c>
      <c r="E5" s="16" t="n">
        <v>9.5</v>
      </c>
      <c r="F5" s="15" t="s">
        <v>805</v>
      </c>
      <c r="G5" s="8" t="n">
        <v>10</v>
      </c>
      <c r="H5" s="15" t="s">
        <v>811</v>
      </c>
      <c r="I5" s="15" t="s">
        <v>812</v>
      </c>
      <c r="J5" s="15" t="s">
        <v>813</v>
      </c>
      <c r="K5" s="8" t="n">
        <v>4</v>
      </c>
      <c r="L5" s="8" t="n">
        <v>58</v>
      </c>
      <c r="M5" s="8" t="n">
        <v>5</v>
      </c>
      <c r="N5" s="8" t="n">
        <v>13</v>
      </c>
      <c r="O5" s="8" t="n">
        <v>4</v>
      </c>
      <c r="P5" s="9" t="n">
        <v>8.02072783916039</v>
      </c>
      <c r="Q5" s="10" t="n">
        <v>0.124676964491627</v>
      </c>
      <c r="R5" s="9" t="n">
        <v>5</v>
      </c>
      <c r="S5" s="12" t="n">
        <f aca="false">IF(AND(ISNUMBER(R5),R5&gt;1,P5&gt;0),R5/P5-1,"")</f>
        <v>-0.376615177541867</v>
      </c>
      <c r="T5" s="9" t="n">
        <f aca="false">IF(AND(ISNUMBER(P5),P5&gt;0),P5*EXP('Read me'!$B$22),"")</f>
        <v>9.79653910520255</v>
      </c>
    </row>
    <row r="6" customFormat="false" ht="15" hidden="false" customHeight="false" outlineLevel="0" collapsed="false">
      <c r="A6" s="15" t="s">
        <v>193</v>
      </c>
      <c r="B6" s="15" t="s">
        <v>194</v>
      </c>
      <c r="C6" s="15" t="s">
        <v>195</v>
      </c>
      <c r="D6" s="15" t="s">
        <v>370</v>
      </c>
      <c r="E6" s="16" t="n">
        <v>9.5</v>
      </c>
      <c r="F6" s="15" t="s">
        <v>805</v>
      </c>
      <c r="G6" s="8" t="n">
        <v>10</v>
      </c>
      <c r="H6" s="15" t="s">
        <v>814</v>
      </c>
      <c r="I6" s="15" t="s">
        <v>815</v>
      </c>
      <c r="J6" s="15" t="s">
        <v>816</v>
      </c>
      <c r="K6" s="8" t="n">
        <v>6</v>
      </c>
      <c r="L6" s="8" t="n">
        <v>60</v>
      </c>
      <c r="M6" s="8" t="n">
        <v>6</v>
      </c>
      <c r="N6" s="8" t="n">
        <v>9</v>
      </c>
      <c r="O6" s="8" t="n">
        <v>5</v>
      </c>
      <c r="P6" s="9" t="n">
        <v>9.21397259779363</v>
      </c>
      <c r="Q6" s="10" t="n">
        <v>0.10853081983763</v>
      </c>
      <c r="R6" s="9" t="n">
        <v>7</v>
      </c>
      <c r="S6" s="12" t="n">
        <f aca="false">IF(AND(ISNUMBER(R6),R6&gt;1,P6&gt;0),R6/P6-1,"")</f>
        <v>-0.24028426113659</v>
      </c>
      <c r="T6" s="9" t="n">
        <f aca="false">IF(AND(ISNUMBER(P6),P6&gt;0),P6*EXP('Read me'!$B$22),"")</f>
        <v>11.2539715445574</v>
      </c>
    </row>
    <row r="7" customFormat="false" ht="15" hidden="false" customHeight="false" outlineLevel="0" collapsed="false">
      <c r="A7" s="15" t="s">
        <v>193</v>
      </c>
      <c r="B7" s="15" t="s">
        <v>194</v>
      </c>
      <c r="C7" s="15" t="s">
        <v>195</v>
      </c>
      <c r="D7" s="15" t="s">
        <v>370</v>
      </c>
      <c r="E7" s="16" t="n">
        <v>9.5</v>
      </c>
      <c r="F7" s="15" t="s">
        <v>805</v>
      </c>
      <c r="G7" s="8" t="n">
        <v>10</v>
      </c>
      <c r="H7" s="15" t="s">
        <v>817</v>
      </c>
      <c r="I7" s="15" t="s">
        <v>818</v>
      </c>
      <c r="J7" s="15" t="s">
        <v>198</v>
      </c>
      <c r="K7" s="8" t="n">
        <v>5</v>
      </c>
      <c r="L7" s="8" t="n">
        <v>49</v>
      </c>
      <c r="M7" s="8" t="n">
        <v>9</v>
      </c>
      <c r="N7" s="8" t="n">
        <v>11</v>
      </c>
      <c r="O7" s="8" t="n">
        <v>6</v>
      </c>
      <c r="P7" s="9" t="n">
        <v>16.490466815419</v>
      </c>
      <c r="Q7" s="10" t="n">
        <v>0.0606410971377097</v>
      </c>
      <c r="R7" s="9" t="n">
        <v>13</v>
      </c>
      <c r="S7" s="12" t="n">
        <f aca="false">IF(AND(ISNUMBER(R7),R7&gt;1,P7&gt;0),R7/P7-1,"")</f>
        <v>-0.211665737209773</v>
      </c>
      <c r="T7" s="9" t="n">
        <f aca="false">IF(AND(ISNUMBER(P7),P7&gt;0),P7*EXP('Read me'!$B$22),"")</f>
        <v>20.1415016517015</v>
      </c>
    </row>
    <row r="8" customFormat="false" ht="15" hidden="false" customHeight="false" outlineLevel="0" collapsed="false">
      <c r="A8" s="15" t="s">
        <v>193</v>
      </c>
      <c r="B8" s="15" t="s">
        <v>194</v>
      </c>
      <c r="C8" s="15" t="s">
        <v>195</v>
      </c>
      <c r="D8" s="15" t="s">
        <v>370</v>
      </c>
      <c r="E8" s="16" t="n">
        <v>9.5</v>
      </c>
      <c r="F8" s="15" t="s">
        <v>805</v>
      </c>
      <c r="G8" s="8" t="n">
        <v>10</v>
      </c>
      <c r="H8" s="15" t="s">
        <v>819</v>
      </c>
      <c r="I8" s="15"/>
      <c r="J8" s="15" t="s">
        <v>820</v>
      </c>
      <c r="K8" s="8" t="n">
        <v>1</v>
      </c>
      <c r="L8" s="8" t="n">
        <v>61</v>
      </c>
      <c r="M8" s="8" t="n">
        <v>4</v>
      </c>
      <c r="N8" s="8" t="n">
        <v>72</v>
      </c>
      <c r="O8" s="8" t="n">
        <v>7</v>
      </c>
      <c r="P8" s="9" t="n">
        <v>20.2597662614371</v>
      </c>
      <c r="Q8" s="10" t="n">
        <v>0.0493589110109045</v>
      </c>
      <c r="R8" s="9" t="n">
        <v>19</v>
      </c>
      <c r="S8" s="12" t="n">
        <f aca="false">IF(AND(ISNUMBER(R8),R8&gt;1,P8&gt;0),R8/P8-1,"")</f>
        <v>-0.0621806907928142</v>
      </c>
      <c r="T8" s="9" t="n">
        <f aca="false">IF(AND(ISNUMBER(P8),P8&gt;0),P8*EXP('Read me'!$B$22),"")</f>
        <v>24.7453343913996</v>
      </c>
    </row>
    <row r="9" customFormat="false" ht="15" hidden="false" customHeight="false" outlineLevel="0" collapsed="false">
      <c r="A9" s="15" t="s">
        <v>193</v>
      </c>
      <c r="B9" s="15" t="s">
        <v>194</v>
      </c>
      <c r="C9" s="15" t="s">
        <v>195</v>
      </c>
      <c r="D9" s="15" t="s">
        <v>370</v>
      </c>
      <c r="E9" s="16" t="n">
        <v>9.5</v>
      </c>
      <c r="F9" s="15" t="s">
        <v>805</v>
      </c>
      <c r="G9" s="8" t="n">
        <v>10</v>
      </c>
      <c r="H9" s="15" t="s">
        <v>821</v>
      </c>
      <c r="I9" s="15" t="s">
        <v>822</v>
      </c>
      <c r="J9" s="15" t="s">
        <v>379</v>
      </c>
      <c r="K9" s="8" t="n">
        <v>10</v>
      </c>
      <c r="L9" s="8" t="n">
        <v>58</v>
      </c>
      <c r="M9" s="8" t="n">
        <v>11</v>
      </c>
      <c r="N9" s="8" t="n">
        <v>7</v>
      </c>
      <c r="O9" s="8" t="n">
        <v>8</v>
      </c>
      <c r="P9" s="9" t="n">
        <v>28.407187701993</v>
      </c>
      <c r="Q9" s="10" t="n">
        <v>0.0352023583077124</v>
      </c>
      <c r="R9" s="9" t="n">
        <v>29</v>
      </c>
      <c r="S9" s="12" t="n">
        <f aca="false">IF(AND(ISNUMBER(R9),R9&gt;1,P9&gt;0),R9/P9-1,"")</f>
        <v>0.0208683909236598</v>
      </c>
      <c r="T9" s="9" t="n">
        <f aca="false">IF(AND(ISNUMBER(P9),P9&gt;0),P9*EXP('Read me'!$B$22),"")</f>
        <v>34.6966174107879</v>
      </c>
    </row>
    <row r="10" customFormat="false" ht="15" hidden="false" customHeight="false" outlineLevel="0" collapsed="false">
      <c r="A10" s="15" t="s">
        <v>193</v>
      </c>
      <c r="B10" s="15" t="s">
        <v>194</v>
      </c>
      <c r="C10" s="15" t="s">
        <v>195</v>
      </c>
      <c r="D10" s="15" t="s">
        <v>370</v>
      </c>
      <c r="E10" s="16" t="n">
        <v>9.5</v>
      </c>
      <c r="F10" s="15" t="s">
        <v>805</v>
      </c>
      <c r="G10" s="8" t="n">
        <v>10</v>
      </c>
      <c r="H10" s="15" t="s">
        <v>823</v>
      </c>
      <c r="I10" s="15" t="s">
        <v>824</v>
      </c>
      <c r="J10" s="15" t="s">
        <v>825</v>
      </c>
      <c r="K10" s="8" t="n">
        <v>9</v>
      </c>
      <c r="L10" s="8" t="n">
        <v>55</v>
      </c>
      <c r="M10" s="8" t="n">
        <v>9</v>
      </c>
      <c r="N10" s="8" t="n">
        <v>18</v>
      </c>
      <c r="O10" s="8" t="n">
        <v>9</v>
      </c>
      <c r="P10" s="9" t="n">
        <v>31.7367521869077</v>
      </c>
      <c r="Q10" s="10" t="n">
        <v>0.0315092103347779</v>
      </c>
      <c r="R10" s="9" t="n">
        <v>34</v>
      </c>
      <c r="S10" s="12" t="n">
        <f aca="false">IF(AND(ISNUMBER(R10),R10&gt;1,P10&gt;0),R10/P10-1,"")</f>
        <v>0.071313151382451</v>
      </c>
      <c r="T10" s="9" t="n">
        <f aca="false">IF(AND(ISNUMBER(P10),P10&gt;0),P10*EXP('Read me'!$B$22),"")</f>
        <v>38.7633566561349</v>
      </c>
    </row>
    <row r="11" customFormat="false" ht="15" hidden="false" customHeight="false" outlineLevel="0" collapsed="false">
      <c r="A11" s="15" t="s">
        <v>193</v>
      </c>
      <c r="B11" s="15" t="s">
        <v>194</v>
      </c>
      <c r="C11" s="15" t="s">
        <v>195</v>
      </c>
      <c r="D11" s="15" t="s">
        <v>370</v>
      </c>
      <c r="E11" s="16" t="n">
        <v>9.5</v>
      </c>
      <c r="F11" s="15" t="s">
        <v>805</v>
      </c>
      <c r="G11" s="8" t="n">
        <v>10</v>
      </c>
      <c r="H11" s="15" t="s">
        <v>826</v>
      </c>
      <c r="I11" s="15" t="s">
        <v>827</v>
      </c>
      <c r="J11" s="15" t="s">
        <v>828</v>
      </c>
      <c r="K11" s="8" t="n">
        <v>3</v>
      </c>
      <c r="L11" s="8" t="n">
        <v>52</v>
      </c>
      <c r="M11" s="8" t="n">
        <v>6</v>
      </c>
      <c r="N11" s="8" t="n">
        <v>104</v>
      </c>
      <c r="O11" s="8" t="n">
        <v>10</v>
      </c>
      <c r="P11" s="9" t="n">
        <v>75.9330936668022</v>
      </c>
      <c r="Q11" s="10" t="n">
        <v>0.0131694884497666</v>
      </c>
      <c r="R11" s="9" t="n">
        <v>34</v>
      </c>
      <c r="S11" s="12" t="n">
        <f aca="false">IF(AND(ISNUMBER(R11),R11&gt;1,P11&gt;0),R11/P11-1,"")</f>
        <v>-0.552237392707934</v>
      </c>
      <c r="T11" s="9" t="n">
        <f aca="false">IF(AND(ISNUMBER(P11),P11&gt;0),P11*EXP('Read me'!$B$22),"")</f>
        <v>92.7448900402667</v>
      </c>
    </row>
    <row r="12" customFormat="false" ht="15" hidden="false" customHeight="false" outlineLevel="0" collapsed="false">
      <c r="A12" s="15" t="s">
        <v>228</v>
      </c>
      <c r="B12" s="15" t="s">
        <v>194</v>
      </c>
      <c r="C12" s="15" t="s">
        <v>229</v>
      </c>
      <c r="D12" s="15" t="s">
        <v>456</v>
      </c>
      <c r="E12" s="16" t="n">
        <v>8.5</v>
      </c>
      <c r="F12" s="15" t="s">
        <v>805</v>
      </c>
      <c r="G12" s="8" t="n">
        <v>11</v>
      </c>
      <c r="H12" s="15" t="s">
        <v>230</v>
      </c>
      <c r="I12" s="15" t="s">
        <v>231</v>
      </c>
      <c r="J12" s="15" t="s">
        <v>232</v>
      </c>
      <c r="K12" s="8" t="n">
        <v>5</v>
      </c>
      <c r="L12" s="8" t="n">
        <v>93</v>
      </c>
      <c r="M12" s="8" t="n">
        <v>3</v>
      </c>
      <c r="N12" s="8" t="n">
        <v>20</v>
      </c>
      <c r="O12" s="8" t="n">
        <v>1</v>
      </c>
      <c r="P12" s="9" t="n">
        <v>3.61752534050232</v>
      </c>
      <c r="Q12" s="10" t="n">
        <v>0.276432064982064</v>
      </c>
      <c r="R12" s="9" t="n">
        <v>2.5</v>
      </c>
      <c r="S12" s="12" t="n">
        <f aca="false">IF(AND(ISNUMBER(R12),R12&gt;1,P12&gt;0),R12/P12-1,"")</f>
        <v>-0.308919837544841</v>
      </c>
      <c r="T12" s="9" t="n">
        <f aca="false">IF(AND(ISNUMBER(P12),P12&gt;0),P12*EXP('Read me'!$B$22),"")</f>
        <v>4.41845542860384</v>
      </c>
    </row>
    <row r="13" customFormat="false" ht="15" hidden="false" customHeight="false" outlineLevel="0" collapsed="false">
      <c r="A13" s="15" t="s">
        <v>228</v>
      </c>
      <c r="B13" s="15" t="s">
        <v>194</v>
      </c>
      <c r="C13" s="15" t="s">
        <v>229</v>
      </c>
      <c r="D13" s="15" t="s">
        <v>456</v>
      </c>
      <c r="E13" s="16" t="n">
        <v>8.5</v>
      </c>
      <c r="F13" s="15" t="s">
        <v>805</v>
      </c>
      <c r="G13" s="8" t="n">
        <v>11</v>
      </c>
      <c r="H13" s="15" t="s">
        <v>233</v>
      </c>
      <c r="I13" s="15" t="s">
        <v>887</v>
      </c>
      <c r="J13" s="15" t="s">
        <v>262</v>
      </c>
      <c r="K13" s="8" t="n">
        <v>4</v>
      </c>
      <c r="L13" s="8" t="n">
        <v>0</v>
      </c>
      <c r="M13" s="8" t="n">
        <v>3</v>
      </c>
      <c r="N13" s="8" t="n">
        <v>19</v>
      </c>
      <c r="O13" s="8" t="n">
        <v>2</v>
      </c>
      <c r="P13" s="9" t="n">
        <v>4.16103970873554</v>
      </c>
      <c r="Q13" s="10" t="n">
        <v>0.240324551073289</v>
      </c>
      <c r="R13" s="9" t="n">
        <v>8</v>
      </c>
      <c r="S13" s="12" t="n">
        <f aca="false">IF(AND(ISNUMBER(R13),R13&gt;1,P13&gt;0),R13/P13-1,"")</f>
        <v>0.922596408586314</v>
      </c>
      <c r="T13" s="9" t="n">
        <f aca="false">IF(AND(ISNUMBER(P13),P13&gt;0),P13*EXP('Read me'!$B$22),"")</f>
        <v>5.08230537706358</v>
      </c>
    </row>
    <row r="14" customFormat="false" ht="15" hidden="false" customHeight="false" outlineLevel="0" collapsed="false">
      <c r="A14" s="15" t="s">
        <v>228</v>
      </c>
      <c r="B14" s="15" t="s">
        <v>194</v>
      </c>
      <c r="C14" s="15" t="s">
        <v>229</v>
      </c>
      <c r="D14" s="15" t="s">
        <v>456</v>
      </c>
      <c r="E14" s="16" t="n">
        <v>8.5</v>
      </c>
      <c r="F14" s="15" t="s">
        <v>805</v>
      </c>
      <c r="G14" s="8" t="n">
        <v>11</v>
      </c>
      <c r="H14" s="15" t="s">
        <v>888</v>
      </c>
      <c r="I14" s="15" t="s">
        <v>261</v>
      </c>
      <c r="J14" s="15" t="s">
        <v>262</v>
      </c>
      <c r="K14" s="8" t="n">
        <v>10</v>
      </c>
      <c r="L14" s="8" t="n">
        <v>0</v>
      </c>
      <c r="M14" s="8" t="n">
        <v>3</v>
      </c>
      <c r="N14" s="8" t="n">
        <v>166</v>
      </c>
      <c r="O14" s="8" t="n">
        <v>3</v>
      </c>
      <c r="P14" s="9" t="n">
        <v>4.27616707282539</v>
      </c>
      <c r="Q14" s="10" t="n">
        <v>0.233854286553699</v>
      </c>
      <c r="R14" s="9" t="n">
        <v>5</v>
      </c>
      <c r="S14" s="12" t="n">
        <f aca="false">IF(AND(ISNUMBER(R14),R14&gt;1,P14&gt;0),R14/P14-1,"")</f>
        <v>0.169271432768493</v>
      </c>
      <c r="T14" s="9" t="n">
        <f aca="false">IF(AND(ISNUMBER(P14),P14&gt;0),P14*EXP('Read me'!$B$22),"")</f>
        <v>5.22292225710264</v>
      </c>
    </row>
    <row r="15" customFormat="false" ht="15" hidden="false" customHeight="false" outlineLevel="0" collapsed="false">
      <c r="A15" s="15" t="s">
        <v>228</v>
      </c>
      <c r="B15" s="15" t="s">
        <v>194</v>
      </c>
      <c r="C15" s="15" t="s">
        <v>229</v>
      </c>
      <c r="D15" s="15" t="s">
        <v>456</v>
      </c>
      <c r="E15" s="16" t="n">
        <v>8.5</v>
      </c>
      <c r="F15" s="15" t="s">
        <v>805</v>
      </c>
      <c r="G15" s="8" t="n">
        <v>11</v>
      </c>
      <c r="H15" s="15" t="s">
        <v>889</v>
      </c>
      <c r="I15" s="15" t="s">
        <v>890</v>
      </c>
      <c r="J15" s="15" t="s">
        <v>891</v>
      </c>
      <c r="K15" s="8" t="n">
        <v>7</v>
      </c>
      <c r="L15" s="8" t="n">
        <v>94</v>
      </c>
      <c r="M15" s="8" t="n">
        <v>3</v>
      </c>
      <c r="N15" s="8" t="n">
        <v>14</v>
      </c>
      <c r="O15" s="8" t="n">
        <v>4</v>
      </c>
      <c r="P15" s="9" t="n">
        <v>4.60055031642275</v>
      </c>
      <c r="Q15" s="10" t="n">
        <v>0.217365300066443</v>
      </c>
      <c r="R15" s="9" t="n">
        <v>2.5</v>
      </c>
      <c r="S15" s="12" t="n">
        <f aca="false">IF(AND(ISNUMBER(R15),R15&gt;1,P15&gt;0),R15/P15-1,"")</f>
        <v>-0.456586749833892</v>
      </c>
      <c r="T15" s="9" t="n">
        <f aca="false">IF(AND(ISNUMBER(P15),P15&gt;0),P15*EXP('Read me'!$B$22),"")</f>
        <v>5.61912484553339</v>
      </c>
    </row>
    <row r="16" customFormat="false" ht="15" hidden="false" customHeight="false" outlineLevel="0" collapsed="false">
      <c r="A16" s="15" t="s">
        <v>228</v>
      </c>
      <c r="B16" s="15" t="s">
        <v>194</v>
      </c>
      <c r="C16" s="15" t="s">
        <v>229</v>
      </c>
      <c r="D16" s="15" t="s">
        <v>456</v>
      </c>
      <c r="E16" s="16" t="n">
        <v>8.5</v>
      </c>
      <c r="F16" s="15" t="s">
        <v>805</v>
      </c>
      <c r="G16" s="8" t="n">
        <v>11</v>
      </c>
      <c r="H16" s="15" t="s">
        <v>892</v>
      </c>
      <c r="I16" s="15" t="s">
        <v>893</v>
      </c>
      <c r="J16" s="15" t="s">
        <v>458</v>
      </c>
      <c r="K16" s="8" t="n">
        <v>9</v>
      </c>
      <c r="L16" s="8" t="n">
        <v>0</v>
      </c>
      <c r="M16" s="8" t="n">
        <v>3</v>
      </c>
      <c r="N16" s="8" t="n">
        <v>136</v>
      </c>
      <c r="O16" s="8" t="n">
        <v>5</v>
      </c>
      <c r="P16" s="9" t="n">
        <v>63.1728834619575</v>
      </c>
      <c r="Q16" s="10" t="n">
        <v>0.0158295766347628</v>
      </c>
      <c r="R16" s="9" t="n">
        <v>26</v>
      </c>
      <c r="S16" s="12" t="n">
        <f aca="false">IF(AND(ISNUMBER(R16),R16&gt;1,P16&gt;0),R16/P16-1,"")</f>
        <v>-0.588431007496166</v>
      </c>
      <c r="T16" s="9" t="n">
        <f aca="false">IF(AND(ISNUMBER(P16),P16&gt;0),P16*EXP('Read me'!$B$22),"")</f>
        <v>77.1595341013659</v>
      </c>
    </row>
    <row r="17" customFormat="false" ht="15" hidden="false" customHeight="false" outlineLevel="0" collapsed="false">
      <c r="A17" s="15" t="s">
        <v>228</v>
      </c>
      <c r="B17" s="15" t="s">
        <v>194</v>
      </c>
      <c r="C17" s="15" t="s">
        <v>229</v>
      </c>
      <c r="D17" s="15" t="s">
        <v>456</v>
      </c>
      <c r="E17" s="16" t="n">
        <v>8.5</v>
      </c>
      <c r="F17" s="15" t="s">
        <v>805</v>
      </c>
      <c r="G17" s="8" t="n">
        <v>11</v>
      </c>
      <c r="H17" s="15" t="s">
        <v>894</v>
      </c>
      <c r="I17" s="15" t="s">
        <v>283</v>
      </c>
      <c r="J17" s="15" t="s">
        <v>813</v>
      </c>
      <c r="K17" s="8" t="n">
        <v>8</v>
      </c>
      <c r="L17" s="8" t="n">
        <v>0</v>
      </c>
      <c r="M17" s="8" t="n">
        <v>3</v>
      </c>
      <c r="N17" s="8" t="n">
        <v>136</v>
      </c>
      <c r="O17" s="8" t="n">
        <v>6</v>
      </c>
      <c r="P17" s="9" t="n">
        <v>110.326375172009</v>
      </c>
      <c r="Q17" s="10" t="n">
        <v>0.0090640157300637</v>
      </c>
      <c r="R17" s="9" t="n">
        <v>41</v>
      </c>
      <c r="S17" s="12" t="n">
        <f aca="false">IF(AND(ISNUMBER(R17),R17&gt;1,P17&gt;0),R17/P17-1,"")</f>
        <v>-0.628375355067388</v>
      </c>
      <c r="T17" s="9" t="n">
        <f aca="false">IF(AND(ISNUMBER(P17),P17&gt;0),P17*EXP('Read me'!$B$22),"")</f>
        <v>134.752938932905</v>
      </c>
    </row>
    <row r="18" customFormat="false" ht="15" hidden="false" customHeight="false" outlineLevel="0" collapsed="false">
      <c r="A18" s="15" t="s">
        <v>228</v>
      </c>
      <c r="B18" s="15" t="s">
        <v>194</v>
      </c>
      <c r="C18" s="15" t="s">
        <v>229</v>
      </c>
      <c r="D18" s="15" t="s">
        <v>456</v>
      </c>
      <c r="E18" s="16" t="n">
        <v>8.5</v>
      </c>
      <c r="F18" s="15" t="s">
        <v>805</v>
      </c>
      <c r="G18" s="8" t="n">
        <v>11</v>
      </c>
      <c r="H18" s="15" t="s">
        <v>895</v>
      </c>
      <c r="I18" s="15" t="s">
        <v>896</v>
      </c>
      <c r="J18" s="15" t="s">
        <v>545</v>
      </c>
      <c r="K18" s="8" t="n">
        <v>6</v>
      </c>
      <c r="L18" s="8" t="n">
        <v>0</v>
      </c>
      <c r="M18" s="8" t="n">
        <v>3</v>
      </c>
      <c r="N18" s="8"/>
      <c r="O18" s="8" t="n">
        <v>7</v>
      </c>
      <c r="P18" s="9" t="n">
        <v>251.551075258933</v>
      </c>
      <c r="Q18" s="10" t="n">
        <v>0.0039753358198554</v>
      </c>
      <c r="R18" s="9" t="n">
        <v>81</v>
      </c>
      <c r="S18" s="12" t="n">
        <f aca="false">IF(AND(ISNUMBER(R18),R18&gt;1,P18&gt;0),R18/P18-1,"")</f>
        <v>-0.677997798591706</v>
      </c>
      <c r="T18" s="9" t="n">
        <f aca="false">IF(AND(ISNUMBER(P18),P18&gt;0),P18*EXP('Read me'!$B$22),"")</f>
        <v>307.245177139417</v>
      </c>
    </row>
    <row r="19" customFormat="false" ht="15" hidden="false" customHeight="false" outlineLevel="0" collapsed="false">
      <c r="A19" s="15" t="s">
        <v>228</v>
      </c>
      <c r="B19" s="15" t="s">
        <v>194</v>
      </c>
      <c r="C19" s="15" t="s">
        <v>229</v>
      </c>
      <c r="D19" s="15" t="s">
        <v>456</v>
      </c>
      <c r="E19" s="16" t="n">
        <v>8.5</v>
      </c>
      <c r="F19" s="15" t="s">
        <v>805</v>
      </c>
      <c r="G19" s="8" t="n">
        <v>11</v>
      </c>
      <c r="H19" s="15" t="s">
        <v>897</v>
      </c>
      <c r="I19" s="15" t="s">
        <v>898</v>
      </c>
      <c r="J19" s="15" t="s">
        <v>899</v>
      </c>
      <c r="K19" s="8" t="n">
        <v>3</v>
      </c>
      <c r="L19" s="8" t="n">
        <v>0</v>
      </c>
      <c r="M19" s="8" t="n">
        <v>3</v>
      </c>
      <c r="N19" s="8" t="n">
        <v>38</v>
      </c>
      <c r="O19" s="8" t="n">
        <v>8</v>
      </c>
      <c r="P19" s="9" t="n">
        <v>733.914060089419</v>
      </c>
      <c r="Q19" s="10" t="n">
        <v>0.0013625573543013</v>
      </c>
      <c r="R19" s="9" t="n">
        <v>126</v>
      </c>
      <c r="S19" s="12" t="n">
        <f aca="false">IF(AND(ISNUMBER(R19),R19&gt;1,P19&gt;0),R19/P19-1,"")</f>
        <v>-0.82831777335803</v>
      </c>
      <c r="T19" s="9" t="n">
        <f aca="false">IF(AND(ISNUMBER(P19),P19&gt;0),P19*EXP('Read me'!$B$22),"")</f>
        <v>896.404657245745</v>
      </c>
    </row>
    <row r="20" customFormat="false" ht="15" hidden="false" customHeight="false" outlineLevel="0" collapsed="false">
      <c r="A20" s="15" t="s">
        <v>228</v>
      </c>
      <c r="B20" s="15" t="s">
        <v>194</v>
      </c>
      <c r="C20" s="15" t="s">
        <v>229</v>
      </c>
      <c r="D20" s="15" t="s">
        <v>456</v>
      </c>
      <c r="E20" s="16" t="n">
        <v>8.5</v>
      </c>
      <c r="F20" s="15" t="s">
        <v>805</v>
      </c>
      <c r="G20" s="8" t="n">
        <v>11</v>
      </c>
      <c r="H20" s="15" t="s">
        <v>900</v>
      </c>
      <c r="I20" s="15" t="s">
        <v>901</v>
      </c>
      <c r="J20" s="15" t="s">
        <v>902</v>
      </c>
      <c r="K20" s="8" t="n">
        <v>1</v>
      </c>
      <c r="L20" s="8" t="n">
        <v>0</v>
      </c>
      <c r="M20" s="8" t="n">
        <v>3</v>
      </c>
      <c r="N20" s="8"/>
      <c r="O20" s="8" t="n">
        <v>9</v>
      </c>
      <c r="P20" s="9" t="n">
        <v>1565.89187839792</v>
      </c>
      <c r="Q20" s="10" t="n">
        <v>0.0006386136959999</v>
      </c>
      <c r="R20" s="9" t="n">
        <v>201</v>
      </c>
      <c r="S20" s="12" t="n">
        <f aca="false">IF(AND(ISNUMBER(R20),R20&gt;1,P20&gt;0),R20/P20-1,"")</f>
        <v>-0.87163864710401</v>
      </c>
      <c r="T20" s="9" t="n">
        <f aca="false">IF(AND(ISNUMBER(P20),P20&gt;0),P20*EXP('Read me'!$B$22),"")</f>
        <v>1912.58465925583</v>
      </c>
    </row>
    <row r="21" customFormat="false" ht="15" hidden="false" customHeight="false" outlineLevel="0" collapsed="false">
      <c r="A21" s="15" t="s">
        <v>228</v>
      </c>
      <c r="B21" s="15" t="s">
        <v>194</v>
      </c>
      <c r="C21" s="15" t="s">
        <v>229</v>
      </c>
      <c r="D21" s="15" t="s">
        <v>456</v>
      </c>
      <c r="E21" s="16" t="n">
        <v>8.5</v>
      </c>
      <c r="F21" s="15" t="s">
        <v>805</v>
      </c>
      <c r="G21" s="8" t="n">
        <v>11</v>
      </c>
      <c r="H21" s="15" t="s">
        <v>903</v>
      </c>
      <c r="I21" s="15" t="s">
        <v>904</v>
      </c>
      <c r="J21" s="15" t="s">
        <v>635</v>
      </c>
      <c r="K21" s="8" t="n">
        <v>2</v>
      </c>
      <c r="L21" s="8" t="n">
        <v>0</v>
      </c>
      <c r="M21" s="8" t="n">
        <v>3</v>
      </c>
      <c r="N21" s="8" t="n">
        <v>77</v>
      </c>
      <c r="O21" s="8" t="n">
        <v>10</v>
      </c>
      <c r="P21" s="9" t="n">
        <v>1681.36135610906</v>
      </c>
      <c r="Q21" s="10" t="n">
        <v>0.0005947561458853</v>
      </c>
      <c r="R21" s="9" t="n">
        <v>251</v>
      </c>
      <c r="S21" s="12" t="n">
        <f aca="false">IF(AND(ISNUMBER(R21),R21&gt;1,P21&gt;0),R21/P21-1,"")</f>
        <v>-0.850716207382776</v>
      </c>
      <c r="T21" s="9" t="n">
        <f aca="false">IF(AND(ISNUMBER(P21),P21&gt;0),P21*EXP('Read me'!$B$22),"")</f>
        <v>2053.61939781553</v>
      </c>
    </row>
    <row r="22" customFormat="false" ht="15" hidden="false" customHeight="false" outlineLevel="0" collapsed="false">
      <c r="A22" s="15" t="s">
        <v>228</v>
      </c>
      <c r="B22" s="15" t="s">
        <v>194</v>
      </c>
      <c r="C22" s="15" t="s">
        <v>229</v>
      </c>
      <c r="D22" s="15" t="s">
        <v>456</v>
      </c>
      <c r="E22" s="16" t="n">
        <v>8.5</v>
      </c>
      <c r="F22" s="15" t="s">
        <v>805</v>
      </c>
      <c r="G22" s="8" t="n">
        <v>11</v>
      </c>
      <c r="H22" s="15" t="s">
        <v>905</v>
      </c>
      <c r="I22" s="15" t="s">
        <v>906</v>
      </c>
      <c r="J22" s="15" t="s">
        <v>907</v>
      </c>
      <c r="K22" s="8" t="n">
        <v>11</v>
      </c>
      <c r="L22" s="8" t="n">
        <v>0</v>
      </c>
      <c r="M22" s="8" t="n">
        <v>4</v>
      </c>
      <c r="N22" s="8" t="n">
        <v>7</v>
      </c>
      <c r="O22" s="8" t="n">
        <v>11</v>
      </c>
      <c r="P22" s="9" t="n">
        <v>1789.09457660942</v>
      </c>
      <c r="Q22" s="10" t="n">
        <v>0.0005589419436367</v>
      </c>
      <c r="R22" s="9" t="n">
        <v>201</v>
      </c>
      <c r="S22" s="12" t="n">
        <f aca="false">IF(AND(ISNUMBER(R22),R22&gt;1,P22&gt;0),R22/P22-1,"")</f>
        <v>-0.887652669329018</v>
      </c>
      <c r="T22" s="9" t="n">
        <f aca="false">IF(AND(ISNUMBER(P22),P22&gt;0),P22*EXP('Read me'!$B$22),"")</f>
        <v>2185.20505048015</v>
      </c>
    </row>
    <row r="23" customFormat="false" ht="15" hidden="false" customHeight="false" outlineLevel="0" collapsed="false">
      <c r="A23" s="15" t="s">
        <v>258</v>
      </c>
      <c r="B23" s="15" t="s">
        <v>194</v>
      </c>
      <c r="C23" s="15" t="s">
        <v>259</v>
      </c>
      <c r="D23" s="15" t="s">
        <v>432</v>
      </c>
      <c r="E23" s="16" t="n">
        <v>7</v>
      </c>
      <c r="F23" s="15" t="s">
        <v>805</v>
      </c>
      <c r="G23" s="8" t="n">
        <v>7</v>
      </c>
      <c r="H23" s="15" t="s">
        <v>260</v>
      </c>
      <c r="I23" s="15" t="s">
        <v>261</v>
      </c>
      <c r="J23" s="15" t="s">
        <v>262</v>
      </c>
      <c r="K23" s="8" t="n">
        <v>4</v>
      </c>
      <c r="L23" s="8" t="n">
        <v>77</v>
      </c>
      <c r="M23" s="8" t="n">
        <v>2</v>
      </c>
      <c r="N23" s="8" t="n">
        <v>27</v>
      </c>
      <c r="O23" s="8" t="n">
        <v>1</v>
      </c>
      <c r="P23" s="9" t="n">
        <v>1.81072639282478</v>
      </c>
      <c r="Q23" s="10" t="n">
        <v>0.552264551929337</v>
      </c>
      <c r="R23" s="9" t="n">
        <v>2.625</v>
      </c>
      <c r="S23" s="12" t="n">
        <f aca="false">IF(AND(ISNUMBER(R23),R23&gt;1,P23&gt;0),R23/P23-1,"")</f>
        <v>0.449694448814509</v>
      </c>
      <c r="T23" s="9" t="n">
        <f aca="false">IF(AND(ISNUMBER(P23),P23&gt;0),P23*EXP('Read me'!$B$22),"")</f>
        <v>2.2116262104696</v>
      </c>
    </row>
    <row r="24" customFormat="false" ht="15" hidden="false" customHeight="false" outlineLevel="0" collapsed="false">
      <c r="A24" s="15" t="s">
        <v>258</v>
      </c>
      <c r="B24" s="15" t="s">
        <v>194</v>
      </c>
      <c r="C24" s="15" t="s">
        <v>259</v>
      </c>
      <c r="D24" s="15" t="s">
        <v>432</v>
      </c>
      <c r="E24" s="16" t="n">
        <v>7</v>
      </c>
      <c r="F24" s="15" t="s">
        <v>805</v>
      </c>
      <c r="G24" s="8" t="n">
        <v>7</v>
      </c>
      <c r="H24" s="15" t="s">
        <v>263</v>
      </c>
      <c r="I24" s="15" t="s">
        <v>283</v>
      </c>
      <c r="J24" s="15" t="s">
        <v>563</v>
      </c>
      <c r="K24" s="8" t="n">
        <v>6</v>
      </c>
      <c r="L24" s="8" t="n">
        <v>0</v>
      </c>
      <c r="M24" s="8" t="n">
        <v>2</v>
      </c>
      <c r="N24" s="8" t="n">
        <v>30</v>
      </c>
      <c r="O24" s="8" t="n">
        <v>2</v>
      </c>
      <c r="P24" s="9" t="n">
        <v>5.1753202388693</v>
      </c>
      <c r="Q24" s="10" t="n">
        <v>0.193224757859328</v>
      </c>
      <c r="R24" s="9" t="n">
        <v>2.875</v>
      </c>
      <c r="S24" s="12" t="n">
        <f aca="false">IF(AND(ISNUMBER(R24),R24&gt;1,P24&gt;0),R24/P24-1,"")</f>
        <v>-0.444478821154432</v>
      </c>
      <c r="T24" s="9" t="n">
        <f aca="false">IF(AND(ISNUMBER(P24),P24&gt;0),P24*EXP('Read me'!$B$22),"")</f>
        <v>6.32115041411711</v>
      </c>
    </row>
    <row r="25" customFormat="false" ht="15" hidden="false" customHeight="false" outlineLevel="0" collapsed="false">
      <c r="A25" s="15" t="s">
        <v>258</v>
      </c>
      <c r="B25" s="15" t="s">
        <v>194</v>
      </c>
      <c r="C25" s="15" t="s">
        <v>259</v>
      </c>
      <c r="D25" s="15" t="s">
        <v>432</v>
      </c>
      <c r="E25" s="16" t="n">
        <v>7</v>
      </c>
      <c r="F25" s="15" t="s">
        <v>805</v>
      </c>
      <c r="G25" s="8" t="n">
        <v>7</v>
      </c>
      <c r="H25" s="15" t="s">
        <v>960</v>
      </c>
      <c r="I25" s="15" t="s">
        <v>231</v>
      </c>
      <c r="J25" s="15" t="s">
        <v>232</v>
      </c>
      <c r="K25" s="8" t="n">
        <v>2</v>
      </c>
      <c r="L25" s="8" t="n">
        <v>0</v>
      </c>
      <c r="M25" s="8" t="n">
        <v>2</v>
      </c>
      <c r="N25" s="8" t="n">
        <v>25</v>
      </c>
      <c r="O25" s="8" t="n">
        <v>3</v>
      </c>
      <c r="P25" s="9" t="n">
        <v>11.567571085388</v>
      </c>
      <c r="Q25" s="10" t="n">
        <v>0.0864485718409105</v>
      </c>
      <c r="R25" s="9" t="n">
        <v>5</v>
      </c>
      <c r="S25" s="12" t="n">
        <f aca="false">IF(AND(ISNUMBER(R25),R25&gt;1,P25&gt;0),R25/P25-1,"")</f>
        <v>-0.567757140795447</v>
      </c>
      <c r="T25" s="9" t="n">
        <f aca="false">IF(AND(ISNUMBER(P25),P25&gt;0),P25*EXP('Read me'!$B$22),"")</f>
        <v>14.1286632289067</v>
      </c>
    </row>
    <row r="26" customFormat="false" ht="15" hidden="false" customHeight="false" outlineLevel="0" collapsed="false">
      <c r="A26" s="15" t="s">
        <v>258</v>
      </c>
      <c r="B26" s="15" t="s">
        <v>194</v>
      </c>
      <c r="C26" s="15" t="s">
        <v>259</v>
      </c>
      <c r="D26" s="15" t="s">
        <v>432</v>
      </c>
      <c r="E26" s="16" t="n">
        <v>7</v>
      </c>
      <c r="F26" s="15" t="s">
        <v>805</v>
      </c>
      <c r="G26" s="8" t="n">
        <v>7</v>
      </c>
      <c r="H26" s="15" t="s">
        <v>961</v>
      </c>
      <c r="I26" s="15" t="s">
        <v>962</v>
      </c>
      <c r="J26" s="15" t="s">
        <v>963</v>
      </c>
      <c r="K26" s="8" t="n">
        <v>5</v>
      </c>
      <c r="L26" s="8" t="n">
        <v>0</v>
      </c>
      <c r="M26" s="8" t="n">
        <v>2</v>
      </c>
      <c r="N26" s="8" t="n">
        <v>135</v>
      </c>
      <c r="O26" s="8" t="n">
        <v>4</v>
      </c>
      <c r="P26" s="9" t="n">
        <v>12.8566751185684</v>
      </c>
      <c r="Q26" s="10" t="n">
        <v>0.0777806074103669</v>
      </c>
      <c r="R26" s="9" t="n">
        <v>8</v>
      </c>
      <c r="S26" s="12" t="n">
        <f aca="false">IF(AND(ISNUMBER(R26),R26&gt;1,P26&gt;0),R26/P26-1,"")</f>
        <v>-0.377755140717064</v>
      </c>
      <c r="T26" s="9" t="n">
        <f aca="false">IF(AND(ISNUMBER(P26),P26&gt;0),P26*EXP('Read me'!$B$22),"")</f>
        <v>15.7031784505886</v>
      </c>
    </row>
    <row r="27" customFormat="false" ht="15" hidden="false" customHeight="false" outlineLevel="0" collapsed="false">
      <c r="A27" s="15" t="s">
        <v>258</v>
      </c>
      <c r="B27" s="15" t="s">
        <v>194</v>
      </c>
      <c r="C27" s="15" t="s">
        <v>259</v>
      </c>
      <c r="D27" s="15" t="s">
        <v>432</v>
      </c>
      <c r="E27" s="16" t="n">
        <v>7</v>
      </c>
      <c r="F27" s="15" t="s">
        <v>805</v>
      </c>
      <c r="G27" s="8" t="n">
        <v>7</v>
      </c>
      <c r="H27" s="15" t="s">
        <v>964</v>
      </c>
      <c r="I27" s="15" t="s">
        <v>965</v>
      </c>
      <c r="J27" s="15" t="s">
        <v>551</v>
      </c>
      <c r="K27" s="8" t="n">
        <v>7</v>
      </c>
      <c r="L27" s="8" t="n">
        <v>0</v>
      </c>
      <c r="M27" s="8" t="n">
        <v>2</v>
      </c>
      <c r="N27" s="8"/>
      <c r="O27" s="8" t="n">
        <v>5</v>
      </c>
      <c r="P27" s="9" t="n">
        <v>17.9658336136715</v>
      </c>
      <c r="Q27" s="10" t="n">
        <v>0.0556612079073819</v>
      </c>
      <c r="R27" s="9" t="n">
        <v>34</v>
      </c>
      <c r="S27" s="12" t="n">
        <f aca="false">IF(AND(ISNUMBER(R27),R27&gt;1,P27&gt;0),R27/P27-1,"")</f>
        <v>0.892481068850985</v>
      </c>
      <c r="T27" s="9" t="n">
        <f aca="false">IF(AND(ISNUMBER(P27),P27&gt;0),P27*EXP('Read me'!$B$22),"")</f>
        <v>21.9435187283851</v>
      </c>
    </row>
    <row r="28" customFormat="false" ht="15" hidden="false" customHeight="false" outlineLevel="0" collapsed="false">
      <c r="A28" s="15" t="s">
        <v>258</v>
      </c>
      <c r="B28" s="15" t="s">
        <v>194</v>
      </c>
      <c r="C28" s="15" t="s">
        <v>259</v>
      </c>
      <c r="D28" s="15" t="s">
        <v>432</v>
      </c>
      <c r="E28" s="16" t="n">
        <v>7</v>
      </c>
      <c r="F28" s="15" t="s">
        <v>805</v>
      </c>
      <c r="G28" s="8" t="n">
        <v>7</v>
      </c>
      <c r="H28" s="15" t="s">
        <v>966</v>
      </c>
      <c r="I28" s="15" t="s">
        <v>967</v>
      </c>
      <c r="J28" s="15" t="s">
        <v>561</v>
      </c>
      <c r="K28" s="8" t="n">
        <v>3</v>
      </c>
      <c r="L28" s="8" t="n">
        <v>0</v>
      </c>
      <c r="M28" s="8" t="n">
        <v>2</v>
      </c>
      <c r="N28" s="8" t="n">
        <v>25</v>
      </c>
      <c r="O28" s="8" t="n">
        <v>6</v>
      </c>
      <c r="P28" s="9" t="n">
        <v>30.4712767613438</v>
      </c>
      <c r="Q28" s="10" t="n">
        <v>0.0328177912541102</v>
      </c>
      <c r="R28" s="9" t="n">
        <v>23</v>
      </c>
      <c r="S28" s="12" t="n">
        <f aca="false">IF(AND(ISNUMBER(R28),R28&gt;1,P28&gt;0),R28/P28-1,"")</f>
        <v>-0.245190801155465</v>
      </c>
      <c r="T28" s="9" t="n">
        <f aca="false">IF(AND(ISNUMBER(P28),P28&gt;0),P28*EXP('Read me'!$B$22),"")</f>
        <v>37.2177014809672</v>
      </c>
    </row>
    <row r="29" customFormat="false" ht="15" hidden="false" customHeight="false" outlineLevel="0" collapsed="false">
      <c r="A29" s="15" t="s">
        <v>258</v>
      </c>
      <c r="B29" s="15" t="s">
        <v>194</v>
      </c>
      <c r="C29" s="15" t="s">
        <v>259</v>
      </c>
      <c r="D29" s="15" t="s">
        <v>432</v>
      </c>
      <c r="E29" s="16" t="n">
        <v>7</v>
      </c>
      <c r="F29" s="15" t="s">
        <v>805</v>
      </c>
      <c r="G29" s="8" t="n">
        <v>7</v>
      </c>
      <c r="H29" s="15" t="s">
        <v>968</v>
      </c>
      <c r="I29" s="15" t="s">
        <v>294</v>
      </c>
      <c r="J29" s="15" t="s">
        <v>969</v>
      </c>
      <c r="K29" s="8" t="n">
        <v>1</v>
      </c>
      <c r="L29" s="8" t="n">
        <v>0</v>
      </c>
      <c r="M29" s="8" t="n">
        <v>2</v>
      </c>
      <c r="N29" s="8" t="n">
        <v>13</v>
      </c>
      <c r="O29" s="8" t="n">
        <v>7</v>
      </c>
      <c r="P29" s="9" t="n">
        <v>554.781389389997</v>
      </c>
      <c r="Q29" s="10" t="n">
        <v>0.0018025117985654</v>
      </c>
      <c r="R29" s="9" t="n">
        <v>201</v>
      </c>
      <c r="S29" s="12" t="n">
        <f aca="false">IF(AND(ISNUMBER(R29),R29&gt;1,P29&gt;0),R29/P29-1,"")</f>
        <v>-0.637695128488346</v>
      </c>
      <c r="T29" s="9" t="n">
        <f aca="false">IF(AND(ISNUMBER(P29),P29&gt;0),P29*EXP('Read me'!$B$22),"")</f>
        <v>677.611519176874</v>
      </c>
    </row>
    <row r="30" customFormat="false" ht="15" hidden="false" customHeight="false" outlineLevel="0" collapsed="false">
      <c r="A30" s="15" t="s">
        <v>269</v>
      </c>
      <c r="B30" s="15" t="s">
        <v>194</v>
      </c>
      <c r="C30" s="15" t="s">
        <v>270</v>
      </c>
      <c r="D30" s="15" t="s">
        <v>370</v>
      </c>
      <c r="E30" s="16" t="n">
        <v>7</v>
      </c>
      <c r="F30" s="15" t="s">
        <v>805</v>
      </c>
      <c r="G30" s="8" t="n">
        <v>11</v>
      </c>
      <c r="H30" s="15" t="s">
        <v>271</v>
      </c>
      <c r="I30" s="15" t="s">
        <v>261</v>
      </c>
      <c r="J30" s="15" t="s">
        <v>272</v>
      </c>
      <c r="K30" s="8" t="n">
        <v>10</v>
      </c>
      <c r="L30" s="8" t="n">
        <v>46</v>
      </c>
      <c r="M30" s="8" t="n">
        <v>3</v>
      </c>
      <c r="N30" s="8" t="n">
        <v>7</v>
      </c>
      <c r="O30" s="8" t="n">
        <v>1</v>
      </c>
      <c r="P30" s="9" t="n">
        <v>2.23822109169002</v>
      </c>
      <c r="Q30" s="10" t="n">
        <v>0.446783386910596</v>
      </c>
      <c r="R30" s="9" t="n">
        <v>1.83333333333333</v>
      </c>
      <c r="S30" s="12" t="n">
        <f aca="false">IF(AND(ISNUMBER(R30),R30&gt;1,P30&gt;0),R30/P30-1,"")</f>
        <v>-0.180897123997241</v>
      </c>
      <c r="T30" s="9" t="n">
        <f aca="false">IF(AND(ISNUMBER(P30),P30&gt;0),P30*EXP('Read me'!$B$22),"")</f>
        <v>2.73376941476246</v>
      </c>
    </row>
    <row r="31" customFormat="false" ht="15" hidden="false" customHeight="false" outlineLevel="0" collapsed="false">
      <c r="A31" s="15" t="s">
        <v>269</v>
      </c>
      <c r="B31" s="15" t="s">
        <v>194</v>
      </c>
      <c r="C31" s="15" t="s">
        <v>270</v>
      </c>
      <c r="D31" s="15" t="s">
        <v>370</v>
      </c>
      <c r="E31" s="16" t="n">
        <v>7</v>
      </c>
      <c r="F31" s="15" t="s">
        <v>805</v>
      </c>
      <c r="G31" s="8" t="n">
        <v>11</v>
      </c>
      <c r="H31" s="15" t="s">
        <v>273</v>
      </c>
      <c r="I31" s="15" t="s">
        <v>1009</v>
      </c>
      <c r="J31" s="15" t="s">
        <v>1010</v>
      </c>
      <c r="K31" s="8" t="n">
        <v>6</v>
      </c>
      <c r="L31" s="8" t="n">
        <v>55</v>
      </c>
      <c r="M31" s="8" t="n">
        <v>3</v>
      </c>
      <c r="N31" s="8" t="n">
        <v>28</v>
      </c>
      <c r="O31" s="8" t="n">
        <v>2</v>
      </c>
      <c r="P31" s="9" t="n">
        <v>3.7489318858321</v>
      </c>
      <c r="Q31" s="10" t="n">
        <v>0.266742643092338</v>
      </c>
      <c r="R31" s="9" t="n">
        <v>3.5</v>
      </c>
      <c r="S31" s="12" t="n">
        <f aca="false">IF(AND(ISNUMBER(R31),R31&gt;1,P31&gt;0),R31/P31-1,"")</f>
        <v>-0.0664007491768156</v>
      </c>
      <c r="T31" s="9" t="n">
        <f aca="false">IF(AND(ISNUMBER(P31),P31&gt;0),P31*EXP('Read me'!$B$22),"")</f>
        <v>4.57895574550994</v>
      </c>
    </row>
    <row r="32" customFormat="false" ht="15" hidden="false" customHeight="false" outlineLevel="0" collapsed="false">
      <c r="A32" s="15" t="s">
        <v>269</v>
      </c>
      <c r="B32" s="15" t="s">
        <v>194</v>
      </c>
      <c r="C32" s="15" t="s">
        <v>270</v>
      </c>
      <c r="D32" s="15" t="s">
        <v>370</v>
      </c>
      <c r="E32" s="16" t="n">
        <v>7</v>
      </c>
      <c r="F32" s="15" t="s">
        <v>805</v>
      </c>
      <c r="G32" s="8" t="n">
        <v>11</v>
      </c>
      <c r="H32" s="15" t="s">
        <v>1011</v>
      </c>
      <c r="I32" s="15" t="s">
        <v>1012</v>
      </c>
      <c r="J32" s="15" t="s">
        <v>1013</v>
      </c>
      <c r="K32" s="8" t="n">
        <v>3</v>
      </c>
      <c r="L32" s="8" t="n">
        <v>55</v>
      </c>
      <c r="M32" s="8" t="n">
        <v>11</v>
      </c>
      <c r="N32" s="8" t="n">
        <v>20</v>
      </c>
      <c r="O32" s="8" t="n">
        <v>3</v>
      </c>
      <c r="P32" s="9" t="n">
        <v>12.7458032681103</v>
      </c>
      <c r="Q32" s="10" t="n">
        <v>0.0784571971624557</v>
      </c>
      <c r="R32" s="9" t="n">
        <v>10</v>
      </c>
      <c r="S32" s="12" t="n">
        <f aca="false">IF(AND(ISNUMBER(R32),R32&gt;1,P32&gt;0),R32/P32-1,"")</f>
        <v>-0.215428028375442</v>
      </c>
      <c r="T32" s="9" t="n">
        <f aca="false">IF(AND(ISNUMBER(P32),P32&gt;0),P32*EXP('Read me'!$B$22),"")</f>
        <v>15.5677592666368</v>
      </c>
    </row>
    <row r="33" customFormat="false" ht="15" hidden="false" customHeight="false" outlineLevel="0" collapsed="false">
      <c r="A33" s="15" t="s">
        <v>269</v>
      </c>
      <c r="B33" s="15" t="s">
        <v>194</v>
      </c>
      <c r="C33" s="15" t="s">
        <v>270</v>
      </c>
      <c r="D33" s="15" t="s">
        <v>370</v>
      </c>
      <c r="E33" s="16" t="n">
        <v>7</v>
      </c>
      <c r="F33" s="15" t="s">
        <v>805</v>
      </c>
      <c r="G33" s="8" t="n">
        <v>11</v>
      </c>
      <c r="H33" s="15" t="s">
        <v>1014</v>
      </c>
      <c r="I33" s="15" t="s">
        <v>277</v>
      </c>
      <c r="J33" s="15" t="s">
        <v>278</v>
      </c>
      <c r="K33" s="8" t="n">
        <v>11</v>
      </c>
      <c r="L33" s="8" t="n">
        <v>47</v>
      </c>
      <c r="M33" s="8" t="n">
        <v>6</v>
      </c>
      <c r="N33" s="8" t="n">
        <v>27</v>
      </c>
      <c r="O33" s="8" t="n">
        <v>4</v>
      </c>
      <c r="P33" s="9" t="n">
        <v>17.8789065611558</v>
      </c>
      <c r="Q33" s="10" t="n">
        <v>0.0559318321050253</v>
      </c>
      <c r="R33" s="9" t="n">
        <v>15</v>
      </c>
      <c r="S33" s="12" t="n">
        <f aca="false">IF(AND(ISNUMBER(R33),R33&gt;1,P33&gt;0),R33/P33-1,"")</f>
        <v>-0.16102251842462</v>
      </c>
      <c r="T33" s="9" t="n">
        <f aca="false">IF(AND(ISNUMBER(P33),P33&gt;0),P33*EXP('Read me'!$B$22),"")</f>
        <v>21.8373457866836</v>
      </c>
    </row>
    <row r="34" customFormat="false" ht="15" hidden="false" customHeight="false" outlineLevel="0" collapsed="false">
      <c r="A34" s="15" t="s">
        <v>269</v>
      </c>
      <c r="B34" s="15" t="s">
        <v>194</v>
      </c>
      <c r="C34" s="15" t="s">
        <v>270</v>
      </c>
      <c r="D34" s="15" t="s">
        <v>370</v>
      </c>
      <c r="E34" s="16" t="n">
        <v>7</v>
      </c>
      <c r="F34" s="15" t="s">
        <v>805</v>
      </c>
      <c r="G34" s="8" t="n">
        <v>11</v>
      </c>
      <c r="H34" s="15" t="s">
        <v>1015</v>
      </c>
      <c r="I34" s="15" t="s">
        <v>1016</v>
      </c>
      <c r="J34" s="15" t="s">
        <v>431</v>
      </c>
      <c r="K34" s="8" t="n">
        <v>8</v>
      </c>
      <c r="L34" s="8" t="n">
        <v>53</v>
      </c>
      <c r="M34" s="8" t="n">
        <v>7</v>
      </c>
      <c r="N34" s="8" t="n">
        <v>74</v>
      </c>
      <c r="O34" s="8" t="n">
        <v>5</v>
      </c>
      <c r="P34" s="9" t="n">
        <v>19.8774416715677</v>
      </c>
      <c r="Q34" s="10" t="n">
        <v>0.0503082849655839</v>
      </c>
      <c r="R34" s="9" t="n">
        <v>17</v>
      </c>
      <c r="S34" s="12" t="n">
        <f aca="false">IF(AND(ISNUMBER(R34),R34&gt;1,P34&gt;0),R34/P34-1,"")</f>
        <v>-0.144759155585072</v>
      </c>
      <c r="T34" s="9" t="n">
        <f aca="false">IF(AND(ISNUMBER(P34),P34&gt;0),P34*EXP('Read me'!$B$22),"")</f>
        <v>24.2783620828206</v>
      </c>
    </row>
    <row r="35" customFormat="false" ht="15" hidden="false" customHeight="false" outlineLevel="0" collapsed="false">
      <c r="A35" s="15" t="s">
        <v>269</v>
      </c>
      <c r="B35" s="15" t="s">
        <v>194</v>
      </c>
      <c r="C35" s="15" t="s">
        <v>270</v>
      </c>
      <c r="D35" s="15" t="s">
        <v>370</v>
      </c>
      <c r="E35" s="16" t="n">
        <v>7</v>
      </c>
      <c r="F35" s="15" t="s">
        <v>805</v>
      </c>
      <c r="G35" s="8" t="n">
        <v>11</v>
      </c>
      <c r="H35" s="15" t="s">
        <v>1017</v>
      </c>
      <c r="I35" s="15" t="s">
        <v>901</v>
      </c>
      <c r="J35" s="15" t="s">
        <v>379</v>
      </c>
      <c r="K35" s="8" t="n">
        <v>2</v>
      </c>
      <c r="L35" s="8" t="n">
        <v>50</v>
      </c>
      <c r="M35" s="8" t="n">
        <v>6</v>
      </c>
      <c r="N35" s="8" t="n">
        <v>13</v>
      </c>
      <c r="O35" s="8" t="n">
        <v>6</v>
      </c>
      <c r="P35" s="9" t="n">
        <v>32.0108810456483</v>
      </c>
      <c r="Q35" s="10" t="n">
        <v>0.0312393775908253</v>
      </c>
      <c r="R35" s="9" t="n">
        <v>17</v>
      </c>
      <c r="S35" s="12" t="n">
        <f aca="false">IF(AND(ISNUMBER(R35),R35&gt;1,P35&gt;0),R35/P35-1,"")</f>
        <v>-0.468930580955969</v>
      </c>
      <c r="T35" s="9" t="n">
        <f aca="false">IF(AND(ISNUMBER(P35),P35&gt;0),P35*EXP('Read me'!$B$22),"")</f>
        <v>39.0981784002919</v>
      </c>
    </row>
    <row r="36" customFormat="false" ht="15" hidden="false" customHeight="false" outlineLevel="0" collapsed="false">
      <c r="A36" s="15" t="s">
        <v>269</v>
      </c>
      <c r="B36" s="15" t="s">
        <v>194</v>
      </c>
      <c r="C36" s="15" t="s">
        <v>270</v>
      </c>
      <c r="D36" s="15" t="s">
        <v>370</v>
      </c>
      <c r="E36" s="16" t="n">
        <v>7</v>
      </c>
      <c r="F36" s="15" t="s">
        <v>805</v>
      </c>
      <c r="G36" s="8" t="n">
        <v>11</v>
      </c>
      <c r="H36" s="15" t="s">
        <v>1018</v>
      </c>
      <c r="I36" s="15" t="s">
        <v>898</v>
      </c>
      <c r="J36" s="15" t="s">
        <v>1019</v>
      </c>
      <c r="K36" s="8" t="n">
        <v>7</v>
      </c>
      <c r="L36" s="8" t="n">
        <v>46</v>
      </c>
      <c r="M36" s="8" t="n">
        <v>6</v>
      </c>
      <c r="N36" s="8" t="n">
        <v>41</v>
      </c>
      <c r="O36" s="8" t="n">
        <v>7</v>
      </c>
      <c r="P36" s="9" t="n">
        <v>39.4655967591856</v>
      </c>
      <c r="Q36" s="10" t="n">
        <v>0.0253385247435096</v>
      </c>
      <c r="R36" s="9" t="n">
        <v>26</v>
      </c>
      <c r="S36" s="12" t="n">
        <f aca="false">IF(AND(ISNUMBER(R36),R36&gt;1,P36&gt;0),R36/P36-1,"")</f>
        <v>-0.341198356668748</v>
      </c>
      <c r="T36" s="9" t="n">
        <f aca="false">IF(AND(ISNUMBER(P36),P36&gt;0),P36*EXP('Read me'!$B$22),"")</f>
        <v>48.2033887341063</v>
      </c>
    </row>
    <row r="37" customFormat="false" ht="15" hidden="false" customHeight="false" outlineLevel="0" collapsed="false">
      <c r="A37" s="15" t="s">
        <v>269</v>
      </c>
      <c r="B37" s="15" t="s">
        <v>194</v>
      </c>
      <c r="C37" s="15" t="s">
        <v>270</v>
      </c>
      <c r="D37" s="15" t="s">
        <v>370</v>
      </c>
      <c r="E37" s="16" t="n">
        <v>7</v>
      </c>
      <c r="F37" s="15" t="s">
        <v>805</v>
      </c>
      <c r="G37" s="8" t="n">
        <v>11</v>
      </c>
      <c r="H37" s="15" t="s">
        <v>1020</v>
      </c>
      <c r="I37" s="15" t="s">
        <v>1021</v>
      </c>
      <c r="J37" s="15" t="s">
        <v>1022</v>
      </c>
      <c r="K37" s="8" t="n">
        <v>1</v>
      </c>
      <c r="L37" s="8" t="n">
        <v>50</v>
      </c>
      <c r="M37" s="8" t="n">
        <v>6</v>
      </c>
      <c r="N37" s="8" t="n">
        <v>47</v>
      </c>
      <c r="O37" s="8" t="n">
        <v>8</v>
      </c>
      <c r="P37" s="9" t="n">
        <v>43.4564636349803</v>
      </c>
      <c r="Q37" s="10" t="n">
        <v>0.0230115365207731</v>
      </c>
      <c r="R37" s="9" t="n">
        <v>34</v>
      </c>
      <c r="S37" s="12" t="n">
        <f aca="false">IF(AND(ISNUMBER(R37),R37&gt;1,P37&gt;0),R37/P37-1,"")</f>
        <v>-0.217607758293712</v>
      </c>
      <c r="T37" s="9" t="n">
        <f aca="false">IF(AND(ISNUMBER(P37),P37&gt;0),P37*EXP('Read me'!$B$22),"")</f>
        <v>53.077844543652</v>
      </c>
    </row>
    <row r="38" customFormat="false" ht="15" hidden="false" customHeight="false" outlineLevel="0" collapsed="false">
      <c r="A38" s="15" t="s">
        <v>269</v>
      </c>
      <c r="B38" s="15" t="s">
        <v>194</v>
      </c>
      <c r="C38" s="15" t="s">
        <v>270</v>
      </c>
      <c r="D38" s="15" t="s">
        <v>370</v>
      </c>
      <c r="E38" s="16" t="n">
        <v>7</v>
      </c>
      <c r="F38" s="15" t="s">
        <v>805</v>
      </c>
      <c r="G38" s="8" t="n">
        <v>11</v>
      </c>
      <c r="H38" s="15" t="s">
        <v>1023</v>
      </c>
      <c r="I38" s="15" t="s">
        <v>294</v>
      </c>
      <c r="J38" s="15" t="s">
        <v>387</v>
      </c>
      <c r="K38" s="8" t="n">
        <v>4</v>
      </c>
      <c r="L38" s="8" t="n">
        <v>46</v>
      </c>
      <c r="M38" s="8" t="n">
        <v>4</v>
      </c>
      <c r="N38" s="8" t="n">
        <v>7</v>
      </c>
      <c r="O38" s="8" t="n">
        <v>9</v>
      </c>
      <c r="P38" s="9" t="n">
        <v>67.8077654795079</v>
      </c>
      <c r="Q38" s="10" t="n">
        <v>0.0147475734221356</v>
      </c>
      <c r="R38" s="9" t="n">
        <v>51</v>
      </c>
      <c r="S38" s="12" t="n">
        <f aca="false">IF(AND(ISNUMBER(R38),R38&gt;1,P38&gt;0),R38/P38-1,"")</f>
        <v>-0.24787375547108</v>
      </c>
      <c r="T38" s="9" t="n">
        <f aca="false">IF(AND(ISNUMBER(P38),P38&gt;0),P38*EXP('Read me'!$B$22),"")</f>
        <v>82.8205917813489</v>
      </c>
    </row>
    <row r="39" customFormat="false" ht="15" hidden="false" customHeight="false" outlineLevel="0" collapsed="false">
      <c r="A39" s="15" t="s">
        <v>269</v>
      </c>
      <c r="B39" s="15" t="s">
        <v>194</v>
      </c>
      <c r="C39" s="15" t="s">
        <v>270</v>
      </c>
      <c r="D39" s="15" t="s">
        <v>370</v>
      </c>
      <c r="E39" s="16" t="n">
        <v>7</v>
      </c>
      <c r="F39" s="15" t="s">
        <v>805</v>
      </c>
      <c r="G39" s="8" t="n">
        <v>11</v>
      </c>
      <c r="H39" s="15" t="s">
        <v>1024</v>
      </c>
      <c r="I39" s="15" t="s">
        <v>1025</v>
      </c>
      <c r="J39" s="15" t="s">
        <v>828</v>
      </c>
      <c r="K39" s="8" t="n">
        <v>9</v>
      </c>
      <c r="L39" s="8" t="n">
        <v>46</v>
      </c>
      <c r="M39" s="8" t="n">
        <v>7</v>
      </c>
      <c r="N39" s="8" t="n">
        <v>32</v>
      </c>
      <c r="O39" s="8" t="n">
        <v>10</v>
      </c>
      <c r="P39" s="9" t="n">
        <v>211.334226850607</v>
      </c>
      <c r="Q39" s="10" t="n">
        <v>0.0047318411925149</v>
      </c>
      <c r="R39" s="9" t="n">
        <v>81</v>
      </c>
      <c r="S39" s="12" t="n">
        <f aca="false">IF(AND(ISNUMBER(R39),R39&gt;1,P39&gt;0),R39/P39-1,"")</f>
        <v>-0.616720863406289</v>
      </c>
      <c r="T39" s="9" t="n">
        <f aca="false">IF(AND(ISNUMBER(P39),P39&gt;0),P39*EXP('Read me'!$B$22),"")</f>
        <v>258.124207568978</v>
      </c>
    </row>
    <row r="40" customFormat="false" ht="15" hidden="false" customHeight="false" outlineLevel="0" collapsed="false">
      <c r="A40" s="15" t="s">
        <v>269</v>
      </c>
      <c r="B40" s="15" t="s">
        <v>194</v>
      </c>
      <c r="C40" s="15" t="s">
        <v>270</v>
      </c>
      <c r="D40" s="15" t="s">
        <v>370</v>
      </c>
      <c r="E40" s="16" t="n">
        <v>7</v>
      </c>
      <c r="F40" s="15" t="s">
        <v>805</v>
      </c>
      <c r="G40" s="8" t="n">
        <v>11</v>
      </c>
      <c r="H40" s="15" t="s">
        <v>1026</v>
      </c>
      <c r="I40" s="15" t="s">
        <v>1027</v>
      </c>
      <c r="J40" s="15" t="s">
        <v>379</v>
      </c>
      <c r="K40" s="8" t="n">
        <v>5</v>
      </c>
      <c r="L40" s="8" t="n">
        <v>46</v>
      </c>
      <c r="M40" s="8" t="n">
        <v>5</v>
      </c>
      <c r="N40" s="8" t="n">
        <v>7</v>
      </c>
      <c r="O40" s="8" t="n">
        <v>11</v>
      </c>
      <c r="P40" s="9" t="n">
        <v>369.303180710989</v>
      </c>
      <c r="Q40" s="10" t="n">
        <v>0.0027078022942417</v>
      </c>
      <c r="R40" s="9" t="n">
        <v>151</v>
      </c>
      <c r="S40" s="12" t="n">
        <f aca="false">IF(AND(ISNUMBER(R40),R40&gt;1,P40&gt;0),R40/P40-1,"")</f>
        <v>-0.591121853569493</v>
      </c>
      <c r="T40" s="9" t="n">
        <f aca="false">IF(AND(ISNUMBER(P40),P40&gt;0),P40*EXP('Read me'!$B$22),"")</f>
        <v>451.067923517726</v>
      </c>
    </row>
    <row r="41" customFormat="false" ht="15" hidden="false" customHeight="false" outlineLevel="0" collapsed="false">
      <c r="A41" s="15" t="s">
        <v>274</v>
      </c>
      <c r="B41" s="15" t="s">
        <v>194</v>
      </c>
      <c r="C41" s="15" t="s">
        <v>275</v>
      </c>
      <c r="D41" s="15" t="s">
        <v>370</v>
      </c>
      <c r="E41" s="16" t="n">
        <v>7</v>
      </c>
      <c r="F41" s="15" t="s">
        <v>805</v>
      </c>
      <c r="G41" s="8" t="n">
        <v>11</v>
      </c>
      <c r="H41" s="15" t="s">
        <v>276</v>
      </c>
      <c r="I41" s="15" t="s">
        <v>277</v>
      </c>
      <c r="J41" s="15" t="s">
        <v>278</v>
      </c>
      <c r="K41" s="8" t="n">
        <v>2</v>
      </c>
      <c r="L41" s="8" t="n">
        <v>50</v>
      </c>
      <c r="M41" s="8" t="n">
        <v>7</v>
      </c>
      <c r="N41" s="8" t="n">
        <v>7</v>
      </c>
      <c r="O41" s="8" t="n">
        <v>1</v>
      </c>
      <c r="P41" s="9" t="n">
        <v>4.55911037415167</v>
      </c>
      <c r="Q41" s="10" t="n">
        <v>0.219341037600142</v>
      </c>
      <c r="R41" s="9" t="n">
        <v>3.75</v>
      </c>
      <c r="S41" s="12" t="n">
        <f aca="false">IF(AND(ISNUMBER(R41),R41&gt;1,P41&gt;0),R41/P41-1,"")</f>
        <v>-0.177471108999467</v>
      </c>
      <c r="T41" s="9" t="n">
        <f aca="false">IF(AND(ISNUMBER(P41),P41&gt;0),P41*EXP('Read me'!$B$22),"")</f>
        <v>5.5685099857455</v>
      </c>
    </row>
    <row r="42" customFormat="false" ht="15" hidden="false" customHeight="false" outlineLevel="0" collapsed="false">
      <c r="A42" s="15" t="s">
        <v>274</v>
      </c>
      <c r="B42" s="15" t="s">
        <v>194</v>
      </c>
      <c r="C42" s="15" t="s">
        <v>275</v>
      </c>
      <c r="D42" s="15" t="s">
        <v>370</v>
      </c>
      <c r="E42" s="16" t="n">
        <v>7</v>
      </c>
      <c r="F42" s="15" t="s">
        <v>805</v>
      </c>
      <c r="G42" s="8" t="n">
        <v>11</v>
      </c>
      <c r="H42" s="15" t="s">
        <v>279</v>
      </c>
      <c r="I42" s="15" t="s">
        <v>967</v>
      </c>
      <c r="J42" s="15" t="s">
        <v>555</v>
      </c>
      <c r="K42" s="8" t="n">
        <v>4</v>
      </c>
      <c r="L42" s="8" t="n">
        <v>47</v>
      </c>
      <c r="M42" s="8" t="n">
        <v>5</v>
      </c>
      <c r="N42" s="8" t="n">
        <v>54</v>
      </c>
      <c r="O42" s="8" t="n">
        <v>2</v>
      </c>
      <c r="P42" s="9" t="n">
        <v>5.26152364399123</v>
      </c>
      <c r="Q42" s="10" t="n">
        <v>0.190059014776456</v>
      </c>
      <c r="R42" s="9" t="n">
        <v>5.5</v>
      </c>
      <c r="S42" s="12" t="n">
        <f aca="false">IF(AND(ISNUMBER(R42),R42&gt;1,P42&gt;0),R42/P42-1,"")</f>
        <v>0.0453245812705063</v>
      </c>
      <c r="T42" s="9" t="n">
        <f aca="false">IF(AND(ISNUMBER(P42),P42&gt;0),P42*EXP('Read me'!$B$22),"")</f>
        <v>6.42643949089583</v>
      </c>
    </row>
    <row r="43" customFormat="false" ht="15" hidden="false" customHeight="false" outlineLevel="0" collapsed="false">
      <c r="A43" s="15" t="s">
        <v>274</v>
      </c>
      <c r="B43" s="15" t="s">
        <v>194</v>
      </c>
      <c r="C43" s="15" t="s">
        <v>275</v>
      </c>
      <c r="D43" s="15" t="s">
        <v>370</v>
      </c>
      <c r="E43" s="16" t="n">
        <v>7</v>
      </c>
      <c r="F43" s="15" t="s">
        <v>805</v>
      </c>
      <c r="G43" s="8" t="n">
        <v>11</v>
      </c>
      <c r="H43" s="15" t="s">
        <v>1028</v>
      </c>
      <c r="I43" s="15" t="s">
        <v>1029</v>
      </c>
      <c r="J43" s="15" t="s">
        <v>551</v>
      </c>
      <c r="K43" s="8" t="n">
        <v>3</v>
      </c>
      <c r="L43" s="8" t="n">
        <v>52</v>
      </c>
      <c r="M43" s="8" t="n">
        <v>4</v>
      </c>
      <c r="N43" s="8" t="n">
        <v>10</v>
      </c>
      <c r="O43" s="8" t="n">
        <v>3</v>
      </c>
      <c r="P43" s="9" t="n">
        <v>6.59948788813393</v>
      </c>
      <c r="Q43" s="10" t="n">
        <v>0.151526908898193</v>
      </c>
      <c r="R43" s="9" t="n">
        <v>5</v>
      </c>
      <c r="S43" s="12" t="n">
        <f aca="false">IF(AND(ISNUMBER(R43),R43&gt;1,P43&gt;0),R43/P43-1,"")</f>
        <v>-0.242365455509034</v>
      </c>
      <c r="T43" s="9" t="n">
        <f aca="false">IF(AND(ISNUMBER(P43),P43&gt;0),P43*EXP('Read me'!$B$22),"")</f>
        <v>8.06063270901142</v>
      </c>
    </row>
    <row r="44" customFormat="false" ht="15" hidden="false" customHeight="false" outlineLevel="0" collapsed="false">
      <c r="A44" s="15" t="s">
        <v>274</v>
      </c>
      <c r="B44" s="15" t="s">
        <v>194</v>
      </c>
      <c r="C44" s="15" t="s">
        <v>275</v>
      </c>
      <c r="D44" s="15" t="s">
        <v>370</v>
      </c>
      <c r="E44" s="16" t="n">
        <v>7</v>
      </c>
      <c r="F44" s="15" t="s">
        <v>805</v>
      </c>
      <c r="G44" s="8" t="n">
        <v>11</v>
      </c>
      <c r="H44" s="15" t="s">
        <v>1030</v>
      </c>
      <c r="I44" s="15" t="s">
        <v>1031</v>
      </c>
      <c r="J44" s="15" t="s">
        <v>1032</v>
      </c>
      <c r="K44" s="8" t="n">
        <v>5</v>
      </c>
      <c r="L44" s="8" t="n">
        <v>48</v>
      </c>
      <c r="M44" s="8" t="n">
        <v>7</v>
      </c>
      <c r="N44" s="8" t="n">
        <v>16</v>
      </c>
      <c r="O44" s="8" t="n">
        <v>4</v>
      </c>
      <c r="P44" s="9" t="n">
        <v>6.70711118695941</v>
      </c>
      <c r="Q44" s="10" t="n">
        <v>0.149095485690515</v>
      </c>
      <c r="R44" s="9" t="n">
        <v>7</v>
      </c>
      <c r="S44" s="12" t="n">
        <f aca="false">IF(AND(ISNUMBER(R44),R44&gt;1,P44&gt;0),R44/P44-1,"")</f>
        <v>0.0436683998336056</v>
      </c>
      <c r="T44" s="9" t="n">
        <f aca="false">IF(AND(ISNUMBER(P44),P44&gt;0),P44*EXP('Read me'!$B$22),"")</f>
        <v>8.19208410303915</v>
      </c>
    </row>
    <row r="45" customFormat="false" ht="15" hidden="false" customHeight="false" outlineLevel="0" collapsed="false">
      <c r="A45" s="15" t="s">
        <v>274</v>
      </c>
      <c r="B45" s="15" t="s">
        <v>194</v>
      </c>
      <c r="C45" s="15" t="s">
        <v>275</v>
      </c>
      <c r="D45" s="15" t="s">
        <v>370</v>
      </c>
      <c r="E45" s="16" t="n">
        <v>7</v>
      </c>
      <c r="F45" s="15" t="s">
        <v>805</v>
      </c>
      <c r="G45" s="8" t="n">
        <v>11</v>
      </c>
      <c r="H45" s="15" t="s">
        <v>1033</v>
      </c>
      <c r="I45" s="15" t="s">
        <v>1034</v>
      </c>
      <c r="J45" s="15" t="s">
        <v>1019</v>
      </c>
      <c r="K45" s="8" t="n">
        <v>6</v>
      </c>
      <c r="L45" s="8" t="n">
        <v>50</v>
      </c>
      <c r="M45" s="8" t="n">
        <v>6</v>
      </c>
      <c r="N45" s="8" t="n">
        <v>18</v>
      </c>
      <c r="O45" s="8" t="n">
        <v>5</v>
      </c>
      <c r="P45" s="9" t="n">
        <v>8.54544000105141</v>
      </c>
      <c r="Q45" s="10" t="n">
        <v>0.117021475766837</v>
      </c>
      <c r="R45" s="9" t="n">
        <v>7</v>
      </c>
      <c r="S45" s="12" t="n">
        <f aca="false">IF(AND(ISNUMBER(R45),R45&gt;1,P45&gt;0),R45/P45-1,"")</f>
        <v>-0.180849669632139</v>
      </c>
      <c r="T45" s="9" t="n">
        <f aca="false">IF(AND(ISNUMBER(P45),P45&gt;0),P45*EXP('Read me'!$B$22),"")</f>
        <v>10.4374239869764</v>
      </c>
    </row>
    <row r="46" customFormat="false" ht="15" hidden="false" customHeight="false" outlineLevel="0" collapsed="false">
      <c r="A46" s="15" t="s">
        <v>274</v>
      </c>
      <c r="B46" s="15" t="s">
        <v>194</v>
      </c>
      <c r="C46" s="15" t="s">
        <v>275</v>
      </c>
      <c r="D46" s="15" t="s">
        <v>370</v>
      </c>
      <c r="E46" s="16" t="n">
        <v>7</v>
      </c>
      <c r="F46" s="15" t="s">
        <v>805</v>
      </c>
      <c r="G46" s="8" t="n">
        <v>11</v>
      </c>
      <c r="H46" s="15" t="s">
        <v>1035</v>
      </c>
      <c r="I46" s="15" t="s">
        <v>283</v>
      </c>
      <c r="J46" s="15" t="s">
        <v>1036</v>
      </c>
      <c r="K46" s="8" t="n">
        <v>9</v>
      </c>
      <c r="L46" s="8" t="n">
        <v>54</v>
      </c>
      <c r="M46" s="8" t="n">
        <v>7</v>
      </c>
      <c r="N46" s="8" t="n">
        <v>27</v>
      </c>
      <c r="O46" s="8" t="n">
        <v>6</v>
      </c>
      <c r="P46" s="9" t="n">
        <v>13.397978181114</v>
      </c>
      <c r="Q46" s="10" t="n">
        <v>0.0746381272220323</v>
      </c>
      <c r="R46" s="9" t="n">
        <v>8.5</v>
      </c>
      <c r="S46" s="12" t="n">
        <f aca="false">IF(AND(ISNUMBER(R46),R46&gt;1,P46&gt;0),R46/P46-1,"")</f>
        <v>-0.365575918612725</v>
      </c>
      <c r="T46" s="9" t="n">
        <f aca="false">IF(AND(ISNUMBER(P46),P46&gt;0),P46*EXP('Read me'!$B$22),"")</f>
        <v>16.3643275041824</v>
      </c>
    </row>
    <row r="47" customFormat="false" ht="15" hidden="false" customHeight="false" outlineLevel="0" collapsed="false">
      <c r="A47" s="15" t="s">
        <v>274</v>
      </c>
      <c r="B47" s="15" t="s">
        <v>194</v>
      </c>
      <c r="C47" s="15" t="s">
        <v>275</v>
      </c>
      <c r="D47" s="15" t="s">
        <v>370</v>
      </c>
      <c r="E47" s="16" t="n">
        <v>7</v>
      </c>
      <c r="F47" s="15" t="s">
        <v>805</v>
      </c>
      <c r="G47" s="8" t="n">
        <v>11</v>
      </c>
      <c r="H47" s="15" t="s">
        <v>1037</v>
      </c>
      <c r="I47" s="15" t="s">
        <v>1016</v>
      </c>
      <c r="J47" s="15" t="s">
        <v>431</v>
      </c>
      <c r="K47" s="8" t="n">
        <v>7</v>
      </c>
      <c r="L47" s="8" t="n">
        <v>52</v>
      </c>
      <c r="M47" s="8" t="n">
        <v>8</v>
      </c>
      <c r="N47" s="8" t="n">
        <v>390</v>
      </c>
      <c r="O47" s="8" t="n">
        <v>7</v>
      </c>
      <c r="P47" s="9" t="n">
        <v>29.1930644090143</v>
      </c>
      <c r="Q47" s="10" t="n">
        <v>0.0342547115297432</v>
      </c>
      <c r="R47" s="9" t="n">
        <v>34</v>
      </c>
      <c r="S47" s="12" t="n">
        <f aca="false">IF(AND(ISNUMBER(R47),R47&gt;1,P47&gt;0),R47/P47-1,"")</f>
        <v>0.164660192011272</v>
      </c>
      <c r="T47" s="9" t="n">
        <f aca="false">IF(AND(ISNUMBER(P47),P47&gt;0),P47*EXP('Read me'!$B$22),"")</f>
        <v>35.6564893883175</v>
      </c>
    </row>
    <row r="48" customFormat="false" ht="15" hidden="false" customHeight="false" outlineLevel="0" collapsed="false">
      <c r="A48" s="15" t="s">
        <v>274</v>
      </c>
      <c r="B48" s="15" t="s">
        <v>194</v>
      </c>
      <c r="C48" s="15" t="s">
        <v>275</v>
      </c>
      <c r="D48" s="15" t="s">
        <v>370</v>
      </c>
      <c r="E48" s="16" t="n">
        <v>7</v>
      </c>
      <c r="F48" s="15" t="s">
        <v>805</v>
      </c>
      <c r="G48" s="8" t="n">
        <v>11</v>
      </c>
      <c r="H48" s="15" t="s">
        <v>1038</v>
      </c>
      <c r="I48" s="15" t="s">
        <v>904</v>
      </c>
      <c r="J48" s="15" t="s">
        <v>1039</v>
      </c>
      <c r="K48" s="8" t="n">
        <v>10</v>
      </c>
      <c r="L48" s="8" t="n">
        <v>45</v>
      </c>
      <c r="M48" s="8" t="n">
        <v>3</v>
      </c>
      <c r="N48" s="8" t="n">
        <v>1</v>
      </c>
      <c r="O48" s="8" t="n">
        <v>8</v>
      </c>
      <c r="P48" s="9" t="n">
        <v>38.1853953066353</v>
      </c>
      <c r="Q48" s="10" t="n">
        <v>0.0261880227236048</v>
      </c>
      <c r="R48" s="9" t="n">
        <v>17</v>
      </c>
      <c r="S48" s="12" t="n">
        <f aca="false">IF(AND(ISNUMBER(R48),R48&gt;1,P48&gt;0),R48/P48-1,"")</f>
        <v>-0.554803613698717</v>
      </c>
      <c r="T48" s="9" t="n">
        <f aca="false">IF(AND(ISNUMBER(P48),P48&gt;0),P48*EXP('Read me'!$B$22),"")</f>
        <v>46.6397471489608</v>
      </c>
    </row>
    <row r="49" customFormat="false" ht="15" hidden="false" customHeight="false" outlineLevel="0" collapsed="false">
      <c r="A49" s="15" t="s">
        <v>274</v>
      </c>
      <c r="B49" s="15" t="s">
        <v>194</v>
      </c>
      <c r="C49" s="15" t="s">
        <v>275</v>
      </c>
      <c r="D49" s="15" t="s">
        <v>370</v>
      </c>
      <c r="E49" s="16" t="n">
        <v>7</v>
      </c>
      <c r="F49" s="15" t="s">
        <v>805</v>
      </c>
      <c r="G49" s="8" t="n">
        <v>11</v>
      </c>
      <c r="H49" s="15" t="s">
        <v>1040</v>
      </c>
      <c r="I49" s="15" t="s">
        <v>906</v>
      </c>
      <c r="J49" s="15" t="s">
        <v>825</v>
      </c>
      <c r="K49" s="8" t="n">
        <v>1</v>
      </c>
      <c r="L49" s="8" t="n">
        <v>48</v>
      </c>
      <c r="M49" s="8" t="n">
        <v>3</v>
      </c>
      <c r="N49" s="8" t="n">
        <v>16</v>
      </c>
      <c r="O49" s="8" t="n">
        <v>9</v>
      </c>
      <c r="P49" s="9" t="n">
        <v>55.0339540101353</v>
      </c>
      <c r="Q49" s="10" t="n">
        <v>0.0181706006407578</v>
      </c>
      <c r="R49" s="9" t="n">
        <v>29</v>
      </c>
      <c r="S49" s="12" t="n">
        <f aca="false">IF(AND(ISNUMBER(R49),R49&gt;1,P49&gt;0),R49/P49-1,"")</f>
        <v>-0.473052581418023</v>
      </c>
      <c r="T49" s="9" t="n">
        <f aca="false">IF(AND(ISNUMBER(P49),P49&gt;0),P49*EXP('Read me'!$B$22),"")</f>
        <v>67.2186232204392</v>
      </c>
    </row>
    <row r="50" customFormat="false" ht="15" hidden="false" customHeight="false" outlineLevel="0" collapsed="false">
      <c r="A50" s="15" t="s">
        <v>274</v>
      </c>
      <c r="B50" s="15" t="s">
        <v>194</v>
      </c>
      <c r="C50" s="15" t="s">
        <v>275</v>
      </c>
      <c r="D50" s="15" t="s">
        <v>370</v>
      </c>
      <c r="E50" s="16" t="n">
        <v>7</v>
      </c>
      <c r="F50" s="15" t="s">
        <v>805</v>
      </c>
      <c r="G50" s="8" t="n">
        <v>11</v>
      </c>
      <c r="H50" s="15" t="s">
        <v>1041</v>
      </c>
      <c r="I50" s="15" t="s">
        <v>1042</v>
      </c>
      <c r="J50" s="15" t="s">
        <v>1043</v>
      </c>
      <c r="K50" s="8" t="n">
        <v>8</v>
      </c>
      <c r="L50" s="8" t="n">
        <v>45</v>
      </c>
      <c r="M50" s="8" t="n">
        <v>8</v>
      </c>
      <c r="N50" s="8" t="n">
        <v>49</v>
      </c>
      <c r="O50" s="8" t="n">
        <v>10</v>
      </c>
      <c r="P50" s="9" t="n">
        <v>97.760568074312</v>
      </c>
      <c r="Q50" s="10" t="n">
        <v>0.0102290731293608</v>
      </c>
      <c r="R50" s="9" t="n">
        <v>51</v>
      </c>
      <c r="S50" s="12" t="n">
        <f aca="false">IF(AND(ISNUMBER(R50),R50&gt;1,P50&gt;0),R50/P50-1,"")</f>
        <v>-0.478317270402595</v>
      </c>
      <c r="T50" s="9" t="n">
        <f aca="false">IF(AND(ISNUMBER(P50),P50&gt;0),P50*EXP('Read me'!$B$22),"")</f>
        <v>119.40502748527</v>
      </c>
    </row>
    <row r="51" customFormat="false" ht="15" hidden="false" customHeight="false" outlineLevel="0" collapsed="false">
      <c r="A51" s="15" t="s">
        <v>274</v>
      </c>
      <c r="B51" s="15" t="s">
        <v>194</v>
      </c>
      <c r="C51" s="15" t="s">
        <v>275</v>
      </c>
      <c r="D51" s="15" t="s">
        <v>370</v>
      </c>
      <c r="E51" s="16" t="n">
        <v>7</v>
      </c>
      <c r="F51" s="15" t="s">
        <v>805</v>
      </c>
      <c r="G51" s="8" t="n">
        <v>11</v>
      </c>
      <c r="H51" s="15" t="s">
        <v>1044</v>
      </c>
      <c r="I51" s="15" t="s">
        <v>901</v>
      </c>
      <c r="J51" s="15" t="s">
        <v>379</v>
      </c>
      <c r="K51" s="8" t="n">
        <v>12</v>
      </c>
      <c r="L51" s="8" t="n">
        <v>45</v>
      </c>
      <c r="M51" s="8" t="n">
        <v>4</v>
      </c>
      <c r="N51" s="8" t="n">
        <v>9</v>
      </c>
      <c r="O51" s="8" t="n">
        <v>11</v>
      </c>
      <c r="P51" s="9" t="n">
        <v>105.534859920469</v>
      </c>
      <c r="Q51" s="10" t="n">
        <v>0.0094755420223573</v>
      </c>
      <c r="R51" s="9" t="n">
        <v>51</v>
      </c>
      <c r="S51" s="12" t="n">
        <f aca="false">IF(AND(ISNUMBER(R51),R51&gt;1,P51&gt;0),R51/P51-1,"")</f>
        <v>-0.516747356859775</v>
      </c>
      <c r="T51" s="9" t="n">
        <f aca="false">IF(AND(ISNUMBER(P51),P51&gt;0),P51*EXP('Read me'!$B$22),"")</f>
        <v>128.900568988908</v>
      </c>
    </row>
    <row r="52" customFormat="false" ht="15" hidden="false" customHeight="false" outlineLevel="0" collapsed="false">
      <c r="A52" s="15" t="s">
        <v>280</v>
      </c>
      <c r="B52" s="15" t="s">
        <v>194</v>
      </c>
      <c r="C52" s="15" t="s">
        <v>281</v>
      </c>
      <c r="D52" s="15" t="s">
        <v>370</v>
      </c>
      <c r="E52" s="16" t="n">
        <v>14</v>
      </c>
      <c r="F52" s="15" t="s">
        <v>805</v>
      </c>
      <c r="G52" s="8" t="n">
        <v>10</v>
      </c>
      <c r="H52" s="15" t="s">
        <v>282</v>
      </c>
      <c r="I52" s="15" t="s">
        <v>283</v>
      </c>
      <c r="J52" s="15" t="s">
        <v>284</v>
      </c>
      <c r="K52" s="8" t="n">
        <v>7</v>
      </c>
      <c r="L52" s="8" t="n">
        <v>49</v>
      </c>
      <c r="M52" s="8" t="n">
        <v>6</v>
      </c>
      <c r="N52" s="8" t="n">
        <v>24</v>
      </c>
      <c r="O52" s="8" t="n">
        <v>1</v>
      </c>
      <c r="P52" s="9" t="n">
        <v>2.18383223287161</v>
      </c>
      <c r="Q52" s="10" t="n">
        <v>0.457910632945032</v>
      </c>
      <c r="R52" s="9" t="n">
        <v>2.375</v>
      </c>
      <c r="S52" s="12" t="n">
        <f aca="false">IF(AND(ISNUMBER(R52),R52&gt;1,P52&gt;0),R52/P52-1,"")</f>
        <v>0.0875377532444503</v>
      </c>
      <c r="T52" s="9" t="n">
        <f aca="false">IF(AND(ISNUMBER(P52),P52&gt;0),P52*EXP('Read me'!$B$22),"")</f>
        <v>2.66733871258846</v>
      </c>
    </row>
    <row r="53" customFormat="false" ht="15" hidden="false" customHeight="false" outlineLevel="0" collapsed="false">
      <c r="A53" s="15" t="s">
        <v>280</v>
      </c>
      <c r="B53" s="15" t="s">
        <v>194</v>
      </c>
      <c r="C53" s="15" t="s">
        <v>281</v>
      </c>
      <c r="D53" s="15" t="s">
        <v>370</v>
      </c>
      <c r="E53" s="16" t="n">
        <v>14</v>
      </c>
      <c r="F53" s="15" t="s">
        <v>805</v>
      </c>
      <c r="G53" s="8" t="n">
        <v>10</v>
      </c>
      <c r="H53" s="15" t="s">
        <v>285</v>
      </c>
      <c r="I53" s="15" t="s">
        <v>1045</v>
      </c>
      <c r="J53" s="15" t="s">
        <v>1046</v>
      </c>
      <c r="K53" s="8" t="n">
        <v>6</v>
      </c>
      <c r="L53" s="8" t="n">
        <v>50</v>
      </c>
      <c r="M53" s="8" t="n">
        <v>3</v>
      </c>
      <c r="N53" s="8" t="n">
        <v>18</v>
      </c>
      <c r="O53" s="8" t="n">
        <v>2</v>
      </c>
      <c r="P53" s="9" t="n">
        <v>11.2369380957112</v>
      </c>
      <c r="Q53" s="10" t="n">
        <v>0.0889922140250702</v>
      </c>
      <c r="R53" s="9" t="n">
        <v>6</v>
      </c>
      <c r="S53" s="12" t="n">
        <f aca="false">IF(AND(ISNUMBER(R53),R53&gt;1,P53&gt;0),R53/P53-1,"")</f>
        <v>-0.466046715849578</v>
      </c>
      <c r="T53" s="9" t="n">
        <f aca="false">IF(AND(ISNUMBER(P53),P53&gt;0),P53*EXP('Read me'!$B$22),"")</f>
        <v>13.7248271833768</v>
      </c>
    </row>
    <row r="54" customFormat="false" ht="15" hidden="false" customHeight="false" outlineLevel="0" collapsed="false">
      <c r="A54" s="15" t="s">
        <v>280</v>
      </c>
      <c r="B54" s="15" t="s">
        <v>194</v>
      </c>
      <c r="C54" s="15" t="s">
        <v>281</v>
      </c>
      <c r="D54" s="15" t="s">
        <v>370</v>
      </c>
      <c r="E54" s="16" t="n">
        <v>14</v>
      </c>
      <c r="F54" s="15" t="s">
        <v>805</v>
      </c>
      <c r="G54" s="8" t="n">
        <v>10</v>
      </c>
      <c r="H54" s="15" t="s">
        <v>1047</v>
      </c>
      <c r="I54" s="15" t="s">
        <v>277</v>
      </c>
      <c r="J54" s="15" t="s">
        <v>278</v>
      </c>
      <c r="K54" s="8" t="n">
        <v>9</v>
      </c>
      <c r="L54" s="8" t="n">
        <v>49</v>
      </c>
      <c r="M54" s="8" t="n">
        <v>4</v>
      </c>
      <c r="N54" s="8" t="n">
        <v>10</v>
      </c>
      <c r="O54" s="8" t="n">
        <v>3</v>
      </c>
      <c r="P54" s="9" t="n">
        <v>12.5248677754881</v>
      </c>
      <c r="Q54" s="10" t="n">
        <v>0.0798411622322317</v>
      </c>
      <c r="R54" s="9" t="n">
        <v>8.5</v>
      </c>
      <c r="S54" s="12" t="n">
        <f aca="false">IF(AND(ISNUMBER(R54),R54&gt;1,P54&gt;0),R54/P54-1,"")</f>
        <v>-0.32135012102603</v>
      </c>
      <c r="T54" s="9" t="n">
        <f aca="false">IF(AND(ISNUMBER(P54),P54&gt;0),P54*EXP('Read me'!$B$22),"")</f>
        <v>15.2979080465726</v>
      </c>
    </row>
    <row r="55" customFormat="false" ht="15" hidden="false" customHeight="false" outlineLevel="0" collapsed="false">
      <c r="A55" s="15" t="s">
        <v>280</v>
      </c>
      <c r="B55" s="15" t="s">
        <v>194</v>
      </c>
      <c r="C55" s="15" t="s">
        <v>281</v>
      </c>
      <c r="D55" s="15" t="s">
        <v>370</v>
      </c>
      <c r="E55" s="16" t="n">
        <v>14</v>
      </c>
      <c r="F55" s="15" t="s">
        <v>805</v>
      </c>
      <c r="G55" s="8" t="n">
        <v>10</v>
      </c>
      <c r="H55" s="15" t="s">
        <v>1048</v>
      </c>
      <c r="I55" s="15" t="s">
        <v>1049</v>
      </c>
      <c r="J55" s="15" t="s">
        <v>936</v>
      </c>
      <c r="K55" s="8" t="n">
        <v>2</v>
      </c>
      <c r="L55" s="8" t="n">
        <v>50</v>
      </c>
      <c r="M55" s="8" t="n">
        <v>8</v>
      </c>
      <c r="N55" s="8" t="n">
        <v>28</v>
      </c>
      <c r="O55" s="8" t="n">
        <v>4</v>
      </c>
      <c r="P55" s="9" t="n">
        <v>14.0344430891322</v>
      </c>
      <c r="Q55" s="10" t="n">
        <v>0.07125327265564</v>
      </c>
      <c r="R55" s="9" t="n">
        <v>12</v>
      </c>
      <c r="S55" s="12" t="n">
        <f aca="false">IF(AND(ISNUMBER(R55),R55&gt;1,P55&gt;0),R55/P55-1,"")</f>
        <v>-0.144960728132319</v>
      </c>
      <c r="T55" s="9" t="n">
        <f aca="false">IF(AND(ISNUMBER(P55),P55&gt;0),P55*EXP('Read me'!$B$22),"")</f>
        <v>17.141707498308</v>
      </c>
    </row>
    <row r="56" customFormat="false" ht="15" hidden="false" customHeight="false" outlineLevel="0" collapsed="false">
      <c r="A56" s="15" t="s">
        <v>280</v>
      </c>
      <c r="B56" s="15" t="s">
        <v>194</v>
      </c>
      <c r="C56" s="15" t="s">
        <v>281</v>
      </c>
      <c r="D56" s="15" t="s">
        <v>370</v>
      </c>
      <c r="E56" s="16" t="n">
        <v>14</v>
      </c>
      <c r="F56" s="15" t="s">
        <v>805</v>
      </c>
      <c r="G56" s="8" t="n">
        <v>10</v>
      </c>
      <c r="H56" s="15" t="s">
        <v>1050</v>
      </c>
      <c r="I56" s="15" t="s">
        <v>294</v>
      </c>
      <c r="J56" s="15" t="s">
        <v>1051</v>
      </c>
      <c r="K56" s="8" t="n">
        <v>3</v>
      </c>
      <c r="L56" s="8" t="n">
        <v>55</v>
      </c>
      <c r="M56" s="8" t="n">
        <v>7</v>
      </c>
      <c r="N56" s="8" t="n">
        <v>10</v>
      </c>
      <c r="O56" s="8" t="n">
        <v>5</v>
      </c>
      <c r="P56" s="9" t="n">
        <v>14.1746911101871</v>
      </c>
      <c r="Q56" s="10" t="n">
        <v>0.0705482745427387</v>
      </c>
      <c r="R56" s="9" t="n">
        <v>8</v>
      </c>
      <c r="S56" s="12" t="n">
        <f aca="false">IF(AND(ISNUMBER(R56),R56&gt;1,P56&gt;0),R56/P56-1,"")</f>
        <v>-0.43561380365809</v>
      </c>
      <c r="T56" s="9" t="n">
        <f aca="false">IF(AND(ISNUMBER(P56),P56&gt;0),P56*EXP('Read me'!$B$22),"")</f>
        <v>17.313006818051</v>
      </c>
    </row>
    <row r="57" customFormat="false" ht="15" hidden="false" customHeight="false" outlineLevel="0" collapsed="false">
      <c r="A57" s="15" t="s">
        <v>280</v>
      </c>
      <c r="B57" s="15" t="s">
        <v>194</v>
      </c>
      <c r="C57" s="15" t="s">
        <v>281</v>
      </c>
      <c r="D57" s="15" t="s">
        <v>370</v>
      </c>
      <c r="E57" s="16" t="n">
        <v>14</v>
      </c>
      <c r="F57" s="15" t="s">
        <v>805</v>
      </c>
      <c r="G57" s="8" t="n">
        <v>10</v>
      </c>
      <c r="H57" s="15" t="s">
        <v>1052</v>
      </c>
      <c r="I57" s="15" t="s">
        <v>1053</v>
      </c>
      <c r="J57" s="15" t="s">
        <v>1054</v>
      </c>
      <c r="K57" s="8" t="n">
        <v>10</v>
      </c>
      <c r="L57" s="8" t="n">
        <v>48</v>
      </c>
      <c r="M57" s="8" t="n">
        <v>8</v>
      </c>
      <c r="N57" s="8" t="n">
        <v>30</v>
      </c>
      <c r="O57" s="8" t="n">
        <v>6</v>
      </c>
      <c r="P57" s="9" t="n">
        <v>16.26813601093</v>
      </c>
      <c r="Q57" s="10" t="n">
        <v>0.0614698573535491</v>
      </c>
      <c r="R57" s="9" t="n">
        <v>15</v>
      </c>
      <c r="S57" s="12" t="n">
        <f aca="false">IF(AND(ISNUMBER(R57),R57&gt;1,P57&gt;0),R57/P57-1,"")</f>
        <v>-0.0779521396967635</v>
      </c>
      <c r="T57" s="9" t="n">
        <f aca="false">IF(AND(ISNUMBER(P57),P57&gt;0),P57*EXP('Read me'!$B$22),"")</f>
        <v>19.8699461938746</v>
      </c>
    </row>
    <row r="58" customFormat="false" ht="15" hidden="false" customHeight="false" outlineLevel="0" collapsed="false">
      <c r="A58" s="15" t="s">
        <v>280</v>
      </c>
      <c r="B58" s="15" t="s">
        <v>194</v>
      </c>
      <c r="C58" s="15" t="s">
        <v>281</v>
      </c>
      <c r="D58" s="15" t="s">
        <v>370</v>
      </c>
      <c r="E58" s="16" t="n">
        <v>14</v>
      </c>
      <c r="F58" s="15" t="s">
        <v>805</v>
      </c>
      <c r="G58" s="8" t="n">
        <v>10</v>
      </c>
      <c r="H58" s="15" t="s">
        <v>1055</v>
      </c>
      <c r="I58" s="15" t="s">
        <v>1056</v>
      </c>
      <c r="J58" s="15" t="s">
        <v>915</v>
      </c>
      <c r="K58" s="8" t="n">
        <v>1</v>
      </c>
      <c r="L58" s="8" t="n">
        <v>54</v>
      </c>
      <c r="M58" s="8" t="n">
        <v>3</v>
      </c>
      <c r="N58" s="8" t="n">
        <v>30</v>
      </c>
      <c r="O58" s="8" t="n">
        <v>7</v>
      </c>
      <c r="P58" s="9" t="n">
        <v>16.7138435785666</v>
      </c>
      <c r="Q58" s="10" t="n">
        <v>0.0598306425029831</v>
      </c>
      <c r="R58" s="9" t="n">
        <v>13</v>
      </c>
      <c r="S58" s="12" t="n">
        <f aca="false">IF(AND(ISNUMBER(R58),R58&gt;1,P58&gt;0),R58/P58-1,"")</f>
        <v>-0.22220164746122</v>
      </c>
      <c r="T58" s="9" t="n">
        <f aca="false">IF(AND(ISNUMBER(P58),P58&gt;0),P58*EXP('Read me'!$B$22),"")</f>
        <v>20.4143346463189</v>
      </c>
    </row>
    <row r="59" customFormat="false" ht="15" hidden="false" customHeight="false" outlineLevel="0" collapsed="false">
      <c r="A59" s="15" t="s">
        <v>280</v>
      </c>
      <c r="B59" s="15" t="s">
        <v>194</v>
      </c>
      <c r="C59" s="15" t="s">
        <v>281</v>
      </c>
      <c r="D59" s="15" t="s">
        <v>370</v>
      </c>
      <c r="E59" s="16" t="n">
        <v>14</v>
      </c>
      <c r="F59" s="15" t="s">
        <v>805</v>
      </c>
      <c r="G59" s="8" t="n">
        <v>10</v>
      </c>
      <c r="H59" s="15" t="s">
        <v>1057</v>
      </c>
      <c r="I59" s="15" t="s">
        <v>901</v>
      </c>
      <c r="J59" s="15" t="s">
        <v>810</v>
      </c>
      <c r="K59" s="8" t="n">
        <v>8</v>
      </c>
      <c r="L59" s="8" t="n">
        <v>49</v>
      </c>
      <c r="M59" s="8" t="n">
        <v>3</v>
      </c>
      <c r="N59" s="8" t="n">
        <v>4</v>
      </c>
      <c r="O59" s="8" t="n">
        <v>8</v>
      </c>
      <c r="P59" s="9" t="n">
        <v>20.9433489131049</v>
      </c>
      <c r="Q59" s="10" t="n">
        <v>0.0477478556151193</v>
      </c>
      <c r="R59" s="9" t="n">
        <v>15</v>
      </c>
      <c r="S59" s="12" t="n">
        <f aca="false">IF(AND(ISNUMBER(R59),R59&gt;1,P59&gt;0),R59/P59-1,"")</f>
        <v>-0.28378216577321</v>
      </c>
      <c r="T59" s="9" t="n">
        <f aca="false">IF(AND(ISNUMBER(P59),P59&gt;0),P59*EXP('Read me'!$B$22),"")</f>
        <v>25.5802641275771</v>
      </c>
    </row>
    <row r="60" customFormat="false" ht="15" hidden="false" customHeight="false" outlineLevel="0" collapsed="false">
      <c r="A60" s="15" t="s">
        <v>280</v>
      </c>
      <c r="B60" s="15" t="s">
        <v>194</v>
      </c>
      <c r="C60" s="15" t="s">
        <v>281</v>
      </c>
      <c r="D60" s="15" t="s">
        <v>370</v>
      </c>
      <c r="E60" s="16" t="n">
        <v>14</v>
      </c>
      <c r="F60" s="15" t="s">
        <v>805</v>
      </c>
      <c r="G60" s="8" t="n">
        <v>10</v>
      </c>
      <c r="H60" s="15" t="s">
        <v>1058</v>
      </c>
      <c r="I60" s="15" t="s">
        <v>906</v>
      </c>
      <c r="J60" s="15" t="s">
        <v>1059</v>
      </c>
      <c r="K60" s="8" t="n">
        <v>4</v>
      </c>
      <c r="L60" s="8" t="n">
        <v>46</v>
      </c>
      <c r="M60" s="8" t="n">
        <v>9</v>
      </c>
      <c r="N60" s="8" t="n">
        <v>189</v>
      </c>
      <c r="O60" s="8" t="n">
        <v>9</v>
      </c>
      <c r="P60" s="9" t="n">
        <v>26.3448108374201</v>
      </c>
      <c r="Q60" s="10" t="n">
        <v>0.0379581393152234</v>
      </c>
      <c r="R60" s="9" t="n">
        <v>34</v>
      </c>
      <c r="S60" s="12" t="n">
        <f aca="false">IF(AND(ISNUMBER(R60),R60&gt;1,P60&gt;0),R60/P60-1,"")</f>
        <v>0.290576736717599</v>
      </c>
      <c r="T60" s="9" t="n">
        <f aca="false">IF(AND(ISNUMBER(P60),P60&gt;0),P60*EXP('Read me'!$B$22),"")</f>
        <v>32.1776246200328</v>
      </c>
    </row>
    <row r="61" customFormat="false" ht="15" hidden="false" customHeight="false" outlineLevel="0" collapsed="false">
      <c r="A61" s="15" t="s">
        <v>280</v>
      </c>
      <c r="B61" s="15" t="s">
        <v>194</v>
      </c>
      <c r="C61" s="15" t="s">
        <v>281</v>
      </c>
      <c r="D61" s="15" t="s">
        <v>370</v>
      </c>
      <c r="E61" s="16" t="n">
        <v>14</v>
      </c>
      <c r="F61" s="15" t="s">
        <v>805</v>
      </c>
      <c r="G61" s="8" t="n">
        <v>10</v>
      </c>
      <c r="H61" s="15" t="s">
        <v>1060</v>
      </c>
      <c r="I61" s="15" t="s">
        <v>1061</v>
      </c>
      <c r="J61" s="15" t="s">
        <v>902</v>
      </c>
      <c r="K61" s="8" t="n">
        <v>5</v>
      </c>
      <c r="L61" s="8" t="n">
        <v>46</v>
      </c>
      <c r="M61" s="8" t="n">
        <v>5</v>
      </c>
      <c r="N61" s="8" t="n">
        <v>7</v>
      </c>
      <c r="O61" s="8" t="n">
        <v>10</v>
      </c>
      <c r="P61" s="9" t="n">
        <v>40.903227001698</v>
      </c>
      <c r="Q61" s="10" t="n">
        <v>0.0244479488124124</v>
      </c>
      <c r="R61" s="9" t="n">
        <v>26</v>
      </c>
      <c r="S61" s="12" t="n">
        <f aca="false">IF(AND(ISNUMBER(R61),R61&gt;1,P61&gt;0),R61/P61-1,"")</f>
        <v>-0.364353330877277</v>
      </c>
      <c r="T61" s="9" t="n">
        <f aca="false">IF(AND(ISNUMBER(P61),P61&gt;0),P61*EXP('Read me'!$B$22),"")</f>
        <v>49.9593142775255</v>
      </c>
    </row>
    <row r="62" customFormat="false" ht="15" hidden="false" customHeight="false" outlineLevel="0" collapsed="false">
      <c r="A62" s="15" t="s">
        <v>286</v>
      </c>
      <c r="B62" s="15" t="s">
        <v>194</v>
      </c>
      <c r="C62" s="15" t="s">
        <v>287</v>
      </c>
      <c r="D62" s="15" t="s">
        <v>370</v>
      </c>
      <c r="E62" s="16" t="n">
        <v>8.5</v>
      </c>
      <c r="F62" s="15" t="s">
        <v>805</v>
      </c>
      <c r="G62" s="8" t="n">
        <v>12</v>
      </c>
      <c r="H62" s="15" t="s">
        <v>288</v>
      </c>
      <c r="I62" s="15" t="s">
        <v>261</v>
      </c>
      <c r="J62" s="15" t="s">
        <v>289</v>
      </c>
      <c r="K62" s="8" t="n">
        <v>9</v>
      </c>
      <c r="L62" s="8" t="n">
        <v>59</v>
      </c>
      <c r="M62" s="8" t="n">
        <v>3</v>
      </c>
      <c r="N62" s="8" t="n">
        <v>98</v>
      </c>
      <c r="O62" s="8" t="n">
        <v>1</v>
      </c>
      <c r="P62" s="9" t="n">
        <v>4.18919945043193</v>
      </c>
      <c r="Q62" s="10" t="n">
        <v>0.238709092711471</v>
      </c>
      <c r="R62" s="9" t="n">
        <v>4.5</v>
      </c>
      <c r="S62" s="12" t="n">
        <f aca="false">IF(AND(ISNUMBER(R62),R62&gt;1,P62&gt;0),R62/P62-1,"")</f>
        <v>0.0741909172016202</v>
      </c>
      <c r="T62" s="9" t="n">
        <f aca="false">IF(AND(ISNUMBER(P62),P62&gt;0),P62*EXP('Read me'!$B$22),"")</f>
        <v>5.11669976324063</v>
      </c>
    </row>
    <row r="63" customFormat="false" ht="15" hidden="false" customHeight="false" outlineLevel="0" collapsed="false">
      <c r="A63" s="15" t="s">
        <v>286</v>
      </c>
      <c r="B63" s="15" t="s">
        <v>194</v>
      </c>
      <c r="C63" s="15" t="s">
        <v>287</v>
      </c>
      <c r="D63" s="15" t="s">
        <v>370</v>
      </c>
      <c r="E63" s="16" t="n">
        <v>8.5</v>
      </c>
      <c r="F63" s="15" t="s">
        <v>805</v>
      </c>
      <c r="G63" s="8" t="n">
        <v>12</v>
      </c>
      <c r="H63" s="15" t="s">
        <v>290</v>
      </c>
      <c r="I63" s="15" t="s">
        <v>283</v>
      </c>
      <c r="J63" s="15" t="s">
        <v>563</v>
      </c>
      <c r="K63" s="8" t="n">
        <v>8</v>
      </c>
      <c r="L63" s="8" t="n">
        <v>56</v>
      </c>
      <c r="M63" s="8" t="n">
        <v>3</v>
      </c>
      <c r="N63" s="8" t="n">
        <v>21</v>
      </c>
      <c r="O63" s="8" t="n">
        <v>2</v>
      </c>
      <c r="P63" s="9" t="n">
        <v>5.10315863768851</v>
      </c>
      <c r="Q63" s="10" t="n">
        <v>0.195957067180838</v>
      </c>
      <c r="R63" s="9" t="n">
        <v>3.5</v>
      </c>
      <c r="S63" s="12" t="n">
        <f aca="false">IF(AND(ISNUMBER(R63),R63&gt;1,P63&gt;0),R63/P63-1,"")</f>
        <v>-0.314150264867068</v>
      </c>
      <c r="T63" s="9" t="n">
        <f aca="false">IF(AND(ISNUMBER(P63),P63&gt;0),P63*EXP('Read me'!$B$22),"")</f>
        <v>6.23301203540164</v>
      </c>
    </row>
    <row r="64" customFormat="false" ht="15" hidden="false" customHeight="false" outlineLevel="0" collapsed="false">
      <c r="A64" s="15" t="s">
        <v>286</v>
      </c>
      <c r="B64" s="15" t="s">
        <v>194</v>
      </c>
      <c r="C64" s="15" t="s">
        <v>287</v>
      </c>
      <c r="D64" s="15" t="s">
        <v>370</v>
      </c>
      <c r="E64" s="16" t="n">
        <v>8.5</v>
      </c>
      <c r="F64" s="15" t="s">
        <v>805</v>
      </c>
      <c r="G64" s="8" t="n">
        <v>12</v>
      </c>
      <c r="H64" s="15" t="s">
        <v>1062</v>
      </c>
      <c r="I64" s="15" t="s">
        <v>967</v>
      </c>
      <c r="J64" s="15" t="s">
        <v>632</v>
      </c>
      <c r="K64" s="8" t="n">
        <v>6</v>
      </c>
      <c r="L64" s="8" t="n">
        <v>50</v>
      </c>
      <c r="M64" s="8" t="n">
        <v>3</v>
      </c>
      <c r="N64" s="8" t="n">
        <v>21</v>
      </c>
      <c r="O64" s="8" t="n">
        <v>3</v>
      </c>
      <c r="P64" s="9" t="n">
        <v>7.6994330945984</v>
      </c>
      <c r="Q64" s="10" t="n">
        <v>0.129879692142732</v>
      </c>
      <c r="R64" s="9" t="n">
        <v>6.5</v>
      </c>
      <c r="S64" s="12" t="n">
        <f aca="false">IF(AND(ISNUMBER(R64),R64&gt;1,P64&gt;0),R64/P64-1,"")</f>
        <v>-0.155782001072244</v>
      </c>
      <c r="T64" s="9" t="n">
        <f aca="false">IF(AND(ISNUMBER(P64),P64&gt;0),P64*EXP('Read me'!$B$22),"")</f>
        <v>9.40410881801217</v>
      </c>
    </row>
    <row r="65" customFormat="false" ht="15" hidden="false" customHeight="false" outlineLevel="0" collapsed="false">
      <c r="A65" s="15" t="s">
        <v>286</v>
      </c>
      <c r="B65" s="15" t="s">
        <v>194</v>
      </c>
      <c r="C65" s="15" t="s">
        <v>287</v>
      </c>
      <c r="D65" s="15" t="s">
        <v>370</v>
      </c>
      <c r="E65" s="16" t="n">
        <v>8.5</v>
      </c>
      <c r="F65" s="15" t="s">
        <v>805</v>
      </c>
      <c r="G65" s="8" t="n">
        <v>12</v>
      </c>
      <c r="H65" s="15" t="s">
        <v>1063</v>
      </c>
      <c r="I65" s="15" t="s">
        <v>898</v>
      </c>
      <c r="J65" s="15" t="s">
        <v>899</v>
      </c>
      <c r="K65" s="8" t="n">
        <v>5</v>
      </c>
      <c r="L65" s="8" t="n">
        <v>58</v>
      </c>
      <c r="M65" s="8" t="n">
        <v>3</v>
      </c>
      <c r="N65" s="8" t="n">
        <v>19</v>
      </c>
      <c r="O65" s="8" t="n">
        <v>4</v>
      </c>
      <c r="P65" s="9" t="n">
        <v>8.1082537579196</v>
      </c>
      <c r="Q65" s="10" t="n">
        <v>0.123331117877665</v>
      </c>
      <c r="R65" s="9" t="n">
        <v>9</v>
      </c>
      <c r="S65" s="12" t="n">
        <f aca="false">IF(AND(ISNUMBER(R65),R65&gt;1,P65&gt;0),R65/P65-1,"")</f>
        <v>0.109980060898982</v>
      </c>
      <c r="T65" s="9" t="n">
        <f aca="false">IF(AND(ISNUMBER(P65),P65&gt;0),P65*EXP('Read me'!$B$22),"")</f>
        <v>9.90344350378556</v>
      </c>
    </row>
    <row r="66" customFormat="false" ht="15" hidden="false" customHeight="false" outlineLevel="0" collapsed="false">
      <c r="A66" s="15" t="s">
        <v>286</v>
      </c>
      <c r="B66" s="15" t="s">
        <v>194</v>
      </c>
      <c r="C66" s="15" t="s">
        <v>287</v>
      </c>
      <c r="D66" s="15" t="s">
        <v>370</v>
      </c>
      <c r="E66" s="16" t="n">
        <v>8.5</v>
      </c>
      <c r="F66" s="15" t="s">
        <v>805</v>
      </c>
      <c r="G66" s="8" t="n">
        <v>12</v>
      </c>
      <c r="H66" s="15" t="s">
        <v>1064</v>
      </c>
      <c r="I66" s="15" t="s">
        <v>1065</v>
      </c>
      <c r="J66" s="15" t="s">
        <v>115</v>
      </c>
      <c r="K66" s="8" t="n">
        <v>7</v>
      </c>
      <c r="L66" s="8" t="n">
        <v>54</v>
      </c>
      <c r="M66" s="8" t="n">
        <v>3</v>
      </c>
      <c r="N66" s="8" t="n">
        <v>16</v>
      </c>
      <c r="O66" s="8" t="n">
        <v>5</v>
      </c>
      <c r="P66" s="9" t="n">
        <v>8.74883084022358</v>
      </c>
      <c r="Q66" s="10" t="n">
        <v>0.11430098698473</v>
      </c>
      <c r="R66" s="9" t="n">
        <v>8</v>
      </c>
      <c r="S66" s="12" t="n">
        <f aca="false">IF(AND(ISNUMBER(R66),R66&gt;1,P66&gt;0),R66/P66-1,"")</f>
        <v>-0.0855921041221598</v>
      </c>
      <c r="T66" s="9" t="n">
        <f aca="false">IF(AND(ISNUMBER(P66),P66&gt;0),P66*EXP('Read me'!$B$22),"")</f>
        <v>10.6858461189258</v>
      </c>
    </row>
    <row r="67" customFormat="false" ht="15" hidden="false" customHeight="false" outlineLevel="0" collapsed="false">
      <c r="A67" s="15" t="s">
        <v>286</v>
      </c>
      <c r="B67" s="15" t="s">
        <v>194</v>
      </c>
      <c r="C67" s="15" t="s">
        <v>287</v>
      </c>
      <c r="D67" s="15" t="s">
        <v>370</v>
      </c>
      <c r="E67" s="16" t="n">
        <v>8.5</v>
      </c>
      <c r="F67" s="15" t="s">
        <v>805</v>
      </c>
      <c r="G67" s="8" t="n">
        <v>12</v>
      </c>
      <c r="H67" s="15" t="s">
        <v>1066</v>
      </c>
      <c r="I67" s="15" t="s">
        <v>965</v>
      </c>
      <c r="J67" s="15" t="s">
        <v>204</v>
      </c>
      <c r="K67" s="8" t="n">
        <v>13</v>
      </c>
      <c r="L67" s="8" t="n">
        <v>60</v>
      </c>
      <c r="M67" s="8" t="n">
        <v>3</v>
      </c>
      <c r="N67" s="8" t="n">
        <v>18</v>
      </c>
      <c r="O67" s="8" t="n">
        <v>6</v>
      </c>
      <c r="P67" s="9" t="n">
        <v>17.3941524860705</v>
      </c>
      <c r="Q67" s="10" t="n">
        <v>0.0574905848848233</v>
      </c>
      <c r="R67" s="9" t="n">
        <v>11</v>
      </c>
      <c r="S67" s="12" t="n">
        <f aca="false">IF(AND(ISNUMBER(R67),R67&gt;1,P67&gt;0),R67/P67-1,"")</f>
        <v>-0.367603566266942</v>
      </c>
      <c r="T67" s="9" t="n">
        <f aca="false">IF(AND(ISNUMBER(P67),P67&gt;0),P67*EXP('Read me'!$B$22),"")</f>
        <v>21.2452658223451</v>
      </c>
    </row>
    <row r="68" customFormat="false" ht="15" hidden="false" customHeight="false" outlineLevel="0" collapsed="false">
      <c r="A68" s="15" t="s">
        <v>286</v>
      </c>
      <c r="B68" s="15" t="s">
        <v>194</v>
      </c>
      <c r="C68" s="15" t="s">
        <v>287</v>
      </c>
      <c r="D68" s="15" t="s">
        <v>370</v>
      </c>
      <c r="E68" s="16" t="n">
        <v>8.5</v>
      </c>
      <c r="F68" s="15" t="s">
        <v>805</v>
      </c>
      <c r="G68" s="8" t="n">
        <v>12</v>
      </c>
      <c r="H68" s="15" t="s">
        <v>1067</v>
      </c>
      <c r="I68" s="15" t="s">
        <v>1068</v>
      </c>
      <c r="J68" s="15" t="s">
        <v>1069</v>
      </c>
      <c r="K68" s="8" t="n">
        <v>2</v>
      </c>
      <c r="L68" s="8" t="n">
        <v>48</v>
      </c>
      <c r="M68" s="8" t="n">
        <v>3</v>
      </c>
      <c r="N68" s="8" t="n">
        <v>18</v>
      </c>
      <c r="O68" s="8" t="n">
        <v>7</v>
      </c>
      <c r="P68" s="9" t="n">
        <v>22.4011343623127</v>
      </c>
      <c r="Q68" s="10" t="n">
        <v>0.0446405964906127</v>
      </c>
      <c r="R68" s="9" t="n">
        <v>12</v>
      </c>
      <c r="S68" s="12" t="n">
        <f aca="false">IF(AND(ISNUMBER(R68),R68&gt;1,P68&gt;0),R68/P68-1,"")</f>
        <v>-0.464312842112647</v>
      </c>
      <c r="T68" s="9" t="n">
        <f aca="false">IF(AND(ISNUMBER(P68),P68&gt;0),P68*EXP('Read me'!$B$22),"")</f>
        <v>27.3608072960453</v>
      </c>
    </row>
    <row r="69" customFormat="false" ht="15" hidden="false" customHeight="false" outlineLevel="0" collapsed="false">
      <c r="A69" s="15" t="s">
        <v>286</v>
      </c>
      <c r="B69" s="15" t="s">
        <v>194</v>
      </c>
      <c r="C69" s="15" t="s">
        <v>287</v>
      </c>
      <c r="D69" s="15" t="s">
        <v>370</v>
      </c>
      <c r="E69" s="16" t="n">
        <v>8.5</v>
      </c>
      <c r="F69" s="15" t="s">
        <v>805</v>
      </c>
      <c r="G69" s="8" t="n">
        <v>12</v>
      </c>
      <c r="H69" s="15" t="s">
        <v>1070</v>
      </c>
      <c r="I69" s="15" t="s">
        <v>1042</v>
      </c>
      <c r="J69" s="15" t="s">
        <v>1071</v>
      </c>
      <c r="K69" s="8" t="n">
        <v>11</v>
      </c>
      <c r="L69" s="8" t="n">
        <v>57</v>
      </c>
      <c r="M69" s="8" t="n">
        <v>3</v>
      </c>
      <c r="N69" s="8" t="n">
        <v>14</v>
      </c>
      <c r="O69" s="8" t="n">
        <v>8</v>
      </c>
      <c r="P69" s="9" t="n">
        <v>36.1383283939804</v>
      </c>
      <c r="Q69" s="10" t="n">
        <v>0.0276714514600119</v>
      </c>
      <c r="R69" s="9" t="n">
        <v>29</v>
      </c>
      <c r="S69" s="12" t="n">
        <f aca="false">IF(AND(ISNUMBER(R69),R69&gt;1,P69&gt;0),R69/P69-1,"")</f>
        <v>-0.197527907659654</v>
      </c>
      <c r="T69" s="9" t="n">
        <f aca="false">IF(AND(ISNUMBER(P69),P69&gt;0),P69*EXP('Read me'!$B$22),"")</f>
        <v>44.1394539757057</v>
      </c>
    </row>
    <row r="70" customFormat="false" ht="15" hidden="false" customHeight="false" outlineLevel="0" collapsed="false">
      <c r="A70" s="15" t="s">
        <v>286</v>
      </c>
      <c r="B70" s="15" t="s">
        <v>194</v>
      </c>
      <c r="C70" s="15" t="s">
        <v>287</v>
      </c>
      <c r="D70" s="15" t="s">
        <v>370</v>
      </c>
      <c r="E70" s="16" t="n">
        <v>8.5</v>
      </c>
      <c r="F70" s="15" t="s">
        <v>805</v>
      </c>
      <c r="G70" s="8" t="n">
        <v>12</v>
      </c>
      <c r="H70" s="15" t="s">
        <v>1072</v>
      </c>
      <c r="I70" s="15" t="s">
        <v>901</v>
      </c>
      <c r="J70" s="15" t="s">
        <v>902</v>
      </c>
      <c r="K70" s="8" t="n">
        <v>12</v>
      </c>
      <c r="L70" s="8" t="n">
        <v>46</v>
      </c>
      <c r="M70" s="8" t="n">
        <v>3</v>
      </c>
      <c r="N70" s="8" t="n">
        <v>33</v>
      </c>
      <c r="O70" s="8" t="n">
        <v>9</v>
      </c>
      <c r="P70" s="9" t="n">
        <v>36.2044175276392</v>
      </c>
      <c r="Q70" s="10" t="n">
        <v>0.0276209387773351</v>
      </c>
      <c r="R70" s="9" t="n">
        <v>12</v>
      </c>
      <c r="S70" s="12" t="n">
        <f aca="false">IF(AND(ISNUMBER(R70),R70&gt;1,P70&gt;0),R70/P70-1,"")</f>
        <v>-0.668548734671978</v>
      </c>
      <c r="T70" s="9" t="n">
        <f aca="false">IF(AND(ISNUMBER(P70),P70&gt;0),P70*EXP('Read me'!$B$22),"")</f>
        <v>44.2201754258409</v>
      </c>
    </row>
    <row r="71" customFormat="false" ht="15" hidden="false" customHeight="false" outlineLevel="0" collapsed="false">
      <c r="A71" s="15" t="s">
        <v>286</v>
      </c>
      <c r="B71" s="15" t="s">
        <v>194</v>
      </c>
      <c r="C71" s="15" t="s">
        <v>287</v>
      </c>
      <c r="D71" s="15" t="s">
        <v>370</v>
      </c>
      <c r="E71" s="16" t="n">
        <v>8.5</v>
      </c>
      <c r="F71" s="15" t="s">
        <v>805</v>
      </c>
      <c r="G71" s="8" t="n">
        <v>12</v>
      </c>
      <c r="H71" s="15" t="s">
        <v>1073</v>
      </c>
      <c r="I71" s="15" t="s">
        <v>1056</v>
      </c>
      <c r="J71" s="15" t="s">
        <v>915</v>
      </c>
      <c r="K71" s="8" t="n">
        <v>3</v>
      </c>
      <c r="L71" s="8" t="n">
        <v>55</v>
      </c>
      <c r="M71" s="8" t="n">
        <v>3</v>
      </c>
      <c r="N71" s="8" t="n">
        <v>12</v>
      </c>
      <c r="O71" s="8" t="n">
        <v>10</v>
      </c>
      <c r="P71" s="9" t="n">
        <v>39.5099732853838</v>
      </c>
      <c r="Q71" s="10" t="n">
        <v>0.0253100652024469</v>
      </c>
      <c r="R71" s="9" t="n">
        <v>17</v>
      </c>
      <c r="S71" s="12" t="n">
        <f aca="false">IF(AND(ISNUMBER(R71),R71&gt;1,P71&gt;0),R71/P71-1,"")</f>
        <v>-0.569728891558402</v>
      </c>
      <c r="T71" s="9" t="n">
        <f aca="false">IF(AND(ISNUMBER(P71),P71&gt;0),P71*EXP('Read me'!$B$22),"")</f>
        <v>48.2575903456024</v>
      </c>
    </row>
    <row r="72" customFormat="false" ht="15" hidden="false" customHeight="false" outlineLevel="0" collapsed="false">
      <c r="A72" s="15" t="s">
        <v>286</v>
      </c>
      <c r="B72" s="15" t="s">
        <v>194</v>
      </c>
      <c r="C72" s="15" t="s">
        <v>287</v>
      </c>
      <c r="D72" s="15" t="s">
        <v>370</v>
      </c>
      <c r="E72" s="16" t="n">
        <v>8.5</v>
      </c>
      <c r="F72" s="15" t="s">
        <v>805</v>
      </c>
      <c r="G72" s="8" t="n">
        <v>12</v>
      </c>
      <c r="H72" s="15" t="s">
        <v>1074</v>
      </c>
      <c r="I72" s="15" t="s">
        <v>277</v>
      </c>
      <c r="J72" s="15" t="s">
        <v>936</v>
      </c>
      <c r="K72" s="8" t="n">
        <v>4</v>
      </c>
      <c r="L72" s="8" t="n">
        <v>46</v>
      </c>
      <c r="M72" s="8" t="n">
        <v>3</v>
      </c>
      <c r="N72" s="8" t="n">
        <v>21</v>
      </c>
      <c r="O72" s="8" t="n">
        <v>11</v>
      </c>
      <c r="P72" s="9" t="n">
        <v>75.117225019347</v>
      </c>
      <c r="Q72" s="10" t="n">
        <v>0.0133125258519925</v>
      </c>
      <c r="R72" s="9" t="n">
        <v>34</v>
      </c>
      <c r="S72" s="12" t="n">
        <f aca="false">IF(AND(ISNUMBER(R72),R72&gt;1,P72&gt;0),R72/P72-1,"")</f>
        <v>-0.547374121032253</v>
      </c>
      <c r="T72" s="9" t="n">
        <f aca="false">IF(AND(ISNUMBER(P72),P72&gt;0),P72*EXP('Read me'!$B$22),"")</f>
        <v>91.7483858239686</v>
      </c>
    </row>
    <row r="73" customFormat="false" ht="15" hidden="false" customHeight="false" outlineLevel="0" collapsed="false">
      <c r="A73" s="15" t="s">
        <v>286</v>
      </c>
      <c r="B73" s="15" t="s">
        <v>194</v>
      </c>
      <c r="C73" s="15" t="s">
        <v>287</v>
      </c>
      <c r="D73" s="15" t="s">
        <v>370</v>
      </c>
      <c r="E73" s="16" t="n">
        <v>8.5</v>
      </c>
      <c r="F73" s="15" t="s">
        <v>805</v>
      </c>
      <c r="G73" s="8" t="n">
        <v>12</v>
      </c>
      <c r="H73" s="15" t="s">
        <v>1075</v>
      </c>
      <c r="I73" s="15" t="s">
        <v>906</v>
      </c>
      <c r="J73" s="15" t="s">
        <v>1032</v>
      </c>
      <c r="K73" s="8" t="n">
        <v>10</v>
      </c>
      <c r="L73" s="8" t="n">
        <v>46</v>
      </c>
      <c r="M73" s="8" t="n">
        <v>3</v>
      </c>
      <c r="N73" s="8" t="n">
        <v>28</v>
      </c>
      <c r="O73" s="8" t="n">
        <v>12</v>
      </c>
      <c r="P73" s="9" t="n">
        <v>563.100972395957</v>
      </c>
      <c r="Q73" s="10" t="n">
        <v>0.0017758804353419</v>
      </c>
      <c r="R73" s="9" t="n">
        <v>101</v>
      </c>
      <c r="S73" s="12" t="n">
        <f aca="false">IF(AND(ISNUMBER(R73),R73&gt;1,P73&gt;0),R73/P73-1,"")</f>
        <v>-0.820636076030464</v>
      </c>
      <c r="T73" s="9" t="n">
        <f aca="false">IF(AND(ISNUMBER(P73),P73&gt;0),P73*EXP('Read me'!$B$22),"")</f>
        <v>687.773080807095</v>
      </c>
    </row>
    <row r="74" customFormat="false" ht="15" hidden="false" customHeight="false" outlineLevel="0" collapsed="false">
      <c r="A74" s="15" t="s">
        <v>291</v>
      </c>
      <c r="B74" s="15" t="s">
        <v>194</v>
      </c>
      <c r="C74" s="15" t="s">
        <v>292</v>
      </c>
      <c r="D74" s="15" t="s">
        <v>418</v>
      </c>
      <c r="E74" s="16" t="n">
        <v>5</v>
      </c>
      <c r="F74" s="15" t="s">
        <v>805</v>
      </c>
      <c r="G74" s="8" t="n">
        <v>8</v>
      </c>
      <c r="H74" s="15" t="s">
        <v>293</v>
      </c>
      <c r="I74" s="15" t="s">
        <v>294</v>
      </c>
      <c r="J74" s="15" t="s">
        <v>295</v>
      </c>
      <c r="K74" s="8" t="n">
        <v>2</v>
      </c>
      <c r="L74" s="8" t="n">
        <v>75</v>
      </c>
      <c r="M74" s="8" t="n">
        <v>5</v>
      </c>
      <c r="N74" s="8" t="n">
        <v>27</v>
      </c>
      <c r="O74" s="8" t="n">
        <v>1</v>
      </c>
      <c r="P74" s="9" t="n">
        <v>3.93299965613433</v>
      </c>
      <c r="Q74" s="10" t="n">
        <v>0.254258857724611</v>
      </c>
      <c r="R74" s="9" t="n">
        <v>3.75</v>
      </c>
      <c r="S74" s="12" t="n">
        <f aca="false">IF(AND(ISNUMBER(R74),R74&gt;1,P74&gt;0),R74/P74-1,"")</f>
        <v>-0.0465292835327102</v>
      </c>
      <c r="T74" s="9" t="n">
        <f aca="false">IF(AND(ISNUMBER(P74),P74&gt;0),P74*EXP('Read me'!$B$22),"")</f>
        <v>4.80377662784547</v>
      </c>
    </row>
    <row r="75" customFormat="false" ht="15" hidden="false" customHeight="false" outlineLevel="0" collapsed="false">
      <c r="A75" s="15" t="s">
        <v>291</v>
      </c>
      <c r="B75" s="15" t="s">
        <v>194</v>
      </c>
      <c r="C75" s="15" t="s">
        <v>292</v>
      </c>
      <c r="D75" s="15" t="s">
        <v>418</v>
      </c>
      <c r="E75" s="16" t="n">
        <v>5</v>
      </c>
      <c r="F75" s="15" t="s">
        <v>805</v>
      </c>
      <c r="G75" s="8" t="n">
        <v>8</v>
      </c>
      <c r="H75" s="15" t="s">
        <v>296</v>
      </c>
      <c r="I75" s="15" t="s">
        <v>261</v>
      </c>
      <c r="J75" s="15" t="s">
        <v>563</v>
      </c>
      <c r="K75" s="8" t="n">
        <v>6</v>
      </c>
      <c r="L75" s="8" t="n">
        <v>71</v>
      </c>
      <c r="M75" s="8" t="n">
        <v>6</v>
      </c>
      <c r="N75" s="8" t="n">
        <v>20</v>
      </c>
      <c r="O75" s="8" t="n">
        <v>2</v>
      </c>
      <c r="P75" s="9" t="n">
        <v>5.11257268881692</v>
      </c>
      <c r="Q75" s="10" t="n">
        <v>0.195596241044625</v>
      </c>
      <c r="R75" s="9" t="n">
        <v>3.5</v>
      </c>
      <c r="S75" s="12" t="n">
        <f aca="false">IF(AND(ISNUMBER(R75),R75&gt;1,P75&gt;0),R75/P75-1,"")</f>
        <v>-0.315413156343813</v>
      </c>
      <c r="T75" s="9" t="n">
        <f aca="false">IF(AND(ISNUMBER(P75),P75&gt;0),P75*EXP('Read me'!$B$22),"")</f>
        <v>6.24451038341534</v>
      </c>
    </row>
    <row r="76" customFormat="false" ht="15" hidden="false" customHeight="false" outlineLevel="0" collapsed="false">
      <c r="A76" s="15" t="s">
        <v>291</v>
      </c>
      <c r="B76" s="15" t="s">
        <v>194</v>
      </c>
      <c r="C76" s="15" t="s">
        <v>292</v>
      </c>
      <c r="D76" s="15" t="s">
        <v>418</v>
      </c>
      <c r="E76" s="16" t="n">
        <v>5</v>
      </c>
      <c r="F76" s="15" t="s">
        <v>805</v>
      </c>
      <c r="G76" s="8" t="n">
        <v>8</v>
      </c>
      <c r="H76" s="15" t="s">
        <v>1076</v>
      </c>
      <c r="I76" s="15" t="s">
        <v>887</v>
      </c>
      <c r="J76" s="15" t="s">
        <v>262</v>
      </c>
      <c r="K76" s="8" t="n">
        <v>1</v>
      </c>
      <c r="L76" s="8" t="n">
        <v>75</v>
      </c>
      <c r="M76" s="8" t="n">
        <v>3</v>
      </c>
      <c r="N76" s="8" t="n">
        <v>58</v>
      </c>
      <c r="O76" s="8" t="n">
        <v>3</v>
      </c>
      <c r="P76" s="9" t="n">
        <v>6.69395358633963</v>
      </c>
      <c r="Q76" s="10" t="n">
        <v>0.149388547007661</v>
      </c>
      <c r="R76" s="9" t="n">
        <v>5.5</v>
      </c>
      <c r="S76" s="12" t="n">
        <f aca="false">IF(AND(ISNUMBER(R76),R76&gt;1,P76&gt;0),R76/P76-1,"")</f>
        <v>-0.178362991457863</v>
      </c>
      <c r="T76" s="9" t="n">
        <f aca="false">IF(AND(ISNUMBER(P76),P76&gt;0),P76*EXP('Read me'!$B$22),"")</f>
        <v>8.17601337335138</v>
      </c>
    </row>
    <row r="77" customFormat="false" ht="15" hidden="false" customHeight="false" outlineLevel="0" collapsed="false">
      <c r="A77" s="15" t="s">
        <v>291</v>
      </c>
      <c r="B77" s="15" t="s">
        <v>194</v>
      </c>
      <c r="C77" s="15" t="s">
        <v>292</v>
      </c>
      <c r="D77" s="15" t="s">
        <v>418</v>
      </c>
      <c r="E77" s="16" t="n">
        <v>5</v>
      </c>
      <c r="F77" s="15" t="s">
        <v>805</v>
      </c>
      <c r="G77" s="8" t="n">
        <v>8</v>
      </c>
      <c r="H77" s="15" t="s">
        <v>1077</v>
      </c>
      <c r="I77" s="15" t="s">
        <v>898</v>
      </c>
      <c r="J77" s="15" t="s">
        <v>1078</v>
      </c>
      <c r="K77" s="8" t="n">
        <v>7</v>
      </c>
      <c r="L77" s="8" t="n">
        <v>74</v>
      </c>
      <c r="M77" s="8" t="n">
        <v>3</v>
      </c>
      <c r="N77" s="8" t="n">
        <v>15</v>
      </c>
      <c r="O77" s="8" t="n">
        <v>4</v>
      </c>
      <c r="P77" s="9" t="n">
        <v>7.78551586667831</v>
      </c>
      <c r="Q77" s="10" t="n">
        <v>0.128443640360424</v>
      </c>
      <c r="R77" s="9" t="n">
        <v>7.5</v>
      </c>
      <c r="S77" s="12" t="n">
        <f aca="false">IF(AND(ISNUMBER(R77),R77&gt;1,P77&gt;0),R77/P77-1,"")</f>
        <v>-0.0366726972968231</v>
      </c>
      <c r="T77" s="9" t="n">
        <f aca="false">IF(AND(ISNUMBER(P77),P77&gt;0),P77*EXP('Read me'!$B$22),"")</f>
        <v>9.50925055326065</v>
      </c>
    </row>
    <row r="78" customFormat="false" ht="15" hidden="false" customHeight="false" outlineLevel="0" collapsed="false">
      <c r="A78" s="15" t="s">
        <v>291</v>
      </c>
      <c r="B78" s="15" t="s">
        <v>194</v>
      </c>
      <c r="C78" s="15" t="s">
        <v>292</v>
      </c>
      <c r="D78" s="15" t="s">
        <v>418</v>
      </c>
      <c r="E78" s="16" t="n">
        <v>5</v>
      </c>
      <c r="F78" s="15" t="s">
        <v>805</v>
      </c>
      <c r="G78" s="8" t="n">
        <v>8</v>
      </c>
      <c r="H78" s="15" t="s">
        <v>1079</v>
      </c>
      <c r="I78" s="15" t="s">
        <v>1068</v>
      </c>
      <c r="J78" s="15" t="s">
        <v>1080</v>
      </c>
      <c r="K78" s="8" t="n">
        <v>8</v>
      </c>
      <c r="L78" s="8" t="n">
        <v>73</v>
      </c>
      <c r="M78" s="8" t="n">
        <v>3</v>
      </c>
      <c r="N78" s="8" t="n">
        <v>21</v>
      </c>
      <c r="O78" s="8" t="n">
        <v>5</v>
      </c>
      <c r="P78" s="9" t="n">
        <v>8.59887720351826</v>
      </c>
      <c r="Q78" s="10" t="n">
        <v>0.116294252881161</v>
      </c>
      <c r="R78" s="9" t="n">
        <v>10</v>
      </c>
      <c r="S78" s="12" t="n">
        <f aca="false">IF(AND(ISNUMBER(R78),R78&gt;1,P78&gt;0),R78/P78-1,"")</f>
        <v>0.162942528811607</v>
      </c>
      <c r="T78" s="9" t="n">
        <f aca="false">IF(AND(ISNUMBER(P78),P78&gt;0),P78*EXP('Read me'!$B$22),"")</f>
        <v>10.5026923334578</v>
      </c>
    </row>
    <row r="79" customFormat="false" ht="15" hidden="false" customHeight="false" outlineLevel="0" collapsed="false">
      <c r="A79" s="15" t="s">
        <v>291</v>
      </c>
      <c r="B79" s="15" t="s">
        <v>194</v>
      </c>
      <c r="C79" s="15" t="s">
        <v>292</v>
      </c>
      <c r="D79" s="15" t="s">
        <v>418</v>
      </c>
      <c r="E79" s="16" t="n">
        <v>5</v>
      </c>
      <c r="F79" s="15" t="s">
        <v>805</v>
      </c>
      <c r="G79" s="8" t="n">
        <v>8</v>
      </c>
      <c r="H79" s="15" t="s">
        <v>1081</v>
      </c>
      <c r="I79" s="15" t="s">
        <v>1056</v>
      </c>
      <c r="J79" s="15" t="s">
        <v>915</v>
      </c>
      <c r="K79" s="8" t="n">
        <v>5</v>
      </c>
      <c r="L79" s="8" t="n">
        <v>72</v>
      </c>
      <c r="M79" s="8" t="n">
        <v>3</v>
      </c>
      <c r="N79" s="8" t="n">
        <v>17</v>
      </c>
      <c r="O79" s="8" t="n">
        <v>6</v>
      </c>
      <c r="P79" s="9" t="n">
        <v>14.616674141153</v>
      </c>
      <c r="Q79" s="10" t="n">
        <v>0.0684150163260817</v>
      </c>
      <c r="R79" s="9" t="n">
        <v>9.5</v>
      </c>
      <c r="S79" s="12" t="n">
        <f aca="false">IF(AND(ISNUMBER(R79),R79&gt;1,P79&gt;0),R79/P79-1,"")</f>
        <v>-0.350057344902224</v>
      </c>
      <c r="T79" s="9" t="n">
        <f aca="false">IF(AND(ISNUMBER(P79),P79&gt;0),P79*EXP('Read me'!$B$22),"")</f>
        <v>17.8528461111327</v>
      </c>
    </row>
    <row r="80" customFormat="false" ht="15" hidden="false" customHeight="false" outlineLevel="0" collapsed="false">
      <c r="A80" s="15" t="s">
        <v>291</v>
      </c>
      <c r="B80" s="15" t="s">
        <v>194</v>
      </c>
      <c r="C80" s="15" t="s">
        <v>292</v>
      </c>
      <c r="D80" s="15" t="s">
        <v>418</v>
      </c>
      <c r="E80" s="16" t="n">
        <v>5</v>
      </c>
      <c r="F80" s="15" t="s">
        <v>805</v>
      </c>
      <c r="G80" s="8" t="n">
        <v>8</v>
      </c>
      <c r="H80" s="15" t="s">
        <v>1082</v>
      </c>
      <c r="I80" s="15" t="s">
        <v>1027</v>
      </c>
      <c r="J80" s="15" t="s">
        <v>915</v>
      </c>
      <c r="K80" s="8" t="n">
        <v>3</v>
      </c>
      <c r="L80" s="8" t="n">
        <v>71</v>
      </c>
      <c r="M80" s="8" t="n">
        <v>3</v>
      </c>
      <c r="N80" s="8" t="n">
        <v>27</v>
      </c>
      <c r="O80" s="8" t="n">
        <v>7</v>
      </c>
      <c r="P80" s="9" t="n">
        <v>22.0363079584098</v>
      </c>
      <c r="Q80" s="10" t="n">
        <v>0.0453796526118327</v>
      </c>
      <c r="R80" s="9" t="n">
        <v>29</v>
      </c>
      <c r="S80" s="12" t="n">
        <f aca="false">IF(AND(ISNUMBER(R80),R80&gt;1,P80&gt;0),R80/P80-1,"")</f>
        <v>0.31600992574315</v>
      </c>
      <c r="T80" s="9" t="n">
        <f aca="false">IF(AND(ISNUMBER(P80),P80&gt;0),P80*EXP('Read me'!$B$22),"")</f>
        <v>26.9152073200686</v>
      </c>
    </row>
    <row r="81" customFormat="false" ht="15" hidden="false" customHeight="false" outlineLevel="0" collapsed="false">
      <c r="A81" s="15" t="s">
        <v>291</v>
      </c>
      <c r="B81" s="15" t="s">
        <v>194</v>
      </c>
      <c r="C81" s="15" t="s">
        <v>292</v>
      </c>
      <c r="D81" s="15" t="s">
        <v>418</v>
      </c>
      <c r="E81" s="16" t="n">
        <v>5</v>
      </c>
      <c r="F81" s="15" t="s">
        <v>805</v>
      </c>
      <c r="G81" s="8" t="n">
        <v>8</v>
      </c>
      <c r="H81" s="15" t="s">
        <v>1083</v>
      </c>
      <c r="I81" s="15" t="s">
        <v>283</v>
      </c>
      <c r="J81" s="15" t="s">
        <v>1071</v>
      </c>
      <c r="K81" s="8" t="n">
        <v>4</v>
      </c>
      <c r="L81" s="8" t="n">
        <v>67</v>
      </c>
      <c r="M81" s="8" t="n">
        <v>3</v>
      </c>
      <c r="N81" s="8" t="n">
        <v>14</v>
      </c>
      <c r="O81" s="8" t="n">
        <v>8</v>
      </c>
      <c r="P81" s="9" t="n">
        <v>23.6833299805782</v>
      </c>
      <c r="Q81" s="10" t="n">
        <v>0.0422237920436046</v>
      </c>
      <c r="R81" s="9" t="n">
        <v>17</v>
      </c>
      <c r="S81" s="12" t="n">
        <f aca="false">IF(AND(ISNUMBER(R81),R81&gt;1,P81&gt;0),R81/P81-1,"")</f>
        <v>-0.282195535258721</v>
      </c>
      <c r="T81" s="9" t="n">
        <f aca="false">IF(AND(ISNUMBER(P81),P81&gt;0),P81*EXP('Read me'!$B$22),"")</f>
        <v>28.9268845606956</v>
      </c>
    </row>
    <row r="82" customFormat="false" ht="15" hidden="false" customHeight="false" outlineLevel="0" collapsed="false">
      <c r="A82" s="15" t="s">
        <v>297</v>
      </c>
      <c r="B82" s="15" t="s">
        <v>194</v>
      </c>
      <c r="C82" s="15" t="s">
        <v>298</v>
      </c>
      <c r="D82" s="15" t="s">
        <v>418</v>
      </c>
      <c r="E82" s="16" t="n">
        <v>9.5</v>
      </c>
      <c r="F82" s="15" t="s">
        <v>805</v>
      </c>
      <c r="G82" s="8" t="n">
        <v>11</v>
      </c>
      <c r="H82" s="15" t="s">
        <v>299</v>
      </c>
      <c r="I82" s="15" t="s">
        <v>283</v>
      </c>
      <c r="J82" s="15" t="s">
        <v>300</v>
      </c>
      <c r="K82" s="8" t="n">
        <v>12</v>
      </c>
      <c r="L82" s="8" t="n">
        <v>65</v>
      </c>
      <c r="M82" s="8" t="n">
        <v>3</v>
      </c>
      <c r="N82" s="8" t="n">
        <v>7</v>
      </c>
      <c r="O82" s="8" t="n">
        <v>1</v>
      </c>
      <c r="P82" s="9" t="n">
        <v>3.18567540849695</v>
      </c>
      <c r="Q82" s="10" t="n">
        <v>0.313905176068084</v>
      </c>
      <c r="R82" s="9" t="n">
        <v>2.25</v>
      </c>
      <c r="S82" s="12" t="n">
        <f aca="false">IF(AND(ISNUMBER(R82),R82&gt;1,P82&gt;0),R82/P82-1,"")</f>
        <v>-0.293713353846811</v>
      </c>
      <c r="T82" s="9" t="n">
        <f aca="false">IF(AND(ISNUMBER(P82),P82&gt;0),P82*EXP('Read me'!$B$22),"")</f>
        <v>3.8909927305412</v>
      </c>
    </row>
    <row r="83" customFormat="false" ht="15" hidden="false" customHeight="false" outlineLevel="0" collapsed="false">
      <c r="A83" s="15" t="s">
        <v>297</v>
      </c>
      <c r="B83" s="15" t="s">
        <v>194</v>
      </c>
      <c r="C83" s="15" t="s">
        <v>298</v>
      </c>
      <c r="D83" s="15" t="s">
        <v>418</v>
      </c>
      <c r="E83" s="16" t="n">
        <v>9.5</v>
      </c>
      <c r="F83" s="15" t="s">
        <v>805</v>
      </c>
      <c r="G83" s="8" t="n">
        <v>11</v>
      </c>
      <c r="H83" s="15" t="s">
        <v>301</v>
      </c>
      <c r="I83" s="15" t="s">
        <v>890</v>
      </c>
      <c r="J83" s="15" t="s">
        <v>891</v>
      </c>
      <c r="K83" s="8" t="n">
        <v>3</v>
      </c>
      <c r="L83" s="8" t="n">
        <v>61</v>
      </c>
      <c r="M83" s="8" t="n">
        <v>3</v>
      </c>
      <c r="N83" s="8" t="n">
        <v>63</v>
      </c>
      <c r="O83" s="8" t="n">
        <v>2</v>
      </c>
      <c r="P83" s="9" t="n">
        <v>5.17923914596439</v>
      </c>
      <c r="Q83" s="10" t="n">
        <v>0.193078553010859</v>
      </c>
      <c r="R83" s="9" t="n">
        <v>6</v>
      </c>
      <c r="S83" s="12" t="n">
        <f aca="false">IF(AND(ISNUMBER(R83),R83&gt;1,P83&gt;0),R83/P83-1,"")</f>
        <v>0.158471318065151</v>
      </c>
      <c r="T83" s="9" t="n">
        <f aca="false">IF(AND(ISNUMBER(P83),P83&gt;0),P83*EXP('Read me'!$B$22),"")</f>
        <v>6.32593697805203</v>
      </c>
    </row>
    <row r="84" customFormat="false" ht="15" hidden="false" customHeight="false" outlineLevel="0" collapsed="false">
      <c r="A84" s="15" t="s">
        <v>297</v>
      </c>
      <c r="B84" s="15" t="s">
        <v>194</v>
      </c>
      <c r="C84" s="15" t="s">
        <v>298</v>
      </c>
      <c r="D84" s="15" t="s">
        <v>418</v>
      </c>
      <c r="E84" s="16" t="n">
        <v>9.5</v>
      </c>
      <c r="F84" s="15" t="s">
        <v>805</v>
      </c>
      <c r="G84" s="8" t="n">
        <v>11</v>
      </c>
      <c r="H84" s="15" t="s">
        <v>1084</v>
      </c>
      <c r="I84" s="15" t="s">
        <v>965</v>
      </c>
      <c r="J84" s="15" t="s">
        <v>1085</v>
      </c>
      <c r="K84" s="8" t="n">
        <v>5</v>
      </c>
      <c r="L84" s="8" t="n">
        <v>68</v>
      </c>
      <c r="M84" s="8" t="n">
        <v>3</v>
      </c>
      <c r="N84" s="8" t="n">
        <v>24</v>
      </c>
      <c r="O84" s="8" t="n">
        <v>3</v>
      </c>
      <c r="P84" s="9" t="n">
        <v>8.25153082199945</v>
      </c>
      <c r="Q84" s="10" t="n">
        <v>0.121189633968753</v>
      </c>
      <c r="R84" s="9" t="n">
        <v>3.75</v>
      </c>
      <c r="S84" s="12" t="n">
        <f aca="false">IF(AND(ISNUMBER(R84),R84&gt;1,P84&gt;0),R84/P84-1,"")</f>
        <v>-0.545538872617175</v>
      </c>
      <c r="T84" s="9" t="n">
        <f aca="false">IF(AND(ISNUMBER(P84),P84&gt;0),P84*EXP('Read me'!$B$22),"")</f>
        <v>10.0784425050338</v>
      </c>
    </row>
    <row r="85" customFormat="false" ht="15" hidden="false" customHeight="false" outlineLevel="0" collapsed="false">
      <c r="A85" s="15" t="s">
        <v>297</v>
      </c>
      <c r="B85" s="15" t="s">
        <v>194</v>
      </c>
      <c r="C85" s="15" t="s">
        <v>298</v>
      </c>
      <c r="D85" s="15" t="s">
        <v>418</v>
      </c>
      <c r="E85" s="16" t="n">
        <v>9.5</v>
      </c>
      <c r="F85" s="15" t="s">
        <v>805</v>
      </c>
      <c r="G85" s="8" t="n">
        <v>11</v>
      </c>
      <c r="H85" s="15" t="s">
        <v>1086</v>
      </c>
      <c r="I85" s="15" t="s">
        <v>294</v>
      </c>
      <c r="J85" s="15" t="s">
        <v>969</v>
      </c>
      <c r="K85" s="8" t="n">
        <v>7</v>
      </c>
      <c r="L85" s="8" t="n">
        <v>69</v>
      </c>
      <c r="M85" s="8" t="n">
        <v>3</v>
      </c>
      <c r="N85" s="8" t="n">
        <v>27</v>
      </c>
      <c r="O85" s="8" t="n">
        <v>4</v>
      </c>
      <c r="P85" s="9" t="n">
        <v>9.58766217282298</v>
      </c>
      <c r="Q85" s="10" t="n">
        <v>0.10430071293444</v>
      </c>
      <c r="R85" s="9" t="n">
        <v>13</v>
      </c>
      <c r="S85" s="12" t="n">
        <f aca="false">IF(AND(ISNUMBER(R85),R85&gt;1,P85&gt;0),R85/P85-1,"")</f>
        <v>0.355909268147721</v>
      </c>
      <c r="T85" s="9" t="n">
        <f aca="false">IF(AND(ISNUMBER(P85),P85&gt;0),P85*EXP('Read me'!$B$22),"")</f>
        <v>11.7103970221939</v>
      </c>
    </row>
    <row r="86" customFormat="false" ht="15" hidden="false" customHeight="false" outlineLevel="0" collapsed="false">
      <c r="A86" s="15" t="s">
        <v>297</v>
      </c>
      <c r="B86" s="15" t="s">
        <v>194</v>
      </c>
      <c r="C86" s="15" t="s">
        <v>298</v>
      </c>
      <c r="D86" s="15" t="s">
        <v>418</v>
      </c>
      <c r="E86" s="16" t="n">
        <v>9.5</v>
      </c>
      <c r="F86" s="15" t="s">
        <v>805</v>
      </c>
      <c r="G86" s="8" t="n">
        <v>11</v>
      </c>
      <c r="H86" s="15" t="s">
        <v>1087</v>
      </c>
      <c r="I86" s="15" t="s">
        <v>261</v>
      </c>
      <c r="J86" s="15" t="s">
        <v>458</v>
      </c>
      <c r="K86" s="8" t="n">
        <v>2</v>
      </c>
      <c r="L86" s="8" t="n">
        <v>64</v>
      </c>
      <c r="M86" s="8" t="n">
        <v>3</v>
      </c>
      <c r="N86" s="8" t="n">
        <v>17</v>
      </c>
      <c r="O86" s="8" t="n">
        <v>5</v>
      </c>
      <c r="P86" s="9" t="n">
        <v>14.7063927535275</v>
      </c>
      <c r="Q86" s="10" t="n">
        <v>0.0679976399895984</v>
      </c>
      <c r="R86" s="9" t="n">
        <v>23</v>
      </c>
      <c r="S86" s="12" t="n">
        <f aca="false">IF(AND(ISNUMBER(R86),R86&gt;1,P86&gt;0),R86/P86-1,"")</f>
        <v>0.563945719760765</v>
      </c>
      <c r="T86" s="9" t="n">
        <f aca="false">IF(AND(ISNUMBER(P86),P86&gt;0),P86*EXP('Read me'!$B$22),"")</f>
        <v>17.9624286717452</v>
      </c>
    </row>
    <row r="87" customFormat="false" ht="15" hidden="false" customHeight="false" outlineLevel="0" collapsed="false">
      <c r="A87" s="15" t="s">
        <v>297</v>
      </c>
      <c r="B87" s="15" t="s">
        <v>194</v>
      </c>
      <c r="C87" s="15" t="s">
        <v>298</v>
      </c>
      <c r="D87" s="15" t="s">
        <v>418</v>
      </c>
      <c r="E87" s="16" t="n">
        <v>9.5</v>
      </c>
      <c r="F87" s="15" t="s">
        <v>805</v>
      </c>
      <c r="G87" s="8" t="n">
        <v>11</v>
      </c>
      <c r="H87" s="15" t="s">
        <v>1088</v>
      </c>
      <c r="I87" s="15" t="s">
        <v>1029</v>
      </c>
      <c r="J87" s="15" t="s">
        <v>1089</v>
      </c>
      <c r="K87" s="8" t="n">
        <v>4</v>
      </c>
      <c r="L87" s="8" t="n">
        <v>69</v>
      </c>
      <c r="M87" s="8" t="n">
        <v>3</v>
      </c>
      <c r="N87" s="8" t="n">
        <v>17</v>
      </c>
      <c r="O87" s="8" t="n">
        <v>6</v>
      </c>
      <c r="P87" s="9" t="n">
        <v>14.7541572842031</v>
      </c>
      <c r="Q87" s="10" t="n">
        <v>0.0677775070942664</v>
      </c>
      <c r="R87" s="9" t="n">
        <v>23</v>
      </c>
      <c r="S87" s="12" t="n">
        <f aca="false">IF(AND(ISNUMBER(R87),R87&gt;1,P87&gt;0),R87/P87-1,"")</f>
        <v>0.558882663168128</v>
      </c>
      <c r="T87" s="9" t="n">
        <f aca="false">IF(AND(ISNUMBER(P87),P87&gt;0),P87*EXP('Read me'!$B$22),"")</f>
        <v>18.0207684012547</v>
      </c>
    </row>
    <row r="88" customFormat="false" ht="15" hidden="false" customHeight="false" outlineLevel="0" collapsed="false">
      <c r="A88" s="15" t="s">
        <v>297</v>
      </c>
      <c r="B88" s="15" t="s">
        <v>194</v>
      </c>
      <c r="C88" s="15" t="s">
        <v>298</v>
      </c>
      <c r="D88" s="15" t="s">
        <v>418</v>
      </c>
      <c r="E88" s="16" t="n">
        <v>9.5</v>
      </c>
      <c r="F88" s="15" t="s">
        <v>805</v>
      </c>
      <c r="G88" s="8" t="n">
        <v>11</v>
      </c>
      <c r="H88" s="15" t="s">
        <v>1090</v>
      </c>
      <c r="I88" s="15" t="s">
        <v>967</v>
      </c>
      <c r="J88" s="15" t="s">
        <v>1091</v>
      </c>
      <c r="K88" s="8" t="n">
        <v>9</v>
      </c>
      <c r="L88" s="8" t="n">
        <v>64</v>
      </c>
      <c r="M88" s="8" t="n">
        <v>3</v>
      </c>
      <c r="N88" s="8" t="n">
        <v>27</v>
      </c>
      <c r="O88" s="8" t="n">
        <v>7</v>
      </c>
      <c r="P88" s="9" t="n">
        <v>17.2767584975407</v>
      </c>
      <c r="Q88" s="10" t="n">
        <v>0.0578812281332951</v>
      </c>
      <c r="R88" s="9" t="n">
        <v>13</v>
      </c>
      <c r="S88" s="12" t="n">
        <f aca="false">IF(AND(ISNUMBER(R88),R88&gt;1,P88&gt;0),R88/P88-1,"")</f>
        <v>-0.247544034267163</v>
      </c>
      <c r="T88" s="9" t="n">
        <f aca="false">IF(AND(ISNUMBER(P88),P88&gt;0),P88*EXP('Read me'!$B$22),"")</f>
        <v>21.1018804809634</v>
      </c>
    </row>
    <row r="89" customFormat="false" ht="15" hidden="false" customHeight="false" outlineLevel="0" collapsed="false">
      <c r="A89" s="15" t="s">
        <v>297</v>
      </c>
      <c r="B89" s="15" t="s">
        <v>194</v>
      </c>
      <c r="C89" s="15" t="s">
        <v>298</v>
      </c>
      <c r="D89" s="15" t="s">
        <v>418</v>
      </c>
      <c r="E89" s="16" t="n">
        <v>9.5</v>
      </c>
      <c r="F89" s="15" t="s">
        <v>805</v>
      </c>
      <c r="G89" s="8" t="n">
        <v>11</v>
      </c>
      <c r="H89" s="15" t="s">
        <v>1092</v>
      </c>
      <c r="I89" s="15" t="s">
        <v>1093</v>
      </c>
      <c r="J89" s="15" t="s">
        <v>679</v>
      </c>
      <c r="K89" s="8" t="n">
        <v>6</v>
      </c>
      <c r="L89" s="8" t="n">
        <v>67</v>
      </c>
      <c r="M89" s="8" t="n">
        <v>3</v>
      </c>
      <c r="N89" s="8" t="n">
        <v>30</v>
      </c>
      <c r="O89" s="8" t="n">
        <v>8</v>
      </c>
      <c r="P89" s="9" t="n">
        <v>29.2673837261009</v>
      </c>
      <c r="Q89" s="10" t="n">
        <v>0.0341677277804708</v>
      </c>
      <c r="R89" s="9" t="n">
        <v>26</v>
      </c>
      <c r="S89" s="12" t="n">
        <f aca="false">IF(AND(ISNUMBER(R89),R89&gt;1,P89&gt;0),R89/P89-1,"")</f>
        <v>-0.111639077707757</v>
      </c>
      <c r="T89" s="9" t="n">
        <f aca="false">IF(AND(ISNUMBER(P89),P89&gt;0),P89*EXP('Read me'!$B$22),"")</f>
        <v>35.7472632071917</v>
      </c>
    </row>
    <row r="90" customFormat="false" ht="15" hidden="false" customHeight="false" outlineLevel="0" collapsed="false">
      <c r="A90" s="15" t="s">
        <v>297</v>
      </c>
      <c r="B90" s="15" t="s">
        <v>194</v>
      </c>
      <c r="C90" s="15" t="s">
        <v>298</v>
      </c>
      <c r="D90" s="15" t="s">
        <v>418</v>
      </c>
      <c r="E90" s="16" t="n">
        <v>9.5</v>
      </c>
      <c r="F90" s="15" t="s">
        <v>805</v>
      </c>
      <c r="G90" s="8" t="n">
        <v>11</v>
      </c>
      <c r="H90" s="15" t="s">
        <v>1094</v>
      </c>
      <c r="I90" s="15" t="s">
        <v>1031</v>
      </c>
      <c r="J90" s="15" t="s">
        <v>1095</v>
      </c>
      <c r="K90" s="8" t="n">
        <v>11</v>
      </c>
      <c r="L90" s="8" t="n">
        <v>69</v>
      </c>
      <c r="M90" s="8" t="n">
        <v>3</v>
      </c>
      <c r="N90" s="8" t="n">
        <v>73</v>
      </c>
      <c r="O90" s="8" t="n">
        <v>9</v>
      </c>
      <c r="P90" s="9" t="n">
        <v>46.7569759358675</v>
      </c>
      <c r="Q90" s="10" t="n">
        <v>0.0213871829814574</v>
      </c>
      <c r="R90" s="9" t="n">
        <v>34</v>
      </c>
      <c r="S90" s="12" t="n">
        <f aca="false">IF(AND(ISNUMBER(R90),R90&gt;1,P90&gt;0),R90/P90-1,"")</f>
        <v>-0.272835778630447</v>
      </c>
      <c r="T90" s="9" t="n">
        <f aca="false">IF(AND(ISNUMBER(P90),P90&gt;0),P90*EXP('Read me'!$B$22),"")</f>
        <v>57.1090993712972</v>
      </c>
    </row>
    <row r="91" customFormat="false" ht="15" hidden="false" customHeight="false" outlineLevel="0" collapsed="false">
      <c r="A91" s="15" t="s">
        <v>297</v>
      </c>
      <c r="B91" s="15" t="s">
        <v>194</v>
      </c>
      <c r="C91" s="15" t="s">
        <v>298</v>
      </c>
      <c r="D91" s="15" t="s">
        <v>418</v>
      </c>
      <c r="E91" s="16" t="n">
        <v>9.5</v>
      </c>
      <c r="F91" s="15" t="s">
        <v>805</v>
      </c>
      <c r="G91" s="8" t="n">
        <v>11</v>
      </c>
      <c r="H91" s="15" t="s">
        <v>1096</v>
      </c>
      <c r="I91" s="15" t="s">
        <v>898</v>
      </c>
      <c r="J91" s="15" t="s">
        <v>902</v>
      </c>
      <c r="K91" s="8" t="n">
        <v>1</v>
      </c>
      <c r="L91" s="8" t="n">
        <v>60</v>
      </c>
      <c r="M91" s="8" t="n">
        <v>3</v>
      </c>
      <c r="N91" s="8" t="n">
        <v>21</v>
      </c>
      <c r="O91" s="8" t="n">
        <v>10</v>
      </c>
      <c r="P91" s="9" t="n">
        <v>69.2941895496817</v>
      </c>
      <c r="Q91" s="10" t="n">
        <v>0.0144312244143216</v>
      </c>
      <c r="R91" s="9" t="n">
        <v>34</v>
      </c>
      <c r="S91" s="12" t="n">
        <f aca="false">IF(AND(ISNUMBER(R91),R91&gt;1,P91&gt;0),R91/P91-1,"")</f>
        <v>-0.509338369913063</v>
      </c>
      <c r="T91" s="9" t="n">
        <f aca="false">IF(AND(ISNUMBER(P91),P91&gt;0),P91*EXP('Read me'!$B$22),"")</f>
        <v>84.6361142404548</v>
      </c>
    </row>
    <row r="92" customFormat="false" ht="15" hidden="false" customHeight="false" outlineLevel="0" collapsed="false">
      <c r="A92" s="15" t="s">
        <v>297</v>
      </c>
      <c r="B92" s="15" t="s">
        <v>194</v>
      </c>
      <c r="C92" s="15" t="s">
        <v>298</v>
      </c>
      <c r="D92" s="15" t="s">
        <v>418</v>
      </c>
      <c r="E92" s="16" t="n">
        <v>9.5</v>
      </c>
      <c r="F92" s="15" t="s">
        <v>805</v>
      </c>
      <c r="G92" s="8" t="n">
        <v>11</v>
      </c>
      <c r="H92" s="15" t="s">
        <v>1097</v>
      </c>
      <c r="I92" s="15" t="s">
        <v>1016</v>
      </c>
      <c r="J92" s="15" t="s">
        <v>632</v>
      </c>
      <c r="K92" s="8" t="n">
        <v>8</v>
      </c>
      <c r="L92" s="8" t="n">
        <v>57</v>
      </c>
      <c r="M92" s="8" t="n">
        <v>3</v>
      </c>
      <c r="N92" s="8" t="n">
        <v>33</v>
      </c>
      <c r="O92" s="8" t="n">
        <v>11</v>
      </c>
      <c r="P92" s="9" t="n">
        <v>257.505405477028</v>
      </c>
      <c r="Q92" s="10" t="n">
        <v>0.0038834136244538</v>
      </c>
      <c r="R92" s="9" t="n">
        <v>67</v>
      </c>
      <c r="S92" s="12" t="n">
        <f aca="false">IF(AND(ISNUMBER(R92),R92&gt;1,P92&gt;0),R92/P92-1,"")</f>
        <v>-0.739811287161593</v>
      </c>
      <c r="T92" s="9" t="n">
        <f aca="false">IF(AND(ISNUMBER(P92),P92&gt;0),P92*EXP('Read me'!$B$22),"")</f>
        <v>314.517812490795</v>
      </c>
    </row>
  </sheetData>
  <autoFilter ref="A1:T92"/>
  <conditionalFormatting sqref="A2:T92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2026-09-28T14:02:50Z</dcterms:created>
  <dc:creator>openpyxl</dc:creator>
  <dc:description/>
  <dc:language>en-US</dc:language>
  <cp:lastModifiedBy/>
  <dcterms:modified xsi:type="dcterms:W3CDTF">2026-09-28T14:02:51Z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