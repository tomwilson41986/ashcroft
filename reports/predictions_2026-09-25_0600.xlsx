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Top picks" sheetId="2" state="visible" r:id="rId4"/>
    <sheet name="All runners" sheetId="3" state="visible" r:id="rId5"/>
    <sheet name="Worcester" sheetId="4" state="visible" r:id="rId6"/>
    <sheet name="Newmarket (Rowley)" sheetId="5" state="visible" r:id="rId7"/>
    <sheet name="Listowel" sheetId="6" state="visible" r:id="rId8"/>
    <sheet name="Haydock" sheetId="7" state="visible" r:id="rId9"/>
    <sheet name="Newcastle" sheetId="8" state="visible" r:id="rId10"/>
    <sheet name="Dundalk" sheetId="9" state="visible" r:id="rId11"/>
  </sheets>
  <definedNames>
    <definedName function="false" hidden="true" localSheetId="2" name="_xlnm._FilterDatabase" vbProcedure="false">'All runners'!$A$1:$S$529</definedName>
    <definedName function="false" hidden="true" localSheetId="8" name="_xlnm._FilterDatabase" vbProcedure="false">Dundalk!$A$1:$S$104</definedName>
    <definedName function="false" hidden="true" localSheetId="6" name="_xlnm._FilterDatabase" vbProcedure="false">Haydock!$A$1:$S$65</definedName>
    <definedName function="false" hidden="true" localSheetId="5" name="_xlnm._FilterDatabase" vbProcedure="false">Listowel!$A$1:$S$139</definedName>
    <definedName function="false" hidden="true" localSheetId="7" name="_xlnm._FilterDatabase" vbProcedure="false">Newcastle!$A$1:$S$89</definedName>
    <definedName function="false" hidden="true" localSheetId="4" name="_xlnm._FilterDatabase" vbProcedure="false">'Newmarket (Rowley)'!$A$1:$S$66</definedName>
    <definedName function="false" hidden="true" localSheetId="1" name="_xlnm._FilterDatabase" vbProcedure="false">'Top picks'!$A$1:$N$45</definedName>
    <definedName function="false" hidden="true" localSheetId="3" name="_xlnm._FilterDatabase" vbProcedure="false">Worcester!$A$1:$S$71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<sst xmlns="http://schemas.openxmlformats.org/spreadsheetml/2006/main" count="8367" uniqueCount="1204">
  <si>
    <t xml:space="preserve">Predictions for 2026-09-25</t>
  </si>
  <si>
    <t xml:space="preserve">Runners</t>
  </si>
  <si>
    <t xml:space="preserve">Races</t>
  </si>
  <si>
    <t xml:space="preserve">Meetings</t>
  </si>
  <si>
    <t xml:space="preserve">The model</t>
  </si>
  <si>
    <t xml:space="preserve">Features</t>
  </si>
  <si>
    <t xml:space="preserve">Trained through</t>
  </si>
  <si>
    <t xml:space="preserve">2026-09-22</t>
  </si>
  <si>
    <t xml:space="preserve">Boosting rounds</t>
  </si>
  <si>
    <t xml:space="preserve">Target</t>
  </si>
  <si>
    <t xml:space="preserve">logit_norm_prob</t>
  </si>
  <si>
    <t xml:space="preserve">Feature code hash</t>
  </si>
  <si>
    <t xml:space="preserve">9bc95363f3181433</t>
  </si>
  <si>
    <t xml:space="preserve">How to read it</t>
  </si>
  <si>
    <t xml:space="preserve">Predicted BSP</t>
  </si>
  <si>
    <t xml:space="preserve">The model's forecast of the Betfair Starting Price, from pre-race information only. The prices in each race make a book of exactly 100%.</t>
  </si>
  <si>
    <t xml:space="preserve">Win probability</t>
  </si>
  <si>
    <t xml:space="preserve">1 / predicted BSP: the model's chance for the horse, normalised within the race.</t>
  </si>
  <si>
    <t xml:space="preserve">Model rank</t>
  </si>
  <si>
    <t xml:space="preserve">1 = the model's shortest price in the race (highlighted green).</t>
  </si>
  <si>
    <t xml:space="preserve">Card odds (HRB)</t>
  </si>
  <si>
    <t xml:space="preserve">The odds printed on the horseracebase card when it was fetched: a bookmaker forecast, not the Betfair morning price the early-price rule was tested against.</t>
  </si>
  <si>
    <t xml:space="preserve">Card odds vs model</t>
  </si>
  <si>
    <t xml:space="preserve">Card odds / predicted BSP - 1. Positive: the card is longer than the model.</t>
  </si>
  <si>
    <t xml:space="preserve">Note</t>
  </si>
  <si>
    <t xml:space="preserve">Today's official 06:00 record: the 535-feature model (train-bfsp run 31), as written to S3 at 06:57 UTC by Daily Predictions run 196. This is the file the forward early-price test scores. The 615-feature model (with the form windows, served from 26 Sep) is still training; its predictions for today follow in a second workbook. History in the database runs to 22 Sep: horseracebase has paused our results downloads until 30 Sep, so 23 and 24 Sep form is missing for every runner.</t>
  </si>
  <si>
    <t xml:space="preserve">Time</t>
  </si>
  <si>
    <t xml:space="preserve">Course</t>
  </si>
  <si>
    <t xml:space="preserve">Race</t>
  </si>
  <si>
    <t xml:space="preserve">Top pick</t>
  </si>
  <si>
    <t xml:space="preserve">Jockey</t>
  </si>
  <si>
    <t xml:space="preserve">Trainer</t>
  </si>
  <si>
    <t xml:space="preserve">Second choice</t>
  </si>
  <si>
    <t xml:space="preserve">Second's BSP</t>
  </si>
  <si>
    <t xml:space="preserve">Second's probability</t>
  </si>
  <si>
    <t xml:space="preserve">Probability gap</t>
  </si>
  <si>
    <t xml:space="preserve">12:55</t>
  </si>
  <si>
    <t xml:space="preserve">Worcester</t>
  </si>
  <si>
    <t xml:space="preserve">CopyBet Support Safer Gambling Handicap Chase</t>
  </si>
  <si>
    <t xml:space="preserve">Onehundredneighty (IRE)</t>
  </si>
  <si>
    <t xml:space="preserve">Jones, Ben R</t>
  </si>
  <si>
    <t xml:space="preserve">Pauling, Ben</t>
  </si>
  <si>
    <t xml:space="preserve">Turpin Gold</t>
  </si>
  <si>
    <t xml:space="preserve">1:15</t>
  </si>
  <si>
    <t xml:space="preserve">Newmarket (Rowley)</t>
  </si>
  <si>
    <t xml:space="preserve">Betway British EBF Rosemary Stakes (Fillies And Mares Listed)</t>
  </si>
  <si>
    <t xml:space="preserve">Alobayyah</t>
  </si>
  <si>
    <t xml:space="preserve">Marquand, Tom</t>
  </si>
  <si>
    <t xml:space="preserve">Haggas, W J</t>
  </si>
  <si>
    <t xml:space="preserve">Gilding The Lily</t>
  </si>
  <si>
    <t xml:space="preserve">1:30</t>
  </si>
  <si>
    <t xml:space="preserve">Read Johnny Burkes Blog At CopyBet Novices Limited Handicap Chase (GBB Race)</t>
  </si>
  <si>
    <t xml:space="preserve">Little Ledgend (IRE)</t>
  </si>
  <si>
    <t xml:space="preserve">Bowen, Sean P</t>
  </si>
  <si>
    <t xml:space="preserve">Murphy, Olly</t>
  </si>
  <si>
    <t xml:space="preserve">Turndlightsdownlow (IRE)</t>
  </si>
  <si>
    <t xml:space="preserve">1:40</t>
  </si>
  <si>
    <t xml:space="preserve">Listowel</t>
  </si>
  <si>
    <t xml:space="preserve">John J. Galvin Maiden Hurdle</t>
  </si>
  <si>
    <t xml:space="preserve">Reaching High (IRE)</t>
  </si>
  <si>
    <t xml:space="preserve">Townend, P</t>
  </si>
  <si>
    <t xml:space="preserve">Mullins, W P</t>
  </si>
  <si>
    <t xml:space="preserve">Ladbroke Grove (FR)</t>
  </si>
  <si>
    <t xml:space="preserve">1:50</t>
  </si>
  <si>
    <t xml:space="preserve">Princess Royal Stakes (Sponsored By Betway) (Fillies And Mares Group 3)</t>
  </si>
  <si>
    <t xml:space="preserve">Inis Mor (FR)</t>
  </si>
  <si>
    <t xml:space="preserve">Moore, Ryan</t>
  </si>
  <si>
    <t xml:space="preserve">Menuisier, David</t>
  </si>
  <si>
    <t xml:space="preserve">Prizeland</t>
  </si>
  <si>
    <t xml:space="preserve">1:58</t>
  </si>
  <si>
    <t xml:space="preserve">Haydock</t>
  </si>
  <si>
    <t xml:space="preserve">Racing To School Training Series Apprentice Handicap</t>
  </si>
  <si>
    <t xml:space="preserve">Sweet Kiss</t>
  </si>
  <si>
    <t xml:space="preserve">Dickson, Jake</t>
  </si>
  <si>
    <t xml:space="preserve">Easterby, T D</t>
  </si>
  <si>
    <t xml:space="preserve">Condotti (IRE)</t>
  </si>
  <si>
    <t xml:space="preserve">2:05</t>
  </si>
  <si>
    <t xml:space="preserve">CopyBet Arc Summer Chase Series Final Handicap Chase (GBB Race)</t>
  </si>
  <si>
    <t xml:space="preserve">Youdecide (IRE)</t>
  </si>
  <si>
    <t xml:space="preserve">Merely A Detail</t>
  </si>
  <si>
    <t xml:space="preserve">2:15</t>
  </si>
  <si>
    <t xml:space="preserve">MCG Ladies Handicap Hurdle</t>
  </si>
  <si>
    <t xml:space="preserve">Whos Da Goose</t>
  </si>
  <si>
    <t xml:space="preserve">Townend, Miss J</t>
  </si>
  <si>
    <t xml:space="preserve">McCarthy, Eoin Christopher</t>
  </si>
  <si>
    <t xml:space="preserve">Costanuci (IRE)</t>
  </si>
  <si>
    <t xml:space="preserve">2:25</t>
  </si>
  <si>
    <t xml:space="preserve">Betway Rockfel Stakes (Fillies Group 2)</t>
  </si>
  <si>
    <t xml:space="preserve">Light Of Dawn</t>
  </si>
  <si>
    <t xml:space="preserve">Doyle, James</t>
  </si>
  <si>
    <t xml:space="preserve">Burke, K R</t>
  </si>
  <si>
    <t xml:space="preserve">Spirited Gesture</t>
  </si>
  <si>
    <t xml:space="preserve">2:33</t>
  </si>
  <si>
    <t xml:space="preserve">Everton In The Community Nursery</t>
  </si>
  <si>
    <t xml:space="preserve">Noble Prince</t>
  </si>
  <si>
    <t xml:space="preserve">Moore, Toby(7)</t>
  </si>
  <si>
    <t xml:space="preserve">Appleby, Charlie</t>
  </si>
  <si>
    <t xml:space="preserve">Thebesthasyetocome (IRE)</t>
  </si>
  <si>
    <t xml:space="preserve">2:40</t>
  </si>
  <si>
    <t xml:space="preserve">CopyBet Fixed Brush Hurdle Series Final Novices Handicap Hurdle (GBB Race)</t>
  </si>
  <si>
    <t xml:space="preserve">Road To Wembley</t>
  </si>
  <si>
    <t xml:space="preserve">Down To Business</t>
  </si>
  <si>
    <t xml:space="preserve">2:50</t>
  </si>
  <si>
    <t xml:space="preserve">Fri 25th Sep 2026</t>
  </si>
  <si>
    <t xml:space="preserve">Euro Maker (IRE)</t>
  </si>
  <si>
    <t xml:space="preserve">Finegan, Eoghan(5)</t>
  </si>
  <si>
    <t xml:space="preserve">Murray, Adrian</t>
  </si>
  <si>
    <t xml:space="preserve">Loi Des Jeux (FR)</t>
  </si>
  <si>
    <t xml:space="preserve">3:00</t>
  </si>
  <si>
    <t xml:space="preserve">Betway Joel Stakes (Group 2)</t>
  </si>
  <si>
    <t xml:space="preserve">Talk Of New York</t>
  </si>
  <si>
    <t xml:space="preserve">Buick, William</t>
  </si>
  <si>
    <t xml:space="preserve">Persica (IRE)</t>
  </si>
  <si>
    <t xml:space="preserve">3:08</t>
  </si>
  <si>
    <t xml:space="preserve">PMJ Capital EBF Fillies Novice Stakes (GBB Race)</t>
  </si>
  <si>
    <t xml:space="preserve">New Years Eve</t>
  </si>
  <si>
    <t xml:space="preserve">Fallon, Cieren</t>
  </si>
  <si>
    <t xml:space="preserve">Sizzling Affair (IRE)</t>
  </si>
  <si>
    <t xml:space="preserve">3:15</t>
  </si>
  <si>
    <t xml:space="preserve">FBC Manby Bowdler Maiden Hurdle (GBB Race)</t>
  </si>
  <si>
    <t xml:space="preserve">Premier Tenor (FR)</t>
  </si>
  <si>
    <t xml:space="preserve">Skelton, Harry</t>
  </si>
  <si>
    <t xml:space="preserve">Skelton, Daniel</t>
  </si>
  <si>
    <t xml:space="preserve">Black Eddy</t>
  </si>
  <si>
    <t xml:space="preserve">3:25</t>
  </si>
  <si>
    <t xml:space="preserve">Ballymore Handicap Hurdle (Listed)</t>
  </si>
  <si>
    <t xml:space="preserve">Gameball (IRE)</t>
  </si>
  <si>
    <t xml:space="preserve">OKeeffe, Darragh</t>
  </si>
  <si>
    <t xml:space="preserve">Bromhead, Henry De</t>
  </si>
  <si>
    <t xml:space="preserve">Venusienne (FR)</t>
  </si>
  <si>
    <t xml:space="preserve">3:35</t>
  </si>
  <si>
    <t xml:space="preserve">Betway Godolphin Stakes (Listed)</t>
  </si>
  <si>
    <t xml:space="preserve">Fortitudine (IRE)</t>
  </si>
  <si>
    <t xml:space="preserve">Castlemont (IRE)</t>
  </si>
  <si>
    <t xml:space="preserve">3:43</t>
  </si>
  <si>
    <t xml:space="preserve">Ashlar Construction EBF Novice Stakes</t>
  </si>
  <si>
    <t xml:space="preserve">Jassas</t>
  </si>
  <si>
    <t xml:space="preserve">Great Oak (IRE)</t>
  </si>
  <si>
    <t xml:space="preserve">3:50</t>
  </si>
  <si>
    <t xml:space="preserve">PJ Nicholls KGM Korea Genuinely Made Handicap Hurdle</t>
  </si>
  <si>
    <t xml:space="preserve">Secret Trix</t>
  </si>
  <si>
    <t xml:space="preserve">Thats Nice (IRE)</t>
  </si>
  <si>
    <t xml:space="preserve">4:00</t>
  </si>
  <si>
    <t xml:space="preserve">Guinness Listowel Mares Handicap Hurdle (0-100)</t>
  </si>
  <si>
    <t xml:space="preserve">Run For The Border (IRE)</t>
  </si>
  <si>
    <t xml:space="preserve">Kenneally, Michael(5)</t>
  </si>
  <si>
    <t xml:space="preserve">Ryan, John Patrick</t>
  </si>
  <si>
    <t xml:space="preserve">Its Not Over Yet (IRE)</t>
  </si>
  <si>
    <t xml:space="preserve">4:10</t>
  </si>
  <si>
    <t xml:space="preserve">Betway Bet The Responsible Way British EBF Confined Maiden Stakes</t>
  </si>
  <si>
    <t xml:space="preserve">Howzatt</t>
  </si>
  <si>
    <t xml:space="preserve">Loughnane, Billy</t>
  </si>
  <si>
    <t xml:space="preserve">Owen, J P</t>
  </si>
  <si>
    <t xml:space="preserve">Sole Ambition</t>
  </si>
  <si>
    <t xml:space="preserve">4:18</t>
  </si>
  <si>
    <t xml:space="preserve">Christopher Ward Watchmaking Handicap</t>
  </si>
  <si>
    <t xml:space="preserve">Mr Noble (IRE)</t>
  </si>
  <si>
    <t xml:space="preserve">James, S H</t>
  </si>
  <si>
    <t xml:space="preserve">Anyasi</t>
  </si>
  <si>
    <t xml:space="preserve">4:25</t>
  </si>
  <si>
    <t xml:space="preserve">FBC Manby Bowdler Conditional Jockeys Handicap Hurdle</t>
  </si>
  <si>
    <t xml:space="preserve">Mojo Ego (IRE)</t>
  </si>
  <si>
    <t xml:space="preserve">Broughton, Tom</t>
  </si>
  <si>
    <t xml:space="preserve">OBrien, Fergal</t>
  </si>
  <si>
    <t xml:space="preserve">Network Rgb</t>
  </si>
  <si>
    <t xml:space="preserve">4:30</t>
  </si>
  <si>
    <t xml:space="preserve">Paud, Sarah &amp; Mary Fitzmaurice Memorial Handicap Chase</t>
  </si>
  <si>
    <t xml:space="preserve">Tippin And Tappin (IRE)</t>
  </si>
  <si>
    <t xml:space="preserve">Cobden, Harry</t>
  </si>
  <si>
    <t xml:space="preserve">Bolger, E</t>
  </si>
  <si>
    <t xml:space="preserve">Cloonainra (IRE)</t>
  </si>
  <si>
    <t xml:space="preserve">4:35</t>
  </si>
  <si>
    <t xml:space="preserve">Newcastle</t>
  </si>
  <si>
    <t xml:space="preserve">Northumbrian WaterAid Handicap</t>
  </si>
  <si>
    <t xml:space="preserve">Rubellite (IRE)</t>
  </si>
  <si>
    <t xml:space="preserve">Whiteley, C J(5)</t>
  </si>
  <si>
    <t xml:space="preserve">Hanlon, Stephen</t>
  </si>
  <si>
    <t xml:space="preserve">Farabove The Limit (IRE)</t>
  </si>
  <si>
    <t xml:space="preserve">4:45</t>
  </si>
  <si>
    <t xml:space="preserve">Betway Bet 10 Get 40 Handicap</t>
  </si>
  <si>
    <t xml:space="preserve">Waterford Castle (IRE)</t>
  </si>
  <si>
    <t xml:space="preserve">Boughey, George</t>
  </si>
  <si>
    <t xml:space="preserve">Go Rimbaud</t>
  </si>
  <si>
    <t xml:space="preserve">4:50</t>
  </si>
  <si>
    <t xml:space="preserve">By Eck Its Boddingtons Handicap (GBBPlus Race)</t>
  </si>
  <si>
    <t xml:space="preserve">Asia Force (IRE)</t>
  </si>
  <si>
    <t xml:space="preserve">Glory Road (GER)</t>
  </si>
  <si>
    <t xml:space="preserve">5:05</t>
  </si>
  <si>
    <t xml:space="preserve">Shanahan Power Irish EBF Mares (Pro/Am) Flat Race</t>
  </si>
  <si>
    <t xml:space="preserve">She Was The One (IRE)</t>
  </si>
  <si>
    <t xml:space="preserve">Swan, H C</t>
  </si>
  <si>
    <t xml:space="preserve">Hogan, Denis Gerard</t>
  </si>
  <si>
    <t xml:space="preserve">Killeedy (IRE)</t>
  </si>
  <si>
    <t xml:space="preserve">5:10</t>
  </si>
  <si>
    <t xml:space="preserve">Esh Stantec Handicap</t>
  </si>
  <si>
    <t xml:space="preserve">Rugby Union (USA)</t>
  </si>
  <si>
    <t xml:space="preserve">Mason, Joanna</t>
  </si>
  <si>
    <t xml:space="preserve">Tutty, Gemma</t>
  </si>
  <si>
    <t xml:space="preserve">Token Love (FR)</t>
  </si>
  <si>
    <t xml:space="preserve">5:23</t>
  </si>
  <si>
    <t xml:space="preserve">Turf Services Handicap</t>
  </si>
  <si>
    <t xml:space="preserve">Circuit Breaker</t>
  </si>
  <si>
    <t xml:space="preserve">ONeill, Jonjo and AJ</t>
  </si>
  <si>
    <t xml:space="preserve">Arrange (IRE)</t>
  </si>
  <si>
    <t xml:space="preserve">5:30</t>
  </si>
  <si>
    <t xml:space="preserve">Dundalk</t>
  </si>
  <si>
    <t xml:space="preserve">Friday Night Lights At Dundalk Claiming Maiden</t>
  </si>
  <si>
    <t xml:space="preserve">Saint Acclaim (IRE)</t>
  </si>
  <si>
    <t xml:space="preserve">Coen, Ben M</t>
  </si>
  <si>
    <t xml:space="preserve">Murtagh, J P</t>
  </si>
  <si>
    <t xml:space="preserve">Willofthepeople (IRE)</t>
  </si>
  <si>
    <t xml:space="preserve">5:40</t>
  </si>
  <si>
    <t xml:space="preserve">Listowel Races Supporters Club Failte Abhaile (Q.R.) Race In Memory Of Pat Scanlon</t>
  </si>
  <si>
    <t xml:space="preserve">Davy Crockett (IRE)</t>
  </si>
  <si>
    <t xml:space="preserve">Mullins, Mr P W</t>
  </si>
  <si>
    <t xml:space="preserve">Quinta Do Lago (FR)</t>
  </si>
  <si>
    <t xml:space="preserve">5:45</t>
  </si>
  <si>
    <t xml:space="preserve">MMB Novice Stakes (GBB Race)</t>
  </si>
  <si>
    <t xml:space="preserve">Brash (IRE)</t>
  </si>
  <si>
    <t xml:space="preserve">Nolan, D</t>
  </si>
  <si>
    <t xml:space="preserve">Barron, T D</t>
  </si>
  <si>
    <t xml:space="preserve">One Of The Boys (IRE)</t>
  </si>
  <si>
    <t xml:space="preserve">6:00</t>
  </si>
  <si>
    <t xml:space="preserve">View Restaurant At Dundalk Stadium Apprentice Handicap</t>
  </si>
  <si>
    <t xml:space="preserve">Coincidental Glory (IRE)</t>
  </si>
  <si>
    <t xml:space="preserve">Holohan, Reese(4)</t>
  </si>
  <si>
    <t xml:space="preserve">McGuinness, Adrian</t>
  </si>
  <si>
    <t xml:space="preserve">Initial Blue (IRE)</t>
  </si>
  <si>
    <t xml:space="preserve">6:15</t>
  </si>
  <si>
    <t xml:space="preserve">United Infrastructure EBF Restricted Novice Stakes (GBB Race)</t>
  </si>
  <si>
    <t xml:space="preserve">Dreamed</t>
  </si>
  <si>
    <t xml:space="preserve">McDonald, P J</t>
  </si>
  <si>
    <t xml:space="preserve">Horton, James</t>
  </si>
  <si>
    <t xml:space="preserve">Arenite</t>
  </si>
  <si>
    <t xml:space="preserve">6:30</t>
  </si>
  <si>
    <t xml:space="preserve">Irish Stallion Farms EBF Fillies Maiden</t>
  </si>
  <si>
    <t xml:space="preserve">Crayons In The Sky</t>
  </si>
  <si>
    <t xml:space="preserve">Kearney, J(3)</t>
  </si>
  <si>
    <t xml:space="preserve">Thorne, Stephen</t>
  </si>
  <si>
    <t xml:space="preserve">Castilian Queen</t>
  </si>
  <si>
    <t xml:space="preserve">6:45</t>
  </si>
  <si>
    <t xml:space="preserve">Selwood Handicap</t>
  </si>
  <si>
    <t xml:space="preserve">Invincible Crown (IRE)</t>
  </si>
  <si>
    <t xml:space="preserve">Sullivan, James P</t>
  </si>
  <si>
    <t xml:space="preserve">Carr, Mrs R A</t>
  </si>
  <si>
    <t xml:space="preserve">Khabib (IRE)</t>
  </si>
  <si>
    <t xml:space="preserve">7:00</t>
  </si>
  <si>
    <t xml:space="preserve">Irishinjuredjockeys.com Handicap (0-60)</t>
  </si>
  <si>
    <t xml:space="preserve">Usuario Amigo</t>
  </si>
  <si>
    <t xml:space="preserve">Lee, W J</t>
  </si>
  <si>
    <t xml:space="preserve">OBrien, Richard John</t>
  </si>
  <si>
    <t xml:space="preserve">Beat The Devil (IRE)</t>
  </si>
  <si>
    <t xml:space="preserve">7:15</t>
  </si>
  <si>
    <t xml:space="preserve">MWH Handicap</t>
  </si>
  <si>
    <t xml:space="preserve">Barleybrown</t>
  </si>
  <si>
    <t xml:space="preserve">Reginald Charles</t>
  </si>
  <si>
    <t xml:space="preserve">7:30</t>
  </si>
  <si>
    <t xml:space="preserve">BAR 1 Betting Diamond Stakes (Listed)</t>
  </si>
  <si>
    <t xml:space="preserve">Geryon (IRE)</t>
  </si>
  <si>
    <t xml:space="preserve">Keane, C T</t>
  </si>
  <si>
    <t xml:space="preserve">Lyons, G M</t>
  </si>
  <si>
    <t xml:space="preserve">Military Order (IRE)</t>
  </si>
  <si>
    <t xml:space="preserve">7:45</t>
  </si>
  <si>
    <t xml:space="preserve">Todays Wonderful Sponsors Handicap</t>
  </si>
  <si>
    <t xml:space="preserve">Frankies Dream (IRE)</t>
  </si>
  <si>
    <t xml:space="preserve">Callan, Jack</t>
  </si>
  <si>
    <t xml:space="preserve">Candlish, Jennie</t>
  </si>
  <si>
    <t xml:space="preserve">Monsieur Bondy</t>
  </si>
  <si>
    <t xml:space="preserve">8:00</t>
  </si>
  <si>
    <t xml:space="preserve">Bookings Open For Christmas Parties At Dundalk Stadium Handicap</t>
  </si>
  <si>
    <t xml:space="preserve">Camino Lad (IRE)</t>
  </si>
  <si>
    <t xml:space="preserve">Quatre Bras (IRE)</t>
  </si>
  <si>
    <t xml:space="preserve">8:15</t>
  </si>
  <si>
    <t xml:space="preserve">Lord Abama (IRE)</t>
  </si>
  <si>
    <t xml:space="preserve">Kirrane, Sean</t>
  </si>
  <si>
    <t xml:space="preserve">Dods, M</t>
  </si>
  <si>
    <t xml:space="preserve">Ridgemaster (IRE)</t>
  </si>
  <si>
    <t xml:space="preserve">8:30</t>
  </si>
  <si>
    <t xml:space="preserve">Celebrate Your Special Occasion At Dundalk Stadium Handicap (0-60)</t>
  </si>
  <si>
    <t xml:space="preserve">Connecteo (IRE)</t>
  </si>
  <si>
    <t xml:space="preserve">Oliver, Andrew</t>
  </si>
  <si>
    <t xml:space="preserve">Connova (IRE)</t>
  </si>
  <si>
    <t xml:space="preserve">Class</t>
  </si>
  <si>
    <t xml:space="preserve">Furlongs</t>
  </si>
  <si>
    <t xml:space="preserve">Going</t>
  </si>
  <si>
    <t xml:space="preserve">Horse</t>
  </si>
  <si>
    <t xml:space="preserve">Draw</t>
  </si>
  <si>
    <t xml:space="preserve">OR</t>
  </si>
  <si>
    <t xml:space="preserve">Age</t>
  </si>
  <si>
    <t xml:space="preserve">Days since run</t>
  </si>
  <si>
    <t xml:space="preserve">Class 5</t>
  </si>
  <si>
    <t xml:space="preserve">Good</t>
  </si>
  <si>
    <t xml:space="preserve">Sheppard, Stan</t>
  </si>
  <si>
    <t xml:space="preserve">Lacey, T</t>
  </si>
  <si>
    <t xml:space="preserve">Kally Des Bruyeres (FR)</t>
  </si>
  <si>
    <t xml:space="preserve">Burke, Jonathan</t>
  </si>
  <si>
    <t xml:space="preserve">Dennis, David</t>
  </si>
  <si>
    <t xml:space="preserve">Good For You (FR)</t>
  </si>
  <si>
    <t xml:space="preserve">Gethings, Ciaran</t>
  </si>
  <si>
    <t xml:space="preserve">Williams, Mrs Jane</t>
  </si>
  <si>
    <t xml:space="preserve">Prairie Queen</t>
  </si>
  <si>
    <t xml:space="preserve">Houlihan, Sean M</t>
  </si>
  <si>
    <t xml:space="preserve">Gardner, Mrs S</t>
  </si>
  <si>
    <t xml:space="preserve">Forcetoreckonwith (IRE)</t>
  </si>
  <si>
    <t xml:space="preserve">Tudor, Jack</t>
  </si>
  <si>
    <t xml:space="preserve">Greenall, O / Guerriero, J</t>
  </si>
  <si>
    <t xml:space="preserve">Blackijo Dagrostis (FR)</t>
  </si>
  <si>
    <t xml:space="preserve">Powell, Brendan</t>
  </si>
  <si>
    <t xml:space="preserve">Sheppard, M</t>
  </si>
  <si>
    <t xml:space="preserve">Boom Boom (IRE)</t>
  </si>
  <si>
    <t xml:space="preserve">Best, J A</t>
  </si>
  <si>
    <t xml:space="preserve">Summers, B R</t>
  </si>
  <si>
    <t xml:space="preserve">Galeforcechopper</t>
  </si>
  <si>
    <t xml:space="preserve">Harrison, Liam</t>
  </si>
  <si>
    <t xml:space="preserve">Brace, D</t>
  </si>
  <si>
    <t xml:space="preserve">Applejack Poet (IRE)</t>
  </si>
  <si>
    <t xml:space="preserve">Pritchard, Callum</t>
  </si>
  <si>
    <t xml:space="preserve">Murphy, Barry John</t>
  </si>
  <si>
    <t xml:space="preserve">Gosden, John and Thady</t>
  </si>
  <si>
    <t xml:space="preserve">Lizzana (IRE)</t>
  </si>
  <si>
    <t xml:space="preserve">Ghiani, Marco</t>
  </si>
  <si>
    <t xml:space="preserve">Botti, M</t>
  </si>
  <si>
    <t xml:space="preserve">Estissa</t>
  </si>
  <si>
    <t xml:space="preserve">Murphy, Oisin</t>
  </si>
  <si>
    <t xml:space="preserve">Fanshawe, J R</t>
  </si>
  <si>
    <t xml:space="preserve">Arisaig</t>
  </si>
  <si>
    <t xml:space="preserve">Spencer, Jamie</t>
  </si>
  <si>
    <t xml:space="preserve">Johnston, Charlie</t>
  </si>
  <si>
    <t xml:space="preserve">Blingys Sister (IRE)</t>
  </si>
  <si>
    <t xml:space="preserve">Lee, Clifford</t>
  </si>
  <si>
    <t xml:space="preserve">Palmer, Hugo</t>
  </si>
  <si>
    <t xml:space="preserve">Applesandpears</t>
  </si>
  <si>
    <t xml:space="preserve">Sousa, Silvestre De</t>
  </si>
  <si>
    <t xml:space="preserve">Bethell, Ed</t>
  </si>
  <si>
    <t xml:space="preserve">Song N Dance</t>
  </si>
  <si>
    <t xml:space="preserve">Osborne, Saffie</t>
  </si>
  <si>
    <t xml:space="preserve">Woods, S P C</t>
  </si>
  <si>
    <t xml:space="preserve">Crystal Flyer</t>
  </si>
  <si>
    <t xml:space="preserve">Dawson, R</t>
  </si>
  <si>
    <t xml:space="preserve">Haslam, B M R</t>
  </si>
  <si>
    <t xml:space="preserve">Class 3</t>
  </si>
  <si>
    <t xml:space="preserve">Keighley, Freddie(5)</t>
  </si>
  <si>
    <t xml:space="preserve">Keighley, M</t>
  </si>
  <si>
    <t xml:space="preserve">Kayf Dancer</t>
  </si>
  <si>
    <t xml:space="preserve">Bowen, James C</t>
  </si>
  <si>
    <t xml:space="preserve">Bowen, Mickey</t>
  </si>
  <si>
    <t xml:space="preserve">Serious Chat (IRE)</t>
  </si>
  <si>
    <t xml:space="preserve">Gillard, Theo</t>
  </si>
  <si>
    <t xml:space="preserve">McCain Jnr, D</t>
  </si>
  <si>
    <t xml:space="preserve">Walsh, M P</t>
  </si>
  <si>
    <t xml:space="preserve">Brassil, Martin</t>
  </si>
  <si>
    <t xml:space="preserve">Confidence Within (IRE)</t>
  </si>
  <si>
    <t xml:space="preserve">Roche, T P</t>
  </si>
  <si>
    <t xml:space="preserve">Rothwell, P J</t>
  </si>
  <si>
    <t xml:space="preserve">Farney Bridge (IRE)</t>
  </si>
  <si>
    <t xml:space="preserve">Walsh, E</t>
  </si>
  <si>
    <t xml:space="preserve">Burke, John M</t>
  </si>
  <si>
    <t xml:space="preserve">Midtown Manhattan (IRE)</t>
  </si>
  <si>
    <t xml:space="preserve">RESERVE</t>
  </si>
  <si>
    <t xml:space="preserve">Zambezi Moon (IRE)</t>
  </si>
  <si>
    <t xml:space="preserve">Slevin, J J</t>
  </si>
  <si>
    <t xml:space="preserve">Barry, David Richard</t>
  </si>
  <si>
    <t xml:space="preserve">Jetaway Mountain (IRE)</t>
  </si>
  <si>
    <t xml:space="preserve">Hayes, Brian</t>
  </si>
  <si>
    <t xml:space="preserve">Murphy, C A</t>
  </si>
  <si>
    <t xml:space="preserve">Ozark Daze</t>
  </si>
  <si>
    <t xml:space="preserve">Doyle, R A</t>
  </si>
  <si>
    <t xml:space="preserve">OLoughlin, G</t>
  </si>
  <si>
    <t xml:space="preserve">Ddakji (IRE)</t>
  </si>
  <si>
    <t xml:space="preserve">Houlihan, Conor</t>
  </si>
  <si>
    <t xml:space="preserve">Menez Are (FR)</t>
  </si>
  <si>
    <t xml:space="preserve">Gilligan, D J</t>
  </si>
  <si>
    <t xml:space="preserve">Gilligan, Paul John</t>
  </si>
  <si>
    <t xml:space="preserve">Woodie Wiley (IRE)</t>
  </si>
  <si>
    <t xml:space="preserve">Man Down (IRE)</t>
  </si>
  <si>
    <t xml:space="preserve">Moore, Niall(5)</t>
  </si>
  <si>
    <t xml:space="preserve">Duggan, Donncha</t>
  </si>
  <si>
    <t xml:space="preserve">Higher Vision (IRE)</t>
  </si>
  <si>
    <t xml:space="preserve">Quinlan, Liam</t>
  </si>
  <si>
    <t xml:space="preserve">Hackett, Ray</t>
  </si>
  <si>
    <t xml:space="preserve">Outlaw Thief (IRE)</t>
  </si>
  <si>
    <t xml:space="preserve">Fitzgerald, Shane</t>
  </si>
  <si>
    <t xml:space="preserve">Kiely, Paul Stephen</t>
  </si>
  <si>
    <t xml:space="preserve">Minnatrix (IRE)</t>
  </si>
  <si>
    <t xml:space="preserve">Enright, P T</t>
  </si>
  <si>
    <t xml:space="preserve">Nothintodowithme (IRE)</t>
  </si>
  <si>
    <t xml:space="preserve">Nugent, Mr E M(7)</t>
  </si>
  <si>
    <t xml:space="preserve">Murphy, B T</t>
  </si>
  <si>
    <t xml:space="preserve">Back Swath (IRE)</t>
  </si>
  <si>
    <t xml:space="preserve">King, D</t>
  </si>
  <si>
    <t xml:space="preserve">Down After Dark (IRE)</t>
  </si>
  <si>
    <t xml:space="preserve">Kelly, Aidan</t>
  </si>
  <si>
    <t xml:space="preserve">Curling, S</t>
  </si>
  <si>
    <t xml:space="preserve">Balding, A M</t>
  </si>
  <si>
    <t xml:space="preserve">Without Prejudice (IRE)</t>
  </si>
  <si>
    <t xml:space="preserve">Coedana (IRE)</t>
  </si>
  <si>
    <t xml:space="preserve">Beasley, Connor</t>
  </si>
  <si>
    <t xml:space="preserve">Sunshine Star</t>
  </si>
  <si>
    <t xml:space="preserve">Summerson</t>
  </si>
  <si>
    <t xml:space="preserve">Varian, Roger</t>
  </si>
  <si>
    <t xml:space="preserve">Francophone</t>
  </si>
  <si>
    <t xml:space="preserve">Frances Ethel (SAF)</t>
  </si>
  <si>
    <t xml:space="preserve">Venetia</t>
  </si>
  <si>
    <t xml:space="preserve">Ryan, Rossa</t>
  </si>
  <si>
    <t xml:space="preserve">Beckett, R M</t>
  </si>
  <si>
    <t xml:space="preserve">Club Class</t>
  </si>
  <si>
    <t xml:space="preserve">Ryka (IRE)</t>
  </si>
  <si>
    <t xml:space="preserve">OMeara, D</t>
  </si>
  <si>
    <t xml:space="preserve">Good To Soft</t>
  </si>
  <si>
    <t xml:space="preserve">Murphy, D J</t>
  </si>
  <si>
    <t xml:space="preserve">Falcon Nine</t>
  </si>
  <si>
    <t xml:space="preserve">Tuke, Cara(5)</t>
  </si>
  <si>
    <t xml:space="preserve">Jardine, I</t>
  </si>
  <si>
    <t xml:space="preserve">Titian (IRE)</t>
  </si>
  <si>
    <t xml:space="preserve">Haines, Olivia</t>
  </si>
  <si>
    <t xml:space="preserve">Camacho, Miss J A</t>
  </si>
  <si>
    <t xml:space="preserve">Ablon (FR)</t>
  </si>
  <si>
    <t xml:space="preserve">Pollard, Ben(5)</t>
  </si>
  <si>
    <t xml:space="preserve">Hannon (Jnr), Richard</t>
  </si>
  <si>
    <t xml:space="preserve">Solanna</t>
  </si>
  <si>
    <t xml:space="preserve">Vigors, Harry</t>
  </si>
  <si>
    <t xml:space="preserve">Butler, John</t>
  </si>
  <si>
    <t xml:space="preserve">Study Up</t>
  </si>
  <si>
    <t xml:space="preserve">Regan, Hope(5)</t>
  </si>
  <si>
    <t xml:space="preserve">Loughnane, Daniel Mark</t>
  </si>
  <si>
    <t xml:space="preserve">Pleasant Man</t>
  </si>
  <si>
    <t xml:space="preserve">Bradnam, Joe(3)</t>
  </si>
  <si>
    <t xml:space="preserve">Ramsden, Joey</t>
  </si>
  <si>
    <t xml:space="preserve">Dragonflame (FR)</t>
  </si>
  <si>
    <t xml:space="preserve">Redman, Alfie</t>
  </si>
  <si>
    <t xml:space="preserve">Menzies, Rebecca</t>
  </si>
  <si>
    <t xml:space="preserve">Class 2</t>
  </si>
  <si>
    <t xml:space="preserve">Bulgin, T S M</t>
  </si>
  <si>
    <t xml:space="preserve">She Is For Me Boys</t>
  </si>
  <si>
    <t xml:space="preserve">Sheehan, Gavin</t>
  </si>
  <si>
    <t xml:space="preserve">Snowden, Jamie</t>
  </si>
  <si>
    <t xml:space="preserve">Regal Renaissance</t>
  </si>
  <si>
    <t xml:space="preserve">Jones, Jack</t>
  </si>
  <si>
    <t xml:space="preserve">Lokis Mischief (FR)</t>
  </si>
  <si>
    <t xml:space="preserve">Williams, Lorcan</t>
  </si>
  <si>
    <t xml:space="preserve">Williams, Chester</t>
  </si>
  <si>
    <t xml:space="preserve">Pep Talking</t>
  </si>
  <si>
    <t xml:space="preserve">Aprahamian, Billy</t>
  </si>
  <si>
    <t xml:space="preserve">Palamon (IRE)</t>
  </si>
  <si>
    <t xml:space="preserve">Country Park (IRE)</t>
  </si>
  <si>
    <t xml:space="preserve">ONeill, Jonjo (Jr)</t>
  </si>
  <si>
    <t xml:space="preserve">Karnaval Point (FR)</t>
  </si>
  <si>
    <t xml:space="preserve">Corcoran, Rian(5)</t>
  </si>
  <si>
    <t xml:space="preserve">Pipe, D E</t>
  </si>
  <si>
    <t xml:space="preserve">Martins Denuo (FR)</t>
  </si>
  <si>
    <t xml:space="preserve">Coastguard Station (IRE)</t>
  </si>
  <si>
    <t xml:space="preserve">Fenelon, S(5)</t>
  </si>
  <si>
    <t xml:space="preserve">Oliver, Henry</t>
  </si>
  <si>
    <t xml:space="preserve">Disco Davis (FR)</t>
  </si>
  <si>
    <t xml:space="preserve">Davies, Miss Sarah-Jayne</t>
  </si>
  <si>
    <t xml:space="preserve">Queally, Miss O M(7)</t>
  </si>
  <si>
    <t xml:space="preserve">Queally, John</t>
  </si>
  <si>
    <t xml:space="preserve">Lord Ffrench (IRE)</t>
  </si>
  <si>
    <t xml:space="preserve">Anderson, Miss N Lockhead(7)</t>
  </si>
  <si>
    <t xml:space="preserve">Cornaroya Rocco (IRE)</t>
  </si>
  <si>
    <t xml:space="preserve">Hanlon, John Joseph</t>
  </si>
  <si>
    <t xml:space="preserve">Tippawan Haa (IRE)</t>
  </si>
  <si>
    <t xml:space="preserve">Gale, Elizabeth(2)</t>
  </si>
  <si>
    <t xml:space="preserve">OBrien, Terence</t>
  </si>
  <si>
    <t xml:space="preserve">Ollie La Ba Ba (IRE)</t>
  </si>
  <si>
    <t xml:space="preserve">McGuinness, Anna(4)</t>
  </si>
  <si>
    <t xml:space="preserve">Buddy Holly (IRE)</t>
  </si>
  <si>
    <t xml:space="preserve">Costello, Ms E C(4)</t>
  </si>
  <si>
    <t xml:space="preserve">McNamara, E</t>
  </si>
  <si>
    <t xml:space="preserve">Tell Me See (IRE)</t>
  </si>
  <si>
    <t xml:space="preserve">Connolly, Ms A M(7)</t>
  </si>
  <si>
    <t xml:space="preserve">Hidalgo Des Mottes (FR)</t>
  </si>
  <si>
    <t xml:space="preserve">Griffin, Eoin</t>
  </si>
  <si>
    <t xml:space="preserve">Lakewood Rose (IRE)</t>
  </si>
  <si>
    <t xml:space="preserve">Hennessy, Miss N C(7)</t>
  </si>
  <si>
    <t xml:space="preserve">Hennessy, Miss</t>
  </si>
  <si>
    <t xml:space="preserve">One And Only (IRE)</t>
  </si>
  <si>
    <t xml:space="preserve">Quail, Toni(4)</t>
  </si>
  <si>
    <t xml:space="preserve">McKiernan, Oliver</t>
  </si>
  <si>
    <t xml:space="preserve">Ahellofaman (IRE)</t>
  </si>
  <si>
    <t xml:space="preserve">Freddie Robdal (IRE)</t>
  </si>
  <si>
    <t xml:space="preserve">Briselden, Miss Pandora(7)</t>
  </si>
  <si>
    <t xml:space="preserve">Woodstream Lad (IRE)</t>
  </si>
  <si>
    <t xml:space="preserve">Clarke, Alyse Jane(4)</t>
  </si>
  <si>
    <t xml:space="preserve">OSullivan, David</t>
  </si>
  <si>
    <t xml:space="preserve">War Correspondent (IRE)</t>
  </si>
  <si>
    <t xml:space="preserve">Cody, Miss E(4)</t>
  </si>
  <si>
    <t xml:space="preserve">Earl Neigh (IRE)</t>
  </si>
  <si>
    <t xml:space="preserve">Bayford, Erin(7)</t>
  </si>
  <si>
    <t xml:space="preserve">Slattery, Andrew</t>
  </si>
  <si>
    <t xml:space="preserve">Gatehouse Boy (FR)</t>
  </si>
  <si>
    <t xml:space="preserve">Elvin, Miss P(4)</t>
  </si>
  <si>
    <t xml:space="preserve">Palace Boy (GER)</t>
  </si>
  <si>
    <t xml:space="preserve">Costello, Miss L(7)</t>
  </si>
  <si>
    <t xml:space="preserve">Gleeson, John F</t>
  </si>
  <si>
    <t xml:space="preserve">Sugar Yes Please</t>
  </si>
  <si>
    <t xml:space="preserve">Bishop, Charles</t>
  </si>
  <si>
    <t xml:space="preserve">Houghton, Eve Johnson</t>
  </si>
  <si>
    <t xml:space="preserve">Miss Miniver (IRE)</t>
  </si>
  <si>
    <t xml:space="preserve">Speed of Sound (IRE)</t>
  </si>
  <si>
    <t xml:space="preserve">Spencer, Richard</t>
  </si>
  <si>
    <t xml:space="preserve">Sea Venture (IRE)</t>
  </si>
  <si>
    <t xml:space="preserve">Scott, George</t>
  </si>
  <si>
    <t xml:space="preserve">Pensando A Te</t>
  </si>
  <si>
    <t xml:space="preserve">Ruby Moon (IRE)</t>
  </si>
  <si>
    <t xml:space="preserve">Orr, Oisin</t>
  </si>
  <si>
    <t xml:space="preserve">Fahey, R A</t>
  </si>
  <si>
    <t xml:space="preserve">Redline</t>
  </si>
  <si>
    <t xml:space="preserve">Class 4</t>
  </si>
  <si>
    <t xml:space="preserve">Sheehy, M P</t>
  </si>
  <si>
    <t xml:space="preserve">Keatley, Adrian Paul</t>
  </si>
  <si>
    <t xml:space="preserve">Girl Scout</t>
  </si>
  <si>
    <t xml:space="preserve">Asgar (IRE)</t>
  </si>
  <si>
    <t xml:space="preserve">Crouch, Hector</t>
  </si>
  <si>
    <t xml:space="preserve">Cox, C G</t>
  </si>
  <si>
    <t xml:space="preserve">Keep Grating (IRE)</t>
  </si>
  <si>
    <t xml:space="preserve">Leavy, Joe</t>
  </si>
  <si>
    <t xml:space="preserve">Blanquita</t>
  </si>
  <si>
    <t xml:space="preserve">Pearson, Laura</t>
  </si>
  <si>
    <t xml:space="preserve">Cunha, Dylan</t>
  </si>
  <si>
    <t xml:space="preserve">Real Edition (IRE)</t>
  </si>
  <si>
    <t xml:space="preserve">Egan, David</t>
  </si>
  <si>
    <t xml:space="preserve">Lidster, Craig</t>
  </si>
  <si>
    <t xml:space="preserve">Trouville (IRE)</t>
  </si>
  <si>
    <t xml:space="preserve">Walsh, Mr T(7)</t>
  </si>
  <si>
    <t xml:space="preserve">Square Dalboni (FR)</t>
  </si>
  <si>
    <t xml:space="preserve">Atkins, Harry(5)</t>
  </si>
  <si>
    <t xml:space="preserve">Lock Stock</t>
  </si>
  <si>
    <t xml:space="preserve">Hammond, Charlie</t>
  </si>
  <si>
    <t xml:space="preserve">Edmunds, Stuart</t>
  </si>
  <si>
    <t xml:space="preserve">Regarde (IRE)</t>
  </si>
  <si>
    <t xml:space="preserve">So Proud (IRE)</t>
  </si>
  <si>
    <t xml:space="preserve">McLernon, R P</t>
  </si>
  <si>
    <t xml:space="preserve">Media Mogul (IRE)</t>
  </si>
  <si>
    <t xml:space="preserve">Bass, David</t>
  </si>
  <si>
    <t xml:space="preserve">Dascombe, Tom</t>
  </si>
  <si>
    <t xml:space="preserve">Whos Glen (FR)</t>
  </si>
  <si>
    <t xml:space="preserve">Likewhatyousee (USA)</t>
  </si>
  <si>
    <t xml:space="preserve">Yellow Card</t>
  </si>
  <si>
    <t xml:space="preserve">Miss Kingston (IRE)</t>
  </si>
  <si>
    <t xml:space="preserve">Ralph, Alastair</t>
  </si>
  <si>
    <t xml:space="preserve">Oneinthewell (IRE)</t>
  </si>
  <si>
    <t xml:space="preserve">Devon Red</t>
  </si>
  <si>
    <t xml:space="preserve">Reed, Harry</t>
  </si>
  <si>
    <t xml:space="preserve">Scholfield, Nick</t>
  </si>
  <si>
    <t xml:space="preserve">Katarcice (FR)</t>
  </si>
  <si>
    <t xml:space="preserve">Hogan, Jack</t>
  </si>
  <si>
    <t xml:space="preserve">Whinney Hill</t>
  </si>
  <si>
    <t xml:space="preserve">Edwards, Lee</t>
  </si>
  <si>
    <t xml:space="preserve">Roberts, David</t>
  </si>
  <si>
    <t xml:space="preserve">Mullins, D E</t>
  </si>
  <si>
    <t xml:space="preserve">Hassett, Donal</t>
  </si>
  <si>
    <t xml:space="preserve">Kingdom Calling (FR)</t>
  </si>
  <si>
    <t xml:space="preserve">Game Phoenix (IRE)</t>
  </si>
  <si>
    <t xml:space="preserve">Stone, B T(7)</t>
  </si>
  <si>
    <t xml:space="preserve">Power, Paul</t>
  </si>
  <si>
    <t xml:space="preserve">You Done Well (IRE)</t>
  </si>
  <si>
    <t xml:space="preserve">Browne, Michael J</t>
  </si>
  <si>
    <t xml:space="preserve">Big Dee (IRE)</t>
  </si>
  <si>
    <t xml:space="preserve">Kellys Cosmos (IRE)</t>
  </si>
  <si>
    <t xml:space="preserve">Cerberus</t>
  </si>
  <si>
    <t xml:space="preserve">Smithers, C D(7)</t>
  </si>
  <si>
    <t xml:space="preserve">Melia, Aidan</t>
  </si>
  <si>
    <t xml:space="preserve">Live To Laugh (IRE)</t>
  </si>
  <si>
    <t xml:space="preserve">OSullivan, Ethan(7)</t>
  </si>
  <si>
    <t xml:space="preserve">Fahey, Peter</t>
  </si>
  <si>
    <t xml:space="preserve">Pahlavi (IRE)</t>
  </si>
  <si>
    <t xml:space="preserve">Sexton, Harry(7)</t>
  </si>
  <si>
    <t xml:space="preserve">Glengarriff (IRE)</t>
  </si>
  <si>
    <t xml:space="preserve">Buckley, Kieran</t>
  </si>
  <si>
    <t xml:space="preserve">Downey, P</t>
  </si>
  <si>
    <t xml:space="preserve">Marian Avenue (IRE)</t>
  </si>
  <si>
    <t xml:space="preserve">Byrnes, C</t>
  </si>
  <si>
    <t xml:space="preserve">Sidiriya (IRE)</t>
  </si>
  <si>
    <t xml:space="preserve">Surviving Murmansk (IRE)</t>
  </si>
  <si>
    <t xml:space="preserve">Barcoe, James M</t>
  </si>
  <si>
    <t xml:space="preserve">Me Wee Nanny Fran (IRE)</t>
  </si>
  <si>
    <t xml:space="preserve">Stone-Walsh, C</t>
  </si>
  <si>
    <t xml:space="preserve">Cromwell, Gavin Patrick</t>
  </si>
  <si>
    <t xml:space="preserve">Rose Mountain (IRE)</t>
  </si>
  <si>
    <t xml:space="preserve">Hassett, Martin</t>
  </si>
  <si>
    <t xml:space="preserve">Turlough Abu (IRE)</t>
  </si>
  <si>
    <t xml:space="preserve">OBrien, V T</t>
  </si>
  <si>
    <t xml:space="preserve">The Lost King</t>
  </si>
  <si>
    <t xml:space="preserve">Hankelow (IRE)</t>
  </si>
  <si>
    <t xml:space="preserve">Colori Forever</t>
  </si>
  <si>
    <t xml:space="preserve">Audience</t>
  </si>
  <si>
    <t xml:space="preserve">Havlin, Robert</t>
  </si>
  <si>
    <t xml:space="preserve">Wild Desert (IRE)</t>
  </si>
  <si>
    <t xml:space="preserve">Grinanbearit (IRE)</t>
  </si>
  <si>
    <t xml:space="preserve">Lewis, Ashley(3)</t>
  </si>
  <si>
    <t xml:space="preserve">Walker, Ed</t>
  </si>
  <si>
    <t xml:space="preserve">Lunar Storm (FR)</t>
  </si>
  <si>
    <t xml:space="preserve">Levey, S M</t>
  </si>
  <si>
    <t xml:space="preserve">March Lilly</t>
  </si>
  <si>
    <t xml:space="preserve">Eaves, Tom</t>
  </si>
  <si>
    <t xml:space="preserve">Ryan, K A</t>
  </si>
  <si>
    <t xml:space="preserve">Ortenzian Twilight</t>
  </si>
  <si>
    <t xml:space="preserve">Mitchell, Jack</t>
  </si>
  <si>
    <t xml:space="preserve">Main, Mrs H S</t>
  </si>
  <si>
    <t xml:space="preserve">Costa Verde (IRE)</t>
  </si>
  <si>
    <t xml:space="preserve">Foy, Kevin</t>
  </si>
  <si>
    <t xml:space="preserve">Trapped Goddess (GER)</t>
  </si>
  <si>
    <t xml:space="preserve">Probert, David</t>
  </si>
  <si>
    <t xml:space="preserve">Liberal Lady (IRE)</t>
  </si>
  <si>
    <t xml:space="preserve">Rodriguez, Callum</t>
  </si>
  <si>
    <t xml:space="preserve">Sangster, Ollie</t>
  </si>
  <si>
    <t xml:space="preserve">Floral (IRE)</t>
  </si>
  <si>
    <t xml:space="preserve">Hutchinson, Callum</t>
  </si>
  <si>
    <t xml:space="preserve">Constella (IRE)</t>
  </si>
  <si>
    <t xml:space="preserve">Jamin, Pierre-Louis</t>
  </si>
  <si>
    <t xml:space="preserve">Ward, Tom</t>
  </si>
  <si>
    <t xml:space="preserve">Ade Boy (IRE)</t>
  </si>
  <si>
    <t xml:space="preserve">Longsdon, C E</t>
  </si>
  <si>
    <t xml:space="preserve">Moi Mon Vieux (FR)</t>
  </si>
  <si>
    <t xml:space="preserve">Hunt, Mr H(7)</t>
  </si>
  <si>
    <t xml:space="preserve">Hobson, Richard</t>
  </si>
  <si>
    <t xml:space="preserve">Action Replay (IRE)</t>
  </si>
  <si>
    <t xml:space="preserve">Emerald West</t>
  </si>
  <si>
    <t xml:space="preserve">Turner, James(5)</t>
  </si>
  <si>
    <t xml:space="preserve">Elsworth, D / Hatch, R</t>
  </si>
  <si>
    <t xml:space="preserve">Georgemani (IRE)</t>
  </si>
  <si>
    <t xml:space="preserve">Todd, C J</t>
  </si>
  <si>
    <t xml:space="preserve">Sir Vinnie Kent (IRE)</t>
  </si>
  <si>
    <t xml:space="preserve">Williams, Christian</t>
  </si>
  <si>
    <t xml:space="preserve">Zerouali</t>
  </si>
  <si>
    <t xml:space="preserve">Quinlan, S M(3)</t>
  </si>
  <si>
    <t xml:space="preserve">Lund, B V</t>
  </si>
  <si>
    <t xml:space="preserve">Starting Fifteen</t>
  </si>
  <si>
    <t xml:space="preserve">Flanagan, S W</t>
  </si>
  <si>
    <t xml:space="preserve">Pauls Dream (IRE)</t>
  </si>
  <si>
    <t xml:space="preserve">Mullins, Anthony</t>
  </si>
  <si>
    <t xml:space="preserve">Ragmans Corner (IRE)</t>
  </si>
  <si>
    <t xml:space="preserve">Keane, Gerard</t>
  </si>
  <si>
    <t xml:space="preserve">Cosmos Dainay (FR)</t>
  </si>
  <si>
    <t xml:space="preserve">Elliott, Gordon</t>
  </si>
  <si>
    <t xml:space="preserve">Speed For Fun (FR)</t>
  </si>
  <si>
    <t xml:space="preserve">ODwyer, Charlie(3)</t>
  </si>
  <si>
    <t xml:space="preserve">Thisistheway (IRE)</t>
  </si>
  <si>
    <t xml:space="preserve">Latta, Yvonne</t>
  </si>
  <si>
    <t xml:space="preserve">Laafi (FR)</t>
  </si>
  <si>
    <t xml:space="preserve">Barry, Mr J C</t>
  </si>
  <si>
    <t xml:space="preserve">Durkan, William</t>
  </si>
  <si>
    <t xml:space="preserve">Run For Mahler (IRE)</t>
  </si>
  <si>
    <t xml:space="preserve">Byrnes, Philip</t>
  </si>
  <si>
    <t xml:space="preserve">Helvic Dream (IRE)</t>
  </si>
  <si>
    <t xml:space="preserve">Meyler, D</t>
  </si>
  <si>
    <t xml:space="preserve">Meade, Noel</t>
  </si>
  <si>
    <t xml:space="preserve">Autumn Twist (IRE)</t>
  </si>
  <si>
    <t xml:space="preserve">Wholelotofbusiness (IRE)</t>
  </si>
  <si>
    <t xml:space="preserve">Torrens, Simon</t>
  </si>
  <si>
    <t xml:space="preserve">Sign From Above (IRE)</t>
  </si>
  <si>
    <t xml:space="preserve">Ewing, Sam</t>
  </si>
  <si>
    <t xml:space="preserve">Malbay Madness (IRE)</t>
  </si>
  <si>
    <t xml:space="preserve">OHanlon, P J</t>
  </si>
  <si>
    <t xml:space="preserve">McLoughlin, D A</t>
  </si>
  <si>
    <t xml:space="preserve">Path Doroux (FR)</t>
  </si>
  <si>
    <t xml:space="preserve">Balfe, A(7)</t>
  </si>
  <si>
    <t xml:space="preserve">Fiver Friday (IRE)</t>
  </si>
  <si>
    <t xml:space="preserve">Kokbastau</t>
  </si>
  <si>
    <t xml:space="preserve">Archers Bay (IRE)</t>
  </si>
  <si>
    <t xml:space="preserve">Native German (GER)</t>
  </si>
  <si>
    <t xml:space="preserve">Burrows, Owen</t>
  </si>
  <si>
    <t xml:space="preserve">St Helier</t>
  </si>
  <si>
    <t xml:space="preserve">Brave Country (IRE)</t>
  </si>
  <si>
    <t xml:space="preserve">Harrow On The Hill (IRE)</t>
  </si>
  <si>
    <t xml:space="preserve">Grand Havana</t>
  </si>
  <si>
    <t xml:space="preserve">King, A</t>
  </si>
  <si>
    <t xml:space="preserve">Dark Detective</t>
  </si>
  <si>
    <t xml:space="preserve">Garritty, Billy</t>
  </si>
  <si>
    <t xml:space="preserve">Williams, Mr Daniel(7)</t>
  </si>
  <si>
    <t xml:space="preserve">Henderson, N J</t>
  </si>
  <si>
    <t xml:space="preserve">The Egyptian Ginge (IRE)</t>
  </si>
  <si>
    <t xml:space="preserve">Neild, Jamie(7)</t>
  </si>
  <si>
    <t xml:space="preserve">Twiston-Davies, N A</t>
  </si>
  <si>
    <t xml:space="preserve">Gold For Alec (FR)</t>
  </si>
  <si>
    <t xml:space="preserve">Poste, Ben J</t>
  </si>
  <si>
    <t xml:space="preserve">Symonds, Tom</t>
  </si>
  <si>
    <t xml:space="preserve">Gwash (IRE)</t>
  </si>
  <si>
    <t xml:space="preserve">Broughton, Tom(3)</t>
  </si>
  <si>
    <t xml:space="preserve">Tiger Orchid (IRE)</t>
  </si>
  <si>
    <t xml:space="preserve">Break Point</t>
  </si>
  <si>
    <t xml:space="preserve">Dace, L A</t>
  </si>
  <si>
    <t xml:space="preserve">Im A Starman</t>
  </si>
  <si>
    <t xml:space="preserve">Rimell, M G</t>
  </si>
  <si>
    <t xml:space="preserve">Moon Dorange (FR)</t>
  </si>
  <si>
    <t xml:space="preserve">Strong Contender (IRE)</t>
  </si>
  <si>
    <t xml:space="preserve">Lee, Norman</t>
  </si>
  <si>
    <t xml:space="preserve">Pure Logic</t>
  </si>
  <si>
    <t xml:space="preserve">Fire Coral</t>
  </si>
  <si>
    <t xml:space="preserve">Moonshine Girl (IRE)</t>
  </si>
  <si>
    <t xml:space="preserve">Pretty Wild (IRE)</t>
  </si>
  <si>
    <t xml:space="preserve">Isdistheone (IRE)</t>
  </si>
  <si>
    <t xml:space="preserve">Healy, Kevin(7)</t>
  </si>
  <si>
    <t xml:space="preserve">Queally, Declan</t>
  </si>
  <si>
    <t xml:space="preserve">Western Opera (IRE)</t>
  </si>
  <si>
    <t xml:space="preserve">Callaghan, Kieran</t>
  </si>
  <si>
    <t xml:space="preserve">Madam Elle (IRE)</t>
  </si>
  <si>
    <t xml:space="preserve">Shing Shang Lily (IRE)</t>
  </si>
  <si>
    <t xml:space="preserve">Gainford, Jordan</t>
  </si>
  <si>
    <t xml:space="preserve">Collins, C M</t>
  </si>
  <si>
    <t xml:space="preserve">Rumble Demosa (IRE)</t>
  </si>
  <si>
    <t xml:space="preserve">Silin Alainn (IRE)</t>
  </si>
  <si>
    <t xml:space="preserve">Leading Endeavour (IRE)</t>
  </si>
  <si>
    <t xml:space="preserve">Ixigreczed (FR)</t>
  </si>
  <si>
    <t xml:space="preserve">Clarke, Conor(7)</t>
  </si>
  <si>
    <t xml:space="preserve">Seymour, E</t>
  </si>
  <si>
    <t xml:space="preserve">Jolly Dolivate (FR)</t>
  </si>
  <si>
    <t xml:space="preserve">Shoemark, Kieran</t>
  </si>
  <si>
    <t xml:space="preserve">Senor Blues</t>
  </si>
  <si>
    <t xml:space="preserve">Edmunds, Lewis</t>
  </si>
  <si>
    <t xml:space="preserve">Charlton, Roger/Harry</t>
  </si>
  <si>
    <t xml:space="preserve">Quorum (GER)</t>
  </si>
  <si>
    <t xml:space="preserve">Maxton</t>
  </si>
  <si>
    <t xml:space="preserve">Chapple-Hyam, Jane</t>
  </si>
  <si>
    <t xml:space="preserve">Sterling Cooper (IRE)</t>
  </si>
  <si>
    <t xml:space="preserve">State Emperor (IRE)</t>
  </si>
  <si>
    <t xml:space="preserve">Twelve Bars (IRE)</t>
  </si>
  <si>
    <t xml:space="preserve">Minsmere (IRE)</t>
  </si>
  <si>
    <t xml:space="preserve">Dobbs, Pat</t>
  </si>
  <si>
    <t xml:space="preserve">Blue Victory (IRE)</t>
  </si>
  <si>
    <t xml:space="preserve">Knight, W J</t>
  </si>
  <si>
    <t xml:space="preserve">Jeepers Fortune (IRE)</t>
  </si>
  <si>
    <t xml:space="preserve">Eustace, Harry</t>
  </si>
  <si>
    <t xml:space="preserve">Clink (IRE)</t>
  </si>
  <si>
    <t xml:space="preserve">Marsh, Finley</t>
  </si>
  <si>
    <t xml:space="preserve">Soho</t>
  </si>
  <si>
    <t xml:space="preserve">Fraser, Kaiya</t>
  </si>
  <si>
    <t xml:space="preserve">Arcimedes</t>
  </si>
  <si>
    <t xml:space="preserve">Egan, John</t>
  </si>
  <si>
    <t xml:space="preserve">Wigham, M</t>
  </si>
  <si>
    <t xml:space="preserve">Dancingonthestars (IRE)</t>
  </si>
  <si>
    <t xml:space="preserve">McHugh, K S(7)</t>
  </si>
  <si>
    <t xml:space="preserve">Yorkshire (IRE)</t>
  </si>
  <si>
    <t xml:space="preserve">Tudhope, Daniel</t>
  </si>
  <si>
    <t xml:space="preserve">Ata Rangi (IRE)</t>
  </si>
  <si>
    <t xml:space="preserve">Storm Free</t>
  </si>
  <si>
    <t xml:space="preserve">Tate, James</t>
  </si>
  <si>
    <t xml:space="preserve">U Sure Do (IRE)</t>
  </si>
  <si>
    <t xml:space="preserve">Allan, David</t>
  </si>
  <si>
    <t xml:space="preserve">Aurora Majesty (IRE)</t>
  </si>
  <si>
    <t xml:space="preserve">Watson, Archie</t>
  </si>
  <si>
    <t xml:space="preserve">Spaceman (IRE)</t>
  </si>
  <si>
    <t xml:space="preserve">Bobby Bennu (IRE)</t>
  </si>
  <si>
    <t xml:space="preserve">Scutari</t>
  </si>
  <si>
    <t xml:space="preserve">Nicholls, Jack(3)</t>
  </si>
  <si>
    <t xml:space="preserve">Great Dream</t>
  </si>
  <si>
    <t xml:space="preserve">Swift, Dale</t>
  </si>
  <si>
    <t xml:space="preserve">Spencer, Seb</t>
  </si>
  <si>
    <t xml:space="preserve">Saunders, Lewis(3)</t>
  </si>
  <si>
    <t xml:space="preserve">Al Mootamarid (IRE)</t>
  </si>
  <si>
    <t xml:space="preserve">McCain-Mitchell, Toby</t>
  </si>
  <si>
    <t xml:space="preserve">Lucky Sevens</t>
  </si>
  <si>
    <t xml:space="preserve">Corcoran, Rian</t>
  </si>
  <si>
    <t xml:space="preserve">Douglas Dc (IRE)</t>
  </si>
  <si>
    <t xml:space="preserve">Slatter, Nick</t>
  </si>
  <si>
    <t xml:space="preserve">Carroll, A W</t>
  </si>
  <si>
    <t xml:space="preserve">Castle Quarter (IRE)</t>
  </si>
  <si>
    <t xml:space="preserve">Harris, Bradley(3)</t>
  </si>
  <si>
    <t xml:space="preserve">Mulholland, N P</t>
  </si>
  <si>
    <t xml:space="preserve">Peters Last Deal (FR)</t>
  </si>
  <si>
    <t xml:space="preserve">T Or Coffey (IRE)</t>
  </si>
  <si>
    <t xml:space="preserve">Stones, Lewis</t>
  </si>
  <si>
    <t xml:space="preserve">Granny B (IRE)</t>
  </si>
  <si>
    <t xml:space="preserve">Maggs, William</t>
  </si>
  <si>
    <t xml:space="preserve">Mullineaux, M</t>
  </si>
  <si>
    <t xml:space="preserve">Connemara Joe (IRE)</t>
  </si>
  <si>
    <t xml:space="preserve">Iles, Cameron</t>
  </si>
  <si>
    <t xml:space="preserve">McConnell, John C</t>
  </si>
  <si>
    <t xml:space="preserve">Drop A Threat (IRE)</t>
  </si>
  <si>
    <t xml:space="preserve">Nettuno Italia (IRE)</t>
  </si>
  <si>
    <t xml:space="preserve">Markey, S R(7)</t>
  </si>
  <si>
    <t xml:space="preserve">OSullivan, Ross</t>
  </si>
  <si>
    <t xml:space="preserve">Kings Jet (IRE)</t>
  </si>
  <si>
    <t xml:space="preserve">Farrell, C W J</t>
  </si>
  <si>
    <t xml:space="preserve">Stoneyford Lady (IRE)</t>
  </si>
  <si>
    <t xml:space="preserve">Crescent Moon (FR)</t>
  </si>
  <si>
    <t xml:space="preserve">Donoghue, K M</t>
  </si>
  <si>
    <t xml:space="preserve">Gaelic Des Chastys (FR)</t>
  </si>
  <si>
    <t xml:space="preserve">Cocovic (IRE)</t>
  </si>
  <si>
    <t xml:space="preserve">Giant Haystacks (IRE)</t>
  </si>
  <si>
    <t xml:space="preserve">Aurea Fortuna (IRE)</t>
  </si>
  <si>
    <t xml:space="preserve">Martin, A J</t>
  </si>
  <si>
    <t xml:space="preserve">Golden Temple (IRE)</t>
  </si>
  <si>
    <t xml:space="preserve">Grange Walk (IRE)</t>
  </si>
  <si>
    <t xml:space="preserve">Potters Pal (FR)</t>
  </si>
  <si>
    <t xml:space="preserve">Cooper, Thomas</t>
  </si>
  <si>
    <t xml:space="preserve">Toon Town (IRE)</t>
  </si>
  <si>
    <t xml:space="preserve">Cahirdown Boy (IRE)</t>
  </si>
  <si>
    <t xml:space="preserve">Hogan, C M(5)</t>
  </si>
  <si>
    <t xml:space="preserve">Nolans Rocco (IRE)</t>
  </si>
  <si>
    <t xml:space="preserve">Butler, Padraig</t>
  </si>
  <si>
    <t xml:space="preserve">Inchidaly Copper (IRE)</t>
  </si>
  <si>
    <t xml:space="preserve">Burke-Ott, Luke(7)</t>
  </si>
  <si>
    <t xml:space="preserve">Ott, Alexander</t>
  </si>
  <si>
    <t xml:space="preserve">Class 6</t>
  </si>
  <si>
    <t xml:space="preserve">Standard</t>
  </si>
  <si>
    <t xml:space="preserve">Mulrennan, Paul</t>
  </si>
  <si>
    <t xml:space="preserve">Makin, Phillip</t>
  </si>
  <si>
    <t xml:space="preserve">Newport</t>
  </si>
  <si>
    <t xml:space="preserve">Marshall, Tom Kiely(3)</t>
  </si>
  <si>
    <t xml:space="preserve">Hey Havana (IRE)</t>
  </si>
  <si>
    <t xml:space="preserve">Harker, G A</t>
  </si>
  <si>
    <t xml:space="preserve">That Darn Cantor</t>
  </si>
  <si>
    <t xml:space="preserve">Scott, Rowan</t>
  </si>
  <si>
    <t xml:space="preserve">Dunlop, E A L</t>
  </si>
  <si>
    <t xml:space="preserve">Havachoc</t>
  </si>
  <si>
    <t xml:space="preserve">Morris, Patrick</t>
  </si>
  <si>
    <t xml:space="preserve">Ouro Preto (FR)</t>
  </si>
  <si>
    <t xml:space="preserve">Mullen, Andrew</t>
  </si>
  <si>
    <t xml:space="preserve">Cusack</t>
  </si>
  <si>
    <t xml:space="preserve">Mangan, Gina</t>
  </si>
  <si>
    <t xml:space="preserve">Thompson, D W</t>
  </si>
  <si>
    <t xml:space="preserve">Dancingondiamonds (FR)</t>
  </si>
  <si>
    <t xml:space="preserve">Beckon</t>
  </si>
  <si>
    <t xml:space="preserve">Wood, George</t>
  </si>
  <si>
    <t xml:space="preserve">Corbett, Mrs Susan</t>
  </si>
  <si>
    <t xml:space="preserve">Spirit Of Nature (IRE)</t>
  </si>
  <si>
    <t xml:space="preserve">Goldie, J S</t>
  </si>
  <si>
    <t xml:space="preserve">Sutton Hoo (IRE)</t>
  </si>
  <si>
    <t xml:space="preserve">Dace, Jack(5)</t>
  </si>
  <si>
    <t xml:space="preserve">Beat The Odds</t>
  </si>
  <si>
    <t xml:space="preserve">Hardie, Cameron</t>
  </si>
  <si>
    <t xml:space="preserve">Brittain, Antony</t>
  </si>
  <si>
    <t xml:space="preserve">Flying Frontier</t>
  </si>
  <si>
    <t xml:space="preserve">Joulany (IRE)</t>
  </si>
  <si>
    <t xml:space="preserve">Hornby, Rob</t>
  </si>
  <si>
    <t xml:space="preserve">Be The Standard (FR)</t>
  </si>
  <si>
    <t xml:space="preserve">Mythical Guest (IRE)</t>
  </si>
  <si>
    <t xml:space="preserve">Shepherd, Callum</t>
  </si>
  <si>
    <t xml:space="preserve">Margarson, G G</t>
  </si>
  <si>
    <t xml:space="preserve">Runswick (IRE)</t>
  </si>
  <si>
    <t xml:space="preserve">Mythical Bird (IRE)</t>
  </si>
  <si>
    <t xml:space="preserve">Morrison, H</t>
  </si>
  <si>
    <t xml:space="preserve">Silca Bay</t>
  </si>
  <si>
    <t xml:space="preserve">Carmichael, Oliver(7)</t>
  </si>
  <si>
    <t xml:space="preserve">Livemore</t>
  </si>
  <si>
    <t xml:space="preserve">Kent, T J</t>
  </si>
  <si>
    <t xml:space="preserve">Glory Of The Seas</t>
  </si>
  <si>
    <t xml:space="preserve">My Ballyquinn</t>
  </si>
  <si>
    <t xml:space="preserve">Itica</t>
  </si>
  <si>
    <t xml:space="preserve">Viva Laa Vida (IRE)</t>
  </si>
  <si>
    <t xml:space="preserve">Gleeson, Mr J L</t>
  </si>
  <si>
    <t xml:space="preserve">Anna Quaintance (IRE)</t>
  </si>
  <si>
    <t xml:space="preserve">Ryan, Mr A P(5)</t>
  </si>
  <si>
    <t xml:space="preserve">Birdie Conway (IRE)</t>
  </si>
  <si>
    <t xml:space="preserve">Discussion (IRE)</t>
  </si>
  <si>
    <t xml:space="preserve">Maguire, Mr F</t>
  </si>
  <si>
    <t xml:space="preserve">Weld, Charles</t>
  </si>
  <si>
    <t xml:space="preserve">Shuil Solas (IRE)</t>
  </si>
  <si>
    <t xml:space="preserve">OConnor, Derek</t>
  </si>
  <si>
    <t xml:space="preserve">Kiely, J E and Thomas</t>
  </si>
  <si>
    <t xml:space="preserve">An Lachin Beag (IRE)</t>
  </si>
  <si>
    <t xml:space="preserve">Cleary, Paddy(7)</t>
  </si>
  <si>
    <t xml:space="preserve">Slevin, Nigel</t>
  </si>
  <si>
    <t xml:space="preserve">The Ocean Queen (IRE)</t>
  </si>
  <si>
    <t xml:space="preserve">Lavery, Mr D G</t>
  </si>
  <si>
    <t xml:space="preserve">Mistakenforanother (IRE)</t>
  </si>
  <si>
    <t xml:space="preserve">Doyle, Mr D(7)</t>
  </si>
  <si>
    <t xml:space="preserve">Certavi Et Vici (IRE)</t>
  </si>
  <si>
    <t xml:space="preserve">Buckley, Mr Finn(7)</t>
  </si>
  <si>
    <t xml:space="preserve">Max Mayfield (IRE)</t>
  </si>
  <si>
    <t xml:space="preserve">Peace Rose (IRE)</t>
  </si>
  <si>
    <t xml:space="preserve">Conte, Mrs Holly(7)</t>
  </si>
  <si>
    <t xml:space="preserve">Conte, Vincent</t>
  </si>
  <si>
    <t xml:space="preserve">Streamhill (IRE)</t>
  </si>
  <si>
    <t xml:space="preserve">Dorgan, Grace(7)</t>
  </si>
  <si>
    <t xml:space="preserve">Orbital Ocean (IRE)</t>
  </si>
  <si>
    <t xml:space="preserve">McGuinness, Anna(7)</t>
  </si>
  <si>
    <t xml:space="preserve">Mullins, Ms Margaret</t>
  </si>
  <si>
    <t xml:space="preserve">Miss Willow Grey (IRE)</t>
  </si>
  <si>
    <t xml:space="preserve">Roche, Michael</t>
  </si>
  <si>
    <t xml:space="preserve">Feeling Lucky (IRE)</t>
  </si>
  <si>
    <t xml:space="preserve">Barron, Mr R W(5)</t>
  </si>
  <si>
    <t xml:space="preserve">Lee, Miss J M</t>
  </si>
  <si>
    <t xml:space="preserve">Brookes, Aiden</t>
  </si>
  <si>
    <t xml:space="preserve">Hammond, Micky</t>
  </si>
  <si>
    <t xml:space="preserve">Gemini Man (IRE)</t>
  </si>
  <si>
    <t xml:space="preserve">Balmoral Boy (IRE)</t>
  </si>
  <si>
    <t xml:space="preserve">Jary, Alex(3)</t>
  </si>
  <si>
    <t xml:space="preserve">Tinkler, N</t>
  </si>
  <si>
    <t xml:space="preserve">Eagles Dream (IRE)</t>
  </si>
  <si>
    <t xml:space="preserve">Davidson, Tristan</t>
  </si>
  <si>
    <t xml:space="preserve">Pureis King (FR)</t>
  </si>
  <si>
    <t xml:space="preserve">Rorys Gold (IRE)</t>
  </si>
  <si>
    <t xml:space="preserve">Waugh, Amie(3)</t>
  </si>
  <si>
    <t xml:space="preserve">Waugh, S G</t>
  </si>
  <si>
    <t xml:space="preserve">Falaise Blanc (FR)</t>
  </si>
  <si>
    <t xml:space="preserve">Fairley, Greg</t>
  </si>
  <si>
    <t xml:space="preserve">Scott, Miss Katie</t>
  </si>
  <si>
    <t xml:space="preserve">Game Management</t>
  </si>
  <si>
    <t xml:space="preserve">Gray, S A</t>
  </si>
  <si>
    <t xml:space="preserve">Quinlan, Elizabeth</t>
  </si>
  <si>
    <t xml:space="preserve">Yaaser (IRE)</t>
  </si>
  <si>
    <t xml:space="preserve">Prince Achille</t>
  </si>
  <si>
    <t xml:space="preserve">Garritty, Jack</t>
  </si>
  <si>
    <t xml:space="preserve">OKeeffe, Jedd</t>
  </si>
  <si>
    <t xml:space="preserve">Phaedra</t>
  </si>
  <si>
    <t xml:space="preserve">Carwyn (IRE)</t>
  </si>
  <si>
    <t xml:space="preserve">Rajawail</t>
  </si>
  <si>
    <t xml:space="preserve">Coughlan, Laura(3)</t>
  </si>
  <si>
    <t xml:space="preserve">Rothwell, B S</t>
  </si>
  <si>
    <t xml:space="preserve">Todhunter, M</t>
  </si>
  <si>
    <t xml:space="preserve">Velvet Whisper (IRE)</t>
  </si>
  <si>
    <t xml:space="preserve">Shaffron</t>
  </si>
  <si>
    <t xml:space="preserve">Dust Cover</t>
  </si>
  <si>
    <t xml:space="preserve">Burdon, R</t>
  </si>
  <si>
    <t xml:space="preserve">Joanna Hiffernan</t>
  </si>
  <si>
    <t xml:space="preserve">Percy Jones</t>
  </si>
  <si>
    <t xml:space="preserve">Bradley, Paddy</t>
  </si>
  <si>
    <t xml:space="preserve">Kotari (FR)</t>
  </si>
  <si>
    <t xml:space="preserve">Moore, Gary and Josh</t>
  </si>
  <si>
    <t xml:space="preserve">Ottoman (IRE)</t>
  </si>
  <si>
    <t xml:space="preserve">Vigors, Harry(5)</t>
  </si>
  <si>
    <t xml:space="preserve">Billy No Mates (IRE)</t>
  </si>
  <si>
    <t xml:space="preserve">Elliott, Rhys(5)</t>
  </si>
  <si>
    <t xml:space="preserve">Good Onya Mate (IRE)</t>
  </si>
  <si>
    <t xml:space="preserve">Hart, Jason</t>
  </si>
  <si>
    <t xml:space="preserve">Bell, M L W</t>
  </si>
  <si>
    <t xml:space="preserve">Marbuzet</t>
  </si>
  <si>
    <t xml:space="preserve">Togeather Forever (IRE)</t>
  </si>
  <si>
    <t xml:space="preserve">Young, Lauren(5)</t>
  </si>
  <si>
    <t xml:space="preserve">Carroll, G F</t>
  </si>
  <si>
    <t xml:space="preserve">White Smoke (IRE)</t>
  </si>
  <si>
    <t xml:space="preserve">Grassick, M C</t>
  </si>
  <si>
    <t xml:space="preserve">All Hail (IRE)</t>
  </si>
  <si>
    <t xml:space="preserve">Hayes, C D</t>
  </si>
  <si>
    <t xml:space="preserve">Beach Barbie (IRE)</t>
  </si>
  <si>
    <t xml:space="preserve">Ryan, J J G</t>
  </si>
  <si>
    <t xml:space="preserve">Lynam, Edward</t>
  </si>
  <si>
    <t xml:space="preserve">In The Gloaming (IRE)</t>
  </si>
  <si>
    <t xml:space="preserve">Crosse, Nathan</t>
  </si>
  <si>
    <t xml:space="preserve">Hallelujah Rose (IRE)</t>
  </si>
  <si>
    <t xml:space="preserve">Mulligan, R M(5)</t>
  </si>
  <si>
    <t xml:space="preserve">McIntyre, Alan</t>
  </si>
  <si>
    <t xml:space="preserve">Aughlish (IRE)</t>
  </si>
  <si>
    <t xml:space="preserve">McDonogh, D P</t>
  </si>
  <si>
    <t xml:space="preserve">OConnell, Ms Claire</t>
  </si>
  <si>
    <t xml:space="preserve">Betsy Trotwood (USA)</t>
  </si>
  <si>
    <t xml:space="preserve">Ryan, Gavin</t>
  </si>
  <si>
    <t xml:space="preserve">Cleopatra Dream</t>
  </si>
  <si>
    <t xml:space="preserve">Dias, Diego</t>
  </si>
  <si>
    <t xml:space="preserve">San Giulio (IRE)</t>
  </si>
  <si>
    <t xml:space="preserve">McAteer, L T</t>
  </si>
  <si>
    <t xml:space="preserve">Marnane, David</t>
  </si>
  <si>
    <t xml:space="preserve">Optics (IRE)</t>
  </si>
  <si>
    <t xml:space="preserve">McDowall, Ms M</t>
  </si>
  <si>
    <t xml:space="preserve">Ravens Call (IRE)</t>
  </si>
  <si>
    <t xml:space="preserve">Tudor Flame (IRE)</t>
  </si>
  <si>
    <t xml:space="preserve">McGettigan, P(5)</t>
  </si>
  <si>
    <t xml:space="preserve">Feane, John James</t>
  </si>
  <si>
    <t xml:space="preserve">Sarfarcat (IRE)</t>
  </si>
  <si>
    <t xml:space="preserve">Holohan, Reese(7)</t>
  </si>
  <si>
    <t xml:space="preserve">Coyle, Thomas</t>
  </si>
  <si>
    <t xml:space="preserve">Whatsin The Stars (IRE)</t>
  </si>
  <si>
    <t xml:space="preserve">Wallace, S A(7)</t>
  </si>
  <si>
    <t xml:space="preserve">Flynn, Paul W</t>
  </si>
  <si>
    <t xml:space="preserve">Anaverna (IRE)</t>
  </si>
  <si>
    <t xml:space="preserve">McArdle, Aleesha(10)</t>
  </si>
  <si>
    <t xml:space="preserve">Rice, M M</t>
  </si>
  <si>
    <t xml:space="preserve">Harrington, Mrs John</t>
  </si>
  <si>
    <t xml:space="preserve">Enniskerry (IRE)</t>
  </si>
  <si>
    <t xml:space="preserve">Connell, B</t>
  </si>
  <si>
    <t xml:space="preserve">Delta</t>
  </si>
  <si>
    <t xml:space="preserve">OBrien, Joseph Patrick</t>
  </si>
  <si>
    <t xml:space="preserve">Ebony King (IRE)</t>
  </si>
  <si>
    <t xml:space="preserve">Minella Hollow (IRE)</t>
  </si>
  <si>
    <t xml:space="preserve">McGill, Mr O(5)</t>
  </si>
  <si>
    <t xml:space="preserve">Nallen, John J</t>
  </si>
  <si>
    <t xml:space="preserve">World Of Fortunes (IRE)</t>
  </si>
  <si>
    <t xml:space="preserve">Kenny, James</t>
  </si>
  <si>
    <t xml:space="preserve">Anyway (GER)</t>
  </si>
  <si>
    <t xml:space="preserve">Budds, David Kenneth</t>
  </si>
  <si>
    <t xml:space="preserve">Sunny South West (IRE)</t>
  </si>
  <si>
    <t xml:space="preserve">Dunne, Mr J(7)</t>
  </si>
  <si>
    <t xml:space="preserve">Power, Edward F</t>
  </si>
  <si>
    <t xml:space="preserve">Antrim Coast (IRE)</t>
  </si>
  <si>
    <t xml:space="preserve">Devine, Rory</t>
  </si>
  <si>
    <t xml:space="preserve">Maidenstreetprince (IRE)</t>
  </si>
  <si>
    <t xml:space="preserve">Fitzgibbon, Miss A L(7)</t>
  </si>
  <si>
    <t xml:space="preserve">Blue Train (IRE)</t>
  </si>
  <si>
    <t xml:space="preserve">Bustin, Mr A D(7)</t>
  </si>
  <si>
    <t xml:space="preserve">Morse (IRE)</t>
  </si>
  <si>
    <t xml:space="preserve">OConnor, Miss A B</t>
  </si>
  <si>
    <t xml:space="preserve">Typical Thomas (IRE)</t>
  </si>
  <si>
    <t xml:space="preserve">Fahey, James</t>
  </si>
  <si>
    <t xml:space="preserve">Build A Bridge (IRE)</t>
  </si>
  <si>
    <t xml:space="preserve">OBrien, Mr E P(5)</t>
  </si>
  <si>
    <t xml:space="preserve">Ben Vrackie</t>
  </si>
  <si>
    <t xml:space="preserve">Smith, Miss Hazel Anne(7)</t>
  </si>
  <si>
    <t xml:space="preserve">Kidam Roque (FR)</t>
  </si>
  <si>
    <t xml:space="preserve">Madden, I</t>
  </si>
  <si>
    <t xml:space="preserve">Janora (IRE)</t>
  </si>
  <si>
    <t xml:space="preserve">Farmer, Shay(5)</t>
  </si>
  <si>
    <t xml:space="preserve">Elite Approach</t>
  </si>
  <si>
    <t xml:space="preserve">Whatever Bruce</t>
  </si>
  <si>
    <t xml:space="preserve">Kearney, J</t>
  </si>
  <si>
    <t xml:space="preserve">Davison, Jack W</t>
  </si>
  <si>
    <t xml:space="preserve">Caffu Zafeen (IRE)</t>
  </si>
  <si>
    <t xml:space="preserve">Mehman</t>
  </si>
  <si>
    <t xml:space="preserve">Cusack, C(7)</t>
  </si>
  <si>
    <t xml:space="preserve">Murphy, P J F</t>
  </si>
  <si>
    <t xml:space="preserve">Firewalker</t>
  </si>
  <si>
    <t xml:space="preserve">McGettigan, P(2)</t>
  </si>
  <si>
    <t xml:space="preserve">Aguiar, Robson</t>
  </si>
  <si>
    <t xml:space="preserve">Kc Bear (IRE)</t>
  </si>
  <si>
    <t xml:space="preserve">Burns, Nicola(2)</t>
  </si>
  <si>
    <t xml:space="preserve">Soulful Diva (IRE)</t>
  </si>
  <si>
    <t xml:space="preserve">Parsons, Rebecca(7)</t>
  </si>
  <si>
    <t xml:space="preserve">Leveraging (IRE)</t>
  </si>
  <si>
    <t xml:space="preserve">Cleary, Jack</t>
  </si>
  <si>
    <t xml:space="preserve">Lavery, Ms Sheila</t>
  </si>
  <si>
    <t xml:space="preserve">Frosted Sky</t>
  </si>
  <si>
    <t xml:space="preserve">Kennedy, K G</t>
  </si>
  <si>
    <t xml:space="preserve">McLoughlin, Daniel</t>
  </si>
  <si>
    <t xml:space="preserve">Boston Max (IRE)</t>
  </si>
  <si>
    <t xml:space="preserve">Doherty, Nina(7)</t>
  </si>
  <si>
    <t xml:space="preserve">Profit Surge (IRE)</t>
  </si>
  <si>
    <t xml:space="preserve">Tormey, Sadhbh(7)</t>
  </si>
  <si>
    <t xml:space="preserve">Donoghue, Ian</t>
  </si>
  <si>
    <t xml:space="preserve">Spirit Above (IRE)</t>
  </si>
  <si>
    <t xml:space="preserve">Mulligan, R M</t>
  </si>
  <si>
    <t xml:space="preserve">Smith, Kevin</t>
  </si>
  <si>
    <t xml:space="preserve">Prince Andorra (IRE)</t>
  </si>
  <si>
    <t xml:space="preserve">Casey, A J(7)</t>
  </si>
  <si>
    <t xml:space="preserve">Top Cote (IRE)</t>
  </si>
  <si>
    <t xml:space="preserve">Morland, Jack</t>
  </si>
  <si>
    <t xml:space="preserve">Showcasing Glory (IRE)</t>
  </si>
  <si>
    <t xml:space="preserve">Hidden Army (IRE)</t>
  </si>
  <si>
    <t xml:space="preserve">Russell, Harry</t>
  </si>
  <si>
    <t xml:space="preserve">Pears, Ollie</t>
  </si>
  <si>
    <t xml:space="preserve">Alberich (IRE)</t>
  </si>
  <si>
    <t xml:space="preserve">Comeonfeelthenoise (IRE)</t>
  </si>
  <si>
    <t xml:space="preserve">Lions Den (IRE)</t>
  </si>
  <si>
    <t xml:space="preserve">Winn, Mark</t>
  </si>
  <si>
    <t xml:space="preserve">Binksy Boy (IRE)</t>
  </si>
  <si>
    <t xml:space="preserve">Pushing The Limits</t>
  </si>
  <si>
    <t xml:space="preserve">Veloxian (IRE)</t>
  </si>
  <si>
    <t xml:space="preserve">Stammers, Oliver</t>
  </si>
  <si>
    <t xml:space="preserve">Tuer, Grant</t>
  </si>
  <si>
    <t xml:space="preserve">So Farhh</t>
  </si>
  <si>
    <t xml:space="preserve">Fentiman, Duran</t>
  </si>
  <si>
    <t xml:space="preserve">Seadreamin</t>
  </si>
  <si>
    <t xml:space="preserve">Haven (IRE)</t>
  </si>
  <si>
    <t xml:space="preserve">Lordan, W M</t>
  </si>
  <si>
    <t xml:space="preserve">OBrien, A P</t>
  </si>
  <si>
    <t xml:space="preserve">Sensational Filly (FR)</t>
  </si>
  <si>
    <t xml:space="preserve">Twomey, P</t>
  </si>
  <si>
    <t xml:space="preserve">Battle Tested (IRE)</t>
  </si>
  <si>
    <t xml:space="preserve">Obrien, Donnacha</t>
  </si>
  <si>
    <t xml:space="preserve">Maple Leaves (IRE)</t>
  </si>
  <si>
    <t xml:space="preserve">My Nation (IRE)</t>
  </si>
  <si>
    <t xml:space="preserve">Coloursofthewind (IRE)</t>
  </si>
  <si>
    <t xml:space="preserve">Murphy, Joseph G</t>
  </si>
  <si>
    <t xml:space="preserve">Big City Girl (USA)</t>
  </si>
  <si>
    <t xml:space="preserve">OConnor, Donagh</t>
  </si>
  <si>
    <t xml:space="preserve">Reyika (IRE)</t>
  </si>
  <si>
    <t xml:space="preserve">Solis Maior (FR)</t>
  </si>
  <si>
    <t xml:space="preserve">Bajans</t>
  </si>
  <si>
    <t xml:space="preserve">Slattery, A J</t>
  </si>
  <si>
    <t xml:space="preserve">Halley, Josh</t>
  </si>
  <si>
    <t xml:space="preserve">Kokoshanelle (IRE)</t>
  </si>
  <si>
    <t xml:space="preserve">Colgan, R C</t>
  </si>
  <si>
    <t xml:space="preserve">Lady H</t>
  </si>
  <si>
    <t xml:space="preserve">Step In Style (IRE)</t>
  </si>
  <si>
    <t xml:space="preserve">McCann, Anthony</t>
  </si>
  <si>
    <t xml:space="preserve">Horgan, C(5)</t>
  </si>
  <si>
    <t xml:space="preserve">Craggs, R</t>
  </si>
  <si>
    <t xml:space="preserve">Havin A Flyer</t>
  </si>
  <si>
    <t xml:space="preserve">Phoenix Beach (IRE)</t>
  </si>
  <si>
    <t xml:space="preserve">Dixon, Scott</t>
  </si>
  <si>
    <t xml:space="preserve">Sixcor</t>
  </si>
  <si>
    <t xml:space="preserve">Perratt, Miss L A</t>
  </si>
  <si>
    <t xml:space="preserve">Doralee</t>
  </si>
  <si>
    <t xml:space="preserve">Shatin Venture (IRE)</t>
  </si>
  <si>
    <t xml:space="preserve">Moretons</t>
  </si>
  <si>
    <t xml:space="preserve">Magee, Patrick</t>
  </si>
  <si>
    <t xml:space="preserve">Leannespour (IRE)</t>
  </si>
  <si>
    <t xml:space="preserve">Storm Eric (IRE)</t>
  </si>
  <si>
    <t xml:space="preserve">Grant, A S(7)</t>
  </si>
  <si>
    <t xml:space="preserve">Flynn, Jamie</t>
  </si>
  <si>
    <t xml:space="preserve">Movin And Groovin (IRE)</t>
  </si>
  <si>
    <t xml:space="preserve">Glen Breeze (IRE)</t>
  </si>
  <si>
    <t xml:space="preserve">Lady Landhort (IRE)</t>
  </si>
  <si>
    <t xml:space="preserve">Cannonball Queen (IRE)</t>
  </si>
  <si>
    <t xml:space="preserve">Leonard, Killian</t>
  </si>
  <si>
    <t xml:space="preserve">Duffy, S M</t>
  </si>
  <si>
    <t xml:space="preserve">Dubai Opulence (IRE)</t>
  </si>
  <si>
    <t xml:space="preserve">Dowling, Thomas</t>
  </si>
  <si>
    <t xml:space="preserve">Bright Dick (IRE)</t>
  </si>
  <si>
    <t xml:space="preserve">Comer, Luke</t>
  </si>
  <si>
    <t xml:space="preserve">Colugo (IRE)</t>
  </si>
  <si>
    <t xml:space="preserve">Monaghan, Caragh(7)</t>
  </si>
  <si>
    <t xml:space="preserve">Virgil Tibbs (IRE)</t>
  </si>
  <si>
    <t xml:space="preserve">Queen Leila</t>
  </si>
  <si>
    <t xml:space="preserve">Kelly, S B</t>
  </si>
  <si>
    <t xml:space="preserve">Kelly, Noel C</t>
  </si>
  <si>
    <t xml:space="preserve">River Derwent</t>
  </si>
  <si>
    <t xml:space="preserve">Never Mind Me</t>
  </si>
  <si>
    <t xml:space="preserve">Heffernan, J A</t>
  </si>
  <si>
    <t xml:space="preserve">Geraghty, David</t>
  </si>
  <si>
    <t xml:space="preserve">One Cool County (IRE)</t>
  </si>
  <si>
    <t xml:space="preserve">May Night</t>
  </si>
  <si>
    <t xml:space="preserve">Huggan, Jared(10)</t>
  </si>
  <si>
    <t xml:space="preserve">Hurley, Raymond</t>
  </si>
  <si>
    <t xml:space="preserve">Oldroyd, G R</t>
  </si>
  <si>
    <t xml:space="preserve">Bajan Bandit</t>
  </si>
  <si>
    <t xml:space="preserve">Sassy Glory (IRE)</t>
  </si>
  <si>
    <t xml:space="preserve">Walford, Mark</t>
  </si>
  <si>
    <t xml:space="preserve">Volenti (IRE)</t>
  </si>
  <si>
    <t xml:space="preserve">England, Sam</t>
  </si>
  <si>
    <t xml:space="preserve">Adelaide Bay</t>
  </si>
  <si>
    <t xml:space="preserve">Bourke, D F</t>
  </si>
  <si>
    <t xml:space="preserve">Toralou (IRE)</t>
  </si>
  <si>
    <t xml:space="preserve">Travis</t>
  </si>
  <si>
    <t xml:space="preserve">Trais Fluors</t>
  </si>
  <si>
    <t xml:space="preserve">One More Bottle</t>
  </si>
  <si>
    <t xml:space="preserve">Auroras Doublesix (IRE)</t>
  </si>
  <si>
    <t xml:space="preserve">Charles Fort</t>
  </si>
  <si>
    <t xml:space="preserve">Kilcrea Rock (IRE)</t>
  </si>
  <si>
    <t xml:space="preserve">Sheridan, J M</t>
  </si>
  <si>
    <t xml:space="preserve">Alla Stella</t>
  </si>
  <si>
    <t xml:space="preserve">Prescott, Sir Mark</t>
  </si>
  <si>
    <t xml:space="preserve">Nuit (IRE)</t>
  </si>
  <si>
    <t xml:space="preserve">Whelan, R P</t>
  </si>
  <si>
    <t xml:space="preserve">Spicy Margarita (IRE)</t>
  </si>
  <si>
    <t xml:space="preserve">Flowstate (IRE)</t>
  </si>
  <si>
    <t xml:space="preserve">Beattie Is Back</t>
  </si>
  <si>
    <t xml:space="preserve">Fentiman, Warren(3)</t>
  </si>
  <si>
    <t xml:space="preserve">Havana Prince</t>
  </si>
  <si>
    <t xml:space="preserve">Coyle, Tony</t>
  </si>
  <si>
    <t xml:space="preserve">Lord Capulet (IRE)</t>
  </si>
  <si>
    <t xml:space="preserve">Criminal Shore (IRE)</t>
  </si>
  <si>
    <t xml:space="preserve">Anthropologist</t>
  </si>
  <si>
    <t xml:space="preserve">Herrington,M</t>
  </si>
  <si>
    <t xml:space="preserve">Intrusively</t>
  </si>
  <si>
    <t xml:space="preserve">Appleby, M</t>
  </si>
  <si>
    <t xml:space="preserve">Tasever</t>
  </si>
  <si>
    <t xml:space="preserve">Lessay (IRE)</t>
  </si>
  <si>
    <t xml:space="preserve">Slieve Binnian (IRE)</t>
  </si>
  <si>
    <t xml:space="preserve">Nakasero (IRE)</t>
  </si>
  <si>
    <t xml:space="preserve">Sakoku (IRE)</t>
  </si>
  <si>
    <t xml:space="preserve">Hamiyan (FR)</t>
  </si>
  <si>
    <t xml:space="preserve">Weld, D K</t>
  </si>
  <si>
    <t xml:space="preserve">Rock Of Claremont (IRE)</t>
  </si>
  <si>
    <t xml:space="preserve">Chosen One (IRE)</t>
  </si>
  <si>
    <t xml:space="preserve">Lough Leane (IRE)</t>
  </si>
  <si>
    <t xml:space="preserve">Ahern, Maurice</t>
  </si>
  <si>
    <t xml:space="preserve">Steel Cut (IRE)</t>
  </si>
  <si>
    <t xml:space="preserve">Handshake (GER)</t>
  </si>
  <si>
    <t xml:space="preserve">Pietropaolo, J(7)</t>
  </si>
  <si>
    <t xml:space="preserve">Flame Of Forest (IRE)</t>
  </si>
  <si>
    <t xml:space="preserve">Lupini, Miss Natalia</t>
  </si>
  <si>
    <t xml:space="preserve">Walhaan (IRE)</t>
  </si>
  <si>
    <t xml:space="preserve">Caffrey, Adam</t>
  </si>
  <si>
    <t xml:space="preserve">Murphy, Ciaran</t>
  </si>
  <si>
    <t xml:space="preserve">Tyraxes (IRE)</t>
  </si>
  <si>
    <t xml:space="preserve">Tribal Moon (IRE)</t>
  </si>
  <si>
    <t xml:space="preserve">Cozone</t>
  </si>
  <si>
    <t xml:space="preserve">Smith, Matthew J</t>
  </si>
  <si>
    <t xml:space="preserve">Trumph (IRE)</t>
  </si>
  <si>
    <t xml:space="preserve">Yaahobby (IRE)</t>
  </si>
  <si>
    <t xml:space="preserve">Tindall, Ethan(5)</t>
  </si>
  <si>
    <t xml:space="preserve">Uncle Sam</t>
  </si>
  <si>
    <t xml:space="preserve">Respectable Jack</t>
  </si>
  <si>
    <t xml:space="preserve">Crawley, Matt</t>
  </si>
  <si>
    <t xml:space="preserve">Reenies Dream</t>
  </si>
  <si>
    <t xml:space="preserve">Smart, B</t>
  </si>
  <si>
    <t xml:space="preserve">Turbo Command (IRE)</t>
  </si>
  <si>
    <t xml:space="preserve">Hamilton, Mrs A C</t>
  </si>
  <si>
    <t xml:space="preserve">Desert Master</t>
  </si>
  <si>
    <t xml:space="preserve">Woodhay Whisper (IRE)</t>
  </si>
  <si>
    <t xml:space="preserve">Barr, R E</t>
  </si>
  <si>
    <t xml:space="preserve">Suzette</t>
  </si>
  <si>
    <t xml:space="preserve">Breeze Star (IRE)</t>
  </si>
  <si>
    <t xml:space="preserve">Wee Dresser</t>
  </si>
  <si>
    <t xml:space="preserve">Mrbluesky (IRE)</t>
  </si>
  <si>
    <t xml:space="preserve">Rutherford, Gary</t>
  </si>
  <si>
    <t xml:space="preserve">Cleary, R P</t>
  </si>
  <si>
    <t xml:space="preserve">Wild Berries (IRE)</t>
  </si>
  <si>
    <t xml:space="preserve">Deluca Chop (FR)</t>
  </si>
  <si>
    <t xml:space="preserve">Bhean Saibhre (IRE)</t>
  </si>
  <si>
    <t xml:space="preserve">Cleary, Jack(5)</t>
  </si>
  <si>
    <t xml:space="preserve">Howard, Aidan Anthony</t>
  </si>
  <si>
    <t xml:space="preserve">Folk Warrior (IRE)</t>
  </si>
  <si>
    <t xml:space="preserve">Nash, J A</t>
  </si>
  <si>
    <t xml:space="preserve">Vervain (IRE)</t>
  </si>
  <si>
    <t xml:space="preserve">Kelly, David Harry</t>
  </si>
  <si>
    <t xml:space="preserve">Chapel Island (IRE)</t>
  </si>
  <si>
    <t xml:space="preserve">Joyce, Wesley</t>
  </si>
  <si>
    <t xml:space="preserve">Ms Messi (IRE)</t>
  </si>
  <si>
    <t xml:space="preserve">Chopsticks (IRE)</t>
  </si>
  <si>
    <t xml:space="preserve">My Vonnie (IRE)</t>
  </si>
  <si>
    <t xml:space="preserve">Whearty, R</t>
  </si>
  <si>
    <t xml:space="preserve">Aiteall (IRE)</t>
  </si>
  <si>
    <t xml:space="preserve">Sonny Corleone (IRE)</t>
  </si>
  <si>
    <t xml:space="preserve">Doherty, Nina(10)</t>
  </si>
  <si>
    <t xml:space="preserve">Highway Sixty One (IRE)</t>
  </si>
  <si>
    <t xml:space="preserve">Sheridan, Mel(7)</t>
  </si>
  <si>
    <t xml:space="preserve">Young, L</t>
  </si>
  <si>
    <t xml:space="preserve">Chant Dor (IRE)</t>
  </si>
  <si>
    <t xml:space="preserve">Zitkala Sa (IRE)</t>
  </si>
  <si>
    <t xml:space="preserve">Sheehy, E</t>
  </si>
  <si>
    <t xml:space="preserve">Macinamillion (IRE)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</si>
</sst>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0"/>
    <numFmt numFmtId="167" formatCode="0.0%"/>
    <numFmt numFmtId="168" formatCode="@"/>
    <numFmt numFmtId="169" formatCode="0.0"/>
    <numFmt numFmtId="170" formatCode="\+0%;\-0%;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/>
      <c r="B2" s="2"/>
    </row>
    <row r="3" customFormat="false" ht="15" hidden="false" customHeight="false" outlineLevel="0" collapsed="false">
      <c r="A3" s="3" t="s">
        <v>1</v>
      </c>
      <c r="B3" s="2" t="n">
        <v>528</v>
      </c>
    </row>
    <row r="4" customFormat="false" ht="15" hidden="false" customHeight="false" outlineLevel="0" collapsed="false">
      <c r="A4" s="3" t="s">
        <v>2</v>
      </c>
      <c r="B4" s="2" t="n">
        <v>44</v>
      </c>
    </row>
    <row r="5" customFormat="false" ht="15" hidden="false" customHeight="false" outlineLevel="0" collapsed="false">
      <c r="A5" s="3" t="s">
        <v>3</v>
      </c>
      <c r="B5" s="2" t="n">
        <v>6</v>
      </c>
    </row>
    <row r="6" customFormat="false" ht="15" hidden="false" customHeight="false" outlineLevel="0" collapsed="false">
      <c r="A6" s="3"/>
      <c r="B6" s="2"/>
    </row>
    <row r="7" customFormat="false" ht="15" hidden="false" customHeight="false" outlineLevel="0" collapsed="false">
      <c r="A7" s="4" t="s">
        <v>4</v>
      </c>
      <c r="B7" s="2"/>
    </row>
    <row r="8" customFormat="false" ht="15" hidden="false" customHeight="false" outlineLevel="0" collapsed="false">
      <c r="A8" s="3" t="s">
        <v>5</v>
      </c>
      <c r="B8" s="2" t="n">
        <v>535</v>
      </c>
    </row>
    <row r="9" customFormat="false" ht="15" hidden="false" customHeight="false" outlineLevel="0" collapsed="false">
      <c r="A9" s="3" t="s">
        <v>6</v>
      </c>
      <c r="B9" s="2" t="s">
        <v>7</v>
      </c>
    </row>
    <row r="10" customFormat="false" ht="15" hidden="false" customHeight="false" outlineLevel="0" collapsed="false">
      <c r="A10" s="3" t="s">
        <v>8</v>
      </c>
      <c r="B10" s="2" t="n">
        <v>3000</v>
      </c>
    </row>
    <row r="11" customFormat="false" ht="15" hidden="false" customHeight="false" outlineLevel="0" collapsed="false">
      <c r="A11" s="3" t="s">
        <v>9</v>
      </c>
      <c r="B11" s="2" t="s">
        <v>10</v>
      </c>
    </row>
    <row r="12" customFormat="false" ht="15" hidden="false" customHeight="false" outlineLevel="0" collapsed="false">
      <c r="A12" s="3" t="s">
        <v>11</v>
      </c>
      <c r="B12" s="2" t="s">
        <v>12</v>
      </c>
    </row>
    <row r="13" customFormat="false" ht="15" hidden="false" customHeight="false" outlineLevel="0" collapsed="false">
      <c r="A13" s="3"/>
      <c r="B13" s="2"/>
    </row>
    <row r="14" customFormat="false" ht="15" hidden="false" customHeight="false" outlineLevel="0" collapsed="false">
      <c r="A14" s="4" t="s">
        <v>13</v>
      </c>
      <c r="B14" s="2"/>
    </row>
    <row r="15" customFormat="false" ht="15" hidden="false" customHeight="false" outlineLevel="0" collapsed="false">
      <c r="A15" s="3" t="s">
        <v>14</v>
      </c>
      <c r="B15" s="2" t="s">
        <v>15</v>
      </c>
    </row>
    <row r="16" customFormat="false" ht="15" hidden="false" customHeight="false" outlineLevel="0" collapsed="false">
      <c r="A16" s="3" t="s">
        <v>16</v>
      </c>
      <c r="B16" s="2" t="s">
        <v>17</v>
      </c>
    </row>
    <row r="17" customFormat="false" ht="15" hidden="false" customHeight="false" outlineLevel="0" collapsed="false">
      <c r="A17" s="3" t="s">
        <v>18</v>
      </c>
      <c r="B17" s="2" t="s">
        <v>19</v>
      </c>
    </row>
    <row r="18" customFormat="false" ht="26.85" hidden="false" customHeight="false" outlineLevel="0" collapsed="false">
      <c r="A18" s="3" t="s">
        <v>20</v>
      </c>
      <c r="B18" s="2" t="s">
        <v>21</v>
      </c>
    </row>
    <row r="19" customFormat="false" ht="15" hidden="false" customHeight="false" outlineLevel="0" collapsed="false">
      <c r="A19" s="3" t="s">
        <v>22</v>
      </c>
      <c r="B19" s="2" t="s">
        <v>23</v>
      </c>
    </row>
    <row r="20" customFormat="false" ht="15" hidden="false" customHeight="false" outlineLevel="0" collapsed="false">
      <c r="A20" s="3"/>
      <c r="B20" s="2"/>
    </row>
    <row r="21" customFormat="false" ht="52.2" hidden="false" customHeight="false" outlineLevel="0" collapsed="false">
      <c r="A21" s="4" t="s">
        <v>24</v>
      </c>
      <c r="B21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8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9" min="8" style="0" width="10"/>
    <col collapsed="false" customWidth="true" hidden="false" outlineLevel="0" max="10" min="10" style="0" width="24"/>
    <col collapsed="false" customWidth="true" hidden="false" outlineLevel="0" max="14" min="11" style="0" width="10"/>
  </cols>
  <sheetData>
    <row r="1" customFormat="false" ht="30" hidden="false" customHeight="true" outlineLevel="0" collapsed="false">
      <c r="A1" s="5" t="s">
        <v>26</v>
      </c>
      <c r="B1" s="5" t="s">
        <v>27</v>
      </c>
      <c r="C1" s="5" t="s">
        <v>28</v>
      </c>
      <c r="D1" s="5" t="s">
        <v>1</v>
      </c>
      <c r="E1" s="5" t="s">
        <v>29</v>
      </c>
      <c r="F1" s="5" t="s">
        <v>30</v>
      </c>
      <c r="G1" s="5" t="s">
        <v>31</v>
      </c>
      <c r="H1" s="5" t="s">
        <v>14</v>
      </c>
      <c r="I1" s="5" t="s">
        <v>16</v>
      </c>
      <c r="J1" s="5" t="s">
        <v>32</v>
      </c>
      <c r="K1" s="5" t="s">
        <v>33</v>
      </c>
      <c r="L1" s="5" t="s">
        <v>34</v>
      </c>
      <c r="M1" s="5" t="s">
        <v>35</v>
      </c>
      <c r="N1" s="5" t="s">
        <v>20</v>
      </c>
    </row>
    <row r="2" customFormat="false" ht="15" hidden="false" customHeight="false" outlineLevel="0" collapsed="false">
      <c r="A2" s="6" t="s">
        <v>36</v>
      </c>
      <c r="B2" s="6" t="s">
        <v>37</v>
      </c>
      <c r="C2" s="6" t="s">
        <v>38</v>
      </c>
      <c r="D2" s="7" t="n">
        <v>10</v>
      </c>
      <c r="E2" s="6" t="s">
        <v>39</v>
      </c>
      <c r="F2" s="6" t="s">
        <v>40</v>
      </c>
      <c r="G2" s="6" t="s">
        <v>41</v>
      </c>
      <c r="H2" s="8" t="n">
        <v>3.30594643104296</v>
      </c>
      <c r="I2" s="9" t="n">
        <v>0.30248524011459</v>
      </c>
      <c r="J2" s="6" t="s">
        <v>42</v>
      </c>
      <c r="K2" s="8" t="n">
        <v>4.68796761981854</v>
      </c>
      <c r="L2" s="9" t="n">
        <v>0.213312053558661</v>
      </c>
      <c r="M2" s="9" t="n">
        <f aca="false">IF(AND(ISNUMBER(I2),ISNUMBER(L2)),I2-L2,"")</f>
        <v>0.0891731865559285</v>
      </c>
      <c r="N2" s="8" t="n">
        <v>1.83333333333333</v>
      </c>
    </row>
    <row r="3" customFormat="false" ht="15" hidden="false" customHeight="false" outlineLevel="0" collapsed="false">
      <c r="A3" s="6" t="s">
        <v>43</v>
      </c>
      <c r="B3" s="6" t="s">
        <v>44</v>
      </c>
      <c r="C3" s="6" t="s">
        <v>45</v>
      </c>
      <c r="D3" s="7" t="n">
        <v>9</v>
      </c>
      <c r="E3" s="6" t="s">
        <v>46</v>
      </c>
      <c r="F3" s="6" t="s">
        <v>47</v>
      </c>
      <c r="G3" s="6" t="s">
        <v>48</v>
      </c>
      <c r="H3" s="8" t="n">
        <v>4.84920756908568</v>
      </c>
      <c r="I3" s="9" t="n">
        <v>0.206219260725222</v>
      </c>
      <c r="J3" s="6" t="s">
        <v>49</v>
      </c>
      <c r="K3" s="8" t="n">
        <v>5.49073543909992</v>
      </c>
      <c r="L3" s="9" t="n">
        <v>0.182124965060041</v>
      </c>
      <c r="M3" s="9" t="n">
        <f aca="false">IF(AND(ISNUMBER(I3),ISNUMBER(L3)),I3-L3,"")</f>
        <v>0.024094295665181</v>
      </c>
      <c r="N3" s="8" t="n">
        <v>4.5</v>
      </c>
    </row>
    <row r="4" customFormat="false" ht="15" hidden="false" customHeight="false" outlineLevel="0" collapsed="false">
      <c r="A4" s="6" t="s">
        <v>50</v>
      </c>
      <c r="B4" s="6" t="s">
        <v>37</v>
      </c>
      <c r="C4" s="6" t="s">
        <v>51</v>
      </c>
      <c r="D4" s="7" t="n">
        <v>4</v>
      </c>
      <c r="E4" s="6" t="s">
        <v>52</v>
      </c>
      <c r="F4" s="6" t="s">
        <v>53</v>
      </c>
      <c r="G4" s="6" t="s">
        <v>54</v>
      </c>
      <c r="H4" s="8" t="n">
        <v>2.77639912665931</v>
      </c>
      <c r="I4" s="9" t="n">
        <v>0.360178761907062</v>
      </c>
      <c r="J4" s="6" t="s">
        <v>55</v>
      </c>
      <c r="K4" s="8" t="n">
        <v>3.02450048232237</v>
      </c>
      <c r="L4" s="9" t="n">
        <v>0.330633109779552</v>
      </c>
      <c r="M4" s="9" t="n">
        <f aca="false">IF(AND(ISNUMBER(I4),ISNUMBER(L4)),I4-L4,"")</f>
        <v>0.0295456521275098</v>
      </c>
      <c r="N4" s="8" t="n">
        <v>2.25</v>
      </c>
    </row>
    <row r="5" customFormat="false" ht="15" hidden="false" customHeight="false" outlineLevel="0" collapsed="false">
      <c r="A5" s="6" t="s">
        <v>56</v>
      </c>
      <c r="B5" s="6" t="s">
        <v>57</v>
      </c>
      <c r="C5" s="6" t="s">
        <v>58</v>
      </c>
      <c r="D5" s="7" t="n">
        <v>18</v>
      </c>
      <c r="E5" s="6" t="s">
        <v>59</v>
      </c>
      <c r="F5" s="6" t="s">
        <v>60</v>
      </c>
      <c r="G5" s="6" t="s">
        <v>61</v>
      </c>
      <c r="H5" s="8" t="n">
        <v>1.29980167101487</v>
      </c>
      <c r="I5" s="9" t="n">
        <v>0.769348141566252</v>
      </c>
      <c r="J5" s="6" t="s">
        <v>62</v>
      </c>
      <c r="K5" s="8" t="n">
        <v>14.0246920162005</v>
      </c>
      <c r="L5" s="9" t="n">
        <v>0.0713028135551826</v>
      </c>
      <c r="M5" s="9" t="n">
        <f aca="false">IF(AND(ISNUMBER(I5),ISNUMBER(L5)),I5-L5,"")</f>
        <v>0.698045328011069</v>
      </c>
      <c r="N5" s="8" t="n">
        <v>1.57142857142857</v>
      </c>
    </row>
    <row r="6" customFormat="false" ht="15" hidden="false" customHeight="false" outlineLevel="0" collapsed="false">
      <c r="A6" s="6" t="s">
        <v>63</v>
      </c>
      <c r="B6" s="6" t="s">
        <v>44</v>
      </c>
      <c r="C6" s="6" t="s">
        <v>64</v>
      </c>
      <c r="D6" s="7" t="n">
        <v>11</v>
      </c>
      <c r="E6" s="6" t="s">
        <v>65</v>
      </c>
      <c r="F6" s="6" t="s">
        <v>66</v>
      </c>
      <c r="G6" s="6" t="s">
        <v>67</v>
      </c>
      <c r="H6" s="8" t="n">
        <v>3.85488282196891</v>
      </c>
      <c r="I6" s="9" t="n">
        <v>0.259411257406066</v>
      </c>
      <c r="J6" s="6" t="s">
        <v>68</v>
      </c>
      <c r="K6" s="8" t="n">
        <v>4.71382415860068</v>
      </c>
      <c r="L6" s="9" t="n">
        <v>0.212141982041361</v>
      </c>
      <c r="M6" s="9" t="n">
        <f aca="false">IF(AND(ISNUMBER(I6),ISNUMBER(L6)),I6-L6,"")</f>
        <v>0.0472692753647053</v>
      </c>
      <c r="N6" s="8" t="n">
        <v>3.5</v>
      </c>
    </row>
    <row r="7" customFormat="false" ht="15" hidden="false" customHeight="false" outlineLevel="0" collapsed="false">
      <c r="A7" s="6" t="s">
        <v>69</v>
      </c>
      <c r="B7" s="6" t="s">
        <v>70</v>
      </c>
      <c r="C7" s="6" t="s">
        <v>71</v>
      </c>
      <c r="D7" s="7" t="n">
        <v>9</v>
      </c>
      <c r="E7" s="6" t="s">
        <v>72</v>
      </c>
      <c r="F7" s="6" t="s">
        <v>73</v>
      </c>
      <c r="G7" s="6" t="s">
        <v>74</v>
      </c>
      <c r="H7" s="8" t="n">
        <v>3.47717183836206</v>
      </c>
      <c r="I7" s="9" t="n">
        <v>0.287590043427665</v>
      </c>
      <c r="J7" s="6" t="s">
        <v>75</v>
      </c>
      <c r="K7" s="8" t="n">
        <v>4.04324938406888</v>
      </c>
      <c r="L7" s="9" t="n">
        <v>0.247325827573283</v>
      </c>
      <c r="M7" s="9" t="n">
        <f aca="false">IF(AND(ISNUMBER(I7),ISNUMBER(L7)),I7-L7,"")</f>
        <v>0.0402642158543828</v>
      </c>
      <c r="N7" s="8" t="n">
        <v>4</v>
      </c>
    </row>
    <row r="8" customFormat="false" ht="15" hidden="false" customHeight="false" outlineLevel="0" collapsed="false">
      <c r="A8" s="6" t="s">
        <v>76</v>
      </c>
      <c r="B8" s="6" t="s">
        <v>37</v>
      </c>
      <c r="C8" s="6" t="s">
        <v>77</v>
      </c>
      <c r="D8" s="7" t="n">
        <v>12</v>
      </c>
      <c r="E8" s="6" t="s">
        <v>78</v>
      </c>
      <c r="F8" s="6" t="s">
        <v>40</v>
      </c>
      <c r="G8" s="6" t="s">
        <v>41</v>
      </c>
      <c r="H8" s="8" t="n">
        <v>5.31504890242851</v>
      </c>
      <c r="I8" s="9" t="n">
        <v>0.188145023377506</v>
      </c>
      <c r="J8" s="6" t="s">
        <v>79</v>
      </c>
      <c r="K8" s="8" t="n">
        <v>6.78728229567735</v>
      </c>
      <c r="L8" s="9" t="n">
        <v>0.147334375739296</v>
      </c>
      <c r="M8" s="9" t="n">
        <f aca="false">IF(AND(ISNUMBER(I8),ISNUMBER(L8)),I8-L8,"")</f>
        <v>0.0408106476382098</v>
      </c>
      <c r="N8" s="8" t="n">
        <v>5.5</v>
      </c>
    </row>
    <row r="9" customFormat="false" ht="15" hidden="false" customHeight="false" outlineLevel="0" collapsed="false">
      <c r="A9" s="6" t="s">
        <v>80</v>
      </c>
      <c r="B9" s="6" t="s">
        <v>57</v>
      </c>
      <c r="C9" s="6" t="s">
        <v>81</v>
      </c>
      <c r="D9" s="7" t="n">
        <v>18</v>
      </c>
      <c r="E9" s="6" t="s">
        <v>82</v>
      </c>
      <c r="F9" s="6" t="s">
        <v>83</v>
      </c>
      <c r="G9" s="6" t="s">
        <v>84</v>
      </c>
      <c r="H9" s="8" t="n">
        <v>6.9327793936071</v>
      </c>
      <c r="I9" s="9" t="n">
        <v>0.144242293490851</v>
      </c>
      <c r="J9" s="6" t="s">
        <v>85</v>
      </c>
      <c r="K9" s="8" t="n">
        <v>6.95767960455093</v>
      </c>
      <c r="L9" s="9" t="n">
        <v>0.143726077778274</v>
      </c>
      <c r="M9" s="9" t="n">
        <f aca="false">IF(AND(ISNUMBER(I9),ISNUMBER(L9)),I9-L9,"")</f>
        <v>0.000516215712576679</v>
      </c>
      <c r="N9" s="8" t="n">
        <v>3</v>
      </c>
    </row>
    <row r="10" customFormat="false" ht="15" hidden="false" customHeight="false" outlineLevel="0" collapsed="false">
      <c r="A10" s="6" t="s">
        <v>86</v>
      </c>
      <c r="B10" s="6" t="s">
        <v>44</v>
      </c>
      <c r="C10" s="6" t="s">
        <v>87</v>
      </c>
      <c r="D10" s="7" t="n">
        <v>9</v>
      </c>
      <c r="E10" s="6" t="s">
        <v>88</v>
      </c>
      <c r="F10" s="6" t="s">
        <v>89</v>
      </c>
      <c r="G10" s="6" t="s">
        <v>90</v>
      </c>
      <c r="H10" s="8" t="n">
        <v>3.94469773775564</v>
      </c>
      <c r="I10" s="9" t="n">
        <v>0.253504847894621</v>
      </c>
      <c r="J10" s="6" t="s">
        <v>91</v>
      </c>
      <c r="K10" s="8" t="n">
        <v>4.40548443421583</v>
      </c>
      <c r="L10" s="9" t="n">
        <v>0.226989793048264</v>
      </c>
      <c r="M10" s="9" t="n">
        <f aca="false">IF(AND(ISNUMBER(I10),ISNUMBER(L10)),I10-L10,"")</f>
        <v>0.0265150548463571</v>
      </c>
      <c r="N10" s="8" t="n">
        <v>5</v>
      </c>
    </row>
    <row r="11" customFormat="false" ht="15" hidden="false" customHeight="false" outlineLevel="0" collapsed="false">
      <c r="A11" s="6" t="s">
        <v>92</v>
      </c>
      <c r="B11" s="6" t="s">
        <v>70</v>
      </c>
      <c r="C11" s="6" t="s">
        <v>93</v>
      </c>
      <c r="D11" s="7" t="n">
        <v>7</v>
      </c>
      <c r="E11" s="6" t="s">
        <v>94</v>
      </c>
      <c r="F11" s="6" t="s">
        <v>95</v>
      </c>
      <c r="G11" s="6" t="s">
        <v>96</v>
      </c>
      <c r="H11" s="8" t="n">
        <v>5.02516967021025</v>
      </c>
      <c r="I11" s="9" t="n">
        <v>0.19899825590529</v>
      </c>
      <c r="J11" s="6" t="s">
        <v>97</v>
      </c>
      <c r="K11" s="8" t="n">
        <v>5.76463799694634</v>
      </c>
      <c r="L11" s="9" t="n">
        <v>0.173471430561594</v>
      </c>
      <c r="M11" s="9" t="n">
        <f aca="false">IF(AND(ISNUMBER(I11),ISNUMBER(L11)),I11-L11,"")</f>
        <v>0.0255268253436961</v>
      </c>
      <c r="N11" s="8" t="n">
        <v>3.25</v>
      </c>
    </row>
    <row r="12" customFormat="false" ht="15" hidden="false" customHeight="false" outlineLevel="0" collapsed="false">
      <c r="A12" s="6" t="s">
        <v>98</v>
      </c>
      <c r="B12" s="6" t="s">
        <v>37</v>
      </c>
      <c r="C12" s="6" t="s">
        <v>99</v>
      </c>
      <c r="D12" s="7" t="n">
        <v>16</v>
      </c>
      <c r="E12" s="6" t="s">
        <v>100</v>
      </c>
      <c r="F12" s="6" t="s">
        <v>53</v>
      </c>
      <c r="G12" s="6" t="s">
        <v>54</v>
      </c>
      <c r="H12" s="8" t="n">
        <v>5.32337520976979</v>
      </c>
      <c r="I12" s="9" t="n">
        <v>0.187850745174741</v>
      </c>
      <c r="J12" s="6" t="s">
        <v>101</v>
      </c>
      <c r="K12" s="8" t="n">
        <v>5.39357548975352</v>
      </c>
      <c r="L12" s="9" t="n">
        <v>0.185405766897999</v>
      </c>
      <c r="M12" s="9" t="n">
        <f aca="false">IF(AND(ISNUMBER(I12),ISNUMBER(L12)),I12-L12,"")</f>
        <v>0.0024449782767427</v>
      </c>
      <c r="N12" s="8" t="n">
        <v>5.5</v>
      </c>
    </row>
    <row r="13" customFormat="false" ht="15" hidden="false" customHeight="false" outlineLevel="0" collapsed="false">
      <c r="A13" s="6" t="s">
        <v>102</v>
      </c>
      <c r="B13" s="6" t="s">
        <v>57</v>
      </c>
      <c r="C13" s="6" t="s">
        <v>103</v>
      </c>
      <c r="D13" s="7" t="n">
        <v>17</v>
      </c>
      <c r="E13" s="6" t="s">
        <v>104</v>
      </c>
      <c r="F13" s="6" t="s">
        <v>105</v>
      </c>
      <c r="G13" s="6" t="s">
        <v>106</v>
      </c>
      <c r="H13" s="8" t="n">
        <v>4.0425145415529</v>
      </c>
      <c r="I13" s="9" t="n">
        <v>0.247370786108752</v>
      </c>
      <c r="J13" s="6" t="s">
        <v>107</v>
      </c>
      <c r="K13" s="8" t="n">
        <v>5.80435674761071</v>
      </c>
      <c r="L13" s="9" t="n">
        <v>0.172284379386508</v>
      </c>
      <c r="M13" s="9" t="n">
        <f aca="false">IF(AND(ISNUMBER(I13),ISNUMBER(L13)),I13-L13,"")</f>
        <v>0.075086406722244</v>
      </c>
      <c r="N13" s="8" t="n">
        <v>6.5</v>
      </c>
    </row>
    <row r="14" customFormat="false" ht="15" hidden="false" customHeight="false" outlineLevel="0" collapsed="false">
      <c r="A14" s="6" t="s">
        <v>108</v>
      </c>
      <c r="B14" s="6" t="s">
        <v>44</v>
      </c>
      <c r="C14" s="6" t="s">
        <v>109</v>
      </c>
      <c r="D14" s="7" t="n">
        <v>7</v>
      </c>
      <c r="E14" s="6" t="s">
        <v>110</v>
      </c>
      <c r="F14" s="6" t="s">
        <v>111</v>
      </c>
      <c r="G14" s="6" t="s">
        <v>96</v>
      </c>
      <c r="H14" s="8" t="n">
        <v>1.83132428732785</v>
      </c>
      <c r="I14" s="9" t="n">
        <v>0.546052933890334</v>
      </c>
      <c r="J14" s="6" t="s">
        <v>112</v>
      </c>
      <c r="K14" s="8" t="n">
        <v>6.78689077841678</v>
      </c>
      <c r="L14" s="9" t="n">
        <v>0.147342875058508</v>
      </c>
      <c r="M14" s="9" t="n">
        <f aca="false">IF(AND(ISNUMBER(I14),ISNUMBER(L14)),I14-L14,"")</f>
        <v>0.398710058831827</v>
      </c>
      <c r="N14" s="8" t="n">
        <v>1.57142857142857</v>
      </c>
    </row>
    <row r="15" customFormat="false" ht="15" hidden="false" customHeight="false" outlineLevel="0" collapsed="false">
      <c r="A15" s="6" t="s">
        <v>113</v>
      </c>
      <c r="B15" s="6" t="s">
        <v>70</v>
      </c>
      <c r="C15" s="6" t="s">
        <v>114</v>
      </c>
      <c r="D15" s="7" t="n">
        <v>11</v>
      </c>
      <c r="E15" s="6" t="s">
        <v>115</v>
      </c>
      <c r="F15" s="6" t="s">
        <v>116</v>
      </c>
      <c r="G15" s="6" t="s">
        <v>48</v>
      </c>
      <c r="H15" s="8" t="n">
        <v>4.59424671929994</v>
      </c>
      <c r="I15" s="9" t="n">
        <v>0.217663539008279</v>
      </c>
      <c r="J15" s="6" t="s">
        <v>117</v>
      </c>
      <c r="K15" s="8" t="n">
        <v>5.44070464659755</v>
      </c>
      <c r="L15" s="9" t="n">
        <v>0.183799721719018</v>
      </c>
      <c r="M15" s="9" t="n">
        <f aca="false">IF(AND(ISNUMBER(I15),ISNUMBER(L15)),I15-L15,"")</f>
        <v>0.0338638172892606</v>
      </c>
      <c r="N15" s="8" t="n">
        <v>2.75</v>
      </c>
    </row>
    <row r="16" customFormat="false" ht="15" hidden="false" customHeight="false" outlineLevel="0" collapsed="false">
      <c r="A16" s="6" t="s">
        <v>118</v>
      </c>
      <c r="B16" s="6" t="s">
        <v>37</v>
      </c>
      <c r="C16" s="6" t="s">
        <v>119</v>
      </c>
      <c r="D16" s="7" t="n">
        <v>9</v>
      </c>
      <c r="E16" s="6" t="s">
        <v>120</v>
      </c>
      <c r="F16" s="6" t="s">
        <v>121</v>
      </c>
      <c r="G16" s="6" t="s">
        <v>122</v>
      </c>
      <c r="H16" s="8" t="n">
        <v>1.62655294159896</v>
      </c>
      <c r="I16" s="9" t="n">
        <v>0.614797080639113</v>
      </c>
      <c r="J16" s="6" t="s">
        <v>123</v>
      </c>
      <c r="K16" s="8" t="n">
        <v>5.50032559925874</v>
      </c>
      <c r="L16" s="9" t="n">
        <v>0.181807418843489</v>
      </c>
      <c r="M16" s="9" t="n">
        <f aca="false">IF(AND(ISNUMBER(I16),ISNUMBER(L16)),I16-L16,"")</f>
        <v>0.432989661795624</v>
      </c>
      <c r="N16" s="8" t="n">
        <v>1.83333333333333</v>
      </c>
    </row>
    <row r="17" customFormat="false" ht="15" hidden="false" customHeight="false" outlineLevel="0" collapsed="false">
      <c r="A17" s="6" t="s">
        <v>124</v>
      </c>
      <c r="B17" s="6" t="s">
        <v>57</v>
      </c>
      <c r="C17" s="6" t="s">
        <v>125</v>
      </c>
      <c r="D17" s="7" t="n">
        <v>17</v>
      </c>
      <c r="E17" s="6" t="s">
        <v>126</v>
      </c>
      <c r="F17" s="6" t="s">
        <v>127</v>
      </c>
      <c r="G17" s="6" t="s">
        <v>128</v>
      </c>
      <c r="H17" s="8" t="n">
        <v>5.6057063991872</v>
      </c>
      <c r="I17" s="9" t="n">
        <v>0.178389649544435</v>
      </c>
      <c r="J17" s="6" t="s">
        <v>129</v>
      </c>
      <c r="K17" s="8" t="n">
        <v>7.93803817532446</v>
      </c>
      <c r="L17" s="9" t="n">
        <v>0.125975710611788</v>
      </c>
      <c r="M17" s="9" t="n">
        <f aca="false">IF(AND(ISNUMBER(I17),ISNUMBER(L17)),I17-L17,"")</f>
        <v>0.0524139389326469</v>
      </c>
      <c r="N17" s="8" t="n">
        <v>7</v>
      </c>
    </row>
    <row r="18" customFormat="false" ht="15" hidden="false" customHeight="false" outlineLevel="0" collapsed="false">
      <c r="A18" s="6" t="s">
        <v>130</v>
      </c>
      <c r="B18" s="6" t="s">
        <v>44</v>
      </c>
      <c r="C18" s="6" t="s">
        <v>131</v>
      </c>
      <c r="D18" s="7" t="n">
        <v>4</v>
      </c>
      <c r="E18" s="6" t="s">
        <v>132</v>
      </c>
      <c r="F18" s="6" t="s">
        <v>111</v>
      </c>
      <c r="G18" s="6" t="s">
        <v>96</v>
      </c>
      <c r="H18" s="8" t="n">
        <v>3.10729714781278</v>
      </c>
      <c r="I18" s="9" t="n">
        <v>0.321823099764983</v>
      </c>
      <c r="J18" s="6" t="s">
        <v>133</v>
      </c>
      <c r="K18" s="8" t="n">
        <v>3.40329515683438</v>
      </c>
      <c r="L18" s="9" t="n">
        <v>0.293832874880639</v>
      </c>
      <c r="M18" s="9" t="n">
        <f aca="false">IF(AND(ISNUMBER(I18),ISNUMBER(L18)),I18-L18,"")</f>
        <v>0.0279902248843442</v>
      </c>
      <c r="N18" s="8" t="n">
        <v>2.75</v>
      </c>
    </row>
    <row r="19" customFormat="false" ht="15" hidden="false" customHeight="false" outlineLevel="0" collapsed="false">
      <c r="A19" s="6" t="s">
        <v>134</v>
      </c>
      <c r="B19" s="6" t="s">
        <v>70</v>
      </c>
      <c r="C19" s="6" t="s">
        <v>135</v>
      </c>
      <c r="D19" s="7" t="n">
        <v>8</v>
      </c>
      <c r="E19" s="6" t="s">
        <v>136</v>
      </c>
      <c r="F19" s="6" t="s">
        <v>95</v>
      </c>
      <c r="G19" s="6" t="s">
        <v>96</v>
      </c>
      <c r="H19" s="8" t="n">
        <v>1.75937964892812</v>
      </c>
      <c r="I19" s="9" t="n">
        <v>0.56838215709113</v>
      </c>
      <c r="J19" s="6" t="s">
        <v>137</v>
      </c>
      <c r="K19" s="8" t="n">
        <v>6.33785633774263</v>
      </c>
      <c r="L19" s="9" t="n">
        <v>0.157782055431722</v>
      </c>
      <c r="M19" s="9" t="n">
        <f aca="false">IF(AND(ISNUMBER(I19),ISNUMBER(L19)),I19-L19,"")</f>
        <v>0.410600101659407</v>
      </c>
      <c r="N19" s="8" t="n">
        <v>1.83333333333333</v>
      </c>
    </row>
    <row r="20" customFormat="false" ht="15" hidden="false" customHeight="false" outlineLevel="0" collapsed="false">
      <c r="A20" s="6" t="s">
        <v>138</v>
      </c>
      <c r="B20" s="6" t="s">
        <v>37</v>
      </c>
      <c r="C20" s="6" t="s">
        <v>139</v>
      </c>
      <c r="D20" s="7" t="n">
        <v>9</v>
      </c>
      <c r="E20" s="6" t="s">
        <v>140</v>
      </c>
      <c r="F20" s="6" t="s">
        <v>53</v>
      </c>
      <c r="G20" s="6" t="s">
        <v>54</v>
      </c>
      <c r="H20" s="8" t="n">
        <v>4.6910294298205</v>
      </c>
      <c r="I20" s="9" t="n">
        <v>0.213172825913877</v>
      </c>
      <c r="J20" s="6" t="s">
        <v>141</v>
      </c>
      <c r="K20" s="8" t="n">
        <v>4.81907564531771</v>
      </c>
      <c r="L20" s="9" t="n">
        <v>0.207508674608919</v>
      </c>
      <c r="M20" s="9" t="n">
        <f aca="false">IF(AND(ISNUMBER(I20),ISNUMBER(L20)),I20-L20,"")</f>
        <v>0.00566415130495801</v>
      </c>
      <c r="N20" s="8" t="n">
        <v>7</v>
      </c>
    </row>
    <row r="21" customFormat="false" ht="15" hidden="false" customHeight="false" outlineLevel="0" collapsed="false">
      <c r="A21" s="6" t="s">
        <v>142</v>
      </c>
      <c r="B21" s="6" t="s">
        <v>57</v>
      </c>
      <c r="C21" s="6" t="s">
        <v>143</v>
      </c>
      <c r="D21" s="7" t="n">
        <v>16</v>
      </c>
      <c r="E21" s="6" t="s">
        <v>144</v>
      </c>
      <c r="F21" s="6" t="s">
        <v>145</v>
      </c>
      <c r="G21" s="6" t="s">
        <v>146</v>
      </c>
      <c r="H21" s="8" t="n">
        <v>6.21550488807399</v>
      </c>
      <c r="I21" s="9" t="n">
        <v>0.160887975797228</v>
      </c>
      <c r="J21" s="6" t="s">
        <v>147</v>
      </c>
      <c r="K21" s="8" t="n">
        <v>8.41967240656909</v>
      </c>
      <c r="L21" s="9" t="n">
        <v>0.118769466519837</v>
      </c>
      <c r="M21" s="9" t="n">
        <f aca="false">IF(AND(ISNUMBER(I21),ISNUMBER(L21)),I21-L21,"")</f>
        <v>0.0421185092773914</v>
      </c>
      <c r="N21" s="8" t="n">
        <v>11</v>
      </c>
    </row>
    <row r="22" customFormat="false" ht="15" hidden="false" customHeight="false" outlineLevel="0" collapsed="false">
      <c r="A22" s="6" t="s">
        <v>148</v>
      </c>
      <c r="B22" s="6" t="s">
        <v>44</v>
      </c>
      <c r="C22" s="6" t="s">
        <v>149</v>
      </c>
      <c r="D22" s="7" t="n">
        <v>15</v>
      </c>
      <c r="E22" s="6" t="s">
        <v>150</v>
      </c>
      <c r="F22" s="6" t="s">
        <v>151</v>
      </c>
      <c r="G22" s="6" t="s">
        <v>152</v>
      </c>
      <c r="H22" s="8" t="n">
        <v>3.20071205473957</v>
      </c>
      <c r="I22" s="9" t="n">
        <v>0.312430478873978</v>
      </c>
      <c r="J22" s="6" t="s">
        <v>153</v>
      </c>
      <c r="K22" s="8" t="n">
        <v>5.84350040507241</v>
      </c>
      <c r="L22" s="9" t="n">
        <v>0.171130303872651</v>
      </c>
      <c r="M22" s="9" t="n">
        <f aca="false">IF(AND(ISNUMBER(I22),ISNUMBER(L22)),I22-L22,"")</f>
        <v>0.141300175001328</v>
      </c>
      <c r="N22" s="8" t="n">
        <v>4.5</v>
      </c>
    </row>
    <row r="23" customFormat="false" ht="15" hidden="false" customHeight="false" outlineLevel="0" collapsed="false">
      <c r="A23" s="6" t="s">
        <v>154</v>
      </c>
      <c r="B23" s="6" t="s">
        <v>70</v>
      </c>
      <c r="C23" s="6" t="s">
        <v>155</v>
      </c>
      <c r="D23" s="7" t="n">
        <v>11</v>
      </c>
      <c r="E23" s="6" t="s">
        <v>156</v>
      </c>
      <c r="F23" s="6" t="s">
        <v>157</v>
      </c>
      <c r="G23" s="6" t="s">
        <v>90</v>
      </c>
      <c r="H23" s="8" t="n">
        <v>5.68489783628744</v>
      </c>
      <c r="I23" s="9" t="n">
        <v>0.175904656301274</v>
      </c>
      <c r="J23" s="6" t="s">
        <v>158</v>
      </c>
      <c r="K23" s="8" t="n">
        <v>6.75772659511278</v>
      </c>
      <c r="L23" s="9" t="n">
        <v>0.147978759709398</v>
      </c>
      <c r="M23" s="9" t="n">
        <f aca="false">IF(AND(ISNUMBER(I23),ISNUMBER(L23)),I23-L23,"")</f>
        <v>0.0279258965918768</v>
      </c>
      <c r="N23" s="8" t="n">
        <v>5.5</v>
      </c>
    </row>
    <row r="24" customFormat="false" ht="15" hidden="false" customHeight="false" outlineLevel="0" collapsed="false">
      <c r="A24" s="6" t="s">
        <v>159</v>
      </c>
      <c r="B24" s="6" t="s">
        <v>37</v>
      </c>
      <c r="C24" s="6" t="s">
        <v>160</v>
      </c>
      <c r="D24" s="7" t="n">
        <v>10</v>
      </c>
      <c r="E24" s="6" t="s">
        <v>161</v>
      </c>
      <c r="F24" s="6" t="s">
        <v>162</v>
      </c>
      <c r="G24" s="6" t="s">
        <v>163</v>
      </c>
      <c r="H24" s="8" t="n">
        <v>3.69750579107155</v>
      </c>
      <c r="I24" s="9" t="n">
        <v>0.270452585203442</v>
      </c>
      <c r="J24" s="6" t="s">
        <v>164</v>
      </c>
      <c r="K24" s="8" t="n">
        <v>3.6979310066296</v>
      </c>
      <c r="L24" s="9" t="n">
        <v>0.270421486557541</v>
      </c>
      <c r="M24" s="9" t="n">
        <f aca="false">IF(AND(ISNUMBER(I24),ISNUMBER(L24)),I24-L24,"")</f>
        <v>3.10986459013951E-005</v>
      </c>
      <c r="N24" s="8" t="n">
        <v>3.75</v>
      </c>
    </row>
    <row r="25" customFormat="false" ht="15" hidden="false" customHeight="false" outlineLevel="0" collapsed="false">
      <c r="A25" s="6" t="s">
        <v>165</v>
      </c>
      <c r="B25" s="6" t="s">
        <v>57</v>
      </c>
      <c r="C25" s="6" t="s">
        <v>166</v>
      </c>
      <c r="D25" s="7" t="n">
        <v>18</v>
      </c>
      <c r="E25" s="6" t="s">
        <v>167</v>
      </c>
      <c r="F25" s="6" t="s">
        <v>168</v>
      </c>
      <c r="G25" s="6" t="s">
        <v>169</v>
      </c>
      <c r="H25" s="8" t="n">
        <v>7.03247511959598</v>
      </c>
      <c r="I25" s="9" t="n">
        <v>0.142197445848547</v>
      </c>
      <c r="J25" s="6" t="s">
        <v>170</v>
      </c>
      <c r="K25" s="8" t="n">
        <v>7.34157041221667</v>
      </c>
      <c r="L25" s="9" t="n">
        <v>0.136210639393441</v>
      </c>
      <c r="M25" s="9" t="n">
        <f aca="false">IF(AND(ISNUMBER(I25),ISNUMBER(L25)),I25-L25,"")</f>
        <v>0.00598680645510569</v>
      </c>
      <c r="N25" s="8" t="n">
        <v>6</v>
      </c>
    </row>
    <row r="26" customFormat="false" ht="15" hidden="false" customHeight="false" outlineLevel="0" collapsed="false">
      <c r="A26" s="6" t="s">
        <v>171</v>
      </c>
      <c r="B26" s="6" t="s">
        <v>172</v>
      </c>
      <c r="C26" s="6" t="s">
        <v>173</v>
      </c>
      <c r="D26" s="7" t="n">
        <v>13</v>
      </c>
      <c r="E26" s="6" t="s">
        <v>174</v>
      </c>
      <c r="F26" s="6" t="s">
        <v>175</v>
      </c>
      <c r="G26" s="6" t="s">
        <v>176</v>
      </c>
      <c r="H26" s="8" t="n">
        <v>3.87874785734754</v>
      </c>
      <c r="I26" s="9" t="n">
        <v>0.257815160143935</v>
      </c>
      <c r="J26" s="6" t="s">
        <v>177</v>
      </c>
      <c r="K26" s="8" t="n">
        <v>5.38082621076101</v>
      </c>
      <c r="L26" s="9" t="n">
        <v>0.185845065577498</v>
      </c>
      <c r="M26" s="9" t="n">
        <f aca="false">IF(AND(ISNUMBER(I26),ISNUMBER(L26)),I26-L26,"")</f>
        <v>0.071970094566437</v>
      </c>
      <c r="N26" s="8" t="n">
        <v>3.5</v>
      </c>
    </row>
    <row r="27" customFormat="false" ht="15" hidden="false" customHeight="false" outlineLevel="0" collapsed="false">
      <c r="A27" s="6" t="s">
        <v>178</v>
      </c>
      <c r="B27" s="6" t="s">
        <v>44</v>
      </c>
      <c r="C27" s="6" t="s">
        <v>179</v>
      </c>
      <c r="D27" s="7" t="n">
        <v>10</v>
      </c>
      <c r="E27" s="6" t="s">
        <v>180</v>
      </c>
      <c r="F27" s="6" t="s">
        <v>151</v>
      </c>
      <c r="G27" s="6" t="s">
        <v>181</v>
      </c>
      <c r="H27" s="8" t="n">
        <v>4.62289671014528</v>
      </c>
      <c r="I27" s="9" t="n">
        <v>0.216314588601002</v>
      </c>
      <c r="J27" s="6" t="s">
        <v>182</v>
      </c>
      <c r="K27" s="8" t="n">
        <v>7.28490974890374</v>
      </c>
      <c r="L27" s="9" t="n">
        <v>0.137270060229708</v>
      </c>
      <c r="M27" s="9" t="n">
        <f aca="false">IF(AND(ISNUMBER(I27),ISNUMBER(L27)),I27-L27,"")</f>
        <v>0.079044528371294</v>
      </c>
      <c r="N27" s="8" t="n">
        <v>4.33333333333333</v>
      </c>
    </row>
    <row r="28" customFormat="false" ht="15" hidden="false" customHeight="false" outlineLevel="0" collapsed="false">
      <c r="A28" s="6" t="s">
        <v>183</v>
      </c>
      <c r="B28" s="6" t="s">
        <v>70</v>
      </c>
      <c r="C28" s="6" t="s">
        <v>184</v>
      </c>
      <c r="D28" s="7" t="n">
        <v>5</v>
      </c>
      <c r="E28" s="6" t="s">
        <v>185</v>
      </c>
      <c r="F28" s="6" t="s">
        <v>157</v>
      </c>
      <c r="G28" s="6" t="s">
        <v>90</v>
      </c>
      <c r="H28" s="8" t="n">
        <v>3.60132342982704</v>
      </c>
      <c r="I28" s="9" t="n">
        <v>0.277675698804988</v>
      </c>
      <c r="J28" s="6" t="s">
        <v>186</v>
      </c>
      <c r="K28" s="8" t="n">
        <v>3.67434079861681</v>
      </c>
      <c r="L28" s="9" t="n">
        <v>0.272157661688988</v>
      </c>
      <c r="M28" s="9" t="n">
        <f aca="false">IF(AND(ISNUMBER(I28),ISNUMBER(L28)),I28-L28,"")</f>
        <v>0.00551803711600013</v>
      </c>
      <c r="N28" s="8" t="n">
        <v>2.1</v>
      </c>
    </row>
    <row r="29" customFormat="false" ht="15" hidden="false" customHeight="false" outlineLevel="0" collapsed="false">
      <c r="A29" s="6" t="s">
        <v>187</v>
      </c>
      <c r="B29" s="6" t="s">
        <v>57</v>
      </c>
      <c r="C29" s="6" t="s">
        <v>188</v>
      </c>
      <c r="D29" s="7" t="n">
        <v>17</v>
      </c>
      <c r="E29" s="6" t="s">
        <v>189</v>
      </c>
      <c r="F29" s="6" t="s">
        <v>190</v>
      </c>
      <c r="G29" s="6" t="s">
        <v>191</v>
      </c>
      <c r="H29" s="8" t="n">
        <v>3.73924560981985</v>
      </c>
      <c r="I29" s="9" t="n">
        <v>0.26743362280719</v>
      </c>
      <c r="J29" s="6" t="s">
        <v>192</v>
      </c>
      <c r="K29" s="8" t="n">
        <v>7.00225051587416</v>
      </c>
      <c r="L29" s="9" t="n">
        <v>0.14281122872325</v>
      </c>
      <c r="M29" s="9" t="n">
        <f aca="false">IF(AND(ISNUMBER(I29),ISNUMBER(L29)),I29-L29,"")</f>
        <v>0.12462239408394</v>
      </c>
      <c r="N29" s="8" t="n">
        <v>5</v>
      </c>
    </row>
    <row r="30" customFormat="false" ht="15" hidden="false" customHeight="false" outlineLevel="0" collapsed="false">
      <c r="A30" s="6" t="s">
        <v>193</v>
      </c>
      <c r="B30" s="6" t="s">
        <v>172</v>
      </c>
      <c r="C30" s="6" t="s">
        <v>194</v>
      </c>
      <c r="D30" s="7" t="n">
        <v>14</v>
      </c>
      <c r="E30" s="6" t="s">
        <v>195</v>
      </c>
      <c r="F30" s="6" t="s">
        <v>196</v>
      </c>
      <c r="G30" s="6" t="s">
        <v>197</v>
      </c>
      <c r="H30" s="8" t="n">
        <v>6.10491311564324</v>
      </c>
      <c r="I30" s="9" t="n">
        <v>0.163802494983524</v>
      </c>
      <c r="J30" s="6" t="s">
        <v>198</v>
      </c>
      <c r="K30" s="8" t="n">
        <v>6.2754152913895</v>
      </c>
      <c r="L30" s="9" t="n">
        <v>0.159352003583269</v>
      </c>
      <c r="M30" s="9" t="n">
        <f aca="false">IF(AND(ISNUMBER(I30),ISNUMBER(L30)),I30-L30,"")</f>
        <v>0.00445049140025469</v>
      </c>
      <c r="N30" s="8" t="n">
        <v>2.25</v>
      </c>
    </row>
    <row r="31" customFormat="false" ht="15" hidden="false" customHeight="false" outlineLevel="0" collapsed="false">
      <c r="A31" s="6" t="s">
        <v>199</v>
      </c>
      <c r="B31" s="6" t="s">
        <v>70</v>
      </c>
      <c r="C31" s="6" t="s">
        <v>200</v>
      </c>
      <c r="D31" s="7" t="n">
        <v>13</v>
      </c>
      <c r="E31" s="6" t="s">
        <v>201</v>
      </c>
      <c r="F31" s="6" t="s">
        <v>116</v>
      </c>
      <c r="G31" s="6" t="s">
        <v>202</v>
      </c>
      <c r="H31" s="8" t="n">
        <v>5.76350067498019</v>
      </c>
      <c r="I31" s="9" t="n">
        <v>0.173505661991345</v>
      </c>
      <c r="J31" s="6" t="s">
        <v>203</v>
      </c>
      <c r="K31" s="8" t="n">
        <v>6.63089771694415</v>
      </c>
      <c r="L31" s="9" t="n">
        <v>0.150809142696421</v>
      </c>
      <c r="M31" s="9" t="n">
        <f aca="false">IF(AND(ISNUMBER(I31),ISNUMBER(L31)),I31-L31,"")</f>
        <v>0.0226965192949241</v>
      </c>
      <c r="N31" s="8" t="n">
        <v>7</v>
      </c>
    </row>
    <row r="32" customFormat="false" ht="15" hidden="false" customHeight="false" outlineLevel="0" collapsed="false">
      <c r="A32" s="6" t="s">
        <v>204</v>
      </c>
      <c r="B32" s="6" t="s">
        <v>205</v>
      </c>
      <c r="C32" s="6" t="s">
        <v>206</v>
      </c>
      <c r="D32" s="7" t="n">
        <v>17</v>
      </c>
      <c r="E32" s="6" t="s">
        <v>207</v>
      </c>
      <c r="F32" s="6" t="s">
        <v>208</v>
      </c>
      <c r="G32" s="6" t="s">
        <v>209</v>
      </c>
      <c r="H32" s="8" t="n">
        <v>4.1024736814852</v>
      </c>
      <c r="I32" s="9" t="n">
        <v>0.243755372402042</v>
      </c>
      <c r="J32" s="6" t="s">
        <v>210</v>
      </c>
      <c r="K32" s="8" t="n">
        <v>4.94882469923912</v>
      </c>
      <c r="L32" s="9" t="n">
        <v>0.202068179976904</v>
      </c>
      <c r="M32" s="9" t="n">
        <f aca="false">IF(AND(ISNUMBER(I32),ISNUMBER(L32)),I32-L32,"")</f>
        <v>0.0416871924251373</v>
      </c>
      <c r="N32" s="8" t="n">
        <v>6.5</v>
      </c>
    </row>
    <row r="33" customFormat="false" ht="15" hidden="false" customHeight="false" outlineLevel="0" collapsed="false">
      <c r="A33" s="6" t="s">
        <v>211</v>
      </c>
      <c r="B33" s="6" t="s">
        <v>57</v>
      </c>
      <c r="C33" s="6" t="s">
        <v>212</v>
      </c>
      <c r="D33" s="7" t="n">
        <v>17</v>
      </c>
      <c r="E33" s="6" t="s">
        <v>213</v>
      </c>
      <c r="F33" s="6" t="s">
        <v>214</v>
      </c>
      <c r="G33" s="6" t="s">
        <v>61</v>
      </c>
      <c r="H33" s="8" t="n">
        <v>2.73324469504245</v>
      </c>
      <c r="I33" s="9" t="n">
        <v>0.365865523059021</v>
      </c>
      <c r="J33" s="6" t="s">
        <v>215</v>
      </c>
      <c r="K33" s="8" t="n">
        <v>6.98268479303352</v>
      </c>
      <c r="L33" s="9" t="n">
        <v>0.143211390695693</v>
      </c>
      <c r="M33" s="9" t="n">
        <f aca="false">IF(AND(ISNUMBER(I33),ISNUMBER(L33)),I33-L33,"")</f>
        <v>0.222654132363327</v>
      </c>
      <c r="N33" s="8" t="n">
        <v>3.25</v>
      </c>
    </row>
    <row r="34" customFormat="false" ht="15" hidden="false" customHeight="false" outlineLevel="0" collapsed="false">
      <c r="A34" s="6" t="s">
        <v>216</v>
      </c>
      <c r="B34" s="6" t="s">
        <v>172</v>
      </c>
      <c r="C34" s="6" t="s">
        <v>217</v>
      </c>
      <c r="D34" s="7" t="n">
        <v>5</v>
      </c>
      <c r="E34" s="6" t="s">
        <v>218</v>
      </c>
      <c r="F34" s="6" t="s">
        <v>219</v>
      </c>
      <c r="G34" s="6" t="s">
        <v>220</v>
      </c>
      <c r="H34" s="8" t="n">
        <v>2.69774848738914</v>
      </c>
      <c r="I34" s="9" t="n">
        <v>0.370679477599408</v>
      </c>
      <c r="J34" s="6" t="s">
        <v>221</v>
      </c>
      <c r="K34" s="8" t="n">
        <v>3.20752358233918</v>
      </c>
      <c r="L34" s="9" t="n">
        <v>0.311766998536211</v>
      </c>
      <c r="M34" s="9" t="n">
        <f aca="false">IF(AND(ISNUMBER(I34),ISNUMBER(L34)),I34-L34,"")</f>
        <v>0.0589124790631975</v>
      </c>
      <c r="N34" s="8" t="n">
        <v>4.33333333333333</v>
      </c>
    </row>
    <row r="35" customFormat="false" ht="15" hidden="false" customHeight="false" outlineLevel="0" collapsed="false">
      <c r="A35" s="6" t="s">
        <v>222</v>
      </c>
      <c r="B35" s="6" t="s">
        <v>205</v>
      </c>
      <c r="C35" s="6" t="s">
        <v>223</v>
      </c>
      <c r="D35" s="7" t="n">
        <v>13</v>
      </c>
      <c r="E35" s="6" t="s">
        <v>224</v>
      </c>
      <c r="F35" s="6" t="s">
        <v>225</v>
      </c>
      <c r="G35" s="6" t="s">
        <v>226</v>
      </c>
      <c r="H35" s="8" t="n">
        <v>5.06011716973023</v>
      </c>
      <c r="I35" s="9" t="n">
        <v>0.197623882304945</v>
      </c>
      <c r="J35" s="6" t="s">
        <v>227</v>
      </c>
      <c r="K35" s="8" t="n">
        <v>6.33827476259276</v>
      </c>
      <c r="L35" s="9" t="n">
        <v>0.157771639358679</v>
      </c>
      <c r="M35" s="9" t="n">
        <f aca="false">IF(AND(ISNUMBER(I35),ISNUMBER(L35)),I35-L35,"")</f>
        <v>0.0398522429462665</v>
      </c>
      <c r="N35" s="8" t="n">
        <v>7</v>
      </c>
    </row>
    <row r="36" customFormat="false" ht="15" hidden="false" customHeight="false" outlineLevel="0" collapsed="false">
      <c r="A36" s="6" t="s">
        <v>228</v>
      </c>
      <c r="B36" s="6" t="s">
        <v>172</v>
      </c>
      <c r="C36" s="6" t="s">
        <v>229</v>
      </c>
      <c r="D36" s="7" t="n">
        <v>13</v>
      </c>
      <c r="E36" s="6" t="s">
        <v>230</v>
      </c>
      <c r="F36" s="6" t="s">
        <v>231</v>
      </c>
      <c r="G36" s="6" t="s">
        <v>232</v>
      </c>
      <c r="H36" s="8" t="n">
        <v>3.03162878460332</v>
      </c>
      <c r="I36" s="9" t="n">
        <v>0.329855688492827</v>
      </c>
      <c r="J36" s="6" t="s">
        <v>233</v>
      </c>
      <c r="K36" s="8" t="n">
        <v>5.90139759197202</v>
      </c>
      <c r="L36" s="9" t="n">
        <v>0.169451385780269</v>
      </c>
      <c r="M36" s="9" t="n">
        <f aca="false">IF(AND(ISNUMBER(I36),ISNUMBER(L36)),I36-L36,"")</f>
        <v>0.160404302712558</v>
      </c>
      <c r="N36" s="8" t="n">
        <v>4.33333333333333</v>
      </c>
    </row>
    <row r="37" customFormat="false" ht="15" hidden="false" customHeight="false" outlineLevel="0" collapsed="false">
      <c r="A37" s="6" t="s">
        <v>234</v>
      </c>
      <c r="B37" s="6" t="s">
        <v>205</v>
      </c>
      <c r="C37" s="6" t="s">
        <v>235</v>
      </c>
      <c r="D37" s="7" t="n">
        <v>15</v>
      </c>
      <c r="E37" s="6" t="s">
        <v>236</v>
      </c>
      <c r="F37" s="6" t="s">
        <v>237</v>
      </c>
      <c r="G37" s="6" t="s">
        <v>238</v>
      </c>
      <c r="H37" s="8" t="n">
        <v>3.23558516391732</v>
      </c>
      <c r="I37" s="9" t="n">
        <v>0.309063105849237</v>
      </c>
      <c r="J37" s="6" t="s">
        <v>239</v>
      </c>
      <c r="K37" s="8" t="n">
        <v>4.1675035218477</v>
      </c>
      <c r="L37" s="9" t="n">
        <v>0.239951806820943</v>
      </c>
      <c r="M37" s="9" t="n">
        <f aca="false">IF(AND(ISNUMBER(I37),ISNUMBER(L37)),I37-L37,"")</f>
        <v>0.0691112990282939</v>
      </c>
      <c r="N37" s="8" t="n">
        <v>6</v>
      </c>
    </row>
    <row r="38" customFormat="false" ht="15" hidden="false" customHeight="false" outlineLevel="0" collapsed="false">
      <c r="A38" s="6" t="s">
        <v>240</v>
      </c>
      <c r="B38" s="6" t="s">
        <v>172</v>
      </c>
      <c r="C38" s="6" t="s">
        <v>241</v>
      </c>
      <c r="D38" s="7" t="n">
        <v>8</v>
      </c>
      <c r="E38" s="6" t="s">
        <v>242</v>
      </c>
      <c r="F38" s="6" t="s">
        <v>243</v>
      </c>
      <c r="G38" s="6" t="s">
        <v>244</v>
      </c>
      <c r="H38" s="8" t="n">
        <v>2.50566227645941</v>
      </c>
      <c r="I38" s="9" t="n">
        <v>0.399096083057544</v>
      </c>
      <c r="J38" s="6" t="s">
        <v>245</v>
      </c>
      <c r="K38" s="8" t="n">
        <v>6.11620312030129</v>
      </c>
      <c r="L38" s="9" t="n">
        <v>0.163500129137428</v>
      </c>
      <c r="M38" s="9" t="n">
        <f aca="false">IF(AND(ISNUMBER(I38),ISNUMBER(L38)),I38-L38,"")</f>
        <v>0.235595953920117</v>
      </c>
      <c r="N38" s="8" t="n">
        <v>2.625</v>
      </c>
    </row>
    <row r="39" customFormat="false" ht="15" hidden="false" customHeight="false" outlineLevel="0" collapsed="false">
      <c r="A39" s="6" t="s">
        <v>246</v>
      </c>
      <c r="B39" s="6" t="s">
        <v>205</v>
      </c>
      <c r="C39" s="6" t="s">
        <v>247</v>
      </c>
      <c r="D39" s="7" t="n">
        <v>17</v>
      </c>
      <c r="E39" s="6" t="s">
        <v>248</v>
      </c>
      <c r="F39" s="6" t="s">
        <v>249</v>
      </c>
      <c r="G39" s="6" t="s">
        <v>250</v>
      </c>
      <c r="H39" s="8" t="n">
        <v>5.29172363664834</v>
      </c>
      <c r="I39" s="9" t="n">
        <v>0.188974343458605</v>
      </c>
      <c r="J39" s="6" t="s">
        <v>251</v>
      </c>
      <c r="K39" s="8" t="n">
        <v>5.74481619239169</v>
      </c>
      <c r="L39" s="9" t="n">
        <v>0.174069973087107</v>
      </c>
      <c r="M39" s="9" t="n">
        <f aca="false">IF(AND(ISNUMBER(I39),ISNUMBER(L39)),I39-L39,"")</f>
        <v>0.0149043703714974</v>
      </c>
      <c r="N39" s="8" t="n">
        <v>5</v>
      </c>
    </row>
    <row r="40" customFormat="false" ht="15" hidden="false" customHeight="false" outlineLevel="0" collapsed="false">
      <c r="A40" s="6" t="s">
        <v>252</v>
      </c>
      <c r="B40" s="6" t="s">
        <v>172</v>
      </c>
      <c r="C40" s="6" t="s">
        <v>253</v>
      </c>
      <c r="D40" s="7" t="n">
        <v>11</v>
      </c>
      <c r="E40" s="6" t="s">
        <v>254</v>
      </c>
      <c r="F40" s="6" t="s">
        <v>196</v>
      </c>
      <c r="G40" s="6" t="s">
        <v>244</v>
      </c>
      <c r="H40" s="8" t="n">
        <v>4.16021458017883</v>
      </c>
      <c r="I40" s="9" t="n">
        <v>0.240372216559323</v>
      </c>
      <c r="J40" s="6" t="s">
        <v>255</v>
      </c>
      <c r="K40" s="8" t="n">
        <v>5.171976351087</v>
      </c>
      <c r="L40" s="9" t="n">
        <v>0.193349685326738</v>
      </c>
      <c r="M40" s="9" t="n">
        <f aca="false">IF(AND(ISNUMBER(I40),ISNUMBER(L40)),I40-L40,"")</f>
        <v>0.0470225312325856</v>
      </c>
      <c r="N40" s="8" t="n">
        <v>4.33333333333333</v>
      </c>
    </row>
    <row r="41" customFormat="false" ht="15" hidden="false" customHeight="false" outlineLevel="0" collapsed="false">
      <c r="A41" s="6" t="s">
        <v>256</v>
      </c>
      <c r="B41" s="6" t="s">
        <v>205</v>
      </c>
      <c r="C41" s="6" t="s">
        <v>257</v>
      </c>
      <c r="D41" s="7" t="n">
        <v>7</v>
      </c>
      <c r="E41" s="6" t="s">
        <v>258</v>
      </c>
      <c r="F41" s="6" t="s">
        <v>259</v>
      </c>
      <c r="G41" s="6" t="s">
        <v>260</v>
      </c>
      <c r="H41" s="8" t="n">
        <v>2.7029906238106</v>
      </c>
      <c r="I41" s="9" t="n">
        <v>0.369960587798942</v>
      </c>
      <c r="J41" s="6" t="s">
        <v>261</v>
      </c>
      <c r="K41" s="8" t="n">
        <v>3.23053855962163</v>
      </c>
      <c r="L41" s="9" t="n">
        <v>0.309545910548463</v>
      </c>
      <c r="M41" s="9" t="n">
        <f aca="false">IF(AND(ISNUMBER(I41),ISNUMBER(L41)),I41-L41,"")</f>
        <v>0.0604146772504788</v>
      </c>
      <c r="N41" s="8" t="n">
        <v>2.5</v>
      </c>
    </row>
    <row r="42" customFormat="false" ht="15" hidden="false" customHeight="false" outlineLevel="0" collapsed="false">
      <c r="A42" s="6" t="s">
        <v>262</v>
      </c>
      <c r="B42" s="6" t="s">
        <v>172</v>
      </c>
      <c r="C42" s="6" t="s">
        <v>263</v>
      </c>
      <c r="D42" s="7" t="n">
        <v>11</v>
      </c>
      <c r="E42" s="6" t="s">
        <v>264</v>
      </c>
      <c r="F42" s="6" t="s">
        <v>265</v>
      </c>
      <c r="G42" s="6" t="s">
        <v>266</v>
      </c>
      <c r="H42" s="8" t="n">
        <v>5.83284454604228</v>
      </c>
      <c r="I42" s="9" t="n">
        <v>0.171442936993499</v>
      </c>
      <c r="J42" s="6" t="s">
        <v>267</v>
      </c>
      <c r="K42" s="8" t="n">
        <v>8.94220490837452</v>
      </c>
      <c r="L42" s="9" t="n">
        <v>0.111829242367672</v>
      </c>
      <c r="M42" s="9" t="n">
        <f aca="false">IF(AND(ISNUMBER(I42),ISNUMBER(L42)),I42-L42,"")</f>
        <v>0.0596136946258269</v>
      </c>
      <c r="N42" s="8" t="n">
        <v>2.75</v>
      </c>
    </row>
    <row r="43" customFormat="false" ht="15" hidden="false" customHeight="false" outlineLevel="0" collapsed="false">
      <c r="A43" s="6" t="s">
        <v>268</v>
      </c>
      <c r="B43" s="6" t="s">
        <v>205</v>
      </c>
      <c r="C43" s="6" t="s">
        <v>269</v>
      </c>
      <c r="D43" s="7" t="n">
        <v>17</v>
      </c>
      <c r="E43" s="6" t="s">
        <v>270</v>
      </c>
      <c r="F43" s="6" t="s">
        <v>259</v>
      </c>
      <c r="G43" s="6" t="s">
        <v>260</v>
      </c>
      <c r="H43" s="8" t="n">
        <v>6.65045822809723</v>
      </c>
      <c r="I43" s="9" t="n">
        <v>0.150365578686765</v>
      </c>
      <c r="J43" s="6" t="s">
        <v>271</v>
      </c>
      <c r="K43" s="8" t="n">
        <v>7.16139590550262</v>
      </c>
      <c r="L43" s="9" t="n">
        <v>0.139637580884423</v>
      </c>
      <c r="M43" s="9" t="n">
        <f aca="false">IF(AND(ISNUMBER(I43),ISNUMBER(L43)),I43-L43,"")</f>
        <v>0.0107279978023422</v>
      </c>
      <c r="N43" s="8" t="n">
        <v>4.33333333333333</v>
      </c>
    </row>
    <row r="44" customFormat="false" ht="15" hidden="false" customHeight="false" outlineLevel="0" collapsed="false">
      <c r="A44" s="6" t="s">
        <v>272</v>
      </c>
      <c r="B44" s="6" t="s">
        <v>172</v>
      </c>
      <c r="C44" s="6" t="s">
        <v>173</v>
      </c>
      <c r="D44" s="7" t="n">
        <v>13</v>
      </c>
      <c r="E44" s="6" t="s">
        <v>273</v>
      </c>
      <c r="F44" s="6" t="s">
        <v>274</v>
      </c>
      <c r="G44" s="6" t="s">
        <v>275</v>
      </c>
      <c r="H44" s="8" t="n">
        <v>5.25658255423605</v>
      </c>
      <c r="I44" s="9" t="n">
        <v>0.190237666712595</v>
      </c>
      <c r="J44" s="6" t="s">
        <v>276</v>
      </c>
      <c r="K44" s="8" t="n">
        <v>5.71545265396597</v>
      </c>
      <c r="L44" s="9" t="n">
        <v>0.174964269768921</v>
      </c>
      <c r="M44" s="9" t="n">
        <f aca="false">IF(AND(ISNUMBER(I44),ISNUMBER(L44)),I44-L44,"")</f>
        <v>0.0152733969436738</v>
      </c>
      <c r="N44" s="8" t="n">
        <v>4.33333333333333</v>
      </c>
    </row>
    <row r="45" customFormat="false" ht="15" hidden="false" customHeight="false" outlineLevel="0" collapsed="false">
      <c r="A45" s="6" t="s">
        <v>277</v>
      </c>
      <c r="B45" s="6" t="s">
        <v>205</v>
      </c>
      <c r="C45" s="6" t="s">
        <v>278</v>
      </c>
      <c r="D45" s="7" t="n">
        <v>17</v>
      </c>
      <c r="E45" s="6" t="s">
        <v>279</v>
      </c>
      <c r="F45" s="6" t="s">
        <v>208</v>
      </c>
      <c r="G45" s="6" t="s">
        <v>280</v>
      </c>
      <c r="H45" s="8" t="n">
        <v>6.55411877963466</v>
      </c>
      <c r="I45" s="9" t="n">
        <v>0.152575812801449</v>
      </c>
      <c r="J45" s="6" t="s">
        <v>281</v>
      </c>
      <c r="K45" s="8" t="n">
        <v>7.43591880067708</v>
      </c>
      <c r="L45" s="9" t="n">
        <v>0.134482372226677</v>
      </c>
      <c r="M45" s="9" t="n">
        <f aca="false">IF(AND(ISNUMBER(I45),ISNUMBER(L45)),I45-L45,"")</f>
        <v>0.0180934405747722</v>
      </c>
      <c r="N45" s="8" t="n">
        <v>4.5</v>
      </c>
    </row>
  </sheetData>
  <autoFilter ref="A1:N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5" t="s">
        <v>26</v>
      </c>
      <c r="B1" s="5" t="s">
        <v>27</v>
      </c>
      <c r="C1" s="5" t="s">
        <v>28</v>
      </c>
      <c r="D1" s="5" t="s">
        <v>282</v>
      </c>
      <c r="E1" s="5" t="s">
        <v>283</v>
      </c>
      <c r="F1" s="5" t="s">
        <v>284</v>
      </c>
      <c r="G1" s="5" t="s">
        <v>1</v>
      </c>
      <c r="H1" s="5" t="s">
        <v>285</v>
      </c>
      <c r="I1" s="5" t="s">
        <v>30</v>
      </c>
      <c r="J1" s="5" t="s">
        <v>31</v>
      </c>
      <c r="K1" s="5" t="s">
        <v>286</v>
      </c>
      <c r="L1" s="5" t="s">
        <v>287</v>
      </c>
      <c r="M1" s="5" t="s">
        <v>288</v>
      </c>
      <c r="N1" s="5" t="s">
        <v>289</v>
      </c>
      <c r="O1" s="5" t="s">
        <v>18</v>
      </c>
      <c r="P1" s="5" t="s">
        <v>14</v>
      </c>
      <c r="Q1" s="5" t="s">
        <v>16</v>
      </c>
      <c r="R1" s="5" t="s">
        <v>20</v>
      </c>
      <c r="S1" s="5" t="s">
        <v>22</v>
      </c>
    </row>
    <row r="2" customFormat="false" ht="15" hidden="false" customHeight="false" outlineLevel="0" collapsed="false">
      <c r="A2" s="10" t="s">
        <v>36</v>
      </c>
      <c r="B2" s="10" t="s">
        <v>37</v>
      </c>
      <c r="C2" s="10" t="s">
        <v>38</v>
      </c>
      <c r="D2" s="10" t="s">
        <v>290</v>
      </c>
      <c r="E2" s="11" t="n">
        <v>16.5</v>
      </c>
      <c r="F2" s="10" t="s">
        <v>291</v>
      </c>
      <c r="G2" s="7" t="n">
        <v>10</v>
      </c>
      <c r="H2" s="10" t="s">
        <v>39</v>
      </c>
      <c r="I2" s="10" t="s">
        <v>40</v>
      </c>
      <c r="J2" s="10" t="s">
        <v>41</v>
      </c>
      <c r="K2" s="7" t="n">
        <v>6</v>
      </c>
      <c r="L2" s="7" t="n">
        <v>82</v>
      </c>
      <c r="M2" s="7" t="n">
        <v>6</v>
      </c>
      <c r="N2" s="7" t="n">
        <v>28</v>
      </c>
      <c r="O2" s="7" t="n">
        <v>1</v>
      </c>
      <c r="P2" s="8" t="n">
        <v>3.30594643104296</v>
      </c>
      <c r="Q2" s="9" t="n">
        <v>0.30248524011459</v>
      </c>
      <c r="R2" s="8" t="n">
        <v>1.83333333333333</v>
      </c>
      <c r="S2" s="12" t="n">
        <f aca="false">IF(AND(ISNUMBER(R2),R2&gt;1,P2&gt;0),R2/P2-1,"")</f>
        <v>-0.445443726456586</v>
      </c>
    </row>
    <row r="3" customFormat="false" ht="15" hidden="false" customHeight="false" outlineLevel="0" collapsed="false">
      <c r="A3" s="10" t="s">
        <v>36</v>
      </c>
      <c r="B3" s="10" t="s">
        <v>37</v>
      </c>
      <c r="C3" s="10" t="s">
        <v>38</v>
      </c>
      <c r="D3" s="10" t="s">
        <v>290</v>
      </c>
      <c r="E3" s="11" t="n">
        <v>16.5</v>
      </c>
      <c r="F3" s="10" t="s">
        <v>291</v>
      </c>
      <c r="G3" s="7" t="n">
        <v>10</v>
      </c>
      <c r="H3" s="10" t="s">
        <v>42</v>
      </c>
      <c r="I3" s="10" t="s">
        <v>292</v>
      </c>
      <c r="J3" s="10" t="s">
        <v>293</v>
      </c>
      <c r="K3" s="7" t="n">
        <v>1</v>
      </c>
      <c r="L3" s="7" t="n">
        <v>100</v>
      </c>
      <c r="M3" s="7" t="n">
        <v>10</v>
      </c>
      <c r="N3" s="7" t="n">
        <v>37</v>
      </c>
      <c r="O3" s="7" t="n">
        <v>2</v>
      </c>
      <c r="P3" s="8" t="n">
        <v>4.68796761981854</v>
      </c>
      <c r="Q3" s="9" t="n">
        <v>0.213312053558661</v>
      </c>
      <c r="R3" s="8" t="n">
        <v>8</v>
      </c>
      <c r="S3" s="12" t="n">
        <f aca="false">IF(AND(ISNUMBER(R3),R3&gt;1,P3&gt;0),R3/P3-1,"")</f>
        <v>0.706496428469288</v>
      </c>
    </row>
    <row r="4" customFormat="false" ht="15" hidden="false" customHeight="false" outlineLevel="0" collapsed="false">
      <c r="A4" s="10" t="s">
        <v>36</v>
      </c>
      <c r="B4" s="10" t="s">
        <v>37</v>
      </c>
      <c r="C4" s="10" t="s">
        <v>38</v>
      </c>
      <c r="D4" s="10" t="s">
        <v>290</v>
      </c>
      <c r="E4" s="11" t="n">
        <v>16.5</v>
      </c>
      <c r="F4" s="10" t="s">
        <v>291</v>
      </c>
      <c r="G4" s="7" t="n">
        <v>10</v>
      </c>
      <c r="H4" s="10" t="s">
        <v>294</v>
      </c>
      <c r="I4" s="10" t="s">
        <v>295</v>
      </c>
      <c r="J4" s="10" t="s">
        <v>296</v>
      </c>
      <c r="K4" s="7" t="n">
        <v>5</v>
      </c>
      <c r="L4" s="7" t="n">
        <v>89</v>
      </c>
      <c r="M4" s="7" t="n">
        <v>6</v>
      </c>
      <c r="N4" s="7" t="n">
        <v>143</v>
      </c>
      <c r="O4" s="7" t="n">
        <v>3</v>
      </c>
      <c r="P4" s="8" t="n">
        <v>8.87668843379882</v>
      </c>
      <c r="Q4" s="9" t="n">
        <v>0.112654624239419</v>
      </c>
      <c r="R4" s="8" t="n">
        <v>9</v>
      </c>
      <c r="S4" s="12" t="n">
        <f aca="false">IF(AND(ISNUMBER(R4),R4&gt;1,P4&gt;0),R4/P4-1,"")</f>
        <v>0.0138916181547684</v>
      </c>
    </row>
    <row r="5" customFormat="false" ht="15" hidden="false" customHeight="false" outlineLevel="0" collapsed="false">
      <c r="A5" s="10" t="s">
        <v>36</v>
      </c>
      <c r="B5" s="10" t="s">
        <v>37</v>
      </c>
      <c r="C5" s="10" t="s">
        <v>38</v>
      </c>
      <c r="D5" s="10" t="s">
        <v>290</v>
      </c>
      <c r="E5" s="11" t="n">
        <v>16.5</v>
      </c>
      <c r="F5" s="10" t="s">
        <v>291</v>
      </c>
      <c r="G5" s="7" t="n">
        <v>10</v>
      </c>
      <c r="H5" s="10" t="s">
        <v>297</v>
      </c>
      <c r="I5" s="10" t="s">
        <v>298</v>
      </c>
      <c r="J5" s="10" t="s">
        <v>299</v>
      </c>
      <c r="K5" s="7" t="n">
        <v>3</v>
      </c>
      <c r="L5" s="7" t="n">
        <v>95</v>
      </c>
      <c r="M5" s="7" t="n">
        <v>5</v>
      </c>
      <c r="N5" s="7" t="n">
        <v>162</v>
      </c>
      <c r="O5" s="7" t="n">
        <v>4</v>
      </c>
      <c r="P5" s="8" t="n">
        <v>12.1214876843353</v>
      </c>
      <c r="Q5" s="9" t="n">
        <v>0.0824981244911306</v>
      </c>
      <c r="R5" s="8" t="n">
        <v>9</v>
      </c>
      <c r="S5" s="12" t="n">
        <f aca="false">IF(AND(ISNUMBER(R5),R5&gt;1,P5&gt;0),R5/P5-1,"")</f>
        <v>-0.257516879579824</v>
      </c>
    </row>
    <row r="6" customFormat="false" ht="15" hidden="false" customHeight="false" outlineLevel="0" collapsed="false">
      <c r="A6" s="10" t="s">
        <v>36</v>
      </c>
      <c r="B6" s="10" t="s">
        <v>37</v>
      </c>
      <c r="C6" s="10" t="s">
        <v>38</v>
      </c>
      <c r="D6" s="10" t="s">
        <v>290</v>
      </c>
      <c r="E6" s="11" t="n">
        <v>16.5</v>
      </c>
      <c r="F6" s="10" t="s">
        <v>291</v>
      </c>
      <c r="G6" s="7" t="n">
        <v>10</v>
      </c>
      <c r="H6" s="10" t="s">
        <v>300</v>
      </c>
      <c r="I6" s="10" t="s">
        <v>301</v>
      </c>
      <c r="J6" s="10" t="s">
        <v>302</v>
      </c>
      <c r="K6" s="7" t="n">
        <v>10</v>
      </c>
      <c r="L6" s="7" t="n">
        <v>76</v>
      </c>
      <c r="M6" s="7" t="n">
        <v>6</v>
      </c>
      <c r="N6" s="7" t="n">
        <v>80</v>
      </c>
      <c r="O6" s="7" t="n">
        <v>5</v>
      </c>
      <c r="P6" s="8" t="n">
        <v>13.9078615395996</v>
      </c>
      <c r="Q6" s="9" t="n">
        <v>0.0719017799503336</v>
      </c>
      <c r="R6" s="8" t="n">
        <v>12</v>
      </c>
      <c r="S6" s="12" t="n">
        <f aca="false">IF(AND(ISNUMBER(R6),R6&gt;1,P6&gt;0),R6/P6-1,"")</f>
        <v>-0.137178640595996</v>
      </c>
    </row>
    <row r="7" customFormat="false" ht="15" hidden="false" customHeight="false" outlineLevel="0" collapsed="false">
      <c r="A7" s="10" t="s">
        <v>36</v>
      </c>
      <c r="B7" s="10" t="s">
        <v>37</v>
      </c>
      <c r="C7" s="10" t="s">
        <v>38</v>
      </c>
      <c r="D7" s="10" t="s">
        <v>290</v>
      </c>
      <c r="E7" s="11" t="n">
        <v>16.5</v>
      </c>
      <c r="F7" s="10" t="s">
        <v>291</v>
      </c>
      <c r="G7" s="7" t="n">
        <v>10</v>
      </c>
      <c r="H7" s="10" t="s">
        <v>303</v>
      </c>
      <c r="I7" s="10" t="s">
        <v>304</v>
      </c>
      <c r="J7" s="10" t="s">
        <v>305</v>
      </c>
      <c r="K7" s="7" t="n">
        <v>4</v>
      </c>
      <c r="L7" s="7" t="n">
        <v>92</v>
      </c>
      <c r="M7" s="7" t="n">
        <v>7</v>
      </c>
      <c r="N7" s="7" t="n">
        <v>25</v>
      </c>
      <c r="O7" s="7" t="n">
        <v>6</v>
      </c>
      <c r="P7" s="8" t="n">
        <v>18.1174042244394</v>
      </c>
      <c r="Q7" s="9" t="n">
        <v>0.055195544991542</v>
      </c>
      <c r="R7" s="8" t="n">
        <v>10</v>
      </c>
      <c r="S7" s="12" t="n">
        <f aca="false">IF(AND(ISNUMBER(R7),R7&gt;1,P7&gt;0),R7/P7-1,"")</f>
        <v>-0.44804455008458</v>
      </c>
    </row>
    <row r="8" customFormat="false" ht="15" hidden="false" customHeight="false" outlineLevel="0" collapsed="false">
      <c r="A8" s="10" t="s">
        <v>36</v>
      </c>
      <c r="B8" s="10" t="s">
        <v>37</v>
      </c>
      <c r="C8" s="10" t="s">
        <v>38</v>
      </c>
      <c r="D8" s="10" t="s">
        <v>290</v>
      </c>
      <c r="E8" s="11" t="n">
        <v>16.5</v>
      </c>
      <c r="F8" s="10" t="s">
        <v>291</v>
      </c>
      <c r="G8" s="7" t="n">
        <v>10</v>
      </c>
      <c r="H8" s="10" t="s">
        <v>306</v>
      </c>
      <c r="I8" s="10" t="s">
        <v>307</v>
      </c>
      <c r="J8" s="10" t="s">
        <v>308</v>
      </c>
      <c r="K8" s="7" t="n">
        <v>7</v>
      </c>
      <c r="L8" s="7" t="n">
        <v>81</v>
      </c>
      <c r="M8" s="7" t="n">
        <v>7</v>
      </c>
      <c r="N8" s="7" t="n">
        <v>155</v>
      </c>
      <c r="O8" s="7" t="n">
        <v>7</v>
      </c>
      <c r="P8" s="8" t="n">
        <v>20.6756871118158</v>
      </c>
      <c r="Q8" s="9" t="n">
        <v>0.0483659863196767</v>
      </c>
      <c r="R8" s="8" t="n">
        <v>21</v>
      </c>
      <c r="S8" s="12" t="n">
        <f aca="false">IF(AND(ISNUMBER(R8),R8&gt;1,P8&gt;0),R8/P8-1,"")</f>
        <v>0.0156857127132113</v>
      </c>
    </row>
    <row r="9" customFormat="false" ht="15" hidden="false" customHeight="false" outlineLevel="0" collapsed="false">
      <c r="A9" s="10" t="s">
        <v>36</v>
      </c>
      <c r="B9" s="10" t="s">
        <v>37</v>
      </c>
      <c r="C9" s="10" t="s">
        <v>38</v>
      </c>
      <c r="D9" s="10" t="s">
        <v>290</v>
      </c>
      <c r="E9" s="11" t="n">
        <v>16.5</v>
      </c>
      <c r="F9" s="10" t="s">
        <v>291</v>
      </c>
      <c r="G9" s="7" t="n">
        <v>10</v>
      </c>
      <c r="H9" s="10" t="s">
        <v>309</v>
      </c>
      <c r="I9" s="10" t="s">
        <v>310</v>
      </c>
      <c r="J9" s="10" t="s">
        <v>311</v>
      </c>
      <c r="K9" s="7" t="n">
        <v>8</v>
      </c>
      <c r="L9" s="7" t="n">
        <v>80</v>
      </c>
      <c r="M9" s="7" t="n">
        <v>8</v>
      </c>
      <c r="N9" s="7" t="n">
        <v>21</v>
      </c>
      <c r="O9" s="7" t="n">
        <v>8</v>
      </c>
      <c r="P9" s="8" t="n">
        <v>21.4258476062345</v>
      </c>
      <c r="Q9" s="9" t="n">
        <v>0.0466725993005299</v>
      </c>
      <c r="R9" s="8" t="n">
        <v>15</v>
      </c>
      <c r="S9" s="12" t="n">
        <f aca="false">IF(AND(ISNUMBER(R9),R9&gt;1,P9&gt;0),R9/P9-1,"")</f>
        <v>-0.299911010492051</v>
      </c>
    </row>
    <row r="10" customFormat="false" ht="15" hidden="false" customHeight="false" outlineLevel="0" collapsed="false">
      <c r="A10" s="10" t="s">
        <v>36</v>
      </c>
      <c r="B10" s="10" t="s">
        <v>37</v>
      </c>
      <c r="C10" s="10" t="s">
        <v>38</v>
      </c>
      <c r="D10" s="10" t="s">
        <v>290</v>
      </c>
      <c r="E10" s="11" t="n">
        <v>16.5</v>
      </c>
      <c r="F10" s="10" t="s">
        <v>291</v>
      </c>
      <c r="G10" s="7" t="n">
        <v>10</v>
      </c>
      <c r="H10" s="10" t="s">
        <v>312</v>
      </c>
      <c r="I10" s="10" t="s">
        <v>313</v>
      </c>
      <c r="J10" s="10" t="s">
        <v>314</v>
      </c>
      <c r="K10" s="7" t="n">
        <v>2</v>
      </c>
      <c r="L10" s="7" t="n">
        <v>99</v>
      </c>
      <c r="M10" s="7" t="n">
        <v>5</v>
      </c>
      <c r="N10" s="7" t="n">
        <v>5</v>
      </c>
      <c r="O10" s="7" t="n">
        <v>9</v>
      </c>
      <c r="P10" s="8" t="n">
        <v>23.4380243609857</v>
      </c>
      <c r="Q10" s="9" t="n">
        <v>0.0426657121179792</v>
      </c>
      <c r="R10" s="8" t="n">
        <v>13</v>
      </c>
      <c r="S10" s="12" t="n">
        <f aca="false">IF(AND(ISNUMBER(R10),R10&gt;1,P10&gt;0),R10/P10-1,"")</f>
        <v>-0.44534574246627</v>
      </c>
    </row>
    <row r="11" customFormat="false" ht="15" hidden="false" customHeight="false" outlineLevel="0" collapsed="false">
      <c r="A11" s="10" t="s">
        <v>36</v>
      </c>
      <c r="B11" s="10" t="s">
        <v>37</v>
      </c>
      <c r="C11" s="10" t="s">
        <v>38</v>
      </c>
      <c r="D11" s="10" t="s">
        <v>290</v>
      </c>
      <c r="E11" s="11" t="n">
        <v>16.5</v>
      </c>
      <c r="F11" s="10" t="s">
        <v>291</v>
      </c>
      <c r="G11" s="7" t="n">
        <v>10</v>
      </c>
      <c r="H11" s="10" t="s">
        <v>315</v>
      </c>
      <c r="I11" s="10" t="s">
        <v>316</v>
      </c>
      <c r="J11" s="10" t="s">
        <v>317</v>
      </c>
      <c r="K11" s="7" t="n">
        <v>9</v>
      </c>
      <c r="L11" s="7" t="n">
        <v>79</v>
      </c>
      <c r="M11" s="7" t="n">
        <v>9</v>
      </c>
      <c r="N11" s="7" t="n">
        <v>13</v>
      </c>
      <c r="O11" s="7" t="n">
        <v>10</v>
      </c>
      <c r="P11" s="8" t="n">
        <v>41.2399450708034</v>
      </c>
      <c r="Q11" s="9" t="n">
        <v>0.0242483349161385</v>
      </c>
      <c r="R11" s="8" t="n">
        <v>19</v>
      </c>
      <c r="S11" s="12" t="n">
        <f aca="false">IF(AND(ISNUMBER(R11),R11&gt;1,P11&gt;0),R11/P11-1,"")</f>
        <v>-0.539281636593367</v>
      </c>
    </row>
    <row r="12" customFormat="false" ht="15" hidden="false" customHeight="false" outlineLevel="0" collapsed="false">
      <c r="A12" s="10" t="s">
        <v>43</v>
      </c>
      <c r="B12" s="10" t="s">
        <v>44</v>
      </c>
      <c r="C12" s="10" t="s">
        <v>45</v>
      </c>
      <c r="D12" s="10"/>
      <c r="E12" s="11" t="n">
        <v>8</v>
      </c>
      <c r="F12" s="10" t="s">
        <v>291</v>
      </c>
      <c r="G12" s="7" t="n">
        <v>9</v>
      </c>
      <c r="H12" s="10" t="s">
        <v>46</v>
      </c>
      <c r="I12" s="10" t="s">
        <v>47</v>
      </c>
      <c r="J12" s="10" t="s">
        <v>48</v>
      </c>
      <c r="K12" s="7" t="n">
        <v>7</v>
      </c>
      <c r="L12" s="7" t="n">
        <v>96</v>
      </c>
      <c r="M12" s="7" t="n">
        <v>4</v>
      </c>
      <c r="N12" s="7" t="n">
        <v>48</v>
      </c>
      <c r="O12" s="7" t="n">
        <v>1</v>
      </c>
      <c r="P12" s="8" t="n">
        <v>4.84920756908568</v>
      </c>
      <c r="Q12" s="9" t="n">
        <v>0.206219260725222</v>
      </c>
      <c r="R12" s="8" t="n">
        <v>4.5</v>
      </c>
      <c r="S12" s="12" t="n">
        <f aca="false">IF(AND(ISNUMBER(R12),R12&gt;1,P12&gt;0),R12/P12-1,"")</f>
        <v>-0.0720133267365016</v>
      </c>
    </row>
    <row r="13" customFormat="false" ht="15" hidden="false" customHeight="false" outlineLevel="0" collapsed="false">
      <c r="A13" s="10" t="s">
        <v>43</v>
      </c>
      <c r="B13" s="10" t="s">
        <v>44</v>
      </c>
      <c r="C13" s="10" t="s">
        <v>45</v>
      </c>
      <c r="D13" s="10"/>
      <c r="E13" s="11" t="n">
        <v>8</v>
      </c>
      <c r="F13" s="10" t="s">
        <v>291</v>
      </c>
      <c r="G13" s="7" t="n">
        <v>9</v>
      </c>
      <c r="H13" s="10" t="s">
        <v>49</v>
      </c>
      <c r="I13" s="10" t="s">
        <v>111</v>
      </c>
      <c r="J13" s="10" t="s">
        <v>318</v>
      </c>
      <c r="K13" s="7" t="n">
        <v>5</v>
      </c>
      <c r="L13" s="7" t="n">
        <v>87</v>
      </c>
      <c r="M13" s="7" t="n">
        <v>3</v>
      </c>
      <c r="N13" s="7" t="n">
        <v>21</v>
      </c>
      <c r="O13" s="7" t="n">
        <v>2</v>
      </c>
      <c r="P13" s="8" t="n">
        <v>5.49073543909992</v>
      </c>
      <c r="Q13" s="9" t="n">
        <v>0.182124965060041</v>
      </c>
      <c r="R13" s="8" t="n">
        <v>6</v>
      </c>
      <c r="S13" s="12" t="n">
        <f aca="false">IF(AND(ISNUMBER(R13),R13&gt;1,P13&gt;0),R13/P13-1,"")</f>
        <v>0.0927497903602448</v>
      </c>
    </row>
    <row r="14" customFormat="false" ht="15" hidden="false" customHeight="false" outlineLevel="0" collapsed="false">
      <c r="A14" s="10" t="s">
        <v>43</v>
      </c>
      <c r="B14" s="10" t="s">
        <v>44</v>
      </c>
      <c r="C14" s="10" t="s">
        <v>45</v>
      </c>
      <c r="D14" s="10"/>
      <c r="E14" s="11" t="n">
        <v>8</v>
      </c>
      <c r="F14" s="10" t="s">
        <v>291</v>
      </c>
      <c r="G14" s="7" t="n">
        <v>9</v>
      </c>
      <c r="H14" s="10" t="s">
        <v>319</v>
      </c>
      <c r="I14" s="10" t="s">
        <v>320</v>
      </c>
      <c r="J14" s="10" t="s">
        <v>321</v>
      </c>
      <c r="K14" s="7" t="n">
        <v>2</v>
      </c>
      <c r="L14" s="7" t="n">
        <v>96</v>
      </c>
      <c r="M14" s="7" t="n">
        <v>3</v>
      </c>
      <c r="N14" s="7" t="n">
        <v>178</v>
      </c>
      <c r="O14" s="7" t="n">
        <v>3</v>
      </c>
      <c r="P14" s="8" t="n">
        <v>5.71137815006143</v>
      </c>
      <c r="Q14" s="9" t="n">
        <v>0.175089089485214</v>
      </c>
      <c r="R14" s="8" t="n">
        <v>9.5</v>
      </c>
      <c r="S14" s="12" t="n">
        <f aca="false">IF(AND(ISNUMBER(R14),R14&gt;1,P14&gt;0),R14/P14-1,"")</f>
        <v>0.663346350109531</v>
      </c>
    </row>
    <row r="15" customFormat="false" ht="15" hidden="false" customHeight="false" outlineLevel="0" collapsed="false">
      <c r="A15" s="10" t="s">
        <v>43</v>
      </c>
      <c r="B15" s="10" t="s">
        <v>44</v>
      </c>
      <c r="C15" s="10" t="s">
        <v>45</v>
      </c>
      <c r="D15" s="10"/>
      <c r="E15" s="11" t="n">
        <v>8</v>
      </c>
      <c r="F15" s="10" t="s">
        <v>291</v>
      </c>
      <c r="G15" s="7" t="n">
        <v>9</v>
      </c>
      <c r="H15" s="10" t="s">
        <v>322</v>
      </c>
      <c r="I15" s="10" t="s">
        <v>323</v>
      </c>
      <c r="J15" s="10" t="s">
        <v>324</v>
      </c>
      <c r="K15" s="7" t="n">
        <v>6</v>
      </c>
      <c r="L15" s="7" t="n">
        <v>98</v>
      </c>
      <c r="M15" s="7" t="n">
        <v>3</v>
      </c>
      <c r="N15" s="7" t="n">
        <v>63</v>
      </c>
      <c r="O15" s="7" t="n">
        <v>4</v>
      </c>
      <c r="P15" s="8" t="n">
        <v>7.46448197386094</v>
      </c>
      <c r="Q15" s="9" t="n">
        <v>0.133967769431528</v>
      </c>
      <c r="R15" s="8" t="n">
        <v>5</v>
      </c>
      <c r="S15" s="12" t="n">
        <f aca="false">IF(AND(ISNUMBER(R15),R15&gt;1,P15&gt;0),R15/P15-1,"")</f>
        <v>-0.33016115284236</v>
      </c>
    </row>
    <row r="16" customFormat="false" ht="15" hidden="false" customHeight="false" outlineLevel="0" collapsed="false">
      <c r="A16" s="10" t="s">
        <v>43</v>
      </c>
      <c r="B16" s="10" t="s">
        <v>44</v>
      </c>
      <c r="C16" s="10" t="s">
        <v>45</v>
      </c>
      <c r="D16" s="10"/>
      <c r="E16" s="11" t="n">
        <v>8</v>
      </c>
      <c r="F16" s="10" t="s">
        <v>291</v>
      </c>
      <c r="G16" s="7" t="n">
        <v>9</v>
      </c>
      <c r="H16" s="10" t="s">
        <v>325</v>
      </c>
      <c r="I16" s="10" t="s">
        <v>326</v>
      </c>
      <c r="J16" s="10" t="s">
        <v>327</v>
      </c>
      <c r="K16" s="7" t="n">
        <v>1</v>
      </c>
      <c r="L16" s="7" t="n">
        <v>99</v>
      </c>
      <c r="M16" s="7" t="n">
        <v>5</v>
      </c>
      <c r="N16" s="7" t="n">
        <v>62</v>
      </c>
      <c r="O16" s="7" t="n">
        <v>5</v>
      </c>
      <c r="P16" s="8" t="n">
        <v>8.81110297136301</v>
      </c>
      <c r="Q16" s="9" t="n">
        <v>0.113493169158288</v>
      </c>
      <c r="R16" s="8" t="n">
        <v>5</v>
      </c>
      <c r="S16" s="12" t="n">
        <f aca="false">IF(AND(ISNUMBER(R16),R16&gt;1,P16&gt;0),R16/P16-1,"")</f>
        <v>-0.432534154208558</v>
      </c>
    </row>
    <row r="17" customFormat="false" ht="15" hidden="false" customHeight="false" outlineLevel="0" collapsed="false">
      <c r="A17" s="10" t="s">
        <v>43</v>
      </c>
      <c r="B17" s="10" t="s">
        <v>44</v>
      </c>
      <c r="C17" s="10" t="s">
        <v>45</v>
      </c>
      <c r="D17" s="10"/>
      <c r="E17" s="11" t="n">
        <v>8</v>
      </c>
      <c r="F17" s="10" t="s">
        <v>291</v>
      </c>
      <c r="G17" s="7" t="n">
        <v>9</v>
      </c>
      <c r="H17" s="10" t="s">
        <v>328</v>
      </c>
      <c r="I17" s="10" t="s">
        <v>329</v>
      </c>
      <c r="J17" s="10" t="s">
        <v>330</v>
      </c>
      <c r="K17" s="7" t="n">
        <v>3</v>
      </c>
      <c r="L17" s="7" t="n">
        <v>91</v>
      </c>
      <c r="M17" s="7" t="n">
        <v>3</v>
      </c>
      <c r="N17" s="7" t="n">
        <v>48</v>
      </c>
      <c r="O17" s="7" t="n">
        <v>6</v>
      </c>
      <c r="P17" s="8" t="n">
        <v>13.2243651481816</v>
      </c>
      <c r="Q17" s="9" t="n">
        <v>0.0756179966898074</v>
      </c>
      <c r="R17" s="8" t="n">
        <v>8.5</v>
      </c>
      <c r="S17" s="12" t="n">
        <f aca="false">IF(AND(ISNUMBER(R17),R17&gt;1,P17&gt;0),R17/P17-1,"")</f>
        <v>-0.357247028136636</v>
      </c>
    </row>
    <row r="18" customFormat="false" ht="15" hidden="false" customHeight="false" outlineLevel="0" collapsed="false">
      <c r="A18" s="10" t="s">
        <v>43</v>
      </c>
      <c r="B18" s="10" t="s">
        <v>44</v>
      </c>
      <c r="C18" s="10" t="s">
        <v>45</v>
      </c>
      <c r="D18" s="10"/>
      <c r="E18" s="11" t="n">
        <v>8</v>
      </c>
      <c r="F18" s="10" t="s">
        <v>291</v>
      </c>
      <c r="G18" s="7" t="n">
        <v>9</v>
      </c>
      <c r="H18" s="10" t="s">
        <v>331</v>
      </c>
      <c r="I18" s="10" t="s">
        <v>332</v>
      </c>
      <c r="J18" s="10" t="s">
        <v>333</v>
      </c>
      <c r="K18" s="7" t="n">
        <v>4</v>
      </c>
      <c r="L18" s="7" t="n">
        <v>85</v>
      </c>
      <c r="M18" s="7" t="n">
        <v>3</v>
      </c>
      <c r="N18" s="7" t="n">
        <v>20</v>
      </c>
      <c r="O18" s="7" t="n">
        <v>7</v>
      </c>
      <c r="P18" s="8" t="n">
        <v>17.7529840397422</v>
      </c>
      <c r="Q18" s="9" t="n">
        <v>0.0563285584981869</v>
      </c>
      <c r="R18" s="8" t="n">
        <v>17</v>
      </c>
      <c r="S18" s="12" t="n">
        <f aca="false">IF(AND(ISNUMBER(R18),R18&gt;1,P18&gt;0),R18/P18-1,"")</f>
        <v>-0.0424145055308214</v>
      </c>
    </row>
    <row r="19" customFormat="false" ht="15" hidden="false" customHeight="false" outlineLevel="0" collapsed="false">
      <c r="A19" s="10" t="s">
        <v>43</v>
      </c>
      <c r="B19" s="10" t="s">
        <v>44</v>
      </c>
      <c r="C19" s="10" t="s">
        <v>45</v>
      </c>
      <c r="D19" s="10"/>
      <c r="E19" s="11" t="n">
        <v>8</v>
      </c>
      <c r="F19" s="10" t="s">
        <v>291</v>
      </c>
      <c r="G19" s="7" t="n">
        <v>9</v>
      </c>
      <c r="H19" s="10" t="s">
        <v>334</v>
      </c>
      <c r="I19" s="10" t="s">
        <v>335</v>
      </c>
      <c r="J19" s="10" t="s">
        <v>336</v>
      </c>
      <c r="K19" s="7" t="n">
        <v>9</v>
      </c>
      <c r="L19" s="7" t="n">
        <v>86</v>
      </c>
      <c r="M19" s="7" t="n">
        <v>4</v>
      </c>
      <c r="N19" s="7" t="n">
        <v>18</v>
      </c>
      <c r="O19" s="7" t="n">
        <v>8</v>
      </c>
      <c r="P19" s="8" t="n">
        <v>24.6173398444875</v>
      </c>
      <c r="Q19" s="9" t="n">
        <v>0.0406217733645142</v>
      </c>
      <c r="R19" s="8" t="n">
        <v>17</v>
      </c>
      <c r="S19" s="12" t="n">
        <f aca="false">IF(AND(ISNUMBER(R19),R19&gt;1,P19&gt;0),R19/P19-1,"")</f>
        <v>-0.309429852803257</v>
      </c>
    </row>
    <row r="20" customFormat="false" ht="15" hidden="false" customHeight="false" outlineLevel="0" collapsed="false">
      <c r="A20" s="10" t="s">
        <v>43</v>
      </c>
      <c r="B20" s="10" t="s">
        <v>44</v>
      </c>
      <c r="C20" s="10" t="s">
        <v>45</v>
      </c>
      <c r="D20" s="10"/>
      <c r="E20" s="11" t="n">
        <v>8</v>
      </c>
      <c r="F20" s="10" t="s">
        <v>291</v>
      </c>
      <c r="G20" s="7" t="n">
        <v>9</v>
      </c>
      <c r="H20" s="10" t="s">
        <v>337</v>
      </c>
      <c r="I20" s="10" t="s">
        <v>338</v>
      </c>
      <c r="J20" s="10" t="s">
        <v>339</v>
      </c>
      <c r="K20" s="7" t="n">
        <v>8</v>
      </c>
      <c r="L20" s="7" t="n">
        <v>92</v>
      </c>
      <c r="M20" s="7" t="n">
        <v>5</v>
      </c>
      <c r="N20" s="7" t="n">
        <v>61</v>
      </c>
      <c r="O20" s="7" t="n">
        <v>9</v>
      </c>
      <c r="P20" s="8" t="n">
        <v>60.4689332374422</v>
      </c>
      <c r="Q20" s="9" t="n">
        <v>0.0165374175871983</v>
      </c>
      <c r="R20" s="8" t="n">
        <v>41</v>
      </c>
      <c r="S20" s="12" t="n">
        <f aca="false">IF(AND(ISNUMBER(R20),R20&gt;1,P20&gt;0),R20/P20-1,"")</f>
        <v>-0.321965878924868</v>
      </c>
    </row>
    <row r="21" customFormat="false" ht="15" hidden="false" customHeight="false" outlineLevel="0" collapsed="false">
      <c r="A21" s="10" t="s">
        <v>50</v>
      </c>
      <c r="B21" s="10" t="s">
        <v>37</v>
      </c>
      <c r="C21" s="10" t="s">
        <v>51</v>
      </c>
      <c r="D21" s="10" t="s">
        <v>340</v>
      </c>
      <c r="E21" s="11" t="n">
        <v>23</v>
      </c>
      <c r="F21" s="10" t="s">
        <v>291</v>
      </c>
      <c r="G21" s="7" t="n">
        <v>4</v>
      </c>
      <c r="H21" s="10" t="s">
        <v>52</v>
      </c>
      <c r="I21" s="10" t="s">
        <v>53</v>
      </c>
      <c r="J21" s="10" t="s">
        <v>54</v>
      </c>
      <c r="K21" s="7" t="n">
        <v>5</v>
      </c>
      <c r="L21" s="7" t="n">
        <v>116</v>
      </c>
      <c r="M21" s="7" t="n">
        <v>6</v>
      </c>
      <c r="N21" s="7" t="n">
        <v>33</v>
      </c>
      <c r="O21" s="7" t="n">
        <v>1</v>
      </c>
      <c r="P21" s="8" t="n">
        <v>2.77639912665931</v>
      </c>
      <c r="Q21" s="9" t="n">
        <v>0.360178761907062</v>
      </c>
      <c r="R21" s="8" t="n">
        <v>2.25</v>
      </c>
      <c r="S21" s="12" t="n">
        <f aca="false">IF(AND(ISNUMBER(R21),R21&gt;1,P21&gt;0),R21/P21-1,"")</f>
        <v>-0.18959778570911</v>
      </c>
    </row>
    <row r="22" customFormat="false" ht="15" hidden="false" customHeight="false" outlineLevel="0" collapsed="false">
      <c r="A22" s="10" t="s">
        <v>50</v>
      </c>
      <c r="B22" s="10" t="s">
        <v>37</v>
      </c>
      <c r="C22" s="10" t="s">
        <v>51</v>
      </c>
      <c r="D22" s="10" t="s">
        <v>340</v>
      </c>
      <c r="E22" s="11" t="n">
        <v>23</v>
      </c>
      <c r="F22" s="10" t="s">
        <v>291</v>
      </c>
      <c r="G22" s="7" t="n">
        <v>4</v>
      </c>
      <c r="H22" s="10" t="s">
        <v>55</v>
      </c>
      <c r="I22" s="10" t="s">
        <v>341</v>
      </c>
      <c r="J22" s="10" t="s">
        <v>342</v>
      </c>
      <c r="K22" s="7" t="n">
        <v>2</v>
      </c>
      <c r="L22" s="7" t="n">
        <v>127</v>
      </c>
      <c r="M22" s="7" t="n">
        <v>6</v>
      </c>
      <c r="N22" s="7" t="n">
        <v>195</v>
      </c>
      <c r="O22" s="7" t="n">
        <v>2</v>
      </c>
      <c r="P22" s="8" t="n">
        <v>3.02450048232237</v>
      </c>
      <c r="Q22" s="9" t="n">
        <v>0.330633109779552</v>
      </c>
      <c r="R22" s="8" t="n">
        <v>3.25</v>
      </c>
      <c r="S22" s="12" t="n">
        <f aca="false">IF(AND(ISNUMBER(R22),R22&gt;1,P22&gt;0),R22/P22-1,"")</f>
        <v>0.0745576067835454</v>
      </c>
    </row>
    <row r="23" customFormat="false" ht="15" hidden="false" customHeight="false" outlineLevel="0" collapsed="false">
      <c r="A23" s="10" t="s">
        <v>50</v>
      </c>
      <c r="B23" s="10" t="s">
        <v>37</v>
      </c>
      <c r="C23" s="10" t="s">
        <v>51</v>
      </c>
      <c r="D23" s="10" t="s">
        <v>340</v>
      </c>
      <c r="E23" s="11" t="n">
        <v>23</v>
      </c>
      <c r="F23" s="10" t="s">
        <v>291</v>
      </c>
      <c r="G23" s="7" t="n">
        <v>4</v>
      </c>
      <c r="H23" s="10" t="s">
        <v>343</v>
      </c>
      <c r="I23" s="10" t="s">
        <v>344</v>
      </c>
      <c r="J23" s="10" t="s">
        <v>345</v>
      </c>
      <c r="K23" s="7" t="n">
        <v>4</v>
      </c>
      <c r="L23" s="7" t="n">
        <v>121</v>
      </c>
      <c r="M23" s="7" t="n">
        <v>8</v>
      </c>
      <c r="N23" s="7" t="n">
        <v>25</v>
      </c>
      <c r="O23" s="7" t="n">
        <v>3</v>
      </c>
      <c r="P23" s="8" t="n">
        <v>4.75682801824643</v>
      </c>
      <c r="Q23" s="9" t="n">
        <v>0.210224123336846</v>
      </c>
      <c r="R23" s="8" t="n">
        <v>4.33333333333333</v>
      </c>
      <c r="S23" s="12" t="n">
        <f aca="false">IF(AND(ISNUMBER(R23),R23&gt;1,P23&gt;0),R23/P23-1,"")</f>
        <v>-0.089028798873669</v>
      </c>
    </row>
    <row r="24" customFormat="false" ht="15" hidden="false" customHeight="false" outlineLevel="0" collapsed="false">
      <c r="A24" s="10" t="s">
        <v>50</v>
      </c>
      <c r="B24" s="10" t="s">
        <v>37</v>
      </c>
      <c r="C24" s="10" t="s">
        <v>51</v>
      </c>
      <c r="D24" s="10" t="s">
        <v>340</v>
      </c>
      <c r="E24" s="11" t="n">
        <v>23</v>
      </c>
      <c r="F24" s="10" t="s">
        <v>291</v>
      </c>
      <c r="G24" s="7" t="n">
        <v>4</v>
      </c>
      <c r="H24" s="10" t="s">
        <v>346</v>
      </c>
      <c r="I24" s="10" t="s">
        <v>347</v>
      </c>
      <c r="J24" s="10" t="s">
        <v>348</v>
      </c>
      <c r="K24" s="7" t="n">
        <v>1</v>
      </c>
      <c r="L24" s="7" t="n">
        <v>131</v>
      </c>
      <c r="M24" s="7" t="n">
        <v>7</v>
      </c>
      <c r="N24" s="7" t="n">
        <v>139</v>
      </c>
      <c r="O24" s="7" t="n">
        <v>4</v>
      </c>
      <c r="P24" s="8" t="n">
        <v>10.1046840236211</v>
      </c>
      <c r="Q24" s="9" t="n">
        <v>0.0989640049765398</v>
      </c>
      <c r="R24" s="8" t="n">
        <v>7.5</v>
      </c>
      <c r="S24" s="12" t="n">
        <f aca="false">IF(AND(ISNUMBER(R24),R24&gt;1,P24&gt;0),R24/P24-1,"")</f>
        <v>-0.257769962675951</v>
      </c>
    </row>
    <row r="25" customFormat="false" ht="15" hidden="false" customHeight="false" outlineLevel="0" collapsed="false">
      <c r="A25" s="10" t="s">
        <v>56</v>
      </c>
      <c r="B25" s="10" t="s">
        <v>57</v>
      </c>
      <c r="C25" s="10" t="s">
        <v>58</v>
      </c>
      <c r="D25" s="10"/>
      <c r="E25" s="11" t="n">
        <v>18.5</v>
      </c>
      <c r="F25" s="10" t="s">
        <v>291</v>
      </c>
      <c r="G25" s="7" t="n">
        <v>18</v>
      </c>
      <c r="H25" s="10" t="s">
        <v>59</v>
      </c>
      <c r="I25" s="10" t="s">
        <v>60</v>
      </c>
      <c r="J25" s="10" t="s">
        <v>61</v>
      </c>
      <c r="K25" s="7" t="n">
        <v>12</v>
      </c>
      <c r="L25" s="7" t="n">
        <v>0</v>
      </c>
      <c r="M25" s="7" t="n">
        <v>5</v>
      </c>
      <c r="N25" s="7" t="n">
        <v>34</v>
      </c>
      <c r="O25" s="7" t="n">
        <v>1</v>
      </c>
      <c r="P25" s="8" t="n">
        <v>1.29980167101487</v>
      </c>
      <c r="Q25" s="9" t="n">
        <v>0.769348141566252</v>
      </c>
      <c r="R25" s="8" t="n">
        <v>1.57142857142857</v>
      </c>
      <c r="S25" s="12" t="n">
        <f aca="false">IF(AND(ISNUMBER(R25),R25&gt;1,P25&gt;0),R25/P25-1,"")</f>
        <v>0.208975651032681</v>
      </c>
    </row>
    <row r="26" customFormat="false" ht="15" hidden="false" customHeight="false" outlineLevel="0" collapsed="false">
      <c r="A26" s="10" t="s">
        <v>56</v>
      </c>
      <c r="B26" s="10" t="s">
        <v>57</v>
      </c>
      <c r="C26" s="10" t="s">
        <v>58</v>
      </c>
      <c r="D26" s="10"/>
      <c r="E26" s="11" t="n">
        <v>18.5</v>
      </c>
      <c r="F26" s="10" t="s">
        <v>291</v>
      </c>
      <c r="G26" s="7" t="n">
        <v>18</v>
      </c>
      <c r="H26" s="10" t="s">
        <v>62</v>
      </c>
      <c r="I26" s="10" t="s">
        <v>349</v>
      </c>
      <c r="J26" s="10" t="s">
        <v>350</v>
      </c>
      <c r="K26" s="7" t="n">
        <v>6</v>
      </c>
      <c r="L26" s="7" t="n">
        <v>0</v>
      </c>
      <c r="M26" s="7" t="n">
        <v>5</v>
      </c>
      <c r="N26" s="7" t="n">
        <v>510</v>
      </c>
      <c r="O26" s="7" t="n">
        <v>2</v>
      </c>
      <c r="P26" s="8" t="n">
        <v>14.0246920162005</v>
      </c>
      <c r="Q26" s="9" t="n">
        <v>0.0713028135551826</v>
      </c>
      <c r="R26" s="8" t="n">
        <v>4.33333333333333</v>
      </c>
      <c r="S26" s="12" t="n">
        <f aca="false">IF(AND(ISNUMBER(R26),R26&gt;1,P26&gt;0),R26/P26-1,"")</f>
        <v>-0.691021141260875</v>
      </c>
    </row>
    <row r="27" customFormat="false" ht="15" hidden="false" customHeight="false" outlineLevel="0" collapsed="false">
      <c r="A27" s="10" t="s">
        <v>56</v>
      </c>
      <c r="B27" s="10" t="s">
        <v>57</v>
      </c>
      <c r="C27" s="10" t="s">
        <v>58</v>
      </c>
      <c r="D27" s="10"/>
      <c r="E27" s="11" t="n">
        <v>18.5</v>
      </c>
      <c r="F27" s="10" t="s">
        <v>291</v>
      </c>
      <c r="G27" s="7" t="n">
        <v>18</v>
      </c>
      <c r="H27" s="10" t="s">
        <v>351</v>
      </c>
      <c r="I27" s="10" t="s">
        <v>352</v>
      </c>
      <c r="J27" s="10" t="s">
        <v>353</v>
      </c>
      <c r="K27" s="7" t="n">
        <v>2</v>
      </c>
      <c r="L27" s="7" t="n">
        <v>0</v>
      </c>
      <c r="M27" s="7" t="n">
        <v>5</v>
      </c>
      <c r="N27" s="7" t="n">
        <v>48</v>
      </c>
      <c r="O27" s="7" t="n">
        <v>3</v>
      </c>
      <c r="P27" s="8" t="n">
        <v>15.3451066525856</v>
      </c>
      <c r="Q27" s="9" t="n">
        <v>0.0651673541696436</v>
      </c>
      <c r="R27" s="8" t="n">
        <v>7.5</v>
      </c>
      <c r="S27" s="12" t="n">
        <f aca="false">IF(AND(ISNUMBER(R27),R27&gt;1,P27&gt;0),R27/P27-1,"")</f>
        <v>-0.511244843727672</v>
      </c>
    </row>
    <row r="28" customFormat="false" ht="15" hidden="false" customHeight="false" outlineLevel="0" collapsed="false">
      <c r="A28" s="10" t="s">
        <v>56</v>
      </c>
      <c r="B28" s="10" t="s">
        <v>57</v>
      </c>
      <c r="C28" s="10" t="s">
        <v>58</v>
      </c>
      <c r="D28" s="10"/>
      <c r="E28" s="11" t="n">
        <v>18.5</v>
      </c>
      <c r="F28" s="10" t="s">
        <v>291</v>
      </c>
      <c r="G28" s="7" t="n">
        <v>18</v>
      </c>
      <c r="H28" s="10" t="s">
        <v>354</v>
      </c>
      <c r="I28" s="10" t="s">
        <v>355</v>
      </c>
      <c r="J28" s="10" t="s">
        <v>356</v>
      </c>
      <c r="K28" s="7" t="n">
        <v>3</v>
      </c>
      <c r="L28" s="7" t="n">
        <v>0</v>
      </c>
      <c r="M28" s="7" t="n">
        <v>6</v>
      </c>
      <c r="N28" s="7" t="n">
        <v>34</v>
      </c>
      <c r="O28" s="7" t="n">
        <v>4</v>
      </c>
      <c r="P28" s="8" t="n">
        <v>31.0092024819553</v>
      </c>
      <c r="Q28" s="9" t="n">
        <v>0.0322484914141831</v>
      </c>
      <c r="R28" s="8" t="n">
        <v>12</v>
      </c>
      <c r="S28" s="12" t="n">
        <f aca="false">IF(AND(ISNUMBER(R28),R28&gt;1,P28&gt;0),R28/P28-1,"")</f>
        <v>-0.613018103029803</v>
      </c>
    </row>
    <row r="29" customFormat="false" ht="15" hidden="false" customHeight="false" outlineLevel="0" collapsed="false">
      <c r="A29" s="10" t="s">
        <v>56</v>
      </c>
      <c r="B29" s="10" t="s">
        <v>57</v>
      </c>
      <c r="C29" s="10" t="s">
        <v>58</v>
      </c>
      <c r="D29" s="10"/>
      <c r="E29" s="11" t="n">
        <v>18.5</v>
      </c>
      <c r="F29" s="10" t="s">
        <v>291</v>
      </c>
      <c r="G29" s="7" t="n">
        <v>18</v>
      </c>
      <c r="H29" s="10" t="s">
        <v>357</v>
      </c>
      <c r="I29" s="10" t="s">
        <v>358</v>
      </c>
      <c r="J29" s="10" t="s">
        <v>128</v>
      </c>
      <c r="K29" s="7" t="n">
        <v>16</v>
      </c>
      <c r="L29" s="7" t="n">
        <v>0</v>
      </c>
      <c r="M29" s="7" t="n">
        <v>5</v>
      </c>
      <c r="N29" s="7" t="n">
        <v>123</v>
      </c>
      <c r="O29" s="7" t="n">
        <v>5</v>
      </c>
      <c r="P29" s="8" t="n">
        <v>64.5891510650228</v>
      </c>
      <c r="Q29" s="9" t="n">
        <v>0.0154824762906898</v>
      </c>
      <c r="R29" s="8" t="n">
        <v>8.5</v>
      </c>
      <c r="S29" s="12" t="n">
        <f aca="false">IF(AND(ISNUMBER(R29),R29&gt;1,P29&gt;0),R29/P29-1,"")</f>
        <v>-0.868398951529136</v>
      </c>
    </row>
    <row r="30" customFormat="false" ht="15" hidden="false" customHeight="false" outlineLevel="0" collapsed="false">
      <c r="A30" s="10" t="s">
        <v>56</v>
      </c>
      <c r="B30" s="10" t="s">
        <v>57</v>
      </c>
      <c r="C30" s="10" t="s">
        <v>58</v>
      </c>
      <c r="D30" s="10"/>
      <c r="E30" s="11" t="n">
        <v>18.5</v>
      </c>
      <c r="F30" s="10" t="s">
        <v>291</v>
      </c>
      <c r="G30" s="7" t="n">
        <v>18</v>
      </c>
      <c r="H30" s="10" t="s">
        <v>359</v>
      </c>
      <c r="I30" s="10" t="s">
        <v>360</v>
      </c>
      <c r="J30" s="10" t="s">
        <v>361</v>
      </c>
      <c r="K30" s="7" t="n">
        <v>13</v>
      </c>
      <c r="L30" s="7" t="n">
        <v>0</v>
      </c>
      <c r="M30" s="7" t="n">
        <v>6</v>
      </c>
      <c r="N30" s="7" t="n">
        <v>123</v>
      </c>
      <c r="O30" s="7" t="n">
        <v>6</v>
      </c>
      <c r="P30" s="8" t="n">
        <v>80.9491466369237</v>
      </c>
      <c r="Q30" s="9" t="n">
        <v>0.0123534347370607</v>
      </c>
      <c r="R30" s="8" t="n">
        <v>13</v>
      </c>
      <c r="S30" s="12" t="n">
        <f aca="false">IF(AND(ISNUMBER(R30),R30&gt;1,P30&gt;0),R30/P30-1,"")</f>
        <v>-0.83940534841821</v>
      </c>
    </row>
    <row r="31" customFormat="false" ht="15" hidden="false" customHeight="false" outlineLevel="0" collapsed="false">
      <c r="A31" s="10" t="s">
        <v>56</v>
      </c>
      <c r="B31" s="10" t="s">
        <v>57</v>
      </c>
      <c r="C31" s="10" t="s">
        <v>58</v>
      </c>
      <c r="D31" s="10"/>
      <c r="E31" s="11" t="n">
        <v>18.5</v>
      </c>
      <c r="F31" s="10" t="s">
        <v>291</v>
      </c>
      <c r="G31" s="7" t="n">
        <v>18</v>
      </c>
      <c r="H31" s="10" t="s">
        <v>362</v>
      </c>
      <c r="I31" s="10" t="s">
        <v>363</v>
      </c>
      <c r="J31" s="10" t="s">
        <v>364</v>
      </c>
      <c r="K31" s="7" t="n">
        <v>5</v>
      </c>
      <c r="L31" s="7" t="n">
        <v>0</v>
      </c>
      <c r="M31" s="7" t="n">
        <v>5</v>
      </c>
      <c r="N31" s="7" t="n">
        <v>141</v>
      </c>
      <c r="O31" s="7" t="n">
        <v>7</v>
      </c>
      <c r="P31" s="8" t="n">
        <v>114.28815679191</v>
      </c>
      <c r="Q31" s="9" t="n">
        <v>0.0087498129996159</v>
      </c>
      <c r="R31" s="8" t="n">
        <v>23</v>
      </c>
      <c r="S31" s="12" t="n">
        <f aca="false">IF(AND(ISNUMBER(R31),R31&gt;1,P31&gt;0),R31/P31-1,"")</f>
        <v>-0.798754301008833</v>
      </c>
    </row>
    <row r="32" customFormat="false" ht="15" hidden="false" customHeight="false" outlineLevel="0" collapsed="false">
      <c r="A32" s="10" t="s">
        <v>56</v>
      </c>
      <c r="B32" s="10" t="s">
        <v>57</v>
      </c>
      <c r="C32" s="10" t="s">
        <v>58</v>
      </c>
      <c r="D32" s="10"/>
      <c r="E32" s="11" t="n">
        <v>18.5</v>
      </c>
      <c r="F32" s="10" t="s">
        <v>291</v>
      </c>
      <c r="G32" s="7" t="n">
        <v>18</v>
      </c>
      <c r="H32" s="10" t="s">
        <v>365</v>
      </c>
      <c r="I32" s="10" t="s">
        <v>366</v>
      </c>
      <c r="J32" s="10" t="s">
        <v>367</v>
      </c>
      <c r="K32" s="7" t="n">
        <v>11</v>
      </c>
      <c r="L32" s="7" t="n">
        <v>0</v>
      </c>
      <c r="M32" s="7" t="n">
        <v>5</v>
      </c>
      <c r="N32" s="7" t="n">
        <v>282</v>
      </c>
      <c r="O32" s="7" t="n">
        <v>8</v>
      </c>
      <c r="P32" s="8" t="n">
        <v>259.303840608654</v>
      </c>
      <c r="Q32" s="9" t="n">
        <v>0.0038564797098752</v>
      </c>
      <c r="R32" s="8" t="n">
        <v>17</v>
      </c>
      <c r="S32" s="12" t="n">
        <f aca="false">IF(AND(ISNUMBER(R32),R32&gt;1,P32&gt;0),R32/P32-1,"")</f>
        <v>-0.934439844932121</v>
      </c>
    </row>
    <row r="33" customFormat="false" ht="15" hidden="false" customHeight="false" outlineLevel="0" collapsed="false">
      <c r="A33" s="10" t="s">
        <v>56</v>
      </c>
      <c r="B33" s="10" t="s">
        <v>57</v>
      </c>
      <c r="C33" s="10" t="s">
        <v>58</v>
      </c>
      <c r="D33" s="10"/>
      <c r="E33" s="11" t="n">
        <v>18.5</v>
      </c>
      <c r="F33" s="10" t="s">
        <v>291</v>
      </c>
      <c r="G33" s="7" t="n">
        <v>18</v>
      </c>
      <c r="H33" s="10" t="s">
        <v>368</v>
      </c>
      <c r="I33" s="10" t="s">
        <v>358</v>
      </c>
      <c r="J33" s="10" t="s">
        <v>369</v>
      </c>
      <c r="K33" s="7" t="n">
        <v>17</v>
      </c>
      <c r="L33" s="7" t="n">
        <v>0</v>
      </c>
      <c r="M33" s="7" t="n">
        <v>4</v>
      </c>
      <c r="N33" s="7" t="n">
        <v>35</v>
      </c>
      <c r="O33" s="7" t="n">
        <v>9</v>
      </c>
      <c r="P33" s="8" t="n">
        <v>269.211426090593</v>
      </c>
      <c r="Q33" s="9" t="n">
        <v>0.0037145525898424</v>
      </c>
      <c r="R33" s="8" t="n">
        <v>51</v>
      </c>
      <c r="S33" s="12" t="n">
        <f aca="false">IF(AND(ISNUMBER(R33),R33&gt;1,P33&gt;0),R33/P33-1,"")</f>
        <v>-0.810557817918033</v>
      </c>
    </row>
    <row r="34" customFormat="false" ht="15" hidden="false" customHeight="false" outlineLevel="0" collapsed="false">
      <c r="A34" s="10" t="s">
        <v>56</v>
      </c>
      <c r="B34" s="10" t="s">
        <v>57</v>
      </c>
      <c r="C34" s="10" t="s">
        <v>58</v>
      </c>
      <c r="D34" s="10"/>
      <c r="E34" s="11" t="n">
        <v>18.5</v>
      </c>
      <c r="F34" s="10" t="s">
        <v>291</v>
      </c>
      <c r="G34" s="7" t="n">
        <v>18</v>
      </c>
      <c r="H34" s="10" t="s">
        <v>370</v>
      </c>
      <c r="I34" s="10" t="s">
        <v>371</v>
      </c>
      <c r="J34" s="10" t="s">
        <v>372</v>
      </c>
      <c r="K34" s="7" t="n">
        <v>15</v>
      </c>
      <c r="L34" s="7" t="n">
        <v>0</v>
      </c>
      <c r="M34" s="7" t="n">
        <v>4</v>
      </c>
      <c r="N34" s="7"/>
      <c r="O34" s="7" t="n">
        <v>10</v>
      </c>
      <c r="P34" s="8" t="n">
        <v>334.59126519395</v>
      </c>
      <c r="Q34" s="9" t="n">
        <v>0.0029887211772259</v>
      </c>
      <c r="R34" s="8" t="n">
        <v>101</v>
      </c>
      <c r="S34" s="12" t="n">
        <f aca="false">IF(AND(ISNUMBER(R34),R34&gt;1,P34&gt;0),R34/P34-1,"")</f>
        <v>-0.698139161100174</v>
      </c>
    </row>
    <row r="35" customFormat="false" ht="15" hidden="false" customHeight="false" outlineLevel="0" collapsed="false">
      <c r="A35" s="10" t="s">
        <v>56</v>
      </c>
      <c r="B35" s="10" t="s">
        <v>57</v>
      </c>
      <c r="C35" s="10" t="s">
        <v>58</v>
      </c>
      <c r="D35" s="10"/>
      <c r="E35" s="11" t="n">
        <v>18.5</v>
      </c>
      <c r="F35" s="10" t="s">
        <v>291</v>
      </c>
      <c r="G35" s="7" t="n">
        <v>18</v>
      </c>
      <c r="H35" s="10" t="s">
        <v>373</v>
      </c>
      <c r="I35" s="10" t="s">
        <v>358</v>
      </c>
      <c r="J35" s="10" t="s">
        <v>369</v>
      </c>
      <c r="K35" s="7" t="n">
        <v>18</v>
      </c>
      <c r="L35" s="7" t="n">
        <v>0</v>
      </c>
      <c r="M35" s="7" t="n">
        <v>5</v>
      </c>
      <c r="N35" s="7" t="n">
        <v>6</v>
      </c>
      <c r="O35" s="7" t="n">
        <v>11</v>
      </c>
      <c r="P35" s="8" t="n">
        <v>383.302961231646</v>
      </c>
      <c r="Q35" s="9" t="n">
        <v>0.0026089023596028</v>
      </c>
      <c r="R35" s="8" t="n">
        <v>126</v>
      </c>
      <c r="S35" s="12" t="n">
        <f aca="false">IF(AND(ISNUMBER(R35),R35&gt;1,P35&gt;0),R35/P35-1,"")</f>
        <v>-0.671278302690042</v>
      </c>
    </row>
    <row r="36" customFormat="false" ht="15" hidden="false" customHeight="false" outlineLevel="0" collapsed="false">
      <c r="A36" s="10" t="s">
        <v>56</v>
      </c>
      <c r="B36" s="10" t="s">
        <v>57</v>
      </c>
      <c r="C36" s="10" t="s">
        <v>58</v>
      </c>
      <c r="D36" s="10"/>
      <c r="E36" s="11" t="n">
        <v>18.5</v>
      </c>
      <c r="F36" s="10" t="s">
        <v>291</v>
      </c>
      <c r="G36" s="7" t="n">
        <v>18</v>
      </c>
      <c r="H36" s="10" t="s">
        <v>374</v>
      </c>
      <c r="I36" s="10" t="s">
        <v>375</v>
      </c>
      <c r="J36" s="10" t="s">
        <v>376</v>
      </c>
      <c r="K36" s="7" t="n">
        <v>7</v>
      </c>
      <c r="L36" s="7" t="n">
        <v>0</v>
      </c>
      <c r="M36" s="7" t="n">
        <v>5</v>
      </c>
      <c r="N36" s="7" t="n">
        <v>22</v>
      </c>
      <c r="O36" s="7" t="n">
        <v>12</v>
      </c>
      <c r="P36" s="8" t="n">
        <v>438.527827505367</v>
      </c>
      <c r="Q36" s="9" t="n">
        <v>0.0022803569973852</v>
      </c>
      <c r="R36" s="8" t="n">
        <v>101</v>
      </c>
      <c r="S36" s="12" t="n">
        <f aca="false">IF(AND(ISNUMBER(R36),R36&gt;1,P36&gt;0),R36/P36-1,"")</f>
        <v>-0.769683943264093</v>
      </c>
    </row>
    <row r="37" customFormat="false" ht="15" hidden="false" customHeight="false" outlineLevel="0" collapsed="false">
      <c r="A37" s="10" t="s">
        <v>56</v>
      </c>
      <c r="B37" s="10" t="s">
        <v>57</v>
      </c>
      <c r="C37" s="10" t="s">
        <v>58</v>
      </c>
      <c r="D37" s="10"/>
      <c r="E37" s="11" t="n">
        <v>18.5</v>
      </c>
      <c r="F37" s="10" t="s">
        <v>291</v>
      </c>
      <c r="G37" s="7" t="n">
        <v>18</v>
      </c>
      <c r="H37" s="10" t="s">
        <v>377</v>
      </c>
      <c r="I37" s="10" t="s">
        <v>378</v>
      </c>
      <c r="J37" s="10" t="s">
        <v>379</v>
      </c>
      <c r="K37" s="7" t="n">
        <v>4</v>
      </c>
      <c r="L37" s="7" t="n">
        <v>0</v>
      </c>
      <c r="M37" s="7" t="n">
        <v>6</v>
      </c>
      <c r="N37" s="7"/>
      <c r="O37" s="7" t="n">
        <v>13</v>
      </c>
      <c r="P37" s="8" t="n">
        <v>445.537773377085</v>
      </c>
      <c r="Q37" s="9" t="n">
        <v>0.0022444786048558</v>
      </c>
      <c r="R37" s="8" t="n">
        <v>51</v>
      </c>
      <c r="S37" s="12" t="n">
        <f aca="false">IF(AND(ISNUMBER(R37),R37&gt;1,P37&gt;0),R37/P37-1,"")</f>
        <v>-0.885531591152349</v>
      </c>
    </row>
    <row r="38" customFormat="false" ht="15" hidden="false" customHeight="false" outlineLevel="0" collapsed="false">
      <c r="A38" s="10" t="s">
        <v>56</v>
      </c>
      <c r="B38" s="10" t="s">
        <v>57</v>
      </c>
      <c r="C38" s="10" t="s">
        <v>58</v>
      </c>
      <c r="D38" s="10"/>
      <c r="E38" s="11" t="n">
        <v>18.5</v>
      </c>
      <c r="F38" s="10" t="s">
        <v>291</v>
      </c>
      <c r="G38" s="7" t="n">
        <v>18</v>
      </c>
      <c r="H38" s="10" t="s">
        <v>380</v>
      </c>
      <c r="I38" s="10" t="s">
        <v>381</v>
      </c>
      <c r="J38" s="10" t="s">
        <v>382</v>
      </c>
      <c r="K38" s="7" t="n">
        <v>10</v>
      </c>
      <c r="L38" s="7" t="n">
        <v>0</v>
      </c>
      <c r="M38" s="7" t="n">
        <v>5</v>
      </c>
      <c r="N38" s="7"/>
      <c r="O38" s="7" t="n">
        <v>14</v>
      </c>
      <c r="P38" s="8" t="n">
        <v>484.092832661885</v>
      </c>
      <c r="Q38" s="9" t="n">
        <v>0.0020657194912415</v>
      </c>
      <c r="R38" s="8" t="n">
        <v>101</v>
      </c>
      <c r="S38" s="12" t="n">
        <f aca="false">IF(AND(ISNUMBER(R38),R38&gt;1,P38&gt;0),R38/P38-1,"")</f>
        <v>-0.791362331384601</v>
      </c>
    </row>
    <row r="39" customFormat="false" ht="15" hidden="false" customHeight="false" outlineLevel="0" collapsed="false">
      <c r="A39" s="10" t="s">
        <v>56</v>
      </c>
      <c r="B39" s="10" t="s">
        <v>57</v>
      </c>
      <c r="C39" s="10" t="s">
        <v>58</v>
      </c>
      <c r="D39" s="10"/>
      <c r="E39" s="11" t="n">
        <v>18.5</v>
      </c>
      <c r="F39" s="10" t="s">
        <v>291</v>
      </c>
      <c r="G39" s="7" t="n">
        <v>18</v>
      </c>
      <c r="H39" s="10" t="s">
        <v>383</v>
      </c>
      <c r="I39" s="10" t="s">
        <v>384</v>
      </c>
      <c r="J39" s="10" t="s">
        <v>84</v>
      </c>
      <c r="K39" s="7" t="n">
        <v>8</v>
      </c>
      <c r="L39" s="7" t="n">
        <v>0</v>
      </c>
      <c r="M39" s="7" t="n">
        <v>6</v>
      </c>
      <c r="N39" s="7" t="n">
        <v>18</v>
      </c>
      <c r="O39" s="7" t="n">
        <v>15</v>
      </c>
      <c r="P39" s="8" t="n">
        <v>519.666347233874</v>
      </c>
      <c r="Q39" s="9" t="n">
        <v>0.0019243116382711</v>
      </c>
      <c r="R39" s="8" t="n">
        <v>101</v>
      </c>
      <c r="S39" s="12" t="n">
        <f aca="false">IF(AND(ISNUMBER(R39),R39&gt;1,P39&gt;0),R39/P39-1,"")</f>
        <v>-0.805644524534614</v>
      </c>
    </row>
    <row r="40" customFormat="false" ht="15" hidden="false" customHeight="false" outlineLevel="0" collapsed="false">
      <c r="A40" s="10" t="s">
        <v>56</v>
      </c>
      <c r="B40" s="10" t="s">
        <v>57</v>
      </c>
      <c r="C40" s="10" t="s">
        <v>58</v>
      </c>
      <c r="D40" s="10"/>
      <c r="E40" s="11" t="n">
        <v>18.5</v>
      </c>
      <c r="F40" s="10" t="s">
        <v>291</v>
      </c>
      <c r="G40" s="7" t="n">
        <v>18</v>
      </c>
      <c r="H40" s="10" t="s">
        <v>385</v>
      </c>
      <c r="I40" s="10" t="s">
        <v>386</v>
      </c>
      <c r="J40" s="10" t="s">
        <v>387</v>
      </c>
      <c r="K40" s="7" t="n">
        <v>9</v>
      </c>
      <c r="L40" s="7" t="n">
        <v>0</v>
      </c>
      <c r="M40" s="7" t="n">
        <v>5</v>
      </c>
      <c r="N40" s="7" t="n">
        <v>32</v>
      </c>
      <c r="O40" s="7" t="n">
        <v>16</v>
      </c>
      <c r="P40" s="8" t="n">
        <v>765.65019439368</v>
      </c>
      <c r="Q40" s="9" t="n">
        <v>0.0013060794698705</v>
      </c>
      <c r="R40" s="8" t="n">
        <v>151</v>
      </c>
      <c r="S40" s="12" t="n">
        <f aca="false">IF(AND(ISNUMBER(R40),R40&gt;1,P40&gt;0),R40/P40-1,"")</f>
        <v>-0.802782000049543</v>
      </c>
    </row>
    <row r="41" customFormat="false" ht="15" hidden="false" customHeight="false" outlineLevel="0" collapsed="false">
      <c r="A41" s="10" t="s">
        <v>56</v>
      </c>
      <c r="B41" s="10" t="s">
        <v>57</v>
      </c>
      <c r="C41" s="10" t="s">
        <v>58</v>
      </c>
      <c r="D41" s="10"/>
      <c r="E41" s="11" t="n">
        <v>18.5</v>
      </c>
      <c r="F41" s="10" t="s">
        <v>291</v>
      </c>
      <c r="G41" s="7" t="n">
        <v>18</v>
      </c>
      <c r="H41" s="10" t="s">
        <v>388</v>
      </c>
      <c r="I41" s="10" t="s">
        <v>389</v>
      </c>
      <c r="J41" s="10" t="s">
        <v>379</v>
      </c>
      <c r="K41" s="7" t="n">
        <v>1</v>
      </c>
      <c r="L41" s="7" t="n">
        <v>0</v>
      </c>
      <c r="M41" s="7" t="n">
        <v>7</v>
      </c>
      <c r="N41" s="7" t="n">
        <v>48</v>
      </c>
      <c r="O41" s="7" t="n">
        <v>17</v>
      </c>
      <c r="P41" s="8" t="n">
        <v>806.231902053936</v>
      </c>
      <c r="Q41" s="9" t="n">
        <v>0.0012403379194651</v>
      </c>
      <c r="R41" s="8" t="n">
        <v>151</v>
      </c>
      <c r="S41" s="12" t="n">
        <f aca="false">IF(AND(ISNUMBER(R41),R41&gt;1,P41&gt;0),R41/P41-1,"")</f>
        <v>-0.812708974160764</v>
      </c>
    </row>
    <row r="42" customFormat="false" ht="15" hidden="false" customHeight="false" outlineLevel="0" collapsed="false">
      <c r="A42" s="10" t="s">
        <v>56</v>
      </c>
      <c r="B42" s="10" t="s">
        <v>57</v>
      </c>
      <c r="C42" s="10" t="s">
        <v>58</v>
      </c>
      <c r="D42" s="10"/>
      <c r="E42" s="11" t="n">
        <v>18.5</v>
      </c>
      <c r="F42" s="10" t="s">
        <v>291</v>
      </c>
      <c r="G42" s="7" t="n">
        <v>18</v>
      </c>
      <c r="H42" s="10" t="s">
        <v>390</v>
      </c>
      <c r="I42" s="10" t="s">
        <v>391</v>
      </c>
      <c r="J42" s="10" t="s">
        <v>392</v>
      </c>
      <c r="K42" s="7" t="n">
        <v>14</v>
      </c>
      <c r="L42" s="7" t="n">
        <v>0</v>
      </c>
      <c r="M42" s="7" t="n">
        <v>4</v>
      </c>
      <c r="N42" s="7" t="n">
        <v>22</v>
      </c>
      <c r="O42" s="7" t="n">
        <v>18</v>
      </c>
      <c r="P42" s="8" t="n">
        <v>894.82631223164</v>
      </c>
      <c r="Q42" s="9" t="n">
        <v>0.0011175353097363</v>
      </c>
      <c r="R42" s="8" t="n">
        <v>101</v>
      </c>
      <c r="S42" s="12" t="n">
        <f aca="false">IF(AND(ISNUMBER(R42),R42&gt;1,P42&gt;0),R42/P42-1,"")</f>
        <v>-0.887128933716631</v>
      </c>
    </row>
    <row r="43" customFormat="false" ht="15" hidden="false" customHeight="false" outlineLevel="0" collapsed="false">
      <c r="A43" s="10" t="s">
        <v>63</v>
      </c>
      <c r="B43" s="10" t="s">
        <v>44</v>
      </c>
      <c r="C43" s="10" t="s">
        <v>64</v>
      </c>
      <c r="D43" s="10"/>
      <c r="E43" s="11" t="n">
        <v>12</v>
      </c>
      <c r="F43" s="10" t="s">
        <v>291</v>
      </c>
      <c r="G43" s="7" t="n">
        <v>11</v>
      </c>
      <c r="H43" s="10" t="s">
        <v>65</v>
      </c>
      <c r="I43" s="10" t="s">
        <v>66</v>
      </c>
      <c r="J43" s="10" t="s">
        <v>67</v>
      </c>
      <c r="K43" s="7" t="n">
        <v>7</v>
      </c>
      <c r="L43" s="7" t="n">
        <v>110</v>
      </c>
      <c r="M43" s="7" t="n">
        <v>3</v>
      </c>
      <c r="N43" s="7" t="n">
        <v>36</v>
      </c>
      <c r="O43" s="7" t="n">
        <v>1</v>
      </c>
      <c r="P43" s="8" t="n">
        <v>3.85488282196891</v>
      </c>
      <c r="Q43" s="9" t="n">
        <v>0.259411257406066</v>
      </c>
      <c r="R43" s="8" t="n">
        <v>3.5</v>
      </c>
      <c r="S43" s="12" t="n">
        <f aca="false">IF(AND(ISNUMBER(R43),R43&gt;1,P43&gt;0),R43/P43-1,"")</f>
        <v>-0.0920605990787676</v>
      </c>
    </row>
    <row r="44" customFormat="false" ht="15" hidden="false" customHeight="false" outlineLevel="0" collapsed="false">
      <c r="A44" s="10" t="s">
        <v>63</v>
      </c>
      <c r="B44" s="10" t="s">
        <v>44</v>
      </c>
      <c r="C44" s="10" t="s">
        <v>64</v>
      </c>
      <c r="D44" s="10"/>
      <c r="E44" s="11" t="n">
        <v>12</v>
      </c>
      <c r="F44" s="10" t="s">
        <v>291</v>
      </c>
      <c r="G44" s="7" t="n">
        <v>11</v>
      </c>
      <c r="H44" s="10" t="s">
        <v>68</v>
      </c>
      <c r="I44" s="10" t="s">
        <v>323</v>
      </c>
      <c r="J44" s="10" t="s">
        <v>393</v>
      </c>
      <c r="K44" s="7" t="n">
        <v>1</v>
      </c>
      <c r="L44" s="7" t="n">
        <v>108</v>
      </c>
      <c r="M44" s="7" t="n">
        <v>3</v>
      </c>
      <c r="N44" s="7" t="n">
        <v>15</v>
      </c>
      <c r="O44" s="7" t="n">
        <v>2</v>
      </c>
      <c r="P44" s="8" t="n">
        <v>4.71382415860068</v>
      </c>
      <c r="Q44" s="9" t="n">
        <v>0.212141982041361</v>
      </c>
      <c r="R44" s="8" t="n">
        <v>4.5</v>
      </c>
      <c r="S44" s="12" t="n">
        <f aca="false">IF(AND(ISNUMBER(R44),R44&gt;1,P44&gt;0),R44/P44-1,"")</f>
        <v>-0.0453610808138748</v>
      </c>
    </row>
    <row r="45" customFormat="false" ht="15" hidden="false" customHeight="false" outlineLevel="0" collapsed="false">
      <c r="A45" s="10" t="s">
        <v>63</v>
      </c>
      <c r="B45" s="10" t="s">
        <v>44</v>
      </c>
      <c r="C45" s="10" t="s">
        <v>64</v>
      </c>
      <c r="D45" s="10"/>
      <c r="E45" s="11" t="n">
        <v>12</v>
      </c>
      <c r="F45" s="10" t="s">
        <v>291</v>
      </c>
      <c r="G45" s="7" t="n">
        <v>11</v>
      </c>
      <c r="H45" s="10" t="s">
        <v>394</v>
      </c>
      <c r="I45" s="10" t="s">
        <v>111</v>
      </c>
      <c r="J45" s="10" t="s">
        <v>318</v>
      </c>
      <c r="K45" s="7" t="n">
        <v>3</v>
      </c>
      <c r="L45" s="7" t="n">
        <v>92</v>
      </c>
      <c r="M45" s="7" t="n">
        <v>3</v>
      </c>
      <c r="N45" s="7" t="n">
        <v>18</v>
      </c>
      <c r="O45" s="7" t="n">
        <v>3</v>
      </c>
      <c r="P45" s="8" t="n">
        <v>6.81873413621548</v>
      </c>
      <c r="Q45" s="9" t="n">
        <v>0.146654786654436</v>
      </c>
      <c r="R45" s="8" t="n">
        <v>4.5</v>
      </c>
      <c r="S45" s="12" t="n">
        <f aca="false">IF(AND(ISNUMBER(R45),R45&gt;1,P45&gt;0),R45/P45-1,"")</f>
        <v>-0.340053460055039</v>
      </c>
    </row>
    <row r="46" customFormat="false" ht="15" hidden="false" customHeight="false" outlineLevel="0" collapsed="false">
      <c r="A46" s="10" t="s">
        <v>63</v>
      </c>
      <c r="B46" s="10" t="s">
        <v>44</v>
      </c>
      <c r="C46" s="10" t="s">
        <v>64</v>
      </c>
      <c r="D46" s="10"/>
      <c r="E46" s="11" t="n">
        <v>12</v>
      </c>
      <c r="F46" s="10" t="s">
        <v>291</v>
      </c>
      <c r="G46" s="7" t="n">
        <v>11</v>
      </c>
      <c r="H46" s="10" t="s">
        <v>395</v>
      </c>
      <c r="I46" s="10" t="s">
        <v>396</v>
      </c>
      <c r="J46" s="10" t="s">
        <v>333</v>
      </c>
      <c r="K46" s="7" t="n">
        <v>12</v>
      </c>
      <c r="L46" s="7" t="n">
        <v>105</v>
      </c>
      <c r="M46" s="7" t="n">
        <v>4</v>
      </c>
      <c r="N46" s="7" t="n">
        <v>96</v>
      </c>
      <c r="O46" s="7" t="n">
        <v>4</v>
      </c>
      <c r="P46" s="8" t="n">
        <v>9.961102114684</v>
      </c>
      <c r="Q46" s="9" t="n">
        <v>0.100390497807052</v>
      </c>
      <c r="R46" s="8" t="n">
        <v>7.5</v>
      </c>
      <c r="S46" s="12" t="n">
        <f aca="false">IF(AND(ISNUMBER(R46),R46&gt;1,P46&gt;0),R46/P46-1,"")</f>
        <v>-0.247071266447114</v>
      </c>
    </row>
    <row r="47" customFormat="false" ht="15" hidden="false" customHeight="false" outlineLevel="0" collapsed="false">
      <c r="A47" s="10" t="s">
        <v>63</v>
      </c>
      <c r="B47" s="10" t="s">
        <v>44</v>
      </c>
      <c r="C47" s="10" t="s">
        <v>64</v>
      </c>
      <c r="D47" s="10"/>
      <c r="E47" s="11" t="n">
        <v>12</v>
      </c>
      <c r="F47" s="10" t="s">
        <v>291</v>
      </c>
      <c r="G47" s="7" t="n">
        <v>11</v>
      </c>
      <c r="H47" s="10" t="s">
        <v>397</v>
      </c>
      <c r="I47" s="10" t="s">
        <v>151</v>
      </c>
      <c r="J47" s="10" t="s">
        <v>318</v>
      </c>
      <c r="K47" s="7" t="n">
        <v>10</v>
      </c>
      <c r="L47" s="7" t="n">
        <v>95</v>
      </c>
      <c r="M47" s="7" t="n">
        <v>3</v>
      </c>
      <c r="N47" s="7" t="n">
        <v>55</v>
      </c>
      <c r="O47" s="7" t="n">
        <v>5</v>
      </c>
      <c r="P47" s="8" t="n">
        <v>13.9390276984</v>
      </c>
      <c r="Q47" s="9" t="n">
        <v>0.0717410153446202</v>
      </c>
      <c r="R47" s="8" t="n">
        <v>23</v>
      </c>
      <c r="S47" s="12" t="n">
        <f aca="false">IF(AND(ISNUMBER(R47),R47&gt;1,P47&gt;0),R47/P47-1,"")</f>
        <v>0.650043352926265</v>
      </c>
    </row>
    <row r="48" customFormat="false" ht="15" hidden="false" customHeight="false" outlineLevel="0" collapsed="false">
      <c r="A48" s="10" t="s">
        <v>63</v>
      </c>
      <c r="B48" s="10" t="s">
        <v>44</v>
      </c>
      <c r="C48" s="10" t="s">
        <v>64</v>
      </c>
      <c r="D48" s="10"/>
      <c r="E48" s="11" t="n">
        <v>12</v>
      </c>
      <c r="F48" s="10" t="s">
        <v>291</v>
      </c>
      <c r="G48" s="7" t="n">
        <v>11</v>
      </c>
      <c r="H48" s="10" t="s">
        <v>398</v>
      </c>
      <c r="I48" s="10" t="s">
        <v>338</v>
      </c>
      <c r="J48" s="10" t="s">
        <v>399</v>
      </c>
      <c r="K48" s="7" t="n">
        <v>4</v>
      </c>
      <c r="L48" s="7" t="n">
        <v>96</v>
      </c>
      <c r="M48" s="7" t="n">
        <v>3</v>
      </c>
      <c r="N48" s="7" t="n">
        <v>36</v>
      </c>
      <c r="O48" s="7" t="n">
        <v>6</v>
      </c>
      <c r="P48" s="8" t="n">
        <v>14.21590261185</v>
      </c>
      <c r="Q48" s="9" t="n">
        <v>0.0703437570799359</v>
      </c>
      <c r="R48" s="8" t="n">
        <v>10</v>
      </c>
      <c r="S48" s="12" t="n">
        <f aca="false">IF(AND(ISNUMBER(R48),R48&gt;1,P48&gt;0),R48/P48-1,"")</f>
        <v>-0.296562429200641</v>
      </c>
    </row>
    <row r="49" customFormat="false" ht="15" hidden="false" customHeight="false" outlineLevel="0" collapsed="false">
      <c r="A49" s="10" t="s">
        <v>63</v>
      </c>
      <c r="B49" s="10" t="s">
        <v>44</v>
      </c>
      <c r="C49" s="10" t="s">
        <v>64</v>
      </c>
      <c r="D49" s="10"/>
      <c r="E49" s="11" t="n">
        <v>12</v>
      </c>
      <c r="F49" s="10" t="s">
        <v>291</v>
      </c>
      <c r="G49" s="7" t="n">
        <v>11</v>
      </c>
      <c r="H49" s="10" t="s">
        <v>400</v>
      </c>
      <c r="I49" s="10" t="s">
        <v>89</v>
      </c>
      <c r="J49" s="10" t="s">
        <v>327</v>
      </c>
      <c r="K49" s="7" t="n">
        <v>6</v>
      </c>
      <c r="L49" s="7" t="n">
        <v>100</v>
      </c>
      <c r="M49" s="7" t="n">
        <v>5</v>
      </c>
      <c r="N49" s="7" t="n">
        <v>55</v>
      </c>
      <c r="O49" s="7" t="n">
        <v>7</v>
      </c>
      <c r="P49" s="8" t="n">
        <v>14.5007528228419</v>
      </c>
      <c r="Q49" s="9" t="n">
        <v>0.0689619368192233</v>
      </c>
      <c r="R49" s="8" t="n">
        <v>7.5</v>
      </c>
      <c r="S49" s="12" t="n">
        <f aca="false">IF(AND(ISNUMBER(R49),R49&gt;1,P49&gt;0),R49/P49-1,"")</f>
        <v>-0.482785473855825</v>
      </c>
    </row>
    <row r="50" customFormat="false" ht="15" hidden="false" customHeight="false" outlineLevel="0" collapsed="false">
      <c r="A50" s="10" t="s">
        <v>63</v>
      </c>
      <c r="B50" s="10" t="s">
        <v>44</v>
      </c>
      <c r="C50" s="10" t="s">
        <v>64</v>
      </c>
      <c r="D50" s="10"/>
      <c r="E50" s="11" t="n">
        <v>12</v>
      </c>
      <c r="F50" s="10" t="s">
        <v>291</v>
      </c>
      <c r="G50" s="7" t="n">
        <v>11</v>
      </c>
      <c r="H50" s="10" t="s">
        <v>401</v>
      </c>
      <c r="I50" s="10" t="s">
        <v>47</v>
      </c>
      <c r="J50" s="10" t="s">
        <v>48</v>
      </c>
      <c r="K50" s="7" t="n">
        <v>11</v>
      </c>
      <c r="L50" s="7" t="n">
        <v>97</v>
      </c>
      <c r="M50" s="7" t="n">
        <v>6</v>
      </c>
      <c r="N50" s="7" t="n">
        <v>48</v>
      </c>
      <c r="O50" s="7" t="n">
        <v>8</v>
      </c>
      <c r="P50" s="8" t="n">
        <v>44.8524794535086</v>
      </c>
      <c r="Q50" s="9" t="n">
        <v>0.0222953114785224</v>
      </c>
      <c r="R50" s="8" t="n">
        <v>26</v>
      </c>
      <c r="S50" s="12" t="n">
        <f aca="false">IF(AND(ISNUMBER(R50),R50&gt;1,P50&gt;0),R50/P50-1,"")</f>
        <v>-0.420321901558417</v>
      </c>
    </row>
    <row r="51" customFormat="false" ht="15" hidden="false" customHeight="false" outlineLevel="0" collapsed="false">
      <c r="A51" s="10" t="s">
        <v>63</v>
      </c>
      <c r="B51" s="10" t="s">
        <v>44</v>
      </c>
      <c r="C51" s="10" t="s">
        <v>64</v>
      </c>
      <c r="D51" s="10"/>
      <c r="E51" s="11" t="n">
        <v>12</v>
      </c>
      <c r="F51" s="10" t="s">
        <v>291</v>
      </c>
      <c r="G51" s="7" t="n">
        <v>11</v>
      </c>
      <c r="H51" s="10" t="s">
        <v>402</v>
      </c>
      <c r="I51" s="10" t="s">
        <v>403</v>
      </c>
      <c r="J51" s="10" t="s">
        <v>404</v>
      </c>
      <c r="K51" s="7" t="n">
        <v>9</v>
      </c>
      <c r="L51" s="7" t="n">
        <v>95</v>
      </c>
      <c r="M51" s="7" t="n">
        <v>3</v>
      </c>
      <c r="N51" s="7" t="n">
        <v>99</v>
      </c>
      <c r="O51" s="7" t="n">
        <v>9</v>
      </c>
      <c r="P51" s="8" t="n">
        <v>53.0560235378611</v>
      </c>
      <c r="Q51" s="9" t="n">
        <v>0.018848001288419</v>
      </c>
      <c r="R51" s="8" t="n">
        <v>51</v>
      </c>
      <c r="S51" s="12" t="n">
        <f aca="false">IF(AND(ISNUMBER(R51),R51&gt;1,P51&gt;0),R51/P51-1,"")</f>
        <v>-0.0387519342906261</v>
      </c>
    </row>
    <row r="52" customFormat="false" ht="15" hidden="false" customHeight="false" outlineLevel="0" collapsed="false">
      <c r="A52" s="10" t="s">
        <v>63</v>
      </c>
      <c r="B52" s="10" t="s">
        <v>44</v>
      </c>
      <c r="C52" s="10" t="s">
        <v>64</v>
      </c>
      <c r="D52" s="10"/>
      <c r="E52" s="11" t="n">
        <v>12</v>
      </c>
      <c r="F52" s="10" t="s">
        <v>291</v>
      </c>
      <c r="G52" s="7" t="n">
        <v>11</v>
      </c>
      <c r="H52" s="10" t="s">
        <v>405</v>
      </c>
      <c r="I52" s="10" t="s">
        <v>320</v>
      </c>
      <c r="J52" s="10" t="s">
        <v>324</v>
      </c>
      <c r="K52" s="7" t="n">
        <v>8</v>
      </c>
      <c r="L52" s="7" t="n">
        <v>98</v>
      </c>
      <c r="M52" s="7" t="n">
        <v>4</v>
      </c>
      <c r="N52" s="7" t="n">
        <v>36</v>
      </c>
      <c r="O52" s="7" t="n">
        <v>10</v>
      </c>
      <c r="P52" s="8" t="n">
        <v>59.6394306923488</v>
      </c>
      <c r="Q52" s="9" t="n">
        <v>0.0167674303458482</v>
      </c>
      <c r="R52" s="8" t="n">
        <v>67</v>
      </c>
      <c r="S52" s="12" t="n">
        <f aca="false">IF(AND(ISNUMBER(R52),R52&gt;1,P52&gt;0),R52/P52-1,"")</f>
        <v>0.12341783317183</v>
      </c>
    </row>
    <row r="53" customFormat="false" ht="15" hidden="false" customHeight="false" outlineLevel="0" collapsed="false">
      <c r="A53" s="10" t="s">
        <v>63</v>
      </c>
      <c r="B53" s="10" t="s">
        <v>44</v>
      </c>
      <c r="C53" s="10" t="s">
        <v>64</v>
      </c>
      <c r="D53" s="10"/>
      <c r="E53" s="11" t="n">
        <v>12</v>
      </c>
      <c r="F53" s="10" t="s">
        <v>291</v>
      </c>
      <c r="G53" s="7" t="n">
        <v>11</v>
      </c>
      <c r="H53" s="10" t="s">
        <v>406</v>
      </c>
      <c r="I53" s="10" t="s">
        <v>259</v>
      </c>
      <c r="J53" s="10" t="s">
        <v>407</v>
      </c>
      <c r="K53" s="7" t="n">
        <v>5</v>
      </c>
      <c r="L53" s="7" t="n">
        <v>95</v>
      </c>
      <c r="M53" s="7" t="n">
        <v>4</v>
      </c>
      <c r="N53" s="7" t="n">
        <v>36</v>
      </c>
      <c r="O53" s="7" t="n">
        <v>11</v>
      </c>
      <c r="P53" s="8" t="n">
        <v>80.3598595867596</v>
      </c>
      <c r="Q53" s="9" t="n">
        <v>0.0124440237345158</v>
      </c>
      <c r="R53" s="8" t="n">
        <v>151</v>
      </c>
      <c r="S53" s="12" t="n">
        <f aca="false">IF(AND(ISNUMBER(R53),R53&gt;1,P53&gt;0),R53/P53-1,"")</f>
        <v>0.879047583911899</v>
      </c>
    </row>
    <row r="54" customFormat="false" ht="15" hidden="false" customHeight="false" outlineLevel="0" collapsed="false">
      <c r="A54" s="10" t="s">
        <v>69</v>
      </c>
      <c r="B54" s="10" t="s">
        <v>70</v>
      </c>
      <c r="C54" s="10" t="s">
        <v>71</v>
      </c>
      <c r="D54" s="10" t="s">
        <v>290</v>
      </c>
      <c r="E54" s="11" t="n">
        <v>10.5</v>
      </c>
      <c r="F54" s="10" t="s">
        <v>408</v>
      </c>
      <c r="G54" s="7" t="n">
        <v>9</v>
      </c>
      <c r="H54" s="10" t="s">
        <v>72</v>
      </c>
      <c r="I54" s="10" t="s">
        <v>73</v>
      </c>
      <c r="J54" s="10" t="s">
        <v>74</v>
      </c>
      <c r="K54" s="7" t="n">
        <v>1</v>
      </c>
      <c r="L54" s="7" t="n">
        <v>62</v>
      </c>
      <c r="M54" s="7" t="n">
        <v>4</v>
      </c>
      <c r="N54" s="7" t="n">
        <v>8</v>
      </c>
      <c r="O54" s="7" t="n">
        <v>1</v>
      </c>
      <c r="P54" s="8" t="n">
        <v>3.47717183836206</v>
      </c>
      <c r="Q54" s="9" t="n">
        <v>0.287590043427665</v>
      </c>
      <c r="R54" s="8" t="n">
        <v>4</v>
      </c>
      <c r="S54" s="12" t="n">
        <f aca="false">IF(AND(ISNUMBER(R54),R54&gt;1,P54&gt;0),R54/P54-1,"")</f>
        <v>0.150360173710662</v>
      </c>
    </row>
    <row r="55" customFormat="false" ht="15" hidden="false" customHeight="false" outlineLevel="0" collapsed="false">
      <c r="A55" s="10" t="s">
        <v>69</v>
      </c>
      <c r="B55" s="10" t="s">
        <v>70</v>
      </c>
      <c r="C55" s="10" t="s">
        <v>71</v>
      </c>
      <c r="D55" s="10" t="s">
        <v>290</v>
      </c>
      <c r="E55" s="11" t="n">
        <v>10.5</v>
      </c>
      <c r="F55" s="10" t="s">
        <v>408</v>
      </c>
      <c r="G55" s="7" t="n">
        <v>9</v>
      </c>
      <c r="H55" s="10" t="s">
        <v>75</v>
      </c>
      <c r="I55" s="10" t="s">
        <v>409</v>
      </c>
      <c r="J55" s="10" t="s">
        <v>330</v>
      </c>
      <c r="K55" s="7" t="n">
        <v>3</v>
      </c>
      <c r="L55" s="7" t="n">
        <v>61</v>
      </c>
      <c r="M55" s="7" t="n">
        <v>4</v>
      </c>
      <c r="N55" s="7" t="n">
        <v>14</v>
      </c>
      <c r="O55" s="7" t="n">
        <v>2</v>
      </c>
      <c r="P55" s="8" t="n">
        <v>4.04324938406888</v>
      </c>
      <c r="Q55" s="9" t="n">
        <v>0.247325827573283</v>
      </c>
      <c r="R55" s="8" t="n">
        <v>2.875</v>
      </c>
      <c r="S55" s="12" t="n">
        <f aca="false">IF(AND(ISNUMBER(R55),R55&gt;1,P55&gt;0),R55/P55-1,"")</f>
        <v>-0.288938245726813</v>
      </c>
    </row>
    <row r="56" customFormat="false" ht="15" hidden="false" customHeight="false" outlineLevel="0" collapsed="false">
      <c r="A56" s="10" t="s">
        <v>69</v>
      </c>
      <c r="B56" s="10" t="s">
        <v>70</v>
      </c>
      <c r="C56" s="10" t="s">
        <v>71</v>
      </c>
      <c r="D56" s="10" t="s">
        <v>290</v>
      </c>
      <c r="E56" s="11" t="n">
        <v>10.5</v>
      </c>
      <c r="F56" s="10" t="s">
        <v>408</v>
      </c>
      <c r="G56" s="7" t="n">
        <v>9</v>
      </c>
      <c r="H56" s="10" t="s">
        <v>410</v>
      </c>
      <c r="I56" s="10" t="s">
        <v>411</v>
      </c>
      <c r="J56" s="10" t="s">
        <v>412</v>
      </c>
      <c r="K56" s="7" t="n">
        <v>2</v>
      </c>
      <c r="L56" s="7" t="n">
        <v>58</v>
      </c>
      <c r="M56" s="7" t="n">
        <v>6</v>
      </c>
      <c r="N56" s="7" t="n">
        <v>6</v>
      </c>
      <c r="O56" s="7" t="n">
        <v>3</v>
      </c>
      <c r="P56" s="8" t="n">
        <v>8.93543759634706</v>
      </c>
      <c r="Q56" s="9" t="n">
        <v>0.111913936974818</v>
      </c>
      <c r="R56" s="8" t="n">
        <v>8</v>
      </c>
      <c r="S56" s="12" t="n">
        <f aca="false">IF(AND(ISNUMBER(R56),R56&gt;1,P56&gt;0),R56/P56-1,"")</f>
        <v>-0.104688504201459</v>
      </c>
    </row>
    <row r="57" customFormat="false" ht="15" hidden="false" customHeight="false" outlineLevel="0" collapsed="false">
      <c r="A57" s="10" t="s">
        <v>69</v>
      </c>
      <c r="B57" s="10" t="s">
        <v>70</v>
      </c>
      <c r="C57" s="10" t="s">
        <v>71</v>
      </c>
      <c r="D57" s="10" t="s">
        <v>290</v>
      </c>
      <c r="E57" s="11" t="n">
        <v>10.5</v>
      </c>
      <c r="F57" s="10" t="s">
        <v>408</v>
      </c>
      <c r="G57" s="7" t="n">
        <v>9</v>
      </c>
      <c r="H57" s="10" t="s">
        <v>413</v>
      </c>
      <c r="I57" s="10" t="s">
        <v>414</v>
      </c>
      <c r="J57" s="10" t="s">
        <v>415</v>
      </c>
      <c r="K57" s="7" t="n">
        <v>8</v>
      </c>
      <c r="L57" s="7" t="n">
        <v>66</v>
      </c>
      <c r="M57" s="7" t="n">
        <v>8</v>
      </c>
      <c r="N57" s="7" t="n">
        <v>16</v>
      </c>
      <c r="O57" s="7" t="n">
        <v>4</v>
      </c>
      <c r="P57" s="8" t="n">
        <v>9.70380498594412</v>
      </c>
      <c r="Q57" s="9" t="n">
        <v>0.103052359507275</v>
      </c>
      <c r="R57" s="8" t="n">
        <v>8.5</v>
      </c>
      <c r="S57" s="12" t="n">
        <f aca="false">IF(AND(ISNUMBER(R57),R57&gt;1,P57&gt;0),R57/P57-1,"")</f>
        <v>-0.124054944188164</v>
      </c>
    </row>
    <row r="58" customFormat="false" ht="15" hidden="false" customHeight="false" outlineLevel="0" collapsed="false">
      <c r="A58" s="10" t="s">
        <v>69</v>
      </c>
      <c r="B58" s="10" t="s">
        <v>70</v>
      </c>
      <c r="C58" s="10" t="s">
        <v>71</v>
      </c>
      <c r="D58" s="10" t="s">
        <v>290</v>
      </c>
      <c r="E58" s="11" t="n">
        <v>10.5</v>
      </c>
      <c r="F58" s="10" t="s">
        <v>408</v>
      </c>
      <c r="G58" s="7" t="n">
        <v>9</v>
      </c>
      <c r="H58" s="10" t="s">
        <v>416</v>
      </c>
      <c r="I58" s="10" t="s">
        <v>417</v>
      </c>
      <c r="J58" s="10" t="s">
        <v>418</v>
      </c>
      <c r="K58" s="7" t="n">
        <v>6</v>
      </c>
      <c r="L58" s="7" t="n">
        <v>70</v>
      </c>
      <c r="M58" s="7" t="n">
        <v>4</v>
      </c>
      <c r="N58" s="7" t="n">
        <v>69</v>
      </c>
      <c r="O58" s="7" t="n">
        <v>5</v>
      </c>
      <c r="P58" s="8" t="n">
        <v>11.635803966533</v>
      </c>
      <c r="Q58" s="9" t="n">
        <v>0.0859416335026106</v>
      </c>
      <c r="R58" s="8" t="n">
        <v>6.5</v>
      </c>
      <c r="S58" s="12" t="n">
        <f aca="false">IF(AND(ISNUMBER(R58),R58&gt;1,P58&gt;0),R58/P58-1,"")</f>
        <v>-0.441379382233031</v>
      </c>
    </row>
    <row r="59" customFormat="false" ht="15" hidden="false" customHeight="false" outlineLevel="0" collapsed="false">
      <c r="A59" s="10" t="s">
        <v>69</v>
      </c>
      <c r="B59" s="10" t="s">
        <v>70</v>
      </c>
      <c r="C59" s="10" t="s">
        <v>71</v>
      </c>
      <c r="D59" s="10" t="s">
        <v>290</v>
      </c>
      <c r="E59" s="11" t="n">
        <v>10.5</v>
      </c>
      <c r="F59" s="10" t="s">
        <v>408</v>
      </c>
      <c r="G59" s="7" t="n">
        <v>9</v>
      </c>
      <c r="H59" s="10" t="s">
        <v>419</v>
      </c>
      <c r="I59" s="10" t="s">
        <v>420</v>
      </c>
      <c r="J59" s="10" t="s">
        <v>421</v>
      </c>
      <c r="K59" s="7" t="n">
        <v>4</v>
      </c>
      <c r="L59" s="7" t="n">
        <v>69</v>
      </c>
      <c r="M59" s="7" t="n">
        <v>7</v>
      </c>
      <c r="N59" s="7" t="n">
        <v>26</v>
      </c>
      <c r="O59" s="7" t="n">
        <v>6</v>
      </c>
      <c r="P59" s="8" t="n">
        <v>11.8493511584227</v>
      </c>
      <c r="Q59" s="9" t="n">
        <v>0.0843928065452922</v>
      </c>
      <c r="R59" s="8" t="n">
        <v>8</v>
      </c>
      <c r="S59" s="12" t="n">
        <f aca="false">IF(AND(ISNUMBER(R59),R59&gt;1,P59&gt;0),R59/P59-1,"")</f>
        <v>-0.324857547637662</v>
      </c>
    </row>
    <row r="60" customFormat="false" ht="15" hidden="false" customHeight="false" outlineLevel="0" collapsed="false">
      <c r="A60" s="10" t="s">
        <v>69</v>
      </c>
      <c r="B60" s="10" t="s">
        <v>70</v>
      </c>
      <c r="C60" s="10" t="s">
        <v>71</v>
      </c>
      <c r="D60" s="10" t="s">
        <v>290</v>
      </c>
      <c r="E60" s="11" t="n">
        <v>10.5</v>
      </c>
      <c r="F60" s="10" t="s">
        <v>408</v>
      </c>
      <c r="G60" s="7" t="n">
        <v>9</v>
      </c>
      <c r="H60" s="10" t="s">
        <v>422</v>
      </c>
      <c r="I60" s="10" t="s">
        <v>423</v>
      </c>
      <c r="J60" s="10" t="s">
        <v>424</v>
      </c>
      <c r="K60" s="7" t="n">
        <v>7</v>
      </c>
      <c r="L60" s="7" t="n">
        <v>65</v>
      </c>
      <c r="M60" s="7" t="n">
        <v>5</v>
      </c>
      <c r="N60" s="7" t="n">
        <v>14</v>
      </c>
      <c r="O60" s="7" t="n">
        <v>7</v>
      </c>
      <c r="P60" s="8" t="n">
        <v>32.2085970745547</v>
      </c>
      <c r="Q60" s="9" t="n">
        <v>0.0310476112227196</v>
      </c>
      <c r="R60" s="8" t="n">
        <v>29</v>
      </c>
      <c r="S60" s="12" t="n">
        <f aca="false">IF(AND(ISNUMBER(R60),R60&gt;1,P60&gt;0),R60/P60-1,"")</f>
        <v>-0.0996192745411301</v>
      </c>
    </row>
    <row r="61" customFormat="false" ht="15" hidden="false" customHeight="false" outlineLevel="0" collapsed="false">
      <c r="A61" s="10" t="s">
        <v>69</v>
      </c>
      <c r="B61" s="10" t="s">
        <v>70</v>
      </c>
      <c r="C61" s="10" t="s">
        <v>71</v>
      </c>
      <c r="D61" s="10" t="s">
        <v>290</v>
      </c>
      <c r="E61" s="11" t="n">
        <v>10.5</v>
      </c>
      <c r="F61" s="10" t="s">
        <v>408</v>
      </c>
      <c r="G61" s="7" t="n">
        <v>9</v>
      </c>
      <c r="H61" s="10" t="s">
        <v>425</v>
      </c>
      <c r="I61" s="10" t="s">
        <v>426</v>
      </c>
      <c r="J61" s="10" t="s">
        <v>427</v>
      </c>
      <c r="K61" s="7" t="n">
        <v>5</v>
      </c>
      <c r="L61" s="7" t="n">
        <v>69</v>
      </c>
      <c r="M61" s="7" t="n">
        <v>8</v>
      </c>
      <c r="N61" s="7" t="n">
        <v>77</v>
      </c>
      <c r="O61" s="7" t="n">
        <v>8</v>
      </c>
      <c r="P61" s="8" t="n">
        <v>33.747553098549</v>
      </c>
      <c r="Q61" s="9" t="n">
        <v>0.0296317779567548</v>
      </c>
      <c r="R61" s="8" t="n">
        <v>12</v>
      </c>
      <c r="S61" s="12" t="n">
        <f aca="false">IF(AND(ISNUMBER(R61),R61&gt;1,P61&gt;0),R61/P61-1,"")</f>
        <v>-0.644418664518941</v>
      </c>
    </row>
    <row r="62" customFormat="false" ht="15" hidden="false" customHeight="false" outlineLevel="0" collapsed="false">
      <c r="A62" s="10" t="s">
        <v>69</v>
      </c>
      <c r="B62" s="10" t="s">
        <v>70</v>
      </c>
      <c r="C62" s="10" t="s">
        <v>71</v>
      </c>
      <c r="D62" s="10" t="s">
        <v>290</v>
      </c>
      <c r="E62" s="11" t="n">
        <v>10.5</v>
      </c>
      <c r="F62" s="10" t="s">
        <v>408</v>
      </c>
      <c r="G62" s="7" t="n">
        <v>9</v>
      </c>
      <c r="H62" s="10" t="s">
        <v>428</v>
      </c>
      <c r="I62" s="10" t="s">
        <v>429</v>
      </c>
      <c r="J62" s="10" t="s">
        <v>430</v>
      </c>
      <c r="K62" s="7" t="n">
        <v>9</v>
      </c>
      <c r="L62" s="7" t="n">
        <v>64</v>
      </c>
      <c r="M62" s="7" t="n">
        <v>4</v>
      </c>
      <c r="N62" s="7" t="n">
        <v>23</v>
      </c>
      <c r="O62" s="7" t="n">
        <v>9</v>
      </c>
      <c r="P62" s="8" t="n">
        <v>52.3450496129947</v>
      </c>
      <c r="Q62" s="9" t="n">
        <v>0.0191040032895822</v>
      </c>
      <c r="R62" s="8" t="n">
        <v>34</v>
      </c>
      <c r="S62" s="12" t="n">
        <f aca="false">IF(AND(ISNUMBER(R62),R62&gt;1,P62&gt;0),R62/P62-1,"")</f>
        <v>-0.350463888154202</v>
      </c>
    </row>
    <row r="63" customFormat="false" ht="15" hidden="false" customHeight="false" outlineLevel="0" collapsed="false">
      <c r="A63" s="10" t="s">
        <v>76</v>
      </c>
      <c r="B63" s="10" t="s">
        <v>37</v>
      </c>
      <c r="C63" s="10" t="s">
        <v>77</v>
      </c>
      <c r="D63" s="10" t="s">
        <v>431</v>
      </c>
      <c r="E63" s="11" t="n">
        <v>20</v>
      </c>
      <c r="F63" s="10" t="s">
        <v>291</v>
      </c>
      <c r="G63" s="7" t="n">
        <v>12</v>
      </c>
      <c r="H63" s="10" t="s">
        <v>78</v>
      </c>
      <c r="I63" s="10" t="s">
        <v>40</v>
      </c>
      <c r="J63" s="10" t="s">
        <v>41</v>
      </c>
      <c r="K63" s="7" t="n">
        <v>8</v>
      </c>
      <c r="L63" s="7" t="n">
        <v>110</v>
      </c>
      <c r="M63" s="7" t="n">
        <v>6</v>
      </c>
      <c r="N63" s="7" t="n">
        <v>15</v>
      </c>
      <c r="O63" s="7" t="n">
        <v>1</v>
      </c>
      <c r="P63" s="8" t="n">
        <v>5.31504890242851</v>
      </c>
      <c r="Q63" s="9" t="n">
        <v>0.188145023377506</v>
      </c>
      <c r="R63" s="8" t="n">
        <v>5.5</v>
      </c>
      <c r="S63" s="12" t="n">
        <f aca="false">IF(AND(ISNUMBER(R63),R63&gt;1,P63&gt;0),R63/P63-1,"")</f>
        <v>0.0347976285762834</v>
      </c>
    </row>
    <row r="64" customFormat="false" ht="15" hidden="false" customHeight="false" outlineLevel="0" collapsed="false">
      <c r="A64" s="10" t="s">
        <v>76</v>
      </c>
      <c r="B64" s="10" t="s">
        <v>37</v>
      </c>
      <c r="C64" s="10" t="s">
        <v>77</v>
      </c>
      <c r="D64" s="10" t="s">
        <v>431</v>
      </c>
      <c r="E64" s="11" t="n">
        <v>20</v>
      </c>
      <c r="F64" s="10" t="s">
        <v>291</v>
      </c>
      <c r="G64" s="7" t="n">
        <v>12</v>
      </c>
      <c r="H64" s="10" t="s">
        <v>79</v>
      </c>
      <c r="I64" s="10" t="s">
        <v>295</v>
      </c>
      <c r="J64" s="10" t="s">
        <v>432</v>
      </c>
      <c r="K64" s="7" t="n">
        <v>7</v>
      </c>
      <c r="L64" s="7" t="n">
        <v>115</v>
      </c>
      <c r="M64" s="7" t="n">
        <v>5</v>
      </c>
      <c r="N64" s="7" t="n">
        <v>28</v>
      </c>
      <c r="O64" s="7" t="n">
        <v>2</v>
      </c>
      <c r="P64" s="8" t="n">
        <v>6.78728229567735</v>
      </c>
      <c r="Q64" s="9" t="n">
        <v>0.147334375739296</v>
      </c>
      <c r="R64" s="8" t="n">
        <v>4.5</v>
      </c>
      <c r="S64" s="12" t="n">
        <f aca="false">IF(AND(ISNUMBER(R64),R64&gt;1,P64&gt;0),R64/P64-1,"")</f>
        <v>-0.336995309173167</v>
      </c>
    </row>
    <row r="65" customFormat="false" ht="15" hidden="false" customHeight="false" outlineLevel="0" collapsed="false">
      <c r="A65" s="10" t="s">
        <v>76</v>
      </c>
      <c r="B65" s="10" t="s">
        <v>37</v>
      </c>
      <c r="C65" s="10" t="s">
        <v>77</v>
      </c>
      <c r="D65" s="10" t="s">
        <v>431</v>
      </c>
      <c r="E65" s="11" t="n">
        <v>20</v>
      </c>
      <c r="F65" s="10" t="s">
        <v>291</v>
      </c>
      <c r="G65" s="7" t="n">
        <v>12</v>
      </c>
      <c r="H65" s="10" t="s">
        <v>433</v>
      </c>
      <c r="I65" s="10" t="s">
        <v>434</v>
      </c>
      <c r="J65" s="10" t="s">
        <v>435</v>
      </c>
      <c r="K65" s="7" t="n">
        <v>9</v>
      </c>
      <c r="L65" s="7" t="n">
        <v>110</v>
      </c>
      <c r="M65" s="7" t="n">
        <v>7</v>
      </c>
      <c r="N65" s="7" t="n">
        <v>28</v>
      </c>
      <c r="O65" s="7" t="n">
        <v>3</v>
      </c>
      <c r="P65" s="8" t="n">
        <v>7.57385567602136</v>
      </c>
      <c r="Q65" s="9" t="n">
        <v>0.132033147022589</v>
      </c>
      <c r="R65" s="8" t="n">
        <v>13</v>
      </c>
      <c r="S65" s="12" t="n">
        <f aca="false">IF(AND(ISNUMBER(R65),R65&gt;1,P65&gt;0),R65/P65-1,"")</f>
        <v>0.71643091129366</v>
      </c>
    </row>
    <row r="66" customFormat="false" ht="15" hidden="false" customHeight="false" outlineLevel="0" collapsed="false">
      <c r="A66" s="10" t="s">
        <v>76</v>
      </c>
      <c r="B66" s="10" t="s">
        <v>37</v>
      </c>
      <c r="C66" s="10" t="s">
        <v>77</v>
      </c>
      <c r="D66" s="10" t="s">
        <v>431</v>
      </c>
      <c r="E66" s="11" t="n">
        <v>20</v>
      </c>
      <c r="F66" s="10" t="s">
        <v>291</v>
      </c>
      <c r="G66" s="7" t="n">
        <v>12</v>
      </c>
      <c r="H66" s="10" t="s">
        <v>436</v>
      </c>
      <c r="I66" s="10" t="s">
        <v>53</v>
      </c>
      <c r="J66" s="10" t="s">
        <v>437</v>
      </c>
      <c r="K66" s="7" t="n">
        <v>3</v>
      </c>
      <c r="L66" s="7" t="n">
        <v>120</v>
      </c>
      <c r="M66" s="7" t="n">
        <v>8</v>
      </c>
      <c r="N66" s="7" t="n">
        <v>18</v>
      </c>
      <c r="O66" s="7" t="n">
        <v>4</v>
      </c>
      <c r="P66" s="8" t="n">
        <v>8.89247352306103</v>
      </c>
      <c r="Q66" s="9" t="n">
        <v>0.112454650262009</v>
      </c>
      <c r="R66" s="8" t="n">
        <v>10</v>
      </c>
      <c r="S66" s="12" t="n">
        <f aca="false">IF(AND(ISNUMBER(R66),R66&gt;1,P66&gt;0),R66/P66-1,"")</f>
        <v>0.124546502620087</v>
      </c>
    </row>
    <row r="67" customFormat="false" ht="15" hidden="false" customHeight="false" outlineLevel="0" collapsed="false">
      <c r="A67" s="10" t="s">
        <v>76</v>
      </c>
      <c r="B67" s="10" t="s">
        <v>37</v>
      </c>
      <c r="C67" s="10" t="s">
        <v>77</v>
      </c>
      <c r="D67" s="10" t="s">
        <v>431</v>
      </c>
      <c r="E67" s="11" t="n">
        <v>20</v>
      </c>
      <c r="F67" s="10" t="s">
        <v>291</v>
      </c>
      <c r="G67" s="7" t="n">
        <v>12</v>
      </c>
      <c r="H67" s="10" t="s">
        <v>438</v>
      </c>
      <c r="I67" s="10" t="s">
        <v>439</v>
      </c>
      <c r="J67" s="10" t="s">
        <v>440</v>
      </c>
      <c r="K67" s="7" t="n">
        <v>10</v>
      </c>
      <c r="L67" s="7" t="n">
        <v>110</v>
      </c>
      <c r="M67" s="7" t="n">
        <v>6</v>
      </c>
      <c r="N67" s="7" t="n">
        <v>128</v>
      </c>
      <c r="O67" s="7" t="n">
        <v>5</v>
      </c>
      <c r="P67" s="8" t="n">
        <v>9.68637023572297</v>
      </c>
      <c r="Q67" s="9" t="n">
        <v>0.103237846134772</v>
      </c>
      <c r="R67" s="8" t="n">
        <v>7.5</v>
      </c>
      <c r="S67" s="12" t="n">
        <f aca="false">IF(AND(ISNUMBER(R67),R67&gt;1,P67&gt;0),R67/P67-1,"")</f>
        <v>-0.225716153989212</v>
      </c>
    </row>
    <row r="68" customFormat="false" ht="15" hidden="false" customHeight="false" outlineLevel="0" collapsed="false">
      <c r="A68" s="10" t="s">
        <v>76</v>
      </c>
      <c r="B68" s="10" t="s">
        <v>37</v>
      </c>
      <c r="C68" s="10" t="s">
        <v>77</v>
      </c>
      <c r="D68" s="10" t="s">
        <v>431</v>
      </c>
      <c r="E68" s="11" t="n">
        <v>20</v>
      </c>
      <c r="F68" s="10" t="s">
        <v>291</v>
      </c>
      <c r="G68" s="7" t="n">
        <v>12</v>
      </c>
      <c r="H68" s="10" t="s">
        <v>441</v>
      </c>
      <c r="I68" s="10" t="s">
        <v>344</v>
      </c>
      <c r="J68" s="10" t="s">
        <v>442</v>
      </c>
      <c r="K68" s="7" t="n">
        <v>4</v>
      </c>
      <c r="L68" s="7" t="n">
        <v>117</v>
      </c>
      <c r="M68" s="7" t="n">
        <v>8</v>
      </c>
      <c r="N68" s="7" t="n">
        <v>33</v>
      </c>
      <c r="O68" s="7" t="n">
        <v>6</v>
      </c>
      <c r="P68" s="8" t="n">
        <v>10.3890322068373</v>
      </c>
      <c r="Q68" s="9" t="n">
        <v>0.0962553566194425</v>
      </c>
      <c r="R68" s="8" t="n">
        <v>11</v>
      </c>
      <c r="S68" s="12" t="n">
        <f aca="false">IF(AND(ISNUMBER(R68),R68&gt;1,P68&gt;0),R68/P68-1,"")</f>
        <v>0.0588089228138675</v>
      </c>
    </row>
    <row r="69" customFormat="false" ht="15" hidden="false" customHeight="false" outlineLevel="0" collapsed="false">
      <c r="A69" s="10" t="s">
        <v>76</v>
      </c>
      <c r="B69" s="10" t="s">
        <v>37</v>
      </c>
      <c r="C69" s="10" t="s">
        <v>77</v>
      </c>
      <c r="D69" s="10" t="s">
        <v>431</v>
      </c>
      <c r="E69" s="11" t="n">
        <v>20</v>
      </c>
      <c r="F69" s="10" t="s">
        <v>291</v>
      </c>
      <c r="G69" s="7" t="n">
        <v>12</v>
      </c>
      <c r="H69" s="10" t="s">
        <v>443</v>
      </c>
      <c r="I69" s="10" t="s">
        <v>121</v>
      </c>
      <c r="J69" s="10" t="s">
        <v>122</v>
      </c>
      <c r="K69" s="7" t="n">
        <v>6</v>
      </c>
      <c r="L69" s="7" t="n">
        <v>115</v>
      </c>
      <c r="M69" s="7" t="n">
        <v>6</v>
      </c>
      <c r="N69" s="7" t="n">
        <v>27</v>
      </c>
      <c r="O69" s="7" t="n">
        <v>7</v>
      </c>
      <c r="P69" s="8" t="n">
        <v>16.3708075021557</v>
      </c>
      <c r="Q69" s="9" t="n">
        <v>0.0610843417386905</v>
      </c>
      <c r="R69" s="8" t="n">
        <v>4</v>
      </c>
      <c r="S69" s="12" t="n">
        <f aca="false">IF(AND(ISNUMBER(R69),R69&gt;1,P69&gt;0),R69/P69-1,"")</f>
        <v>-0.755662633045238</v>
      </c>
    </row>
    <row r="70" customFormat="false" ht="15" hidden="false" customHeight="false" outlineLevel="0" collapsed="false">
      <c r="A70" s="10" t="s">
        <v>76</v>
      </c>
      <c r="B70" s="10" t="s">
        <v>37</v>
      </c>
      <c r="C70" s="10" t="s">
        <v>77</v>
      </c>
      <c r="D70" s="10" t="s">
        <v>431</v>
      </c>
      <c r="E70" s="11" t="n">
        <v>20</v>
      </c>
      <c r="F70" s="10" t="s">
        <v>291</v>
      </c>
      <c r="G70" s="7" t="n">
        <v>12</v>
      </c>
      <c r="H70" s="10" t="s">
        <v>444</v>
      </c>
      <c r="I70" s="10" t="s">
        <v>445</v>
      </c>
      <c r="J70" s="10" t="s">
        <v>202</v>
      </c>
      <c r="K70" s="7" t="n">
        <v>5</v>
      </c>
      <c r="L70" s="7" t="n">
        <v>117</v>
      </c>
      <c r="M70" s="7" t="n">
        <v>7</v>
      </c>
      <c r="N70" s="7" t="n">
        <v>17</v>
      </c>
      <c r="O70" s="7" t="n">
        <v>8</v>
      </c>
      <c r="P70" s="8" t="n">
        <v>17.5004689403169</v>
      </c>
      <c r="Q70" s="9" t="n">
        <v>0.0571413259501999</v>
      </c>
      <c r="R70" s="8" t="n">
        <v>10</v>
      </c>
      <c r="S70" s="12" t="n">
        <f aca="false">IF(AND(ISNUMBER(R70),R70&gt;1,P70&gt;0),R70/P70-1,"")</f>
        <v>-0.428586740498001</v>
      </c>
    </row>
    <row r="71" customFormat="false" ht="15" hidden="false" customHeight="false" outlineLevel="0" collapsed="false">
      <c r="A71" s="10" t="s">
        <v>76</v>
      </c>
      <c r="B71" s="10" t="s">
        <v>37</v>
      </c>
      <c r="C71" s="10" t="s">
        <v>77</v>
      </c>
      <c r="D71" s="10" t="s">
        <v>431</v>
      </c>
      <c r="E71" s="11" t="n">
        <v>20</v>
      </c>
      <c r="F71" s="10" t="s">
        <v>291</v>
      </c>
      <c r="G71" s="7" t="n">
        <v>12</v>
      </c>
      <c r="H71" s="10" t="s">
        <v>446</v>
      </c>
      <c r="I71" s="10" t="s">
        <v>447</v>
      </c>
      <c r="J71" s="10" t="s">
        <v>448</v>
      </c>
      <c r="K71" s="7" t="n">
        <v>1</v>
      </c>
      <c r="L71" s="7" t="n">
        <v>124</v>
      </c>
      <c r="M71" s="7" t="n">
        <v>6</v>
      </c>
      <c r="N71" s="7" t="n">
        <v>15</v>
      </c>
      <c r="O71" s="7" t="n">
        <v>9</v>
      </c>
      <c r="P71" s="8" t="n">
        <v>21.7777355062862</v>
      </c>
      <c r="Q71" s="9" t="n">
        <v>0.0459184564764021</v>
      </c>
      <c r="R71" s="8" t="n">
        <v>21</v>
      </c>
      <c r="S71" s="12" t="n">
        <f aca="false">IF(AND(ISNUMBER(R71),R71&gt;1,P71&gt;0),R71/P71-1,"")</f>
        <v>-0.0357124139955546</v>
      </c>
    </row>
    <row r="72" customFormat="false" ht="15" hidden="false" customHeight="false" outlineLevel="0" collapsed="false">
      <c r="A72" s="10" t="s">
        <v>76</v>
      </c>
      <c r="B72" s="10" t="s">
        <v>37</v>
      </c>
      <c r="C72" s="10" t="s">
        <v>77</v>
      </c>
      <c r="D72" s="10" t="s">
        <v>431</v>
      </c>
      <c r="E72" s="11" t="n">
        <v>20</v>
      </c>
      <c r="F72" s="10" t="s">
        <v>291</v>
      </c>
      <c r="G72" s="7" t="n">
        <v>12</v>
      </c>
      <c r="H72" s="10" t="s">
        <v>449</v>
      </c>
      <c r="I72" s="10" t="s">
        <v>304</v>
      </c>
      <c r="J72" s="10" t="s">
        <v>448</v>
      </c>
      <c r="K72" s="7" t="n">
        <v>11</v>
      </c>
      <c r="L72" s="7" t="n">
        <v>109</v>
      </c>
      <c r="M72" s="7" t="n">
        <v>4</v>
      </c>
      <c r="N72" s="7" t="n">
        <v>19</v>
      </c>
      <c r="O72" s="7" t="n">
        <v>10</v>
      </c>
      <c r="P72" s="8" t="n">
        <v>30.1455874975192</v>
      </c>
      <c r="Q72" s="9" t="n">
        <v>0.0331723506825764</v>
      </c>
      <c r="R72" s="8" t="n">
        <v>21</v>
      </c>
      <c r="S72" s="12" t="n">
        <f aca="false">IF(AND(ISNUMBER(R72),R72&gt;1,P72&gt;0),R72/P72-1,"")</f>
        <v>-0.303380635665894</v>
      </c>
    </row>
    <row r="73" customFormat="false" ht="15" hidden="false" customHeight="false" outlineLevel="0" collapsed="false">
      <c r="A73" s="10" t="s">
        <v>76</v>
      </c>
      <c r="B73" s="10" t="s">
        <v>37</v>
      </c>
      <c r="C73" s="10" t="s">
        <v>77</v>
      </c>
      <c r="D73" s="10" t="s">
        <v>431</v>
      </c>
      <c r="E73" s="11" t="n">
        <v>20</v>
      </c>
      <c r="F73" s="10" t="s">
        <v>291</v>
      </c>
      <c r="G73" s="7" t="n">
        <v>12</v>
      </c>
      <c r="H73" s="10" t="s">
        <v>450</v>
      </c>
      <c r="I73" s="10" t="s">
        <v>451</v>
      </c>
      <c r="J73" s="10" t="s">
        <v>452</v>
      </c>
      <c r="K73" s="7" t="n">
        <v>2</v>
      </c>
      <c r="L73" s="7" t="n">
        <v>120</v>
      </c>
      <c r="M73" s="7" t="n">
        <v>10</v>
      </c>
      <c r="N73" s="7" t="n">
        <v>33</v>
      </c>
      <c r="O73" s="7" t="n">
        <v>11</v>
      </c>
      <c r="P73" s="8" t="n">
        <v>60.6192516605249</v>
      </c>
      <c r="Q73" s="9" t="n">
        <v>0.0164964095168993</v>
      </c>
      <c r="R73" s="8" t="n">
        <v>51</v>
      </c>
      <c r="S73" s="12" t="n">
        <f aca="false">IF(AND(ISNUMBER(R73),R73&gt;1,P73&gt;0),R73/P73-1,"")</f>
        <v>-0.158683114638133</v>
      </c>
    </row>
    <row r="74" customFormat="false" ht="15" hidden="false" customHeight="false" outlineLevel="0" collapsed="false">
      <c r="A74" s="10" t="s">
        <v>76</v>
      </c>
      <c r="B74" s="10" t="s">
        <v>37</v>
      </c>
      <c r="C74" s="10" t="s">
        <v>77</v>
      </c>
      <c r="D74" s="10" t="s">
        <v>431</v>
      </c>
      <c r="E74" s="11" t="n">
        <v>20</v>
      </c>
      <c r="F74" s="10" t="s">
        <v>291</v>
      </c>
      <c r="G74" s="7" t="n">
        <v>12</v>
      </c>
      <c r="H74" s="10" t="s">
        <v>453</v>
      </c>
      <c r="I74" s="10" t="s">
        <v>310</v>
      </c>
      <c r="J74" s="10" t="s">
        <v>454</v>
      </c>
      <c r="K74" s="7" t="n">
        <v>12</v>
      </c>
      <c r="L74" s="7" t="n">
        <v>98</v>
      </c>
      <c r="M74" s="7" t="n">
        <v>7</v>
      </c>
      <c r="N74" s="7" t="n">
        <v>17</v>
      </c>
      <c r="O74" s="7" t="n">
        <v>12</v>
      </c>
      <c r="P74" s="8" t="n">
        <v>148.660940747264</v>
      </c>
      <c r="Q74" s="9" t="n">
        <v>0.0067267164796171</v>
      </c>
      <c r="R74" s="8" t="n">
        <v>67</v>
      </c>
      <c r="S74" s="12" t="n">
        <f aca="false">IF(AND(ISNUMBER(R74),R74&gt;1,P74&gt;0),R74/P74-1,"")</f>
        <v>-0.549309995865654</v>
      </c>
    </row>
    <row r="75" customFormat="false" ht="15" hidden="false" customHeight="false" outlineLevel="0" collapsed="false">
      <c r="A75" s="10" t="s">
        <v>80</v>
      </c>
      <c r="B75" s="10" t="s">
        <v>57</v>
      </c>
      <c r="C75" s="10" t="s">
        <v>81</v>
      </c>
      <c r="D75" s="10"/>
      <c r="E75" s="11" t="n">
        <v>18.5</v>
      </c>
      <c r="F75" s="10" t="s">
        <v>291</v>
      </c>
      <c r="G75" s="7" t="n">
        <v>18</v>
      </c>
      <c r="H75" s="10" t="s">
        <v>82</v>
      </c>
      <c r="I75" s="10" t="s">
        <v>83</v>
      </c>
      <c r="J75" s="10" t="s">
        <v>84</v>
      </c>
      <c r="K75" s="7" t="n">
        <v>15</v>
      </c>
      <c r="L75" s="7" t="n">
        <v>97</v>
      </c>
      <c r="M75" s="7" t="n">
        <v>4</v>
      </c>
      <c r="N75" s="7" t="n">
        <v>49</v>
      </c>
      <c r="O75" s="7" t="n">
        <v>1</v>
      </c>
      <c r="P75" s="8" t="n">
        <v>6.9327793936071</v>
      </c>
      <c r="Q75" s="9" t="n">
        <v>0.144242293490851</v>
      </c>
      <c r="R75" s="8" t="n">
        <v>3</v>
      </c>
      <c r="S75" s="12" t="n">
        <f aca="false">IF(AND(ISNUMBER(R75),R75&gt;1,P75&gt;0),R75/P75-1,"")</f>
        <v>-0.567273119527447</v>
      </c>
    </row>
    <row r="76" customFormat="false" ht="15" hidden="false" customHeight="false" outlineLevel="0" collapsed="false">
      <c r="A76" s="10" t="s">
        <v>80</v>
      </c>
      <c r="B76" s="10" t="s">
        <v>57</v>
      </c>
      <c r="C76" s="10" t="s">
        <v>81</v>
      </c>
      <c r="D76" s="10"/>
      <c r="E76" s="11" t="n">
        <v>18.5</v>
      </c>
      <c r="F76" s="10" t="s">
        <v>291</v>
      </c>
      <c r="G76" s="7" t="n">
        <v>18</v>
      </c>
      <c r="H76" s="10" t="s">
        <v>85</v>
      </c>
      <c r="I76" s="10" t="s">
        <v>455</v>
      </c>
      <c r="J76" s="10" t="s">
        <v>456</v>
      </c>
      <c r="K76" s="7" t="n">
        <v>10</v>
      </c>
      <c r="L76" s="7" t="n">
        <v>99</v>
      </c>
      <c r="M76" s="7" t="n">
        <v>9</v>
      </c>
      <c r="N76" s="7" t="n">
        <v>6</v>
      </c>
      <c r="O76" s="7" t="n">
        <v>2</v>
      </c>
      <c r="P76" s="8" t="n">
        <v>6.95767960455093</v>
      </c>
      <c r="Q76" s="9" t="n">
        <v>0.143726077778274</v>
      </c>
      <c r="R76" s="8" t="n">
        <v>8.5</v>
      </c>
      <c r="S76" s="12" t="n">
        <f aca="false">IF(AND(ISNUMBER(R76),R76&gt;1,P76&gt;0),R76/P76-1,"")</f>
        <v>0.221671661115332</v>
      </c>
    </row>
    <row r="77" customFormat="false" ht="15" hidden="false" customHeight="false" outlineLevel="0" collapsed="false">
      <c r="A77" s="10" t="s">
        <v>80</v>
      </c>
      <c r="B77" s="10" t="s">
        <v>57</v>
      </c>
      <c r="C77" s="10" t="s">
        <v>81</v>
      </c>
      <c r="D77" s="10"/>
      <c r="E77" s="11" t="n">
        <v>18.5</v>
      </c>
      <c r="F77" s="10" t="s">
        <v>291</v>
      </c>
      <c r="G77" s="7" t="n">
        <v>18</v>
      </c>
      <c r="H77" s="10" t="s">
        <v>457</v>
      </c>
      <c r="I77" s="10" t="s">
        <v>458</v>
      </c>
      <c r="J77" s="10" t="s">
        <v>392</v>
      </c>
      <c r="K77" s="7" t="n">
        <v>4</v>
      </c>
      <c r="L77" s="7" t="n">
        <v>104</v>
      </c>
      <c r="M77" s="7" t="n">
        <v>6</v>
      </c>
      <c r="N77" s="7" t="n">
        <v>36</v>
      </c>
      <c r="O77" s="7" t="n">
        <v>3</v>
      </c>
      <c r="P77" s="8" t="n">
        <v>7.13865457565574</v>
      </c>
      <c r="Q77" s="9" t="n">
        <v>0.140082418809029</v>
      </c>
      <c r="R77" s="8" t="n">
        <v>9.5</v>
      </c>
      <c r="S77" s="12" t="n">
        <f aca="false">IF(AND(ISNUMBER(R77),R77&gt;1,P77&gt;0),R77/P77-1,"")</f>
        <v>0.330782978685777</v>
      </c>
    </row>
    <row r="78" customFormat="false" ht="15" hidden="false" customHeight="false" outlineLevel="0" collapsed="false">
      <c r="A78" s="10" t="s">
        <v>80</v>
      </c>
      <c r="B78" s="10" t="s">
        <v>57</v>
      </c>
      <c r="C78" s="10" t="s">
        <v>81</v>
      </c>
      <c r="D78" s="10"/>
      <c r="E78" s="11" t="n">
        <v>18.5</v>
      </c>
      <c r="F78" s="10" t="s">
        <v>291</v>
      </c>
      <c r="G78" s="7" t="n">
        <v>18</v>
      </c>
      <c r="H78" s="10" t="s">
        <v>459</v>
      </c>
      <c r="I78" s="10" t="s">
        <v>358</v>
      </c>
      <c r="J78" s="10" t="s">
        <v>460</v>
      </c>
      <c r="K78" s="7" t="n">
        <v>16</v>
      </c>
      <c r="L78" s="7" t="n">
        <v>96</v>
      </c>
      <c r="M78" s="7" t="n">
        <v>5</v>
      </c>
      <c r="N78" s="7" t="n">
        <v>30</v>
      </c>
      <c r="O78" s="7" t="n">
        <v>4</v>
      </c>
      <c r="P78" s="8" t="n">
        <v>13.7757092473606</v>
      </c>
      <c r="Q78" s="9" t="n">
        <v>0.0725915437124663</v>
      </c>
      <c r="R78" s="8" t="n">
        <v>8.5</v>
      </c>
      <c r="S78" s="12" t="n">
        <f aca="false">IF(AND(ISNUMBER(R78),R78&gt;1,P78&gt;0),R78/P78-1,"")</f>
        <v>-0.382971878444036</v>
      </c>
    </row>
    <row r="79" customFormat="false" ht="15" hidden="false" customHeight="false" outlineLevel="0" collapsed="false">
      <c r="A79" s="10" t="s">
        <v>80</v>
      </c>
      <c r="B79" s="10" t="s">
        <v>57</v>
      </c>
      <c r="C79" s="10" t="s">
        <v>81</v>
      </c>
      <c r="D79" s="10"/>
      <c r="E79" s="11" t="n">
        <v>18.5</v>
      </c>
      <c r="F79" s="10" t="s">
        <v>291</v>
      </c>
      <c r="G79" s="7" t="n">
        <v>18</v>
      </c>
      <c r="H79" s="10" t="s">
        <v>461</v>
      </c>
      <c r="I79" s="10" t="s">
        <v>462</v>
      </c>
      <c r="J79" s="10" t="s">
        <v>463</v>
      </c>
      <c r="K79" s="7" t="n">
        <v>6</v>
      </c>
      <c r="L79" s="7" t="n">
        <v>104</v>
      </c>
      <c r="M79" s="7" t="n">
        <v>7</v>
      </c>
      <c r="N79" s="7" t="n">
        <v>160</v>
      </c>
      <c r="O79" s="7" t="n">
        <v>5</v>
      </c>
      <c r="P79" s="8" t="n">
        <v>17.3302636291262</v>
      </c>
      <c r="Q79" s="9" t="n">
        <v>0.0577025267128276</v>
      </c>
      <c r="R79" s="8" t="n">
        <v>11</v>
      </c>
      <c r="S79" s="12" t="n">
        <f aca="false">IF(AND(ISNUMBER(R79),R79&gt;1,P79&gt;0),R79/P79-1,"")</f>
        <v>-0.365272206158896</v>
      </c>
    </row>
    <row r="80" customFormat="false" ht="15" hidden="false" customHeight="false" outlineLevel="0" collapsed="false">
      <c r="A80" s="10" t="s">
        <v>80</v>
      </c>
      <c r="B80" s="10" t="s">
        <v>57</v>
      </c>
      <c r="C80" s="10" t="s">
        <v>81</v>
      </c>
      <c r="D80" s="10"/>
      <c r="E80" s="11" t="n">
        <v>18.5</v>
      </c>
      <c r="F80" s="10" t="s">
        <v>291</v>
      </c>
      <c r="G80" s="7" t="n">
        <v>18</v>
      </c>
      <c r="H80" s="10" t="s">
        <v>464</v>
      </c>
      <c r="I80" s="10" t="s">
        <v>465</v>
      </c>
      <c r="J80" s="10" t="s">
        <v>84</v>
      </c>
      <c r="K80" s="7" t="n">
        <v>3</v>
      </c>
      <c r="L80" s="7" t="n">
        <v>109</v>
      </c>
      <c r="M80" s="7" t="n">
        <v>8</v>
      </c>
      <c r="N80" s="7" t="n">
        <v>36</v>
      </c>
      <c r="O80" s="7" t="n">
        <v>6</v>
      </c>
      <c r="P80" s="8" t="n">
        <v>18.9186266927672</v>
      </c>
      <c r="Q80" s="9" t="n">
        <v>0.0528579593138392</v>
      </c>
      <c r="R80" s="8" t="n">
        <v>12</v>
      </c>
      <c r="S80" s="12" t="n">
        <f aca="false">IF(AND(ISNUMBER(R80),R80&gt;1,P80&gt;0),R80/P80-1,"")</f>
        <v>-0.36570448823393</v>
      </c>
    </row>
    <row r="81" customFormat="false" ht="15" hidden="false" customHeight="false" outlineLevel="0" collapsed="false">
      <c r="A81" s="10" t="s">
        <v>80</v>
      </c>
      <c r="B81" s="10" t="s">
        <v>57</v>
      </c>
      <c r="C81" s="10" t="s">
        <v>81</v>
      </c>
      <c r="D81" s="10"/>
      <c r="E81" s="11" t="n">
        <v>18.5</v>
      </c>
      <c r="F81" s="10" t="s">
        <v>291</v>
      </c>
      <c r="G81" s="7" t="n">
        <v>18</v>
      </c>
      <c r="H81" s="10" t="s">
        <v>466</v>
      </c>
      <c r="I81" s="10" t="s">
        <v>467</v>
      </c>
      <c r="J81" s="10" t="s">
        <v>468</v>
      </c>
      <c r="K81" s="7" t="n">
        <v>2</v>
      </c>
      <c r="L81" s="7" t="n">
        <v>110</v>
      </c>
      <c r="M81" s="7" t="n">
        <v>5</v>
      </c>
      <c r="N81" s="7" t="n">
        <v>210</v>
      </c>
      <c r="O81" s="7" t="n">
        <v>7</v>
      </c>
      <c r="P81" s="8" t="n">
        <v>19.0385631925158</v>
      </c>
      <c r="Q81" s="9" t="n">
        <v>0.0525249720731609</v>
      </c>
      <c r="R81" s="8" t="n">
        <v>12</v>
      </c>
      <c r="S81" s="12" t="n">
        <f aca="false">IF(AND(ISNUMBER(R81),R81&gt;1,P81&gt;0),R81/P81-1,"")</f>
        <v>-0.369700335122069</v>
      </c>
    </row>
    <row r="82" customFormat="false" ht="15" hidden="false" customHeight="false" outlineLevel="0" collapsed="false">
      <c r="A82" s="10" t="s">
        <v>80</v>
      </c>
      <c r="B82" s="10" t="s">
        <v>57</v>
      </c>
      <c r="C82" s="10" t="s">
        <v>81</v>
      </c>
      <c r="D82" s="10"/>
      <c r="E82" s="11" t="n">
        <v>18.5</v>
      </c>
      <c r="F82" s="10" t="s">
        <v>291</v>
      </c>
      <c r="G82" s="7" t="n">
        <v>18</v>
      </c>
      <c r="H82" s="10" t="s">
        <v>469</v>
      </c>
      <c r="I82" s="10" t="s">
        <v>470</v>
      </c>
      <c r="J82" s="10" t="s">
        <v>356</v>
      </c>
      <c r="K82" s="7" t="n">
        <v>12</v>
      </c>
      <c r="L82" s="7" t="n">
        <v>99</v>
      </c>
      <c r="M82" s="7" t="n">
        <v>5</v>
      </c>
      <c r="N82" s="7" t="n">
        <v>22</v>
      </c>
      <c r="O82" s="7" t="n">
        <v>8</v>
      </c>
      <c r="P82" s="8" t="n">
        <v>19.0655450625615</v>
      </c>
      <c r="Q82" s="9" t="n">
        <v>0.052450637876788</v>
      </c>
      <c r="R82" s="8" t="n">
        <v>8</v>
      </c>
      <c r="S82" s="12" t="n">
        <f aca="false">IF(AND(ISNUMBER(R82),R82&gt;1,P82&gt;0),R82/P82-1,"")</f>
        <v>-0.580394896985696</v>
      </c>
    </row>
    <row r="83" customFormat="false" ht="15" hidden="false" customHeight="false" outlineLevel="0" collapsed="false">
      <c r="A83" s="10" t="s">
        <v>80</v>
      </c>
      <c r="B83" s="10" t="s">
        <v>57</v>
      </c>
      <c r="C83" s="10" t="s">
        <v>81</v>
      </c>
      <c r="D83" s="10"/>
      <c r="E83" s="11" t="n">
        <v>18.5</v>
      </c>
      <c r="F83" s="10" t="s">
        <v>291</v>
      </c>
      <c r="G83" s="7" t="n">
        <v>18</v>
      </c>
      <c r="H83" s="10" t="s">
        <v>471</v>
      </c>
      <c r="I83" s="10" t="s">
        <v>358</v>
      </c>
      <c r="J83" s="10" t="s">
        <v>472</v>
      </c>
      <c r="K83" s="7" t="n">
        <v>17</v>
      </c>
      <c r="L83" s="7" t="n">
        <v>88</v>
      </c>
      <c r="M83" s="7" t="n">
        <v>9</v>
      </c>
      <c r="N83" s="7" t="n">
        <v>84</v>
      </c>
      <c r="O83" s="7" t="n">
        <v>9</v>
      </c>
      <c r="P83" s="8" t="n">
        <v>24.6802628873361</v>
      </c>
      <c r="Q83" s="9" t="n">
        <v>0.0405182069804094</v>
      </c>
      <c r="R83" s="8" t="n">
        <v>13</v>
      </c>
      <c r="S83" s="12" t="n">
        <f aca="false">IF(AND(ISNUMBER(R83),R83&gt;1,P83&gt;0),R83/P83-1,"")</f>
        <v>-0.473263309254678</v>
      </c>
    </row>
    <row r="84" customFormat="false" ht="15" hidden="false" customHeight="false" outlineLevel="0" collapsed="false">
      <c r="A84" s="10" t="s">
        <v>80</v>
      </c>
      <c r="B84" s="10" t="s">
        <v>57</v>
      </c>
      <c r="C84" s="10" t="s">
        <v>81</v>
      </c>
      <c r="D84" s="10"/>
      <c r="E84" s="11" t="n">
        <v>18.5</v>
      </c>
      <c r="F84" s="10" t="s">
        <v>291</v>
      </c>
      <c r="G84" s="7" t="n">
        <v>18</v>
      </c>
      <c r="H84" s="10" t="s">
        <v>473</v>
      </c>
      <c r="I84" s="10" t="s">
        <v>474</v>
      </c>
      <c r="J84" s="10" t="s">
        <v>475</v>
      </c>
      <c r="K84" s="7" t="n">
        <v>14</v>
      </c>
      <c r="L84" s="7" t="n">
        <v>96</v>
      </c>
      <c r="M84" s="7" t="n">
        <v>8</v>
      </c>
      <c r="N84" s="7" t="n">
        <v>35</v>
      </c>
      <c r="O84" s="7" t="n">
        <v>10</v>
      </c>
      <c r="P84" s="8" t="n">
        <v>27.1215666364023</v>
      </c>
      <c r="Q84" s="9" t="n">
        <v>0.0368710264199048</v>
      </c>
      <c r="R84" s="8" t="n">
        <v>13</v>
      </c>
      <c r="S84" s="12" t="n">
        <f aca="false">IF(AND(ISNUMBER(R84),R84&gt;1,P84&gt;0),R84/P84-1,"")</f>
        <v>-0.520676656541237</v>
      </c>
    </row>
    <row r="85" customFormat="false" ht="15" hidden="false" customHeight="false" outlineLevel="0" collapsed="false">
      <c r="A85" s="10" t="s">
        <v>80</v>
      </c>
      <c r="B85" s="10" t="s">
        <v>57</v>
      </c>
      <c r="C85" s="10" t="s">
        <v>81</v>
      </c>
      <c r="D85" s="10"/>
      <c r="E85" s="11" t="n">
        <v>18.5</v>
      </c>
      <c r="F85" s="10" t="s">
        <v>291</v>
      </c>
      <c r="G85" s="7" t="n">
        <v>18</v>
      </c>
      <c r="H85" s="10" t="s">
        <v>476</v>
      </c>
      <c r="I85" s="10" t="s">
        <v>477</v>
      </c>
      <c r="J85" s="10" t="s">
        <v>478</v>
      </c>
      <c r="K85" s="7" t="n">
        <v>5</v>
      </c>
      <c r="L85" s="7" t="n">
        <v>104</v>
      </c>
      <c r="M85" s="7" t="n">
        <v>8</v>
      </c>
      <c r="N85" s="7" t="n">
        <v>118</v>
      </c>
      <c r="O85" s="7" t="n">
        <v>11</v>
      </c>
      <c r="P85" s="8" t="n">
        <v>27.2251277395144</v>
      </c>
      <c r="Q85" s="9" t="n">
        <v>0.0367307734813161</v>
      </c>
      <c r="R85" s="8" t="n">
        <v>17</v>
      </c>
      <c r="S85" s="12" t="n">
        <f aca="false">IF(AND(ISNUMBER(R85),R85&gt;1,P85&gt;0),R85/P85-1,"")</f>
        <v>-0.375576850817626</v>
      </c>
    </row>
    <row r="86" customFormat="false" ht="15" hidden="false" customHeight="false" outlineLevel="0" collapsed="false">
      <c r="A86" s="10" t="s">
        <v>80</v>
      </c>
      <c r="B86" s="10" t="s">
        <v>57</v>
      </c>
      <c r="C86" s="10" t="s">
        <v>81</v>
      </c>
      <c r="D86" s="10"/>
      <c r="E86" s="11" t="n">
        <v>18.5</v>
      </c>
      <c r="F86" s="10" t="s">
        <v>291</v>
      </c>
      <c r="G86" s="7" t="n">
        <v>18</v>
      </c>
      <c r="H86" s="10" t="s">
        <v>479</v>
      </c>
      <c r="I86" s="10" t="s">
        <v>358</v>
      </c>
      <c r="J86" s="10" t="s">
        <v>460</v>
      </c>
      <c r="K86" s="7" t="n">
        <v>18</v>
      </c>
      <c r="L86" s="7" t="n">
        <v>85</v>
      </c>
      <c r="M86" s="7" t="n">
        <v>4</v>
      </c>
      <c r="N86" s="7" t="n">
        <v>1</v>
      </c>
      <c r="O86" s="7" t="n">
        <v>12</v>
      </c>
      <c r="P86" s="8" t="n">
        <v>28.2378809479375</v>
      </c>
      <c r="Q86" s="9" t="n">
        <v>0.0354134221984897</v>
      </c>
      <c r="R86" s="8" t="n">
        <v>21</v>
      </c>
      <c r="S86" s="12" t="n">
        <f aca="false">IF(AND(ISNUMBER(R86),R86&gt;1,P86&gt;0),R86/P86-1,"")</f>
        <v>-0.256318133831716</v>
      </c>
    </row>
    <row r="87" customFormat="false" ht="15" hidden="false" customHeight="false" outlineLevel="0" collapsed="false">
      <c r="A87" s="10" t="s">
        <v>80</v>
      </c>
      <c r="B87" s="10" t="s">
        <v>57</v>
      </c>
      <c r="C87" s="10" t="s">
        <v>81</v>
      </c>
      <c r="D87" s="10"/>
      <c r="E87" s="11" t="n">
        <v>18.5</v>
      </c>
      <c r="F87" s="10" t="s">
        <v>291</v>
      </c>
      <c r="G87" s="7" t="n">
        <v>18</v>
      </c>
      <c r="H87" s="10" t="s">
        <v>480</v>
      </c>
      <c r="I87" s="10" t="s">
        <v>481</v>
      </c>
      <c r="J87" s="10" t="s">
        <v>128</v>
      </c>
      <c r="K87" s="7" t="n">
        <v>13</v>
      </c>
      <c r="L87" s="7" t="n">
        <v>96</v>
      </c>
      <c r="M87" s="7" t="n">
        <v>9</v>
      </c>
      <c r="N87" s="7" t="n">
        <v>48</v>
      </c>
      <c r="O87" s="7" t="n">
        <v>13</v>
      </c>
      <c r="P87" s="8" t="n">
        <v>29.7274668382956</v>
      </c>
      <c r="Q87" s="9" t="n">
        <v>0.0336389240778422</v>
      </c>
      <c r="R87" s="8" t="n">
        <v>9</v>
      </c>
      <c r="S87" s="12" t="n">
        <f aca="false">IF(AND(ISNUMBER(R87),R87&gt;1,P87&gt;0),R87/P87-1,"")</f>
        <v>-0.69724968329942</v>
      </c>
    </row>
    <row r="88" customFormat="false" ht="15" hidden="false" customHeight="false" outlineLevel="0" collapsed="false">
      <c r="A88" s="10" t="s">
        <v>80</v>
      </c>
      <c r="B88" s="10" t="s">
        <v>57</v>
      </c>
      <c r="C88" s="10" t="s">
        <v>81</v>
      </c>
      <c r="D88" s="10"/>
      <c r="E88" s="11" t="n">
        <v>18.5</v>
      </c>
      <c r="F88" s="10" t="s">
        <v>291</v>
      </c>
      <c r="G88" s="7" t="n">
        <v>18</v>
      </c>
      <c r="H88" s="10" t="s">
        <v>482</v>
      </c>
      <c r="I88" s="10" t="s">
        <v>483</v>
      </c>
      <c r="J88" s="10" t="s">
        <v>484</v>
      </c>
      <c r="K88" s="7" t="n">
        <v>7</v>
      </c>
      <c r="L88" s="7" t="n">
        <v>102</v>
      </c>
      <c r="M88" s="7" t="n">
        <v>9</v>
      </c>
      <c r="N88" s="7" t="n">
        <v>60</v>
      </c>
      <c r="O88" s="7" t="n">
        <v>14</v>
      </c>
      <c r="P88" s="8" t="n">
        <v>39.8665948962278</v>
      </c>
      <c r="Q88" s="9" t="n">
        <v>0.0250836571972847</v>
      </c>
      <c r="R88" s="8" t="n">
        <v>34</v>
      </c>
      <c r="S88" s="12" t="n">
        <f aca="false">IF(AND(ISNUMBER(R88),R88&gt;1,P88&gt;0),R88/P88-1,"")</f>
        <v>-0.147155655292318</v>
      </c>
    </row>
    <row r="89" customFormat="false" ht="15" hidden="false" customHeight="false" outlineLevel="0" collapsed="false">
      <c r="A89" s="10" t="s">
        <v>80</v>
      </c>
      <c r="B89" s="10" t="s">
        <v>57</v>
      </c>
      <c r="C89" s="10" t="s">
        <v>81</v>
      </c>
      <c r="D89" s="10"/>
      <c r="E89" s="11" t="n">
        <v>18.5</v>
      </c>
      <c r="F89" s="10" t="s">
        <v>291</v>
      </c>
      <c r="G89" s="7" t="n">
        <v>18</v>
      </c>
      <c r="H89" s="10" t="s">
        <v>485</v>
      </c>
      <c r="I89" s="10" t="s">
        <v>486</v>
      </c>
      <c r="J89" s="10" t="s">
        <v>460</v>
      </c>
      <c r="K89" s="7" t="n">
        <v>1</v>
      </c>
      <c r="L89" s="7" t="n">
        <v>112</v>
      </c>
      <c r="M89" s="7" t="n">
        <v>7</v>
      </c>
      <c r="N89" s="7" t="n">
        <v>18</v>
      </c>
      <c r="O89" s="7" t="n">
        <v>15</v>
      </c>
      <c r="P89" s="8" t="n">
        <v>40.2486224069324</v>
      </c>
      <c r="Q89" s="9" t="n">
        <v>0.0248455708592838</v>
      </c>
      <c r="R89" s="8" t="n">
        <v>23</v>
      </c>
      <c r="S89" s="12" t="n">
        <f aca="false">IF(AND(ISNUMBER(R89),R89&gt;1,P89&gt;0),R89/P89-1,"")</f>
        <v>-0.428551870236471</v>
      </c>
    </row>
    <row r="90" customFormat="false" ht="15" hidden="false" customHeight="false" outlineLevel="0" collapsed="false">
      <c r="A90" s="10" t="s">
        <v>80</v>
      </c>
      <c r="B90" s="10" t="s">
        <v>57</v>
      </c>
      <c r="C90" s="10" t="s">
        <v>81</v>
      </c>
      <c r="D90" s="10"/>
      <c r="E90" s="11" t="n">
        <v>18.5</v>
      </c>
      <c r="F90" s="10" t="s">
        <v>291</v>
      </c>
      <c r="G90" s="7" t="n">
        <v>18</v>
      </c>
      <c r="H90" s="10" t="s">
        <v>487</v>
      </c>
      <c r="I90" s="10" t="s">
        <v>488</v>
      </c>
      <c r="J90" s="10" t="s">
        <v>489</v>
      </c>
      <c r="K90" s="7" t="n">
        <v>8</v>
      </c>
      <c r="L90" s="7" t="n">
        <v>100</v>
      </c>
      <c r="M90" s="7" t="n">
        <v>7</v>
      </c>
      <c r="N90" s="7" t="n">
        <v>7</v>
      </c>
      <c r="O90" s="7" t="n">
        <v>16</v>
      </c>
      <c r="P90" s="8" t="n">
        <v>41.5610472784786</v>
      </c>
      <c r="Q90" s="9" t="n">
        <v>0.024060991372511</v>
      </c>
      <c r="R90" s="8" t="n">
        <v>17</v>
      </c>
      <c r="S90" s="12" t="n">
        <f aca="false">IF(AND(ISNUMBER(R90),R90&gt;1,P90&gt;0),R90/P90-1,"")</f>
        <v>-0.590963146667311</v>
      </c>
    </row>
    <row r="91" customFormat="false" ht="15" hidden="false" customHeight="false" outlineLevel="0" collapsed="false">
      <c r="A91" s="10" t="s">
        <v>80</v>
      </c>
      <c r="B91" s="10" t="s">
        <v>57</v>
      </c>
      <c r="C91" s="10" t="s">
        <v>81</v>
      </c>
      <c r="D91" s="10"/>
      <c r="E91" s="11" t="n">
        <v>18.5</v>
      </c>
      <c r="F91" s="10" t="s">
        <v>291</v>
      </c>
      <c r="G91" s="7" t="n">
        <v>18</v>
      </c>
      <c r="H91" s="10" t="s">
        <v>490</v>
      </c>
      <c r="I91" s="10" t="s">
        <v>491</v>
      </c>
      <c r="J91" s="10" t="s">
        <v>353</v>
      </c>
      <c r="K91" s="7" t="n">
        <v>11</v>
      </c>
      <c r="L91" s="7" t="n">
        <v>99</v>
      </c>
      <c r="M91" s="7" t="n">
        <v>6</v>
      </c>
      <c r="N91" s="7" t="n">
        <v>435</v>
      </c>
      <c r="O91" s="7" t="n">
        <v>17</v>
      </c>
      <c r="P91" s="8" t="n">
        <v>56.6743306867199</v>
      </c>
      <c r="Q91" s="9" t="n">
        <v>0.0176446724272356</v>
      </c>
      <c r="R91" s="8" t="n">
        <v>29</v>
      </c>
      <c r="S91" s="12" t="n">
        <f aca="false">IF(AND(ISNUMBER(R91),R91&gt;1,P91&gt;0),R91/P91-1,"")</f>
        <v>-0.488304499610167</v>
      </c>
    </row>
    <row r="92" customFormat="false" ht="15" hidden="false" customHeight="false" outlineLevel="0" collapsed="false">
      <c r="A92" s="10" t="s">
        <v>80</v>
      </c>
      <c r="B92" s="10" t="s">
        <v>57</v>
      </c>
      <c r="C92" s="10" t="s">
        <v>81</v>
      </c>
      <c r="D92" s="10"/>
      <c r="E92" s="11" t="n">
        <v>18.5</v>
      </c>
      <c r="F92" s="10" t="s">
        <v>291</v>
      </c>
      <c r="G92" s="7" t="n">
        <v>18</v>
      </c>
      <c r="H92" s="10" t="s">
        <v>492</v>
      </c>
      <c r="I92" s="10" t="s">
        <v>493</v>
      </c>
      <c r="J92" s="10" t="s">
        <v>494</v>
      </c>
      <c r="K92" s="7" t="n">
        <v>9</v>
      </c>
      <c r="L92" s="7" t="n">
        <v>100</v>
      </c>
      <c r="M92" s="7" t="n">
        <v>9</v>
      </c>
      <c r="N92" s="7" t="n">
        <v>18</v>
      </c>
      <c r="O92" s="7" t="n">
        <v>18</v>
      </c>
      <c r="P92" s="8" t="n">
        <v>110.934537612347</v>
      </c>
      <c r="Q92" s="9" t="n">
        <v>0.0090143252184854</v>
      </c>
      <c r="R92" s="8" t="n">
        <v>67</v>
      </c>
      <c r="S92" s="12" t="n">
        <f aca="false">IF(AND(ISNUMBER(R92),R92&gt;1,P92&gt;0),R92/P92-1,"")</f>
        <v>-0.396040210361475</v>
      </c>
    </row>
    <row r="93" customFormat="false" ht="15" hidden="false" customHeight="false" outlineLevel="0" collapsed="false">
      <c r="A93" s="10" t="s">
        <v>86</v>
      </c>
      <c r="B93" s="10" t="s">
        <v>44</v>
      </c>
      <c r="C93" s="10" t="s">
        <v>87</v>
      </c>
      <c r="D93" s="10"/>
      <c r="E93" s="11" t="n">
        <v>7</v>
      </c>
      <c r="F93" s="10" t="s">
        <v>291</v>
      </c>
      <c r="G93" s="7" t="n">
        <v>9</v>
      </c>
      <c r="H93" s="10" t="s">
        <v>88</v>
      </c>
      <c r="I93" s="10" t="s">
        <v>89</v>
      </c>
      <c r="J93" s="10" t="s">
        <v>90</v>
      </c>
      <c r="K93" s="7" t="n">
        <v>4</v>
      </c>
      <c r="L93" s="7" t="n">
        <v>101</v>
      </c>
      <c r="M93" s="7" t="n">
        <v>2</v>
      </c>
      <c r="N93" s="7" t="n">
        <v>26</v>
      </c>
      <c r="O93" s="7" t="n">
        <v>1</v>
      </c>
      <c r="P93" s="8" t="n">
        <v>3.94469773775564</v>
      </c>
      <c r="Q93" s="9" t="n">
        <v>0.253504847894621</v>
      </c>
      <c r="R93" s="8" t="n">
        <v>5</v>
      </c>
      <c r="S93" s="12" t="n">
        <f aca="false">IF(AND(ISNUMBER(R93),R93&gt;1,P93&gt;0),R93/P93-1,"")</f>
        <v>0.267524239473106</v>
      </c>
    </row>
    <row r="94" customFormat="false" ht="15" hidden="false" customHeight="false" outlineLevel="0" collapsed="false">
      <c r="A94" s="10" t="s">
        <v>86</v>
      </c>
      <c r="B94" s="10" t="s">
        <v>44</v>
      </c>
      <c r="C94" s="10" t="s">
        <v>87</v>
      </c>
      <c r="D94" s="10"/>
      <c r="E94" s="11" t="n">
        <v>7</v>
      </c>
      <c r="F94" s="10" t="s">
        <v>291</v>
      </c>
      <c r="G94" s="7" t="n">
        <v>9</v>
      </c>
      <c r="H94" s="10" t="s">
        <v>91</v>
      </c>
      <c r="I94" s="10" t="s">
        <v>259</v>
      </c>
      <c r="J94" s="10" t="s">
        <v>318</v>
      </c>
      <c r="K94" s="7" t="n">
        <v>7</v>
      </c>
      <c r="L94" s="7" t="n">
        <v>88</v>
      </c>
      <c r="M94" s="7" t="n">
        <v>2</v>
      </c>
      <c r="N94" s="7" t="n">
        <v>36</v>
      </c>
      <c r="O94" s="7" t="n">
        <v>2</v>
      </c>
      <c r="P94" s="8" t="n">
        <v>4.40548443421583</v>
      </c>
      <c r="Q94" s="9" t="n">
        <v>0.226989793048264</v>
      </c>
      <c r="R94" s="8" t="n">
        <v>2.75</v>
      </c>
      <c r="S94" s="12" t="n">
        <f aca="false">IF(AND(ISNUMBER(R94),R94&gt;1,P94&gt;0),R94/P94-1,"")</f>
        <v>-0.375778069117274</v>
      </c>
    </row>
    <row r="95" customFormat="false" ht="15" hidden="false" customHeight="false" outlineLevel="0" collapsed="false">
      <c r="A95" s="10" t="s">
        <v>86</v>
      </c>
      <c r="B95" s="10" t="s">
        <v>44</v>
      </c>
      <c r="C95" s="10" t="s">
        <v>87</v>
      </c>
      <c r="D95" s="10"/>
      <c r="E95" s="11" t="n">
        <v>7</v>
      </c>
      <c r="F95" s="10" t="s">
        <v>291</v>
      </c>
      <c r="G95" s="7" t="n">
        <v>9</v>
      </c>
      <c r="H95" s="10" t="s">
        <v>495</v>
      </c>
      <c r="I95" s="10" t="s">
        <v>496</v>
      </c>
      <c r="J95" s="10" t="s">
        <v>497</v>
      </c>
      <c r="K95" s="7" t="n">
        <v>8</v>
      </c>
      <c r="L95" s="7" t="n">
        <v>102</v>
      </c>
      <c r="M95" s="7" t="n">
        <v>2</v>
      </c>
      <c r="N95" s="7" t="n">
        <v>48</v>
      </c>
      <c r="O95" s="7" t="n">
        <v>3</v>
      </c>
      <c r="P95" s="8" t="n">
        <v>6.94099790647129</v>
      </c>
      <c r="Q95" s="9" t="n">
        <v>0.144071502898405</v>
      </c>
      <c r="R95" s="8" t="n">
        <v>6</v>
      </c>
      <c r="S95" s="12" t="n">
        <f aca="false">IF(AND(ISNUMBER(R95),R95&gt;1,P95&gt;0),R95/P95-1,"")</f>
        <v>-0.135570982609571</v>
      </c>
    </row>
    <row r="96" customFormat="false" ht="15" hidden="false" customHeight="false" outlineLevel="0" collapsed="false">
      <c r="A96" s="10" t="s">
        <v>86</v>
      </c>
      <c r="B96" s="10" t="s">
        <v>44</v>
      </c>
      <c r="C96" s="10" t="s">
        <v>87</v>
      </c>
      <c r="D96" s="10"/>
      <c r="E96" s="11" t="n">
        <v>7</v>
      </c>
      <c r="F96" s="10" t="s">
        <v>291</v>
      </c>
      <c r="G96" s="7" t="n">
        <v>9</v>
      </c>
      <c r="H96" s="10" t="s">
        <v>498</v>
      </c>
      <c r="I96" s="10" t="s">
        <v>111</v>
      </c>
      <c r="J96" s="10" t="s">
        <v>399</v>
      </c>
      <c r="K96" s="7" t="n">
        <v>6</v>
      </c>
      <c r="L96" s="7" t="n">
        <v>85</v>
      </c>
      <c r="M96" s="7" t="n">
        <v>2</v>
      </c>
      <c r="N96" s="7" t="n">
        <v>22</v>
      </c>
      <c r="O96" s="7" t="n">
        <v>4</v>
      </c>
      <c r="P96" s="8" t="n">
        <v>8.15501271442708</v>
      </c>
      <c r="Q96" s="9" t="n">
        <v>0.122623965776398</v>
      </c>
      <c r="R96" s="8" t="n">
        <v>8</v>
      </c>
      <c r="S96" s="12" t="n">
        <f aca="false">IF(AND(ISNUMBER(R96),R96&gt;1,P96&gt;0),R96/P96-1,"")</f>
        <v>-0.0190082737888126</v>
      </c>
    </row>
    <row r="97" customFormat="false" ht="15" hidden="false" customHeight="false" outlineLevel="0" collapsed="false">
      <c r="A97" s="10" t="s">
        <v>86</v>
      </c>
      <c r="B97" s="10" t="s">
        <v>44</v>
      </c>
      <c r="C97" s="10" t="s">
        <v>87</v>
      </c>
      <c r="D97" s="10"/>
      <c r="E97" s="11" t="n">
        <v>7</v>
      </c>
      <c r="F97" s="10" t="s">
        <v>291</v>
      </c>
      <c r="G97" s="7" t="n">
        <v>9</v>
      </c>
      <c r="H97" s="10" t="s">
        <v>499</v>
      </c>
      <c r="I97" s="10" t="s">
        <v>335</v>
      </c>
      <c r="J97" s="10" t="s">
        <v>500</v>
      </c>
      <c r="K97" s="7" t="n">
        <v>2</v>
      </c>
      <c r="L97" s="7" t="n">
        <v>94</v>
      </c>
      <c r="M97" s="7" t="n">
        <v>2</v>
      </c>
      <c r="N97" s="7" t="n">
        <v>15</v>
      </c>
      <c r="O97" s="7" t="n">
        <v>5</v>
      </c>
      <c r="P97" s="8" t="n">
        <v>9.59273057845181</v>
      </c>
      <c r="Q97" s="9" t="n">
        <v>0.104245604713042</v>
      </c>
      <c r="R97" s="8" t="n">
        <v>10</v>
      </c>
      <c r="S97" s="12" t="n">
        <f aca="false">IF(AND(ISNUMBER(R97),R97&gt;1,P97&gt;0),R97/P97-1,"")</f>
        <v>0.0424560471304221</v>
      </c>
    </row>
    <row r="98" customFormat="false" ht="15" hidden="false" customHeight="false" outlineLevel="0" collapsed="false">
      <c r="A98" s="10" t="s">
        <v>86</v>
      </c>
      <c r="B98" s="10" t="s">
        <v>44</v>
      </c>
      <c r="C98" s="10" t="s">
        <v>87</v>
      </c>
      <c r="D98" s="10"/>
      <c r="E98" s="11" t="n">
        <v>7</v>
      </c>
      <c r="F98" s="10" t="s">
        <v>291</v>
      </c>
      <c r="G98" s="7" t="n">
        <v>9</v>
      </c>
      <c r="H98" s="10" t="s">
        <v>501</v>
      </c>
      <c r="I98" s="10" t="s">
        <v>151</v>
      </c>
      <c r="J98" s="10" t="s">
        <v>502</v>
      </c>
      <c r="K98" s="7" t="n">
        <v>1</v>
      </c>
      <c r="L98" s="7" t="n">
        <v>87</v>
      </c>
      <c r="M98" s="7" t="n">
        <v>2</v>
      </c>
      <c r="N98" s="7" t="n">
        <v>99</v>
      </c>
      <c r="O98" s="7" t="n">
        <v>6</v>
      </c>
      <c r="P98" s="8" t="n">
        <v>18.1476530267056</v>
      </c>
      <c r="Q98" s="9" t="n">
        <v>0.0551035441623458</v>
      </c>
      <c r="R98" s="8" t="n">
        <v>26</v>
      </c>
      <c r="S98" s="12" t="n">
        <f aca="false">IF(AND(ISNUMBER(R98),R98&gt;1,P98&gt;0),R98/P98-1,"")</f>
        <v>0.432692148220993</v>
      </c>
    </row>
    <row r="99" customFormat="false" ht="15" hidden="false" customHeight="false" outlineLevel="0" collapsed="false">
      <c r="A99" s="10" t="s">
        <v>86</v>
      </c>
      <c r="B99" s="10" t="s">
        <v>44</v>
      </c>
      <c r="C99" s="10" t="s">
        <v>87</v>
      </c>
      <c r="D99" s="10"/>
      <c r="E99" s="11" t="n">
        <v>7</v>
      </c>
      <c r="F99" s="10" t="s">
        <v>291</v>
      </c>
      <c r="G99" s="7" t="n">
        <v>9</v>
      </c>
      <c r="H99" s="10" t="s">
        <v>503</v>
      </c>
      <c r="I99" s="10" t="s">
        <v>332</v>
      </c>
      <c r="J99" s="10" t="s">
        <v>321</v>
      </c>
      <c r="K99" s="7" t="n">
        <v>3</v>
      </c>
      <c r="L99" s="7" t="n">
        <v>86</v>
      </c>
      <c r="M99" s="7" t="n">
        <v>2</v>
      </c>
      <c r="N99" s="7" t="n">
        <v>20</v>
      </c>
      <c r="O99" s="7" t="n">
        <v>7</v>
      </c>
      <c r="P99" s="8" t="n">
        <v>23.5950325298695</v>
      </c>
      <c r="Q99" s="9" t="n">
        <v>0.0423818021328887</v>
      </c>
      <c r="R99" s="8" t="n">
        <v>9.5</v>
      </c>
      <c r="S99" s="12" t="n">
        <f aca="false">IF(AND(ISNUMBER(R99),R99&gt;1,P99&gt;0),R99/P99-1,"")</f>
        <v>-0.597372879737557</v>
      </c>
    </row>
    <row r="100" customFormat="false" ht="15" hidden="false" customHeight="false" outlineLevel="0" collapsed="false">
      <c r="A100" s="10" t="s">
        <v>86</v>
      </c>
      <c r="B100" s="10" t="s">
        <v>44</v>
      </c>
      <c r="C100" s="10" t="s">
        <v>87</v>
      </c>
      <c r="D100" s="10"/>
      <c r="E100" s="11" t="n">
        <v>7</v>
      </c>
      <c r="F100" s="10" t="s">
        <v>291</v>
      </c>
      <c r="G100" s="7" t="n">
        <v>9</v>
      </c>
      <c r="H100" s="10" t="s">
        <v>504</v>
      </c>
      <c r="I100" s="10" t="s">
        <v>505</v>
      </c>
      <c r="J100" s="10" t="s">
        <v>506</v>
      </c>
      <c r="K100" s="7" t="n">
        <v>9</v>
      </c>
      <c r="L100" s="7" t="n">
        <v>94</v>
      </c>
      <c r="M100" s="7" t="n">
        <v>2</v>
      </c>
      <c r="N100" s="7" t="n">
        <v>6</v>
      </c>
      <c r="O100" s="7" t="n">
        <v>8</v>
      </c>
      <c r="P100" s="8" t="n">
        <v>30.1070669149177</v>
      </c>
      <c r="Q100" s="9" t="n">
        <v>0.0332147931522519</v>
      </c>
      <c r="R100" s="8" t="n">
        <v>23</v>
      </c>
      <c r="S100" s="12" t="n">
        <f aca="false">IF(AND(ISNUMBER(R100),R100&gt;1,P100&gt;0),R100/P100-1,"")</f>
        <v>-0.236059757498205</v>
      </c>
    </row>
    <row r="101" customFormat="false" ht="15" hidden="false" customHeight="false" outlineLevel="0" collapsed="false">
      <c r="A101" s="10" t="s">
        <v>86</v>
      </c>
      <c r="B101" s="10" t="s">
        <v>44</v>
      </c>
      <c r="C101" s="10" t="s">
        <v>87</v>
      </c>
      <c r="D101" s="10"/>
      <c r="E101" s="11" t="n">
        <v>7</v>
      </c>
      <c r="F101" s="10" t="s">
        <v>291</v>
      </c>
      <c r="G101" s="7" t="n">
        <v>9</v>
      </c>
      <c r="H101" s="10" t="s">
        <v>507</v>
      </c>
      <c r="I101" s="10" t="s">
        <v>323</v>
      </c>
      <c r="J101" s="10" t="s">
        <v>266</v>
      </c>
      <c r="K101" s="7" t="n">
        <v>10</v>
      </c>
      <c r="L101" s="7" t="n">
        <v>79</v>
      </c>
      <c r="M101" s="7" t="n">
        <v>2</v>
      </c>
      <c r="N101" s="7" t="n">
        <v>26</v>
      </c>
      <c r="O101" s="7" t="n">
        <v>9</v>
      </c>
      <c r="P101" s="8" t="n">
        <v>55.9780460585712</v>
      </c>
      <c r="Q101" s="9" t="n">
        <v>0.0178641462217826</v>
      </c>
      <c r="R101" s="8" t="n">
        <v>41</v>
      </c>
      <c r="S101" s="12" t="n">
        <f aca="false">IF(AND(ISNUMBER(R101),R101&gt;1,P101&gt;0),R101/P101-1,"")</f>
        <v>-0.267570004906911</v>
      </c>
    </row>
    <row r="102" customFormat="false" ht="15" hidden="false" customHeight="false" outlineLevel="0" collapsed="false">
      <c r="A102" s="10" t="s">
        <v>92</v>
      </c>
      <c r="B102" s="10" t="s">
        <v>70</v>
      </c>
      <c r="C102" s="10" t="s">
        <v>93</v>
      </c>
      <c r="D102" s="10" t="s">
        <v>508</v>
      </c>
      <c r="E102" s="11" t="n">
        <v>8</v>
      </c>
      <c r="F102" s="10" t="s">
        <v>408</v>
      </c>
      <c r="G102" s="7" t="n">
        <v>7</v>
      </c>
      <c r="H102" s="10" t="s">
        <v>94</v>
      </c>
      <c r="I102" s="10" t="s">
        <v>95</v>
      </c>
      <c r="J102" s="10" t="s">
        <v>96</v>
      </c>
      <c r="K102" s="7" t="n">
        <v>2</v>
      </c>
      <c r="L102" s="7" t="n">
        <v>82</v>
      </c>
      <c r="M102" s="7" t="n">
        <v>2</v>
      </c>
      <c r="N102" s="7" t="n">
        <v>27</v>
      </c>
      <c r="O102" s="7" t="n">
        <v>1</v>
      </c>
      <c r="P102" s="8" t="n">
        <v>5.02516967021025</v>
      </c>
      <c r="Q102" s="9" t="n">
        <v>0.19899825590529</v>
      </c>
      <c r="R102" s="8" t="n">
        <v>3.25</v>
      </c>
      <c r="S102" s="12" t="n">
        <f aca="false">IF(AND(ISNUMBER(R102),R102&gt;1,P102&gt;0),R102/P102-1,"")</f>
        <v>-0.353255668307809</v>
      </c>
    </row>
    <row r="103" customFormat="false" ht="15" hidden="false" customHeight="false" outlineLevel="0" collapsed="false">
      <c r="A103" s="10" t="s">
        <v>92</v>
      </c>
      <c r="B103" s="10" t="s">
        <v>70</v>
      </c>
      <c r="C103" s="10" t="s">
        <v>93</v>
      </c>
      <c r="D103" s="10" t="s">
        <v>508</v>
      </c>
      <c r="E103" s="11" t="n">
        <v>8</v>
      </c>
      <c r="F103" s="10" t="s">
        <v>408</v>
      </c>
      <c r="G103" s="7" t="n">
        <v>7</v>
      </c>
      <c r="H103" s="10" t="s">
        <v>97</v>
      </c>
      <c r="I103" s="10" t="s">
        <v>509</v>
      </c>
      <c r="J103" s="10" t="s">
        <v>510</v>
      </c>
      <c r="K103" s="7" t="n">
        <v>1</v>
      </c>
      <c r="L103" s="7" t="n">
        <v>81</v>
      </c>
      <c r="M103" s="7" t="n">
        <v>2</v>
      </c>
      <c r="N103" s="7" t="n">
        <v>36</v>
      </c>
      <c r="O103" s="7" t="n">
        <v>2</v>
      </c>
      <c r="P103" s="8" t="n">
        <v>5.76463799694634</v>
      </c>
      <c r="Q103" s="9" t="n">
        <v>0.173471430561594</v>
      </c>
      <c r="R103" s="8" t="n">
        <v>4.33333333333333</v>
      </c>
      <c r="S103" s="12" t="n">
        <f aca="false">IF(AND(ISNUMBER(R103),R103&gt;1,P103&gt;0),R103/P103-1,"")</f>
        <v>-0.248290467566428</v>
      </c>
    </row>
    <row r="104" customFormat="false" ht="15" hidden="false" customHeight="false" outlineLevel="0" collapsed="false">
      <c r="A104" s="10" t="s">
        <v>92</v>
      </c>
      <c r="B104" s="10" t="s">
        <v>70</v>
      </c>
      <c r="C104" s="10" t="s">
        <v>93</v>
      </c>
      <c r="D104" s="10" t="s">
        <v>508</v>
      </c>
      <c r="E104" s="11" t="n">
        <v>8</v>
      </c>
      <c r="F104" s="10" t="s">
        <v>408</v>
      </c>
      <c r="G104" s="7" t="n">
        <v>7</v>
      </c>
      <c r="H104" s="10" t="s">
        <v>511</v>
      </c>
      <c r="I104" s="10" t="s">
        <v>157</v>
      </c>
      <c r="J104" s="10" t="s">
        <v>90</v>
      </c>
      <c r="K104" s="7" t="n">
        <v>4</v>
      </c>
      <c r="L104" s="7" t="n">
        <v>76</v>
      </c>
      <c r="M104" s="7" t="n">
        <v>2</v>
      </c>
      <c r="N104" s="7" t="n">
        <v>21</v>
      </c>
      <c r="O104" s="7" t="n">
        <v>3</v>
      </c>
      <c r="P104" s="8" t="n">
        <v>5.99440575162902</v>
      </c>
      <c r="Q104" s="9" t="n">
        <v>0.16682220747707</v>
      </c>
      <c r="R104" s="8" t="n">
        <v>7.5</v>
      </c>
      <c r="S104" s="12" t="n">
        <f aca="false">IF(AND(ISNUMBER(R104),R104&gt;1,P104&gt;0),R104/P104-1,"")</f>
        <v>0.251166556078027</v>
      </c>
    </row>
    <row r="105" customFormat="false" ht="15" hidden="false" customHeight="false" outlineLevel="0" collapsed="false">
      <c r="A105" s="10" t="s">
        <v>92</v>
      </c>
      <c r="B105" s="10" t="s">
        <v>70</v>
      </c>
      <c r="C105" s="10" t="s">
        <v>93</v>
      </c>
      <c r="D105" s="10" t="s">
        <v>508</v>
      </c>
      <c r="E105" s="11" t="n">
        <v>8</v>
      </c>
      <c r="F105" s="10" t="s">
        <v>408</v>
      </c>
      <c r="G105" s="7" t="n">
        <v>7</v>
      </c>
      <c r="H105" s="10" t="s">
        <v>512</v>
      </c>
      <c r="I105" s="10" t="s">
        <v>513</v>
      </c>
      <c r="J105" s="10" t="s">
        <v>514</v>
      </c>
      <c r="K105" s="7" t="n">
        <v>5</v>
      </c>
      <c r="L105" s="7" t="n">
        <v>81</v>
      </c>
      <c r="M105" s="7" t="n">
        <v>2</v>
      </c>
      <c r="N105" s="7" t="n">
        <v>10</v>
      </c>
      <c r="O105" s="7" t="n">
        <v>4</v>
      </c>
      <c r="P105" s="8" t="n">
        <v>6.41378344486007</v>
      </c>
      <c r="Q105" s="9" t="n">
        <v>0.155914213287227</v>
      </c>
      <c r="R105" s="8" t="n">
        <v>3.75</v>
      </c>
      <c r="S105" s="12" t="n">
        <f aca="false">IF(AND(ISNUMBER(R105),R105&gt;1,P105&gt;0),R105/P105-1,"")</f>
        <v>-0.415321700172898</v>
      </c>
    </row>
    <row r="106" customFormat="false" ht="15" hidden="false" customHeight="false" outlineLevel="0" collapsed="false">
      <c r="A106" s="10" t="s">
        <v>92</v>
      </c>
      <c r="B106" s="10" t="s">
        <v>70</v>
      </c>
      <c r="C106" s="10" t="s">
        <v>93</v>
      </c>
      <c r="D106" s="10" t="s">
        <v>508</v>
      </c>
      <c r="E106" s="11" t="n">
        <v>8</v>
      </c>
      <c r="F106" s="10" t="s">
        <v>408</v>
      </c>
      <c r="G106" s="7" t="n">
        <v>7</v>
      </c>
      <c r="H106" s="10" t="s">
        <v>515</v>
      </c>
      <c r="I106" s="10" t="s">
        <v>516</v>
      </c>
      <c r="J106" s="10" t="s">
        <v>418</v>
      </c>
      <c r="K106" s="7" t="n">
        <v>3</v>
      </c>
      <c r="L106" s="7" t="n">
        <v>77</v>
      </c>
      <c r="M106" s="7" t="n">
        <v>2</v>
      </c>
      <c r="N106" s="7" t="n">
        <v>15</v>
      </c>
      <c r="O106" s="7" t="n">
        <v>5</v>
      </c>
      <c r="P106" s="8" t="n">
        <v>7.03450027905301</v>
      </c>
      <c r="Q106" s="9" t="n">
        <v>0.142156508683033</v>
      </c>
      <c r="R106" s="8" t="n">
        <v>6</v>
      </c>
      <c r="S106" s="12" t="n">
        <f aca="false">IF(AND(ISNUMBER(R106),R106&gt;1,P106&gt;0),R106/P106-1,"")</f>
        <v>-0.147060947901799</v>
      </c>
    </row>
    <row r="107" customFormat="false" ht="15" hidden="false" customHeight="false" outlineLevel="0" collapsed="false">
      <c r="A107" s="10" t="s">
        <v>92</v>
      </c>
      <c r="B107" s="10" t="s">
        <v>70</v>
      </c>
      <c r="C107" s="10" t="s">
        <v>93</v>
      </c>
      <c r="D107" s="10" t="s">
        <v>508</v>
      </c>
      <c r="E107" s="11" t="n">
        <v>8</v>
      </c>
      <c r="F107" s="10" t="s">
        <v>408</v>
      </c>
      <c r="G107" s="7" t="n">
        <v>7</v>
      </c>
      <c r="H107" s="10" t="s">
        <v>517</v>
      </c>
      <c r="I107" s="10" t="s">
        <v>518</v>
      </c>
      <c r="J107" s="10" t="s">
        <v>519</v>
      </c>
      <c r="K107" s="7" t="n">
        <v>7</v>
      </c>
      <c r="L107" s="7" t="n">
        <v>66</v>
      </c>
      <c r="M107" s="7" t="n">
        <v>2</v>
      </c>
      <c r="N107" s="7" t="n">
        <v>27</v>
      </c>
      <c r="O107" s="7" t="n">
        <v>6</v>
      </c>
      <c r="P107" s="8" t="n">
        <v>8.24165157911528</v>
      </c>
      <c r="Q107" s="9" t="n">
        <v>0.121334903617382</v>
      </c>
      <c r="R107" s="8" t="n">
        <v>17</v>
      </c>
      <c r="S107" s="12" t="n">
        <f aca="false">IF(AND(ISNUMBER(R107),R107&gt;1,P107&gt;0),R107/P107-1,"")</f>
        <v>1.0626933614955</v>
      </c>
    </row>
    <row r="108" customFormat="false" ht="15" hidden="false" customHeight="false" outlineLevel="0" collapsed="false">
      <c r="A108" s="10" t="s">
        <v>92</v>
      </c>
      <c r="B108" s="10" t="s">
        <v>70</v>
      </c>
      <c r="C108" s="10" t="s">
        <v>93</v>
      </c>
      <c r="D108" s="10" t="s">
        <v>508</v>
      </c>
      <c r="E108" s="11" t="n">
        <v>8</v>
      </c>
      <c r="F108" s="10" t="s">
        <v>408</v>
      </c>
      <c r="G108" s="7" t="n">
        <v>7</v>
      </c>
      <c r="H108" s="10" t="s">
        <v>520</v>
      </c>
      <c r="I108" s="10" t="s">
        <v>521</v>
      </c>
      <c r="J108" s="10" t="s">
        <v>522</v>
      </c>
      <c r="K108" s="7" t="n">
        <v>6</v>
      </c>
      <c r="L108" s="7" t="n">
        <v>68</v>
      </c>
      <c r="M108" s="7" t="n">
        <v>2</v>
      </c>
      <c r="N108" s="7" t="n">
        <v>44</v>
      </c>
      <c r="O108" s="7" t="n">
        <v>7</v>
      </c>
      <c r="P108" s="8" t="n">
        <v>24.2116209162064</v>
      </c>
      <c r="Q108" s="9" t="n">
        <v>0.0413024804684033</v>
      </c>
      <c r="R108" s="8" t="n">
        <v>34</v>
      </c>
      <c r="S108" s="12" t="n">
        <f aca="false">IF(AND(ISNUMBER(R108),R108&gt;1,P108&gt;0),R108/P108-1,"")</f>
        <v>0.404284335925712</v>
      </c>
    </row>
    <row r="109" customFormat="false" ht="15" hidden="false" customHeight="false" outlineLevel="0" collapsed="false">
      <c r="A109" s="10" t="s">
        <v>98</v>
      </c>
      <c r="B109" s="10" t="s">
        <v>37</v>
      </c>
      <c r="C109" s="10" t="s">
        <v>99</v>
      </c>
      <c r="D109" s="10" t="s">
        <v>431</v>
      </c>
      <c r="E109" s="11" t="n">
        <v>20</v>
      </c>
      <c r="F109" s="10" t="s">
        <v>291</v>
      </c>
      <c r="G109" s="7" t="n">
        <v>16</v>
      </c>
      <c r="H109" s="10" t="s">
        <v>100</v>
      </c>
      <c r="I109" s="10" t="s">
        <v>53</v>
      </c>
      <c r="J109" s="10" t="s">
        <v>54</v>
      </c>
      <c r="K109" s="7" t="n">
        <v>1</v>
      </c>
      <c r="L109" s="7" t="n">
        <v>124</v>
      </c>
      <c r="M109" s="7" t="n">
        <v>5</v>
      </c>
      <c r="N109" s="7" t="n">
        <v>37</v>
      </c>
      <c r="O109" s="7" t="n">
        <v>1</v>
      </c>
      <c r="P109" s="8" t="n">
        <v>5.32337520976979</v>
      </c>
      <c r="Q109" s="9" t="n">
        <v>0.187850745174741</v>
      </c>
      <c r="R109" s="8" t="n">
        <v>5.5</v>
      </c>
      <c r="S109" s="12" t="n">
        <f aca="false">IF(AND(ISNUMBER(R109),R109&gt;1,P109&gt;0),R109/P109-1,"")</f>
        <v>0.0331790984610765</v>
      </c>
    </row>
    <row r="110" customFormat="false" ht="15" hidden="false" customHeight="false" outlineLevel="0" collapsed="false">
      <c r="A110" s="10" t="s">
        <v>98</v>
      </c>
      <c r="B110" s="10" t="s">
        <v>37</v>
      </c>
      <c r="C110" s="10" t="s">
        <v>99</v>
      </c>
      <c r="D110" s="10" t="s">
        <v>431</v>
      </c>
      <c r="E110" s="11" t="n">
        <v>20</v>
      </c>
      <c r="F110" s="10" t="s">
        <v>291</v>
      </c>
      <c r="G110" s="7" t="n">
        <v>16</v>
      </c>
      <c r="H110" s="10" t="s">
        <v>101</v>
      </c>
      <c r="I110" s="10" t="s">
        <v>121</v>
      </c>
      <c r="J110" s="10" t="s">
        <v>122</v>
      </c>
      <c r="K110" s="7" t="n">
        <v>8</v>
      </c>
      <c r="L110" s="7" t="n">
        <v>114</v>
      </c>
      <c r="M110" s="7" t="n">
        <v>4</v>
      </c>
      <c r="N110" s="7" t="n">
        <v>33</v>
      </c>
      <c r="O110" s="7" t="n">
        <v>2</v>
      </c>
      <c r="P110" s="8" t="n">
        <v>5.39357548975352</v>
      </c>
      <c r="Q110" s="9" t="n">
        <v>0.185405766897999</v>
      </c>
      <c r="R110" s="8" t="n">
        <v>4.33333333333333</v>
      </c>
      <c r="S110" s="12" t="n">
        <f aca="false">IF(AND(ISNUMBER(R110),R110&gt;1,P110&gt;0),R110/P110-1,"")</f>
        <v>-0.196575010108673</v>
      </c>
    </row>
    <row r="111" customFormat="false" ht="15" hidden="false" customHeight="false" outlineLevel="0" collapsed="false">
      <c r="A111" s="10" t="s">
        <v>98</v>
      </c>
      <c r="B111" s="10" t="s">
        <v>37</v>
      </c>
      <c r="C111" s="10" t="s">
        <v>99</v>
      </c>
      <c r="D111" s="10" t="s">
        <v>431</v>
      </c>
      <c r="E111" s="11" t="n">
        <v>20</v>
      </c>
      <c r="F111" s="10" t="s">
        <v>291</v>
      </c>
      <c r="G111" s="7" t="n">
        <v>16</v>
      </c>
      <c r="H111" s="10" t="s">
        <v>523</v>
      </c>
      <c r="I111" s="10" t="s">
        <v>524</v>
      </c>
      <c r="J111" s="10" t="s">
        <v>54</v>
      </c>
      <c r="K111" s="7" t="n">
        <v>2</v>
      </c>
      <c r="L111" s="7" t="n">
        <v>120</v>
      </c>
      <c r="M111" s="7" t="n">
        <v>5</v>
      </c>
      <c r="N111" s="7" t="n">
        <v>33</v>
      </c>
      <c r="O111" s="7" t="n">
        <v>3</v>
      </c>
      <c r="P111" s="8" t="n">
        <v>8.79010098914782</v>
      </c>
      <c r="Q111" s="9" t="n">
        <v>0.113764335726585</v>
      </c>
      <c r="R111" s="8" t="n">
        <v>12</v>
      </c>
      <c r="S111" s="12" t="n">
        <f aca="false">IF(AND(ISNUMBER(R111),R111&gt;1,P111&gt;0),R111/P111-1,"")</f>
        <v>0.365172028719021</v>
      </c>
    </row>
    <row r="112" customFormat="false" ht="15" hidden="false" customHeight="false" outlineLevel="0" collapsed="false">
      <c r="A112" s="10" t="s">
        <v>98</v>
      </c>
      <c r="B112" s="10" t="s">
        <v>37</v>
      </c>
      <c r="C112" s="10" t="s">
        <v>99</v>
      </c>
      <c r="D112" s="10" t="s">
        <v>431</v>
      </c>
      <c r="E112" s="11" t="n">
        <v>20</v>
      </c>
      <c r="F112" s="10" t="s">
        <v>291</v>
      </c>
      <c r="G112" s="7" t="n">
        <v>16</v>
      </c>
      <c r="H112" s="10" t="s">
        <v>525</v>
      </c>
      <c r="I112" s="10" t="s">
        <v>526</v>
      </c>
      <c r="J112" s="10" t="s">
        <v>122</v>
      </c>
      <c r="K112" s="7" t="n">
        <v>5</v>
      </c>
      <c r="L112" s="7" t="n">
        <v>119</v>
      </c>
      <c r="M112" s="7" t="n">
        <v>4</v>
      </c>
      <c r="N112" s="7" t="n">
        <v>37</v>
      </c>
      <c r="O112" s="7" t="n">
        <v>4</v>
      </c>
      <c r="P112" s="8" t="n">
        <v>8.85073605656582</v>
      </c>
      <c r="Q112" s="9" t="n">
        <v>0.112984953297546</v>
      </c>
      <c r="R112" s="8" t="n">
        <v>11</v>
      </c>
      <c r="S112" s="12" t="n">
        <f aca="false">IF(AND(ISNUMBER(R112),R112&gt;1,P112&gt;0),R112/P112-1,"")</f>
        <v>0.242834486273011</v>
      </c>
    </row>
    <row r="113" customFormat="false" ht="15" hidden="false" customHeight="false" outlineLevel="0" collapsed="false">
      <c r="A113" s="10" t="s">
        <v>98</v>
      </c>
      <c r="B113" s="10" t="s">
        <v>37</v>
      </c>
      <c r="C113" s="10" t="s">
        <v>99</v>
      </c>
      <c r="D113" s="10" t="s">
        <v>431</v>
      </c>
      <c r="E113" s="11" t="n">
        <v>20</v>
      </c>
      <c r="F113" s="10" t="s">
        <v>291</v>
      </c>
      <c r="G113" s="7" t="n">
        <v>16</v>
      </c>
      <c r="H113" s="10" t="s">
        <v>527</v>
      </c>
      <c r="I113" s="10" t="s">
        <v>528</v>
      </c>
      <c r="J113" s="10" t="s">
        <v>529</v>
      </c>
      <c r="K113" s="7" t="n">
        <v>6</v>
      </c>
      <c r="L113" s="7" t="n">
        <v>116</v>
      </c>
      <c r="M113" s="7" t="n">
        <v>6</v>
      </c>
      <c r="N113" s="7" t="n">
        <v>15</v>
      </c>
      <c r="O113" s="7" t="n">
        <v>5</v>
      </c>
      <c r="P113" s="8" t="n">
        <v>10.9045007029254</v>
      </c>
      <c r="Q113" s="9" t="n">
        <v>0.091705253385121</v>
      </c>
      <c r="R113" s="8" t="n">
        <v>8</v>
      </c>
      <c r="S113" s="12" t="n">
        <f aca="false">IF(AND(ISNUMBER(R113),R113&gt;1,P113&gt;0),R113/P113-1,"")</f>
        <v>-0.266357972919032</v>
      </c>
    </row>
    <row r="114" customFormat="false" ht="15" hidden="false" customHeight="false" outlineLevel="0" collapsed="false">
      <c r="A114" s="10" t="s">
        <v>98</v>
      </c>
      <c r="B114" s="10" t="s">
        <v>37</v>
      </c>
      <c r="C114" s="10" t="s">
        <v>99</v>
      </c>
      <c r="D114" s="10" t="s">
        <v>431</v>
      </c>
      <c r="E114" s="11" t="n">
        <v>20</v>
      </c>
      <c r="F114" s="10" t="s">
        <v>291</v>
      </c>
      <c r="G114" s="7" t="n">
        <v>16</v>
      </c>
      <c r="H114" s="10" t="s">
        <v>530</v>
      </c>
      <c r="I114" s="10" t="s">
        <v>434</v>
      </c>
      <c r="J114" s="10" t="s">
        <v>435</v>
      </c>
      <c r="K114" s="7" t="n">
        <v>3</v>
      </c>
      <c r="L114" s="7" t="n">
        <v>117</v>
      </c>
      <c r="M114" s="7" t="n">
        <v>9</v>
      </c>
      <c r="N114" s="7" t="n">
        <v>77</v>
      </c>
      <c r="O114" s="7" t="n">
        <v>6</v>
      </c>
      <c r="P114" s="8" t="n">
        <v>14.2431483043706</v>
      </c>
      <c r="Q114" s="9" t="n">
        <v>0.0702091966347879</v>
      </c>
      <c r="R114" s="8" t="n">
        <v>23</v>
      </c>
      <c r="S114" s="12" t="n">
        <f aca="false">IF(AND(ISNUMBER(R114),R114&gt;1,P114&gt;0),R114/P114-1,"")</f>
        <v>0.614811522600123</v>
      </c>
    </row>
    <row r="115" customFormat="false" ht="15" hidden="false" customHeight="false" outlineLevel="0" collapsed="false">
      <c r="A115" s="10" t="s">
        <v>98</v>
      </c>
      <c r="B115" s="10" t="s">
        <v>37</v>
      </c>
      <c r="C115" s="10" t="s">
        <v>99</v>
      </c>
      <c r="D115" s="10" t="s">
        <v>431</v>
      </c>
      <c r="E115" s="11" t="n">
        <v>20</v>
      </c>
      <c r="F115" s="10" t="s">
        <v>291</v>
      </c>
      <c r="G115" s="7" t="n">
        <v>16</v>
      </c>
      <c r="H115" s="10" t="s">
        <v>531</v>
      </c>
      <c r="I115" s="10" t="s">
        <v>532</v>
      </c>
      <c r="J115" s="10" t="s">
        <v>202</v>
      </c>
      <c r="K115" s="7" t="n">
        <v>15</v>
      </c>
      <c r="L115" s="7" t="n">
        <v>104</v>
      </c>
      <c r="M115" s="7" t="n">
        <v>5</v>
      </c>
      <c r="N115" s="7" t="n">
        <v>19</v>
      </c>
      <c r="O115" s="7" t="n">
        <v>7</v>
      </c>
      <c r="P115" s="8" t="n">
        <v>29.7208526957269</v>
      </c>
      <c r="Q115" s="9" t="n">
        <v>0.0336464101564547</v>
      </c>
      <c r="R115" s="8" t="n">
        <v>11</v>
      </c>
      <c r="S115" s="12" t="n">
        <f aca="false">IF(AND(ISNUMBER(R115),R115&gt;1,P115&gt;0),R115/P115-1,"")</f>
        <v>-0.629889488278998</v>
      </c>
    </row>
    <row r="116" customFormat="false" ht="15" hidden="false" customHeight="false" outlineLevel="0" collapsed="false">
      <c r="A116" s="10" t="s">
        <v>98</v>
      </c>
      <c r="B116" s="10" t="s">
        <v>37</v>
      </c>
      <c r="C116" s="10" t="s">
        <v>99</v>
      </c>
      <c r="D116" s="10" t="s">
        <v>431</v>
      </c>
      <c r="E116" s="11" t="n">
        <v>20</v>
      </c>
      <c r="F116" s="10" t="s">
        <v>291</v>
      </c>
      <c r="G116" s="7" t="n">
        <v>16</v>
      </c>
      <c r="H116" s="10" t="s">
        <v>533</v>
      </c>
      <c r="I116" s="10" t="s">
        <v>534</v>
      </c>
      <c r="J116" s="10" t="s">
        <v>535</v>
      </c>
      <c r="K116" s="7" t="n">
        <v>14</v>
      </c>
      <c r="L116" s="7" t="n">
        <v>105</v>
      </c>
      <c r="M116" s="7" t="n">
        <v>5</v>
      </c>
      <c r="N116" s="7" t="n">
        <v>65</v>
      </c>
      <c r="O116" s="7" t="n">
        <v>8</v>
      </c>
      <c r="P116" s="8" t="n">
        <v>32.2592945697365</v>
      </c>
      <c r="Q116" s="9" t="n">
        <v>0.0309988179635562</v>
      </c>
      <c r="R116" s="8" t="n">
        <v>19</v>
      </c>
      <c r="S116" s="12" t="n">
        <f aca="false">IF(AND(ISNUMBER(R116),R116&gt;1,P116&gt;0),R116/P116-1,"")</f>
        <v>-0.411022458692431</v>
      </c>
    </row>
    <row r="117" customFormat="false" ht="15" hidden="false" customHeight="false" outlineLevel="0" collapsed="false">
      <c r="A117" s="10" t="s">
        <v>98</v>
      </c>
      <c r="B117" s="10" t="s">
        <v>37</v>
      </c>
      <c r="C117" s="10" t="s">
        <v>99</v>
      </c>
      <c r="D117" s="10" t="s">
        <v>431</v>
      </c>
      <c r="E117" s="11" t="n">
        <v>20</v>
      </c>
      <c r="F117" s="10" t="s">
        <v>291</v>
      </c>
      <c r="G117" s="7" t="n">
        <v>16</v>
      </c>
      <c r="H117" s="10" t="s">
        <v>536</v>
      </c>
      <c r="I117" s="10" t="s">
        <v>347</v>
      </c>
      <c r="J117" s="10" t="s">
        <v>348</v>
      </c>
      <c r="K117" s="7" t="n">
        <v>9</v>
      </c>
      <c r="L117" s="7" t="n">
        <v>110</v>
      </c>
      <c r="M117" s="7" t="n">
        <v>5</v>
      </c>
      <c r="N117" s="7" t="n">
        <v>17</v>
      </c>
      <c r="O117" s="7" t="n">
        <v>9</v>
      </c>
      <c r="P117" s="8" t="n">
        <v>33.337369428312</v>
      </c>
      <c r="Q117" s="9" t="n">
        <v>0.0299963679542976</v>
      </c>
      <c r="R117" s="8" t="n">
        <v>23</v>
      </c>
      <c r="S117" s="12" t="n">
        <f aca="false">IF(AND(ISNUMBER(R117),R117&gt;1,P117&gt;0),R117/P117-1,"")</f>
        <v>-0.310083537051154</v>
      </c>
    </row>
    <row r="118" customFormat="false" ht="15" hidden="false" customHeight="false" outlineLevel="0" collapsed="false">
      <c r="A118" s="10" t="s">
        <v>98</v>
      </c>
      <c r="B118" s="10" t="s">
        <v>37</v>
      </c>
      <c r="C118" s="10" t="s">
        <v>99</v>
      </c>
      <c r="D118" s="10" t="s">
        <v>431</v>
      </c>
      <c r="E118" s="11" t="n">
        <v>20</v>
      </c>
      <c r="F118" s="10" t="s">
        <v>291</v>
      </c>
      <c r="G118" s="7" t="n">
        <v>16</v>
      </c>
      <c r="H118" s="10" t="s">
        <v>537</v>
      </c>
      <c r="I118" s="10" t="s">
        <v>445</v>
      </c>
      <c r="J118" s="10" t="s">
        <v>202</v>
      </c>
      <c r="K118" s="7" t="n">
        <v>13</v>
      </c>
      <c r="L118" s="7" t="n">
        <v>108</v>
      </c>
      <c r="M118" s="7" t="n">
        <v>4</v>
      </c>
      <c r="N118" s="7" t="n">
        <v>37</v>
      </c>
      <c r="O118" s="7" t="n">
        <v>10</v>
      </c>
      <c r="P118" s="8" t="n">
        <v>39.0935024672448</v>
      </c>
      <c r="Q118" s="9" t="n">
        <v>0.0255796983357494</v>
      </c>
      <c r="R118" s="8" t="n">
        <v>9.5</v>
      </c>
      <c r="S118" s="12" t="n">
        <f aca="false">IF(AND(ISNUMBER(R118),R118&gt;1,P118&gt;0),R118/P118-1,"")</f>
        <v>-0.75699286581038</v>
      </c>
    </row>
    <row r="119" customFormat="false" ht="15" hidden="false" customHeight="false" outlineLevel="0" collapsed="false">
      <c r="A119" s="10" t="s">
        <v>98</v>
      </c>
      <c r="B119" s="10" t="s">
        <v>37</v>
      </c>
      <c r="C119" s="10" t="s">
        <v>99</v>
      </c>
      <c r="D119" s="10" t="s">
        <v>431</v>
      </c>
      <c r="E119" s="11" t="n">
        <v>20</v>
      </c>
      <c r="F119" s="10" t="s">
        <v>291</v>
      </c>
      <c r="G119" s="7" t="n">
        <v>16</v>
      </c>
      <c r="H119" s="10" t="s">
        <v>538</v>
      </c>
      <c r="I119" s="10" t="s">
        <v>344</v>
      </c>
      <c r="J119" s="10" t="s">
        <v>345</v>
      </c>
      <c r="K119" s="7" t="n">
        <v>11</v>
      </c>
      <c r="L119" s="7" t="n">
        <v>112</v>
      </c>
      <c r="M119" s="7" t="n">
        <v>4</v>
      </c>
      <c r="N119" s="7" t="n">
        <v>21</v>
      </c>
      <c r="O119" s="7" t="n">
        <v>11</v>
      </c>
      <c r="P119" s="8" t="n">
        <v>39.9648646176853</v>
      </c>
      <c r="Q119" s="9" t="n">
        <v>0.0250219789198905</v>
      </c>
      <c r="R119" s="8" t="n">
        <v>15</v>
      </c>
      <c r="S119" s="12" t="n">
        <f aca="false">IF(AND(ISNUMBER(R119),R119&gt;1,P119&gt;0),R119/P119-1,"")</f>
        <v>-0.624670316201643</v>
      </c>
    </row>
    <row r="120" customFormat="false" ht="15" hidden="false" customHeight="false" outlineLevel="0" collapsed="false">
      <c r="A120" s="10" t="s">
        <v>98</v>
      </c>
      <c r="B120" s="10" t="s">
        <v>37</v>
      </c>
      <c r="C120" s="10" t="s">
        <v>99</v>
      </c>
      <c r="D120" s="10" t="s">
        <v>431</v>
      </c>
      <c r="E120" s="11" t="n">
        <v>20</v>
      </c>
      <c r="F120" s="10" t="s">
        <v>291</v>
      </c>
      <c r="G120" s="7" t="n">
        <v>16</v>
      </c>
      <c r="H120" s="10" t="s">
        <v>539</v>
      </c>
      <c r="I120" s="10" t="s">
        <v>298</v>
      </c>
      <c r="J120" s="10" t="s">
        <v>540</v>
      </c>
      <c r="K120" s="7" t="n">
        <v>7</v>
      </c>
      <c r="L120" s="7" t="n">
        <v>116</v>
      </c>
      <c r="M120" s="7" t="n">
        <v>5</v>
      </c>
      <c r="N120" s="7" t="n">
        <v>111</v>
      </c>
      <c r="O120" s="7" t="n">
        <v>12</v>
      </c>
      <c r="P120" s="8" t="n">
        <v>40.6579794687215</v>
      </c>
      <c r="Q120" s="9" t="n">
        <v>0.0245954179983121</v>
      </c>
      <c r="R120" s="8" t="n">
        <v>17</v>
      </c>
      <c r="S120" s="12" t="n">
        <f aca="false">IF(AND(ISNUMBER(R120),R120&gt;1,P120&gt;0),R120/P120-1,"")</f>
        <v>-0.581877894028693</v>
      </c>
    </row>
    <row r="121" customFormat="false" ht="15" hidden="false" customHeight="false" outlineLevel="0" collapsed="false">
      <c r="A121" s="10" t="s">
        <v>98</v>
      </c>
      <c r="B121" s="10" t="s">
        <v>37</v>
      </c>
      <c r="C121" s="10" t="s">
        <v>99</v>
      </c>
      <c r="D121" s="10" t="s">
        <v>431</v>
      </c>
      <c r="E121" s="11" t="n">
        <v>20</v>
      </c>
      <c r="F121" s="10" t="s">
        <v>291</v>
      </c>
      <c r="G121" s="7" t="n">
        <v>16</v>
      </c>
      <c r="H121" s="10" t="s">
        <v>541</v>
      </c>
      <c r="I121" s="10" t="s">
        <v>295</v>
      </c>
      <c r="J121" s="10" t="s">
        <v>152</v>
      </c>
      <c r="K121" s="7" t="n">
        <v>10</v>
      </c>
      <c r="L121" s="7" t="n">
        <v>110</v>
      </c>
      <c r="M121" s="7" t="n">
        <v>5</v>
      </c>
      <c r="N121" s="7" t="n">
        <v>13</v>
      </c>
      <c r="O121" s="7" t="n">
        <v>13</v>
      </c>
      <c r="P121" s="8" t="n">
        <v>42.5167404307283</v>
      </c>
      <c r="Q121" s="9" t="n">
        <v>0.0235201473553524</v>
      </c>
      <c r="R121" s="8" t="n">
        <v>17</v>
      </c>
      <c r="S121" s="12" t="n">
        <f aca="false">IF(AND(ISNUMBER(R121),R121&gt;1,P121&gt;0),R121/P121-1,"")</f>
        <v>-0.600157494959008</v>
      </c>
    </row>
    <row r="122" customFormat="false" ht="15" hidden="false" customHeight="false" outlineLevel="0" collapsed="false">
      <c r="A122" s="10" t="s">
        <v>98</v>
      </c>
      <c r="B122" s="10" t="s">
        <v>37</v>
      </c>
      <c r="C122" s="10" t="s">
        <v>99</v>
      </c>
      <c r="D122" s="10" t="s">
        <v>431</v>
      </c>
      <c r="E122" s="11" t="n">
        <v>20</v>
      </c>
      <c r="F122" s="10" t="s">
        <v>291</v>
      </c>
      <c r="G122" s="7" t="n">
        <v>16</v>
      </c>
      <c r="H122" s="10" t="s">
        <v>542</v>
      </c>
      <c r="I122" s="10" t="s">
        <v>543</v>
      </c>
      <c r="J122" s="10" t="s">
        <v>544</v>
      </c>
      <c r="K122" s="7" t="n">
        <v>16</v>
      </c>
      <c r="L122" s="7" t="n">
        <v>98</v>
      </c>
      <c r="M122" s="7" t="n">
        <v>7</v>
      </c>
      <c r="N122" s="7" t="n">
        <v>7</v>
      </c>
      <c r="O122" s="7" t="n">
        <v>14</v>
      </c>
      <c r="P122" s="8" t="n">
        <v>43.6505957498814</v>
      </c>
      <c r="Q122" s="9" t="n">
        <v>0.0229091947731942</v>
      </c>
      <c r="R122" s="8" t="n">
        <v>15</v>
      </c>
      <c r="S122" s="12" t="n">
        <f aca="false">IF(AND(ISNUMBER(R122),R122&gt;1,P122&gt;0),R122/P122-1,"")</f>
        <v>-0.656362078402086</v>
      </c>
    </row>
    <row r="123" customFormat="false" ht="15" hidden="false" customHeight="false" outlineLevel="0" collapsed="false">
      <c r="A123" s="10" t="s">
        <v>98</v>
      </c>
      <c r="B123" s="10" t="s">
        <v>37</v>
      </c>
      <c r="C123" s="10" t="s">
        <v>99</v>
      </c>
      <c r="D123" s="10" t="s">
        <v>431</v>
      </c>
      <c r="E123" s="11" t="n">
        <v>20</v>
      </c>
      <c r="F123" s="10" t="s">
        <v>291</v>
      </c>
      <c r="G123" s="7" t="n">
        <v>16</v>
      </c>
      <c r="H123" s="10" t="s">
        <v>545</v>
      </c>
      <c r="I123" s="10" t="s">
        <v>546</v>
      </c>
      <c r="J123" s="10" t="s">
        <v>163</v>
      </c>
      <c r="K123" s="7" t="n">
        <v>12</v>
      </c>
      <c r="L123" s="7" t="n">
        <v>108</v>
      </c>
      <c r="M123" s="7" t="n">
        <v>6</v>
      </c>
      <c r="N123" s="7" t="n">
        <v>115</v>
      </c>
      <c r="O123" s="7" t="n">
        <v>15</v>
      </c>
      <c r="P123" s="8" t="n">
        <v>75.2052665143438</v>
      </c>
      <c r="Q123" s="9" t="n">
        <v>0.0132969411099589</v>
      </c>
      <c r="R123" s="8" t="n">
        <v>19</v>
      </c>
      <c r="S123" s="12" t="n">
        <f aca="false">IF(AND(ISNUMBER(R123),R123&gt;1,P123&gt;0),R123/P123-1,"")</f>
        <v>-0.747358118910779</v>
      </c>
    </row>
    <row r="124" customFormat="false" ht="15" hidden="false" customHeight="false" outlineLevel="0" collapsed="false">
      <c r="A124" s="10" t="s">
        <v>98</v>
      </c>
      <c r="B124" s="10" t="s">
        <v>37</v>
      </c>
      <c r="C124" s="10" t="s">
        <v>99</v>
      </c>
      <c r="D124" s="10" t="s">
        <v>431</v>
      </c>
      <c r="E124" s="11" t="n">
        <v>20</v>
      </c>
      <c r="F124" s="10" t="s">
        <v>291</v>
      </c>
      <c r="G124" s="7" t="n">
        <v>16</v>
      </c>
      <c r="H124" s="10" t="s">
        <v>547</v>
      </c>
      <c r="I124" s="10" t="s">
        <v>548</v>
      </c>
      <c r="J124" s="10" t="s">
        <v>549</v>
      </c>
      <c r="K124" s="7" t="n">
        <v>4</v>
      </c>
      <c r="L124" s="7" t="n">
        <v>117</v>
      </c>
      <c r="M124" s="7" t="n">
        <v>6</v>
      </c>
      <c r="N124" s="7" t="n">
        <v>33</v>
      </c>
      <c r="O124" s="7" t="n">
        <v>16</v>
      </c>
      <c r="P124" s="8" t="n">
        <v>117.442924830984</v>
      </c>
      <c r="Q124" s="9" t="n">
        <v>0.0085147743164531</v>
      </c>
      <c r="R124" s="8" t="n">
        <v>67</v>
      </c>
      <c r="S124" s="12" t="n">
        <f aca="false">IF(AND(ISNUMBER(R124),R124&gt;1,P124&gt;0),R124/P124-1,"")</f>
        <v>-0.429510120797639</v>
      </c>
    </row>
    <row r="125" customFormat="false" ht="15" hidden="false" customHeight="false" outlineLevel="0" collapsed="false">
      <c r="A125" s="10" t="s">
        <v>102</v>
      </c>
      <c r="B125" s="10" t="s">
        <v>57</v>
      </c>
      <c r="C125" s="10" t="s">
        <v>103</v>
      </c>
      <c r="D125" s="10"/>
      <c r="E125" s="11" t="n">
        <v>16</v>
      </c>
      <c r="F125" s="10" t="s">
        <v>291</v>
      </c>
      <c r="G125" s="7" t="n">
        <v>17</v>
      </c>
      <c r="H125" s="10" t="s">
        <v>104</v>
      </c>
      <c r="I125" s="10" t="s">
        <v>105</v>
      </c>
      <c r="J125" s="10" t="s">
        <v>106</v>
      </c>
      <c r="K125" s="7" t="n">
        <v>3</v>
      </c>
      <c r="L125" s="7" t="n">
        <v>97</v>
      </c>
      <c r="M125" s="7" t="n">
        <v>5</v>
      </c>
      <c r="N125" s="7" t="n">
        <v>18</v>
      </c>
      <c r="O125" s="7" t="n">
        <v>1</v>
      </c>
      <c r="P125" s="8" t="n">
        <v>4.0425145415529</v>
      </c>
      <c r="Q125" s="9" t="n">
        <v>0.247370786108752</v>
      </c>
      <c r="R125" s="8" t="n">
        <v>6.5</v>
      </c>
      <c r="S125" s="12" t="n">
        <f aca="false">IF(AND(ISNUMBER(R125),R125&gt;1,P125&gt;0),R125/P125-1,"")</f>
        <v>0.607910109706887</v>
      </c>
    </row>
    <row r="126" customFormat="false" ht="15" hidden="false" customHeight="false" outlineLevel="0" collapsed="false">
      <c r="A126" s="10" t="s">
        <v>102</v>
      </c>
      <c r="B126" s="10" t="s">
        <v>57</v>
      </c>
      <c r="C126" s="10" t="s">
        <v>103</v>
      </c>
      <c r="D126" s="10"/>
      <c r="E126" s="11" t="n">
        <v>16</v>
      </c>
      <c r="F126" s="10" t="s">
        <v>291</v>
      </c>
      <c r="G126" s="7" t="n">
        <v>17</v>
      </c>
      <c r="H126" s="10" t="s">
        <v>107</v>
      </c>
      <c r="I126" s="10" t="s">
        <v>550</v>
      </c>
      <c r="J126" s="10" t="s">
        <v>551</v>
      </c>
      <c r="K126" s="7" t="n">
        <v>8</v>
      </c>
      <c r="L126" s="7" t="n">
        <v>91</v>
      </c>
      <c r="M126" s="7" t="n">
        <v>5</v>
      </c>
      <c r="N126" s="7" t="n">
        <v>134</v>
      </c>
      <c r="O126" s="7" t="n">
        <v>2</v>
      </c>
      <c r="P126" s="8" t="n">
        <v>5.80435674761071</v>
      </c>
      <c r="Q126" s="9" t="n">
        <v>0.172284379386508</v>
      </c>
      <c r="R126" s="8" t="n">
        <v>5</v>
      </c>
      <c r="S126" s="12" t="n">
        <f aca="false">IF(AND(ISNUMBER(R126),R126&gt;1,P126&gt;0),R126/P126-1,"")</f>
        <v>-0.138578103067461</v>
      </c>
    </row>
    <row r="127" customFormat="false" ht="15" hidden="false" customHeight="false" outlineLevel="0" collapsed="false">
      <c r="A127" s="10" t="s">
        <v>102</v>
      </c>
      <c r="B127" s="10" t="s">
        <v>57</v>
      </c>
      <c r="C127" s="10" t="s">
        <v>103</v>
      </c>
      <c r="D127" s="10"/>
      <c r="E127" s="11" t="n">
        <v>16</v>
      </c>
      <c r="F127" s="10" t="s">
        <v>291</v>
      </c>
      <c r="G127" s="7" t="n">
        <v>17</v>
      </c>
      <c r="H127" s="10" t="s">
        <v>552</v>
      </c>
      <c r="I127" s="10" t="s">
        <v>384</v>
      </c>
      <c r="J127" s="10" t="s">
        <v>84</v>
      </c>
      <c r="K127" s="7" t="n">
        <v>12</v>
      </c>
      <c r="L127" s="7" t="n">
        <v>86</v>
      </c>
      <c r="M127" s="7" t="n">
        <v>6</v>
      </c>
      <c r="N127" s="7" t="n">
        <v>40</v>
      </c>
      <c r="O127" s="7" t="n">
        <v>3</v>
      </c>
      <c r="P127" s="8" t="n">
        <v>11.2318415555476</v>
      </c>
      <c r="Q127" s="9" t="n">
        <v>0.0890325949715769</v>
      </c>
      <c r="R127" s="8" t="n">
        <v>4.5</v>
      </c>
      <c r="S127" s="12" t="n">
        <f aca="false">IF(AND(ISNUMBER(R127),R127&gt;1,P127&gt;0),R127/P127-1,"")</f>
        <v>-0.599353322627904</v>
      </c>
    </row>
    <row r="128" customFormat="false" ht="15" hidden="false" customHeight="false" outlineLevel="0" collapsed="false">
      <c r="A128" s="10" t="s">
        <v>102</v>
      </c>
      <c r="B128" s="10" t="s">
        <v>57</v>
      </c>
      <c r="C128" s="10" t="s">
        <v>103</v>
      </c>
      <c r="D128" s="10"/>
      <c r="E128" s="11" t="n">
        <v>16</v>
      </c>
      <c r="F128" s="10" t="s">
        <v>291</v>
      </c>
      <c r="G128" s="7" t="n">
        <v>17</v>
      </c>
      <c r="H128" s="10" t="s">
        <v>553</v>
      </c>
      <c r="I128" s="10" t="s">
        <v>554</v>
      </c>
      <c r="J128" s="10" t="s">
        <v>555</v>
      </c>
      <c r="K128" s="7" t="n">
        <v>1</v>
      </c>
      <c r="L128" s="7" t="n">
        <v>100</v>
      </c>
      <c r="M128" s="7" t="n">
        <v>5</v>
      </c>
      <c r="N128" s="7" t="n">
        <v>49</v>
      </c>
      <c r="O128" s="7" t="n">
        <v>4</v>
      </c>
      <c r="P128" s="8" t="n">
        <v>12.3849974172808</v>
      </c>
      <c r="Q128" s="9" t="n">
        <v>0.0807428509112726</v>
      </c>
      <c r="R128" s="8" t="n">
        <v>9.5</v>
      </c>
      <c r="S128" s="12" t="n">
        <f aca="false">IF(AND(ISNUMBER(R128),R128&gt;1,P128&gt;0),R128/P128-1,"")</f>
        <v>-0.23294291634291</v>
      </c>
    </row>
    <row r="129" customFormat="false" ht="15" hidden="false" customHeight="false" outlineLevel="0" collapsed="false">
      <c r="A129" s="10" t="s">
        <v>102</v>
      </c>
      <c r="B129" s="10" t="s">
        <v>57</v>
      </c>
      <c r="C129" s="10" t="s">
        <v>103</v>
      </c>
      <c r="D129" s="10"/>
      <c r="E129" s="11" t="n">
        <v>16</v>
      </c>
      <c r="F129" s="10" t="s">
        <v>291</v>
      </c>
      <c r="G129" s="7" t="n">
        <v>17</v>
      </c>
      <c r="H129" s="10" t="s">
        <v>556</v>
      </c>
      <c r="I129" s="10" t="s">
        <v>371</v>
      </c>
      <c r="J129" s="10" t="s">
        <v>557</v>
      </c>
      <c r="K129" s="7" t="n">
        <v>5</v>
      </c>
      <c r="L129" s="7" t="n">
        <v>95</v>
      </c>
      <c r="M129" s="7" t="n">
        <v>5</v>
      </c>
      <c r="N129" s="7" t="n">
        <v>63</v>
      </c>
      <c r="O129" s="7" t="n">
        <v>5</v>
      </c>
      <c r="P129" s="8" t="n">
        <v>14.5846897735564</v>
      </c>
      <c r="Q129" s="9" t="n">
        <v>0.0685650511273203</v>
      </c>
      <c r="R129" s="8" t="n">
        <v>13</v>
      </c>
      <c r="S129" s="12" t="n">
        <f aca="false">IF(AND(ISNUMBER(R129),R129&gt;1,P129&gt;0),R129/P129-1,"")</f>
        <v>-0.108654335344835</v>
      </c>
    </row>
    <row r="130" customFormat="false" ht="15" hidden="false" customHeight="false" outlineLevel="0" collapsed="false">
      <c r="A130" s="10" t="s">
        <v>102</v>
      </c>
      <c r="B130" s="10" t="s">
        <v>57</v>
      </c>
      <c r="C130" s="10" t="s">
        <v>103</v>
      </c>
      <c r="D130" s="10"/>
      <c r="E130" s="11" t="n">
        <v>16</v>
      </c>
      <c r="F130" s="10" t="s">
        <v>291</v>
      </c>
      <c r="G130" s="7" t="n">
        <v>17</v>
      </c>
      <c r="H130" s="10" t="s">
        <v>558</v>
      </c>
      <c r="I130" s="10" t="s">
        <v>127</v>
      </c>
      <c r="J130" s="10" t="s">
        <v>84</v>
      </c>
      <c r="K130" s="7" t="n">
        <v>2</v>
      </c>
      <c r="L130" s="7" t="n">
        <v>98</v>
      </c>
      <c r="M130" s="7" t="n">
        <v>7</v>
      </c>
      <c r="N130" s="7" t="n">
        <v>121</v>
      </c>
      <c r="O130" s="7" t="n">
        <v>6</v>
      </c>
      <c r="P130" s="8" t="n">
        <v>18.3426223816187</v>
      </c>
      <c r="Q130" s="9" t="n">
        <v>0.054517831703394</v>
      </c>
      <c r="R130" s="8" t="n">
        <v>13</v>
      </c>
      <c r="S130" s="12" t="n">
        <f aca="false">IF(AND(ISNUMBER(R130),R130&gt;1,P130&gt;0),R130/P130-1,"")</f>
        <v>-0.291268187855877</v>
      </c>
    </row>
    <row r="131" customFormat="false" ht="15" hidden="false" customHeight="false" outlineLevel="0" collapsed="false">
      <c r="A131" s="10" t="s">
        <v>102</v>
      </c>
      <c r="B131" s="10" t="s">
        <v>57</v>
      </c>
      <c r="C131" s="10" t="s">
        <v>103</v>
      </c>
      <c r="D131" s="10"/>
      <c r="E131" s="11" t="n">
        <v>16</v>
      </c>
      <c r="F131" s="10" t="s">
        <v>291</v>
      </c>
      <c r="G131" s="7" t="n">
        <v>17</v>
      </c>
      <c r="H131" s="10" t="s">
        <v>559</v>
      </c>
      <c r="I131" s="10" t="s">
        <v>389</v>
      </c>
      <c r="J131" s="10" t="s">
        <v>84</v>
      </c>
      <c r="K131" s="7" t="n">
        <v>10</v>
      </c>
      <c r="L131" s="7" t="n">
        <v>90</v>
      </c>
      <c r="M131" s="7" t="n">
        <v>5</v>
      </c>
      <c r="N131" s="7" t="n">
        <v>77</v>
      </c>
      <c r="O131" s="7" t="n">
        <v>7</v>
      </c>
      <c r="P131" s="8" t="n">
        <v>21.504445369367</v>
      </c>
      <c r="Q131" s="9" t="n">
        <v>0.0465020130872334</v>
      </c>
      <c r="R131" s="8" t="n">
        <v>10</v>
      </c>
      <c r="S131" s="12" t="n">
        <f aca="false">IF(AND(ISNUMBER(R131),R131&gt;1,P131&gt;0),R131/P131-1,"")</f>
        <v>-0.534979869127665</v>
      </c>
    </row>
    <row r="132" customFormat="false" ht="15" hidden="false" customHeight="false" outlineLevel="0" collapsed="false">
      <c r="A132" s="10" t="s">
        <v>102</v>
      </c>
      <c r="B132" s="10" t="s">
        <v>57</v>
      </c>
      <c r="C132" s="10" t="s">
        <v>103</v>
      </c>
      <c r="D132" s="10"/>
      <c r="E132" s="11" t="n">
        <v>16</v>
      </c>
      <c r="F132" s="10" t="s">
        <v>291</v>
      </c>
      <c r="G132" s="7" t="n">
        <v>17</v>
      </c>
      <c r="H132" s="10" t="s">
        <v>560</v>
      </c>
      <c r="I132" s="10" t="s">
        <v>561</v>
      </c>
      <c r="J132" s="10" t="s">
        <v>562</v>
      </c>
      <c r="K132" s="7" t="n">
        <v>11</v>
      </c>
      <c r="L132" s="7" t="n">
        <v>88</v>
      </c>
      <c r="M132" s="7" t="n">
        <v>10</v>
      </c>
      <c r="N132" s="7" t="n">
        <v>159</v>
      </c>
      <c r="O132" s="7" t="n">
        <v>8</v>
      </c>
      <c r="P132" s="8" t="n">
        <v>21.7558901016851</v>
      </c>
      <c r="Q132" s="9" t="n">
        <v>0.0459645638641347</v>
      </c>
      <c r="R132" s="8" t="n">
        <v>17</v>
      </c>
      <c r="S132" s="12" t="n">
        <f aca="false">IF(AND(ISNUMBER(R132),R132&gt;1,P132&gt;0),R132/P132-1,"")</f>
        <v>-0.21860241430971</v>
      </c>
    </row>
    <row r="133" customFormat="false" ht="15" hidden="false" customHeight="false" outlineLevel="0" collapsed="false">
      <c r="A133" s="10" t="s">
        <v>102</v>
      </c>
      <c r="B133" s="10" t="s">
        <v>57</v>
      </c>
      <c r="C133" s="10" t="s">
        <v>103</v>
      </c>
      <c r="D133" s="10"/>
      <c r="E133" s="11" t="n">
        <v>16</v>
      </c>
      <c r="F133" s="10" t="s">
        <v>291</v>
      </c>
      <c r="G133" s="7" t="n">
        <v>17</v>
      </c>
      <c r="H133" s="10" t="s">
        <v>563</v>
      </c>
      <c r="I133" s="10" t="s">
        <v>564</v>
      </c>
      <c r="J133" s="10" t="s">
        <v>565</v>
      </c>
      <c r="K133" s="7" t="n">
        <v>6</v>
      </c>
      <c r="L133" s="7" t="n">
        <v>94</v>
      </c>
      <c r="M133" s="7" t="n">
        <v>7</v>
      </c>
      <c r="N133" s="7" t="n">
        <v>154</v>
      </c>
      <c r="O133" s="7" t="n">
        <v>9</v>
      </c>
      <c r="P133" s="8" t="n">
        <v>22.6208979336822</v>
      </c>
      <c r="Q133" s="9" t="n">
        <v>0.0442069100409588</v>
      </c>
      <c r="R133" s="8" t="n">
        <v>10</v>
      </c>
      <c r="S133" s="12" t="n">
        <f aca="false">IF(AND(ISNUMBER(R133),R133&gt;1,P133&gt;0),R133/P133-1,"")</f>
        <v>-0.557930899590412</v>
      </c>
    </row>
    <row r="134" customFormat="false" ht="15" hidden="false" customHeight="false" outlineLevel="0" collapsed="false">
      <c r="A134" s="10" t="s">
        <v>102</v>
      </c>
      <c r="B134" s="10" t="s">
        <v>57</v>
      </c>
      <c r="C134" s="10" t="s">
        <v>103</v>
      </c>
      <c r="D134" s="10"/>
      <c r="E134" s="11" t="n">
        <v>16</v>
      </c>
      <c r="F134" s="10" t="s">
        <v>291</v>
      </c>
      <c r="G134" s="7" t="n">
        <v>17</v>
      </c>
      <c r="H134" s="10" t="s">
        <v>566</v>
      </c>
      <c r="I134" s="10" t="s">
        <v>567</v>
      </c>
      <c r="J134" s="10" t="s">
        <v>460</v>
      </c>
      <c r="K134" s="7" t="n">
        <v>7</v>
      </c>
      <c r="L134" s="7" t="n">
        <v>92</v>
      </c>
      <c r="M134" s="7" t="n">
        <v>9</v>
      </c>
      <c r="N134" s="7" t="n">
        <v>7</v>
      </c>
      <c r="O134" s="7" t="n">
        <v>10</v>
      </c>
      <c r="P134" s="8" t="n">
        <v>25.500377697256</v>
      </c>
      <c r="Q134" s="9" t="n">
        <v>0.039215105433815</v>
      </c>
      <c r="R134" s="8" t="n">
        <v>15</v>
      </c>
      <c r="S134" s="12" t="n">
        <f aca="false">IF(AND(ISNUMBER(R134),R134&gt;1,P134&gt;0),R134/P134-1,"")</f>
        <v>-0.411773418492774</v>
      </c>
    </row>
    <row r="135" customFormat="false" ht="15" hidden="false" customHeight="false" outlineLevel="0" collapsed="false">
      <c r="A135" s="10" t="s">
        <v>102</v>
      </c>
      <c r="B135" s="10" t="s">
        <v>57</v>
      </c>
      <c r="C135" s="10" t="s">
        <v>103</v>
      </c>
      <c r="D135" s="10"/>
      <c r="E135" s="11" t="n">
        <v>16</v>
      </c>
      <c r="F135" s="10" t="s">
        <v>291</v>
      </c>
      <c r="G135" s="7" t="n">
        <v>17</v>
      </c>
      <c r="H135" s="10" t="s">
        <v>568</v>
      </c>
      <c r="I135" s="10" t="s">
        <v>569</v>
      </c>
      <c r="J135" s="10" t="s">
        <v>570</v>
      </c>
      <c r="K135" s="7" t="n">
        <v>4</v>
      </c>
      <c r="L135" s="7" t="n">
        <v>96</v>
      </c>
      <c r="M135" s="7" t="n">
        <v>5</v>
      </c>
      <c r="N135" s="7" t="n">
        <v>21</v>
      </c>
      <c r="O135" s="7" t="n">
        <v>11</v>
      </c>
      <c r="P135" s="8" t="n">
        <v>38.9244481032296</v>
      </c>
      <c r="Q135" s="9" t="n">
        <v>0.0256907945707527</v>
      </c>
      <c r="R135" s="8" t="n">
        <v>17</v>
      </c>
      <c r="S135" s="12" t="n">
        <f aca="false">IF(AND(ISNUMBER(R135),R135&gt;1,P135&gt;0),R135/P135-1,"")</f>
        <v>-0.563256492297203</v>
      </c>
    </row>
    <row r="136" customFormat="false" ht="15" hidden="false" customHeight="false" outlineLevel="0" collapsed="false">
      <c r="A136" s="10" t="s">
        <v>102</v>
      </c>
      <c r="B136" s="10" t="s">
        <v>57</v>
      </c>
      <c r="C136" s="10" t="s">
        <v>103</v>
      </c>
      <c r="D136" s="10"/>
      <c r="E136" s="11" t="n">
        <v>16</v>
      </c>
      <c r="F136" s="10" t="s">
        <v>291</v>
      </c>
      <c r="G136" s="7" t="n">
        <v>17</v>
      </c>
      <c r="H136" s="10" t="s">
        <v>571</v>
      </c>
      <c r="I136" s="10" t="s">
        <v>358</v>
      </c>
      <c r="J136" s="10" t="s">
        <v>572</v>
      </c>
      <c r="K136" s="7" t="n">
        <v>16</v>
      </c>
      <c r="L136" s="7" t="n">
        <v>99</v>
      </c>
      <c r="M136" s="7" t="n">
        <v>6</v>
      </c>
      <c r="N136" s="7" t="n">
        <v>48</v>
      </c>
      <c r="O136" s="7" t="n">
        <v>12</v>
      </c>
      <c r="P136" s="8" t="n">
        <v>39.7038033769496</v>
      </c>
      <c r="Q136" s="9" t="n">
        <v>0.025186503935302</v>
      </c>
      <c r="R136" s="8" t="n">
        <v>8</v>
      </c>
      <c r="S136" s="12" t="n">
        <f aca="false">IF(AND(ISNUMBER(R136),R136&gt;1,P136&gt;0),R136/P136-1,"")</f>
        <v>-0.798507968517584</v>
      </c>
    </row>
    <row r="137" customFormat="false" ht="15" hidden="false" customHeight="false" outlineLevel="0" collapsed="false">
      <c r="A137" s="10" t="s">
        <v>102</v>
      </c>
      <c r="B137" s="10" t="s">
        <v>57</v>
      </c>
      <c r="C137" s="10" t="s">
        <v>103</v>
      </c>
      <c r="D137" s="10"/>
      <c r="E137" s="11" t="n">
        <v>16</v>
      </c>
      <c r="F137" s="10" t="s">
        <v>291</v>
      </c>
      <c r="G137" s="7" t="n">
        <v>17</v>
      </c>
      <c r="H137" s="10" t="s">
        <v>573</v>
      </c>
      <c r="I137" s="10" t="s">
        <v>358</v>
      </c>
      <c r="J137" s="10" t="s">
        <v>353</v>
      </c>
      <c r="K137" s="7" t="n">
        <v>17</v>
      </c>
      <c r="L137" s="7" t="n">
        <v>75</v>
      </c>
      <c r="M137" s="7" t="n">
        <v>7</v>
      </c>
      <c r="N137" s="7" t="n">
        <v>46</v>
      </c>
      <c r="O137" s="7" t="n">
        <v>13</v>
      </c>
      <c r="P137" s="8" t="n">
        <v>49.4804563871502</v>
      </c>
      <c r="Q137" s="9" t="n">
        <v>0.0202099995233611</v>
      </c>
      <c r="R137" s="8" t="n">
        <v>11</v>
      </c>
      <c r="S137" s="12" t="n">
        <f aca="false">IF(AND(ISNUMBER(R137),R137&gt;1,P137&gt;0),R137/P137-1,"")</f>
        <v>-0.777690005243027</v>
      </c>
    </row>
    <row r="138" customFormat="false" ht="15" hidden="false" customHeight="false" outlineLevel="0" collapsed="false">
      <c r="A138" s="10" t="s">
        <v>102</v>
      </c>
      <c r="B138" s="10" t="s">
        <v>57</v>
      </c>
      <c r="C138" s="10" t="s">
        <v>103</v>
      </c>
      <c r="D138" s="10"/>
      <c r="E138" s="11" t="n">
        <v>16</v>
      </c>
      <c r="F138" s="10" t="s">
        <v>291</v>
      </c>
      <c r="G138" s="7" t="n">
        <v>17</v>
      </c>
      <c r="H138" s="10" t="s">
        <v>574</v>
      </c>
      <c r="I138" s="10" t="s">
        <v>145</v>
      </c>
      <c r="J138" s="10" t="s">
        <v>575</v>
      </c>
      <c r="K138" s="7" t="n">
        <v>15</v>
      </c>
      <c r="L138" s="7" t="n">
        <v>72</v>
      </c>
      <c r="M138" s="7" t="n">
        <v>8</v>
      </c>
      <c r="N138" s="7" t="n">
        <v>30</v>
      </c>
      <c r="O138" s="7" t="n">
        <v>14</v>
      </c>
      <c r="P138" s="8" t="n">
        <v>56.4560432667952</v>
      </c>
      <c r="Q138" s="9" t="n">
        <v>0.0177128955933784</v>
      </c>
      <c r="R138" s="8" t="n">
        <v>12</v>
      </c>
      <c r="S138" s="12" t="n">
        <f aca="false">IF(AND(ISNUMBER(R138),R138&gt;1,P138&gt;0),R138/P138-1,"")</f>
        <v>-0.787445252879459</v>
      </c>
    </row>
    <row r="139" customFormat="false" ht="15" hidden="false" customHeight="false" outlineLevel="0" collapsed="false">
      <c r="A139" s="10" t="s">
        <v>102</v>
      </c>
      <c r="B139" s="10" t="s">
        <v>57</v>
      </c>
      <c r="C139" s="10" t="s">
        <v>103</v>
      </c>
      <c r="D139" s="10"/>
      <c r="E139" s="11" t="n">
        <v>16</v>
      </c>
      <c r="F139" s="10" t="s">
        <v>291</v>
      </c>
      <c r="G139" s="7" t="n">
        <v>17</v>
      </c>
      <c r="H139" s="10" t="s">
        <v>576</v>
      </c>
      <c r="I139" s="10" t="s">
        <v>577</v>
      </c>
      <c r="J139" s="10" t="s">
        <v>578</v>
      </c>
      <c r="K139" s="7" t="n">
        <v>13</v>
      </c>
      <c r="L139" s="7" t="n">
        <v>86</v>
      </c>
      <c r="M139" s="7" t="n">
        <v>4</v>
      </c>
      <c r="N139" s="7" t="n">
        <v>133</v>
      </c>
      <c r="O139" s="7" t="n">
        <v>15</v>
      </c>
      <c r="P139" s="8" t="n">
        <v>85.8375658275146</v>
      </c>
      <c r="Q139" s="9" t="n">
        <v>0.0116499109726554</v>
      </c>
      <c r="R139" s="8" t="n">
        <v>34</v>
      </c>
      <c r="S139" s="12" t="n">
        <f aca="false">IF(AND(ISNUMBER(R139),R139&gt;1,P139&gt;0),R139/P139-1,"")</f>
        <v>-0.603903026929713</v>
      </c>
    </row>
    <row r="140" customFormat="false" ht="15" hidden="false" customHeight="false" outlineLevel="0" collapsed="false">
      <c r="A140" s="10" t="s">
        <v>102</v>
      </c>
      <c r="B140" s="10" t="s">
        <v>57</v>
      </c>
      <c r="C140" s="10" t="s">
        <v>103</v>
      </c>
      <c r="D140" s="10"/>
      <c r="E140" s="11" t="n">
        <v>16</v>
      </c>
      <c r="F140" s="10" t="s">
        <v>291</v>
      </c>
      <c r="G140" s="7" t="n">
        <v>17</v>
      </c>
      <c r="H140" s="10" t="s">
        <v>579</v>
      </c>
      <c r="I140" s="10" t="s">
        <v>358</v>
      </c>
      <c r="J140" s="10" t="s">
        <v>580</v>
      </c>
      <c r="K140" s="7" t="n">
        <v>18</v>
      </c>
      <c r="L140" s="7" t="n">
        <v>80</v>
      </c>
      <c r="M140" s="7" t="n">
        <v>6</v>
      </c>
      <c r="N140" s="7" t="n">
        <v>35</v>
      </c>
      <c r="O140" s="7" t="n">
        <v>16</v>
      </c>
      <c r="P140" s="8" t="n">
        <v>155.783953866234</v>
      </c>
      <c r="Q140" s="9" t="n">
        <v>0.0064191463573884</v>
      </c>
      <c r="R140" s="8" t="n">
        <v>51</v>
      </c>
      <c r="S140" s="12" t="n">
        <f aca="false">IF(AND(ISNUMBER(R140),R140&gt;1,P140&gt;0),R140/P140-1,"")</f>
        <v>-0.672623535773191</v>
      </c>
    </row>
    <row r="141" customFormat="false" ht="15" hidden="false" customHeight="false" outlineLevel="0" collapsed="false">
      <c r="A141" s="10" t="s">
        <v>102</v>
      </c>
      <c r="B141" s="10" t="s">
        <v>57</v>
      </c>
      <c r="C141" s="10" t="s">
        <v>103</v>
      </c>
      <c r="D141" s="10"/>
      <c r="E141" s="11" t="n">
        <v>16</v>
      </c>
      <c r="F141" s="10" t="s">
        <v>291</v>
      </c>
      <c r="G141" s="7" t="n">
        <v>17</v>
      </c>
      <c r="H141" s="10" t="s">
        <v>581</v>
      </c>
      <c r="I141" s="10" t="s">
        <v>391</v>
      </c>
      <c r="J141" s="10" t="s">
        <v>582</v>
      </c>
      <c r="K141" s="7" t="n">
        <v>14</v>
      </c>
      <c r="L141" s="7" t="n">
        <v>80</v>
      </c>
      <c r="M141" s="7" t="n">
        <v>4</v>
      </c>
      <c r="N141" s="7" t="n">
        <v>50</v>
      </c>
      <c r="O141" s="7" t="n">
        <v>17</v>
      </c>
      <c r="P141" s="8" t="n">
        <v>211.476293469566</v>
      </c>
      <c r="Q141" s="9" t="n">
        <v>0.0047286624121956</v>
      </c>
      <c r="R141" s="8" t="n">
        <v>41</v>
      </c>
      <c r="S141" s="12" t="n">
        <f aca="false">IF(AND(ISNUMBER(R141),R141&gt;1,P141&gt;0),R141/P141-1,"")</f>
        <v>-0.806124841099977</v>
      </c>
    </row>
    <row r="142" customFormat="false" ht="15" hidden="false" customHeight="false" outlineLevel="0" collapsed="false">
      <c r="A142" s="10" t="s">
        <v>108</v>
      </c>
      <c r="B142" s="10" t="s">
        <v>44</v>
      </c>
      <c r="C142" s="10" t="s">
        <v>109</v>
      </c>
      <c r="D142" s="10"/>
      <c r="E142" s="11" t="n">
        <v>8</v>
      </c>
      <c r="F142" s="10" t="s">
        <v>291</v>
      </c>
      <c r="G142" s="7" t="n">
        <v>7</v>
      </c>
      <c r="H142" s="10" t="s">
        <v>110</v>
      </c>
      <c r="I142" s="10" t="s">
        <v>111</v>
      </c>
      <c r="J142" s="10" t="s">
        <v>96</v>
      </c>
      <c r="K142" s="7" t="n">
        <v>6</v>
      </c>
      <c r="L142" s="7" t="n">
        <v>116</v>
      </c>
      <c r="M142" s="7" t="n">
        <v>3</v>
      </c>
      <c r="N142" s="7" t="n">
        <v>56</v>
      </c>
      <c r="O142" s="7" t="n">
        <v>1</v>
      </c>
      <c r="P142" s="8" t="n">
        <v>1.83132428732785</v>
      </c>
      <c r="Q142" s="9" t="n">
        <v>0.546052933890334</v>
      </c>
      <c r="R142" s="8" t="n">
        <v>1.57142857142857</v>
      </c>
      <c r="S142" s="12" t="n">
        <f aca="false">IF(AND(ISNUMBER(R142),R142&gt;1,P142&gt;0),R142/P142-1,"")</f>
        <v>-0.141916818172332</v>
      </c>
    </row>
    <row r="143" customFormat="false" ht="15" hidden="false" customHeight="false" outlineLevel="0" collapsed="false">
      <c r="A143" s="10" t="s">
        <v>108</v>
      </c>
      <c r="B143" s="10" t="s">
        <v>44</v>
      </c>
      <c r="C143" s="10" t="s">
        <v>109</v>
      </c>
      <c r="D143" s="10"/>
      <c r="E143" s="11" t="n">
        <v>8</v>
      </c>
      <c r="F143" s="10" t="s">
        <v>291</v>
      </c>
      <c r="G143" s="7" t="n">
        <v>7</v>
      </c>
      <c r="H143" s="10" t="s">
        <v>112</v>
      </c>
      <c r="I143" s="10" t="s">
        <v>89</v>
      </c>
      <c r="J143" s="10" t="s">
        <v>418</v>
      </c>
      <c r="K143" s="7" t="n">
        <v>4</v>
      </c>
      <c r="L143" s="7" t="n">
        <v>114</v>
      </c>
      <c r="M143" s="7" t="n">
        <v>5</v>
      </c>
      <c r="N143" s="7" t="n">
        <v>20</v>
      </c>
      <c r="O143" s="7" t="n">
        <v>2</v>
      </c>
      <c r="P143" s="8" t="n">
        <v>6.78689077841678</v>
      </c>
      <c r="Q143" s="9" t="n">
        <v>0.147342875058508</v>
      </c>
      <c r="R143" s="8" t="n">
        <v>8</v>
      </c>
      <c r="S143" s="12" t="n">
        <f aca="false">IF(AND(ISNUMBER(R143),R143&gt;1,P143&gt;0),R143/P143-1,"")</f>
        <v>0.17874300046806</v>
      </c>
    </row>
    <row r="144" customFormat="false" ht="15" hidden="false" customHeight="false" outlineLevel="0" collapsed="false">
      <c r="A144" s="10" t="s">
        <v>108</v>
      </c>
      <c r="B144" s="10" t="s">
        <v>44</v>
      </c>
      <c r="C144" s="10" t="s">
        <v>109</v>
      </c>
      <c r="D144" s="10"/>
      <c r="E144" s="11" t="n">
        <v>8</v>
      </c>
      <c r="F144" s="10" t="s">
        <v>291</v>
      </c>
      <c r="G144" s="7" t="n">
        <v>7</v>
      </c>
      <c r="H144" s="10" t="s">
        <v>583</v>
      </c>
      <c r="I144" s="10" t="s">
        <v>323</v>
      </c>
      <c r="J144" s="10" t="s">
        <v>393</v>
      </c>
      <c r="K144" s="7" t="n">
        <v>5</v>
      </c>
      <c r="L144" s="7" t="n">
        <v>110</v>
      </c>
      <c r="M144" s="7" t="n">
        <v>4</v>
      </c>
      <c r="N144" s="7" t="n">
        <v>20</v>
      </c>
      <c r="O144" s="7" t="n">
        <v>3</v>
      </c>
      <c r="P144" s="8" t="n">
        <v>7.70527438970528</v>
      </c>
      <c r="Q144" s="9" t="n">
        <v>0.129781231585479</v>
      </c>
      <c r="R144" s="8" t="n">
        <v>8</v>
      </c>
      <c r="S144" s="12" t="n">
        <f aca="false">IF(AND(ISNUMBER(R144),R144&gt;1,P144&gt;0),R144/P144-1,"")</f>
        <v>0.0382498526838311</v>
      </c>
    </row>
    <row r="145" customFormat="false" ht="15" hidden="false" customHeight="false" outlineLevel="0" collapsed="false">
      <c r="A145" s="10" t="s">
        <v>108</v>
      </c>
      <c r="B145" s="10" t="s">
        <v>44</v>
      </c>
      <c r="C145" s="10" t="s">
        <v>109</v>
      </c>
      <c r="D145" s="10"/>
      <c r="E145" s="11" t="n">
        <v>8</v>
      </c>
      <c r="F145" s="10" t="s">
        <v>291</v>
      </c>
      <c r="G145" s="7" t="n">
        <v>7</v>
      </c>
      <c r="H145" s="10" t="s">
        <v>584</v>
      </c>
      <c r="I145" s="10" t="s">
        <v>329</v>
      </c>
      <c r="J145" s="10" t="s">
        <v>90</v>
      </c>
      <c r="K145" s="7" t="n">
        <v>3</v>
      </c>
      <c r="L145" s="7" t="n">
        <v>112</v>
      </c>
      <c r="M145" s="7" t="n">
        <v>3</v>
      </c>
      <c r="N145" s="7" t="n">
        <v>20</v>
      </c>
      <c r="O145" s="7" t="n">
        <v>4</v>
      </c>
      <c r="P145" s="8" t="n">
        <v>11.9724609471967</v>
      </c>
      <c r="Q145" s="9" t="n">
        <v>0.0835250166536686</v>
      </c>
      <c r="R145" s="8" t="n">
        <v>12</v>
      </c>
      <c r="S145" s="12" t="n">
        <f aca="false">IF(AND(ISNUMBER(R145),R145&gt;1,P145&gt;0),R145/P145-1,"")</f>
        <v>0.00230019984402441</v>
      </c>
    </row>
    <row r="146" customFormat="false" ht="15" hidden="false" customHeight="false" outlineLevel="0" collapsed="false">
      <c r="A146" s="10" t="s">
        <v>108</v>
      </c>
      <c r="B146" s="10" t="s">
        <v>44</v>
      </c>
      <c r="C146" s="10" t="s">
        <v>109</v>
      </c>
      <c r="D146" s="10"/>
      <c r="E146" s="11" t="n">
        <v>8</v>
      </c>
      <c r="F146" s="10" t="s">
        <v>291</v>
      </c>
      <c r="G146" s="7" t="n">
        <v>7</v>
      </c>
      <c r="H146" s="10" t="s">
        <v>585</v>
      </c>
      <c r="I146" s="10" t="s">
        <v>320</v>
      </c>
      <c r="J146" s="10" t="s">
        <v>321</v>
      </c>
      <c r="K146" s="7" t="n">
        <v>1</v>
      </c>
      <c r="L146" s="7" t="n">
        <v>103</v>
      </c>
      <c r="M146" s="7" t="n">
        <v>3</v>
      </c>
      <c r="N146" s="7" t="n">
        <v>20</v>
      </c>
      <c r="O146" s="7" t="n">
        <v>5</v>
      </c>
      <c r="P146" s="8" t="n">
        <v>22.1612571521155</v>
      </c>
      <c r="Q146" s="9" t="n">
        <v>0.0451237938866</v>
      </c>
      <c r="R146" s="8" t="n">
        <v>13</v>
      </c>
      <c r="S146" s="12" t="n">
        <f aca="false">IF(AND(ISNUMBER(R146),R146&gt;1,P146&gt;0),R146/P146-1,"")</f>
        <v>-0.4133906794742</v>
      </c>
    </row>
    <row r="147" customFormat="false" ht="15" hidden="false" customHeight="false" outlineLevel="0" collapsed="false">
      <c r="A147" s="10" t="s">
        <v>108</v>
      </c>
      <c r="B147" s="10" t="s">
        <v>44</v>
      </c>
      <c r="C147" s="10" t="s">
        <v>109</v>
      </c>
      <c r="D147" s="10"/>
      <c r="E147" s="11" t="n">
        <v>8</v>
      </c>
      <c r="F147" s="10" t="s">
        <v>291</v>
      </c>
      <c r="G147" s="7" t="n">
        <v>7</v>
      </c>
      <c r="H147" s="10" t="s">
        <v>586</v>
      </c>
      <c r="I147" s="10" t="s">
        <v>587</v>
      </c>
      <c r="J147" s="10" t="s">
        <v>407</v>
      </c>
      <c r="K147" s="7" t="n">
        <v>7</v>
      </c>
      <c r="L147" s="7" t="n">
        <v>106</v>
      </c>
      <c r="M147" s="7" t="n">
        <v>7</v>
      </c>
      <c r="N147" s="7" t="n">
        <v>13</v>
      </c>
      <c r="O147" s="7" t="n">
        <v>6</v>
      </c>
      <c r="P147" s="8" t="n">
        <v>33.7074883879343</v>
      </c>
      <c r="Q147" s="9" t="n">
        <v>0.0296669982791702</v>
      </c>
      <c r="R147" s="8" t="n">
        <v>23</v>
      </c>
      <c r="S147" s="12" t="n">
        <f aca="false">IF(AND(ISNUMBER(R147),R147&gt;1,P147&gt;0),R147/P147-1,"")</f>
        <v>-0.317659039579084</v>
      </c>
    </row>
    <row r="148" customFormat="false" ht="15" hidden="false" customHeight="false" outlineLevel="0" collapsed="false">
      <c r="A148" s="10" t="s">
        <v>108</v>
      </c>
      <c r="B148" s="10" t="s">
        <v>44</v>
      </c>
      <c r="C148" s="10" t="s">
        <v>109</v>
      </c>
      <c r="D148" s="10"/>
      <c r="E148" s="11" t="n">
        <v>8</v>
      </c>
      <c r="F148" s="10" t="s">
        <v>291</v>
      </c>
      <c r="G148" s="7" t="n">
        <v>7</v>
      </c>
      <c r="H148" s="10" t="s">
        <v>588</v>
      </c>
      <c r="I148" s="10" t="s">
        <v>151</v>
      </c>
      <c r="J148" s="10" t="s">
        <v>96</v>
      </c>
      <c r="K148" s="7" t="n">
        <v>2</v>
      </c>
      <c r="L148" s="7" t="n">
        <v>102</v>
      </c>
      <c r="M148" s="7" t="n">
        <v>3</v>
      </c>
      <c r="N148" s="7" t="n">
        <v>55</v>
      </c>
      <c r="O148" s="7" t="n">
        <v>7</v>
      </c>
      <c r="P148" s="8" t="n">
        <v>54.0331690769012</v>
      </c>
      <c r="Q148" s="9" t="n">
        <v>0.0185071506462406</v>
      </c>
      <c r="R148" s="8" t="n">
        <v>41</v>
      </c>
      <c r="S148" s="12" t="n">
        <f aca="false">IF(AND(ISNUMBER(R148),R148&gt;1,P148&gt;0),R148/P148-1,"")</f>
        <v>-0.241206823504135</v>
      </c>
    </row>
    <row r="149" customFormat="false" ht="15" hidden="false" customHeight="false" outlineLevel="0" collapsed="false">
      <c r="A149" s="10" t="s">
        <v>113</v>
      </c>
      <c r="B149" s="10" t="s">
        <v>70</v>
      </c>
      <c r="C149" s="10" t="s">
        <v>114</v>
      </c>
      <c r="D149" s="10" t="s">
        <v>340</v>
      </c>
      <c r="E149" s="11" t="n">
        <v>7</v>
      </c>
      <c r="F149" s="10" t="s">
        <v>408</v>
      </c>
      <c r="G149" s="7" t="n">
        <v>11</v>
      </c>
      <c r="H149" s="10" t="s">
        <v>115</v>
      </c>
      <c r="I149" s="10" t="s">
        <v>116</v>
      </c>
      <c r="J149" s="10" t="s">
        <v>48</v>
      </c>
      <c r="K149" s="7" t="n">
        <v>8</v>
      </c>
      <c r="L149" s="7" t="n">
        <v>0</v>
      </c>
      <c r="M149" s="7" t="n">
        <v>2</v>
      </c>
      <c r="N149" s="7"/>
      <c r="O149" s="7" t="n">
        <v>1</v>
      </c>
      <c r="P149" s="8" t="n">
        <v>4.59424671929994</v>
      </c>
      <c r="Q149" s="9" t="n">
        <v>0.217663539008279</v>
      </c>
      <c r="R149" s="8" t="n">
        <v>2.75</v>
      </c>
      <c r="S149" s="12" t="n">
        <f aca="false">IF(AND(ISNUMBER(R149),R149&gt;1,P149&gt;0),R149/P149-1,"")</f>
        <v>-0.401425267727233</v>
      </c>
    </row>
    <row r="150" customFormat="false" ht="15" hidden="false" customHeight="false" outlineLevel="0" collapsed="false">
      <c r="A150" s="10" t="s">
        <v>113</v>
      </c>
      <c r="B150" s="10" t="s">
        <v>70</v>
      </c>
      <c r="C150" s="10" t="s">
        <v>114</v>
      </c>
      <c r="D150" s="10" t="s">
        <v>340</v>
      </c>
      <c r="E150" s="11" t="n">
        <v>7</v>
      </c>
      <c r="F150" s="10" t="s">
        <v>408</v>
      </c>
      <c r="G150" s="7" t="n">
        <v>11</v>
      </c>
      <c r="H150" s="10" t="s">
        <v>117</v>
      </c>
      <c r="I150" s="10" t="s">
        <v>157</v>
      </c>
      <c r="J150" s="10" t="s">
        <v>90</v>
      </c>
      <c r="K150" s="7" t="n">
        <v>1</v>
      </c>
      <c r="L150" s="7" t="n">
        <v>0</v>
      </c>
      <c r="M150" s="7" t="n">
        <v>2</v>
      </c>
      <c r="N150" s="7"/>
      <c r="O150" s="7" t="n">
        <v>2</v>
      </c>
      <c r="P150" s="8" t="n">
        <v>5.44070464659755</v>
      </c>
      <c r="Q150" s="9" t="n">
        <v>0.183799721719018</v>
      </c>
      <c r="R150" s="8" t="n">
        <v>2.75</v>
      </c>
      <c r="S150" s="12" t="n">
        <f aca="false">IF(AND(ISNUMBER(R150),R150&gt;1,P150&gt;0),R150/P150-1,"")</f>
        <v>-0.494550765272699</v>
      </c>
    </row>
    <row r="151" customFormat="false" ht="15" hidden="false" customHeight="false" outlineLevel="0" collapsed="false">
      <c r="A151" s="10" t="s">
        <v>113</v>
      </c>
      <c r="B151" s="10" t="s">
        <v>70</v>
      </c>
      <c r="C151" s="10" t="s">
        <v>114</v>
      </c>
      <c r="D151" s="10" t="s">
        <v>340</v>
      </c>
      <c r="E151" s="11" t="n">
        <v>7</v>
      </c>
      <c r="F151" s="10" t="s">
        <v>408</v>
      </c>
      <c r="G151" s="7" t="n">
        <v>11</v>
      </c>
      <c r="H151" s="10" t="s">
        <v>589</v>
      </c>
      <c r="I151" s="10" t="s">
        <v>590</v>
      </c>
      <c r="J151" s="10" t="s">
        <v>591</v>
      </c>
      <c r="K151" s="7" t="n">
        <v>7</v>
      </c>
      <c r="L151" s="7" t="n">
        <v>0</v>
      </c>
      <c r="M151" s="7" t="n">
        <v>2</v>
      </c>
      <c r="N151" s="7"/>
      <c r="O151" s="7" t="n">
        <v>3</v>
      </c>
      <c r="P151" s="8" t="n">
        <v>9.90506386357099</v>
      </c>
      <c r="Q151" s="9" t="n">
        <v>0.1009584606191</v>
      </c>
      <c r="R151" s="8" t="n">
        <v>19</v>
      </c>
      <c r="S151" s="12" t="n">
        <f aca="false">IF(AND(ISNUMBER(R151),R151&gt;1,P151&gt;0),R151/P151-1,"")</f>
        <v>0.918210751762895</v>
      </c>
    </row>
    <row r="152" customFormat="false" ht="15" hidden="false" customHeight="false" outlineLevel="0" collapsed="false">
      <c r="A152" s="10" t="s">
        <v>113</v>
      </c>
      <c r="B152" s="10" t="s">
        <v>70</v>
      </c>
      <c r="C152" s="10" t="s">
        <v>114</v>
      </c>
      <c r="D152" s="10" t="s">
        <v>340</v>
      </c>
      <c r="E152" s="11" t="n">
        <v>7</v>
      </c>
      <c r="F152" s="10" t="s">
        <v>408</v>
      </c>
      <c r="G152" s="7" t="n">
        <v>11</v>
      </c>
      <c r="H152" s="10" t="s">
        <v>592</v>
      </c>
      <c r="I152" s="10" t="s">
        <v>593</v>
      </c>
      <c r="J152" s="10" t="s">
        <v>418</v>
      </c>
      <c r="K152" s="7" t="n">
        <v>11</v>
      </c>
      <c r="L152" s="7" t="n">
        <v>0</v>
      </c>
      <c r="M152" s="7" t="n">
        <v>2</v>
      </c>
      <c r="N152" s="7"/>
      <c r="O152" s="7" t="n">
        <v>4</v>
      </c>
      <c r="P152" s="8" t="n">
        <v>11.4569926884326</v>
      </c>
      <c r="Q152" s="9" t="n">
        <v>0.0872829395282444</v>
      </c>
      <c r="R152" s="8" t="n">
        <v>11</v>
      </c>
      <c r="S152" s="12" t="n">
        <f aca="false">IF(AND(ISNUMBER(R152),R152&gt;1,P152&gt;0),R152/P152-1,"")</f>
        <v>-0.0398876651893108</v>
      </c>
    </row>
    <row r="153" customFormat="false" ht="15" hidden="false" customHeight="false" outlineLevel="0" collapsed="false">
      <c r="A153" s="10" t="s">
        <v>113</v>
      </c>
      <c r="B153" s="10" t="s">
        <v>70</v>
      </c>
      <c r="C153" s="10" t="s">
        <v>114</v>
      </c>
      <c r="D153" s="10" t="s">
        <v>340</v>
      </c>
      <c r="E153" s="11" t="n">
        <v>7</v>
      </c>
      <c r="F153" s="10" t="s">
        <v>408</v>
      </c>
      <c r="G153" s="7" t="n">
        <v>11</v>
      </c>
      <c r="H153" s="10" t="s">
        <v>594</v>
      </c>
      <c r="I153" s="10" t="s">
        <v>595</v>
      </c>
      <c r="J153" s="10" t="s">
        <v>596</v>
      </c>
      <c r="K153" s="7" t="n">
        <v>2</v>
      </c>
      <c r="L153" s="7" t="n">
        <v>0</v>
      </c>
      <c r="M153" s="7" t="n">
        <v>2</v>
      </c>
      <c r="N153" s="7" t="n">
        <v>60</v>
      </c>
      <c r="O153" s="7" t="n">
        <v>5</v>
      </c>
      <c r="P153" s="8" t="n">
        <v>12.1233955573341</v>
      </c>
      <c r="Q153" s="9" t="n">
        <v>0.0824851416643782</v>
      </c>
      <c r="R153" s="8" t="n">
        <v>13</v>
      </c>
      <c r="S153" s="12" t="n">
        <f aca="false">IF(AND(ISNUMBER(R153),R153&gt;1,P153&gt;0),R153/P153-1,"")</f>
        <v>0.0723068416369168</v>
      </c>
    </row>
    <row r="154" customFormat="false" ht="15" hidden="false" customHeight="false" outlineLevel="0" collapsed="false">
      <c r="A154" s="10" t="s">
        <v>113</v>
      </c>
      <c r="B154" s="10" t="s">
        <v>70</v>
      </c>
      <c r="C154" s="10" t="s">
        <v>114</v>
      </c>
      <c r="D154" s="10" t="s">
        <v>340</v>
      </c>
      <c r="E154" s="11" t="n">
        <v>7</v>
      </c>
      <c r="F154" s="10" t="s">
        <v>408</v>
      </c>
      <c r="G154" s="7" t="n">
        <v>11</v>
      </c>
      <c r="H154" s="10" t="s">
        <v>597</v>
      </c>
      <c r="I154" s="10" t="s">
        <v>598</v>
      </c>
      <c r="J154" s="10" t="s">
        <v>599</v>
      </c>
      <c r="K154" s="7" t="n">
        <v>5</v>
      </c>
      <c r="L154" s="7" t="n">
        <v>0</v>
      </c>
      <c r="M154" s="7" t="n">
        <v>2</v>
      </c>
      <c r="N154" s="7"/>
      <c r="O154" s="7" t="n">
        <v>6</v>
      </c>
      <c r="P154" s="8" t="n">
        <v>12.7504465591341</v>
      </c>
      <c r="Q154" s="9" t="n">
        <v>0.0784286256455565</v>
      </c>
      <c r="R154" s="8" t="n">
        <v>41</v>
      </c>
      <c r="S154" s="12" t="n">
        <f aca="false">IF(AND(ISNUMBER(R154),R154&gt;1,P154&gt;0),R154/P154-1,"")</f>
        <v>2.21557365146782</v>
      </c>
    </row>
    <row r="155" customFormat="false" ht="15" hidden="false" customHeight="false" outlineLevel="0" collapsed="false">
      <c r="A155" s="10" t="s">
        <v>113</v>
      </c>
      <c r="B155" s="10" t="s">
        <v>70</v>
      </c>
      <c r="C155" s="10" t="s">
        <v>114</v>
      </c>
      <c r="D155" s="10" t="s">
        <v>340</v>
      </c>
      <c r="E155" s="11" t="n">
        <v>7</v>
      </c>
      <c r="F155" s="10" t="s">
        <v>408</v>
      </c>
      <c r="G155" s="7" t="n">
        <v>11</v>
      </c>
      <c r="H155" s="10" t="s">
        <v>600</v>
      </c>
      <c r="I155" s="10" t="s">
        <v>521</v>
      </c>
      <c r="J155" s="10" t="s">
        <v>601</v>
      </c>
      <c r="K155" s="7" t="n">
        <v>12</v>
      </c>
      <c r="L155" s="7" t="n">
        <v>0</v>
      </c>
      <c r="M155" s="7" t="n">
        <v>2</v>
      </c>
      <c r="N155" s="7" t="n">
        <v>73</v>
      </c>
      <c r="O155" s="7" t="n">
        <v>7</v>
      </c>
      <c r="P155" s="8" t="n">
        <v>13.8136112619466</v>
      </c>
      <c r="Q155" s="9" t="n">
        <v>0.0723923658366422</v>
      </c>
      <c r="R155" s="8" t="n">
        <v>15</v>
      </c>
      <c r="S155" s="12" t="n">
        <f aca="false">IF(AND(ISNUMBER(R155),R155&gt;1,P155&gt;0),R155/P155-1,"")</f>
        <v>0.0858854875496333</v>
      </c>
    </row>
    <row r="156" customFormat="false" ht="15" hidden="false" customHeight="false" outlineLevel="0" collapsed="false">
      <c r="A156" s="10" t="s">
        <v>113</v>
      </c>
      <c r="B156" s="10" t="s">
        <v>70</v>
      </c>
      <c r="C156" s="10" t="s">
        <v>114</v>
      </c>
      <c r="D156" s="10" t="s">
        <v>340</v>
      </c>
      <c r="E156" s="11" t="n">
        <v>7</v>
      </c>
      <c r="F156" s="10" t="s">
        <v>408</v>
      </c>
      <c r="G156" s="7" t="n">
        <v>11</v>
      </c>
      <c r="H156" s="10" t="s">
        <v>602</v>
      </c>
      <c r="I156" s="10" t="s">
        <v>603</v>
      </c>
      <c r="J156" s="10" t="s">
        <v>330</v>
      </c>
      <c r="K156" s="7" t="n">
        <v>6</v>
      </c>
      <c r="L156" s="7" t="n">
        <v>0</v>
      </c>
      <c r="M156" s="7" t="n">
        <v>2</v>
      </c>
      <c r="N156" s="7"/>
      <c r="O156" s="7" t="n">
        <v>8</v>
      </c>
      <c r="P156" s="8" t="n">
        <v>16.0461668842857</v>
      </c>
      <c r="Q156" s="9" t="n">
        <v>0.0623201794678651</v>
      </c>
      <c r="R156" s="8" t="n">
        <v>9.5</v>
      </c>
      <c r="S156" s="12" t="n">
        <f aca="false">IF(AND(ISNUMBER(R156),R156&gt;1,P156&gt;0),R156/P156-1,"")</f>
        <v>-0.407958295055282</v>
      </c>
    </row>
    <row r="157" customFormat="false" ht="15" hidden="false" customHeight="false" outlineLevel="0" collapsed="false">
      <c r="A157" s="10" t="s">
        <v>113</v>
      </c>
      <c r="B157" s="10" t="s">
        <v>70</v>
      </c>
      <c r="C157" s="10" t="s">
        <v>114</v>
      </c>
      <c r="D157" s="10" t="s">
        <v>340</v>
      </c>
      <c r="E157" s="11" t="n">
        <v>7</v>
      </c>
      <c r="F157" s="10" t="s">
        <v>408</v>
      </c>
      <c r="G157" s="7" t="n">
        <v>11</v>
      </c>
      <c r="H157" s="10" t="s">
        <v>604</v>
      </c>
      <c r="I157" s="10" t="s">
        <v>605</v>
      </c>
      <c r="J157" s="10" t="s">
        <v>606</v>
      </c>
      <c r="K157" s="7" t="n">
        <v>10</v>
      </c>
      <c r="L157" s="7" t="n">
        <v>0</v>
      </c>
      <c r="M157" s="7" t="n">
        <v>2</v>
      </c>
      <c r="N157" s="7"/>
      <c r="O157" s="7" t="n">
        <v>9</v>
      </c>
      <c r="P157" s="8" t="n">
        <v>19.3323213952906</v>
      </c>
      <c r="Q157" s="9" t="n">
        <v>0.0517268453980701</v>
      </c>
      <c r="R157" s="8" t="n">
        <v>11</v>
      </c>
      <c r="S157" s="12" t="n">
        <f aca="false">IF(AND(ISNUMBER(R157),R157&gt;1,P157&gt;0),R157/P157-1,"")</f>
        <v>-0.431004700621229</v>
      </c>
    </row>
    <row r="158" customFormat="false" ht="15" hidden="false" customHeight="false" outlineLevel="0" collapsed="false">
      <c r="A158" s="10" t="s">
        <v>113</v>
      </c>
      <c r="B158" s="10" t="s">
        <v>70</v>
      </c>
      <c r="C158" s="10" t="s">
        <v>114</v>
      </c>
      <c r="D158" s="10" t="s">
        <v>340</v>
      </c>
      <c r="E158" s="11" t="n">
        <v>7</v>
      </c>
      <c r="F158" s="10" t="s">
        <v>408</v>
      </c>
      <c r="G158" s="7" t="n">
        <v>11</v>
      </c>
      <c r="H158" s="10" t="s">
        <v>607</v>
      </c>
      <c r="I158" s="10" t="s">
        <v>608</v>
      </c>
      <c r="J158" s="10" t="s">
        <v>393</v>
      </c>
      <c r="K158" s="7" t="n">
        <v>9</v>
      </c>
      <c r="L158" s="7" t="n">
        <v>0</v>
      </c>
      <c r="M158" s="7" t="n">
        <v>2</v>
      </c>
      <c r="N158" s="7" t="n">
        <v>16</v>
      </c>
      <c r="O158" s="7" t="n">
        <v>10</v>
      </c>
      <c r="P158" s="8" t="n">
        <v>30.9084904795561</v>
      </c>
      <c r="Q158" s="9" t="n">
        <v>0.0323535696659606</v>
      </c>
      <c r="R158" s="8" t="n">
        <v>23</v>
      </c>
      <c r="S158" s="12" t="n">
        <f aca="false">IF(AND(ISNUMBER(R158),R158&gt;1,P158&gt;0),R158/P158-1,"")</f>
        <v>-0.255867897682905</v>
      </c>
    </row>
    <row r="159" customFormat="false" ht="15" hidden="false" customHeight="false" outlineLevel="0" collapsed="false">
      <c r="A159" s="10" t="s">
        <v>113</v>
      </c>
      <c r="B159" s="10" t="s">
        <v>70</v>
      </c>
      <c r="C159" s="10" t="s">
        <v>114</v>
      </c>
      <c r="D159" s="10" t="s">
        <v>340</v>
      </c>
      <c r="E159" s="11" t="n">
        <v>7</v>
      </c>
      <c r="F159" s="10" t="s">
        <v>408</v>
      </c>
      <c r="G159" s="7" t="n">
        <v>11</v>
      </c>
      <c r="H159" s="10" t="s">
        <v>609</v>
      </c>
      <c r="I159" s="10" t="s">
        <v>610</v>
      </c>
      <c r="J159" s="10" t="s">
        <v>611</v>
      </c>
      <c r="K159" s="7" t="n">
        <v>4</v>
      </c>
      <c r="L159" s="7" t="n">
        <v>0</v>
      </c>
      <c r="M159" s="7" t="n">
        <v>2</v>
      </c>
      <c r="N159" s="7"/>
      <c r="O159" s="7" t="n">
        <v>11</v>
      </c>
      <c r="P159" s="8" t="n">
        <v>32.6919056700699</v>
      </c>
      <c r="Q159" s="9" t="n">
        <v>0.0305886114468854</v>
      </c>
      <c r="R159" s="8" t="n">
        <v>23</v>
      </c>
      <c r="S159" s="12" t="n">
        <f aca="false">IF(AND(ISNUMBER(R159),R159&gt;1,P159&gt;0),R159/P159-1,"")</f>
        <v>-0.296461936721634</v>
      </c>
    </row>
    <row r="160" customFormat="false" ht="15" hidden="false" customHeight="false" outlineLevel="0" collapsed="false">
      <c r="A160" s="10" t="s">
        <v>118</v>
      </c>
      <c r="B160" s="10" t="s">
        <v>37</v>
      </c>
      <c r="C160" s="10" t="s">
        <v>119</v>
      </c>
      <c r="D160" s="10" t="s">
        <v>508</v>
      </c>
      <c r="E160" s="11" t="n">
        <v>20</v>
      </c>
      <c r="F160" s="10" t="s">
        <v>291</v>
      </c>
      <c r="G160" s="7" t="n">
        <v>9</v>
      </c>
      <c r="H160" s="10" t="s">
        <v>120</v>
      </c>
      <c r="I160" s="10" t="s">
        <v>121</v>
      </c>
      <c r="J160" s="10" t="s">
        <v>122</v>
      </c>
      <c r="K160" s="7" t="n">
        <v>7</v>
      </c>
      <c r="L160" s="7" t="n">
        <v>109</v>
      </c>
      <c r="M160" s="7" t="n">
        <v>4</v>
      </c>
      <c r="N160" s="7" t="n">
        <v>106</v>
      </c>
      <c r="O160" s="7" t="n">
        <v>1</v>
      </c>
      <c r="P160" s="8" t="n">
        <v>1.62655294159896</v>
      </c>
      <c r="Q160" s="9" t="n">
        <v>0.614797080639113</v>
      </c>
      <c r="R160" s="8" t="n">
        <v>1.83333333333333</v>
      </c>
      <c r="S160" s="12" t="n">
        <f aca="false">IF(AND(ISNUMBER(R160),R160&gt;1,P160&gt;0),R160/P160-1,"")</f>
        <v>0.127127981171707</v>
      </c>
    </row>
    <row r="161" customFormat="false" ht="15" hidden="false" customHeight="false" outlineLevel="0" collapsed="false">
      <c r="A161" s="10" t="s">
        <v>118</v>
      </c>
      <c r="B161" s="10" t="s">
        <v>37</v>
      </c>
      <c r="C161" s="10" t="s">
        <v>119</v>
      </c>
      <c r="D161" s="10" t="s">
        <v>508</v>
      </c>
      <c r="E161" s="11" t="n">
        <v>20</v>
      </c>
      <c r="F161" s="10" t="s">
        <v>291</v>
      </c>
      <c r="G161" s="7" t="n">
        <v>9</v>
      </c>
      <c r="H161" s="10" t="s">
        <v>123</v>
      </c>
      <c r="I161" s="10" t="s">
        <v>344</v>
      </c>
      <c r="J161" s="10" t="s">
        <v>345</v>
      </c>
      <c r="K161" s="7" t="n">
        <v>2</v>
      </c>
      <c r="L161" s="7" t="n">
        <v>0</v>
      </c>
      <c r="M161" s="7" t="n">
        <v>5</v>
      </c>
      <c r="N161" s="7" t="n">
        <v>173</v>
      </c>
      <c r="O161" s="7" t="n">
        <v>2</v>
      </c>
      <c r="P161" s="8" t="n">
        <v>5.50032559925874</v>
      </c>
      <c r="Q161" s="9" t="n">
        <v>0.181807418843489</v>
      </c>
      <c r="R161" s="8" t="n">
        <v>4.33333333333333</v>
      </c>
      <c r="S161" s="12" t="n">
        <f aca="false">IF(AND(ISNUMBER(R161),R161&gt;1,P161&gt;0),R161/P161-1,"")</f>
        <v>-0.212167851678214</v>
      </c>
    </row>
    <row r="162" customFormat="false" ht="15" hidden="false" customHeight="false" outlineLevel="0" collapsed="false">
      <c r="A162" s="10" t="s">
        <v>118</v>
      </c>
      <c r="B162" s="10" t="s">
        <v>37</v>
      </c>
      <c r="C162" s="10" t="s">
        <v>119</v>
      </c>
      <c r="D162" s="10" t="s">
        <v>508</v>
      </c>
      <c r="E162" s="11" t="n">
        <v>20</v>
      </c>
      <c r="F162" s="10" t="s">
        <v>291</v>
      </c>
      <c r="G162" s="7" t="n">
        <v>9</v>
      </c>
      <c r="H162" s="10" t="s">
        <v>612</v>
      </c>
      <c r="I162" s="10" t="s">
        <v>295</v>
      </c>
      <c r="J162" s="10" t="s">
        <v>613</v>
      </c>
      <c r="K162" s="7" t="n">
        <v>1</v>
      </c>
      <c r="L162" s="7" t="n">
        <v>108</v>
      </c>
      <c r="M162" s="7" t="n">
        <v>5</v>
      </c>
      <c r="N162" s="7" t="n">
        <v>173</v>
      </c>
      <c r="O162" s="7" t="n">
        <v>3</v>
      </c>
      <c r="P162" s="8" t="n">
        <v>6.07501331601816</v>
      </c>
      <c r="Q162" s="9" t="n">
        <v>0.164608692686034</v>
      </c>
      <c r="R162" s="8" t="n">
        <v>2.625</v>
      </c>
      <c r="S162" s="12" t="n">
        <f aca="false">IF(AND(ISNUMBER(R162),R162&gt;1,P162&gt;0),R162/P162-1,"")</f>
        <v>-0.56790218169916</v>
      </c>
    </row>
    <row r="163" customFormat="false" ht="15" hidden="false" customHeight="false" outlineLevel="0" collapsed="false">
      <c r="A163" s="10" t="s">
        <v>118</v>
      </c>
      <c r="B163" s="10" t="s">
        <v>37</v>
      </c>
      <c r="C163" s="10" t="s">
        <v>119</v>
      </c>
      <c r="D163" s="10" t="s">
        <v>508</v>
      </c>
      <c r="E163" s="11" t="n">
        <v>20</v>
      </c>
      <c r="F163" s="10" t="s">
        <v>291</v>
      </c>
      <c r="G163" s="7" t="n">
        <v>9</v>
      </c>
      <c r="H163" s="10" t="s">
        <v>614</v>
      </c>
      <c r="I163" s="10" t="s">
        <v>615</v>
      </c>
      <c r="J163" s="10" t="s">
        <v>616</v>
      </c>
      <c r="K163" s="7" t="n">
        <v>6</v>
      </c>
      <c r="L163" s="7" t="n">
        <v>0</v>
      </c>
      <c r="M163" s="7" t="n">
        <v>4</v>
      </c>
      <c r="N163" s="7" t="n">
        <v>75</v>
      </c>
      <c r="O163" s="7" t="n">
        <v>4</v>
      </c>
      <c r="P163" s="8" t="n">
        <v>62.9414389427208</v>
      </c>
      <c r="Q163" s="9" t="n">
        <v>0.0158877842133549</v>
      </c>
      <c r="R163" s="8" t="n">
        <v>34</v>
      </c>
      <c r="S163" s="12" t="n">
        <f aca="false">IF(AND(ISNUMBER(R163),R163&gt;1,P163&gt;0),R163/P163-1,"")</f>
        <v>-0.459815336745933</v>
      </c>
    </row>
    <row r="164" customFormat="false" ht="15" hidden="false" customHeight="false" outlineLevel="0" collapsed="false">
      <c r="A164" s="10" t="s">
        <v>118</v>
      </c>
      <c r="B164" s="10" t="s">
        <v>37</v>
      </c>
      <c r="C164" s="10" t="s">
        <v>119</v>
      </c>
      <c r="D164" s="10" t="s">
        <v>508</v>
      </c>
      <c r="E164" s="11" t="n">
        <v>20</v>
      </c>
      <c r="F164" s="10" t="s">
        <v>291</v>
      </c>
      <c r="G164" s="7" t="n">
        <v>9</v>
      </c>
      <c r="H164" s="10" t="s">
        <v>617</v>
      </c>
      <c r="I164" s="10" t="s">
        <v>532</v>
      </c>
      <c r="J164" s="10" t="s">
        <v>613</v>
      </c>
      <c r="K164" s="7" t="n">
        <v>5</v>
      </c>
      <c r="L164" s="7" t="n">
        <v>0</v>
      </c>
      <c r="M164" s="7" t="n">
        <v>4</v>
      </c>
      <c r="N164" s="7" t="n">
        <v>15</v>
      </c>
      <c r="O164" s="7" t="n">
        <v>5</v>
      </c>
      <c r="P164" s="8" t="n">
        <v>78.0526670485661</v>
      </c>
      <c r="Q164" s="9" t="n">
        <v>0.0128118620133477</v>
      </c>
      <c r="R164" s="8" t="n">
        <v>67</v>
      </c>
      <c r="S164" s="12" t="n">
        <f aca="false">IF(AND(ISNUMBER(R164),R164&gt;1,P164&gt;0),R164/P164-1,"")</f>
        <v>-0.141605245105703</v>
      </c>
    </row>
    <row r="165" customFormat="false" ht="15" hidden="false" customHeight="false" outlineLevel="0" collapsed="false">
      <c r="A165" s="10" t="s">
        <v>118</v>
      </c>
      <c r="B165" s="10" t="s">
        <v>37</v>
      </c>
      <c r="C165" s="10" t="s">
        <v>119</v>
      </c>
      <c r="D165" s="10" t="s">
        <v>508</v>
      </c>
      <c r="E165" s="11" t="n">
        <v>20</v>
      </c>
      <c r="F165" s="10" t="s">
        <v>291</v>
      </c>
      <c r="G165" s="7" t="n">
        <v>9</v>
      </c>
      <c r="H165" s="10" t="s">
        <v>618</v>
      </c>
      <c r="I165" s="10" t="s">
        <v>619</v>
      </c>
      <c r="J165" s="10" t="s">
        <v>620</v>
      </c>
      <c r="K165" s="7" t="n">
        <v>3</v>
      </c>
      <c r="L165" s="7" t="n">
        <v>0</v>
      </c>
      <c r="M165" s="7" t="n">
        <v>5</v>
      </c>
      <c r="N165" s="7" t="n">
        <v>72</v>
      </c>
      <c r="O165" s="7" t="n">
        <v>6</v>
      </c>
      <c r="P165" s="8" t="n">
        <v>213.550734813141</v>
      </c>
      <c r="Q165" s="9" t="n">
        <v>0.0046827279750407</v>
      </c>
      <c r="R165" s="8" t="n">
        <v>34</v>
      </c>
      <c r="S165" s="12" t="n">
        <f aca="false">IF(AND(ISNUMBER(R165),R165&gt;1,P165&gt;0),R165/P165-1,"")</f>
        <v>-0.840787248848615</v>
      </c>
    </row>
    <row r="166" customFormat="false" ht="15" hidden="false" customHeight="false" outlineLevel="0" collapsed="false">
      <c r="A166" s="10" t="s">
        <v>118</v>
      </c>
      <c r="B166" s="10" t="s">
        <v>37</v>
      </c>
      <c r="C166" s="10" t="s">
        <v>119</v>
      </c>
      <c r="D166" s="10" t="s">
        <v>508</v>
      </c>
      <c r="E166" s="11" t="n">
        <v>20</v>
      </c>
      <c r="F166" s="10" t="s">
        <v>291</v>
      </c>
      <c r="G166" s="7" t="n">
        <v>9</v>
      </c>
      <c r="H166" s="10" t="s">
        <v>621</v>
      </c>
      <c r="I166" s="10" t="s">
        <v>622</v>
      </c>
      <c r="J166" s="10" t="s">
        <v>296</v>
      </c>
      <c r="K166" s="7" t="n">
        <v>4</v>
      </c>
      <c r="L166" s="7" t="n">
        <v>0</v>
      </c>
      <c r="M166" s="7" t="n">
        <v>5</v>
      </c>
      <c r="N166" s="7" t="n">
        <v>172</v>
      </c>
      <c r="O166" s="7" t="n">
        <v>7</v>
      </c>
      <c r="P166" s="8" t="n">
        <v>303.41726097763</v>
      </c>
      <c r="Q166" s="9" t="n">
        <v>0.0032957914021698</v>
      </c>
      <c r="R166" s="8" t="n">
        <v>126</v>
      </c>
      <c r="S166" s="12" t="n">
        <f aca="false">IF(AND(ISNUMBER(R166),R166&gt;1,P166&gt;0),R166/P166-1,"")</f>
        <v>-0.584730283326599</v>
      </c>
    </row>
    <row r="167" customFormat="false" ht="15" hidden="false" customHeight="false" outlineLevel="0" collapsed="false">
      <c r="A167" s="10" t="s">
        <v>118</v>
      </c>
      <c r="B167" s="10" t="s">
        <v>37</v>
      </c>
      <c r="C167" s="10" t="s">
        <v>119</v>
      </c>
      <c r="D167" s="10" t="s">
        <v>508</v>
      </c>
      <c r="E167" s="11" t="n">
        <v>20</v>
      </c>
      <c r="F167" s="10" t="s">
        <v>291</v>
      </c>
      <c r="G167" s="7" t="n">
        <v>9</v>
      </c>
      <c r="H167" s="10" t="s">
        <v>623</v>
      </c>
      <c r="I167" s="10" t="s">
        <v>304</v>
      </c>
      <c r="J167" s="10" t="s">
        <v>624</v>
      </c>
      <c r="K167" s="7" t="n">
        <v>8</v>
      </c>
      <c r="L167" s="7" t="n">
        <v>0</v>
      </c>
      <c r="M167" s="7" t="n">
        <v>4</v>
      </c>
      <c r="N167" s="7" t="n">
        <v>10</v>
      </c>
      <c r="O167" s="7" t="n">
        <v>8</v>
      </c>
      <c r="P167" s="8" t="n">
        <v>779.02324007959</v>
      </c>
      <c r="Q167" s="9" t="n">
        <v>0.0012836587518208</v>
      </c>
      <c r="R167" s="8" t="n">
        <v>201</v>
      </c>
      <c r="S167" s="12" t="n">
        <f aca="false">IF(AND(ISNUMBER(R167),R167&gt;1,P167&gt;0),R167/P167-1,"")</f>
        <v>-0.74198459088401</v>
      </c>
    </row>
    <row r="168" customFormat="false" ht="15" hidden="false" customHeight="false" outlineLevel="0" collapsed="false">
      <c r="A168" s="10" t="s">
        <v>118</v>
      </c>
      <c r="B168" s="10" t="s">
        <v>37</v>
      </c>
      <c r="C168" s="10" t="s">
        <v>119</v>
      </c>
      <c r="D168" s="10" t="s">
        <v>508</v>
      </c>
      <c r="E168" s="11" t="n">
        <v>20</v>
      </c>
      <c r="F168" s="10" t="s">
        <v>291</v>
      </c>
      <c r="G168" s="7" t="n">
        <v>9</v>
      </c>
      <c r="H168" s="10" t="s">
        <v>625</v>
      </c>
      <c r="I168" s="10" t="s">
        <v>626</v>
      </c>
      <c r="J168" s="10" t="s">
        <v>627</v>
      </c>
      <c r="K168" s="7" t="n">
        <v>9</v>
      </c>
      <c r="L168" s="7" t="n">
        <v>0</v>
      </c>
      <c r="M168" s="7" t="n">
        <v>4</v>
      </c>
      <c r="N168" s="7" t="n">
        <v>63</v>
      </c>
      <c r="O168" s="7" t="n">
        <v>9</v>
      </c>
      <c r="P168" s="8" t="n">
        <v>1212.14549083773</v>
      </c>
      <c r="Q168" s="9" t="n">
        <v>0.0008249834756295</v>
      </c>
      <c r="R168" s="8" t="n">
        <v>201</v>
      </c>
      <c r="S168" s="12" t="n">
        <f aca="false">IF(AND(ISNUMBER(R168),R168&gt;1,P168&gt;0),R168/P168-1,"")</f>
        <v>-0.834178321398459</v>
      </c>
    </row>
    <row r="169" customFormat="false" ht="15" hidden="false" customHeight="false" outlineLevel="0" collapsed="false">
      <c r="A169" s="10" t="s">
        <v>124</v>
      </c>
      <c r="B169" s="10" t="s">
        <v>57</v>
      </c>
      <c r="C169" s="10" t="s">
        <v>125</v>
      </c>
      <c r="D169" s="10"/>
      <c r="E169" s="11" t="n">
        <v>16</v>
      </c>
      <c r="F169" s="10" t="s">
        <v>291</v>
      </c>
      <c r="G169" s="7" t="n">
        <v>17</v>
      </c>
      <c r="H169" s="10" t="s">
        <v>126</v>
      </c>
      <c r="I169" s="10" t="s">
        <v>127</v>
      </c>
      <c r="J169" s="10" t="s">
        <v>128</v>
      </c>
      <c r="K169" s="7" t="n">
        <v>4</v>
      </c>
      <c r="L169" s="7" t="n">
        <v>135</v>
      </c>
      <c r="M169" s="7" t="n">
        <v>6</v>
      </c>
      <c r="N169" s="7" t="n">
        <v>57</v>
      </c>
      <c r="O169" s="7" t="n">
        <v>1</v>
      </c>
      <c r="P169" s="8" t="n">
        <v>5.6057063991872</v>
      </c>
      <c r="Q169" s="9" t="n">
        <v>0.178389649544435</v>
      </c>
      <c r="R169" s="8" t="n">
        <v>7</v>
      </c>
      <c r="S169" s="12" t="n">
        <f aca="false">IF(AND(ISNUMBER(R169),R169&gt;1,P169&gt;0),R169/P169-1,"")</f>
        <v>0.248727546811043</v>
      </c>
    </row>
    <row r="170" customFormat="false" ht="15" hidden="false" customHeight="false" outlineLevel="0" collapsed="false">
      <c r="A170" s="10" t="s">
        <v>124</v>
      </c>
      <c r="B170" s="10" t="s">
        <v>57</v>
      </c>
      <c r="C170" s="10" t="s">
        <v>125</v>
      </c>
      <c r="D170" s="10"/>
      <c r="E170" s="11" t="n">
        <v>16</v>
      </c>
      <c r="F170" s="10" t="s">
        <v>291</v>
      </c>
      <c r="G170" s="7" t="n">
        <v>17</v>
      </c>
      <c r="H170" s="10" t="s">
        <v>129</v>
      </c>
      <c r="I170" s="10" t="s">
        <v>168</v>
      </c>
      <c r="J170" s="10" t="s">
        <v>61</v>
      </c>
      <c r="K170" s="7" t="n">
        <v>8</v>
      </c>
      <c r="L170" s="7" t="n">
        <v>133</v>
      </c>
      <c r="M170" s="7" t="n">
        <v>6</v>
      </c>
      <c r="N170" s="7" t="n">
        <v>58</v>
      </c>
      <c r="O170" s="7" t="n">
        <v>2</v>
      </c>
      <c r="P170" s="8" t="n">
        <v>7.93803817532446</v>
      </c>
      <c r="Q170" s="9" t="n">
        <v>0.125975710611788</v>
      </c>
      <c r="R170" s="8" t="n">
        <v>4</v>
      </c>
      <c r="S170" s="12" t="n">
        <f aca="false">IF(AND(ISNUMBER(R170),R170&gt;1,P170&gt;0),R170/P170-1,"")</f>
        <v>-0.496097157552848</v>
      </c>
    </row>
    <row r="171" customFormat="false" ht="15" hidden="false" customHeight="false" outlineLevel="0" collapsed="false">
      <c r="A171" s="10" t="s">
        <v>124</v>
      </c>
      <c r="B171" s="10" t="s">
        <v>57</v>
      </c>
      <c r="C171" s="10" t="s">
        <v>125</v>
      </c>
      <c r="D171" s="10"/>
      <c r="E171" s="11" t="n">
        <v>16</v>
      </c>
      <c r="F171" s="10" t="s">
        <v>291</v>
      </c>
      <c r="G171" s="7" t="n">
        <v>17</v>
      </c>
      <c r="H171" s="10" t="s">
        <v>628</v>
      </c>
      <c r="I171" s="10" t="s">
        <v>629</v>
      </c>
      <c r="J171" s="10" t="s">
        <v>468</v>
      </c>
      <c r="K171" s="7" t="n">
        <v>6</v>
      </c>
      <c r="L171" s="7" t="n">
        <v>134</v>
      </c>
      <c r="M171" s="7" t="n">
        <v>5</v>
      </c>
      <c r="N171" s="7" t="n">
        <v>57</v>
      </c>
      <c r="O171" s="7" t="n">
        <v>3</v>
      </c>
      <c r="P171" s="8" t="n">
        <v>9.39692360854159</v>
      </c>
      <c r="Q171" s="9" t="n">
        <v>0.106417806684203</v>
      </c>
      <c r="R171" s="8" t="n">
        <v>10</v>
      </c>
      <c r="S171" s="12" t="n">
        <f aca="false">IF(AND(ISNUMBER(R171),R171&gt;1,P171&gt;0),R171/P171-1,"")</f>
        <v>0.0641780668420282</v>
      </c>
    </row>
    <row r="172" customFormat="false" ht="15" hidden="false" customHeight="false" outlineLevel="0" collapsed="false">
      <c r="A172" s="10" t="s">
        <v>124</v>
      </c>
      <c r="B172" s="10" t="s">
        <v>57</v>
      </c>
      <c r="C172" s="10" t="s">
        <v>125</v>
      </c>
      <c r="D172" s="10"/>
      <c r="E172" s="11" t="n">
        <v>16</v>
      </c>
      <c r="F172" s="10" t="s">
        <v>291</v>
      </c>
      <c r="G172" s="7" t="n">
        <v>17</v>
      </c>
      <c r="H172" s="10" t="s">
        <v>630</v>
      </c>
      <c r="I172" s="10" t="s">
        <v>550</v>
      </c>
      <c r="J172" s="10" t="s">
        <v>631</v>
      </c>
      <c r="K172" s="7" t="n">
        <v>3</v>
      </c>
      <c r="L172" s="7" t="n">
        <v>136</v>
      </c>
      <c r="M172" s="7" t="n">
        <v>7</v>
      </c>
      <c r="N172" s="7" t="n">
        <v>18</v>
      </c>
      <c r="O172" s="7" t="n">
        <v>4</v>
      </c>
      <c r="P172" s="8" t="n">
        <v>10.9399701580981</v>
      </c>
      <c r="Q172" s="9" t="n">
        <v>0.0914079275855948</v>
      </c>
      <c r="R172" s="8" t="n">
        <v>9</v>
      </c>
      <c r="S172" s="12" t="n">
        <f aca="false">IF(AND(ISNUMBER(R172),R172&gt;1,P172&gt;0),R172/P172-1,"")</f>
        <v>-0.177328651729646</v>
      </c>
    </row>
    <row r="173" customFormat="false" ht="15" hidden="false" customHeight="false" outlineLevel="0" collapsed="false">
      <c r="A173" s="10" t="s">
        <v>124</v>
      </c>
      <c r="B173" s="10" t="s">
        <v>57</v>
      </c>
      <c r="C173" s="10" t="s">
        <v>125</v>
      </c>
      <c r="D173" s="10"/>
      <c r="E173" s="11" t="n">
        <v>16</v>
      </c>
      <c r="F173" s="10" t="s">
        <v>291</v>
      </c>
      <c r="G173" s="7" t="n">
        <v>17</v>
      </c>
      <c r="H173" s="10" t="s">
        <v>632</v>
      </c>
      <c r="I173" s="10" t="s">
        <v>105</v>
      </c>
      <c r="J173" s="10" t="s">
        <v>633</v>
      </c>
      <c r="K173" s="7" t="n">
        <v>5</v>
      </c>
      <c r="L173" s="7" t="n">
        <v>134</v>
      </c>
      <c r="M173" s="7" t="n">
        <v>7</v>
      </c>
      <c r="N173" s="7" t="n">
        <v>35</v>
      </c>
      <c r="O173" s="7" t="n">
        <v>5</v>
      </c>
      <c r="P173" s="8" t="n">
        <v>12.0304724571421</v>
      </c>
      <c r="Q173" s="9" t="n">
        <v>0.0831222550537764</v>
      </c>
      <c r="R173" s="8" t="n">
        <v>11</v>
      </c>
      <c r="S173" s="12" t="n">
        <f aca="false">IF(AND(ISNUMBER(R173),R173&gt;1,P173&gt;0),R173/P173-1,"")</f>
        <v>-0.0856551944084589</v>
      </c>
    </row>
    <row r="174" customFormat="false" ht="15" hidden="false" customHeight="false" outlineLevel="0" collapsed="false">
      <c r="A174" s="10" t="s">
        <v>124</v>
      </c>
      <c r="B174" s="10" t="s">
        <v>57</v>
      </c>
      <c r="C174" s="10" t="s">
        <v>125</v>
      </c>
      <c r="D174" s="10"/>
      <c r="E174" s="11" t="n">
        <v>16</v>
      </c>
      <c r="F174" s="10" t="s">
        <v>291</v>
      </c>
      <c r="G174" s="7" t="n">
        <v>17</v>
      </c>
      <c r="H174" s="10" t="s">
        <v>634</v>
      </c>
      <c r="I174" s="10" t="s">
        <v>371</v>
      </c>
      <c r="J174" s="10" t="s">
        <v>635</v>
      </c>
      <c r="K174" s="7" t="n">
        <v>13</v>
      </c>
      <c r="L174" s="7" t="n">
        <v>123</v>
      </c>
      <c r="M174" s="7" t="n">
        <v>6</v>
      </c>
      <c r="N174" s="7" t="n">
        <v>2</v>
      </c>
      <c r="O174" s="7" t="n">
        <v>6</v>
      </c>
      <c r="P174" s="8" t="n">
        <v>14.3057661185682</v>
      </c>
      <c r="Q174" s="9" t="n">
        <v>0.0699018837377782</v>
      </c>
      <c r="R174" s="8" t="n">
        <v>15</v>
      </c>
      <c r="S174" s="12" t="n">
        <f aca="false">IF(AND(ISNUMBER(R174),R174&gt;1,P174&gt;0),R174/P174-1,"")</f>
        <v>0.0485282560666736</v>
      </c>
    </row>
    <row r="175" customFormat="false" ht="15" hidden="false" customHeight="false" outlineLevel="0" collapsed="false">
      <c r="A175" s="10" t="s">
        <v>124</v>
      </c>
      <c r="B175" s="10" t="s">
        <v>57</v>
      </c>
      <c r="C175" s="10" t="s">
        <v>125</v>
      </c>
      <c r="D175" s="10"/>
      <c r="E175" s="11" t="n">
        <v>16</v>
      </c>
      <c r="F175" s="10" t="s">
        <v>291</v>
      </c>
      <c r="G175" s="7" t="n">
        <v>17</v>
      </c>
      <c r="H175" s="10" t="s">
        <v>636</v>
      </c>
      <c r="I175" s="10" t="s">
        <v>637</v>
      </c>
      <c r="J175" s="10" t="s">
        <v>61</v>
      </c>
      <c r="K175" s="7" t="n">
        <v>17</v>
      </c>
      <c r="L175" s="7" t="n">
        <v>116</v>
      </c>
      <c r="M175" s="7" t="n">
        <v>5</v>
      </c>
      <c r="N175" s="7" t="n">
        <v>21</v>
      </c>
      <c r="O175" s="7" t="n">
        <v>7</v>
      </c>
      <c r="P175" s="8" t="n">
        <v>19.3575184535431</v>
      </c>
      <c r="Q175" s="9" t="n">
        <v>0.0516595142295714</v>
      </c>
      <c r="R175" s="8" t="n">
        <v>12</v>
      </c>
      <c r="S175" s="12" t="n">
        <f aca="false">IF(AND(ISNUMBER(R175),R175&gt;1,P175&gt;0),R175/P175-1,"")</f>
        <v>-0.380085829245142</v>
      </c>
    </row>
    <row r="176" customFormat="false" ht="15" hidden="false" customHeight="false" outlineLevel="0" collapsed="false">
      <c r="A176" s="10" t="s">
        <v>124</v>
      </c>
      <c r="B176" s="10" t="s">
        <v>57</v>
      </c>
      <c r="C176" s="10" t="s">
        <v>125</v>
      </c>
      <c r="D176" s="10"/>
      <c r="E176" s="11" t="n">
        <v>16</v>
      </c>
      <c r="F176" s="10" t="s">
        <v>291</v>
      </c>
      <c r="G176" s="7" t="n">
        <v>17</v>
      </c>
      <c r="H176" s="10" t="s">
        <v>638</v>
      </c>
      <c r="I176" s="10" t="s">
        <v>145</v>
      </c>
      <c r="J176" s="10" t="s">
        <v>639</v>
      </c>
      <c r="K176" s="7" t="n">
        <v>11</v>
      </c>
      <c r="L176" s="7" t="n">
        <v>129</v>
      </c>
      <c r="M176" s="7" t="n">
        <v>7</v>
      </c>
      <c r="N176" s="7" t="n">
        <v>17</v>
      </c>
      <c r="O176" s="7" t="n">
        <v>8</v>
      </c>
      <c r="P176" s="8" t="n">
        <v>22.1195643347005</v>
      </c>
      <c r="Q176" s="9" t="n">
        <v>0.0452088470129238</v>
      </c>
      <c r="R176" s="8" t="n">
        <v>12</v>
      </c>
      <c r="S176" s="12" t="n">
        <f aca="false">IF(AND(ISNUMBER(R176),R176&gt;1,P176&gt;0),R176/P176-1,"")</f>
        <v>-0.457493835844913</v>
      </c>
    </row>
    <row r="177" customFormat="false" ht="15" hidden="false" customHeight="false" outlineLevel="0" collapsed="false">
      <c r="A177" s="10" t="s">
        <v>124</v>
      </c>
      <c r="B177" s="10" t="s">
        <v>57</v>
      </c>
      <c r="C177" s="10" t="s">
        <v>125</v>
      </c>
      <c r="D177" s="10"/>
      <c r="E177" s="11" t="n">
        <v>16</v>
      </c>
      <c r="F177" s="10" t="s">
        <v>291</v>
      </c>
      <c r="G177" s="7" t="n">
        <v>17</v>
      </c>
      <c r="H177" s="10" t="s">
        <v>640</v>
      </c>
      <c r="I177" s="10" t="s">
        <v>641</v>
      </c>
      <c r="J177" s="10" t="s">
        <v>642</v>
      </c>
      <c r="K177" s="7" t="n">
        <v>1</v>
      </c>
      <c r="L177" s="7" t="n">
        <v>142</v>
      </c>
      <c r="M177" s="7" t="n">
        <v>6</v>
      </c>
      <c r="N177" s="7" t="n">
        <v>57</v>
      </c>
      <c r="O177" s="7" t="n">
        <v>9</v>
      </c>
      <c r="P177" s="8" t="n">
        <v>22.7216432406452</v>
      </c>
      <c r="Q177" s="9" t="n">
        <v>0.044010901386356</v>
      </c>
      <c r="R177" s="8" t="n">
        <v>13</v>
      </c>
      <c r="S177" s="12" t="n">
        <f aca="false">IF(AND(ISNUMBER(R177),R177&gt;1,P177&gt;0),R177/P177-1,"")</f>
        <v>-0.427858281977371</v>
      </c>
    </row>
    <row r="178" customFormat="false" ht="15" hidden="false" customHeight="false" outlineLevel="0" collapsed="false">
      <c r="A178" s="10" t="s">
        <v>124</v>
      </c>
      <c r="B178" s="10" t="s">
        <v>57</v>
      </c>
      <c r="C178" s="10" t="s">
        <v>125</v>
      </c>
      <c r="D178" s="10"/>
      <c r="E178" s="11" t="n">
        <v>16</v>
      </c>
      <c r="F178" s="10" t="s">
        <v>291</v>
      </c>
      <c r="G178" s="7" t="n">
        <v>17</v>
      </c>
      <c r="H178" s="10" t="s">
        <v>643</v>
      </c>
      <c r="I178" s="10" t="s">
        <v>644</v>
      </c>
      <c r="J178" s="10" t="s">
        <v>572</v>
      </c>
      <c r="K178" s="7" t="n">
        <v>9</v>
      </c>
      <c r="L178" s="7" t="n">
        <v>132</v>
      </c>
      <c r="M178" s="7" t="n">
        <v>7</v>
      </c>
      <c r="N178" s="7" t="n">
        <v>24</v>
      </c>
      <c r="O178" s="7" t="n">
        <v>10</v>
      </c>
      <c r="P178" s="8" t="n">
        <v>24.2594171646134</v>
      </c>
      <c r="Q178" s="9" t="n">
        <v>0.0412211057345052</v>
      </c>
      <c r="R178" s="8" t="n">
        <v>13</v>
      </c>
      <c r="S178" s="12" t="n">
        <f aca="false">IF(AND(ISNUMBER(R178),R178&gt;1,P178&gt;0),R178/P178-1,"")</f>
        <v>-0.464125625451432</v>
      </c>
    </row>
    <row r="179" customFormat="false" ht="15" hidden="false" customHeight="false" outlineLevel="0" collapsed="false">
      <c r="A179" s="10" t="s">
        <v>124</v>
      </c>
      <c r="B179" s="10" t="s">
        <v>57</v>
      </c>
      <c r="C179" s="10" t="s">
        <v>125</v>
      </c>
      <c r="D179" s="10"/>
      <c r="E179" s="11" t="n">
        <v>16</v>
      </c>
      <c r="F179" s="10" t="s">
        <v>291</v>
      </c>
      <c r="G179" s="7" t="n">
        <v>17</v>
      </c>
      <c r="H179" s="10" t="s">
        <v>645</v>
      </c>
      <c r="I179" s="10" t="s">
        <v>646</v>
      </c>
      <c r="J179" s="10" t="s">
        <v>647</v>
      </c>
      <c r="K179" s="7" t="n">
        <v>2</v>
      </c>
      <c r="L179" s="7" t="n">
        <v>136</v>
      </c>
      <c r="M179" s="7" t="n">
        <v>9</v>
      </c>
      <c r="N179" s="7" t="n">
        <v>13</v>
      </c>
      <c r="O179" s="7" t="n">
        <v>11</v>
      </c>
      <c r="P179" s="8" t="n">
        <v>26.0098548563955</v>
      </c>
      <c r="Q179" s="9" t="n">
        <v>0.0384469657951249</v>
      </c>
      <c r="R179" s="8" t="n">
        <v>19</v>
      </c>
      <c r="S179" s="12" t="n">
        <f aca="false">IF(AND(ISNUMBER(R179),R179&gt;1,P179&gt;0),R179/P179-1,"")</f>
        <v>-0.269507649892626</v>
      </c>
    </row>
    <row r="180" customFormat="false" ht="15" hidden="false" customHeight="false" outlineLevel="0" collapsed="false">
      <c r="A180" s="10" t="s">
        <v>124</v>
      </c>
      <c r="B180" s="10" t="s">
        <v>57</v>
      </c>
      <c r="C180" s="10" t="s">
        <v>125</v>
      </c>
      <c r="D180" s="10"/>
      <c r="E180" s="11" t="n">
        <v>16</v>
      </c>
      <c r="F180" s="10" t="s">
        <v>291</v>
      </c>
      <c r="G180" s="7" t="n">
        <v>17</v>
      </c>
      <c r="H180" s="10" t="s">
        <v>648</v>
      </c>
      <c r="I180" s="10" t="s">
        <v>389</v>
      </c>
      <c r="J180" s="10" t="s">
        <v>191</v>
      </c>
      <c r="K180" s="7" t="n">
        <v>7</v>
      </c>
      <c r="L180" s="7" t="n">
        <v>133</v>
      </c>
      <c r="M180" s="7" t="n">
        <v>5</v>
      </c>
      <c r="N180" s="7" t="n">
        <v>16</v>
      </c>
      <c r="O180" s="7" t="n">
        <v>12</v>
      </c>
      <c r="P180" s="8" t="n">
        <v>37.2169351018768</v>
      </c>
      <c r="Q180" s="9" t="n">
        <v>0.0268694882386908</v>
      </c>
      <c r="R180" s="8" t="n">
        <v>13</v>
      </c>
      <c r="S180" s="12" t="n">
        <f aca="false">IF(AND(ISNUMBER(R180),R180&gt;1,P180&gt;0),R180/P180-1,"")</f>
        <v>-0.650696652897019</v>
      </c>
    </row>
    <row r="181" customFormat="false" ht="15" hidden="false" customHeight="false" outlineLevel="0" collapsed="false">
      <c r="A181" s="10" t="s">
        <v>124</v>
      </c>
      <c r="B181" s="10" t="s">
        <v>57</v>
      </c>
      <c r="C181" s="10" t="s">
        <v>125</v>
      </c>
      <c r="D181" s="10"/>
      <c r="E181" s="11" t="n">
        <v>16</v>
      </c>
      <c r="F181" s="10" t="s">
        <v>291</v>
      </c>
      <c r="G181" s="7" t="n">
        <v>17</v>
      </c>
      <c r="H181" s="10" t="s">
        <v>649</v>
      </c>
      <c r="I181" s="10" t="s">
        <v>650</v>
      </c>
      <c r="J181" s="10" t="s">
        <v>84</v>
      </c>
      <c r="K181" s="7" t="n">
        <v>16</v>
      </c>
      <c r="L181" s="7" t="n">
        <v>119</v>
      </c>
      <c r="M181" s="7" t="n">
        <v>7</v>
      </c>
      <c r="N181" s="7" t="n">
        <v>55</v>
      </c>
      <c r="O181" s="7" t="n">
        <v>13</v>
      </c>
      <c r="P181" s="8" t="n">
        <v>37.5451019119006</v>
      </c>
      <c r="Q181" s="9" t="n">
        <v>0.0266346327237703</v>
      </c>
      <c r="R181" s="8" t="n">
        <v>26</v>
      </c>
      <c r="S181" s="12" t="n">
        <f aca="false">IF(AND(ISNUMBER(R181),R181&gt;1,P181&gt;0),R181/P181-1,"")</f>
        <v>-0.307499549181972</v>
      </c>
    </row>
    <row r="182" customFormat="false" ht="15" hidden="false" customHeight="false" outlineLevel="0" collapsed="false">
      <c r="A182" s="10" t="s">
        <v>124</v>
      </c>
      <c r="B182" s="10" t="s">
        <v>57</v>
      </c>
      <c r="C182" s="10" t="s">
        <v>125</v>
      </c>
      <c r="D182" s="10"/>
      <c r="E182" s="11" t="n">
        <v>16</v>
      </c>
      <c r="F182" s="10" t="s">
        <v>291</v>
      </c>
      <c r="G182" s="7" t="n">
        <v>17</v>
      </c>
      <c r="H182" s="10" t="s">
        <v>651</v>
      </c>
      <c r="I182" s="10" t="s">
        <v>652</v>
      </c>
      <c r="J182" s="10" t="s">
        <v>565</v>
      </c>
      <c r="K182" s="7" t="n">
        <v>15</v>
      </c>
      <c r="L182" s="7" t="n">
        <v>119</v>
      </c>
      <c r="M182" s="7" t="n">
        <v>8</v>
      </c>
      <c r="N182" s="7" t="n">
        <v>21</v>
      </c>
      <c r="O182" s="7" t="n">
        <v>14</v>
      </c>
      <c r="P182" s="8" t="n">
        <v>47.2887581390297</v>
      </c>
      <c r="Q182" s="9" t="n">
        <v>0.0211466750101574</v>
      </c>
      <c r="R182" s="8" t="n">
        <v>29</v>
      </c>
      <c r="S182" s="12" t="n">
        <f aca="false">IF(AND(ISNUMBER(R182),R182&gt;1,P182&gt;0),R182/P182-1,"")</f>
        <v>-0.386746424705434</v>
      </c>
    </row>
    <row r="183" customFormat="false" ht="15" hidden="false" customHeight="false" outlineLevel="0" collapsed="false">
      <c r="A183" s="10" t="s">
        <v>124</v>
      </c>
      <c r="B183" s="10" t="s">
        <v>57</v>
      </c>
      <c r="C183" s="10" t="s">
        <v>125</v>
      </c>
      <c r="D183" s="10"/>
      <c r="E183" s="11" t="n">
        <v>16</v>
      </c>
      <c r="F183" s="10" t="s">
        <v>291</v>
      </c>
      <c r="G183" s="7" t="n">
        <v>17</v>
      </c>
      <c r="H183" s="10" t="s">
        <v>653</v>
      </c>
      <c r="I183" s="10" t="s">
        <v>654</v>
      </c>
      <c r="J183" s="10" t="s">
        <v>655</v>
      </c>
      <c r="K183" s="7" t="n">
        <v>14</v>
      </c>
      <c r="L183" s="7" t="n">
        <v>121</v>
      </c>
      <c r="M183" s="7" t="n">
        <v>6</v>
      </c>
      <c r="N183" s="7" t="n">
        <v>47</v>
      </c>
      <c r="O183" s="7" t="n">
        <v>15</v>
      </c>
      <c r="P183" s="8" t="n">
        <v>47.3124405306279</v>
      </c>
      <c r="Q183" s="9" t="n">
        <v>0.0211360899751651</v>
      </c>
      <c r="R183" s="8" t="n">
        <v>17</v>
      </c>
      <c r="S183" s="12" t="n">
        <f aca="false">IF(AND(ISNUMBER(R183),R183&gt;1,P183&gt;0),R183/P183-1,"")</f>
        <v>-0.640686470422193</v>
      </c>
    </row>
    <row r="184" customFormat="false" ht="15" hidden="false" customHeight="false" outlineLevel="0" collapsed="false">
      <c r="A184" s="10" t="s">
        <v>124</v>
      </c>
      <c r="B184" s="10" t="s">
        <v>57</v>
      </c>
      <c r="C184" s="10" t="s">
        <v>125</v>
      </c>
      <c r="D184" s="10"/>
      <c r="E184" s="11" t="n">
        <v>16</v>
      </c>
      <c r="F184" s="10" t="s">
        <v>291</v>
      </c>
      <c r="G184" s="7" t="n">
        <v>17</v>
      </c>
      <c r="H184" s="10" t="s">
        <v>656</v>
      </c>
      <c r="I184" s="10" t="s">
        <v>657</v>
      </c>
      <c r="J184" s="10" t="s">
        <v>578</v>
      </c>
      <c r="K184" s="7" t="n">
        <v>10</v>
      </c>
      <c r="L184" s="7" t="n">
        <v>129</v>
      </c>
      <c r="M184" s="7" t="n">
        <v>9</v>
      </c>
      <c r="N184" s="7" t="n">
        <v>24</v>
      </c>
      <c r="O184" s="7" t="n">
        <v>16</v>
      </c>
      <c r="P184" s="8" t="n">
        <v>69.3336972258506</v>
      </c>
      <c r="Q184" s="9" t="n">
        <v>0.0144230012246794</v>
      </c>
      <c r="R184" s="8" t="n">
        <v>26</v>
      </c>
      <c r="S184" s="12" t="n">
        <f aca="false">IF(AND(ISNUMBER(R184),R184&gt;1,P184&gt;0),R184/P184-1,"")</f>
        <v>-0.625001968158333</v>
      </c>
    </row>
    <row r="185" customFormat="false" ht="15" hidden="false" customHeight="false" outlineLevel="0" collapsed="false">
      <c r="A185" s="10" t="s">
        <v>124</v>
      </c>
      <c r="B185" s="10" t="s">
        <v>57</v>
      </c>
      <c r="C185" s="10" t="s">
        <v>125</v>
      </c>
      <c r="D185" s="10"/>
      <c r="E185" s="11" t="n">
        <v>16</v>
      </c>
      <c r="F185" s="10" t="s">
        <v>291</v>
      </c>
      <c r="G185" s="7" t="n">
        <v>17</v>
      </c>
      <c r="H185" s="10" t="s">
        <v>658</v>
      </c>
      <c r="I185" s="10" t="s">
        <v>577</v>
      </c>
      <c r="J185" s="10" t="s">
        <v>578</v>
      </c>
      <c r="K185" s="7" t="n">
        <v>12</v>
      </c>
      <c r="L185" s="7" t="n">
        <v>126</v>
      </c>
      <c r="M185" s="7" t="n">
        <v>6</v>
      </c>
      <c r="N185" s="7" t="n">
        <v>83</v>
      </c>
      <c r="O185" s="7" t="n">
        <v>17</v>
      </c>
      <c r="P185" s="8" t="n">
        <v>71.2883093809178</v>
      </c>
      <c r="Q185" s="9" t="n">
        <v>0.0140275454514801</v>
      </c>
      <c r="R185" s="8" t="n">
        <v>19</v>
      </c>
      <c r="S185" s="12" t="n">
        <f aca="false">IF(AND(ISNUMBER(R185),R185&gt;1,P185&gt;0),R185/P185-1,"")</f>
        <v>-0.733476636421878</v>
      </c>
    </row>
    <row r="186" customFormat="false" ht="15" hidden="false" customHeight="false" outlineLevel="0" collapsed="false">
      <c r="A186" s="10" t="s">
        <v>130</v>
      </c>
      <c r="B186" s="10" t="s">
        <v>44</v>
      </c>
      <c r="C186" s="10" t="s">
        <v>131</v>
      </c>
      <c r="D186" s="10"/>
      <c r="E186" s="11" t="n">
        <v>12</v>
      </c>
      <c r="F186" s="10" t="s">
        <v>291</v>
      </c>
      <c r="G186" s="7" t="n">
        <v>4</v>
      </c>
      <c r="H186" s="10" t="s">
        <v>132</v>
      </c>
      <c r="I186" s="10" t="s">
        <v>111</v>
      </c>
      <c r="J186" s="10" t="s">
        <v>96</v>
      </c>
      <c r="K186" s="7" t="n">
        <v>4</v>
      </c>
      <c r="L186" s="7" t="n">
        <v>105</v>
      </c>
      <c r="M186" s="7" t="n">
        <v>3</v>
      </c>
      <c r="N186" s="7" t="n">
        <v>23</v>
      </c>
      <c r="O186" s="7" t="n">
        <v>1</v>
      </c>
      <c r="P186" s="8" t="n">
        <v>3.10729714781278</v>
      </c>
      <c r="Q186" s="9" t="n">
        <v>0.321823099764983</v>
      </c>
      <c r="R186" s="8" t="n">
        <v>2.75</v>
      </c>
      <c r="S186" s="12" t="n">
        <f aca="false">IF(AND(ISNUMBER(R186),R186&gt;1,P186&gt;0),R186/P186-1,"")</f>
        <v>-0.114986475646296</v>
      </c>
    </row>
    <row r="187" customFormat="false" ht="15" hidden="false" customHeight="false" outlineLevel="0" collapsed="false">
      <c r="A187" s="10" t="s">
        <v>130</v>
      </c>
      <c r="B187" s="10" t="s">
        <v>44</v>
      </c>
      <c r="C187" s="10" t="s">
        <v>131</v>
      </c>
      <c r="D187" s="10"/>
      <c r="E187" s="11" t="n">
        <v>12</v>
      </c>
      <c r="F187" s="10" t="s">
        <v>291</v>
      </c>
      <c r="G187" s="7" t="n">
        <v>4</v>
      </c>
      <c r="H187" s="10" t="s">
        <v>133</v>
      </c>
      <c r="I187" s="10" t="s">
        <v>151</v>
      </c>
      <c r="J187" s="10" t="s">
        <v>96</v>
      </c>
      <c r="K187" s="7" t="n">
        <v>3</v>
      </c>
      <c r="L187" s="7" t="n">
        <v>98</v>
      </c>
      <c r="M187" s="7" t="n">
        <v>3</v>
      </c>
      <c r="N187" s="7" t="n">
        <v>22</v>
      </c>
      <c r="O187" s="7" t="n">
        <v>2</v>
      </c>
      <c r="P187" s="8" t="n">
        <v>3.40329515683438</v>
      </c>
      <c r="Q187" s="9" t="n">
        <v>0.293832874880639</v>
      </c>
      <c r="R187" s="8" t="n">
        <v>5.5</v>
      </c>
      <c r="S187" s="12" t="n">
        <f aca="false">IF(AND(ISNUMBER(R187),R187&gt;1,P187&gt;0),R187/P187-1,"")</f>
        <v>0.616080811843514</v>
      </c>
    </row>
    <row r="188" customFormat="false" ht="15" hidden="false" customHeight="false" outlineLevel="0" collapsed="false">
      <c r="A188" s="10" t="s">
        <v>130</v>
      </c>
      <c r="B188" s="10" t="s">
        <v>44</v>
      </c>
      <c r="C188" s="10" t="s">
        <v>131</v>
      </c>
      <c r="D188" s="10"/>
      <c r="E188" s="11" t="n">
        <v>12</v>
      </c>
      <c r="F188" s="10" t="s">
        <v>291</v>
      </c>
      <c r="G188" s="7" t="n">
        <v>4</v>
      </c>
      <c r="H188" s="10" t="s">
        <v>659</v>
      </c>
      <c r="I188" s="10" t="s">
        <v>338</v>
      </c>
      <c r="J188" s="10" t="s">
        <v>399</v>
      </c>
      <c r="K188" s="7" t="n">
        <v>2</v>
      </c>
      <c r="L188" s="7" t="n">
        <v>106</v>
      </c>
      <c r="M188" s="7" t="n">
        <v>3</v>
      </c>
      <c r="N188" s="7" t="n">
        <v>27</v>
      </c>
      <c r="O188" s="7" t="n">
        <v>3</v>
      </c>
      <c r="P188" s="8" t="n">
        <v>4.31898427337949</v>
      </c>
      <c r="Q188" s="9" t="n">
        <v>0.231535920647733</v>
      </c>
      <c r="R188" s="8" t="n">
        <v>2.2</v>
      </c>
      <c r="S188" s="12" t="n">
        <f aca="false">IF(AND(ISNUMBER(R188),R188&gt;1,P188&gt;0),R188/P188-1,"")</f>
        <v>-0.490620974574987</v>
      </c>
    </row>
    <row r="189" customFormat="false" ht="15" hidden="false" customHeight="false" outlineLevel="0" collapsed="false">
      <c r="A189" s="10" t="s">
        <v>130</v>
      </c>
      <c r="B189" s="10" t="s">
        <v>44</v>
      </c>
      <c r="C189" s="10" t="s">
        <v>131</v>
      </c>
      <c r="D189" s="10"/>
      <c r="E189" s="11" t="n">
        <v>12</v>
      </c>
      <c r="F189" s="10" t="s">
        <v>291</v>
      </c>
      <c r="G189" s="7" t="n">
        <v>4</v>
      </c>
      <c r="H189" s="10" t="s">
        <v>660</v>
      </c>
      <c r="I189" s="10" t="s">
        <v>66</v>
      </c>
      <c r="J189" s="10" t="s">
        <v>321</v>
      </c>
      <c r="K189" s="7" t="n">
        <v>1</v>
      </c>
      <c r="L189" s="7" t="n">
        <v>100</v>
      </c>
      <c r="M189" s="7" t="n">
        <v>3</v>
      </c>
      <c r="N189" s="7" t="n">
        <v>20</v>
      </c>
      <c r="O189" s="7" t="n">
        <v>4</v>
      </c>
      <c r="P189" s="8" t="n">
        <v>6.54415550745665</v>
      </c>
      <c r="Q189" s="9" t="n">
        <v>0.152808104706645</v>
      </c>
      <c r="R189" s="8" t="n">
        <v>8.5</v>
      </c>
      <c r="S189" s="12" t="n">
        <f aca="false">IF(AND(ISNUMBER(R189),R189&gt;1,P189&gt;0),R189/P189-1,"")</f>
        <v>0.298868890006479</v>
      </c>
    </row>
    <row r="190" customFormat="false" ht="15" hidden="false" customHeight="false" outlineLevel="0" collapsed="false">
      <c r="A190" s="10" t="s">
        <v>134</v>
      </c>
      <c r="B190" s="10" t="s">
        <v>70</v>
      </c>
      <c r="C190" s="10" t="s">
        <v>135</v>
      </c>
      <c r="D190" s="10" t="s">
        <v>340</v>
      </c>
      <c r="E190" s="11" t="n">
        <v>7</v>
      </c>
      <c r="F190" s="10" t="s">
        <v>408</v>
      </c>
      <c r="G190" s="7" t="n">
        <v>8</v>
      </c>
      <c r="H190" s="10" t="s">
        <v>136</v>
      </c>
      <c r="I190" s="10" t="s">
        <v>95</v>
      </c>
      <c r="J190" s="10" t="s">
        <v>96</v>
      </c>
      <c r="K190" s="7" t="n">
        <v>2</v>
      </c>
      <c r="L190" s="7" t="n">
        <v>0</v>
      </c>
      <c r="M190" s="7" t="n">
        <v>2</v>
      </c>
      <c r="N190" s="7" t="n">
        <v>64</v>
      </c>
      <c r="O190" s="7" t="n">
        <v>1</v>
      </c>
      <c r="P190" s="8" t="n">
        <v>1.75937964892812</v>
      </c>
      <c r="Q190" s="9" t="n">
        <v>0.56838215709113</v>
      </c>
      <c r="R190" s="8" t="n">
        <v>1.83333333333333</v>
      </c>
      <c r="S190" s="12" t="n">
        <f aca="false">IF(AND(ISNUMBER(R190),R190&gt;1,P190&gt;0),R190/P190-1,"")</f>
        <v>0.0420339546670705</v>
      </c>
    </row>
    <row r="191" customFormat="false" ht="15" hidden="false" customHeight="false" outlineLevel="0" collapsed="false">
      <c r="A191" s="10" t="s">
        <v>134</v>
      </c>
      <c r="B191" s="10" t="s">
        <v>70</v>
      </c>
      <c r="C191" s="10" t="s">
        <v>135</v>
      </c>
      <c r="D191" s="10" t="s">
        <v>340</v>
      </c>
      <c r="E191" s="11" t="n">
        <v>7</v>
      </c>
      <c r="F191" s="10" t="s">
        <v>408</v>
      </c>
      <c r="G191" s="7" t="n">
        <v>8</v>
      </c>
      <c r="H191" s="10" t="s">
        <v>137</v>
      </c>
      <c r="I191" s="10" t="s">
        <v>157</v>
      </c>
      <c r="J191" s="10" t="s">
        <v>90</v>
      </c>
      <c r="K191" s="7" t="n">
        <v>4</v>
      </c>
      <c r="L191" s="7" t="n">
        <v>0</v>
      </c>
      <c r="M191" s="7" t="n">
        <v>2</v>
      </c>
      <c r="N191" s="7" t="n">
        <v>67</v>
      </c>
      <c r="O191" s="7" t="n">
        <v>2</v>
      </c>
      <c r="P191" s="8" t="n">
        <v>6.33785633774263</v>
      </c>
      <c r="Q191" s="9" t="n">
        <v>0.157782055431722</v>
      </c>
      <c r="R191" s="8" t="n">
        <v>8</v>
      </c>
      <c r="S191" s="12" t="n">
        <f aca="false">IF(AND(ISNUMBER(R191),R191&gt;1,P191&gt;0),R191/P191-1,"")</f>
        <v>0.262256443453778</v>
      </c>
    </row>
    <row r="192" customFormat="false" ht="15" hidden="false" customHeight="false" outlineLevel="0" collapsed="false">
      <c r="A192" s="10" t="s">
        <v>134</v>
      </c>
      <c r="B192" s="10" t="s">
        <v>70</v>
      </c>
      <c r="C192" s="10" t="s">
        <v>135</v>
      </c>
      <c r="D192" s="10" t="s">
        <v>340</v>
      </c>
      <c r="E192" s="11" t="n">
        <v>7</v>
      </c>
      <c r="F192" s="10" t="s">
        <v>408</v>
      </c>
      <c r="G192" s="7" t="n">
        <v>8</v>
      </c>
      <c r="H192" s="10" t="s">
        <v>661</v>
      </c>
      <c r="I192" s="10" t="s">
        <v>605</v>
      </c>
      <c r="J192" s="10" t="s">
        <v>662</v>
      </c>
      <c r="K192" s="7" t="n">
        <v>8</v>
      </c>
      <c r="L192" s="7" t="n">
        <v>0</v>
      </c>
      <c r="M192" s="7" t="n">
        <v>2</v>
      </c>
      <c r="N192" s="7"/>
      <c r="O192" s="7" t="n">
        <v>3</v>
      </c>
      <c r="P192" s="8" t="n">
        <v>10.9494624188665</v>
      </c>
      <c r="Q192" s="9" t="n">
        <v>0.0913286846189774</v>
      </c>
      <c r="R192" s="8" t="n">
        <v>8</v>
      </c>
      <c r="S192" s="12" t="n">
        <f aca="false">IF(AND(ISNUMBER(R192),R192&gt;1,P192&gt;0),R192/P192-1,"")</f>
        <v>-0.26937052304818</v>
      </c>
    </row>
    <row r="193" customFormat="false" ht="15" hidden="false" customHeight="false" outlineLevel="0" collapsed="false">
      <c r="A193" s="10" t="s">
        <v>134</v>
      </c>
      <c r="B193" s="10" t="s">
        <v>70</v>
      </c>
      <c r="C193" s="10" t="s">
        <v>135</v>
      </c>
      <c r="D193" s="10" t="s">
        <v>340</v>
      </c>
      <c r="E193" s="11" t="n">
        <v>7</v>
      </c>
      <c r="F193" s="10" t="s">
        <v>408</v>
      </c>
      <c r="G193" s="7" t="n">
        <v>8</v>
      </c>
      <c r="H193" s="10" t="s">
        <v>663</v>
      </c>
      <c r="I193" s="10" t="s">
        <v>595</v>
      </c>
      <c r="J193" s="10" t="s">
        <v>596</v>
      </c>
      <c r="K193" s="7" t="n">
        <v>3</v>
      </c>
      <c r="L193" s="7" t="n">
        <v>0</v>
      </c>
      <c r="M193" s="7" t="n">
        <v>2</v>
      </c>
      <c r="N193" s="7" t="n">
        <v>20</v>
      </c>
      <c r="O193" s="7" t="n">
        <v>4</v>
      </c>
      <c r="P193" s="8" t="n">
        <v>11.4748900171064</v>
      </c>
      <c r="Q193" s="9" t="n">
        <v>0.0871468047632029</v>
      </c>
      <c r="R193" s="8" t="n">
        <v>4.33333333333333</v>
      </c>
      <c r="S193" s="12" t="n">
        <f aca="false">IF(AND(ISNUMBER(R193),R193&gt;1,P193&gt;0),R193/P193-1,"")</f>
        <v>-0.62236384602612</v>
      </c>
    </row>
    <row r="194" customFormat="false" ht="15" hidden="false" customHeight="false" outlineLevel="0" collapsed="false">
      <c r="A194" s="10" t="s">
        <v>134</v>
      </c>
      <c r="B194" s="10" t="s">
        <v>70</v>
      </c>
      <c r="C194" s="10" t="s">
        <v>135</v>
      </c>
      <c r="D194" s="10" t="s">
        <v>340</v>
      </c>
      <c r="E194" s="11" t="n">
        <v>7</v>
      </c>
      <c r="F194" s="10" t="s">
        <v>408</v>
      </c>
      <c r="G194" s="7" t="n">
        <v>8</v>
      </c>
      <c r="H194" s="10" t="s">
        <v>664</v>
      </c>
      <c r="I194" s="10" t="s">
        <v>590</v>
      </c>
      <c r="J194" s="10" t="s">
        <v>591</v>
      </c>
      <c r="K194" s="7" t="n">
        <v>6</v>
      </c>
      <c r="L194" s="7" t="n">
        <v>0</v>
      </c>
      <c r="M194" s="7" t="n">
        <v>2</v>
      </c>
      <c r="N194" s="7"/>
      <c r="O194" s="7" t="n">
        <v>5</v>
      </c>
      <c r="P194" s="8" t="n">
        <v>25.4597016928337</v>
      </c>
      <c r="Q194" s="9" t="n">
        <v>0.0392777579275988</v>
      </c>
      <c r="R194" s="8" t="n">
        <v>17</v>
      </c>
      <c r="S194" s="12" t="n">
        <f aca="false">IF(AND(ISNUMBER(R194),R194&gt;1,P194&gt;0),R194/P194-1,"")</f>
        <v>-0.33227811523082</v>
      </c>
    </row>
    <row r="195" customFormat="false" ht="15" hidden="false" customHeight="false" outlineLevel="0" collapsed="false">
      <c r="A195" s="10" t="s">
        <v>134</v>
      </c>
      <c r="B195" s="10" t="s">
        <v>70</v>
      </c>
      <c r="C195" s="10" t="s">
        <v>135</v>
      </c>
      <c r="D195" s="10" t="s">
        <v>340</v>
      </c>
      <c r="E195" s="11" t="n">
        <v>7</v>
      </c>
      <c r="F195" s="10" t="s">
        <v>408</v>
      </c>
      <c r="G195" s="7" t="n">
        <v>8</v>
      </c>
      <c r="H195" s="10" t="s">
        <v>665</v>
      </c>
      <c r="I195" s="10" t="s">
        <v>513</v>
      </c>
      <c r="J195" s="10" t="s">
        <v>502</v>
      </c>
      <c r="K195" s="7" t="n">
        <v>1</v>
      </c>
      <c r="L195" s="7" t="n">
        <v>0</v>
      </c>
      <c r="M195" s="7" t="n">
        <v>2</v>
      </c>
      <c r="N195" s="7"/>
      <c r="O195" s="7" t="n">
        <v>6</v>
      </c>
      <c r="P195" s="8" t="n">
        <v>26.0743388267387</v>
      </c>
      <c r="Q195" s="9" t="n">
        <v>0.0383518833073734</v>
      </c>
      <c r="R195" s="8" t="n">
        <v>11</v>
      </c>
      <c r="S195" s="12" t="n">
        <f aca="false">IF(AND(ISNUMBER(R195),R195&gt;1,P195&gt;0),R195/P195-1,"")</f>
        <v>-0.578129283618892</v>
      </c>
    </row>
    <row r="196" customFormat="false" ht="15" hidden="false" customHeight="false" outlineLevel="0" collapsed="false">
      <c r="A196" s="10" t="s">
        <v>134</v>
      </c>
      <c r="B196" s="10" t="s">
        <v>70</v>
      </c>
      <c r="C196" s="10" t="s">
        <v>135</v>
      </c>
      <c r="D196" s="10" t="s">
        <v>340</v>
      </c>
      <c r="E196" s="11" t="n">
        <v>7</v>
      </c>
      <c r="F196" s="10" t="s">
        <v>408</v>
      </c>
      <c r="G196" s="7" t="n">
        <v>8</v>
      </c>
      <c r="H196" s="10" t="s">
        <v>666</v>
      </c>
      <c r="I196" s="10" t="s">
        <v>593</v>
      </c>
      <c r="J196" s="10" t="s">
        <v>667</v>
      </c>
      <c r="K196" s="7" t="n">
        <v>7</v>
      </c>
      <c r="L196" s="7" t="n">
        <v>0</v>
      </c>
      <c r="M196" s="7" t="n">
        <v>2</v>
      </c>
      <c r="N196" s="7" t="n">
        <v>44</v>
      </c>
      <c r="O196" s="7" t="n">
        <v>7</v>
      </c>
      <c r="P196" s="8" t="n">
        <v>75.5556276849306</v>
      </c>
      <c r="Q196" s="9" t="n">
        <v>0.0132352814825393</v>
      </c>
      <c r="R196" s="8" t="n">
        <v>51</v>
      </c>
      <c r="S196" s="12" t="n">
        <f aca="false">IF(AND(ISNUMBER(R196),R196&gt;1,P196&gt;0),R196/P196-1,"")</f>
        <v>-0.325000644390493</v>
      </c>
    </row>
    <row r="197" customFormat="false" ht="15" hidden="false" customHeight="false" outlineLevel="0" collapsed="false">
      <c r="A197" s="10" t="s">
        <v>134</v>
      </c>
      <c r="B197" s="10" t="s">
        <v>70</v>
      </c>
      <c r="C197" s="10" t="s">
        <v>135</v>
      </c>
      <c r="D197" s="10" t="s">
        <v>340</v>
      </c>
      <c r="E197" s="11" t="n">
        <v>7</v>
      </c>
      <c r="F197" s="10" t="s">
        <v>408</v>
      </c>
      <c r="G197" s="7" t="n">
        <v>8</v>
      </c>
      <c r="H197" s="10" t="s">
        <v>668</v>
      </c>
      <c r="I197" s="10" t="s">
        <v>669</v>
      </c>
      <c r="J197" s="10" t="s">
        <v>305</v>
      </c>
      <c r="K197" s="7" t="n">
        <v>9</v>
      </c>
      <c r="L197" s="7" t="n">
        <v>0</v>
      </c>
      <c r="M197" s="7" t="n">
        <v>2</v>
      </c>
      <c r="N197" s="7" t="n">
        <v>13</v>
      </c>
      <c r="O197" s="7" t="n">
        <v>8</v>
      </c>
      <c r="P197" s="8" t="n">
        <v>222.450833586645</v>
      </c>
      <c r="Q197" s="9" t="n">
        <v>0.0044953753774561</v>
      </c>
      <c r="R197" s="8" t="n">
        <v>41</v>
      </c>
      <c r="S197" s="12" t="n">
        <f aca="false">IF(AND(ISNUMBER(R197),R197&gt;1,P197&gt;0),R197/P197-1,"")</f>
        <v>-0.815689609524298</v>
      </c>
    </row>
    <row r="198" customFormat="false" ht="15" hidden="false" customHeight="false" outlineLevel="0" collapsed="false">
      <c r="A198" s="10" t="s">
        <v>138</v>
      </c>
      <c r="B198" s="10" t="s">
        <v>37</v>
      </c>
      <c r="C198" s="10" t="s">
        <v>139</v>
      </c>
      <c r="D198" s="10" t="s">
        <v>508</v>
      </c>
      <c r="E198" s="11" t="n">
        <v>23</v>
      </c>
      <c r="F198" s="10" t="s">
        <v>291</v>
      </c>
      <c r="G198" s="7" t="n">
        <v>9</v>
      </c>
      <c r="H198" s="10" t="s">
        <v>140</v>
      </c>
      <c r="I198" s="10" t="s">
        <v>53</v>
      </c>
      <c r="J198" s="10" t="s">
        <v>54</v>
      </c>
      <c r="K198" s="7" t="n">
        <v>4</v>
      </c>
      <c r="L198" s="7" t="n">
        <v>118</v>
      </c>
      <c r="M198" s="7" t="n">
        <v>9</v>
      </c>
      <c r="N198" s="7" t="n">
        <v>21</v>
      </c>
      <c r="O198" s="7" t="n">
        <v>1</v>
      </c>
      <c r="P198" s="8" t="n">
        <v>4.6910294298205</v>
      </c>
      <c r="Q198" s="9" t="n">
        <v>0.213172825913877</v>
      </c>
      <c r="R198" s="8" t="n">
        <v>7</v>
      </c>
      <c r="S198" s="12" t="n">
        <f aca="false">IF(AND(ISNUMBER(R198),R198&gt;1,P198&gt;0),R198/P198-1,"")</f>
        <v>0.49220978139714</v>
      </c>
    </row>
    <row r="199" customFormat="false" ht="15" hidden="false" customHeight="false" outlineLevel="0" collapsed="false">
      <c r="A199" s="10" t="s">
        <v>138</v>
      </c>
      <c r="B199" s="10" t="s">
        <v>37</v>
      </c>
      <c r="C199" s="10" t="s">
        <v>139</v>
      </c>
      <c r="D199" s="10" t="s">
        <v>508</v>
      </c>
      <c r="E199" s="11" t="n">
        <v>23</v>
      </c>
      <c r="F199" s="10" t="s">
        <v>291</v>
      </c>
      <c r="G199" s="7" t="n">
        <v>9</v>
      </c>
      <c r="H199" s="10" t="s">
        <v>141</v>
      </c>
      <c r="I199" s="10" t="s">
        <v>670</v>
      </c>
      <c r="J199" s="10" t="s">
        <v>671</v>
      </c>
      <c r="K199" s="7" t="n">
        <v>6</v>
      </c>
      <c r="L199" s="7" t="n">
        <v>116</v>
      </c>
      <c r="M199" s="7" t="n">
        <v>6</v>
      </c>
      <c r="N199" s="7" t="n">
        <v>21</v>
      </c>
      <c r="O199" s="7" t="n">
        <v>2</v>
      </c>
      <c r="P199" s="8" t="n">
        <v>4.81907564531771</v>
      </c>
      <c r="Q199" s="9" t="n">
        <v>0.207508674608919</v>
      </c>
      <c r="R199" s="8" t="n">
        <v>3</v>
      </c>
      <c r="S199" s="12" t="n">
        <f aca="false">IF(AND(ISNUMBER(R199),R199&gt;1,P199&gt;0),R199/P199-1,"")</f>
        <v>-0.377473976173242</v>
      </c>
    </row>
    <row r="200" customFormat="false" ht="15" hidden="false" customHeight="false" outlineLevel="0" collapsed="false">
      <c r="A200" s="10" t="s">
        <v>138</v>
      </c>
      <c r="B200" s="10" t="s">
        <v>37</v>
      </c>
      <c r="C200" s="10" t="s">
        <v>139</v>
      </c>
      <c r="D200" s="10" t="s">
        <v>508</v>
      </c>
      <c r="E200" s="11" t="n">
        <v>23</v>
      </c>
      <c r="F200" s="10" t="s">
        <v>291</v>
      </c>
      <c r="G200" s="7" t="n">
        <v>9</v>
      </c>
      <c r="H200" s="10" t="s">
        <v>672</v>
      </c>
      <c r="I200" s="10" t="s">
        <v>673</v>
      </c>
      <c r="J200" s="10" t="s">
        <v>674</v>
      </c>
      <c r="K200" s="7" t="n">
        <v>2</v>
      </c>
      <c r="L200" s="7" t="n">
        <v>120</v>
      </c>
      <c r="M200" s="7" t="n">
        <v>5</v>
      </c>
      <c r="N200" s="7" t="n">
        <v>156</v>
      </c>
      <c r="O200" s="7" t="n">
        <v>3</v>
      </c>
      <c r="P200" s="8" t="n">
        <v>5.0859407885649</v>
      </c>
      <c r="Q200" s="9" t="n">
        <v>0.196620456582659</v>
      </c>
      <c r="R200" s="8" t="n">
        <v>3.75</v>
      </c>
      <c r="S200" s="12" t="n">
        <f aca="false">IF(AND(ISNUMBER(R200),R200&gt;1,P200&gt;0),R200/P200-1,"")</f>
        <v>-0.262673287815029</v>
      </c>
    </row>
    <row r="201" customFormat="false" ht="15" hidden="false" customHeight="false" outlineLevel="0" collapsed="false">
      <c r="A201" s="10" t="s">
        <v>138</v>
      </c>
      <c r="B201" s="10" t="s">
        <v>37</v>
      </c>
      <c r="C201" s="10" t="s">
        <v>139</v>
      </c>
      <c r="D201" s="10" t="s">
        <v>508</v>
      </c>
      <c r="E201" s="11" t="n">
        <v>23</v>
      </c>
      <c r="F201" s="10" t="s">
        <v>291</v>
      </c>
      <c r="G201" s="7" t="n">
        <v>9</v>
      </c>
      <c r="H201" s="10" t="s">
        <v>675</v>
      </c>
      <c r="I201" s="10" t="s">
        <v>676</v>
      </c>
      <c r="J201" s="10" t="s">
        <v>677</v>
      </c>
      <c r="K201" s="7" t="n">
        <v>5</v>
      </c>
      <c r="L201" s="7" t="n">
        <v>117</v>
      </c>
      <c r="M201" s="7" t="n">
        <v>6</v>
      </c>
      <c r="N201" s="7" t="n">
        <v>139</v>
      </c>
      <c r="O201" s="7" t="n">
        <v>4</v>
      </c>
      <c r="P201" s="8" t="n">
        <v>8.09932496293473</v>
      </c>
      <c r="Q201" s="9" t="n">
        <v>0.123467079611738</v>
      </c>
      <c r="R201" s="8" t="n">
        <v>7</v>
      </c>
      <c r="S201" s="12" t="n">
        <f aca="false">IF(AND(ISNUMBER(R201),R201&gt;1,P201&gt;0),R201/P201-1,"")</f>
        <v>-0.135730442717833</v>
      </c>
    </row>
    <row r="202" customFormat="false" ht="15" hidden="false" customHeight="false" outlineLevel="0" collapsed="false">
      <c r="A202" s="10" t="s">
        <v>138</v>
      </c>
      <c r="B202" s="10" t="s">
        <v>37</v>
      </c>
      <c r="C202" s="10" t="s">
        <v>139</v>
      </c>
      <c r="D202" s="10" t="s">
        <v>508</v>
      </c>
      <c r="E202" s="11" t="n">
        <v>23</v>
      </c>
      <c r="F202" s="10" t="s">
        <v>291</v>
      </c>
      <c r="G202" s="7" t="n">
        <v>9</v>
      </c>
      <c r="H202" s="10" t="s">
        <v>678</v>
      </c>
      <c r="I202" s="10" t="s">
        <v>679</v>
      </c>
      <c r="J202" s="10" t="s">
        <v>163</v>
      </c>
      <c r="K202" s="7" t="n">
        <v>8</v>
      </c>
      <c r="L202" s="7" t="n">
        <v>110</v>
      </c>
      <c r="M202" s="7" t="n">
        <v>7</v>
      </c>
      <c r="N202" s="7" t="n">
        <v>10</v>
      </c>
      <c r="O202" s="7" t="n">
        <v>5</v>
      </c>
      <c r="P202" s="8" t="n">
        <v>14.3074980602617</v>
      </c>
      <c r="Q202" s="9" t="n">
        <v>0.0698934220216635</v>
      </c>
      <c r="R202" s="8" t="n">
        <v>8</v>
      </c>
      <c r="S202" s="12" t="n">
        <f aca="false">IF(AND(ISNUMBER(R202),R202&gt;1,P202&gt;0),R202/P202-1,"")</f>
        <v>-0.440852623826692</v>
      </c>
    </row>
    <row r="203" customFormat="false" ht="15" hidden="false" customHeight="false" outlineLevel="0" collapsed="false">
      <c r="A203" s="10" t="s">
        <v>138</v>
      </c>
      <c r="B203" s="10" t="s">
        <v>37</v>
      </c>
      <c r="C203" s="10" t="s">
        <v>139</v>
      </c>
      <c r="D203" s="10" t="s">
        <v>508</v>
      </c>
      <c r="E203" s="11" t="n">
        <v>23</v>
      </c>
      <c r="F203" s="10" t="s">
        <v>291</v>
      </c>
      <c r="G203" s="7" t="n">
        <v>9</v>
      </c>
      <c r="H203" s="10" t="s">
        <v>680</v>
      </c>
      <c r="I203" s="10" t="s">
        <v>528</v>
      </c>
      <c r="J203" s="10" t="s">
        <v>529</v>
      </c>
      <c r="K203" s="7" t="n">
        <v>3</v>
      </c>
      <c r="L203" s="7" t="n">
        <v>118</v>
      </c>
      <c r="M203" s="7" t="n">
        <v>11</v>
      </c>
      <c r="N203" s="7" t="n">
        <v>65</v>
      </c>
      <c r="O203" s="7" t="n">
        <v>6</v>
      </c>
      <c r="P203" s="8" t="n">
        <v>17.7158357141021</v>
      </c>
      <c r="Q203" s="9" t="n">
        <v>0.0564466738198516</v>
      </c>
      <c r="R203" s="8" t="n">
        <v>12</v>
      </c>
      <c r="S203" s="12" t="n">
        <f aca="false">IF(AND(ISNUMBER(R203),R203&gt;1,P203&gt;0),R203/P203-1,"")</f>
        <v>-0.322639914161781</v>
      </c>
    </row>
    <row r="204" customFormat="false" ht="15" hidden="false" customHeight="false" outlineLevel="0" collapsed="false">
      <c r="A204" s="10" t="s">
        <v>138</v>
      </c>
      <c r="B204" s="10" t="s">
        <v>37</v>
      </c>
      <c r="C204" s="10" t="s">
        <v>139</v>
      </c>
      <c r="D204" s="10" t="s">
        <v>508</v>
      </c>
      <c r="E204" s="11" t="n">
        <v>23</v>
      </c>
      <c r="F204" s="10" t="s">
        <v>291</v>
      </c>
      <c r="G204" s="7" t="n">
        <v>9</v>
      </c>
      <c r="H204" s="10" t="s">
        <v>681</v>
      </c>
      <c r="I204" s="10" t="s">
        <v>341</v>
      </c>
      <c r="J204" s="10" t="s">
        <v>682</v>
      </c>
      <c r="K204" s="7" t="n">
        <v>9</v>
      </c>
      <c r="L204" s="7" t="n">
        <v>105</v>
      </c>
      <c r="M204" s="7" t="n">
        <v>6</v>
      </c>
      <c r="N204" s="7" t="n">
        <v>28</v>
      </c>
      <c r="O204" s="7" t="n">
        <v>7</v>
      </c>
      <c r="P204" s="8" t="n">
        <v>18.2361822736853</v>
      </c>
      <c r="Q204" s="9" t="n">
        <v>0.0548360388699884</v>
      </c>
      <c r="R204" s="8" t="n">
        <v>15</v>
      </c>
      <c r="S204" s="12" t="n">
        <f aca="false">IF(AND(ISNUMBER(R204),R204&gt;1,P204&gt;0),R204/P204-1,"")</f>
        <v>-0.177459416950173</v>
      </c>
    </row>
    <row r="205" customFormat="false" ht="15" hidden="false" customHeight="false" outlineLevel="0" collapsed="false">
      <c r="A205" s="10" t="s">
        <v>138</v>
      </c>
      <c r="B205" s="10" t="s">
        <v>37</v>
      </c>
      <c r="C205" s="10" t="s">
        <v>139</v>
      </c>
      <c r="D205" s="10" t="s">
        <v>508</v>
      </c>
      <c r="E205" s="11" t="n">
        <v>23</v>
      </c>
      <c r="F205" s="10" t="s">
        <v>291</v>
      </c>
      <c r="G205" s="7" t="n">
        <v>9</v>
      </c>
      <c r="H205" s="10" t="s">
        <v>683</v>
      </c>
      <c r="I205" s="10" t="s">
        <v>121</v>
      </c>
      <c r="J205" s="10" t="s">
        <v>684</v>
      </c>
      <c r="K205" s="7" t="n">
        <v>7</v>
      </c>
      <c r="L205" s="7" t="n">
        <v>111</v>
      </c>
      <c r="M205" s="7" t="n">
        <v>13</v>
      </c>
      <c r="N205" s="7" t="n">
        <v>71</v>
      </c>
      <c r="O205" s="7" t="n">
        <v>8</v>
      </c>
      <c r="P205" s="8" t="n">
        <v>25.4581453471822</v>
      </c>
      <c r="Q205" s="9" t="n">
        <v>0.0392801591146027</v>
      </c>
      <c r="R205" s="8" t="n">
        <v>17</v>
      </c>
      <c r="S205" s="12" t="n">
        <f aca="false">IF(AND(ISNUMBER(R205),R205&gt;1,P205&gt;0),R205/P205-1,"")</f>
        <v>-0.332237295051753</v>
      </c>
    </row>
    <row r="206" customFormat="false" ht="15" hidden="false" customHeight="false" outlineLevel="0" collapsed="false">
      <c r="A206" s="10" t="s">
        <v>138</v>
      </c>
      <c r="B206" s="10" t="s">
        <v>37</v>
      </c>
      <c r="C206" s="10" t="s">
        <v>139</v>
      </c>
      <c r="D206" s="10" t="s">
        <v>508</v>
      </c>
      <c r="E206" s="11" t="n">
        <v>23</v>
      </c>
      <c r="F206" s="10" t="s">
        <v>291</v>
      </c>
      <c r="G206" s="7" t="n">
        <v>9</v>
      </c>
      <c r="H206" s="10" t="s">
        <v>685</v>
      </c>
      <c r="I206" s="10" t="s">
        <v>304</v>
      </c>
      <c r="J206" s="10" t="s">
        <v>624</v>
      </c>
      <c r="K206" s="7" t="n">
        <v>1</v>
      </c>
      <c r="L206" s="7" t="n">
        <v>122</v>
      </c>
      <c r="M206" s="7" t="n">
        <v>8</v>
      </c>
      <c r="N206" s="7" t="n">
        <v>139</v>
      </c>
      <c r="O206" s="7" t="n">
        <v>9</v>
      </c>
      <c r="P206" s="8" t="n">
        <v>25.7900328748569</v>
      </c>
      <c r="Q206" s="9" t="n">
        <v>0.0387746694566998</v>
      </c>
      <c r="R206" s="8" t="n">
        <v>19</v>
      </c>
      <c r="S206" s="12" t="n">
        <f aca="false">IF(AND(ISNUMBER(R206),R206&gt;1,P206&gt;0),R206/P206-1,"")</f>
        <v>-0.263281280322702</v>
      </c>
    </row>
    <row r="207" customFormat="false" ht="15" hidden="false" customHeight="false" outlineLevel="0" collapsed="false">
      <c r="A207" s="10" t="s">
        <v>142</v>
      </c>
      <c r="B207" s="10" t="s">
        <v>57</v>
      </c>
      <c r="C207" s="10" t="s">
        <v>143</v>
      </c>
      <c r="D207" s="10"/>
      <c r="E207" s="11" t="n">
        <v>22</v>
      </c>
      <c r="F207" s="10" t="s">
        <v>291</v>
      </c>
      <c r="G207" s="7" t="n">
        <v>16</v>
      </c>
      <c r="H207" s="10" t="s">
        <v>144</v>
      </c>
      <c r="I207" s="10" t="s">
        <v>145</v>
      </c>
      <c r="J207" s="10" t="s">
        <v>146</v>
      </c>
      <c r="K207" s="7" t="n">
        <v>3</v>
      </c>
      <c r="L207" s="7" t="n">
        <v>96</v>
      </c>
      <c r="M207" s="7" t="n">
        <v>6</v>
      </c>
      <c r="N207" s="7" t="n">
        <v>14</v>
      </c>
      <c r="O207" s="7" t="n">
        <v>1</v>
      </c>
      <c r="P207" s="8" t="n">
        <v>6.21550488807399</v>
      </c>
      <c r="Q207" s="9" t="n">
        <v>0.160887975797228</v>
      </c>
      <c r="R207" s="8" t="n">
        <v>11</v>
      </c>
      <c r="S207" s="12" t="n">
        <f aca="false">IF(AND(ISNUMBER(R207),R207&gt;1,P207&gt;0),R207/P207-1,"")</f>
        <v>0.769767733769508</v>
      </c>
    </row>
    <row r="208" customFormat="false" ht="15" hidden="false" customHeight="false" outlineLevel="0" collapsed="false">
      <c r="A208" s="10" t="s">
        <v>142</v>
      </c>
      <c r="B208" s="10" t="s">
        <v>57</v>
      </c>
      <c r="C208" s="10" t="s">
        <v>143</v>
      </c>
      <c r="D208" s="10"/>
      <c r="E208" s="11" t="n">
        <v>22</v>
      </c>
      <c r="F208" s="10" t="s">
        <v>291</v>
      </c>
      <c r="G208" s="7" t="n">
        <v>16</v>
      </c>
      <c r="H208" s="10" t="s">
        <v>147</v>
      </c>
      <c r="I208" s="10" t="s">
        <v>384</v>
      </c>
      <c r="J208" s="10" t="s">
        <v>478</v>
      </c>
      <c r="K208" s="7" t="n">
        <v>2</v>
      </c>
      <c r="L208" s="7" t="n">
        <v>96</v>
      </c>
      <c r="M208" s="7" t="n">
        <v>7</v>
      </c>
      <c r="N208" s="7" t="n">
        <v>52</v>
      </c>
      <c r="O208" s="7" t="n">
        <v>2</v>
      </c>
      <c r="P208" s="8" t="n">
        <v>8.41967240656909</v>
      </c>
      <c r="Q208" s="9" t="n">
        <v>0.118769466519837</v>
      </c>
      <c r="R208" s="8" t="n">
        <v>17</v>
      </c>
      <c r="S208" s="12" t="n">
        <f aca="false">IF(AND(ISNUMBER(R208),R208&gt;1,P208&gt;0),R208/P208-1,"")</f>
        <v>1.01908093083722</v>
      </c>
    </row>
    <row r="209" customFormat="false" ht="15" hidden="false" customHeight="false" outlineLevel="0" collapsed="false">
      <c r="A209" s="10" t="s">
        <v>142</v>
      </c>
      <c r="B209" s="10" t="s">
        <v>57</v>
      </c>
      <c r="C209" s="10" t="s">
        <v>143</v>
      </c>
      <c r="D209" s="10"/>
      <c r="E209" s="11" t="n">
        <v>22</v>
      </c>
      <c r="F209" s="10" t="s">
        <v>291</v>
      </c>
      <c r="G209" s="7" t="n">
        <v>16</v>
      </c>
      <c r="H209" s="10" t="s">
        <v>686</v>
      </c>
      <c r="I209" s="10" t="s">
        <v>561</v>
      </c>
      <c r="J209" s="10" t="s">
        <v>687</v>
      </c>
      <c r="K209" s="7" t="n">
        <v>5</v>
      </c>
      <c r="L209" s="7" t="n">
        <v>94</v>
      </c>
      <c r="M209" s="7" t="n">
        <v>5</v>
      </c>
      <c r="N209" s="7" t="n">
        <v>18</v>
      </c>
      <c r="O209" s="7" t="n">
        <v>3</v>
      </c>
      <c r="P209" s="8" t="n">
        <v>8.6661523925994</v>
      </c>
      <c r="Q209" s="9" t="n">
        <v>0.115391462635017</v>
      </c>
      <c r="R209" s="8" t="n">
        <v>11</v>
      </c>
      <c r="S209" s="12" t="n">
        <f aca="false">IF(AND(ISNUMBER(R209),R209&gt;1,P209&gt;0),R209/P209-1,"")</f>
        <v>0.269306088985192</v>
      </c>
    </row>
    <row r="210" customFormat="false" ht="15" hidden="false" customHeight="false" outlineLevel="0" collapsed="false">
      <c r="A210" s="10" t="s">
        <v>142</v>
      </c>
      <c r="B210" s="10" t="s">
        <v>57</v>
      </c>
      <c r="C210" s="10" t="s">
        <v>143</v>
      </c>
      <c r="D210" s="10"/>
      <c r="E210" s="11" t="n">
        <v>22</v>
      </c>
      <c r="F210" s="10" t="s">
        <v>291</v>
      </c>
      <c r="G210" s="7" t="n">
        <v>16</v>
      </c>
      <c r="H210" s="10" t="s">
        <v>688</v>
      </c>
      <c r="I210" s="10" t="s">
        <v>567</v>
      </c>
      <c r="J210" s="10" t="s">
        <v>460</v>
      </c>
      <c r="K210" s="7" t="n">
        <v>1</v>
      </c>
      <c r="L210" s="7" t="n">
        <v>100</v>
      </c>
      <c r="M210" s="7" t="n">
        <v>6</v>
      </c>
      <c r="N210" s="7" t="n">
        <v>6</v>
      </c>
      <c r="O210" s="7" t="n">
        <v>4</v>
      </c>
      <c r="P210" s="8" t="n">
        <v>9.58098192388851</v>
      </c>
      <c r="Q210" s="9" t="n">
        <v>0.104373435619023</v>
      </c>
      <c r="R210" s="8" t="n">
        <v>10</v>
      </c>
      <c r="S210" s="12" t="n">
        <f aca="false">IF(AND(ISNUMBER(R210),R210&gt;1,P210&gt;0),R210/P210-1,"")</f>
        <v>0.0437343561902297</v>
      </c>
    </row>
    <row r="211" customFormat="false" ht="15" hidden="false" customHeight="false" outlineLevel="0" collapsed="false">
      <c r="A211" s="10" t="s">
        <v>142</v>
      </c>
      <c r="B211" s="10" t="s">
        <v>57</v>
      </c>
      <c r="C211" s="10" t="s">
        <v>143</v>
      </c>
      <c r="D211" s="10"/>
      <c r="E211" s="11" t="n">
        <v>22</v>
      </c>
      <c r="F211" s="10" t="s">
        <v>291</v>
      </c>
      <c r="G211" s="7" t="n">
        <v>16</v>
      </c>
      <c r="H211" s="10" t="s">
        <v>689</v>
      </c>
      <c r="I211" s="10" t="s">
        <v>550</v>
      </c>
      <c r="J211" s="10" t="s">
        <v>392</v>
      </c>
      <c r="K211" s="7" t="n">
        <v>9</v>
      </c>
      <c r="L211" s="7" t="n">
        <v>90</v>
      </c>
      <c r="M211" s="7" t="n">
        <v>7</v>
      </c>
      <c r="N211" s="7" t="n">
        <v>28</v>
      </c>
      <c r="O211" s="7" t="n">
        <v>5</v>
      </c>
      <c r="P211" s="8" t="n">
        <v>11.0195843865679</v>
      </c>
      <c r="Q211" s="9" t="n">
        <v>0.0907475241279451</v>
      </c>
      <c r="R211" s="8" t="n">
        <v>9</v>
      </c>
      <c r="S211" s="12" t="n">
        <f aca="false">IF(AND(ISNUMBER(R211),R211&gt;1,P211&gt;0),R211/P211-1,"")</f>
        <v>-0.183272282848494</v>
      </c>
    </row>
    <row r="212" customFormat="false" ht="15" hidden="false" customHeight="false" outlineLevel="0" collapsed="false">
      <c r="A212" s="10" t="s">
        <v>142</v>
      </c>
      <c r="B212" s="10" t="s">
        <v>57</v>
      </c>
      <c r="C212" s="10" t="s">
        <v>143</v>
      </c>
      <c r="D212" s="10"/>
      <c r="E212" s="11" t="n">
        <v>22</v>
      </c>
      <c r="F212" s="10" t="s">
        <v>291</v>
      </c>
      <c r="G212" s="7" t="n">
        <v>16</v>
      </c>
      <c r="H212" s="10" t="s">
        <v>690</v>
      </c>
      <c r="I212" s="10" t="s">
        <v>83</v>
      </c>
      <c r="J212" s="10" t="s">
        <v>372</v>
      </c>
      <c r="K212" s="7" t="n">
        <v>7</v>
      </c>
      <c r="L212" s="7" t="n">
        <v>92</v>
      </c>
      <c r="M212" s="7" t="n">
        <v>7</v>
      </c>
      <c r="N212" s="7" t="n">
        <v>18</v>
      </c>
      <c r="O212" s="7" t="n">
        <v>6</v>
      </c>
      <c r="P212" s="8" t="n">
        <v>11.0954560080846</v>
      </c>
      <c r="Q212" s="9" t="n">
        <v>0.0901269852515626</v>
      </c>
      <c r="R212" s="8" t="n">
        <v>7</v>
      </c>
      <c r="S212" s="12" t="n">
        <f aca="false">IF(AND(ISNUMBER(R212),R212&gt;1,P212&gt;0),R212/P212-1,"")</f>
        <v>-0.369111103239062</v>
      </c>
    </row>
    <row r="213" customFormat="false" ht="15" hidden="false" customHeight="false" outlineLevel="0" collapsed="false">
      <c r="A213" s="10" t="s">
        <v>142</v>
      </c>
      <c r="B213" s="10" t="s">
        <v>57</v>
      </c>
      <c r="C213" s="10" t="s">
        <v>143</v>
      </c>
      <c r="D213" s="10"/>
      <c r="E213" s="11" t="n">
        <v>22</v>
      </c>
      <c r="F213" s="10" t="s">
        <v>291</v>
      </c>
      <c r="G213" s="7" t="n">
        <v>16</v>
      </c>
      <c r="H213" s="10" t="s">
        <v>691</v>
      </c>
      <c r="I213" s="10" t="s">
        <v>168</v>
      </c>
      <c r="J213" s="10" t="s">
        <v>169</v>
      </c>
      <c r="K213" s="7" t="n">
        <v>8</v>
      </c>
      <c r="L213" s="7" t="n">
        <v>95</v>
      </c>
      <c r="M213" s="7" t="n">
        <v>4</v>
      </c>
      <c r="N213" s="7" t="n">
        <v>21</v>
      </c>
      <c r="O213" s="7" t="n">
        <v>7</v>
      </c>
      <c r="P213" s="8" t="n">
        <v>12.0979302938908</v>
      </c>
      <c r="Q213" s="9" t="n">
        <v>0.0826587668888274</v>
      </c>
      <c r="R213" s="8" t="n">
        <v>6</v>
      </c>
      <c r="S213" s="12" t="n">
        <f aca="false">IF(AND(ISNUMBER(R213),R213&gt;1,P213&gt;0),R213/P213-1,"")</f>
        <v>-0.504047398667035</v>
      </c>
    </row>
    <row r="214" customFormat="false" ht="15" hidden="false" customHeight="false" outlineLevel="0" collapsed="false">
      <c r="A214" s="10" t="s">
        <v>142</v>
      </c>
      <c r="B214" s="10" t="s">
        <v>57</v>
      </c>
      <c r="C214" s="10" t="s">
        <v>143</v>
      </c>
      <c r="D214" s="10"/>
      <c r="E214" s="11" t="n">
        <v>22</v>
      </c>
      <c r="F214" s="10" t="s">
        <v>291</v>
      </c>
      <c r="G214" s="7" t="n">
        <v>16</v>
      </c>
      <c r="H214" s="10" t="s">
        <v>692</v>
      </c>
      <c r="I214" s="10" t="s">
        <v>693</v>
      </c>
      <c r="J214" s="10" t="s">
        <v>694</v>
      </c>
      <c r="K214" s="7" t="n">
        <v>10</v>
      </c>
      <c r="L214" s="7" t="n">
        <v>86</v>
      </c>
      <c r="M214" s="7" t="n">
        <v>6</v>
      </c>
      <c r="N214" s="7" t="n">
        <v>48</v>
      </c>
      <c r="O214" s="7" t="n">
        <v>8</v>
      </c>
      <c r="P214" s="8" t="n">
        <v>15.7376704775447</v>
      </c>
      <c r="Q214" s="9" t="n">
        <v>0.0635418057219363</v>
      </c>
      <c r="R214" s="8" t="n">
        <v>2.875</v>
      </c>
      <c r="S214" s="12" t="n">
        <f aca="false">IF(AND(ISNUMBER(R214),R214&gt;1,P214&gt;0),R214/P214-1,"")</f>
        <v>-0.817317308549433</v>
      </c>
    </row>
    <row r="215" customFormat="false" ht="15" hidden="false" customHeight="false" outlineLevel="0" collapsed="false">
      <c r="A215" s="10" t="s">
        <v>142</v>
      </c>
      <c r="B215" s="10" t="s">
        <v>57</v>
      </c>
      <c r="C215" s="10" t="s">
        <v>143</v>
      </c>
      <c r="D215" s="10"/>
      <c r="E215" s="11" t="n">
        <v>22</v>
      </c>
      <c r="F215" s="10" t="s">
        <v>291</v>
      </c>
      <c r="G215" s="7" t="n">
        <v>16</v>
      </c>
      <c r="H215" s="10" t="s">
        <v>695</v>
      </c>
      <c r="I215" s="10" t="s">
        <v>577</v>
      </c>
      <c r="J215" s="10" t="s">
        <v>696</v>
      </c>
      <c r="K215" s="7" t="n">
        <v>14</v>
      </c>
      <c r="L215" s="7" t="n">
        <v>75</v>
      </c>
      <c r="M215" s="7" t="n">
        <v>6</v>
      </c>
      <c r="N215" s="7" t="n">
        <v>63</v>
      </c>
      <c r="O215" s="7" t="n">
        <v>9</v>
      </c>
      <c r="P215" s="8" t="n">
        <v>24.36486256434</v>
      </c>
      <c r="Q215" s="9" t="n">
        <v>0.041042710475354</v>
      </c>
      <c r="R215" s="8" t="n">
        <v>19</v>
      </c>
      <c r="S215" s="12" t="n">
        <f aca="false">IF(AND(ISNUMBER(R215),R215&gt;1,P215&gt;0),R215/P215-1,"")</f>
        <v>-0.220188500968273</v>
      </c>
    </row>
    <row r="216" customFormat="false" ht="15" hidden="false" customHeight="false" outlineLevel="0" collapsed="false">
      <c r="A216" s="10" t="s">
        <v>142</v>
      </c>
      <c r="B216" s="10" t="s">
        <v>57</v>
      </c>
      <c r="C216" s="10" t="s">
        <v>143</v>
      </c>
      <c r="D216" s="10"/>
      <c r="E216" s="11" t="n">
        <v>22</v>
      </c>
      <c r="F216" s="10" t="s">
        <v>291</v>
      </c>
      <c r="G216" s="7" t="n">
        <v>16</v>
      </c>
      <c r="H216" s="10" t="s">
        <v>697</v>
      </c>
      <c r="I216" s="10" t="s">
        <v>375</v>
      </c>
      <c r="J216" s="10" t="s">
        <v>376</v>
      </c>
      <c r="K216" s="7" t="n">
        <v>12</v>
      </c>
      <c r="L216" s="7" t="n">
        <v>83</v>
      </c>
      <c r="M216" s="7" t="n">
        <v>6</v>
      </c>
      <c r="N216" s="7" t="n">
        <v>49</v>
      </c>
      <c r="O216" s="7" t="n">
        <v>10</v>
      </c>
      <c r="P216" s="8" t="n">
        <v>26.3055861330114</v>
      </c>
      <c r="Q216" s="9" t="n">
        <v>0.0380147393387703</v>
      </c>
      <c r="R216" s="8" t="n">
        <v>51</v>
      </c>
      <c r="S216" s="12" t="n">
        <f aca="false">IF(AND(ISNUMBER(R216),R216&gt;1,P216&gt;0),R216/P216-1,"")</f>
        <v>0.938751706277288</v>
      </c>
    </row>
    <row r="217" customFormat="false" ht="15" hidden="false" customHeight="false" outlineLevel="0" collapsed="false">
      <c r="A217" s="10" t="s">
        <v>142</v>
      </c>
      <c r="B217" s="10" t="s">
        <v>57</v>
      </c>
      <c r="C217" s="10" t="s">
        <v>143</v>
      </c>
      <c r="D217" s="10"/>
      <c r="E217" s="11" t="n">
        <v>22</v>
      </c>
      <c r="F217" s="10" t="s">
        <v>291</v>
      </c>
      <c r="G217" s="7" t="n">
        <v>16</v>
      </c>
      <c r="H217" s="10" t="s">
        <v>698</v>
      </c>
      <c r="I217" s="10" t="s">
        <v>699</v>
      </c>
      <c r="J217" s="10" t="s">
        <v>700</v>
      </c>
      <c r="K217" s="7" t="n">
        <v>4</v>
      </c>
      <c r="L217" s="7" t="n">
        <v>96</v>
      </c>
      <c r="M217" s="7" t="n">
        <v>5</v>
      </c>
      <c r="N217" s="7" t="n">
        <v>132</v>
      </c>
      <c r="O217" s="7" t="n">
        <v>11</v>
      </c>
      <c r="P217" s="8" t="n">
        <v>36.8123758649611</v>
      </c>
      <c r="Q217" s="9" t="n">
        <v>0.0271647775103759</v>
      </c>
      <c r="R217" s="8" t="n">
        <v>9</v>
      </c>
      <c r="S217" s="12" t="n">
        <f aca="false">IF(AND(ISNUMBER(R217),R217&gt;1,P217&gt;0),R217/P217-1,"")</f>
        <v>-0.755517002406617</v>
      </c>
    </row>
    <row r="218" customFormat="false" ht="15" hidden="false" customHeight="false" outlineLevel="0" collapsed="false">
      <c r="A218" s="10" t="s">
        <v>142</v>
      </c>
      <c r="B218" s="10" t="s">
        <v>57</v>
      </c>
      <c r="C218" s="10" t="s">
        <v>143</v>
      </c>
      <c r="D218" s="10"/>
      <c r="E218" s="11" t="n">
        <v>22</v>
      </c>
      <c r="F218" s="10" t="s">
        <v>291</v>
      </c>
      <c r="G218" s="7" t="n">
        <v>16</v>
      </c>
      <c r="H218" s="10" t="s">
        <v>701</v>
      </c>
      <c r="I218" s="10" t="s">
        <v>358</v>
      </c>
      <c r="J218" s="10" t="s">
        <v>472</v>
      </c>
      <c r="K218" s="7" t="n">
        <v>16</v>
      </c>
      <c r="L218" s="7" t="n">
        <v>90</v>
      </c>
      <c r="M218" s="7" t="n">
        <v>5</v>
      </c>
      <c r="N218" s="7" t="n">
        <v>55</v>
      </c>
      <c r="O218" s="7" t="n">
        <v>12</v>
      </c>
      <c r="P218" s="8" t="n">
        <v>51.2170868034879</v>
      </c>
      <c r="Q218" s="9" t="n">
        <v>0.0195247340762828</v>
      </c>
      <c r="R218" s="8" t="n">
        <v>21</v>
      </c>
      <c r="S218" s="12" t="n">
        <f aca="false">IF(AND(ISNUMBER(R218),R218&gt;1,P218&gt;0),R218/P218-1,"")</f>
        <v>-0.589980584398059</v>
      </c>
    </row>
    <row r="219" customFormat="false" ht="15" hidden="false" customHeight="false" outlineLevel="0" collapsed="false">
      <c r="A219" s="10" t="s">
        <v>142</v>
      </c>
      <c r="B219" s="10" t="s">
        <v>57</v>
      </c>
      <c r="C219" s="10" t="s">
        <v>143</v>
      </c>
      <c r="D219" s="10"/>
      <c r="E219" s="11" t="n">
        <v>22</v>
      </c>
      <c r="F219" s="10" t="s">
        <v>291</v>
      </c>
      <c r="G219" s="7" t="n">
        <v>16</v>
      </c>
      <c r="H219" s="10" t="s">
        <v>702</v>
      </c>
      <c r="I219" s="10" t="s">
        <v>358</v>
      </c>
      <c r="J219" s="10" t="s">
        <v>578</v>
      </c>
      <c r="K219" s="7" t="n">
        <v>17</v>
      </c>
      <c r="L219" s="7" t="n">
        <v>81</v>
      </c>
      <c r="M219" s="7" t="n">
        <v>7</v>
      </c>
      <c r="N219" s="7" t="n">
        <v>34</v>
      </c>
      <c r="O219" s="7" t="n">
        <v>13</v>
      </c>
      <c r="P219" s="8" t="n">
        <v>53.933003428223</v>
      </c>
      <c r="Q219" s="9" t="n">
        <v>0.0185415225638389</v>
      </c>
      <c r="R219" s="8" t="n">
        <v>17</v>
      </c>
      <c r="S219" s="12" t="n">
        <f aca="false">IF(AND(ISNUMBER(R219),R219&gt;1,P219&gt;0),R219/P219-1,"")</f>
        <v>-0.684794116414738</v>
      </c>
    </row>
    <row r="220" customFormat="false" ht="15" hidden="false" customHeight="false" outlineLevel="0" collapsed="false">
      <c r="A220" s="10" t="s">
        <v>142</v>
      </c>
      <c r="B220" s="10" t="s">
        <v>57</v>
      </c>
      <c r="C220" s="10" t="s">
        <v>143</v>
      </c>
      <c r="D220" s="10"/>
      <c r="E220" s="11" t="n">
        <v>22</v>
      </c>
      <c r="F220" s="10" t="s">
        <v>291</v>
      </c>
      <c r="G220" s="7" t="n">
        <v>16</v>
      </c>
      <c r="H220" s="10" t="s">
        <v>703</v>
      </c>
      <c r="I220" s="10" t="s">
        <v>352</v>
      </c>
      <c r="J220" s="10" t="s">
        <v>353</v>
      </c>
      <c r="K220" s="7" t="n">
        <v>11</v>
      </c>
      <c r="L220" s="7" t="n">
        <v>86</v>
      </c>
      <c r="M220" s="7" t="n">
        <v>7</v>
      </c>
      <c r="N220" s="7" t="n">
        <v>503</v>
      </c>
      <c r="O220" s="7" t="n">
        <v>14</v>
      </c>
      <c r="P220" s="8" t="n">
        <v>79.1378275491005</v>
      </c>
      <c r="Q220" s="9" t="n">
        <v>0.012636182101152</v>
      </c>
      <c r="R220" s="8" t="n">
        <v>34</v>
      </c>
      <c r="S220" s="12" t="n">
        <f aca="false">IF(AND(ISNUMBER(R220),R220&gt;1,P220&gt;0),R220/P220-1,"")</f>
        <v>-0.570369808560831</v>
      </c>
    </row>
    <row r="221" customFormat="false" ht="15" hidden="false" customHeight="false" outlineLevel="0" collapsed="false">
      <c r="A221" s="10" t="s">
        <v>142</v>
      </c>
      <c r="B221" s="10" t="s">
        <v>57</v>
      </c>
      <c r="C221" s="10" t="s">
        <v>143</v>
      </c>
      <c r="D221" s="10"/>
      <c r="E221" s="11" t="n">
        <v>22</v>
      </c>
      <c r="F221" s="10" t="s">
        <v>291</v>
      </c>
      <c r="G221" s="7" t="n">
        <v>16</v>
      </c>
      <c r="H221" s="10" t="s">
        <v>704</v>
      </c>
      <c r="I221" s="10" t="s">
        <v>705</v>
      </c>
      <c r="J221" s="10" t="s">
        <v>706</v>
      </c>
      <c r="K221" s="7" t="n">
        <v>13</v>
      </c>
      <c r="L221" s="7" t="n">
        <v>78</v>
      </c>
      <c r="M221" s="7" t="n">
        <v>8</v>
      </c>
      <c r="N221" s="7" t="n">
        <v>63</v>
      </c>
      <c r="O221" s="7" t="n">
        <v>15</v>
      </c>
      <c r="P221" s="8" t="n">
        <v>85.4767687941439</v>
      </c>
      <c r="Q221" s="9" t="n">
        <v>0.011699085191303</v>
      </c>
      <c r="R221" s="8" t="n">
        <v>41</v>
      </c>
      <c r="S221" s="12" t="n">
        <f aca="false">IF(AND(ISNUMBER(R221),R221&gt;1,P221&gt;0),R221/P221-1,"")</f>
        <v>-0.520337507156577</v>
      </c>
    </row>
    <row r="222" customFormat="false" ht="15" hidden="false" customHeight="false" outlineLevel="0" collapsed="false">
      <c r="A222" s="10" t="s">
        <v>142</v>
      </c>
      <c r="B222" s="10" t="s">
        <v>57</v>
      </c>
      <c r="C222" s="10" t="s">
        <v>143</v>
      </c>
      <c r="D222" s="10"/>
      <c r="E222" s="11" t="n">
        <v>22</v>
      </c>
      <c r="F222" s="10" t="s">
        <v>291</v>
      </c>
      <c r="G222" s="7" t="n">
        <v>16</v>
      </c>
      <c r="H222" s="10" t="s">
        <v>707</v>
      </c>
      <c r="I222" s="10" t="s">
        <v>358</v>
      </c>
      <c r="J222" s="10" t="s">
        <v>353</v>
      </c>
      <c r="K222" s="7" t="n">
        <v>15</v>
      </c>
      <c r="L222" s="7" t="n">
        <v>88</v>
      </c>
      <c r="M222" s="7" t="n">
        <v>7</v>
      </c>
      <c r="N222" s="7" t="n">
        <v>25</v>
      </c>
      <c r="O222" s="7" t="n">
        <v>16</v>
      </c>
      <c r="P222" s="8" t="n">
        <v>204.967334926266</v>
      </c>
      <c r="Q222" s="9" t="n">
        <v>0.0048788261815461</v>
      </c>
      <c r="R222" s="8" t="n">
        <v>34</v>
      </c>
      <c r="S222" s="12" t="n">
        <f aca="false">IF(AND(ISNUMBER(R222),R222&gt;1,P222&gt;0),R222/P222-1,"")</f>
        <v>-0.834119909827431</v>
      </c>
    </row>
    <row r="223" customFormat="false" ht="15" hidden="false" customHeight="false" outlineLevel="0" collapsed="false">
      <c r="A223" s="10" t="s">
        <v>148</v>
      </c>
      <c r="B223" s="10" t="s">
        <v>44</v>
      </c>
      <c r="C223" s="10" t="s">
        <v>149</v>
      </c>
      <c r="D223" s="10" t="s">
        <v>340</v>
      </c>
      <c r="E223" s="11" t="n">
        <v>7</v>
      </c>
      <c r="F223" s="10" t="s">
        <v>291</v>
      </c>
      <c r="G223" s="7" t="n">
        <v>15</v>
      </c>
      <c r="H223" s="10" t="s">
        <v>150</v>
      </c>
      <c r="I223" s="10" t="s">
        <v>151</v>
      </c>
      <c r="J223" s="10" t="s">
        <v>152</v>
      </c>
      <c r="K223" s="7" t="n">
        <v>14</v>
      </c>
      <c r="L223" s="7" t="n">
        <v>0</v>
      </c>
      <c r="M223" s="7" t="n">
        <v>2</v>
      </c>
      <c r="N223" s="7" t="n">
        <v>55</v>
      </c>
      <c r="O223" s="7" t="n">
        <v>1</v>
      </c>
      <c r="P223" s="8" t="n">
        <v>3.20071205473957</v>
      </c>
      <c r="Q223" s="9" t="n">
        <v>0.312430478873978</v>
      </c>
      <c r="R223" s="8" t="n">
        <v>4.5</v>
      </c>
      <c r="S223" s="12" t="n">
        <f aca="false">IF(AND(ISNUMBER(R223),R223&gt;1,P223&gt;0),R223/P223-1,"")</f>
        <v>0.405937154932903</v>
      </c>
    </row>
    <row r="224" customFormat="false" ht="15" hidden="false" customHeight="false" outlineLevel="0" collapsed="false">
      <c r="A224" s="10" t="s">
        <v>148</v>
      </c>
      <c r="B224" s="10" t="s">
        <v>44</v>
      </c>
      <c r="C224" s="10" t="s">
        <v>149</v>
      </c>
      <c r="D224" s="10" t="s">
        <v>340</v>
      </c>
      <c r="E224" s="11" t="n">
        <v>7</v>
      </c>
      <c r="F224" s="10" t="s">
        <v>291</v>
      </c>
      <c r="G224" s="7" t="n">
        <v>15</v>
      </c>
      <c r="H224" s="10" t="s">
        <v>153</v>
      </c>
      <c r="I224" s="10" t="s">
        <v>708</v>
      </c>
      <c r="J224" s="10" t="s">
        <v>591</v>
      </c>
      <c r="K224" s="7" t="n">
        <v>1</v>
      </c>
      <c r="L224" s="7" t="n">
        <v>0</v>
      </c>
      <c r="M224" s="7" t="n">
        <v>2</v>
      </c>
      <c r="N224" s="7" t="n">
        <v>35</v>
      </c>
      <c r="O224" s="7" t="n">
        <v>2</v>
      </c>
      <c r="P224" s="8" t="n">
        <v>5.84350040507241</v>
      </c>
      <c r="Q224" s="9" t="n">
        <v>0.171130303872651</v>
      </c>
      <c r="R224" s="8" t="n">
        <v>3.5</v>
      </c>
      <c r="S224" s="12" t="n">
        <f aca="false">IF(AND(ISNUMBER(R224),R224&gt;1,P224&gt;0),R224/P224-1,"")</f>
        <v>-0.401043936445722</v>
      </c>
    </row>
    <row r="225" customFormat="false" ht="15" hidden="false" customHeight="false" outlineLevel="0" collapsed="false">
      <c r="A225" s="10" t="s">
        <v>148</v>
      </c>
      <c r="B225" s="10" t="s">
        <v>44</v>
      </c>
      <c r="C225" s="10" t="s">
        <v>149</v>
      </c>
      <c r="D225" s="10" t="s">
        <v>340</v>
      </c>
      <c r="E225" s="11" t="n">
        <v>7</v>
      </c>
      <c r="F225" s="10" t="s">
        <v>291</v>
      </c>
      <c r="G225" s="7" t="n">
        <v>15</v>
      </c>
      <c r="H225" s="10" t="s">
        <v>709</v>
      </c>
      <c r="I225" s="10" t="s">
        <v>710</v>
      </c>
      <c r="J225" s="10" t="s">
        <v>711</v>
      </c>
      <c r="K225" s="7" t="n">
        <v>11</v>
      </c>
      <c r="L225" s="7" t="n">
        <v>0</v>
      </c>
      <c r="M225" s="7" t="n">
        <v>2</v>
      </c>
      <c r="N225" s="7" t="n">
        <v>21</v>
      </c>
      <c r="O225" s="7" t="n">
        <v>3</v>
      </c>
      <c r="P225" s="8" t="n">
        <v>6.82909386530229</v>
      </c>
      <c r="Q225" s="9" t="n">
        <v>0.146432311478521</v>
      </c>
      <c r="R225" s="8" t="n">
        <v>4</v>
      </c>
      <c r="S225" s="12" t="n">
        <f aca="false">IF(AND(ISNUMBER(R225),R225&gt;1,P225&gt;0),R225/P225-1,"")</f>
        <v>-0.414270754085917</v>
      </c>
    </row>
    <row r="226" customFormat="false" ht="15" hidden="false" customHeight="false" outlineLevel="0" collapsed="false">
      <c r="A226" s="10" t="s">
        <v>148</v>
      </c>
      <c r="B226" s="10" t="s">
        <v>44</v>
      </c>
      <c r="C226" s="10" t="s">
        <v>149</v>
      </c>
      <c r="D226" s="10" t="s">
        <v>340</v>
      </c>
      <c r="E226" s="11" t="n">
        <v>7</v>
      </c>
      <c r="F226" s="10" t="s">
        <v>291</v>
      </c>
      <c r="G226" s="7" t="n">
        <v>15</v>
      </c>
      <c r="H226" s="10" t="s">
        <v>712</v>
      </c>
      <c r="I226" s="10" t="s">
        <v>89</v>
      </c>
      <c r="J226" s="10" t="s">
        <v>48</v>
      </c>
      <c r="K226" s="7" t="n">
        <v>3</v>
      </c>
      <c r="L226" s="7" t="n">
        <v>0</v>
      </c>
      <c r="M226" s="7" t="n">
        <v>2</v>
      </c>
      <c r="N226" s="7"/>
      <c r="O226" s="7" t="n">
        <v>4</v>
      </c>
      <c r="P226" s="8" t="n">
        <v>11.0409747802655</v>
      </c>
      <c r="Q226" s="9" t="n">
        <v>0.09057171308709</v>
      </c>
      <c r="R226" s="8" t="n">
        <v>6</v>
      </c>
      <c r="S226" s="12" t="n">
        <f aca="false">IF(AND(ISNUMBER(R226),R226&gt;1,P226&gt;0),R226/P226-1,"")</f>
        <v>-0.456569721477459</v>
      </c>
    </row>
    <row r="227" customFormat="false" ht="15" hidden="false" customHeight="false" outlineLevel="0" collapsed="false">
      <c r="A227" s="10" t="s">
        <v>148</v>
      </c>
      <c r="B227" s="10" t="s">
        <v>44</v>
      </c>
      <c r="C227" s="10" t="s">
        <v>149</v>
      </c>
      <c r="D227" s="10" t="s">
        <v>340</v>
      </c>
      <c r="E227" s="11" t="n">
        <v>7</v>
      </c>
      <c r="F227" s="10" t="s">
        <v>291</v>
      </c>
      <c r="G227" s="7" t="n">
        <v>15</v>
      </c>
      <c r="H227" s="10" t="s">
        <v>713</v>
      </c>
      <c r="I227" s="10" t="s">
        <v>403</v>
      </c>
      <c r="J227" s="10" t="s">
        <v>714</v>
      </c>
      <c r="K227" s="7" t="n">
        <v>5</v>
      </c>
      <c r="L227" s="7" t="n">
        <v>0</v>
      </c>
      <c r="M227" s="7" t="n">
        <v>2</v>
      </c>
      <c r="N227" s="7" t="n">
        <v>15</v>
      </c>
      <c r="O227" s="7" t="n">
        <v>5</v>
      </c>
      <c r="P227" s="8" t="n">
        <v>12.6770614965132</v>
      </c>
      <c r="Q227" s="9" t="n">
        <v>0.0788826338244904</v>
      </c>
      <c r="R227" s="8" t="n">
        <v>8</v>
      </c>
      <c r="S227" s="12" t="n">
        <f aca="false">IF(AND(ISNUMBER(R227),R227&gt;1,P227&gt;0),R227/P227-1,"")</f>
        <v>-0.368938929404076</v>
      </c>
    </row>
    <row r="228" customFormat="false" ht="15" hidden="false" customHeight="false" outlineLevel="0" collapsed="false">
      <c r="A228" s="10" t="s">
        <v>148</v>
      </c>
      <c r="B228" s="10" t="s">
        <v>44</v>
      </c>
      <c r="C228" s="10" t="s">
        <v>149</v>
      </c>
      <c r="D228" s="10" t="s">
        <v>340</v>
      </c>
      <c r="E228" s="11" t="n">
        <v>7</v>
      </c>
      <c r="F228" s="10" t="s">
        <v>291</v>
      </c>
      <c r="G228" s="7" t="n">
        <v>15</v>
      </c>
      <c r="H228" s="10" t="s">
        <v>715</v>
      </c>
      <c r="I228" s="10" t="s">
        <v>323</v>
      </c>
      <c r="J228" s="10" t="s">
        <v>393</v>
      </c>
      <c r="K228" s="7" t="n">
        <v>9</v>
      </c>
      <c r="L228" s="7" t="n">
        <v>0</v>
      </c>
      <c r="M228" s="7" t="n">
        <v>2</v>
      </c>
      <c r="N228" s="7" t="n">
        <v>17</v>
      </c>
      <c r="O228" s="7" t="n">
        <v>6</v>
      </c>
      <c r="P228" s="8" t="n">
        <v>17.4162791421133</v>
      </c>
      <c r="Q228" s="9" t="n">
        <v>0.0574175454952349</v>
      </c>
      <c r="R228" s="8" t="n">
        <v>17</v>
      </c>
      <c r="S228" s="12" t="n">
        <f aca="false">IF(AND(ISNUMBER(R228),R228&gt;1,P228&gt;0),R228/P228-1,"")</f>
        <v>-0.0239017265810065</v>
      </c>
    </row>
    <row r="229" customFormat="false" ht="15" hidden="false" customHeight="false" outlineLevel="0" collapsed="false">
      <c r="A229" s="10" t="s">
        <v>148</v>
      </c>
      <c r="B229" s="10" t="s">
        <v>44</v>
      </c>
      <c r="C229" s="10" t="s">
        <v>149</v>
      </c>
      <c r="D229" s="10" t="s">
        <v>340</v>
      </c>
      <c r="E229" s="11" t="n">
        <v>7</v>
      </c>
      <c r="F229" s="10" t="s">
        <v>291</v>
      </c>
      <c r="G229" s="7" t="n">
        <v>15</v>
      </c>
      <c r="H229" s="10" t="s">
        <v>716</v>
      </c>
      <c r="I229" s="10" t="s">
        <v>338</v>
      </c>
      <c r="J229" s="10" t="s">
        <v>399</v>
      </c>
      <c r="K229" s="7" t="n">
        <v>12</v>
      </c>
      <c r="L229" s="7" t="n">
        <v>0</v>
      </c>
      <c r="M229" s="7" t="n">
        <v>2</v>
      </c>
      <c r="N229" s="7"/>
      <c r="O229" s="7" t="n">
        <v>7</v>
      </c>
      <c r="P229" s="8" t="n">
        <v>23.759461560718</v>
      </c>
      <c r="Q229" s="9" t="n">
        <v>0.0420884958796086</v>
      </c>
      <c r="R229" s="8" t="n">
        <v>13</v>
      </c>
      <c r="S229" s="12" t="n">
        <f aca="false">IF(AND(ISNUMBER(R229),R229&gt;1,P229&gt;0),R229/P229-1,"")</f>
        <v>-0.452849553565088</v>
      </c>
    </row>
    <row r="230" customFormat="false" ht="15" hidden="false" customHeight="false" outlineLevel="0" collapsed="false">
      <c r="A230" s="10" t="s">
        <v>148</v>
      </c>
      <c r="B230" s="10" t="s">
        <v>44</v>
      </c>
      <c r="C230" s="10" t="s">
        <v>149</v>
      </c>
      <c r="D230" s="10" t="s">
        <v>340</v>
      </c>
      <c r="E230" s="11" t="n">
        <v>7</v>
      </c>
      <c r="F230" s="10" t="s">
        <v>291</v>
      </c>
      <c r="G230" s="7" t="n">
        <v>15</v>
      </c>
      <c r="H230" s="10" t="s">
        <v>717</v>
      </c>
      <c r="I230" s="10" t="s">
        <v>329</v>
      </c>
      <c r="J230" s="10" t="s">
        <v>330</v>
      </c>
      <c r="K230" s="7" t="n">
        <v>10</v>
      </c>
      <c r="L230" s="7" t="n">
        <v>0</v>
      </c>
      <c r="M230" s="7" t="n">
        <v>2</v>
      </c>
      <c r="N230" s="7"/>
      <c r="O230" s="7" t="n">
        <v>8</v>
      </c>
      <c r="P230" s="8" t="n">
        <v>37.3925433800681</v>
      </c>
      <c r="Q230" s="9" t="n">
        <v>0.0267432998562233</v>
      </c>
      <c r="R230" s="8" t="n">
        <v>17</v>
      </c>
      <c r="S230" s="12" t="n">
        <f aca="false">IF(AND(ISNUMBER(R230),R230&gt;1,P230&gt;0),R230/P230-1,"")</f>
        <v>-0.545363902444204</v>
      </c>
    </row>
    <row r="231" customFormat="false" ht="15" hidden="false" customHeight="false" outlineLevel="0" collapsed="false">
      <c r="A231" s="10" t="s">
        <v>148</v>
      </c>
      <c r="B231" s="10" t="s">
        <v>44</v>
      </c>
      <c r="C231" s="10" t="s">
        <v>149</v>
      </c>
      <c r="D231" s="10" t="s">
        <v>340</v>
      </c>
      <c r="E231" s="11" t="n">
        <v>7</v>
      </c>
      <c r="F231" s="10" t="s">
        <v>291</v>
      </c>
      <c r="G231" s="7" t="n">
        <v>15</v>
      </c>
      <c r="H231" s="10" t="s">
        <v>718</v>
      </c>
      <c r="I231" s="10" t="s">
        <v>719</v>
      </c>
      <c r="J231" s="10" t="s">
        <v>418</v>
      </c>
      <c r="K231" s="7" t="n">
        <v>8</v>
      </c>
      <c r="L231" s="7" t="n">
        <v>0</v>
      </c>
      <c r="M231" s="7" t="n">
        <v>2</v>
      </c>
      <c r="N231" s="7" t="n">
        <v>22</v>
      </c>
      <c r="O231" s="7" t="n">
        <v>9</v>
      </c>
      <c r="P231" s="8" t="n">
        <v>51.099575705548</v>
      </c>
      <c r="Q231" s="9" t="n">
        <v>0.019569634115209</v>
      </c>
      <c r="R231" s="8" t="n">
        <v>34</v>
      </c>
      <c r="S231" s="12" t="n">
        <f aca="false">IF(AND(ISNUMBER(R231),R231&gt;1,P231&gt;0),R231/P231-1,"")</f>
        <v>-0.334632440082892</v>
      </c>
    </row>
    <row r="232" customFormat="false" ht="15" hidden="false" customHeight="false" outlineLevel="0" collapsed="false">
      <c r="A232" s="10" t="s">
        <v>148</v>
      </c>
      <c r="B232" s="10" t="s">
        <v>44</v>
      </c>
      <c r="C232" s="10" t="s">
        <v>149</v>
      </c>
      <c r="D232" s="10" t="s">
        <v>340</v>
      </c>
      <c r="E232" s="11" t="n">
        <v>7</v>
      </c>
      <c r="F232" s="10" t="s">
        <v>291</v>
      </c>
      <c r="G232" s="7" t="n">
        <v>15</v>
      </c>
      <c r="H232" s="10" t="s">
        <v>720</v>
      </c>
      <c r="I232" s="10" t="s">
        <v>320</v>
      </c>
      <c r="J232" s="10" t="s">
        <v>721</v>
      </c>
      <c r="K232" s="7" t="n">
        <v>2</v>
      </c>
      <c r="L232" s="7" t="n">
        <v>0</v>
      </c>
      <c r="M232" s="7" t="n">
        <v>2</v>
      </c>
      <c r="N232" s="7" t="n">
        <v>23</v>
      </c>
      <c r="O232" s="7" t="n">
        <v>10</v>
      </c>
      <c r="P232" s="8" t="n">
        <v>58.3470783459883</v>
      </c>
      <c r="Q232" s="9" t="n">
        <v>0.0171388187437624</v>
      </c>
      <c r="R232" s="8" t="n">
        <v>51</v>
      </c>
      <c r="S232" s="12" t="n">
        <f aca="false">IF(AND(ISNUMBER(R232),R232&gt;1,P232&gt;0),R232/P232-1,"")</f>
        <v>-0.125920244068116</v>
      </c>
    </row>
    <row r="233" customFormat="false" ht="15" hidden="false" customHeight="false" outlineLevel="0" collapsed="false">
      <c r="A233" s="10" t="s">
        <v>148</v>
      </c>
      <c r="B233" s="10" t="s">
        <v>44</v>
      </c>
      <c r="C233" s="10" t="s">
        <v>149</v>
      </c>
      <c r="D233" s="10" t="s">
        <v>340</v>
      </c>
      <c r="E233" s="11" t="n">
        <v>7</v>
      </c>
      <c r="F233" s="10" t="s">
        <v>291</v>
      </c>
      <c r="G233" s="7" t="n">
        <v>15</v>
      </c>
      <c r="H233" s="10" t="s">
        <v>722</v>
      </c>
      <c r="I233" s="10" t="s">
        <v>47</v>
      </c>
      <c r="J233" s="10" t="s">
        <v>723</v>
      </c>
      <c r="K233" s="7" t="n">
        <v>6</v>
      </c>
      <c r="L233" s="7" t="n">
        <v>0</v>
      </c>
      <c r="M233" s="7" t="n">
        <v>2</v>
      </c>
      <c r="N233" s="7" t="n">
        <v>23</v>
      </c>
      <c r="O233" s="7" t="n">
        <v>11</v>
      </c>
      <c r="P233" s="8" t="n">
        <v>84.5304411393117</v>
      </c>
      <c r="Q233" s="9" t="n">
        <v>0.0118300577463204</v>
      </c>
      <c r="R233" s="8" t="n">
        <v>26</v>
      </c>
      <c r="S233" s="12" t="n">
        <f aca="false">IF(AND(ISNUMBER(R233),R233&gt;1,P233&gt;0),R233/P233-1,"")</f>
        <v>-0.692418498595668</v>
      </c>
    </row>
    <row r="234" customFormat="false" ht="15" hidden="false" customHeight="false" outlineLevel="0" collapsed="false">
      <c r="A234" s="10" t="s">
        <v>148</v>
      </c>
      <c r="B234" s="10" t="s">
        <v>44</v>
      </c>
      <c r="C234" s="10" t="s">
        <v>149</v>
      </c>
      <c r="D234" s="10" t="s">
        <v>340</v>
      </c>
      <c r="E234" s="11" t="n">
        <v>7</v>
      </c>
      <c r="F234" s="10" t="s">
        <v>291</v>
      </c>
      <c r="G234" s="7" t="n">
        <v>15</v>
      </c>
      <c r="H234" s="10" t="s">
        <v>724</v>
      </c>
      <c r="I234" s="10" t="s">
        <v>725</v>
      </c>
      <c r="J234" s="10" t="s">
        <v>599</v>
      </c>
      <c r="K234" s="7" t="n">
        <v>4</v>
      </c>
      <c r="L234" s="7" t="n">
        <v>0</v>
      </c>
      <c r="M234" s="7" t="n">
        <v>2</v>
      </c>
      <c r="N234" s="7"/>
      <c r="O234" s="7" t="n">
        <v>12</v>
      </c>
      <c r="P234" s="8" t="n">
        <v>118.068677756699</v>
      </c>
      <c r="Q234" s="9" t="n">
        <v>0.0084696468106526</v>
      </c>
      <c r="R234" s="8" t="n">
        <v>67</v>
      </c>
      <c r="S234" s="12" t="n">
        <f aca="false">IF(AND(ISNUMBER(R234),R234&gt;1,P234&gt;0),R234/P234-1,"")</f>
        <v>-0.432533663686274</v>
      </c>
    </row>
    <row r="235" customFormat="false" ht="15" hidden="false" customHeight="false" outlineLevel="0" collapsed="false">
      <c r="A235" s="10" t="s">
        <v>148</v>
      </c>
      <c r="B235" s="10" t="s">
        <v>44</v>
      </c>
      <c r="C235" s="10" t="s">
        <v>149</v>
      </c>
      <c r="D235" s="10" t="s">
        <v>340</v>
      </c>
      <c r="E235" s="11" t="n">
        <v>7</v>
      </c>
      <c r="F235" s="10" t="s">
        <v>291</v>
      </c>
      <c r="G235" s="7" t="n">
        <v>15</v>
      </c>
      <c r="H235" s="10" t="s">
        <v>726</v>
      </c>
      <c r="I235" s="10" t="s">
        <v>727</v>
      </c>
      <c r="J235" s="10" t="s">
        <v>723</v>
      </c>
      <c r="K235" s="7" t="n">
        <v>15</v>
      </c>
      <c r="L235" s="7" t="n">
        <v>0</v>
      </c>
      <c r="M235" s="7" t="n">
        <v>2</v>
      </c>
      <c r="N235" s="7"/>
      <c r="O235" s="7" t="n">
        <v>13</v>
      </c>
      <c r="P235" s="8" t="n">
        <v>138.20371508831</v>
      </c>
      <c r="Q235" s="9" t="n">
        <v>0.0072356955047193</v>
      </c>
      <c r="R235" s="8" t="n">
        <v>41</v>
      </c>
      <c r="S235" s="12" t="n">
        <f aca="false">IF(AND(ISNUMBER(R235),R235&gt;1,P235&gt;0),R235/P235-1,"")</f>
        <v>-0.703336484306506</v>
      </c>
    </row>
    <row r="236" customFormat="false" ht="15" hidden="false" customHeight="false" outlineLevel="0" collapsed="false">
      <c r="A236" s="10" t="s">
        <v>148</v>
      </c>
      <c r="B236" s="10" t="s">
        <v>44</v>
      </c>
      <c r="C236" s="10" t="s">
        <v>149</v>
      </c>
      <c r="D236" s="10" t="s">
        <v>340</v>
      </c>
      <c r="E236" s="11" t="n">
        <v>7</v>
      </c>
      <c r="F236" s="10" t="s">
        <v>291</v>
      </c>
      <c r="G236" s="7" t="n">
        <v>15</v>
      </c>
      <c r="H236" s="10" t="s">
        <v>728</v>
      </c>
      <c r="I236" s="10" t="s">
        <v>729</v>
      </c>
      <c r="J236" s="10" t="s">
        <v>730</v>
      </c>
      <c r="K236" s="7" t="n">
        <v>7</v>
      </c>
      <c r="L236" s="7" t="n">
        <v>0</v>
      </c>
      <c r="M236" s="7" t="n">
        <v>2</v>
      </c>
      <c r="N236" s="7"/>
      <c r="O236" s="7" t="n">
        <v>14</v>
      </c>
      <c r="P236" s="8" t="n">
        <v>195.169216945012</v>
      </c>
      <c r="Q236" s="9" t="n">
        <v>0.0051237588368341</v>
      </c>
      <c r="R236" s="8" t="n">
        <v>101</v>
      </c>
      <c r="S236" s="12" t="n">
        <f aca="false">IF(AND(ISNUMBER(R236),R236&gt;1,P236&gt;0),R236/P236-1,"")</f>
        <v>-0.482500357479753</v>
      </c>
    </row>
    <row r="237" customFormat="false" ht="15" hidden="false" customHeight="false" outlineLevel="0" collapsed="false">
      <c r="A237" s="10" t="s">
        <v>148</v>
      </c>
      <c r="B237" s="10" t="s">
        <v>44</v>
      </c>
      <c r="C237" s="10" t="s">
        <v>149</v>
      </c>
      <c r="D237" s="10" t="s">
        <v>340</v>
      </c>
      <c r="E237" s="11" t="n">
        <v>7</v>
      </c>
      <c r="F237" s="10" t="s">
        <v>291</v>
      </c>
      <c r="G237" s="7" t="n">
        <v>15</v>
      </c>
      <c r="H237" s="10" t="s">
        <v>731</v>
      </c>
      <c r="I237" s="10" t="s">
        <v>732</v>
      </c>
      <c r="J237" s="10" t="s">
        <v>519</v>
      </c>
      <c r="K237" s="7" t="n">
        <v>13</v>
      </c>
      <c r="L237" s="7" t="n">
        <v>0</v>
      </c>
      <c r="M237" s="7" t="n">
        <v>2</v>
      </c>
      <c r="N237" s="7" t="n">
        <v>132</v>
      </c>
      <c r="O237" s="7" t="n">
        <v>15</v>
      </c>
      <c r="P237" s="8" t="n">
        <v>202.609370639806</v>
      </c>
      <c r="Q237" s="9" t="n">
        <v>0.0049356058747044</v>
      </c>
      <c r="R237" s="8" t="n">
        <v>81</v>
      </c>
      <c r="S237" s="12" t="n">
        <f aca="false">IF(AND(ISNUMBER(R237),R237&gt;1,P237&gt;0),R237/P237-1,"")</f>
        <v>-0.600215924148938</v>
      </c>
    </row>
    <row r="238" customFormat="false" ht="15" hidden="false" customHeight="false" outlineLevel="0" collapsed="false">
      <c r="A238" s="10" t="s">
        <v>154</v>
      </c>
      <c r="B238" s="10" t="s">
        <v>70</v>
      </c>
      <c r="C238" s="10" t="s">
        <v>155</v>
      </c>
      <c r="D238" s="10" t="s">
        <v>340</v>
      </c>
      <c r="E238" s="11" t="n">
        <v>7</v>
      </c>
      <c r="F238" s="10" t="s">
        <v>408</v>
      </c>
      <c r="G238" s="7" t="n">
        <v>11</v>
      </c>
      <c r="H238" s="10" t="s">
        <v>156</v>
      </c>
      <c r="I238" s="10" t="s">
        <v>157</v>
      </c>
      <c r="J238" s="10" t="s">
        <v>90</v>
      </c>
      <c r="K238" s="7" t="n">
        <v>5</v>
      </c>
      <c r="L238" s="7" t="n">
        <v>90</v>
      </c>
      <c r="M238" s="7" t="n">
        <v>3</v>
      </c>
      <c r="N238" s="7" t="n">
        <v>19</v>
      </c>
      <c r="O238" s="7" t="n">
        <v>1</v>
      </c>
      <c r="P238" s="8" t="n">
        <v>5.68489783628744</v>
      </c>
      <c r="Q238" s="9" t="n">
        <v>0.175904656301274</v>
      </c>
      <c r="R238" s="8" t="n">
        <v>5.5</v>
      </c>
      <c r="S238" s="12" t="n">
        <f aca="false">IF(AND(ISNUMBER(R238),R238&gt;1,P238&gt;0),R238/P238-1,"")</f>
        <v>-0.0325243903429907</v>
      </c>
    </row>
    <row r="239" customFormat="false" ht="15" hidden="false" customHeight="false" outlineLevel="0" collapsed="false">
      <c r="A239" s="10" t="s">
        <v>154</v>
      </c>
      <c r="B239" s="10" t="s">
        <v>70</v>
      </c>
      <c r="C239" s="10" t="s">
        <v>155</v>
      </c>
      <c r="D239" s="10" t="s">
        <v>340</v>
      </c>
      <c r="E239" s="11" t="n">
        <v>7</v>
      </c>
      <c r="F239" s="10" t="s">
        <v>408</v>
      </c>
      <c r="G239" s="7" t="n">
        <v>11</v>
      </c>
      <c r="H239" s="10" t="s">
        <v>158</v>
      </c>
      <c r="I239" s="10" t="s">
        <v>605</v>
      </c>
      <c r="J239" s="10" t="s">
        <v>399</v>
      </c>
      <c r="K239" s="7" t="n">
        <v>11</v>
      </c>
      <c r="L239" s="7" t="n">
        <v>90</v>
      </c>
      <c r="M239" s="7" t="n">
        <v>3</v>
      </c>
      <c r="N239" s="7" t="n">
        <v>28</v>
      </c>
      <c r="O239" s="7" t="n">
        <v>2</v>
      </c>
      <c r="P239" s="8" t="n">
        <v>6.75772659511278</v>
      </c>
      <c r="Q239" s="9" t="n">
        <v>0.147978759709398</v>
      </c>
      <c r="R239" s="8" t="n">
        <v>5.5</v>
      </c>
      <c r="S239" s="12" t="n">
        <f aca="false">IF(AND(ISNUMBER(R239),R239&gt;1,P239&gt;0),R239/P239-1,"")</f>
        <v>-0.186116821598313</v>
      </c>
    </row>
    <row r="240" customFormat="false" ht="15" hidden="false" customHeight="false" outlineLevel="0" collapsed="false">
      <c r="A240" s="10" t="s">
        <v>154</v>
      </c>
      <c r="B240" s="10" t="s">
        <v>70</v>
      </c>
      <c r="C240" s="10" t="s">
        <v>155</v>
      </c>
      <c r="D240" s="10" t="s">
        <v>340</v>
      </c>
      <c r="E240" s="11" t="n">
        <v>7</v>
      </c>
      <c r="F240" s="10" t="s">
        <v>408</v>
      </c>
      <c r="G240" s="7" t="n">
        <v>11</v>
      </c>
      <c r="H240" s="10" t="s">
        <v>733</v>
      </c>
      <c r="I240" s="10" t="s">
        <v>734</v>
      </c>
      <c r="J240" s="10" t="s">
        <v>333</v>
      </c>
      <c r="K240" s="7" t="n">
        <v>4</v>
      </c>
      <c r="L240" s="7" t="n">
        <v>91</v>
      </c>
      <c r="M240" s="7" t="n">
        <v>6</v>
      </c>
      <c r="N240" s="7" t="n">
        <v>36</v>
      </c>
      <c r="O240" s="7" t="n">
        <v>3</v>
      </c>
      <c r="P240" s="8" t="n">
        <v>8.81573928937312</v>
      </c>
      <c r="Q240" s="9" t="n">
        <v>0.113433481546516</v>
      </c>
      <c r="R240" s="8" t="n">
        <v>5.5</v>
      </c>
      <c r="S240" s="12" t="n">
        <f aca="false">IF(AND(ISNUMBER(R240),R240&gt;1,P240&gt;0),R240/P240-1,"")</f>
        <v>-0.376115851494163</v>
      </c>
    </row>
    <row r="241" customFormat="false" ht="15" hidden="false" customHeight="false" outlineLevel="0" collapsed="false">
      <c r="A241" s="10" t="s">
        <v>154</v>
      </c>
      <c r="B241" s="10" t="s">
        <v>70</v>
      </c>
      <c r="C241" s="10" t="s">
        <v>155</v>
      </c>
      <c r="D241" s="10" t="s">
        <v>340</v>
      </c>
      <c r="E241" s="11" t="n">
        <v>7</v>
      </c>
      <c r="F241" s="10" t="s">
        <v>408</v>
      </c>
      <c r="G241" s="7" t="n">
        <v>11</v>
      </c>
      <c r="H241" s="10" t="s">
        <v>735</v>
      </c>
      <c r="I241" s="10" t="s">
        <v>590</v>
      </c>
      <c r="J241" s="10" t="s">
        <v>591</v>
      </c>
      <c r="K241" s="7" t="n">
        <v>2</v>
      </c>
      <c r="L241" s="7" t="n">
        <v>86</v>
      </c>
      <c r="M241" s="7" t="n">
        <v>5</v>
      </c>
      <c r="N241" s="7" t="n">
        <v>20</v>
      </c>
      <c r="O241" s="7" t="n">
        <v>4</v>
      </c>
      <c r="P241" s="8" t="n">
        <v>9.99650550908531</v>
      </c>
      <c r="Q241" s="9" t="n">
        <v>0.100034957124882</v>
      </c>
      <c r="R241" s="8" t="n">
        <v>5.5</v>
      </c>
      <c r="S241" s="12" t="n">
        <f aca="false">IF(AND(ISNUMBER(R241),R241&gt;1,P241&gt;0),R241/P241-1,"")</f>
        <v>-0.449807735813147</v>
      </c>
    </row>
    <row r="242" customFormat="false" ht="15" hidden="false" customHeight="false" outlineLevel="0" collapsed="false">
      <c r="A242" s="10" t="s">
        <v>154</v>
      </c>
      <c r="B242" s="10" t="s">
        <v>70</v>
      </c>
      <c r="C242" s="10" t="s">
        <v>155</v>
      </c>
      <c r="D242" s="10" t="s">
        <v>340</v>
      </c>
      <c r="E242" s="11" t="n">
        <v>7</v>
      </c>
      <c r="F242" s="10" t="s">
        <v>408</v>
      </c>
      <c r="G242" s="7" t="n">
        <v>11</v>
      </c>
      <c r="H242" s="10" t="s">
        <v>736</v>
      </c>
      <c r="I242" s="10" t="s">
        <v>513</v>
      </c>
      <c r="J242" s="10" t="s">
        <v>737</v>
      </c>
      <c r="K242" s="7" t="n">
        <v>10</v>
      </c>
      <c r="L242" s="7" t="n">
        <v>93</v>
      </c>
      <c r="M242" s="7" t="n">
        <v>4</v>
      </c>
      <c r="N242" s="7" t="n">
        <v>27</v>
      </c>
      <c r="O242" s="7" t="n">
        <v>5</v>
      </c>
      <c r="P242" s="8" t="n">
        <v>10.1831039657827</v>
      </c>
      <c r="Q242" s="9" t="n">
        <v>0.0982018845491709</v>
      </c>
      <c r="R242" s="8" t="n">
        <v>7</v>
      </c>
      <c r="S242" s="12" t="n">
        <f aca="false">IF(AND(ISNUMBER(R242),R242&gt;1,P242&gt;0),R242/P242-1,"")</f>
        <v>-0.312586808155804</v>
      </c>
    </row>
    <row r="243" customFormat="false" ht="15" hidden="false" customHeight="false" outlineLevel="0" collapsed="false">
      <c r="A243" s="10" t="s">
        <v>154</v>
      </c>
      <c r="B243" s="10" t="s">
        <v>70</v>
      </c>
      <c r="C243" s="10" t="s">
        <v>155</v>
      </c>
      <c r="D243" s="10" t="s">
        <v>340</v>
      </c>
      <c r="E243" s="11" t="n">
        <v>7</v>
      </c>
      <c r="F243" s="10" t="s">
        <v>408</v>
      </c>
      <c r="G243" s="7" t="n">
        <v>11</v>
      </c>
      <c r="H243" s="10" t="s">
        <v>738</v>
      </c>
      <c r="I243" s="10" t="s">
        <v>739</v>
      </c>
      <c r="J243" s="10" t="s">
        <v>74</v>
      </c>
      <c r="K243" s="7" t="n">
        <v>1</v>
      </c>
      <c r="L243" s="7" t="n">
        <v>82</v>
      </c>
      <c r="M243" s="7" t="n">
        <v>4</v>
      </c>
      <c r="N243" s="7" t="n">
        <v>7</v>
      </c>
      <c r="O243" s="7" t="n">
        <v>6</v>
      </c>
      <c r="P243" s="8" t="n">
        <v>11.4261394156875</v>
      </c>
      <c r="Q243" s="9" t="n">
        <v>0.0875186240618638</v>
      </c>
      <c r="R243" s="8" t="n">
        <v>12</v>
      </c>
      <c r="S243" s="12" t="n">
        <f aca="false">IF(AND(ISNUMBER(R243),R243&gt;1,P243&gt;0),R243/P243-1,"")</f>
        <v>0.0502234887423663</v>
      </c>
    </row>
    <row r="244" customFormat="false" ht="15" hidden="false" customHeight="false" outlineLevel="0" collapsed="false">
      <c r="A244" s="10" t="s">
        <v>154</v>
      </c>
      <c r="B244" s="10" t="s">
        <v>70</v>
      </c>
      <c r="C244" s="10" t="s">
        <v>155</v>
      </c>
      <c r="D244" s="10" t="s">
        <v>340</v>
      </c>
      <c r="E244" s="11" t="n">
        <v>7</v>
      </c>
      <c r="F244" s="10" t="s">
        <v>408</v>
      </c>
      <c r="G244" s="7" t="n">
        <v>11</v>
      </c>
      <c r="H244" s="10" t="s">
        <v>740</v>
      </c>
      <c r="I244" s="10" t="s">
        <v>610</v>
      </c>
      <c r="J244" s="10" t="s">
        <v>741</v>
      </c>
      <c r="K244" s="7" t="n">
        <v>9</v>
      </c>
      <c r="L244" s="7" t="n">
        <v>92</v>
      </c>
      <c r="M244" s="7" t="n">
        <v>4</v>
      </c>
      <c r="N244" s="7" t="n">
        <v>25</v>
      </c>
      <c r="O244" s="7" t="n">
        <v>7</v>
      </c>
      <c r="P244" s="8" t="n">
        <v>12.0837248915989</v>
      </c>
      <c r="Q244" s="9" t="n">
        <v>0.0827559389981841</v>
      </c>
      <c r="R244" s="8" t="n">
        <v>7.5</v>
      </c>
      <c r="S244" s="12" t="n">
        <f aca="false">IF(AND(ISNUMBER(R244),R244&gt;1,P244&gt;0),R244/P244-1,"")</f>
        <v>-0.379330457513619</v>
      </c>
    </row>
    <row r="245" customFormat="false" ht="15" hidden="false" customHeight="false" outlineLevel="0" collapsed="false">
      <c r="A245" s="10" t="s">
        <v>154</v>
      </c>
      <c r="B245" s="10" t="s">
        <v>70</v>
      </c>
      <c r="C245" s="10" t="s">
        <v>155</v>
      </c>
      <c r="D245" s="10" t="s">
        <v>340</v>
      </c>
      <c r="E245" s="11" t="n">
        <v>7</v>
      </c>
      <c r="F245" s="10" t="s">
        <v>408</v>
      </c>
      <c r="G245" s="7" t="n">
        <v>11</v>
      </c>
      <c r="H245" s="10" t="s">
        <v>742</v>
      </c>
      <c r="I245" s="10" t="s">
        <v>669</v>
      </c>
      <c r="J245" s="10" t="s">
        <v>506</v>
      </c>
      <c r="K245" s="7" t="n">
        <v>6</v>
      </c>
      <c r="L245" s="7" t="n">
        <v>82</v>
      </c>
      <c r="M245" s="7" t="n">
        <v>3</v>
      </c>
      <c r="N245" s="7" t="n">
        <v>38</v>
      </c>
      <c r="O245" s="7" t="n">
        <v>8</v>
      </c>
      <c r="P245" s="8" t="n">
        <v>12.4411027424636</v>
      </c>
      <c r="Q245" s="9" t="n">
        <v>0.0803787269264183</v>
      </c>
      <c r="R245" s="8" t="n">
        <v>10</v>
      </c>
      <c r="S245" s="12" t="n">
        <f aca="false">IF(AND(ISNUMBER(R245),R245&gt;1,P245&gt;0),R245/P245-1,"")</f>
        <v>-0.196212730735816</v>
      </c>
    </row>
    <row r="246" customFormat="false" ht="15" hidden="false" customHeight="false" outlineLevel="0" collapsed="false">
      <c r="A246" s="10" t="s">
        <v>154</v>
      </c>
      <c r="B246" s="10" t="s">
        <v>70</v>
      </c>
      <c r="C246" s="10" t="s">
        <v>155</v>
      </c>
      <c r="D246" s="10" t="s">
        <v>340</v>
      </c>
      <c r="E246" s="11" t="n">
        <v>7</v>
      </c>
      <c r="F246" s="10" t="s">
        <v>408</v>
      </c>
      <c r="G246" s="7" t="n">
        <v>11</v>
      </c>
      <c r="H246" s="10" t="s">
        <v>743</v>
      </c>
      <c r="I246" s="10" t="s">
        <v>598</v>
      </c>
      <c r="J246" s="10" t="s">
        <v>399</v>
      </c>
      <c r="K246" s="7" t="n">
        <v>3</v>
      </c>
      <c r="L246" s="7" t="n">
        <v>94</v>
      </c>
      <c r="M246" s="7" t="n">
        <v>5</v>
      </c>
      <c r="N246" s="7" t="n">
        <v>19</v>
      </c>
      <c r="O246" s="7" t="n">
        <v>9</v>
      </c>
      <c r="P246" s="8" t="n">
        <v>16.4434772474748</v>
      </c>
      <c r="Q246" s="9" t="n">
        <v>0.0608143876717782</v>
      </c>
      <c r="R246" s="8" t="n">
        <v>12</v>
      </c>
      <c r="S246" s="12" t="n">
        <f aca="false">IF(AND(ISNUMBER(R246),R246&gt;1,P246&gt;0),R246/P246-1,"")</f>
        <v>-0.270227347938661</v>
      </c>
    </row>
    <row r="247" customFormat="false" ht="15" hidden="false" customHeight="false" outlineLevel="0" collapsed="false">
      <c r="A247" s="10" t="s">
        <v>154</v>
      </c>
      <c r="B247" s="10" t="s">
        <v>70</v>
      </c>
      <c r="C247" s="10" t="s">
        <v>155</v>
      </c>
      <c r="D247" s="10" t="s">
        <v>340</v>
      </c>
      <c r="E247" s="11" t="n">
        <v>7</v>
      </c>
      <c r="F247" s="10" t="s">
        <v>408</v>
      </c>
      <c r="G247" s="7" t="n">
        <v>11</v>
      </c>
      <c r="H247" s="10" t="s">
        <v>744</v>
      </c>
      <c r="I247" s="10" t="s">
        <v>745</v>
      </c>
      <c r="J247" s="10" t="s">
        <v>90</v>
      </c>
      <c r="K247" s="7" t="n">
        <v>7</v>
      </c>
      <c r="L247" s="7" t="n">
        <v>81</v>
      </c>
      <c r="M247" s="7" t="n">
        <v>3</v>
      </c>
      <c r="N247" s="7" t="n">
        <v>14</v>
      </c>
      <c r="O247" s="7" t="n">
        <v>10</v>
      </c>
      <c r="P247" s="8" t="n">
        <v>22.5546683846255</v>
      </c>
      <c r="Q247" s="9" t="n">
        <v>0.0443367192523945</v>
      </c>
      <c r="R247" s="8" t="n">
        <v>34</v>
      </c>
      <c r="S247" s="12" t="n">
        <f aca="false">IF(AND(ISNUMBER(R247),R247&gt;1,P247&gt;0),R247/P247-1,"")</f>
        <v>0.507448454581414</v>
      </c>
    </row>
    <row r="248" customFormat="false" ht="15" hidden="false" customHeight="false" outlineLevel="0" collapsed="false">
      <c r="A248" s="10" t="s">
        <v>154</v>
      </c>
      <c r="B248" s="10" t="s">
        <v>70</v>
      </c>
      <c r="C248" s="10" t="s">
        <v>155</v>
      </c>
      <c r="D248" s="10" t="s">
        <v>340</v>
      </c>
      <c r="E248" s="11" t="n">
        <v>7</v>
      </c>
      <c r="F248" s="10" t="s">
        <v>408</v>
      </c>
      <c r="G248" s="7" t="n">
        <v>11</v>
      </c>
      <c r="H248" s="10" t="s">
        <v>746</v>
      </c>
      <c r="I248" s="10" t="s">
        <v>747</v>
      </c>
      <c r="J248" s="10" t="s">
        <v>748</v>
      </c>
      <c r="K248" s="7" t="n">
        <v>8</v>
      </c>
      <c r="L248" s="7" t="n">
        <v>89</v>
      </c>
      <c r="M248" s="7" t="n">
        <v>4</v>
      </c>
      <c r="N248" s="7" t="n">
        <v>19</v>
      </c>
      <c r="O248" s="7" t="n">
        <v>11</v>
      </c>
      <c r="P248" s="8" t="n">
        <v>115.71577803328</v>
      </c>
      <c r="Q248" s="9" t="n">
        <v>0.0086418638581196</v>
      </c>
      <c r="R248" s="8" t="n">
        <v>41</v>
      </c>
      <c r="S248" s="12" t="n">
        <f aca="false">IF(AND(ISNUMBER(R248),R248&gt;1,P248&gt;0),R248/P248-1,"")</f>
        <v>-0.645683581817095</v>
      </c>
    </row>
    <row r="249" customFormat="false" ht="15" hidden="false" customHeight="false" outlineLevel="0" collapsed="false">
      <c r="A249" s="10" t="s">
        <v>159</v>
      </c>
      <c r="B249" s="10" t="s">
        <v>37</v>
      </c>
      <c r="C249" s="10" t="s">
        <v>160</v>
      </c>
      <c r="D249" s="10" t="s">
        <v>290</v>
      </c>
      <c r="E249" s="11" t="n">
        <v>16</v>
      </c>
      <c r="F249" s="10" t="s">
        <v>291</v>
      </c>
      <c r="G249" s="7" t="n">
        <v>10</v>
      </c>
      <c r="H249" s="10" t="s">
        <v>161</v>
      </c>
      <c r="I249" s="10" t="s">
        <v>162</v>
      </c>
      <c r="J249" s="10" t="s">
        <v>163</v>
      </c>
      <c r="K249" s="7" t="n">
        <v>5</v>
      </c>
      <c r="L249" s="7" t="n">
        <v>99</v>
      </c>
      <c r="M249" s="7" t="n">
        <v>6</v>
      </c>
      <c r="N249" s="7" t="n">
        <v>20</v>
      </c>
      <c r="O249" s="7" t="n">
        <v>1</v>
      </c>
      <c r="P249" s="8" t="n">
        <v>3.69750579107155</v>
      </c>
      <c r="Q249" s="9" t="n">
        <v>0.270452585203442</v>
      </c>
      <c r="R249" s="8" t="n">
        <v>3.75</v>
      </c>
      <c r="S249" s="12" t="n">
        <f aca="false">IF(AND(ISNUMBER(R249),R249&gt;1,P249&gt;0),R249/P249-1,"")</f>
        <v>0.014197194512908</v>
      </c>
    </row>
    <row r="250" customFormat="false" ht="15" hidden="false" customHeight="false" outlineLevel="0" collapsed="false">
      <c r="A250" s="10" t="s">
        <v>159</v>
      </c>
      <c r="B250" s="10" t="s">
        <v>37</v>
      </c>
      <c r="C250" s="10" t="s">
        <v>160</v>
      </c>
      <c r="D250" s="10" t="s">
        <v>290</v>
      </c>
      <c r="E250" s="11" t="n">
        <v>16</v>
      </c>
      <c r="F250" s="10" t="s">
        <v>291</v>
      </c>
      <c r="G250" s="7" t="n">
        <v>10</v>
      </c>
      <c r="H250" s="10" t="s">
        <v>164</v>
      </c>
      <c r="I250" s="10" t="s">
        <v>749</v>
      </c>
      <c r="J250" s="10" t="s">
        <v>54</v>
      </c>
      <c r="K250" s="7" t="n">
        <v>3</v>
      </c>
      <c r="L250" s="7" t="n">
        <v>102</v>
      </c>
      <c r="M250" s="7" t="n">
        <v>4</v>
      </c>
      <c r="N250" s="7" t="n">
        <v>33</v>
      </c>
      <c r="O250" s="7" t="n">
        <v>2</v>
      </c>
      <c r="P250" s="8" t="n">
        <v>3.6979310066296</v>
      </c>
      <c r="Q250" s="9" t="n">
        <v>0.270421486557541</v>
      </c>
      <c r="R250" s="8" t="n">
        <v>4</v>
      </c>
      <c r="S250" s="12" t="n">
        <f aca="false">IF(AND(ISNUMBER(R250),R250&gt;1,P250&gt;0),R250/P250-1,"")</f>
        <v>0.0816859462301633</v>
      </c>
    </row>
    <row r="251" customFormat="false" ht="15" hidden="false" customHeight="false" outlineLevel="0" collapsed="false">
      <c r="A251" s="10" t="s">
        <v>159</v>
      </c>
      <c r="B251" s="10" t="s">
        <v>37</v>
      </c>
      <c r="C251" s="10" t="s">
        <v>160</v>
      </c>
      <c r="D251" s="10" t="s">
        <v>290</v>
      </c>
      <c r="E251" s="11" t="n">
        <v>16</v>
      </c>
      <c r="F251" s="10" t="s">
        <v>291</v>
      </c>
      <c r="G251" s="7" t="n">
        <v>10</v>
      </c>
      <c r="H251" s="10" t="s">
        <v>750</v>
      </c>
      <c r="I251" s="10" t="s">
        <v>751</v>
      </c>
      <c r="J251" s="10" t="s">
        <v>620</v>
      </c>
      <c r="K251" s="7" t="n">
        <v>4</v>
      </c>
      <c r="L251" s="7" t="n">
        <v>99</v>
      </c>
      <c r="M251" s="7" t="n">
        <v>5</v>
      </c>
      <c r="N251" s="7" t="n">
        <v>27</v>
      </c>
      <c r="O251" s="7" t="n">
        <v>3</v>
      </c>
      <c r="P251" s="8" t="n">
        <v>6.22161505547464</v>
      </c>
      <c r="Q251" s="9" t="n">
        <v>0.160729969804233</v>
      </c>
      <c r="R251" s="8" t="n">
        <v>4.5</v>
      </c>
      <c r="S251" s="12" t="n">
        <f aca="false">IF(AND(ISNUMBER(R251),R251&gt;1,P251&gt;0),R251/P251-1,"")</f>
        <v>-0.276715135880951</v>
      </c>
    </row>
    <row r="252" customFormat="false" ht="15" hidden="false" customHeight="false" outlineLevel="0" collapsed="false">
      <c r="A252" s="10" t="s">
        <v>159</v>
      </c>
      <c r="B252" s="10" t="s">
        <v>37</v>
      </c>
      <c r="C252" s="10" t="s">
        <v>160</v>
      </c>
      <c r="D252" s="10" t="s">
        <v>290</v>
      </c>
      <c r="E252" s="11" t="n">
        <v>16</v>
      </c>
      <c r="F252" s="10" t="s">
        <v>291</v>
      </c>
      <c r="G252" s="7" t="n">
        <v>10</v>
      </c>
      <c r="H252" s="10" t="s">
        <v>752</v>
      </c>
      <c r="I252" s="10" t="s">
        <v>753</v>
      </c>
      <c r="J252" s="10" t="s">
        <v>152</v>
      </c>
      <c r="K252" s="7" t="n">
        <v>7</v>
      </c>
      <c r="L252" s="7" t="n">
        <v>100</v>
      </c>
      <c r="M252" s="7" t="n">
        <v>3</v>
      </c>
      <c r="N252" s="7" t="n">
        <v>27</v>
      </c>
      <c r="O252" s="7" t="n">
        <v>4</v>
      </c>
      <c r="P252" s="8" t="n">
        <v>10.7893327638562</v>
      </c>
      <c r="Q252" s="9" t="n">
        <v>0.0926841373685276</v>
      </c>
      <c r="R252" s="8" t="n">
        <v>5</v>
      </c>
      <c r="S252" s="12" t="n">
        <f aca="false">IF(AND(ISNUMBER(R252),R252&gt;1,P252&gt;0),R252/P252-1,"")</f>
        <v>-0.536579313157362</v>
      </c>
    </row>
    <row r="253" customFormat="false" ht="15" hidden="false" customHeight="false" outlineLevel="0" collapsed="false">
      <c r="A253" s="10" t="s">
        <v>159</v>
      </c>
      <c r="B253" s="10" t="s">
        <v>37</v>
      </c>
      <c r="C253" s="10" t="s">
        <v>160</v>
      </c>
      <c r="D253" s="10" t="s">
        <v>290</v>
      </c>
      <c r="E253" s="11" t="n">
        <v>16</v>
      </c>
      <c r="F253" s="10" t="s">
        <v>291</v>
      </c>
      <c r="G253" s="7" t="n">
        <v>10</v>
      </c>
      <c r="H253" s="10" t="s">
        <v>754</v>
      </c>
      <c r="I253" s="10" t="s">
        <v>755</v>
      </c>
      <c r="J253" s="10" t="s">
        <v>756</v>
      </c>
      <c r="K253" s="7" t="n">
        <v>1</v>
      </c>
      <c r="L253" s="7" t="n">
        <v>102</v>
      </c>
      <c r="M253" s="7" t="n">
        <v>8</v>
      </c>
      <c r="N253" s="7" t="n">
        <v>23</v>
      </c>
      <c r="O253" s="7" t="n">
        <v>5</v>
      </c>
      <c r="P253" s="8" t="n">
        <v>21.1312074515742</v>
      </c>
      <c r="Q253" s="9" t="n">
        <v>0.0473233724240166</v>
      </c>
      <c r="R253" s="8" t="n">
        <v>7</v>
      </c>
      <c r="S253" s="12" t="n">
        <f aca="false">IF(AND(ISNUMBER(R253),R253&gt;1,P253&gt;0),R253/P253-1,"")</f>
        <v>-0.668736393031883</v>
      </c>
    </row>
    <row r="254" customFormat="false" ht="15" hidden="false" customHeight="false" outlineLevel="0" collapsed="false">
      <c r="A254" s="10" t="s">
        <v>159</v>
      </c>
      <c r="B254" s="10" t="s">
        <v>37</v>
      </c>
      <c r="C254" s="10" t="s">
        <v>160</v>
      </c>
      <c r="D254" s="10" t="s">
        <v>290</v>
      </c>
      <c r="E254" s="11" t="n">
        <v>16</v>
      </c>
      <c r="F254" s="10" t="s">
        <v>291</v>
      </c>
      <c r="G254" s="7" t="n">
        <v>10</v>
      </c>
      <c r="H254" s="10" t="s">
        <v>757</v>
      </c>
      <c r="I254" s="10" t="s">
        <v>758</v>
      </c>
      <c r="J254" s="10" t="s">
        <v>759</v>
      </c>
      <c r="K254" s="7" t="n">
        <v>8</v>
      </c>
      <c r="L254" s="7" t="n">
        <v>82</v>
      </c>
      <c r="M254" s="7" t="n">
        <v>10</v>
      </c>
      <c r="N254" s="7" t="n">
        <v>33</v>
      </c>
      <c r="O254" s="7" t="n">
        <v>6</v>
      </c>
      <c r="P254" s="8" t="n">
        <v>21.2847964600928</v>
      </c>
      <c r="Q254" s="9" t="n">
        <v>0.0469818915992415</v>
      </c>
      <c r="R254" s="8" t="n">
        <v>21</v>
      </c>
      <c r="S254" s="12" t="n">
        <f aca="false">IF(AND(ISNUMBER(R254),R254&gt;1,P254&gt;0),R254/P254-1,"")</f>
        <v>-0.0133802764159271</v>
      </c>
    </row>
    <row r="255" customFormat="false" ht="15" hidden="false" customHeight="false" outlineLevel="0" collapsed="false">
      <c r="A255" s="10" t="s">
        <v>159</v>
      </c>
      <c r="B255" s="10" t="s">
        <v>37</v>
      </c>
      <c r="C255" s="10" t="s">
        <v>160</v>
      </c>
      <c r="D255" s="10" t="s">
        <v>290</v>
      </c>
      <c r="E255" s="11" t="n">
        <v>16</v>
      </c>
      <c r="F255" s="10" t="s">
        <v>291</v>
      </c>
      <c r="G255" s="7" t="n">
        <v>10</v>
      </c>
      <c r="H255" s="10" t="s">
        <v>760</v>
      </c>
      <c r="I255" s="10" t="s">
        <v>316</v>
      </c>
      <c r="J255" s="10" t="s">
        <v>677</v>
      </c>
      <c r="K255" s="7" t="n">
        <v>6</v>
      </c>
      <c r="L255" s="7" t="n">
        <v>91</v>
      </c>
      <c r="M255" s="7" t="n">
        <v>5</v>
      </c>
      <c r="N255" s="7" t="n">
        <v>111</v>
      </c>
      <c r="O255" s="7" t="n">
        <v>7</v>
      </c>
      <c r="P255" s="8" t="n">
        <v>22.4517136029404</v>
      </c>
      <c r="Q255" s="9" t="n">
        <v>0.0445400301146293</v>
      </c>
      <c r="R255" s="8" t="n">
        <v>12</v>
      </c>
      <c r="S255" s="12" t="n">
        <f aca="false">IF(AND(ISNUMBER(R255),R255&gt;1,P255&gt;0),R255/P255-1,"")</f>
        <v>-0.465519638624447</v>
      </c>
    </row>
    <row r="256" customFormat="false" ht="15" hidden="false" customHeight="false" outlineLevel="0" collapsed="false">
      <c r="A256" s="10" t="s">
        <v>159</v>
      </c>
      <c r="B256" s="10" t="s">
        <v>37</v>
      </c>
      <c r="C256" s="10" t="s">
        <v>160</v>
      </c>
      <c r="D256" s="10" t="s">
        <v>290</v>
      </c>
      <c r="E256" s="11" t="n">
        <v>16</v>
      </c>
      <c r="F256" s="10" t="s">
        <v>291</v>
      </c>
      <c r="G256" s="7" t="n">
        <v>10</v>
      </c>
      <c r="H256" s="10" t="s">
        <v>761</v>
      </c>
      <c r="I256" s="10" t="s">
        <v>762</v>
      </c>
      <c r="J256" s="10" t="s">
        <v>266</v>
      </c>
      <c r="K256" s="7" t="n">
        <v>2</v>
      </c>
      <c r="L256" s="7" t="n">
        <v>102</v>
      </c>
      <c r="M256" s="7" t="n">
        <v>5</v>
      </c>
      <c r="N256" s="7" t="n">
        <v>31</v>
      </c>
      <c r="O256" s="7" t="n">
        <v>8</v>
      </c>
      <c r="P256" s="8" t="n">
        <v>32.3504345017397</v>
      </c>
      <c r="Q256" s="9" t="n">
        <v>0.030911485901255</v>
      </c>
      <c r="R256" s="8" t="n">
        <v>26</v>
      </c>
      <c r="S256" s="12" t="n">
        <f aca="false">IF(AND(ISNUMBER(R256),R256&gt;1,P256&gt;0),R256/P256-1,"")</f>
        <v>-0.196301366567369</v>
      </c>
    </row>
    <row r="257" customFormat="false" ht="15" hidden="false" customHeight="false" outlineLevel="0" collapsed="false">
      <c r="A257" s="10" t="s">
        <v>159</v>
      </c>
      <c r="B257" s="10" t="s">
        <v>37</v>
      </c>
      <c r="C257" s="10" t="s">
        <v>160</v>
      </c>
      <c r="D257" s="10" t="s">
        <v>290</v>
      </c>
      <c r="E257" s="11" t="n">
        <v>16</v>
      </c>
      <c r="F257" s="10" t="s">
        <v>291</v>
      </c>
      <c r="G257" s="7" t="n">
        <v>10</v>
      </c>
      <c r="H257" s="10" t="s">
        <v>763</v>
      </c>
      <c r="I257" s="10" t="s">
        <v>764</v>
      </c>
      <c r="J257" s="10" t="s">
        <v>765</v>
      </c>
      <c r="K257" s="7" t="n">
        <v>10</v>
      </c>
      <c r="L257" s="7" t="n">
        <v>76</v>
      </c>
      <c r="M257" s="7" t="n">
        <v>6</v>
      </c>
      <c r="N257" s="7" t="n">
        <v>61</v>
      </c>
      <c r="O257" s="7" t="n">
        <v>9</v>
      </c>
      <c r="P257" s="8" t="n">
        <v>53.4637929449281</v>
      </c>
      <c r="Q257" s="9" t="n">
        <v>0.0187042472095101</v>
      </c>
      <c r="R257" s="8" t="n">
        <v>67</v>
      </c>
      <c r="S257" s="12" t="n">
        <f aca="false">IF(AND(ISNUMBER(R257),R257&gt;1,P257&gt;0),R257/P257-1,"")</f>
        <v>0.25318456303718</v>
      </c>
    </row>
    <row r="258" customFormat="false" ht="15" hidden="false" customHeight="false" outlineLevel="0" collapsed="false">
      <c r="A258" s="10" t="s">
        <v>159</v>
      </c>
      <c r="B258" s="10" t="s">
        <v>37</v>
      </c>
      <c r="C258" s="10" t="s">
        <v>160</v>
      </c>
      <c r="D258" s="10" t="s">
        <v>290</v>
      </c>
      <c r="E258" s="11" t="n">
        <v>16</v>
      </c>
      <c r="F258" s="10" t="s">
        <v>291</v>
      </c>
      <c r="G258" s="7" t="n">
        <v>10</v>
      </c>
      <c r="H258" s="10" t="s">
        <v>766</v>
      </c>
      <c r="I258" s="10" t="s">
        <v>767</v>
      </c>
      <c r="J258" s="10" t="s">
        <v>308</v>
      </c>
      <c r="K258" s="7" t="n">
        <v>9</v>
      </c>
      <c r="L258" s="7" t="n">
        <v>78</v>
      </c>
      <c r="M258" s="7" t="n">
        <v>5</v>
      </c>
      <c r="N258" s="7" t="n">
        <v>20</v>
      </c>
      <c r="O258" s="7" t="n">
        <v>10</v>
      </c>
      <c r="P258" s="8" t="n">
        <v>57.9683468814957</v>
      </c>
      <c r="Q258" s="9" t="n">
        <v>0.0172507938176034</v>
      </c>
      <c r="R258" s="8" t="n">
        <v>67</v>
      </c>
      <c r="S258" s="12" t="n">
        <f aca="false">IF(AND(ISNUMBER(R258),R258&gt;1,P258&gt;0),R258/P258-1,"")</f>
        <v>0.155803185779433</v>
      </c>
    </row>
    <row r="259" customFormat="false" ht="15" hidden="false" customHeight="false" outlineLevel="0" collapsed="false">
      <c r="A259" s="10" t="s">
        <v>165</v>
      </c>
      <c r="B259" s="10" t="s">
        <v>57</v>
      </c>
      <c r="C259" s="10" t="s">
        <v>166</v>
      </c>
      <c r="D259" s="10"/>
      <c r="E259" s="11" t="n">
        <v>19</v>
      </c>
      <c r="F259" s="10" t="s">
        <v>291</v>
      </c>
      <c r="G259" s="7" t="n">
        <v>18</v>
      </c>
      <c r="H259" s="10" t="s">
        <v>167</v>
      </c>
      <c r="I259" s="10" t="s">
        <v>168</v>
      </c>
      <c r="J259" s="10" t="s">
        <v>169</v>
      </c>
      <c r="K259" s="7" t="n">
        <v>12</v>
      </c>
      <c r="L259" s="7" t="n">
        <v>102</v>
      </c>
      <c r="M259" s="7" t="n">
        <v>7</v>
      </c>
      <c r="N259" s="7" t="n">
        <v>36</v>
      </c>
      <c r="O259" s="7" t="n">
        <v>1</v>
      </c>
      <c r="P259" s="8" t="n">
        <v>7.03247511959598</v>
      </c>
      <c r="Q259" s="9" t="n">
        <v>0.142197445848547</v>
      </c>
      <c r="R259" s="8" t="n">
        <v>6</v>
      </c>
      <c r="S259" s="12" t="n">
        <f aca="false">IF(AND(ISNUMBER(R259),R259&gt;1,P259&gt;0),R259/P259-1,"")</f>
        <v>-0.14681532490872</v>
      </c>
    </row>
    <row r="260" customFormat="false" ht="15" hidden="false" customHeight="false" outlineLevel="0" collapsed="false">
      <c r="A260" s="10" t="s">
        <v>165</v>
      </c>
      <c r="B260" s="10" t="s">
        <v>57</v>
      </c>
      <c r="C260" s="10" t="s">
        <v>166</v>
      </c>
      <c r="D260" s="10"/>
      <c r="E260" s="11" t="n">
        <v>19</v>
      </c>
      <c r="F260" s="10" t="s">
        <v>291</v>
      </c>
      <c r="G260" s="7" t="n">
        <v>18</v>
      </c>
      <c r="H260" s="10" t="s">
        <v>170</v>
      </c>
      <c r="I260" s="10" t="s">
        <v>105</v>
      </c>
      <c r="J260" s="10" t="s">
        <v>768</v>
      </c>
      <c r="K260" s="7" t="n">
        <v>1</v>
      </c>
      <c r="L260" s="7" t="n">
        <v>112</v>
      </c>
      <c r="M260" s="7" t="n">
        <v>7</v>
      </c>
      <c r="N260" s="7" t="n">
        <v>35</v>
      </c>
      <c r="O260" s="7" t="n">
        <v>2</v>
      </c>
      <c r="P260" s="8" t="n">
        <v>7.34157041221667</v>
      </c>
      <c r="Q260" s="9" t="n">
        <v>0.136210639393441</v>
      </c>
      <c r="R260" s="8" t="n">
        <v>9</v>
      </c>
      <c r="S260" s="12" t="n">
        <f aca="false">IF(AND(ISNUMBER(R260),R260&gt;1,P260&gt;0),R260/P260-1,"")</f>
        <v>0.225895754540968</v>
      </c>
    </row>
    <row r="261" customFormat="false" ht="15" hidden="false" customHeight="false" outlineLevel="0" collapsed="false">
      <c r="A261" s="10" t="s">
        <v>165</v>
      </c>
      <c r="B261" s="10" t="s">
        <v>57</v>
      </c>
      <c r="C261" s="10" t="s">
        <v>166</v>
      </c>
      <c r="D261" s="10"/>
      <c r="E261" s="11" t="n">
        <v>19</v>
      </c>
      <c r="F261" s="10" t="s">
        <v>291</v>
      </c>
      <c r="G261" s="7" t="n">
        <v>18</v>
      </c>
      <c r="H261" s="10" t="s">
        <v>769</v>
      </c>
      <c r="I261" s="10" t="s">
        <v>550</v>
      </c>
      <c r="J261" s="10" t="s">
        <v>61</v>
      </c>
      <c r="K261" s="7" t="n">
        <v>3</v>
      </c>
      <c r="L261" s="7" t="n">
        <v>109</v>
      </c>
      <c r="M261" s="7" t="n">
        <v>7</v>
      </c>
      <c r="N261" s="7" t="n">
        <v>54</v>
      </c>
      <c r="O261" s="7" t="n">
        <v>3</v>
      </c>
      <c r="P261" s="8" t="n">
        <v>8.38175664468831</v>
      </c>
      <c r="Q261" s="9" t="n">
        <v>0.119306732751985</v>
      </c>
      <c r="R261" s="8" t="n">
        <v>6</v>
      </c>
      <c r="S261" s="12" t="n">
        <f aca="false">IF(AND(ISNUMBER(R261),R261&gt;1,P261&gt;0),R261/P261-1,"")</f>
        <v>-0.284159603488092</v>
      </c>
    </row>
    <row r="262" customFormat="false" ht="15" hidden="false" customHeight="false" outlineLevel="0" collapsed="false">
      <c r="A262" s="10" t="s">
        <v>165</v>
      </c>
      <c r="B262" s="10" t="s">
        <v>57</v>
      </c>
      <c r="C262" s="10" t="s">
        <v>166</v>
      </c>
      <c r="D262" s="10"/>
      <c r="E262" s="11" t="n">
        <v>19</v>
      </c>
      <c r="F262" s="10" t="s">
        <v>291</v>
      </c>
      <c r="G262" s="7" t="n">
        <v>18</v>
      </c>
      <c r="H262" s="10" t="s">
        <v>770</v>
      </c>
      <c r="I262" s="10" t="s">
        <v>771</v>
      </c>
      <c r="J262" s="10" t="s">
        <v>772</v>
      </c>
      <c r="K262" s="7" t="n">
        <v>8</v>
      </c>
      <c r="L262" s="7" t="n">
        <v>104</v>
      </c>
      <c r="M262" s="7" t="n">
        <v>6</v>
      </c>
      <c r="N262" s="7" t="n">
        <v>159</v>
      </c>
      <c r="O262" s="7" t="n">
        <v>4</v>
      </c>
      <c r="P262" s="8" t="n">
        <v>11.7727169426441</v>
      </c>
      <c r="Q262" s="9" t="n">
        <v>0.0849421594753305</v>
      </c>
      <c r="R262" s="8" t="n">
        <v>9</v>
      </c>
      <c r="S262" s="12" t="n">
        <f aca="false">IF(AND(ISNUMBER(R262),R262&gt;1,P262&gt;0),R262/P262-1,"")</f>
        <v>-0.235520564722025</v>
      </c>
    </row>
    <row r="263" customFormat="false" ht="15" hidden="false" customHeight="false" outlineLevel="0" collapsed="false">
      <c r="A263" s="10" t="s">
        <v>165</v>
      </c>
      <c r="B263" s="10" t="s">
        <v>57</v>
      </c>
      <c r="C263" s="10" t="s">
        <v>166</v>
      </c>
      <c r="D263" s="10"/>
      <c r="E263" s="11" t="n">
        <v>19</v>
      </c>
      <c r="F263" s="10" t="s">
        <v>291</v>
      </c>
      <c r="G263" s="7" t="n">
        <v>18</v>
      </c>
      <c r="H263" s="10" t="s">
        <v>773</v>
      </c>
      <c r="I263" s="10" t="s">
        <v>366</v>
      </c>
      <c r="J263" s="10" t="s">
        <v>774</v>
      </c>
      <c r="K263" s="7" t="n">
        <v>4</v>
      </c>
      <c r="L263" s="7" t="n">
        <v>108</v>
      </c>
      <c r="M263" s="7" t="n">
        <v>6</v>
      </c>
      <c r="N263" s="7" t="n">
        <v>36</v>
      </c>
      <c r="O263" s="7" t="n">
        <v>5</v>
      </c>
      <c r="P263" s="8" t="n">
        <v>15.3350021453413</v>
      </c>
      <c r="Q263" s="9" t="n">
        <v>0.0652102941050969</v>
      </c>
      <c r="R263" s="8" t="n">
        <v>13</v>
      </c>
      <c r="S263" s="12" t="n">
        <f aca="false">IF(AND(ISNUMBER(R263),R263&gt;1,P263&gt;0),R263/P263-1,"")</f>
        <v>-0.15226617663374</v>
      </c>
    </row>
    <row r="264" customFormat="false" ht="15" hidden="false" customHeight="false" outlineLevel="0" collapsed="false">
      <c r="A264" s="10" t="s">
        <v>165</v>
      </c>
      <c r="B264" s="10" t="s">
        <v>57</v>
      </c>
      <c r="C264" s="10" t="s">
        <v>166</v>
      </c>
      <c r="D264" s="10"/>
      <c r="E264" s="11" t="n">
        <v>19</v>
      </c>
      <c r="F264" s="10" t="s">
        <v>291</v>
      </c>
      <c r="G264" s="7" t="n">
        <v>18</v>
      </c>
      <c r="H264" s="10" t="s">
        <v>775</v>
      </c>
      <c r="I264" s="10" t="s">
        <v>127</v>
      </c>
      <c r="J264" s="10" t="s">
        <v>128</v>
      </c>
      <c r="K264" s="7" t="n">
        <v>15</v>
      </c>
      <c r="L264" s="7" t="n">
        <v>100</v>
      </c>
      <c r="M264" s="7" t="n">
        <v>7</v>
      </c>
      <c r="N264" s="7" t="n">
        <v>14</v>
      </c>
      <c r="O264" s="7" t="n">
        <v>6</v>
      </c>
      <c r="P264" s="8" t="n">
        <v>15.7375091430161</v>
      </c>
      <c r="Q264" s="9" t="n">
        <v>0.0635424571266269</v>
      </c>
      <c r="R264" s="8" t="n">
        <v>8.5</v>
      </c>
      <c r="S264" s="12" t="n">
        <f aca="false">IF(AND(ISNUMBER(R264),R264&gt;1,P264&gt;0),R264/P264-1,"")</f>
        <v>-0.459889114423671</v>
      </c>
    </row>
    <row r="265" customFormat="false" ht="15" hidden="false" customHeight="false" outlineLevel="0" collapsed="false">
      <c r="A265" s="10" t="s">
        <v>165</v>
      </c>
      <c r="B265" s="10" t="s">
        <v>57</v>
      </c>
      <c r="C265" s="10" t="s">
        <v>166</v>
      </c>
      <c r="D265" s="10"/>
      <c r="E265" s="11" t="n">
        <v>19</v>
      </c>
      <c r="F265" s="10" t="s">
        <v>291</v>
      </c>
      <c r="G265" s="7" t="n">
        <v>18</v>
      </c>
      <c r="H265" s="10" t="s">
        <v>776</v>
      </c>
      <c r="I265" s="10" t="s">
        <v>777</v>
      </c>
      <c r="J265" s="10" t="s">
        <v>578</v>
      </c>
      <c r="K265" s="7" t="n">
        <v>2</v>
      </c>
      <c r="L265" s="7" t="n">
        <v>110</v>
      </c>
      <c r="M265" s="7" t="n">
        <v>6</v>
      </c>
      <c r="N265" s="7" t="n">
        <v>59</v>
      </c>
      <c r="O265" s="7" t="n">
        <v>7</v>
      </c>
      <c r="P265" s="8" t="n">
        <v>17.3993918210818</v>
      </c>
      <c r="Q265" s="9" t="n">
        <v>0.0574732732202948</v>
      </c>
      <c r="R265" s="8" t="n">
        <v>26</v>
      </c>
      <c r="S265" s="12" t="n">
        <f aca="false">IF(AND(ISNUMBER(R265),R265&gt;1,P265&gt;0),R265/P265-1,"")</f>
        <v>0.494305103727667</v>
      </c>
    </row>
    <row r="266" customFormat="false" ht="15" hidden="false" customHeight="false" outlineLevel="0" collapsed="false">
      <c r="A266" s="10" t="s">
        <v>165</v>
      </c>
      <c r="B266" s="10" t="s">
        <v>57</v>
      </c>
      <c r="C266" s="10" t="s">
        <v>166</v>
      </c>
      <c r="D266" s="10"/>
      <c r="E266" s="11" t="n">
        <v>19</v>
      </c>
      <c r="F266" s="10" t="s">
        <v>291</v>
      </c>
      <c r="G266" s="7" t="n">
        <v>18</v>
      </c>
      <c r="H266" s="10" t="s">
        <v>778</v>
      </c>
      <c r="I266" s="10" t="s">
        <v>646</v>
      </c>
      <c r="J266" s="10" t="s">
        <v>468</v>
      </c>
      <c r="K266" s="7" t="n">
        <v>10</v>
      </c>
      <c r="L266" s="7" t="n">
        <v>103</v>
      </c>
      <c r="M266" s="7" t="n">
        <v>10</v>
      </c>
      <c r="N266" s="7" t="n">
        <v>36</v>
      </c>
      <c r="O266" s="7" t="n">
        <v>8</v>
      </c>
      <c r="P266" s="8" t="n">
        <v>18.2888137913481</v>
      </c>
      <c r="Q266" s="9" t="n">
        <v>0.0546782318092751</v>
      </c>
      <c r="R266" s="8" t="n">
        <v>7.5</v>
      </c>
      <c r="S266" s="12" t="n">
        <f aca="false">IF(AND(ISNUMBER(R266),R266&gt;1,P266&gt;0),R266/P266-1,"")</f>
        <v>-0.589913261430436</v>
      </c>
    </row>
    <row r="267" customFormat="false" ht="15" hidden="false" customHeight="false" outlineLevel="0" collapsed="false">
      <c r="A267" s="10" t="s">
        <v>165</v>
      </c>
      <c r="B267" s="10" t="s">
        <v>57</v>
      </c>
      <c r="C267" s="10" t="s">
        <v>166</v>
      </c>
      <c r="D267" s="10"/>
      <c r="E267" s="11" t="n">
        <v>19</v>
      </c>
      <c r="F267" s="10" t="s">
        <v>291</v>
      </c>
      <c r="G267" s="7" t="n">
        <v>18</v>
      </c>
      <c r="H267" s="10" t="s">
        <v>779</v>
      </c>
      <c r="I267" s="10" t="s">
        <v>629</v>
      </c>
      <c r="J267" s="10" t="s">
        <v>468</v>
      </c>
      <c r="K267" s="7" t="n">
        <v>9</v>
      </c>
      <c r="L267" s="7" t="n">
        <v>103</v>
      </c>
      <c r="M267" s="7" t="n">
        <v>6</v>
      </c>
      <c r="N267" s="7" t="n">
        <v>22</v>
      </c>
      <c r="O267" s="7" t="n">
        <v>9</v>
      </c>
      <c r="P267" s="8" t="n">
        <v>22.8761669789169</v>
      </c>
      <c r="Q267" s="9" t="n">
        <v>0.043713616923745</v>
      </c>
      <c r="R267" s="8" t="n">
        <v>13</v>
      </c>
      <c r="S267" s="12" t="n">
        <f aca="false">IF(AND(ISNUMBER(R267),R267&gt;1,P267&gt;0),R267/P267-1,"")</f>
        <v>-0.431722979991314</v>
      </c>
    </row>
    <row r="268" customFormat="false" ht="15" hidden="false" customHeight="false" outlineLevel="0" collapsed="false">
      <c r="A268" s="10" t="s">
        <v>165</v>
      </c>
      <c r="B268" s="10" t="s">
        <v>57</v>
      </c>
      <c r="C268" s="10" t="s">
        <v>166</v>
      </c>
      <c r="D268" s="10"/>
      <c r="E268" s="11" t="n">
        <v>19</v>
      </c>
      <c r="F268" s="10" t="s">
        <v>291</v>
      </c>
      <c r="G268" s="7" t="n">
        <v>18</v>
      </c>
      <c r="H268" s="10" t="s">
        <v>780</v>
      </c>
      <c r="I268" s="10" t="s">
        <v>371</v>
      </c>
      <c r="J268" s="10" t="s">
        <v>772</v>
      </c>
      <c r="K268" s="7" t="n">
        <v>13</v>
      </c>
      <c r="L268" s="7" t="n">
        <v>100</v>
      </c>
      <c r="M268" s="7" t="n">
        <v>7</v>
      </c>
      <c r="N268" s="7" t="n">
        <v>28</v>
      </c>
      <c r="O268" s="7" t="n">
        <v>10</v>
      </c>
      <c r="P268" s="8" t="n">
        <v>23.0360580396713</v>
      </c>
      <c r="Q268" s="9" t="n">
        <v>0.0434102049177798</v>
      </c>
      <c r="R268" s="8" t="n">
        <v>13</v>
      </c>
      <c r="S268" s="12" t="n">
        <f aca="false">IF(AND(ISNUMBER(R268),R268&gt;1,P268&gt;0),R268/P268-1,"")</f>
        <v>-0.435667336068862</v>
      </c>
    </row>
    <row r="269" customFormat="false" ht="15" hidden="false" customHeight="false" outlineLevel="0" collapsed="false">
      <c r="A269" s="10" t="s">
        <v>165</v>
      </c>
      <c r="B269" s="10" t="s">
        <v>57</v>
      </c>
      <c r="C269" s="10" t="s">
        <v>166</v>
      </c>
      <c r="D269" s="10"/>
      <c r="E269" s="11" t="n">
        <v>19</v>
      </c>
      <c r="F269" s="10" t="s">
        <v>291</v>
      </c>
      <c r="G269" s="7" t="n">
        <v>18</v>
      </c>
      <c r="H269" s="10" t="s">
        <v>781</v>
      </c>
      <c r="I269" s="10" t="s">
        <v>389</v>
      </c>
      <c r="J269" s="10" t="s">
        <v>782</v>
      </c>
      <c r="K269" s="7" t="n">
        <v>6</v>
      </c>
      <c r="L269" s="7" t="n">
        <v>104</v>
      </c>
      <c r="M269" s="7" t="n">
        <v>7</v>
      </c>
      <c r="N269" s="7" t="n">
        <v>149</v>
      </c>
      <c r="O269" s="7" t="n">
        <v>11</v>
      </c>
      <c r="P269" s="8" t="n">
        <v>23.6704248731126</v>
      </c>
      <c r="Q269" s="9" t="n">
        <v>0.0422468124404437</v>
      </c>
      <c r="R269" s="8" t="n">
        <v>15</v>
      </c>
      <c r="S269" s="12" t="n">
        <f aca="false">IF(AND(ISNUMBER(R269),R269&gt;1,P269&gt;0),R269/P269-1,"")</f>
        <v>-0.366297813393344</v>
      </c>
    </row>
    <row r="270" customFormat="false" ht="15" hidden="false" customHeight="false" outlineLevel="0" collapsed="false">
      <c r="A270" s="10" t="s">
        <v>165</v>
      </c>
      <c r="B270" s="10" t="s">
        <v>57</v>
      </c>
      <c r="C270" s="10" t="s">
        <v>166</v>
      </c>
      <c r="D270" s="10"/>
      <c r="E270" s="11" t="n">
        <v>19</v>
      </c>
      <c r="F270" s="10" t="s">
        <v>291</v>
      </c>
      <c r="G270" s="7" t="n">
        <v>18</v>
      </c>
      <c r="H270" s="10" t="s">
        <v>783</v>
      </c>
      <c r="I270" s="10" t="s">
        <v>652</v>
      </c>
      <c r="J270" s="10" t="s">
        <v>647</v>
      </c>
      <c r="K270" s="7" t="n">
        <v>5</v>
      </c>
      <c r="L270" s="7" t="n">
        <v>107</v>
      </c>
      <c r="M270" s="7" t="n">
        <v>6</v>
      </c>
      <c r="N270" s="7" t="n">
        <v>21</v>
      </c>
      <c r="O270" s="7" t="n">
        <v>12</v>
      </c>
      <c r="P270" s="8" t="n">
        <v>26.7733452475868</v>
      </c>
      <c r="Q270" s="9" t="n">
        <v>0.0373505809883856</v>
      </c>
      <c r="R270" s="8" t="n">
        <v>15</v>
      </c>
      <c r="S270" s="12" t="n">
        <f aca="false">IF(AND(ISNUMBER(R270),R270&gt;1,P270&gt;0),R270/P270-1,"")</f>
        <v>-0.439741285174215</v>
      </c>
    </row>
    <row r="271" customFormat="false" ht="15" hidden="false" customHeight="false" outlineLevel="0" collapsed="false">
      <c r="A271" s="10" t="s">
        <v>165</v>
      </c>
      <c r="B271" s="10" t="s">
        <v>57</v>
      </c>
      <c r="C271" s="10" t="s">
        <v>166</v>
      </c>
      <c r="D271" s="10"/>
      <c r="E271" s="11" t="n">
        <v>19</v>
      </c>
      <c r="F271" s="10" t="s">
        <v>291</v>
      </c>
      <c r="G271" s="7" t="n">
        <v>18</v>
      </c>
      <c r="H271" s="10" t="s">
        <v>784</v>
      </c>
      <c r="I271" s="10" t="s">
        <v>360</v>
      </c>
      <c r="J271" s="10" t="s">
        <v>146</v>
      </c>
      <c r="K271" s="7" t="n">
        <v>14</v>
      </c>
      <c r="L271" s="7" t="n">
        <v>100</v>
      </c>
      <c r="M271" s="7" t="n">
        <v>11</v>
      </c>
      <c r="N271" s="7" t="n">
        <v>21</v>
      </c>
      <c r="O271" s="7" t="n">
        <v>13</v>
      </c>
      <c r="P271" s="8" t="n">
        <v>38.0074415305422</v>
      </c>
      <c r="Q271" s="9" t="n">
        <v>0.0263106370681756</v>
      </c>
      <c r="R271" s="8" t="n">
        <v>26</v>
      </c>
      <c r="S271" s="12" t="n">
        <f aca="false">IF(AND(ISNUMBER(R271),R271&gt;1,P271&gt;0),R271/P271-1,"")</f>
        <v>-0.315923436227434</v>
      </c>
    </row>
    <row r="272" customFormat="false" ht="15" hidden="false" customHeight="false" outlineLevel="0" collapsed="false">
      <c r="A272" s="10" t="s">
        <v>165</v>
      </c>
      <c r="B272" s="10" t="s">
        <v>57</v>
      </c>
      <c r="C272" s="10" t="s">
        <v>166</v>
      </c>
      <c r="D272" s="10"/>
      <c r="E272" s="11" t="n">
        <v>19</v>
      </c>
      <c r="F272" s="10" t="s">
        <v>291</v>
      </c>
      <c r="G272" s="7" t="n">
        <v>18</v>
      </c>
      <c r="H272" s="10" t="s">
        <v>785</v>
      </c>
      <c r="I272" s="10" t="s">
        <v>358</v>
      </c>
      <c r="J272" s="10" t="s">
        <v>786</v>
      </c>
      <c r="K272" s="7" t="n">
        <v>17</v>
      </c>
      <c r="L272" s="7" t="n">
        <v>97</v>
      </c>
      <c r="M272" s="7" t="n">
        <v>5</v>
      </c>
      <c r="N272" s="7" t="n">
        <v>2</v>
      </c>
      <c r="O272" s="7" t="n">
        <v>14</v>
      </c>
      <c r="P272" s="8" t="n">
        <v>39.1117576835815</v>
      </c>
      <c r="Q272" s="9" t="n">
        <v>0.0255677591401059</v>
      </c>
      <c r="R272" s="8" t="n">
        <v>13</v>
      </c>
      <c r="S272" s="12" t="n">
        <f aca="false">IF(AND(ISNUMBER(R272),R272&gt;1,P272&gt;0),R272/P272-1,"")</f>
        <v>-0.667619131178623</v>
      </c>
    </row>
    <row r="273" customFormat="false" ht="15" hidden="false" customHeight="false" outlineLevel="0" collapsed="false">
      <c r="A273" s="10" t="s">
        <v>165</v>
      </c>
      <c r="B273" s="10" t="s">
        <v>57</v>
      </c>
      <c r="C273" s="10" t="s">
        <v>166</v>
      </c>
      <c r="D273" s="10"/>
      <c r="E273" s="11" t="n">
        <v>19</v>
      </c>
      <c r="F273" s="10" t="s">
        <v>291</v>
      </c>
      <c r="G273" s="7" t="n">
        <v>18</v>
      </c>
      <c r="H273" s="10" t="s">
        <v>787</v>
      </c>
      <c r="I273" s="10" t="s">
        <v>358</v>
      </c>
      <c r="J273" s="10" t="s">
        <v>484</v>
      </c>
      <c r="K273" s="7" t="n">
        <v>16</v>
      </c>
      <c r="L273" s="7" t="n">
        <v>99</v>
      </c>
      <c r="M273" s="7" t="n">
        <v>9</v>
      </c>
      <c r="N273" s="7" t="n">
        <v>28</v>
      </c>
      <c r="O273" s="7" t="n">
        <v>15</v>
      </c>
      <c r="P273" s="8" t="n">
        <v>50.638497340807</v>
      </c>
      <c r="Q273" s="9" t="n">
        <v>0.0197478213713531</v>
      </c>
      <c r="R273" s="8" t="n">
        <v>29</v>
      </c>
      <c r="S273" s="12" t="n">
        <f aca="false">IF(AND(ISNUMBER(R273),R273&gt;1,P273&gt;0),R273/P273-1,"")</f>
        <v>-0.427313180230758</v>
      </c>
    </row>
    <row r="274" customFormat="false" ht="15" hidden="false" customHeight="false" outlineLevel="0" collapsed="false">
      <c r="A274" s="10" t="s">
        <v>165</v>
      </c>
      <c r="B274" s="10" t="s">
        <v>57</v>
      </c>
      <c r="C274" s="10" t="s">
        <v>166</v>
      </c>
      <c r="D274" s="10"/>
      <c r="E274" s="11" t="n">
        <v>19</v>
      </c>
      <c r="F274" s="10" t="s">
        <v>291</v>
      </c>
      <c r="G274" s="7" t="n">
        <v>18</v>
      </c>
      <c r="H274" s="10" t="s">
        <v>788</v>
      </c>
      <c r="I274" s="10" t="s">
        <v>789</v>
      </c>
      <c r="J274" s="10" t="s">
        <v>468</v>
      </c>
      <c r="K274" s="7" t="n">
        <v>7</v>
      </c>
      <c r="L274" s="7" t="n">
        <v>104</v>
      </c>
      <c r="M274" s="7" t="n">
        <v>11</v>
      </c>
      <c r="N274" s="7" t="n">
        <v>59</v>
      </c>
      <c r="O274" s="7" t="n">
        <v>16</v>
      </c>
      <c r="P274" s="8" t="n">
        <v>72.520397413304</v>
      </c>
      <c r="Q274" s="9" t="n">
        <v>0.0137892239379337</v>
      </c>
      <c r="R274" s="8" t="n">
        <v>19</v>
      </c>
      <c r="S274" s="12" t="n">
        <f aca="false">IF(AND(ISNUMBER(R274),R274&gt;1,P274&gt;0),R274/P274-1,"")</f>
        <v>-0.738004745179259</v>
      </c>
    </row>
    <row r="275" customFormat="false" ht="15" hidden="false" customHeight="false" outlineLevel="0" collapsed="false">
      <c r="A275" s="10" t="s">
        <v>165</v>
      </c>
      <c r="B275" s="10" t="s">
        <v>57</v>
      </c>
      <c r="C275" s="10" t="s">
        <v>166</v>
      </c>
      <c r="D275" s="10"/>
      <c r="E275" s="11" t="n">
        <v>19</v>
      </c>
      <c r="F275" s="10" t="s">
        <v>291</v>
      </c>
      <c r="G275" s="7" t="n">
        <v>18</v>
      </c>
      <c r="H275" s="10" t="s">
        <v>790</v>
      </c>
      <c r="I275" s="10" t="s">
        <v>358</v>
      </c>
      <c r="J275" s="10" t="s">
        <v>791</v>
      </c>
      <c r="K275" s="7" t="n">
        <v>18</v>
      </c>
      <c r="L275" s="7" t="n">
        <v>96</v>
      </c>
      <c r="M275" s="7" t="n">
        <v>7</v>
      </c>
      <c r="N275" s="7" t="n">
        <v>18</v>
      </c>
      <c r="O275" s="7" t="n">
        <v>17</v>
      </c>
      <c r="P275" s="8" t="n">
        <v>81.4711688807162</v>
      </c>
      <c r="Q275" s="9" t="n">
        <v>0.012274280751564</v>
      </c>
      <c r="R275" s="8" t="n">
        <v>29</v>
      </c>
      <c r="S275" s="12" t="n">
        <f aca="false">IF(AND(ISNUMBER(R275),R275&gt;1,P275&gt;0),R275/P275-1,"")</f>
        <v>-0.644045858204642</v>
      </c>
    </row>
    <row r="276" customFormat="false" ht="15" hidden="false" customHeight="false" outlineLevel="0" collapsed="false">
      <c r="A276" s="10" t="s">
        <v>165</v>
      </c>
      <c r="B276" s="10" t="s">
        <v>57</v>
      </c>
      <c r="C276" s="10" t="s">
        <v>166</v>
      </c>
      <c r="D276" s="10"/>
      <c r="E276" s="11" t="n">
        <v>19</v>
      </c>
      <c r="F276" s="10" t="s">
        <v>291</v>
      </c>
      <c r="G276" s="7" t="n">
        <v>18</v>
      </c>
      <c r="H276" s="10" t="s">
        <v>792</v>
      </c>
      <c r="I276" s="10" t="s">
        <v>793</v>
      </c>
      <c r="J276" s="10" t="s">
        <v>794</v>
      </c>
      <c r="K276" s="7" t="n">
        <v>11</v>
      </c>
      <c r="L276" s="7" t="n">
        <v>102</v>
      </c>
      <c r="M276" s="7" t="n">
        <v>10</v>
      </c>
      <c r="N276" s="7" t="n">
        <v>43</v>
      </c>
      <c r="O276" s="7" t="n">
        <v>18</v>
      </c>
      <c r="P276" s="8" t="n">
        <v>83.1405253977991</v>
      </c>
      <c r="Q276" s="9" t="n">
        <v>0.0120278287299165</v>
      </c>
      <c r="R276" s="8" t="n">
        <v>26</v>
      </c>
      <c r="S276" s="12" t="n">
        <f aca="false">IF(AND(ISNUMBER(R276),R276&gt;1,P276&gt;0),R276/P276-1,"")</f>
        <v>-0.687276453022171</v>
      </c>
    </row>
    <row r="277" customFormat="false" ht="15" hidden="false" customHeight="false" outlineLevel="0" collapsed="false">
      <c r="A277" s="10" t="s">
        <v>171</v>
      </c>
      <c r="B277" s="10" t="s">
        <v>172</v>
      </c>
      <c r="C277" s="10" t="s">
        <v>173</v>
      </c>
      <c r="D277" s="10" t="s">
        <v>795</v>
      </c>
      <c r="E277" s="11" t="n">
        <v>12.5</v>
      </c>
      <c r="F277" s="10" t="s">
        <v>796</v>
      </c>
      <c r="G277" s="7" t="n">
        <v>13</v>
      </c>
      <c r="H277" s="10" t="s">
        <v>174</v>
      </c>
      <c r="I277" s="10" t="s">
        <v>175</v>
      </c>
      <c r="J277" s="10" t="s">
        <v>176</v>
      </c>
      <c r="K277" s="7" t="n">
        <v>9</v>
      </c>
      <c r="L277" s="7" t="n">
        <v>64</v>
      </c>
      <c r="M277" s="7" t="n">
        <v>6</v>
      </c>
      <c r="N277" s="7" t="n">
        <v>20</v>
      </c>
      <c r="O277" s="7" t="n">
        <v>1</v>
      </c>
      <c r="P277" s="8" t="n">
        <v>3.87874785734754</v>
      </c>
      <c r="Q277" s="9" t="n">
        <v>0.257815160143935</v>
      </c>
      <c r="R277" s="8" t="n">
        <v>3.5</v>
      </c>
      <c r="S277" s="12" t="n">
        <f aca="false">IF(AND(ISNUMBER(R277),R277&gt;1,P277&gt;0),R277/P277-1,"")</f>
        <v>-0.0976469394962271</v>
      </c>
    </row>
    <row r="278" customFormat="false" ht="15" hidden="false" customHeight="false" outlineLevel="0" collapsed="false">
      <c r="A278" s="10" t="s">
        <v>171</v>
      </c>
      <c r="B278" s="10" t="s">
        <v>172</v>
      </c>
      <c r="C278" s="10" t="s">
        <v>173</v>
      </c>
      <c r="D278" s="10" t="s">
        <v>795</v>
      </c>
      <c r="E278" s="11" t="n">
        <v>12.5</v>
      </c>
      <c r="F278" s="10" t="s">
        <v>796</v>
      </c>
      <c r="G278" s="7" t="n">
        <v>13</v>
      </c>
      <c r="H278" s="10" t="s">
        <v>177</v>
      </c>
      <c r="I278" s="10" t="s">
        <v>797</v>
      </c>
      <c r="J278" s="10" t="s">
        <v>798</v>
      </c>
      <c r="K278" s="7" t="n">
        <v>4</v>
      </c>
      <c r="L278" s="7" t="n">
        <v>62</v>
      </c>
      <c r="M278" s="7" t="n">
        <v>3</v>
      </c>
      <c r="N278" s="7" t="n">
        <v>29</v>
      </c>
      <c r="O278" s="7" t="n">
        <v>2</v>
      </c>
      <c r="P278" s="8" t="n">
        <v>5.38082621076101</v>
      </c>
      <c r="Q278" s="9" t="n">
        <v>0.185845065577498</v>
      </c>
      <c r="R278" s="8" t="n">
        <v>3.75</v>
      </c>
      <c r="S278" s="12" t="n">
        <f aca="false">IF(AND(ISNUMBER(R278),R278&gt;1,P278&gt;0),R278/P278-1,"")</f>
        <v>-0.303081004084382</v>
      </c>
    </row>
    <row r="279" customFormat="false" ht="15" hidden="false" customHeight="false" outlineLevel="0" collapsed="false">
      <c r="A279" s="10" t="s">
        <v>171</v>
      </c>
      <c r="B279" s="10" t="s">
        <v>172</v>
      </c>
      <c r="C279" s="10" t="s">
        <v>173</v>
      </c>
      <c r="D279" s="10" t="s">
        <v>795</v>
      </c>
      <c r="E279" s="11" t="n">
        <v>12.5</v>
      </c>
      <c r="F279" s="10" t="s">
        <v>796</v>
      </c>
      <c r="G279" s="7" t="n">
        <v>13</v>
      </c>
      <c r="H279" s="10" t="s">
        <v>799</v>
      </c>
      <c r="I279" s="10" t="s">
        <v>800</v>
      </c>
      <c r="J279" s="10" t="s">
        <v>412</v>
      </c>
      <c r="K279" s="7" t="n">
        <v>10</v>
      </c>
      <c r="L279" s="7" t="n">
        <v>65</v>
      </c>
      <c r="M279" s="7" t="n">
        <v>6</v>
      </c>
      <c r="N279" s="7" t="n">
        <v>19</v>
      </c>
      <c r="O279" s="7" t="n">
        <v>3</v>
      </c>
      <c r="P279" s="8" t="n">
        <v>9.38338350989808</v>
      </c>
      <c r="Q279" s="9" t="n">
        <v>0.10657136617566</v>
      </c>
      <c r="R279" s="8" t="n">
        <v>7</v>
      </c>
      <c r="S279" s="12" t="n">
        <f aca="false">IF(AND(ISNUMBER(R279),R279&gt;1,P279&gt;0),R279/P279-1,"")</f>
        <v>-0.254000436770379</v>
      </c>
    </row>
    <row r="280" customFormat="false" ht="15" hidden="false" customHeight="false" outlineLevel="0" collapsed="false">
      <c r="A280" s="10" t="s">
        <v>171</v>
      </c>
      <c r="B280" s="10" t="s">
        <v>172</v>
      </c>
      <c r="C280" s="10" t="s">
        <v>173</v>
      </c>
      <c r="D280" s="10" t="s">
        <v>795</v>
      </c>
      <c r="E280" s="11" t="n">
        <v>12.5</v>
      </c>
      <c r="F280" s="10" t="s">
        <v>796</v>
      </c>
      <c r="G280" s="7" t="n">
        <v>13</v>
      </c>
      <c r="H280" s="10" t="s">
        <v>801</v>
      </c>
      <c r="I280" s="10" t="s">
        <v>231</v>
      </c>
      <c r="J280" s="10" t="s">
        <v>802</v>
      </c>
      <c r="K280" s="7" t="n">
        <v>13</v>
      </c>
      <c r="L280" s="7" t="n">
        <v>57</v>
      </c>
      <c r="M280" s="7" t="n">
        <v>3</v>
      </c>
      <c r="N280" s="7" t="n">
        <v>16</v>
      </c>
      <c r="O280" s="7" t="n">
        <v>4</v>
      </c>
      <c r="P280" s="8" t="n">
        <v>10.3425123960809</v>
      </c>
      <c r="Q280" s="9" t="n">
        <v>0.0966883056750247</v>
      </c>
      <c r="R280" s="8" t="n">
        <v>8</v>
      </c>
      <c r="S280" s="12" t="n">
        <f aca="false">IF(AND(ISNUMBER(R280),R280&gt;1,P280&gt;0),R280/P280-1,"")</f>
        <v>-0.226493554599803</v>
      </c>
    </row>
    <row r="281" customFormat="false" ht="15" hidden="false" customHeight="false" outlineLevel="0" collapsed="false">
      <c r="A281" s="10" t="s">
        <v>171</v>
      </c>
      <c r="B281" s="10" t="s">
        <v>172</v>
      </c>
      <c r="C281" s="10" t="s">
        <v>173</v>
      </c>
      <c r="D281" s="10" t="s">
        <v>795</v>
      </c>
      <c r="E281" s="11" t="n">
        <v>12.5</v>
      </c>
      <c r="F281" s="10" t="s">
        <v>796</v>
      </c>
      <c r="G281" s="7" t="n">
        <v>13</v>
      </c>
      <c r="H281" s="10" t="s">
        <v>803</v>
      </c>
      <c r="I281" s="10" t="s">
        <v>804</v>
      </c>
      <c r="J281" s="10" t="s">
        <v>805</v>
      </c>
      <c r="K281" s="7" t="n">
        <v>11</v>
      </c>
      <c r="L281" s="7" t="n">
        <v>65</v>
      </c>
      <c r="M281" s="7" t="n">
        <v>3</v>
      </c>
      <c r="N281" s="7" t="n">
        <v>43</v>
      </c>
      <c r="O281" s="7" t="n">
        <v>5</v>
      </c>
      <c r="P281" s="8" t="n">
        <v>11.932604967272</v>
      </c>
      <c r="Q281" s="9" t="n">
        <v>0.0838039977643385</v>
      </c>
      <c r="R281" s="8" t="n">
        <v>8.5</v>
      </c>
      <c r="S281" s="12" t="n">
        <f aca="false">IF(AND(ISNUMBER(R281),R281&gt;1,P281&gt;0),R281/P281-1,"")</f>
        <v>-0.287666019003123</v>
      </c>
    </row>
    <row r="282" customFormat="false" ht="15" hidden="false" customHeight="false" outlineLevel="0" collapsed="false">
      <c r="A282" s="10" t="s">
        <v>171</v>
      </c>
      <c r="B282" s="10" t="s">
        <v>172</v>
      </c>
      <c r="C282" s="10" t="s">
        <v>173</v>
      </c>
      <c r="D282" s="10" t="s">
        <v>795</v>
      </c>
      <c r="E282" s="11" t="n">
        <v>12.5</v>
      </c>
      <c r="F282" s="10" t="s">
        <v>796</v>
      </c>
      <c r="G282" s="7" t="n">
        <v>13</v>
      </c>
      <c r="H282" s="10" t="s">
        <v>806</v>
      </c>
      <c r="I282" s="10" t="s">
        <v>219</v>
      </c>
      <c r="J282" s="10" t="s">
        <v>807</v>
      </c>
      <c r="K282" s="7" t="n">
        <v>1</v>
      </c>
      <c r="L282" s="7" t="n">
        <v>54</v>
      </c>
      <c r="M282" s="7" t="n">
        <v>4</v>
      </c>
      <c r="N282" s="7" t="n">
        <v>14</v>
      </c>
      <c r="O282" s="7" t="n">
        <v>6</v>
      </c>
      <c r="P282" s="8" t="n">
        <v>15.6765016396019</v>
      </c>
      <c r="Q282" s="9" t="n">
        <v>0.0637897423155819</v>
      </c>
      <c r="R282" s="8" t="n">
        <v>8</v>
      </c>
      <c r="S282" s="12" t="n">
        <f aca="false">IF(AND(ISNUMBER(R282),R282&gt;1,P282&gt;0),R282/P282-1,"")</f>
        <v>-0.489682061475344</v>
      </c>
    </row>
    <row r="283" customFormat="false" ht="15" hidden="false" customHeight="false" outlineLevel="0" collapsed="false">
      <c r="A283" s="10" t="s">
        <v>171</v>
      </c>
      <c r="B283" s="10" t="s">
        <v>172</v>
      </c>
      <c r="C283" s="10" t="s">
        <v>173</v>
      </c>
      <c r="D283" s="10" t="s">
        <v>795</v>
      </c>
      <c r="E283" s="11" t="n">
        <v>12.5</v>
      </c>
      <c r="F283" s="10" t="s">
        <v>796</v>
      </c>
      <c r="G283" s="7" t="n">
        <v>13</v>
      </c>
      <c r="H283" s="10" t="s">
        <v>808</v>
      </c>
      <c r="I283" s="10" t="s">
        <v>809</v>
      </c>
      <c r="J283" s="10" t="s">
        <v>412</v>
      </c>
      <c r="K283" s="7" t="n">
        <v>12</v>
      </c>
      <c r="L283" s="7" t="n">
        <v>61</v>
      </c>
      <c r="M283" s="7" t="n">
        <v>5</v>
      </c>
      <c r="N283" s="7" t="n">
        <v>23</v>
      </c>
      <c r="O283" s="7" t="n">
        <v>7</v>
      </c>
      <c r="P283" s="8" t="n">
        <v>17.2329793558282</v>
      </c>
      <c r="Q283" s="9" t="n">
        <v>0.0580282712206581</v>
      </c>
      <c r="R283" s="8" t="n">
        <v>13</v>
      </c>
      <c r="S283" s="12" t="n">
        <f aca="false">IF(AND(ISNUMBER(R283),R283&gt;1,P283&gt;0),R283/P283-1,"")</f>
        <v>-0.245632474131444</v>
      </c>
    </row>
    <row r="284" customFormat="false" ht="15" hidden="false" customHeight="false" outlineLevel="0" collapsed="false">
      <c r="A284" s="10" t="s">
        <v>171</v>
      </c>
      <c r="B284" s="10" t="s">
        <v>172</v>
      </c>
      <c r="C284" s="10" t="s">
        <v>173</v>
      </c>
      <c r="D284" s="10" t="s">
        <v>795</v>
      </c>
      <c r="E284" s="11" t="n">
        <v>12.5</v>
      </c>
      <c r="F284" s="10" t="s">
        <v>796</v>
      </c>
      <c r="G284" s="7" t="n">
        <v>13</v>
      </c>
      <c r="H284" s="10" t="s">
        <v>810</v>
      </c>
      <c r="I284" s="10" t="s">
        <v>811</v>
      </c>
      <c r="J284" s="10" t="s">
        <v>812</v>
      </c>
      <c r="K284" s="7" t="n">
        <v>2</v>
      </c>
      <c r="L284" s="7" t="n">
        <v>61</v>
      </c>
      <c r="M284" s="7" t="n">
        <v>8</v>
      </c>
      <c r="N284" s="7" t="n">
        <v>115</v>
      </c>
      <c r="O284" s="7" t="n">
        <v>8</v>
      </c>
      <c r="P284" s="8" t="n">
        <v>29.0642938255335</v>
      </c>
      <c r="Q284" s="9" t="n">
        <v>0.0344064784784649</v>
      </c>
      <c r="R284" s="8" t="n">
        <v>29</v>
      </c>
      <c r="S284" s="12" t="n">
        <f aca="false">IF(AND(ISNUMBER(R284),R284&gt;1,P284&gt;0),R284/P284-1,"")</f>
        <v>-0.00221212412451655</v>
      </c>
    </row>
    <row r="285" customFormat="false" ht="15" hidden="false" customHeight="false" outlineLevel="0" collapsed="false">
      <c r="A285" s="10" t="s">
        <v>171</v>
      </c>
      <c r="B285" s="10" t="s">
        <v>172</v>
      </c>
      <c r="C285" s="10" t="s">
        <v>173</v>
      </c>
      <c r="D285" s="10" t="s">
        <v>795</v>
      </c>
      <c r="E285" s="11" t="n">
        <v>12.5</v>
      </c>
      <c r="F285" s="10" t="s">
        <v>796</v>
      </c>
      <c r="G285" s="7" t="n">
        <v>13</v>
      </c>
      <c r="H285" s="10" t="s">
        <v>813</v>
      </c>
      <c r="I285" s="10" t="s">
        <v>265</v>
      </c>
      <c r="J285" s="10" t="s">
        <v>807</v>
      </c>
      <c r="K285" s="7" t="n">
        <v>8</v>
      </c>
      <c r="L285" s="7" t="n">
        <v>62</v>
      </c>
      <c r="M285" s="7" t="n">
        <v>4</v>
      </c>
      <c r="N285" s="7" t="n">
        <v>47</v>
      </c>
      <c r="O285" s="7" t="n">
        <v>9</v>
      </c>
      <c r="P285" s="8" t="n">
        <v>32.0438154116339</v>
      </c>
      <c r="Q285" s="9" t="n">
        <v>0.0312072700193167</v>
      </c>
      <c r="R285" s="8" t="n">
        <v>17</v>
      </c>
      <c r="S285" s="12" t="n">
        <f aca="false">IF(AND(ISNUMBER(R285),R285&gt;1,P285&gt;0),R285/P285-1,"")</f>
        <v>-0.469476409671616</v>
      </c>
    </row>
    <row r="286" customFormat="false" ht="15" hidden="false" customHeight="false" outlineLevel="0" collapsed="false">
      <c r="A286" s="10" t="s">
        <v>171</v>
      </c>
      <c r="B286" s="10" t="s">
        <v>172</v>
      </c>
      <c r="C286" s="10" t="s">
        <v>173</v>
      </c>
      <c r="D286" s="10" t="s">
        <v>795</v>
      </c>
      <c r="E286" s="11" t="n">
        <v>12.5</v>
      </c>
      <c r="F286" s="10" t="s">
        <v>796</v>
      </c>
      <c r="G286" s="7" t="n">
        <v>13</v>
      </c>
      <c r="H286" s="10" t="s">
        <v>814</v>
      </c>
      <c r="I286" s="10" t="s">
        <v>815</v>
      </c>
      <c r="J286" s="10" t="s">
        <v>816</v>
      </c>
      <c r="K286" s="7" t="n">
        <v>7</v>
      </c>
      <c r="L286" s="7" t="n">
        <v>61</v>
      </c>
      <c r="M286" s="7" t="n">
        <v>3</v>
      </c>
      <c r="N286" s="7" t="n">
        <v>16</v>
      </c>
      <c r="O286" s="7" t="n">
        <v>10</v>
      </c>
      <c r="P286" s="8" t="n">
        <v>41.1215422052516</v>
      </c>
      <c r="Q286" s="9" t="n">
        <v>0.0243181540956966</v>
      </c>
      <c r="R286" s="8" t="n">
        <v>26</v>
      </c>
      <c r="S286" s="12" t="n">
        <f aca="false">IF(AND(ISNUMBER(R286),R286&gt;1,P286&gt;0),R286/P286-1,"")</f>
        <v>-0.367727993511888</v>
      </c>
    </row>
    <row r="287" customFormat="false" ht="15" hidden="false" customHeight="false" outlineLevel="0" collapsed="false">
      <c r="A287" s="10" t="s">
        <v>171</v>
      </c>
      <c r="B287" s="10" t="s">
        <v>172</v>
      </c>
      <c r="C287" s="10" t="s">
        <v>173</v>
      </c>
      <c r="D287" s="10" t="s">
        <v>795</v>
      </c>
      <c r="E287" s="11" t="n">
        <v>12.5</v>
      </c>
      <c r="F287" s="10" t="s">
        <v>796</v>
      </c>
      <c r="G287" s="7" t="n">
        <v>13</v>
      </c>
      <c r="H287" s="10" t="s">
        <v>817</v>
      </c>
      <c r="I287" s="10" t="s">
        <v>196</v>
      </c>
      <c r="J287" s="10" t="s">
        <v>818</v>
      </c>
      <c r="K287" s="7" t="n">
        <v>3</v>
      </c>
      <c r="L287" s="7" t="n">
        <v>46</v>
      </c>
      <c r="M287" s="7" t="n">
        <v>4</v>
      </c>
      <c r="N287" s="7" t="n">
        <v>23</v>
      </c>
      <c r="O287" s="7" t="n">
        <v>11</v>
      </c>
      <c r="P287" s="8" t="n">
        <v>44.7327410892244</v>
      </c>
      <c r="Q287" s="9" t="n">
        <v>0.0223549904533099</v>
      </c>
      <c r="R287" s="8" t="n">
        <v>26</v>
      </c>
      <c r="S287" s="12" t="n">
        <f aca="false">IF(AND(ISNUMBER(R287),R287&gt;1,P287&gt;0),R287/P287-1,"")</f>
        <v>-0.41877024821394</v>
      </c>
    </row>
    <row r="288" customFormat="false" ht="15" hidden="false" customHeight="false" outlineLevel="0" collapsed="false">
      <c r="A288" s="10" t="s">
        <v>171</v>
      </c>
      <c r="B288" s="10" t="s">
        <v>172</v>
      </c>
      <c r="C288" s="10" t="s">
        <v>173</v>
      </c>
      <c r="D288" s="10" t="s">
        <v>795</v>
      </c>
      <c r="E288" s="11" t="n">
        <v>12.5</v>
      </c>
      <c r="F288" s="10" t="s">
        <v>796</v>
      </c>
      <c r="G288" s="7" t="n">
        <v>13</v>
      </c>
      <c r="H288" s="10" t="s">
        <v>819</v>
      </c>
      <c r="I288" s="10" t="s">
        <v>820</v>
      </c>
      <c r="J288" s="10" t="s">
        <v>176</v>
      </c>
      <c r="K288" s="7" t="n">
        <v>6</v>
      </c>
      <c r="L288" s="7" t="n">
        <v>64</v>
      </c>
      <c r="M288" s="7" t="n">
        <v>3</v>
      </c>
      <c r="N288" s="7" t="n">
        <v>16</v>
      </c>
      <c r="O288" s="7" t="n">
        <v>12</v>
      </c>
      <c r="P288" s="8" t="n">
        <v>48.0010045501682</v>
      </c>
      <c r="Q288" s="9" t="n">
        <v>0.0208328973397806</v>
      </c>
      <c r="R288" s="8" t="n">
        <v>26</v>
      </c>
      <c r="S288" s="12" t="n">
        <f aca="false">IF(AND(ISNUMBER(R288),R288&gt;1,P288&gt;0),R288/P288-1,"")</f>
        <v>-0.458344669165702</v>
      </c>
    </row>
    <row r="289" customFormat="false" ht="15" hidden="false" customHeight="false" outlineLevel="0" collapsed="false">
      <c r="A289" s="10" t="s">
        <v>171</v>
      </c>
      <c r="B289" s="10" t="s">
        <v>172</v>
      </c>
      <c r="C289" s="10" t="s">
        <v>173</v>
      </c>
      <c r="D289" s="10" t="s">
        <v>795</v>
      </c>
      <c r="E289" s="11" t="n">
        <v>12.5</v>
      </c>
      <c r="F289" s="10" t="s">
        <v>796</v>
      </c>
      <c r="G289" s="7" t="n">
        <v>13</v>
      </c>
      <c r="H289" s="10" t="s">
        <v>821</v>
      </c>
      <c r="I289" s="10" t="s">
        <v>822</v>
      </c>
      <c r="J289" s="10" t="s">
        <v>823</v>
      </c>
      <c r="K289" s="7" t="n">
        <v>5</v>
      </c>
      <c r="L289" s="7" t="n">
        <v>46</v>
      </c>
      <c r="M289" s="7" t="n">
        <v>4</v>
      </c>
      <c r="N289" s="7" t="n">
        <v>30</v>
      </c>
      <c r="O289" s="7" t="n">
        <v>13</v>
      </c>
      <c r="P289" s="8" t="n">
        <v>69.7432714016841</v>
      </c>
      <c r="Q289" s="9" t="n">
        <v>0.0143383007407342</v>
      </c>
      <c r="R289" s="8" t="n">
        <v>51</v>
      </c>
      <c r="S289" s="12" t="n">
        <f aca="false">IF(AND(ISNUMBER(R289),R289&gt;1,P289&gt;0),R289/P289-1,"")</f>
        <v>-0.268746662222551</v>
      </c>
    </row>
    <row r="290" customFormat="false" ht="15" hidden="false" customHeight="false" outlineLevel="0" collapsed="false">
      <c r="A290" s="10" t="s">
        <v>178</v>
      </c>
      <c r="B290" s="10" t="s">
        <v>44</v>
      </c>
      <c r="C290" s="10" t="s">
        <v>179</v>
      </c>
      <c r="D290" s="10" t="s">
        <v>340</v>
      </c>
      <c r="E290" s="11" t="n">
        <v>9</v>
      </c>
      <c r="F290" s="10" t="s">
        <v>291</v>
      </c>
      <c r="G290" s="7" t="n">
        <v>10</v>
      </c>
      <c r="H290" s="10" t="s">
        <v>180</v>
      </c>
      <c r="I290" s="10" t="s">
        <v>151</v>
      </c>
      <c r="J290" s="10" t="s">
        <v>181</v>
      </c>
      <c r="K290" s="7" t="n">
        <v>4</v>
      </c>
      <c r="L290" s="7" t="n">
        <v>88</v>
      </c>
      <c r="M290" s="7" t="n">
        <v>3</v>
      </c>
      <c r="N290" s="7" t="n">
        <v>43</v>
      </c>
      <c r="O290" s="7" t="n">
        <v>1</v>
      </c>
      <c r="P290" s="8" t="n">
        <v>4.62289671014528</v>
      </c>
      <c r="Q290" s="9" t="n">
        <v>0.216314588601002</v>
      </c>
      <c r="R290" s="8" t="n">
        <v>4.33333333333333</v>
      </c>
      <c r="S290" s="12" t="n">
        <f aca="false">IF(AND(ISNUMBER(R290),R290&gt;1,P290&gt;0),R290/P290-1,"")</f>
        <v>-0.0626367827289933</v>
      </c>
    </row>
    <row r="291" customFormat="false" ht="15" hidden="false" customHeight="false" outlineLevel="0" collapsed="false">
      <c r="A291" s="10" t="s">
        <v>178</v>
      </c>
      <c r="B291" s="10" t="s">
        <v>44</v>
      </c>
      <c r="C291" s="10" t="s">
        <v>179</v>
      </c>
      <c r="D291" s="10" t="s">
        <v>340</v>
      </c>
      <c r="E291" s="11" t="n">
        <v>9</v>
      </c>
      <c r="F291" s="10" t="s">
        <v>291</v>
      </c>
      <c r="G291" s="7" t="n">
        <v>10</v>
      </c>
      <c r="H291" s="10" t="s">
        <v>182</v>
      </c>
      <c r="I291" s="10" t="s">
        <v>587</v>
      </c>
      <c r="J291" s="10" t="s">
        <v>318</v>
      </c>
      <c r="K291" s="7" t="n">
        <v>5</v>
      </c>
      <c r="L291" s="7" t="n">
        <v>88</v>
      </c>
      <c r="M291" s="7" t="n">
        <v>3</v>
      </c>
      <c r="N291" s="7" t="n">
        <v>21</v>
      </c>
      <c r="O291" s="7" t="n">
        <v>2</v>
      </c>
      <c r="P291" s="8" t="n">
        <v>7.28490974890374</v>
      </c>
      <c r="Q291" s="9" t="n">
        <v>0.137270060229708</v>
      </c>
      <c r="R291" s="8" t="n">
        <v>5.5</v>
      </c>
      <c r="S291" s="12" t="n">
        <f aca="false">IF(AND(ISNUMBER(R291),R291&gt;1,P291&gt;0),R291/P291-1,"")</f>
        <v>-0.245014668736608</v>
      </c>
    </row>
    <row r="292" customFormat="false" ht="15" hidden="false" customHeight="false" outlineLevel="0" collapsed="false">
      <c r="A292" s="10" t="s">
        <v>178</v>
      </c>
      <c r="B292" s="10" t="s">
        <v>44</v>
      </c>
      <c r="C292" s="10" t="s">
        <v>179</v>
      </c>
      <c r="D292" s="10" t="s">
        <v>340</v>
      </c>
      <c r="E292" s="11" t="n">
        <v>9</v>
      </c>
      <c r="F292" s="10" t="s">
        <v>291</v>
      </c>
      <c r="G292" s="7" t="n">
        <v>10</v>
      </c>
      <c r="H292" s="10" t="s">
        <v>824</v>
      </c>
      <c r="I292" s="10" t="s">
        <v>403</v>
      </c>
      <c r="J292" s="10" t="s">
        <v>737</v>
      </c>
      <c r="K292" s="7" t="n">
        <v>1</v>
      </c>
      <c r="L292" s="7" t="n">
        <v>88</v>
      </c>
      <c r="M292" s="7" t="n">
        <v>6</v>
      </c>
      <c r="N292" s="7" t="n">
        <v>13</v>
      </c>
      <c r="O292" s="7" t="n">
        <v>3</v>
      </c>
      <c r="P292" s="8" t="n">
        <v>8.01830889800932</v>
      </c>
      <c r="Q292" s="9" t="n">
        <v>0.124714576691884</v>
      </c>
      <c r="R292" s="8" t="n">
        <v>6</v>
      </c>
      <c r="S292" s="12" t="n">
        <f aca="false">IF(AND(ISNUMBER(R292),R292&gt;1,P292&gt;0),R292/P292-1,"")</f>
        <v>-0.251712539848696</v>
      </c>
    </row>
    <row r="293" customFormat="false" ht="15" hidden="false" customHeight="false" outlineLevel="0" collapsed="false">
      <c r="A293" s="10" t="s">
        <v>178</v>
      </c>
      <c r="B293" s="10" t="s">
        <v>44</v>
      </c>
      <c r="C293" s="10" t="s">
        <v>179</v>
      </c>
      <c r="D293" s="10" t="s">
        <v>340</v>
      </c>
      <c r="E293" s="11" t="n">
        <v>9</v>
      </c>
      <c r="F293" s="10" t="s">
        <v>291</v>
      </c>
      <c r="G293" s="7" t="n">
        <v>10</v>
      </c>
      <c r="H293" s="10" t="s">
        <v>825</v>
      </c>
      <c r="I293" s="10" t="s">
        <v>826</v>
      </c>
      <c r="J293" s="10" t="s">
        <v>404</v>
      </c>
      <c r="K293" s="7" t="n">
        <v>9</v>
      </c>
      <c r="L293" s="7" t="n">
        <v>91</v>
      </c>
      <c r="M293" s="7" t="n">
        <v>3</v>
      </c>
      <c r="N293" s="7" t="n">
        <v>99</v>
      </c>
      <c r="O293" s="7" t="n">
        <v>4</v>
      </c>
      <c r="P293" s="8" t="n">
        <v>9.27753783368085</v>
      </c>
      <c r="Q293" s="9" t="n">
        <v>0.107787218756429</v>
      </c>
      <c r="R293" s="8" t="n">
        <v>4.33333333333333</v>
      </c>
      <c r="S293" s="12" t="n">
        <f aca="false">IF(AND(ISNUMBER(R293),R293&gt;1,P293&gt;0),R293/P293-1,"")</f>
        <v>-0.532922052055476</v>
      </c>
    </row>
    <row r="294" customFormat="false" ht="15" hidden="false" customHeight="false" outlineLevel="0" collapsed="false">
      <c r="A294" s="10" t="s">
        <v>178</v>
      </c>
      <c r="B294" s="10" t="s">
        <v>44</v>
      </c>
      <c r="C294" s="10" t="s">
        <v>179</v>
      </c>
      <c r="D294" s="10" t="s">
        <v>340</v>
      </c>
      <c r="E294" s="11" t="n">
        <v>9</v>
      </c>
      <c r="F294" s="10" t="s">
        <v>291</v>
      </c>
      <c r="G294" s="7" t="n">
        <v>10</v>
      </c>
      <c r="H294" s="10" t="s">
        <v>827</v>
      </c>
      <c r="I294" s="10" t="s">
        <v>323</v>
      </c>
      <c r="J294" s="10" t="s">
        <v>330</v>
      </c>
      <c r="K294" s="7" t="n">
        <v>10</v>
      </c>
      <c r="L294" s="7" t="n">
        <v>81</v>
      </c>
      <c r="M294" s="7" t="n">
        <v>3</v>
      </c>
      <c r="N294" s="7" t="n">
        <v>141</v>
      </c>
      <c r="O294" s="7" t="n">
        <v>5</v>
      </c>
      <c r="P294" s="8" t="n">
        <v>9.28997505331512</v>
      </c>
      <c r="Q294" s="9" t="n">
        <v>0.107642915536479</v>
      </c>
      <c r="R294" s="8" t="n">
        <v>9.5</v>
      </c>
      <c r="S294" s="12" t="n">
        <f aca="false">IF(AND(ISNUMBER(R294),R294&gt;1,P294&gt;0),R294/P294-1,"")</f>
        <v>0.0226076975965541</v>
      </c>
    </row>
    <row r="295" customFormat="false" ht="15" hidden="false" customHeight="false" outlineLevel="0" collapsed="false">
      <c r="A295" s="10" t="s">
        <v>178</v>
      </c>
      <c r="B295" s="10" t="s">
        <v>44</v>
      </c>
      <c r="C295" s="10" t="s">
        <v>179</v>
      </c>
      <c r="D295" s="10" t="s">
        <v>340</v>
      </c>
      <c r="E295" s="11" t="n">
        <v>9</v>
      </c>
      <c r="F295" s="10" t="s">
        <v>291</v>
      </c>
      <c r="G295" s="7" t="n">
        <v>10</v>
      </c>
      <c r="H295" s="10" t="s">
        <v>828</v>
      </c>
      <c r="I295" s="10" t="s">
        <v>829</v>
      </c>
      <c r="J295" s="10" t="s">
        <v>830</v>
      </c>
      <c r="K295" s="7" t="n">
        <v>6</v>
      </c>
      <c r="L295" s="7" t="n">
        <v>78</v>
      </c>
      <c r="M295" s="7" t="n">
        <v>6</v>
      </c>
      <c r="N295" s="7" t="n">
        <v>10</v>
      </c>
      <c r="O295" s="7" t="n">
        <v>6</v>
      </c>
      <c r="P295" s="8" t="n">
        <v>10.5424599952938</v>
      </c>
      <c r="Q295" s="9" t="n">
        <v>0.0948545216625348</v>
      </c>
      <c r="R295" s="8" t="n">
        <v>19</v>
      </c>
      <c r="S295" s="12" t="n">
        <f aca="false">IF(AND(ISNUMBER(R295),R295&gt;1,P295&gt;0),R295/P295-1,"")</f>
        <v>0.802235911588162</v>
      </c>
    </row>
    <row r="296" customFormat="false" ht="15" hidden="false" customHeight="false" outlineLevel="0" collapsed="false">
      <c r="A296" s="10" t="s">
        <v>178</v>
      </c>
      <c r="B296" s="10" t="s">
        <v>44</v>
      </c>
      <c r="C296" s="10" t="s">
        <v>179</v>
      </c>
      <c r="D296" s="10" t="s">
        <v>340</v>
      </c>
      <c r="E296" s="11" t="n">
        <v>9</v>
      </c>
      <c r="F296" s="10" t="s">
        <v>291</v>
      </c>
      <c r="G296" s="7" t="n">
        <v>10</v>
      </c>
      <c r="H296" s="10" t="s">
        <v>831</v>
      </c>
      <c r="I296" s="10" t="s">
        <v>66</v>
      </c>
      <c r="J296" s="10" t="s">
        <v>805</v>
      </c>
      <c r="K296" s="7" t="n">
        <v>7</v>
      </c>
      <c r="L296" s="7" t="n">
        <v>87</v>
      </c>
      <c r="M296" s="7" t="n">
        <v>3</v>
      </c>
      <c r="N296" s="7" t="n">
        <v>48</v>
      </c>
      <c r="O296" s="7" t="n">
        <v>7</v>
      </c>
      <c r="P296" s="8" t="n">
        <v>11.402363477946</v>
      </c>
      <c r="Q296" s="9" t="n">
        <v>0.087701115819905</v>
      </c>
      <c r="R296" s="8" t="n">
        <v>9</v>
      </c>
      <c r="S296" s="12" t="n">
        <f aca="false">IF(AND(ISNUMBER(R296),R296&gt;1,P296&gt;0),R296/P296-1,"")</f>
        <v>-0.210689957620855</v>
      </c>
    </row>
    <row r="297" customFormat="false" ht="15" hidden="false" customHeight="false" outlineLevel="0" collapsed="false">
      <c r="A297" s="10" t="s">
        <v>178</v>
      </c>
      <c r="B297" s="10" t="s">
        <v>44</v>
      </c>
      <c r="C297" s="10" t="s">
        <v>179</v>
      </c>
      <c r="D297" s="10" t="s">
        <v>340</v>
      </c>
      <c r="E297" s="11" t="n">
        <v>9</v>
      </c>
      <c r="F297" s="10" t="s">
        <v>291</v>
      </c>
      <c r="G297" s="7" t="n">
        <v>10</v>
      </c>
      <c r="H297" s="10" t="s">
        <v>832</v>
      </c>
      <c r="I297" s="10" t="s">
        <v>335</v>
      </c>
      <c r="J297" s="10" t="s">
        <v>833</v>
      </c>
      <c r="K297" s="7" t="n">
        <v>8</v>
      </c>
      <c r="L297" s="7" t="n">
        <v>77</v>
      </c>
      <c r="M297" s="7" t="n">
        <v>4</v>
      </c>
      <c r="N297" s="7" t="n">
        <v>7</v>
      </c>
      <c r="O297" s="7" t="n">
        <v>8</v>
      </c>
      <c r="P297" s="8" t="n">
        <v>16.9727060298719</v>
      </c>
      <c r="Q297" s="9" t="n">
        <v>0.0589181240893471</v>
      </c>
      <c r="R297" s="8" t="n">
        <v>9.5</v>
      </c>
      <c r="S297" s="12" t="n">
        <f aca="false">IF(AND(ISNUMBER(R297),R297&gt;1,P297&gt;0),R297/P297-1,"")</f>
        <v>-0.440277821151202</v>
      </c>
    </row>
    <row r="298" customFormat="false" ht="15" hidden="false" customHeight="false" outlineLevel="0" collapsed="false">
      <c r="A298" s="10" t="s">
        <v>178</v>
      </c>
      <c r="B298" s="10" t="s">
        <v>44</v>
      </c>
      <c r="C298" s="10" t="s">
        <v>179</v>
      </c>
      <c r="D298" s="10" t="s">
        <v>340</v>
      </c>
      <c r="E298" s="11" t="n">
        <v>9</v>
      </c>
      <c r="F298" s="10" t="s">
        <v>291</v>
      </c>
      <c r="G298" s="7" t="n">
        <v>10</v>
      </c>
      <c r="H298" s="10" t="s">
        <v>834</v>
      </c>
      <c r="I298" s="10" t="s">
        <v>835</v>
      </c>
      <c r="J298" s="10" t="s">
        <v>497</v>
      </c>
      <c r="K298" s="7" t="n">
        <v>2</v>
      </c>
      <c r="L298" s="7" t="n">
        <v>79</v>
      </c>
      <c r="M298" s="7" t="n">
        <v>4</v>
      </c>
      <c r="N298" s="7" t="n">
        <v>26</v>
      </c>
      <c r="O298" s="7" t="n">
        <v>9</v>
      </c>
      <c r="P298" s="8" t="n">
        <v>27.8895892232753</v>
      </c>
      <c r="Q298" s="9" t="n">
        <v>0.0358556733121565</v>
      </c>
      <c r="R298" s="8" t="n">
        <v>19</v>
      </c>
      <c r="S298" s="12" t="n">
        <f aca="false">IF(AND(ISNUMBER(R298),R298&gt;1,P298&gt;0),R298/P298-1,"")</f>
        <v>-0.318742207069026</v>
      </c>
    </row>
    <row r="299" customFormat="false" ht="15" hidden="false" customHeight="false" outlineLevel="0" collapsed="false">
      <c r="A299" s="10" t="s">
        <v>178</v>
      </c>
      <c r="B299" s="10" t="s">
        <v>44</v>
      </c>
      <c r="C299" s="10" t="s">
        <v>179</v>
      </c>
      <c r="D299" s="10" t="s">
        <v>340</v>
      </c>
      <c r="E299" s="11" t="n">
        <v>9</v>
      </c>
      <c r="F299" s="10" t="s">
        <v>291</v>
      </c>
      <c r="G299" s="7" t="n">
        <v>10</v>
      </c>
      <c r="H299" s="10" t="s">
        <v>836</v>
      </c>
      <c r="I299" s="10" t="s">
        <v>338</v>
      </c>
      <c r="J299" s="10" t="s">
        <v>837</v>
      </c>
      <c r="K299" s="7" t="n">
        <v>3</v>
      </c>
      <c r="L299" s="7" t="n">
        <v>78</v>
      </c>
      <c r="M299" s="7" t="n">
        <v>3</v>
      </c>
      <c r="N299" s="7" t="n">
        <v>30</v>
      </c>
      <c r="O299" s="7" t="n">
        <v>10</v>
      </c>
      <c r="P299" s="8" t="n">
        <v>34.5528111084168</v>
      </c>
      <c r="Q299" s="9" t="n">
        <v>0.0289412053005553</v>
      </c>
      <c r="R299" s="8" t="n">
        <v>26</v>
      </c>
      <c r="S299" s="12" t="n">
        <f aca="false">IF(AND(ISNUMBER(R299),R299&gt;1,P299&gt;0),R299/P299-1,"")</f>
        <v>-0.247528662185562</v>
      </c>
    </row>
    <row r="300" customFormat="false" ht="15" hidden="false" customHeight="false" outlineLevel="0" collapsed="false">
      <c r="A300" s="10" t="s">
        <v>183</v>
      </c>
      <c r="B300" s="10" t="s">
        <v>70</v>
      </c>
      <c r="C300" s="10" t="s">
        <v>184</v>
      </c>
      <c r="D300" s="10" t="s">
        <v>340</v>
      </c>
      <c r="E300" s="11" t="n">
        <v>14.5</v>
      </c>
      <c r="F300" s="10" t="s">
        <v>408</v>
      </c>
      <c r="G300" s="7" t="n">
        <v>5</v>
      </c>
      <c r="H300" s="10" t="s">
        <v>185</v>
      </c>
      <c r="I300" s="10" t="s">
        <v>157</v>
      </c>
      <c r="J300" s="10" t="s">
        <v>90</v>
      </c>
      <c r="K300" s="7" t="n">
        <v>5</v>
      </c>
      <c r="L300" s="7" t="n">
        <v>88</v>
      </c>
      <c r="M300" s="7" t="n">
        <v>3</v>
      </c>
      <c r="N300" s="7" t="n">
        <v>20</v>
      </c>
      <c r="O300" s="7" t="n">
        <v>1</v>
      </c>
      <c r="P300" s="8" t="n">
        <v>3.60132342982704</v>
      </c>
      <c r="Q300" s="9" t="n">
        <v>0.277675698804988</v>
      </c>
      <c r="R300" s="8" t="n">
        <v>2.1</v>
      </c>
      <c r="S300" s="12" t="n">
        <f aca="false">IF(AND(ISNUMBER(R300),R300&gt;1,P300&gt;0),R300/P300-1,"")</f>
        <v>-0.416881032509525</v>
      </c>
    </row>
    <row r="301" customFormat="false" ht="15" hidden="false" customHeight="false" outlineLevel="0" collapsed="false">
      <c r="A301" s="10" t="s">
        <v>183</v>
      </c>
      <c r="B301" s="10" t="s">
        <v>70</v>
      </c>
      <c r="C301" s="10" t="s">
        <v>184</v>
      </c>
      <c r="D301" s="10" t="s">
        <v>340</v>
      </c>
      <c r="E301" s="11" t="n">
        <v>14.5</v>
      </c>
      <c r="F301" s="10" t="s">
        <v>408</v>
      </c>
      <c r="G301" s="7" t="n">
        <v>5</v>
      </c>
      <c r="H301" s="10" t="s">
        <v>186</v>
      </c>
      <c r="I301" s="10" t="s">
        <v>513</v>
      </c>
      <c r="J301" s="10" t="s">
        <v>404</v>
      </c>
      <c r="K301" s="7" t="n">
        <v>3</v>
      </c>
      <c r="L301" s="7" t="n">
        <v>88</v>
      </c>
      <c r="M301" s="7" t="n">
        <v>3</v>
      </c>
      <c r="N301" s="7" t="n">
        <v>34</v>
      </c>
      <c r="O301" s="7" t="n">
        <v>2</v>
      </c>
      <c r="P301" s="8" t="n">
        <v>3.67434079861681</v>
      </c>
      <c r="Q301" s="9" t="n">
        <v>0.272157661688988</v>
      </c>
      <c r="R301" s="8" t="n">
        <v>4.33333333333333</v>
      </c>
      <c r="S301" s="12" t="n">
        <f aca="false">IF(AND(ISNUMBER(R301),R301&gt;1,P301&gt;0),R301/P301-1,"")</f>
        <v>0.179349867318949</v>
      </c>
    </row>
    <row r="302" customFormat="false" ht="15" hidden="false" customHeight="false" outlineLevel="0" collapsed="false">
      <c r="A302" s="10" t="s">
        <v>183</v>
      </c>
      <c r="B302" s="10" t="s">
        <v>70</v>
      </c>
      <c r="C302" s="10" t="s">
        <v>184</v>
      </c>
      <c r="D302" s="10" t="s">
        <v>340</v>
      </c>
      <c r="E302" s="11" t="n">
        <v>14.5</v>
      </c>
      <c r="F302" s="10" t="s">
        <v>408</v>
      </c>
      <c r="G302" s="7" t="n">
        <v>5</v>
      </c>
      <c r="H302" s="10" t="s">
        <v>838</v>
      </c>
      <c r="I302" s="10" t="s">
        <v>598</v>
      </c>
      <c r="J302" s="10" t="s">
        <v>399</v>
      </c>
      <c r="K302" s="7" t="n">
        <v>1</v>
      </c>
      <c r="L302" s="7" t="n">
        <v>87</v>
      </c>
      <c r="M302" s="7" t="n">
        <v>3</v>
      </c>
      <c r="N302" s="7" t="n">
        <v>107</v>
      </c>
      <c r="O302" s="7" t="n">
        <v>3</v>
      </c>
      <c r="P302" s="8" t="n">
        <v>4.1636200347467</v>
      </c>
      <c r="Q302" s="9" t="n">
        <v>0.24017561440638</v>
      </c>
      <c r="R302" s="8" t="n">
        <v>4</v>
      </c>
      <c r="S302" s="12" t="n">
        <f aca="false">IF(AND(ISNUMBER(R302),R302&gt;1,P302&gt;0),R302/P302-1,"")</f>
        <v>-0.0392975423744821</v>
      </c>
    </row>
    <row r="303" customFormat="false" ht="15" hidden="false" customHeight="false" outlineLevel="0" collapsed="false">
      <c r="A303" s="10" t="s">
        <v>183</v>
      </c>
      <c r="B303" s="10" t="s">
        <v>70</v>
      </c>
      <c r="C303" s="10" t="s">
        <v>184</v>
      </c>
      <c r="D303" s="10" t="s">
        <v>340</v>
      </c>
      <c r="E303" s="11" t="n">
        <v>14.5</v>
      </c>
      <c r="F303" s="10" t="s">
        <v>408</v>
      </c>
      <c r="G303" s="7" t="n">
        <v>5</v>
      </c>
      <c r="H303" s="10" t="s">
        <v>839</v>
      </c>
      <c r="I303" s="10" t="s">
        <v>734</v>
      </c>
      <c r="J303" s="10" t="s">
        <v>407</v>
      </c>
      <c r="K303" s="7" t="n">
        <v>2</v>
      </c>
      <c r="L303" s="7" t="n">
        <v>89</v>
      </c>
      <c r="M303" s="7" t="n">
        <v>3</v>
      </c>
      <c r="N303" s="7" t="n">
        <v>15</v>
      </c>
      <c r="O303" s="7" t="n">
        <v>4</v>
      </c>
      <c r="P303" s="8" t="n">
        <v>6.6382736501757</v>
      </c>
      <c r="Q303" s="9" t="n">
        <v>0.150641575309799</v>
      </c>
      <c r="R303" s="8" t="n">
        <v>7</v>
      </c>
      <c r="S303" s="12" t="n">
        <f aca="false">IF(AND(ISNUMBER(R303),R303&gt;1,P303&gt;0),R303/P303-1,"")</f>
        <v>0.0544910271685961</v>
      </c>
    </row>
    <row r="304" customFormat="false" ht="15" hidden="false" customHeight="false" outlineLevel="0" collapsed="false">
      <c r="A304" s="10" t="s">
        <v>183</v>
      </c>
      <c r="B304" s="10" t="s">
        <v>70</v>
      </c>
      <c r="C304" s="10" t="s">
        <v>184</v>
      </c>
      <c r="D304" s="10" t="s">
        <v>340</v>
      </c>
      <c r="E304" s="11" t="n">
        <v>14.5</v>
      </c>
      <c r="F304" s="10" t="s">
        <v>408</v>
      </c>
      <c r="G304" s="7" t="n">
        <v>5</v>
      </c>
      <c r="H304" s="10" t="s">
        <v>840</v>
      </c>
      <c r="I304" s="10" t="s">
        <v>608</v>
      </c>
      <c r="J304" s="10" t="s">
        <v>393</v>
      </c>
      <c r="K304" s="7" t="n">
        <v>4</v>
      </c>
      <c r="L304" s="7" t="n">
        <v>78</v>
      </c>
      <c r="M304" s="7" t="n">
        <v>3</v>
      </c>
      <c r="N304" s="7" t="n">
        <v>15</v>
      </c>
      <c r="O304" s="7" t="n">
        <v>5</v>
      </c>
      <c r="P304" s="8" t="n">
        <v>16.8493558666674</v>
      </c>
      <c r="Q304" s="9" t="n">
        <v>0.0593494497898446</v>
      </c>
      <c r="R304" s="8" t="n">
        <v>13</v>
      </c>
      <c r="S304" s="12" t="n">
        <f aca="false">IF(AND(ISNUMBER(R304),R304&gt;1,P304&gt;0),R304/P304-1,"")</f>
        <v>-0.228457152732019</v>
      </c>
    </row>
    <row r="305" customFormat="false" ht="15" hidden="false" customHeight="false" outlineLevel="0" collapsed="false">
      <c r="A305" s="10" t="s">
        <v>187</v>
      </c>
      <c r="B305" s="10" t="s">
        <v>57</v>
      </c>
      <c r="C305" s="10" t="s">
        <v>188</v>
      </c>
      <c r="D305" s="10"/>
      <c r="E305" s="11" t="n">
        <v>16</v>
      </c>
      <c r="F305" s="10" t="s">
        <v>291</v>
      </c>
      <c r="G305" s="7" t="n">
        <v>17</v>
      </c>
      <c r="H305" s="10" t="s">
        <v>189</v>
      </c>
      <c r="I305" s="10" t="s">
        <v>190</v>
      </c>
      <c r="J305" s="10" t="s">
        <v>191</v>
      </c>
      <c r="K305" s="7" t="n">
        <v>14</v>
      </c>
      <c r="L305" s="7" t="n">
        <v>0</v>
      </c>
      <c r="M305" s="7" t="n">
        <v>4</v>
      </c>
      <c r="N305" s="7" t="n">
        <v>32</v>
      </c>
      <c r="O305" s="7" t="n">
        <v>1</v>
      </c>
      <c r="P305" s="8" t="n">
        <v>3.73924560981985</v>
      </c>
      <c r="Q305" s="9" t="n">
        <v>0.26743362280719</v>
      </c>
      <c r="R305" s="8" t="n">
        <v>5</v>
      </c>
      <c r="S305" s="12" t="n">
        <f aca="false">IF(AND(ISNUMBER(R305),R305&gt;1,P305&gt;0),R305/P305-1,"")</f>
        <v>0.337168114035948</v>
      </c>
    </row>
    <row r="306" customFormat="false" ht="15" hidden="false" customHeight="false" outlineLevel="0" collapsed="false">
      <c r="A306" s="10" t="s">
        <v>187</v>
      </c>
      <c r="B306" s="10" t="s">
        <v>57</v>
      </c>
      <c r="C306" s="10" t="s">
        <v>188</v>
      </c>
      <c r="D306" s="10"/>
      <c r="E306" s="11" t="n">
        <v>16</v>
      </c>
      <c r="F306" s="10" t="s">
        <v>291</v>
      </c>
      <c r="G306" s="7" t="n">
        <v>17</v>
      </c>
      <c r="H306" s="10" t="s">
        <v>192</v>
      </c>
      <c r="I306" s="10" t="s">
        <v>214</v>
      </c>
      <c r="J306" s="10" t="s">
        <v>61</v>
      </c>
      <c r="K306" s="7" t="n">
        <v>5</v>
      </c>
      <c r="L306" s="7" t="n">
        <v>0</v>
      </c>
      <c r="M306" s="7" t="n">
        <v>5</v>
      </c>
      <c r="N306" s="7" t="n">
        <v>22</v>
      </c>
      <c r="O306" s="7" t="n">
        <v>2</v>
      </c>
      <c r="P306" s="8" t="n">
        <v>7.00225051587416</v>
      </c>
      <c r="Q306" s="9" t="n">
        <v>0.14281122872325</v>
      </c>
      <c r="R306" s="8" t="n">
        <v>5</v>
      </c>
      <c r="S306" s="12" t="n">
        <f aca="false">IF(AND(ISNUMBER(R306),R306&gt;1,P306&gt;0),R306/P306-1,"")</f>
        <v>-0.28594385638375</v>
      </c>
    </row>
    <row r="307" customFormat="false" ht="15" hidden="false" customHeight="false" outlineLevel="0" collapsed="false">
      <c r="A307" s="10" t="s">
        <v>187</v>
      </c>
      <c r="B307" s="10" t="s">
        <v>57</v>
      </c>
      <c r="C307" s="10" t="s">
        <v>188</v>
      </c>
      <c r="D307" s="10"/>
      <c r="E307" s="11" t="n">
        <v>16</v>
      </c>
      <c r="F307" s="10" t="s">
        <v>291</v>
      </c>
      <c r="G307" s="7" t="n">
        <v>17</v>
      </c>
      <c r="H307" s="10" t="s">
        <v>841</v>
      </c>
      <c r="I307" s="10" t="s">
        <v>842</v>
      </c>
      <c r="J307" s="10" t="s">
        <v>128</v>
      </c>
      <c r="K307" s="7" t="n">
        <v>10</v>
      </c>
      <c r="L307" s="7" t="n">
        <v>0</v>
      </c>
      <c r="M307" s="7" t="n">
        <v>5</v>
      </c>
      <c r="N307" s="7" t="n">
        <v>192</v>
      </c>
      <c r="O307" s="7" t="n">
        <v>3</v>
      </c>
      <c r="P307" s="8" t="n">
        <v>7.92044338130748</v>
      </c>
      <c r="Q307" s="9" t="n">
        <v>0.126255558162316</v>
      </c>
      <c r="R307" s="8" t="n">
        <v>3.25</v>
      </c>
      <c r="S307" s="12" t="n">
        <f aca="false">IF(AND(ISNUMBER(R307),R307&gt;1,P307&gt;0),R307/P307-1,"")</f>
        <v>-0.589669435972472</v>
      </c>
    </row>
    <row r="308" customFormat="false" ht="15" hidden="false" customHeight="false" outlineLevel="0" collapsed="false">
      <c r="A308" s="10" t="s">
        <v>187</v>
      </c>
      <c r="B308" s="10" t="s">
        <v>57</v>
      </c>
      <c r="C308" s="10" t="s">
        <v>188</v>
      </c>
      <c r="D308" s="10"/>
      <c r="E308" s="11" t="n">
        <v>16</v>
      </c>
      <c r="F308" s="10" t="s">
        <v>291</v>
      </c>
      <c r="G308" s="7" t="n">
        <v>17</v>
      </c>
      <c r="H308" s="10" t="s">
        <v>843</v>
      </c>
      <c r="I308" s="10" t="s">
        <v>844</v>
      </c>
      <c r="J308" s="10" t="s">
        <v>565</v>
      </c>
      <c r="K308" s="7" t="n">
        <v>11</v>
      </c>
      <c r="L308" s="7" t="n">
        <v>0</v>
      </c>
      <c r="M308" s="7" t="n">
        <v>4</v>
      </c>
      <c r="N308" s="7" t="n">
        <v>28</v>
      </c>
      <c r="O308" s="7" t="n">
        <v>4</v>
      </c>
      <c r="P308" s="8" t="n">
        <v>9.68067764045701</v>
      </c>
      <c r="Q308" s="9" t="n">
        <v>0.103298553793471</v>
      </c>
      <c r="R308" s="8" t="n">
        <v>12</v>
      </c>
      <c r="S308" s="12" t="n">
        <f aca="false">IF(AND(ISNUMBER(R308),R308&gt;1,P308&gt;0),R308/P308-1,"")</f>
        <v>0.239582645521651</v>
      </c>
    </row>
    <row r="309" customFormat="false" ht="15" hidden="false" customHeight="false" outlineLevel="0" collapsed="false">
      <c r="A309" s="10" t="s">
        <v>187</v>
      </c>
      <c r="B309" s="10" t="s">
        <v>57</v>
      </c>
      <c r="C309" s="10" t="s">
        <v>188</v>
      </c>
      <c r="D309" s="10"/>
      <c r="E309" s="11" t="n">
        <v>16</v>
      </c>
      <c r="F309" s="10" t="s">
        <v>291</v>
      </c>
      <c r="G309" s="7" t="n">
        <v>17</v>
      </c>
      <c r="H309" s="10" t="s">
        <v>845</v>
      </c>
      <c r="I309" s="10" t="s">
        <v>358</v>
      </c>
      <c r="J309" s="10" t="s">
        <v>647</v>
      </c>
      <c r="K309" s="7" t="n">
        <v>15</v>
      </c>
      <c r="L309" s="7" t="n">
        <v>0</v>
      </c>
      <c r="M309" s="7" t="n">
        <v>4</v>
      </c>
      <c r="N309" s="7" t="n">
        <v>150</v>
      </c>
      <c r="O309" s="7" t="n">
        <v>5</v>
      </c>
      <c r="P309" s="8" t="n">
        <v>13.5775954155189</v>
      </c>
      <c r="Q309" s="9" t="n">
        <v>0.0736507436992136</v>
      </c>
      <c r="R309" s="8" t="n">
        <v>9</v>
      </c>
      <c r="S309" s="12" t="n">
        <f aca="false">IF(AND(ISNUMBER(R309),R309&gt;1,P309&gt;0),R309/P309-1,"")</f>
        <v>-0.337143306707077</v>
      </c>
    </row>
    <row r="310" customFormat="false" ht="15" hidden="false" customHeight="false" outlineLevel="0" collapsed="false">
      <c r="A310" s="10" t="s">
        <v>187</v>
      </c>
      <c r="B310" s="10" t="s">
        <v>57</v>
      </c>
      <c r="C310" s="10" t="s">
        <v>188</v>
      </c>
      <c r="D310" s="10"/>
      <c r="E310" s="11" t="n">
        <v>16</v>
      </c>
      <c r="F310" s="10" t="s">
        <v>291</v>
      </c>
      <c r="G310" s="7" t="n">
        <v>17</v>
      </c>
      <c r="H310" s="10" t="s">
        <v>846</v>
      </c>
      <c r="I310" s="10" t="s">
        <v>847</v>
      </c>
      <c r="J310" s="10" t="s">
        <v>848</v>
      </c>
      <c r="K310" s="7" t="n">
        <v>3</v>
      </c>
      <c r="L310" s="7" t="n">
        <v>0</v>
      </c>
      <c r="M310" s="7" t="n">
        <v>7</v>
      </c>
      <c r="N310" s="7" t="n">
        <v>18</v>
      </c>
      <c r="O310" s="7" t="n">
        <v>6</v>
      </c>
      <c r="P310" s="8" t="n">
        <v>15.815312330439</v>
      </c>
      <c r="Q310" s="9" t="n">
        <v>0.0632298609794349</v>
      </c>
      <c r="R310" s="8" t="n">
        <v>29</v>
      </c>
      <c r="S310" s="12" t="n">
        <f aca="false">IF(AND(ISNUMBER(R310),R310&gt;1,P310&gt;0),R310/P310-1,"")</f>
        <v>0.833665968403613</v>
      </c>
    </row>
    <row r="311" customFormat="false" ht="15" hidden="false" customHeight="false" outlineLevel="0" collapsed="false">
      <c r="A311" s="10" t="s">
        <v>187</v>
      </c>
      <c r="B311" s="10" t="s">
        <v>57</v>
      </c>
      <c r="C311" s="10" t="s">
        <v>188</v>
      </c>
      <c r="D311" s="10"/>
      <c r="E311" s="11" t="n">
        <v>16</v>
      </c>
      <c r="F311" s="10" t="s">
        <v>291</v>
      </c>
      <c r="G311" s="7" t="n">
        <v>17</v>
      </c>
      <c r="H311" s="10" t="s">
        <v>849</v>
      </c>
      <c r="I311" s="10" t="s">
        <v>850</v>
      </c>
      <c r="J311" s="10" t="s">
        <v>851</v>
      </c>
      <c r="K311" s="7" t="n">
        <v>7</v>
      </c>
      <c r="L311" s="7" t="n">
        <v>0</v>
      </c>
      <c r="M311" s="7" t="n">
        <v>5</v>
      </c>
      <c r="N311" s="7" t="n">
        <v>49</v>
      </c>
      <c r="O311" s="7" t="n">
        <v>7</v>
      </c>
      <c r="P311" s="8" t="n">
        <v>15.9288717330343</v>
      </c>
      <c r="Q311" s="9" t="n">
        <v>0.062779085471957</v>
      </c>
      <c r="R311" s="8" t="n">
        <v>4.5</v>
      </c>
      <c r="S311" s="12" t="n">
        <f aca="false">IF(AND(ISNUMBER(R311),R311&gt;1,P311&gt;0),R311/P311-1,"")</f>
        <v>-0.717494115376193</v>
      </c>
    </row>
    <row r="312" customFormat="false" ht="15" hidden="false" customHeight="false" outlineLevel="0" collapsed="false">
      <c r="A312" s="10" t="s">
        <v>187</v>
      </c>
      <c r="B312" s="10" t="s">
        <v>57</v>
      </c>
      <c r="C312" s="10" t="s">
        <v>188</v>
      </c>
      <c r="D312" s="10"/>
      <c r="E312" s="11" t="n">
        <v>16</v>
      </c>
      <c r="F312" s="10" t="s">
        <v>291</v>
      </c>
      <c r="G312" s="7" t="n">
        <v>17</v>
      </c>
      <c r="H312" s="10" t="s">
        <v>852</v>
      </c>
      <c r="I312" s="10" t="s">
        <v>853</v>
      </c>
      <c r="J312" s="10" t="s">
        <v>854</v>
      </c>
      <c r="K312" s="7" t="n">
        <v>1</v>
      </c>
      <c r="L312" s="7" t="n">
        <v>0</v>
      </c>
      <c r="M312" s="7" t="n">
        <v>6</v>
      </c>
      <c r="N312" s="7" t="n">
        <v>18</v>
      </c>
      <c r="O312" s="7" t="n">
        <v>8</v>
      </c>
      <c r="P312" s="8" t="n">
        <v>21.574686982427</v>
      </c>
      <c r="Q312" s="9" t="n">
        <v>0.0463506145333427</v>
      </c>
      <c r="R312" s="8" t="n">
        <v>41</v>
      </c>
      <c r="S312" s="12" t="n">
        <f aca="false">IF(AND(ISNUMBER(R312),R312&gt;1,P312&gt;0),R312/P312-1,"")</f>
        <v>0.900375195867054</v>
      </c>
    </row>
    <row r="313" customFormat="false" ht="15" hidden="false" customHeight="false" outlineLevel="0" collapsed="false">
      <c r="A313" s="10" t="s">
        <v>187</v>
      </c>
      <c r="B313" s="10" t="s">
        <v>57</v>
      </c>
      <c r="C313" s="10" t="s">
        <v>188</v>
      </c>
      <c r="D313" s="10"/>
      <c r="E313" s="11" t="n">
        <v>16</v>
      </c>
      <c r="F313" s="10" t="s">
        <v>291</v>
      </c>
      <c r="G313" s="7" t="n">
        <v>17</v>
      </c>
      <c r="H313" s="10" t="s">
        <v>855</v>
      </c>
      <c r="I313" s="10" t="s">
        <v>856</v>
      </c>
      <c r="J313" s="10" t="s">
        <v>578</v>
      </c>
      <c r="K313" s="7" t="n">
        <v>9</v>
      </c>
      <c r="L313" s="7" t="n">
        <v>0</v>
      </c>
      <c r="M313" s="7" t="n">
        <v>5</v>
      </c>
      <c r="N313" s="7"/>
      <c r="O313" s="7" t="n">
        <v>9</v>
      </c>
      <c r="P313" s="8" t="n">
        <v>27.4648289011735</v>
      </c>
      <c r="Q313" s="9" t="n">
        <v>0.0364102031583117</v>
      </c>
      <c r="R313" s="8" t="n">
        <v>11</v>
      </c>
      <c r="S313" s="12" t="n">
        <f aca="false">IF(AND(ISNUMBER(R313),R313&gt;1,P313&gt;0),R313/P313-1,"")</f>
        <v>-0.599487765258571</v>
      </c>
    </row>
    <row r="314" customFormat="false" ht="15" hidden="false" customHeight="false" outlineLevel="0" collapsed="false">
      <c r="A314" s="10" t="s">
        <v>187</v>
      </c>
      <c r="B314" s="10" t="s">
        <v>57</v>
      </c>
      <c r="C314" s="10" t="s">
        <v>188</v>
      </c>
      <c r="D314" s="10"/>
      <c r="E314" s="11" t="n">
        <v>16</v>
      </c>
      <c r="F314" s="10" t="s">
        <v>291</v>
      </c>
      <c r="G314" s="7" t="n">
        <v>17</v>
      </c>
      <c r="H314" s="10" t="s">
        <v>857</v>
      </c>
      <c r="I314" s="10" t="s">
        <v>858</v>
      </c>
      <c r="J314" s="10" t="s">
        <v>146</v>
      </c>
      <c r="K314" s="7" t="n">
        <v>6</v>
      </c>
      <c r="L314" s="7" t="n">
        <v>0</v>
      </c>
      <c r="M314" s="7" t="n">
        <v>5</v>
      </c>
      <c r="N314" s="7" t="n">
        <v>35</v>
      </c>
      <c r="O314" s="7" t="n">
        <v>10</v>
      </c>
      <c r="P314" s="8" t="n">
        <v>64.0776545327129</v>
      </c>
      <c r="Q314" s="9" t="n">
        <v>0.0156060643494602</v>
      </c>
      <c r="R314" s="8" t="n">
        <v>21</v>
      </c>
      <c r="S314" s="12" t="n">
        <f aca="false">IF(AND(ISNUMBER(R314),R314&gt;1,P314&gt;0),R314/P314-1,"")</f>
        <v>-0.672272648661335</v>
      </c>
    </row>
    <row r="315" customFormat="false" ht="15" hidden="false" customHeight="false" outlineLevel="0" collapsed="false">
      <c r="A315" s="10" t="s">
        <v>187</v>
      </c>
      <c r="B315" s="10" t="s">
        <v>57</v>
      </c>
      <c r="C315" s="10" t="s">
        <v>188</v>
      </c>
      <c r="D315" s="10"/>
      <c r="E315" s="11" t="n">
        <v>16</v>
      </c>
      <c r="F315" s="10" t="s">
        <v>291</v>
      </c>
      <c r="G315" s="7" t="n">
        <v>17</v>
      </c>
      <c r="H315" s="10" t="s">
        <v>859</v>
      </c>
      <c r="I315" s="10" t="s">
        <v>860</v>
      </c>
      <c r="J315" s="10" t="s">
        <v>854</v>
      </c>
      <c r="K315" s="7" t="n">
        <v>2</v>
      </c>
      <c r="L315" s="7" t="n">
        <v>0</v>
      </c>
      <c r="M315" s="7" t="n">
        <v>5</v>
      </c>
      <c r="N315" s="7"/>
      <c r="O315" s="7" t="n">
        <v>11</v>
      </c>
      <c r="P315" s="8" t="n">
        <v>68.773243851302</v>
      </c>
      <c r="Q315" s="9" t="n">
        <v>0.0145405385001491</v>
      </c>
      <c r="R315" s="8" t="n">
        <v>81</v>
      </c>
      <c r="S315" s="12" t="n">
        <f aca="false">IF(AND(ISNUMBER(R315),R315&gt;1,P315&gt;0),R315/P315-1,"")</f>
        <v>0.177783618512079</v>
      </c>
    </row>
    <row r="316" customFormat="false" ht="15" hidden="false" customHeight="false" outlineLevel="0" collapsed="false">
      <c r="A316" s="10" t="s">
        <v>187</v>
      </c>
      <c r="B316" s="10" t="s">
        <v>57</v>
      </c>
      <c r="C316" s="10" t="s">
        <v>188</v>
      </c>
      <c r="D316" s="10"/>
      <c r="E316" s="11" t="n">
        <v>16</v>
      </c>
      <c r="F316" s="10" t="s">
        <v>291</v>
      </c>
      <c r="G316" s="7" t="n">
        <v>17</v>
      </c>
      <c r="H316" s="10" t="s">
        <v>861</v>
      </c>
      <c r="I316" s="10" t="s">
        <v>358</v>
      </c>
      <c r="J316" s="10" t="s">
        <v>392</v>
      </c>
      <c r="K316" s="7" t="n">
        <v>16</v>
      </c>
      <c r="L316" s="7" t="n">
        <v>0</v>
      </c>
      <c r="M316" s="7" t="n">
        <v>5</v>
      </c>
      <c r="N316" s="7"/>
      <c r="O316" s="7" t="n">
        <v>12</v>
      </c>
      <c r="P316" s="8" t="n">
        <v>80.8814178907059</v>
      </c>
      <c r="Q316" s="9" t="n">
        <v>0.01236377929664</v>
      </c>
      <c r="R316" s="8" t="n">
        <v>23</v>
      </c>
      <c r="S316" s="12" t="n">
        <f aca="false">IF(AND(ISNUMBER(R316),R316&gt;1,P316&gt;0),R316/P316-1,"")</f>
        <v>-0.715633076177279</v>
      </c>
    </row>
    <row r="317" customFormat="false" ht="15" hidden="false" customHeight="false" outlineLevel="0" collapsed="false">
      <c r="A317" s="10" t="s">
        <v>187</v>
      </c>
      <c r="B317" s="10" t="s">
        <v>57</v>
      </c>
      <c r="C317" s="10" t="s">
        <v>188</v>
      </c>
      <c r="D317" s="10"/>
      <c r="E317" s="11" t="n">
        <v>16</v>
      </c>
      <c r="F317" s="10" t="s">
        <v>291</v>
      </c>
      <c r="G317" s="7" t="n">
        <v>17</v>
      </c>
      <c r="H317" s="10" t="s">
        <v>862</v>
      </c>
      <c r="I317" s="10" t="s">
        <v>863</v>
      </c>
      <c r="J317" s="10" t="s">
        <v>864</v>
      </c>
      <c r="K317" s="7" t="n">
        <v>13</v>
      </c>
      <c r="L317" s="7" t="n">
        <v>0</v>
      </c>
      <c r="M317" s="7" t="n">
        <v>4</v>
      </c>
      <c r="N317" s="7"/>
      <c r="O317" s="7" t="n">
        <v>13</v>
      </c>
      <c r="P317" s="8" t="n">
        <v>83.0940725851177</v>
      </c>
      <c r="Q317" s="9" t="n">
        <v>0.0120345527531539</v>
      </c>
      <c r="R317" s="8" t="n">
        <v>67</v>
      </c>
      <c r="S317" s="12" t="n">
        <f aca="false">IF(AND(ISNUMBER(R317),R317&gt;1,P317&gt;0),R317/P317-1,"")</f>
        <v>-0.193684965538687</v>
      </c>
    </row>
    <row r="318" customFormat="false" ht="15" hidden="false" customHeight="false" outlineLevel="0" collapsed="false">
      <c r="A318" s="10" t="s">
        <v>187</v>
      </c>
      <c r="B318" s="10" t="s">
        <v>57</v>
      </c>
      <c r="C318" s="10" t="s">
        <v>188</v>
      </c>
      <c r="D318" s="10"/>
      <c r="E318" s="11" t="n">
        <v>16</v>
      </c>
      <c r="F318" s="10" t="s">
        <v>291</v>
      </c>
      <c r="G318" s="7" t="n">
        <v>17</v>
      </c>
      <c r="H318" s="10" t="s">
        <v>865</v>
      </c>
      <c r="I318" s="10" t="s">
        <v>866</v>
      </c>
      <c r="J318" s="10" t="s">
        <v>791</v>
      </c>
      <c r="K318" s="7" t="n">
        <v>8</v>
      </c>
      <c r="L318" s="7" t="n">
        <v>0</v>
      </c>
      <c r="M318" s="7" t="n">
        <v>7</v>
      </c>
      <c r="N318" s="7" t="n">
        <v>18</v>
      </c>
      <c r="O318" s="7" t="n">
        <v>14</v>
      </c>
      <c r="P318" s="8" t="n">
        <v>94.3567544204322</v>
      </c>
      <c r="Q318" s="9" t="n">
        <v>0.0105980754228174</v>
      </c>
      <c r="R318" s="8" t="n">
        <v>41</v>
      </c>
      <c r="S318" s="12" t="n">
        <f aca="false">IF(AND(ISNUMBER(R318),R318&gt;1,P318&gt;0),R318/P318-1,"")</f>
        <v>-0.565478907664486</v>
      </c>
    </row>
    <row r="319" customFormat="false" ht="15" hidden="false" customHeight="false" outlineLevel="0" collapsed="false">
      <c r="A319" s="10" t="s">
        <v>187</v>
      </c>
      <c r="B319" s="10" t="s">
        <v>57</v>
      </c>
      <c r="C319" s="10" t="s">
        <v>188</v>
      </c>
      <c r="D319" s="10"/>
      <c r="E319" s="11" t="n">
        <v>16</v>
      </c>
      <c r="F319" s="10" t="s">
        <v>291</v>
      </c>
      <c r="G319" s="7" t="n">
        <v>17</v>
      </c>
      <c r="H319" s="10" t="s">
        <v>867</v>
      </c>
      <c r="I319" s="10" t="s">
        <v>868</v>
      </c>
      <c r="J319" s="10" t="s">
        <v>869</v>
      </c>
      <c r="K319" s="7" t="n">
        <v>12</v>
      </c>
      <c r="L319" s="7" t="n">
        <v>0</v>
      </c>
      <c r="M319" s="7" t="n">
        <v>4</v>
      </c>
      <c r="N319" s="7"/>
      <c r="O319" s="7" t="n">
        <v>15</v>
      </c>
      <c r="P319" s="8" t="n">
        <v>132.694331182733</v>
      </c>
      <c r="Q319" s="9" t="n">
        <v>0.0075361169620946</v>
      </c>
      <c r="R319" s="8" t="n">
        <v>13</v>
      </c>
      <c r="S319" s="12" t="n">
        <f aca="false">IF(AND(ISNUMBER(R319),R319&gt;1,P319&gt;0),R319/P319-1,"")</f>
        <v>-0.902030479492769</v>
      </c>
    </row>
    <row r="320" customFormat="false" ht="15" hidden="false" customHeight="false" outlineLevel="0" collapsed="false">
      <c r="A320" s="10" t="s">
        <v>187</v>
      </c>
      <c r="B320" s="10" t="s">
        <v>57</v>
      </c>
      <c r="C320" s="10" t="s">
        <v>188</v>
      </c>
      <c r="D320" s="10"/>
      <c r="E320" s="11" t="n">
        <v>16</v>
      </c>
      <c r="F320" s="10" t="s">
        <v>291</v>
      </c>
      <c r="G320" s="7" t="n">
        <v>17</v>
      </c>
      <c r="H320" s="10" t="s">
        <v>870</v>
      </c>
      <c r="I320" s="10" t="s">
        <v>358</v>
      </c>
      <c r="J320" s="10" t="s">
        <v>871</v>
      </c>
      <c r="K320" s="7" t="n">
        <v>17</v>
      </c>
      <c r="L320" s="7" t="n">
        <v>0</v>
      </c>
      <c r="M320" s="7" t="n">
        <v>4</v>
      </c>
      <c r="N320" s="7" t="n">
        <v>316</v>
      </c>
      <c r="O320" s="7" t="n">
        <v>16</v>
      </c>
      <c r="P320" s="8" t="n">
        <v>368.270481936636</v>
      </c>
      <c r="Q320" s="9" t="n">
        <v>0.0027153954743841</v>
      </c>
      <c r="R320" s="8" t="n">
        <v>126</v>
      </c>
      <c r="S320" s="12" t="n">
        <f aca="false">IF(AND(ISNUMBER(R320),R320&gt;1,P320&gt;0),R320/P320-1,"")</f>
        <v>-0.657860170227601</v>
      </c>
    </row>
    <row r="321" customFormat="false" ht="15" hidden="false" customHeight="false" outlineLevel="0" collapsed="false">
      <c r="A321" s="10" t="s">
        <v>187</v>
      </c>
      <c r="B321" s="10" t="s">
        <v>57</v>
      </c>
      <c r="C321" s="10" t="s">
        <v>188</v>
      </c>
      <c r="D321" s="10"/>
      <c r="E321" s="11" t="n">
        <v>16</v>
      </c>
      <c r="F321" s="10" t="s">
        <v>291</v>
      </c>
      <c r="G321" s="7" t="n">
        <v>17</v>
      </c>
      <c r="H321" s="10" t="s">
        <v>872</v>
      </c>
      <c r="I321" s="10" t="s">
        <v>873</v>
      </c>
      <c r="J321" s="10" t="s">
        <v>874</v>
      </c>
      <c r="K321" s="7" t="n">
        <v>4</v>
      </c>
      <c r="L321" s="7" t="n">
        <v>0</v>
      </c>
      <c r="M321" s="7" t="n">
        <v>7</v>
      </c>
      <c r="N321" s="7"/>
      <c r="O321" s="7" t="n">
        <v>17</v>
      </c>
      <c r="P321" s="8" t="n">
        <v>419.110445045305</v>
      </c>
      <c r="Q321" s="9" t="n">
        <v>0.0023860059128135</v>
      </c>
      <c r="R321" s="8" t="n">
        <v>67</v>
      </c>
      <c r="S321" s="12" t="n">
        <f aca="false">IF(AND(ISNUMBER(R321),R321&gt;1,P321&gt;0),R321/P321-1,"")</f>
        <v>-0.840137603841495</v>
      </c>
    </row>
    <row r="322" customFormat="false" ht="15" hidden="false" customHeight="false" outlineLevel="0" collapsed="false">
      <c r="A322" s="10" t="s">
        <v>193</v>
      </c>
      <c r="B322" s="10" t="s">
        <v>172</v>
      </c>
      <c r="C322" s="10" t="s">
        <v>194</v>
      </c>
      <c r="D322" s="10" t="s">
        <v>795</v>
      </c>
      <c r="E322" s="11" t="n">
        <v>10</v>
      </c>
      <c r="F322" s="10" t="s">
        <v>796</v>
      </c>
      <c r="G322" s="7" t="n">
        <v>14</v>
      </c>
      <c r="H322" s="10" t="s">
        <v>195</v>
      </c>
      <c r="I322" s="10" t="s">
        <v>196</v>
      </c>
      <c r="J322" s="10" t="s">
        <v>197</v>
      </c>
      <c r="K322" s="7" t="n">
        <v>5</v>
      </c>
      <c r="L322" s="7" t="n">
        <v>57</v>
      </c>
      <c r="M322" s="7" t="n">
        <v>3</v>
      </c>
      <c r="N322" s="7" t="n">
        <v>23</v>
      </c>
      <c r="O322" s="7" t="n">
        <v>1</v>
      </c>
      <c r="P322" s="8" t="n">
        <v>6.10491311564324</v>
      </c>
      <c r="Q322" s="9" t="n">
        <v>0.163802494983524</v>
      </c>
      <c r="R322" s="8" t="n">
        <v>2.25</v>
      </c>
      <c r="S322" s="12" t="n">
        <f aca="false">IF(AND(ISNUMBER(R322),R322&gt;1,P322&gt;0),R322/P322-1,"")</f>
        <v>-0.631444386287072</v>
      </c>
    </row>
    <row r="323" customFormat="false" ht="15" hidden="false" customHeight="false" outlineLevel="0" collapsed="false">
      <c r="A323" s="10" t="s">
        <v>193</v>
      </c>
      <c r="B323" s="10" t="s">
        <v>172</v>
      </c>
      <c r="C323" s="10" t="s">
        <v>194</v>
      </c>
      <c r="D323" s="10" t="s">
        <v>795</v>
      </c>
      <c r="E323" s="11" t="n">
        <v>10</v>
      </c>
      <c r="F323" s="10" t="s">
        <v>796</v>
      </c>
      <c r="G323" s="7" t="n">
        <v>14</v>
      </c>
      <c r="H323" s="10" t="s">
        <v>198</v>
      </c>
      <c r="I323" s="10" t="s">
        <v>875</v>
      </c>
      <c r="J323" s="10" t="s">
        <v>876</v>
      </c>
      <c r="K323" s="7" t="n">
        <v>8</v>
      </c>
      <c r="L323" s="7" t="n">
        <v>57</v>
      </c>
      <c r="M323" s="7" t="n">
        <v>4</v>
      </c>
      <c r="N323" s="7" t="n">
        <v>62</v>
      </c>
      <c r="O323" s="7" t="n">
        <v>2</v>
      </c>
      <c r="P323" s="8" t="n">
        <v>6.2754152913895</v>
      </c>
      <c r="Q323" s="9" t="n">
        <v>0.159352003583269</v>
      </c>
      <c r="R323" s="8" t="n">
        <v>5.5</v>
      </c>
      <c r="S323" s="12" t="n">
        <f aca="false">IF(AND(ISNUMBER(R323),R323&gt;1,P323&gt;0),R323/P323-1,"")</f>
        <v>-0.123563980292021</v>
      </c>
    </row>
    <row r="324" customFormat="false" ht="15" hidden="false" customHeight="false" outlineLevel="0" collapsed="false">
      <c r="A324" s="10" t="s">
        <v>193</v>
      </c>
      <c r="B324" s="10" t="s">
        <v>172</v>
      </c>
      <c r="C324" s="10" t="s">
        <v>194</v>
      </c>
      <c r="D324" s="10" t="s">
        <v>795</v>
      </c>
      <c r="E324" s="11" t="n">
        <v>10</v>
      </c>
      <c r="F324" s="10" t="s">
        <v>796</v>
      </c>
      <c r="G324" s="7" t="n">
        <v>14</v>
      </c>
      <c r="H324" s="10" t="s">
        <v>877</v>
      </c>
      <c r="I324" s="10" t="s">
        <v>809</v>
      </c>
      <c r="J324" s="10" t="s">
        <v>412</v>
      </c>
      <c r="K324" s="7" t="n">
        <v>6</v>
      </c>
      <c r="L324" s="7" t="n">
        <v>55</v>
      </c>
      <c r="M324" s="7" t="n">
        <v>8</v>
      </c>
      <c r="N324" s="7" t="n">
        <v>6</v>
      </c>
      <c r="O324" s="7" t="n">
        <v>3</v>
      </c>
      <c r="P324" s="8" t="n">
        <v>7.71998187250096</v>
      </c>
      <c r="Q324" s="9" t="n">
        <v>0.129533982918025</v>
      </c>
      <c r="R324" s="8" t="n">
        <v>8</v>
      </c>
      <c r="S324" s="12" t="n">
        <f aca="false">IF(AND(ISNUMBER(R324),R324&gt;1,P324&gt;0),R324/P324-1,"")</f>
        <v>0.0362718633441974</v>
      </c>
    </row>
    <row r="325" customFormat="false" ht="15" hidden="false" customHeight="false" outlineLevel="0" collapsed="false">
      <c r="A325" s="10" t="s">
        <v>193</v>
      </c>
      <c r="B325" s="10" t="s">
        <v>172</v>
      </c>
      <c r="C325" s="10" t="s">
        <v>194</v>
      </c>
      <c r="D325" s="10" t="s">
        <v>795</v>
      </c>
      <c r="E325" s="11" t="n">
        <v>10</v>
      </c>
      <c r="F325" s="10" t="s">
        <v>796</v>
      </c>
      <c r="G325" s="7" t="n">
        <v>14</v>
      </c>
      <c r="H325" s="10" t="s">
        <v>878</v>
      </c>
      <c r="I325" s="10" t="s">
        <v>879</v>
      </c>
      <c r="J325" s="10" t="s">
        <v>880</v>
      </c>
      <c r="K325" s="7" t="n">
        <v>14</v>
      </c>
      <c r="L325" s="7" t="n">
        <v>58</v>
      </c>
      <c r="M325" s="7" t="n">
        <v>3</v>
      </c>
      <c r="N325" s="7" t="n">
        <v>16</v>
      </c>
      <c r="O325" s="7" t="n">
        <v>4</v>
      </c>
      <c r="P325" s="8" t="n">
        <v>9.18786068240061</v>
      </c>
      <c r="Q325" s="9" t="n">
        <v>0.108839264608736</v>
      </c>
      <c r="R325" s="8" t="n">
        <v>8</v>
      </c>
      <c r="S325" s="12" t="n">
        <f aca="false">IF(AND(ISNUMBER(R325),R325&gt;1,P325&gt;0),R325/P325-1,"")</f>
        <v>-0.129285883130113</v>
      </c>
    </row>
    <row r="326" customFormat="false" ht="15" hidden="false" customHeight="false" outlineLevel="0" collapsed="false">
      <c r="A326" s="10" t="s">
        <v>193</v>
      </c>
      <c r="B326" s="10" t="s">
        <v>172</v>
      </c>
      <c r="C326" s="10" t="s">
        <v>194</v>
      </c>
      <c r="D326" s="10" t="s">
        <v>795</v>
      </c>
      <c r="E326" s="11" t="n">
        <v>10</v>
      </c>
      <c r="F326" s="10" t="s">
        <v>796</v>
      </c>
      <c r="G326" s="7" t="n">
        <v>14</v>
      </c>
      <c r="H326" s="10" t="s">
        <v>881</v>
      </c>
      <c r="I326" s="10" t="s">
        <v>804</v>
      </c>
      <c r="J326" s="10" t="s">
        <v>882</v>
      </c>
      <c r="K326" s="7" t="n">
        <v>12</v>
      </c>
      <c r="L326" s="7" t="n">
        <v>55</v>
      </c>
      <c r="M326" s="7" t="n">
        <v>4</v>
      </c>
      <c r="N326" s="7" t="n">
        <v>29</v>
      </c>
      <c r="O326" s="7" t="n">
        <v>5</v>
      </c>
      <c r="P326" s="8" t="n">
        <v>14.7294057410548</v>
      </c>
      <c r="Q326" s="9" t="n">
        <v>0.0678914015663735</v>
      </c>
      <c r="R326" s="8" t="n">
        <v>19</v>
      </c>
      <c r="S326" s="12" t="n">
        <f aca="false">IF(AND(ISNUMBER(R326),R326&gt;1,P326&gt;0),R326/P326-1,"")</f>
        <v>0.289936629761097</v>
      </c>
    </row>
    <row r="327" customFormat="false" ht="15" hidden="false" customHeight="false" outlineLevel="0" collapsed="false">
      <c r="A327" s="10" t="s">
        <v>193</v>
      </c>
      <c r="B327" s="10" t="s">
        <v>172</v>
      </c>
      <c r="C327" s="10" t="s">
        <v>194</v>
      </c>
      <c r="D327" s="10" t="s">
        <v>795</v>
      </c>
      <c r="E327" s="11" t="n">
        <v>10</v>
      </c>
      <c r="F327" s="10" t="s">
        <v>796</v>
      </c>
      <c r="G327" s="7" t="n">
        <v>14</v>
      </c>
      <c r="H327" s="10" t="s">
        <v>883</v>
      </c>
      <c r="I327" s="10" t="s">
        <v>243</v>
      </c>
      <c r="J327" s="10" t="s">
        <v>244</v>
      </c>
      <c r="K327" s="7" t="n">
        <v>7</v>
      </c>
      <c r="L327" s="7" t="n">
        <v>57</v>
      </c>
      <c r="M327" s="7" t="n">
        <v>4</v>
      </c>
      <c r="N327" s="7" t="n">
        <v>41</v>
      </c>
      <c r="O327" s="7" t="n">
        <v>6</v>
      </c>
      <c r="P327" s="8" t="n">
        <v>14.9770819721362</v>
      </c>
      <c r="Q327" s="9" t="n">
        <v>0.0667686804319043</v>
      </c>
      <c r="R327" s="8" t="n">
        <v>10</v>
      </c>
      <c r="S327" s="12" t="n">
        <f aca="false">IF(AND(ISNUMBER(R327),R327&gt;1,P327&gt;0),R327/P327-1,"")</f>
        <v>-0.332313195680956</v>
      </c>
    </row>
    <row r="328" customFormat="false" ht="15" hidden="false" customHeight="false" outlineLevel="0" collapsed="false">
      <c r="A328" s="10" t="s">
        <v>193</v>
      </c>
      <c r="B328" s="10" t="s">
        <v>172</v>
      </c>
      <c r="C328" s="10" t="s">
        <v>194</v>
      </c>
      <c r="D328" s="10" t="s">
        <v>795</v>
      </c>
      <c r="E328" s="11" t="n">
        <v>10</v>
      </c>
      <c r="F328" s="10" t="s">
        <v>796</v>
      </c>
      <c r="G328" s="7" t="n">
        <v>14</v>
      </c>
      <c r="H328" s="10" t="s">
        <v>884</v>
      </c>
      <c r="I328" s="10" t="s">
        <v>885</v>
      </c>
      <c r="J328" s="10" t="s">
        <v>886</v>
      </c>
      <c r="K328" s="7" t="n">
        <v>10</v>
      </c>
      <c r="L328" s="7" t="n">
        <v>56</v>
      </c>
      <c r="M328" s="7" t="n">
        <v>4</v>
      </c>
      <c r="N328" s="7" t="n">
        <v>8</v>
      </c>
      <c r="O328" s="7" t="n">
        <v>7</v>
      </c>
      <c r="P328" s="8" t="n">
        <v>16.7149907033675</v>
      </c>
      <c r="Q328" s="9" t="n">
        <v>0.0598265364155145</v>
      </c>
      <c r="R328" s="8" t="n">
        <v>17</v>
      </c>
      <c r="S328" s="12" t="n">
        <f aca="false">IF(AND(ISNUMBER(R328),R328&gt;1,P328&gt;0),R328/P328-1,"")</f>
        <v>0.0170511190637472</v>
      </c>
    </row>
    <row r="329" customFormat="false" ht="15" hidden="false" customHeight="false" outlineLevel="0" collapsed="false">
      <c r="A329" s="10" t="s">
        <v>193</v>
      </c>
      <c r="B329" s="10" t="s">
        <v>172</v>
      </c>
      <c r="C329" s="10" t="s">
        <v>194</v>
      </c>
      <c r="D329" s="10" t="s">
        <v>795</v>
      </c>
      <c r="E329" s="11" t="n">
        <v>10</v>
      </c>
      <c r="F329" s="10" t="s">
        <v>796</v>
      </c>
      <c r="G329" s="7" t="n">
        <v>14</v>
      </c>
      <c r="H329" s="10" t="s">
        <v>887</v>
      </c>
      <c r="I329" s="10" t="s">
        <v>888</v>
      </c>
      <c r="J329" s="10" t="s">
        <v>889</v>
      </c>
      <c r="K329" s="7" t="n">
        <v>9</v>
      </c>
      <c r="L329" s="7" t="n">
        <v>46</v>
      </c>
      <c r="M329" s="7" t="n">
        <v>4</v>
      </c>
      <c r="N329" s="7" t="n">
        <v>23</v>
      </c>
      <c r="O329" s="7" t="n">
        <v>8</v>
      </c>
      <c r="P329" s="8" t="n">
        <v>18.633352685774</v>
      </c>
      <c r="Q329" s="9" t="n">
        <v>0.0536672072312284</v>
      </c>
      <c r="R329" s="8" t="n">
        <v>17</v>
      </c>
      <c r="S329" s="12" t="n">
        <f aca="false">IF(AND(ISNUMBER(R329),R329&gt;1,P329&gt;0),R329/P329-1,"")</f>
        <v>-0.0876574770691162</v>
      </c>
    </row>
    <row r="330" customFormat="false" ht="15" hidden="false" customHeight="false" outlineLevel="0" collapsed="false">
      <c r="A330" s="10" t="s">
        <v>193</v>
      </c>
      <c r="B330" s="10" t="s">
        <v>172</v>
      </c>
      <c r="C330" s="10" t="s">
        <v>194</v>
      </c>
      <c r="D330" s="10" t="s">
        <v>795</v>
      </c>
      <c r="E330" s="11" t="n">
        <v>10</v>
      </c>
      <c r="F330" s="10" t="s">
        <v>796</v>
      </c>
      <c r="G330" s="7" t="n">
        <v>14</v>
      </c>
      <c r="H330" s="10" t="s">
        <v>890</v>
      </c>
      <c r="I330" s="10" t="s">
        <v>891</v>
      </c>
      <c r="J330" s="10" t="s">
        <v>892</v>
      </c>
      <c r="K330" s="7" t="n">
        <v>11</v>
      </c>
      <c r="L330" s="7" t="n">
        <v>48</v>
      </c>
      <c r="M330" s="7" t="n">
        <v>5</v>
      </c>
      <c r="N330" s="7" t="n">
        <v>23</v>
      </c>
      <c r="O330" s="7" t="n">
        <v>9</v>
      </c>
      <c r="P330" s="8" t="n">
        <v>19.7093388020913</v>
      </c>
      <c r="Q330" s="9" t="n">
        <v>0.0507373692258966</v>
      </c>
      <c r="R330" s="8" t="n">
        <v>17</v>
      </c>
      <c r="S330" s="12" t="n">
        <f aca="false">IF(AND(ISNUMBER(R330),R330&gt;1,P330&gt;0),R330/P330-1,"")</f>
        <v>-0.137464723159756</v>
      </c>
    </row>
    <row r="331" customFormat="false" ht="15" hidden="false" customHeight="false" outlineLevel="0" collapsed="false">
      <c r="A331" s="10" t="s">
        <v>193</v>
      </c>
      <c r="B331" s="10" t="s">
        <v>172</v>
      </c>
      <c r="C331" s="10" t="s">
        <v>194</v>
      </c>
      <c r="D331" s="10" t="s">
        <v>795</v>
      </c>
      <c r="E331" s="11" t="n">
        <v>10</v>
      </c>
      <c r="F331" s="10" t="s">
        <v>796</v>
      </c>
      <c r="G331" s="7" t="n">
        <v>14</v>
      </c>
      <c r="H331" s="10" t="s">
        <v>893</v>
      </c>
      <c r="I331" s="10" t="s">
        <v>797</v>
      </c>
      <c r="J331" s="10" t="s">
        <v>818</v>
      </c>
      <c r="K331" s="7" t="n">
        <v>1</v>
      </c>
      <c r="L331" s="7" t="n">
        <v>55</v>
      </c>
      <c r="M331" s="7" t="n">
        <v>8</v>
      </c>
      <c r="N331" s="7" t="n">
        <v>7</v>
      </c>
      <c r="O331" s="7" t="n">
        <v>10</v>
      </c>
      <c r="P331" s="8" t="n">
        <v>21.1478758878891</v>
      </c>
      <c r="Q331" s="9" t="n">
        <v>0.0472860728567392</v>
      </c>
      <c r="R331" s="8" t="n">
        <v>13</v>
      </c>
      <c r="S331" s="12" t="n">
        <f aca="false">IF(AND(ISNUMBER(R331),R331&gt;1,P331&gt;0),R331/P331-1,"")</f>
        <v>-0.38528105286239</v>
      </c>
    </row>
    <row r="332" customFormat="false" ht="15" hidden="false" customHeight="false" outlineLevel="0" collapsed="false">
      <c r="A332" s="10" t="s">
        <v>193</v>
      </c>
      <c r="B332" s="10" t="s">
        <v>172</v>
      </c>
      <c r="C332" s="10" t="s">
        <v>194</v>
      </c>
      <c r="D332" s="10" t="s">
        <v>795</v>
      </c>
      <c r="E332" s="11" t="n">
        <v>10</v>
      </c>
      <c r="F332" s="10" t="s">
        <v>796</v>
      </c>
      <c r="G332" s="7" t="n">
        <v>14</v>
      </c>
      <c r="H332" s="10" t="s">
        <v>894</v>
      </c>
      <c r="I332" s="10" t="s">
        <v>895</v>
      </c>
      <c r="J332" s="10" t="s">
        <v>896</v>
      </c>
      <c r="K332" s="7" t="n">
        <v>2</v>
      </c>
      <c r="L332" s="7" t="n">
        <v>60</v>
      </c>
      <c r="M332" s="7" t="n">
        <v>7</v>
      </c>
      <c r="N332" s="7" t="n">
        <v>42</v>
      </c>
      <c r="O332" s="7" t="n">
        <v>11</v>
      </c>
      <c r="P332" s="8" t="n">
        <v>23.879597025944</v>
      </c>
      <c r="Q332" s="9" t="n">
        <v>0.0418767535697336</v>
      </c>
      <c r="R332" s="8" t="n">
        <v>17</v>
      </c>
      <c r="S332" s="12" t="n">
        <f aca="false">IF(AND(ISNUMBER(R332),R332&gt;1,P332&gt;0),R332/P332-1,"")</f>
        <v>-0.288095189314528</v>
      </c>
    </row>
    <row r="333" customFormat="false" ht="15" hidden="false" customHeight="false" outlineLevel="0" collapsed="false">
      <c r="A333" s="10" t="s">
        <v>193</v>
      </c>
      <c r="B333" s="10" t="s">
        <v>172</v>
      </c>
      <c r="C333" s="10" t="s">
        <v>194</v>
      </c>
      <c r="D333" s="10" t="s">
        <v>795</v>
      </c>
      <c r="E333" s="11" t="n">
        <v>10</v>
      </c>
      <c r="F333" s="10" t="s">
        <v>796</v>
      </c>
      <c r="G333" s="7" t="n">
        <v>14</v>
      </c>
      <c r="H333" s="10" t="s">
        <v>897</v>
      </c>
      <c r="I333" s="10" t="s">
        <v>815</v>
      </c>
      <c r="J333" s="10" t="s">
        <v>427</v>
      </c>
      <c r="K333" s="7" t="n">
        <v>3</v>
      </c>
      <c r="L333" s="7" t="n">
        <v>59</v>
      </c>
      <c r="M333" s="7" t="n">
        <v>4</v>
      </c>
      <c r="N333" s="7" t="n">
        <v>24</v>
      </c>
      <c r="O333" s="7" t="n">
        <v>12</v>
      </c>
      <c r="P333" s="8" t="n">
        <v>30.5211820257127</v>
      </c>
      <c r="Q333" s="9" t="n">
        <v>0.0327641307979993</v>
      </c>
      <c r="R333" s="8" t="n">
        <v>21</v>
      </c>
      <c r="S333" s="12" t="n">
        <f aca="false">IF(AND(ISNUMBER(R333),R333&gt;1,P333&gt;0),R333/P333-1,"")</f>
        <v>-0.311953253242013</v>
      </c>
    </row>
    <row r="334" customFormat="false" ht="15" hidden="false" customHeight="false" outlineLevel="0" collapsed="false">
      <c r="A334" s="10" t="s">
        <v>193</v>
      </c>
      <c r="B334" s="10" t="s">
        <v>172</v>
      </c>
      <c r="C334" s="10" t="s">
        <v>194</v>
      </c>
      <c r="D334" s="10" t="s">
        <v>795</v>
      </c>
      <c r="E334" s="11" t="n">
        <v>10</v>
      </c>
      <c r="F334" s="10" t="s">
        <v>796</v>
      </c>
      <c r="G334" s="7" t="n">
        <v>14</v>
      </c>
      <c r="H334" s="10" t="s">
        <v>898</v>
      </c>
      <c r="I334" s="10" t="s">
        <v>219</v>
      </c>
      <c r="J334" s="10" t="s">
        <v>807</v>
      </c>
      <c r="K334" s="7" t="n">
        <v>13</v>
      </c>
      <c r="L334" s="7" t="n">
        <v>57</v>
      </c>
      <c r="M334" s="7" t="n">
        <v>3</v>
      </c>
      <c r="N334" s="7" t="n">
        <v>25</v>
      </c>
      <c r="O334" s="7" t="n">
        <v>13</v>
      </c>
      <c r="P334" s="8" t="n">
        <v>64.2328944068243</v>
      </c>
      <c r="Q334" s="9" t="n">
        <v>0.015568347172189</v>
      </c>
      <c r="R334" s="8" t="n">
        <v>67</v>
      </c>
      <c r="S334" s="12" t="n">
        <f aca="false">IF(AND(ISNUMBER(R334),R334&gt;1,P334&gt;0),R334/P334-1,"")</f>
        <v>0.0430792605366659</v>
      </c>
    </row>
    <row r="335" customFormat="false" ht="15" hidden="false" customHeight="false" outlineLevel="0" collapsed="false">
      <c r="A335" s="10" t="s">
        <v>193</v>
      </c>
      <c r="B335" s="10" t="s">
        <v>172</v>
      </c>
      <c r="C335" s="10" t="s">
        <v>194</v>
      </c>
      <c r="D335" s="10" t="s">
        <v>795</v>
      </c>
      <c r="E335" s="11" t="n">
        <v>10</v>
      </c>
      <c r="F335" s="10" t="s">
        <v>796</v>
      </c>
      <c r="G335" s="7" t="n">
        <v>14</v>
      </c>
      <c r="H335" s="10" t="s">
        <v>899</v>
      </c>
      <c r="I335" s="10" t="s">
        <v>900</v>
      </c>
      <c r="J335" s="10" t="s">
        <v>901</v>
      </c>
      <c r="K335" s="7" t="n">
        <v>4</v>
      </c>
      <c r="L335" s="7" t="n">
        <v>46</v>
      </c>
      <c r="M335" s="7" t="n">
        <v>6</v>
      </c>
      <c r="N335" s="7" t="n">
        <v>37</v>
      </c>
      <c r="O335" s="7" t="n">
        <v>14</v>
      </c>
      <c r="P335" s="8" t="n">
        <v>479.442778822122</v>
      </c>
      <c r="Q335" s="9" t="n">
        <v>0.0020857546388679</v>
      </c>
      <c r="R335" s="8" t="n">
        <v>101</v>
      </c>
      <c r="S335" s="12" t="n">
        <f aca="false">IF(AND(ISNUMBER(R335),R335&gt;1,P335&gt;0),R335/P335-1,"")</f>
        <v>-0.789338781474333</v>
      </c>
    </row>
    <row r="336" customFormat="false" ht="15" hidden="false" customHeight="false" outlineLevel="0" collapsed="false">
      <c r="A336" s="10" t="s">
        <v>199</v>
      </c>
      <c r="B336" s="10" t="s">
        <v>70</v>
      </c>
      <c r="C336" s="10" t="s">
        <v>200</v>
      </c>
      <c r="D336" s="10" t="s">
        <v>290</v>
      </c>
      <c r="E336" s="11" t="n">
        <v>14.5</v>
      </c>
      <c r="F336" s="10" t="s">
        <v>408</v>
      </c>
      <c r="G336" s="7" t="n">
        <v>13</v>
      </c>
      <c r="H336" s="10" t="s">
        <v>201</v>
      </c>
      <c r="I336" s="10" t="s">
        <v>116</v>
      </c>
      <c r="J336" s="10" t="s">
        <v>202</v>
      </c>
      <c r="K336" s="7" t="n">
        <v>7</v>
      </c>
      <c r="L336" s="7" t="n">
        <v>68</v>
      </c>
      <c r="M336" s="7" t="n">
        <v>6</v>
      </c>
      <c r="N336" s="7" t="n">
        <v>38</v>
      </c>
      <c r="O336" s="7" t="n">
        <v>1</v>
      </c>
      <c r="P336" s="8" t="n">
        <v>5.76350067498019</v>
      </c>
      <c r="Q336" s="9" t="n">
        <v>0.173505661991345</v>
      </c>
      <c r="R336" s="8" t="n">
        <v>7</v>
      </c>
      <c r="S336" s="12" t="n">
        <f aca="false">IF(AND(ISNUMBER(R336),R336&gt;1,P336&gt;0),R336/P336-1,"")</f>
        <v>0.214539633939413</v>
      </c>
    </row>
    <row r="337" customFormat="false" ht="15" hidden="false" customHeight="false" outlineLevel="0" collapsed="false">
      <c r="A337" s="10" t="s">
        <v>199</v>
      </c>
      <c r="B337" s="10" t="s">
        <v>70</v>
      </c>
      <c r="C337" s="10" t="s">
        <v>200</v>
      </c>
      <c r="D337" s="10" t="s">
        <v>290</v>
      </c>
      <c r="E337" s="11" t="n">
        <v>14.5</v>
      </c>
      <c r="F337" s="10" t="s">
        <v>408</v>
      </c>
      <c r="G337" s="7" t="n">
        <v>13</v>
      </c>
      <c r="H337" s="10" t="s">
        <v>203</v>
      </c>
      <c r="I337" s="10" t="s">
        <v>669</v>
      </c>
      <c r="J337" s="10" t="s">
        <v>902</v>
      </c>
      <c r="K337" s="7" t="n">
        <v>6</v>
      </c>
      <c r="L337" s="7" t="n">
        <v>69</v>
      </c>
      <c r="M337" s="7" t="n">
        <v>8</v>
      </c>
      <c r="N337" s="7" t="n">
        <v>13</v>
      </c>
      <c r="O337" s="7" t="n">
        <v>2</v>
      </c>
      <c r="P337" s="8" t="n">
        <v>6.63089771694415</v>
      </c>
      <c r="Q337" s="9" t="n">
        <v>0.150809142696421</v>
      </c>
      <c r="R337" s="8" t="n">
        <v>5</v>
      </c>
      <c r="S337" s="12" t="n">
        <f aca="false">IF(AND(ISNUMBER(R337),R337&gt;1,P337&gt;0),R337/P337-1,"")</f>
        <v>-0.245954286517897</v>
      </c>
    </row>
    <row r="338" customFormat="false" ht="15" hidden="false" customHeight="false" outlineLevel="0" collapsed="false">
      <c r="A338" s="10" t="s">
        <v>199</v>
      </c>
      <c r="B338" s="10" t="s">
        <v>70</v>
      </c>
      <c r="C338" s="10" t="s">
        <v>200</v>
      </c>
      <c r="D338" s="10" t="s">
        <v>290</v>
      </c>
      <c r="E338" s="11" t="n">
        <v>14.5</v>
      </c>
      <c r="F338" s="10" t="s">
        <v>408</v>
      </c>
      <c r="G338" s="7" t="n">
        <v>13</v>
      </c>
      <c r="H338" s="10" t="s">
        <v>903</v>
      </c>
      <c r="I338" s="10" t="s">
        <v>513</v>
      </c>
      <c r="J338" s="10" t="s">
        <v>333</v>
      </c>
      <c r="K338" s="7" t="n">
        <v>13</v>
      </c>
      <c r="L338" s="7" t="n">
        <v>70</v>
      </c>
      <c r="M338" s="7" t="n">
        <v>4</v>
      </c>
      <c r="N338" s="7" t="n">
        <v>20</v>
      </c>
      <c r="O338" s="7" t="n">
        <v>3</v>
      </c>
      <c r="P338" s="8" t="n">
        <v>7.59773282148691</v>
      </c>
      <c r="Q338" s="9" t="n">
        <v>0.131618210786767</v>
      </c>
      <c r="R338" s="8" t="n">
        <v>5.5</v>
      </c>
      <c r="S338" s="12" t="n">
        <f aca="false">IF(AND(ISNUMBER(R338),R338&gt;1,P338&gt;0),R338/P338-1,"")</f>
        <v>-0.276099840672783</v>
      </c>
    </row>
    <row r="339" customFormat="false" ht="15" hidden="false" customHeight="false" outlineLevel="0" collapsed="false">
      <c r="A339" s="10" t="s">
        <v>199</v>
      </c>
      <c r="B339" s="10" t="s">
        <v>70</v>
      </c>
      <c r="C339" s="10" t="s">
        <v>200</v>
      </c>
      <c r="D339" s="10" t="s">
        <v>290</v>
      </c>
      <c r="E339" s="11" t="n">
        <v>14.5</v>
      </c>
      <c r="F339" s="10" t="s">
        <v>408</v>
      </c>
      <c r="G339" s="7" t="n">
        <v>13</v>
      </c>
      <c r="H339" s="10" t="s">
        <v>904</v>
      </c>
      <c r="I339" s="10" t="s">
        <v>593</v>
      </c>
      <c r="J339" s="10" t="s">
        <v>67</v>
      </c>
      <c r="K339" s="7" t="n">
        <v>2</v>
      </c>
      <c r="L339" s="7" t="n">
        <v>59</v>
      </c>
      <c r="M339" s="7" t="n">
        <v>4</v>
      </c>
      <c r="N339" s="7" t="n">
        <v>23</v>
      </c>
      <c r="O339" s="7" t="n">
        <v>4</v>
      </c>
      <c r="P339" s="8" t="n">
        <v>8.85825646408998</v>
      </c>
      <c r="Q339" s="9" t="n">
        <v>0.112889032289125</v>
      </c>
      <c r="R339" s="8" t="n">
        <v>12</v>
      </c>
      <c r="S339" s="12" t="n">
        <f aca="false">IF(AND(ISNUMBER(R339),R339&gt;1,P339&gt;0),R339/P339-1,"")</f>
        <v>0.354668387469494</v>
      </c>
    </row>
    <row r="340" customFormat="false" ht="15" hidden="false" customHeight="false" outlineLevel="0" collapsed="false">
      <c r="A340" s="10" t="s">
        <v>199</v>
      </c>
      <c r="B340" s="10" t="s">
        <v>70</v>
      </c>
      <c r="C340" s="10" t="s">
        <v>200</v>
      </c>
      <c r="D340" s="10" t="s">
        <v>290</v>
      </c>
      <c r="E340" s="11" t="n">
        <v>14.5</v>
      </c>
      <c r="F340" s="10" t="s">
        <v>408</v>
      </c>
      <c r="G340" s="7" t="n">
        <v>13</v>
      </c>
      <c r="H340" s="10" t="s">
        <v>905</v>
      </c>
      <c r="I340" s="10" t="s">
        <v>598</v>
      </c>
      <c r="J340" s="10" t="s">
        <v>906</v>
      </c>
      <c r="K340" s="7" t="n">
        <v>5</v>
      </c>
      <c r="L340" s="7" t="n">
        <v>69</v>
      </c>
      <c r="M340" s="7" t="n">
        <v>4</v>
      </c>
      <c r="N340" s="7" t="n">
        <v>44</v>
      </c>
      <c r="O340" s="7" t="n">
        <v>5</v>
      </c>
      <c r="P340" s="8" t="n">
        <v>10.5249407130051</v>
      </c>
      <c r="Q340" s="9" t="n">
        <v>0.095012411686496</v>
      </c>
      <c r="R340" s="8" t="n">
        <v>11</v>
      </c>
      <c r="S340" s="12" t="n">
        <f aca="false">IF(AND(ISNUMBER(R340),R340&gt;1,P340&gt;0),R340/P340-1,"")</f>
        <v>0.0451365285514564</v>
      </c>
    </row>
    <row r="341" customFormat="false" ht="15" hidden="false" customHeight="false" outlineLevel="0" collapsed="false">
      <c r="A341" s="10" t="s">
        <v>199</v>
      </c>
      <c r="B341" s="10" t="s">
        <v>70</v>
      </c>
      <c r="C341" s="10" t="s">
        <v>200</v>
      </c>
      <c r="D341" s="10" t="s">
        <v>290</v>
      </c>
      <c r="E341" s="11" t="n">
        <v>14.5</v>
      </c>
      <c r="F341" s="10" t="s">
        <v>408</v>
      </c>
      <c r="G341" s="7" t="n">
        <v>13</v>
      </c>
      <c r="H341" s="10" t="s">
        <v>907</v>
      </c>
      <c r="I341" s="10" t="s">
        <v>603</v>
      </c>
      <c r="J341" s="10" t="s">
        <v>662</v>
      </c>
      <c r="K341" s="7" t="n">
        <v>12</v>
      </c>
      <c r="L341" s="7" t="n">
        <v>58</v>
      </c>
      <c r="M341" s="7" t="n">
        <v>4</v>
      </c>
      <c r="N341" s="7" t="n">
        <v>45</v>
      </c>
      <c r="O341" s="7" t="n">
        <v>6</v>
      </c>
      <c r="P341" s="8" t="n">
        <v>13.886226381808</v>
      </c>
      <c r="Q341" s="9" t="n">
        <v>0.0720138050831487</v>
      </c>
      <c r="R341" s="8" t="n">
        <v>6</v>
      </c>
      <c r="S341" s="12" t="n">
        <f aca="false">IF(AND(ISNUMBER(R341),R341&gt;1,P341&gt;0),R341/P341-1,"")</f>
        <v>-0.567917169501108</v>
      </c>
    </row>
    <row r="342" customFormat="false" ht="15" hidden="false" customHeight="false" outlineLevel="0" collapsed="false">
      <c r="A342" s="10" t="s">
        <v>199</v>
      </c>
      <c r="B342" s="10" t="s">
        <v>70</v>
      </c>
      <c r="C342" s="10" t="s">
        <v>200</v>
      </c>
      <c r="D342" s="10" t="s">
        <v>290</v>
      </c>
      <c r="E342" s="11" t="n">
        <v>14.5</v>
      </c>
      <c r="F342" s="10" t="s">
        <v>408</v>
      </c>
      <c r="G342" s="7" t="n">
        <v>13</v>
      </c>
      <c r="H342" s="10" t="s">
        <v>908</v>
      </c>
      <c r="I342" s="10" t="s">
        <v>909</v>
      </c>
      <c r="J342" s="10" t="s">
        <v>424</v>
      </c>
      <c r="K342" s="7" t="n">
        <v>10</v>
      </c>
      <c r="L342" s="7" t="n">
        <v>70</v>
      </c>
      <c r="M342" s="7" t="n">
        <v>7</v>
      </c>
      <c r="N342" s="7" t="n">
        <v>12</v>
      </c>
      <c r="O342" s="7" t="n">
        <v>7</v>
      </c>
      <c r="P342" s="8" t="n">
        <v>15.2997357757013</v>
      </c>
      <c r="Q342" s="9" t="n">
        <v>0.0653606058732189</v>
      </c>
      <c r="R342" s="8" t="n">
        <v>8.5</v>
      </c>
      <c r="S342" s="12" t="n">
        <f aca="false">IF(AND(ISNUMBER(R342),R342&gt;1,P342&gt;0),R342/P342-1,"")</f>
        <v>-0.444434850077638</v>
      </c>
    </row>
    <row r="343" customFormat="false" ht="15" hidden="false" customHeight="false" outlineLevel="0" collapsed="false">
      <c r="A343" s="10" t="s">
        <v>199</v>
      </c>
      <c r="B343" s="10" t="s">
        <v>70</v>
      </c>
      <c r="C343" s="10" t="s">
        <v>200</v>
      </c>
      <c r="D343" s="10" t="s">
        <v>290</v>
      </c>
      <c r="E343" s="11" t="n">
        <v>14.5</v>
      </c>
      <c r="F343" s="10" t="s">
        <v>408</v>
      </c>
      <c r="G343" s="7" t="n">
        <v>13</v>
      </c>
      <c r="H343" s="10" t="s">
        <v>910</v>
      </c>
      <c r="I343" s="10" t="s">
        <v>95</v>
      </c>
      <c r="J343" s="10" t="s">
        <v>911</v>
      </c>
      <c r="K343" s="7" t="n">
        <v>4</v>
      </c>
      <c r="L343" s="7" t="n">
        <v>62</v>
      </c>
      <c r="M343" s="7" t="n">
        <v>7</v>
      </c>
      <c r="N343" s="7" t="n">
        <v>28</v>
      </c>
      <c r="O343" s="7" t="n">
        <v>8</v>
      </c>
      <c r="P343" s="8" t="n">
        <v>22.1895027928334</v>
      </c>
      <c r="Q343" s="9" t="n">
        <v>0.045066354543238</v>
      </c>
      <c r="R343" s="8" t="n">
        <v>13</v>
      </c>
      <c r="S343" s="12" t="n">
        <f aca="false">IF(AND(ISNUMBER(R343),R343&gt;1,P343&gt;0),R343/P343-1,"")</f>
        <v>-0.414137390937905</v>
      </c>
    </row>
    <row r="344" customFormat="false" ht="15" hidden="false" customHeight="false" outlineLevel="0" collapsed="false">
      <c r="A344" s="10" t="s">
        <v>199</v>
      </c>
      <c r="B344" s="10" t="s">
        <v>70</v>
      </c>
      <c r="C344" s="10" t="s">
        <v>200</v>
      </c>
      <c r="D344" s="10" t="s">
        <v>290</v>
      </c>
      <c r="E344" s="11" t="n">
        <v>14.5</v>
      </c>
      <c r="F344" s="10" t="s">
        <v>408</v>
      </c>
      <c r="G344" s="7" t="n">
        <v>13</v>
      </c>
      <c r="H344" s="10" t="s">
        <v>912</v>
      </c>
      <c r="I344" s="10" t="s">
        <v>913</v>
      </c>
      <c r="J344" s="10" t="s">
        <v>305</v>
      </c>
      <c r="K344" s="7" t="n">
        <v>9</v>
      </c>
      <c r="L344" s="7" t="n">
        <v>61</v>
      </c>
      <c r="M344" s="7" t="n">
        <v>4</v>
      </c>
      <c r="N344" s="7" t="n">
        <v>24</v>
      </c>
      <c r="O344" s="7" t="n">
        <v>9</v>
      </c>
      <c r="P344" s="8" t="n">
        <v>26.3714989247339</v>
      </c>
      <c r="Q344" s="9" t="n">
        <v>0.0379197254905406</v>
      </c>
      <c r="R344" s="8" t="n">
        <v>15</v>
      </c>
      <c r="S344" s="12" t="n">
        <f aca="false">IF(AND(ISNUMBER(R344),R344&gt;1,P344&gt;0),R344/P344-1,"")</f>
        <v>-0.43120411764189</v>
      </c>
    </row>
    <row r="345" customFormat="false" ht="15" hidden="false" customHeight="false" outlineLevel="0" collapsed="false">
      <c r="A345" s="10" t="s">
        <v>199</v>
      </c>
      <c r="B345" s="10" t="s">
        <v>70</v>
      </c>
      <c r="C345" s="10" t="s">
        <v>200</v>
      </c>
      <c r="D345" s="10" t="s">
        <v>290</v>
      </c>
      <c r="E345" s="11" t="n">
        <v>14.5</v>
      </c>
      <c r="F345" s="10" t="s">
        <v>408</v>
      </c>
      <c r="G345" s="7" t="n">
        <v>13</v>
      </c>
      <c r="H345" s="10" t="s">
        <v>914</v>
      </c>
      <c r="I345" s="10" t="s">
        <v>915</v>
      </c>
      <c r="J345" s="10" t="s">
        <v>275</v>
      </c>
      <c r="K345" s="7" t="n">
        <v>11</v>
      </c>
      <c r="L345" s="7" t="n">
        <v>55</v>
      </c>
      <c r="M345" s="7" t="n">
        <v>10</v>
      </c>
      <c r="N345" s="7" t="n">
        <v>23</v>
      </c>
      <c r="O345" s="7" t="n">
        <v>10</v>
      </c>
      <c r="P345" s="8" t="n">
        <v>27.3564040383754</v>
      </c>
      <c r="Q345" s="9" t="n">
        <v>0.0365545120110525</v>
      </c>
      <c r="R345" s="8" t="n">
        <v>13</v>
      </c>
      <c r="S345" s="12" t="n">
        <f aca="false">IF(AND(ISNUMBER(R345),R345&gt;1,P345&gt;0),R345/P345-1,"")</f>
        <v>-0.524791343856317</v>
      </c>
    </row>
    <row r="346" customFormat="false" ht="15" hidden="false" customHeight="false" outlineLevel="0" collapsed="false">
      <c r="A346" s="10" t="s">
        <v>199</v>
      </c>
      <c r="B346" s="10" t="s">
        <v>70</v>
      </c>
      <c r="C346" s="10" t="s">
        <v>200</v>
      </c>
      <c r="D346" s="10" t="s">
        <v>290</v>
      </c>
      <c r="E346" s="11" t="n">
        <v>14.5</v>
      </c>
      <c r="F346" s="10" t="s">
        <v>408</v>
      </c>
      <c r="G346" s="7" t="n">
        <v>13</v>
      </c>
      <c r="H346" s="10" t="s">
        <v>916</v>
      </c>
      <c r="I346" s="10" t="s">
        <v>917</v>
      </c>
      <c r="J346" s="10" t="s">
        <v>918</v>
      </c>
      <c r="K346" s="7" t="n">
        <v>14</v>
      </c>
      <c r="L346" s="7" t="n">
        <v>62</v>
      </c>
      <c r="M346" s="7" t="n">
        <v>4</v>
      </c>
      <c r="N346" s="7" t="n">
        <v>17</v>
      </c>
      <c r="O346" s="7" t="n">
        <v>11</v>
      </c>
      <c r="P346" s="8" t="n">
        <v>27.6445150468332</v>
      </c>
      <c r="Q346" s="9" t="n">
        <v>0.0361735410552826</v>
      </c>
      <c r="R346" s="8" t="n">
        <v>21</v>
      </c>
      <c r="S346" s="12" t="n">
        <f aca="false">IF(AND(ISNUMBER(R346),R346&gt;1,P346&gt;0),R346/P346-1,"")</f>
        <v>-0.240355637839064</v>
      </c>
    </row>
    <row r="347" customFormat="false" ht="15" hidden="false" customHeight="false" outlineLevel="0" collapsed="false">
      <c r="A347" s="10" t="s">
        <v>199</v>
      </c>
      <c r="B347" s="10" t="s">
        <v>70</v>
      </c>
      <c r="C347" s="10" t="s">
        <v>200</v>
      </c>
      <c r="D347" s="10" t="s">
        <v>290</v>
      </c>
      <c r="E347" s="11" t="n">
        <v>14.5</v>
      </c>
      <c r="F347" s="10" t="s">
        <v>408</v>
      </c>
      <c r="G347" s="7" t="n">
        <v>13</v>
      </c>
      <c r="H347" s="10" t="s">
        <v>919</v>
      </c>
      <c r="I347" s="10" t="s">
        <v>739</v>
      </c>
      <c r="J347" s="10" t="s">
        <v>74</v>
      </c>
      <c r="K347" s="7" t="n">
        <v>1</v>
      </c>
      <c r="L347" s="7" t="n">
        <v>69</v>
      </c>
      <c r="M347" s="7" t="n">
        <v>7</v>
      </c>
      <c r="N347" s="7" t="n">
        <v>19</v>
      </c>
      <c r="O347" s="7" t="n">
        <v>12</v>
      </c>
      <c r="P347" s="8" t="n">
        <v>27.8996919130359</v>
      </c>
      <c r="Q347" s="9" t="n">
        <v>0.0358426897012707</v>
      </c>
      <c r="R347" s="8" t="n">
        <v>17</v>
      </c>
      <c r="S347" s="12" t="n">
        <f aca="false">IF(AND(ISNUMBER(R347),R347&gt;1,P347&gt;0),R347/P347-1,"")</f>
        <v>-0.390674275078397</v>
      </c>
    </row>
    <row r="348" customFormat="false" ht="15" hidden="false" customHeight="false" outlineLevel="0" collapsed="false">
      <c r="A348" s="10" t="s">
        <v>199</v>
      </c>
      <c r="B348" s="10" t="s">
        <v>70</v>
      </c>
      <c r="C348" s="10" t="s">
        <v>200</v>
      </c>
      <c r="D348" s="10" t="s">
        <v>290</v>
      </c>
      <c r="E348" s="11" t="n">
        <v>14.5</v>
      </c>
      <c r="F348" s="10" t="s">
        <v>408</v>
      </c>
      <c r="G348" s="7" t="n">
        <v>13</v>
      </c>
      <c r="H348" s="10" t="s">
        <v>920</v>
      </c>
      <c r="I348" s="10" t="s">
        <v>921</v>
      </c>
      <c r="J348" s="10" t="s">
        <v>818</v>
      </c>
      <c r="K348" s="7" t="n">
        <v>3</v>
      </c>
      <c r="L348" s="7" t="n">
        <v>55</v>
      </c>
      <c r="M348" s="7" t="n">
        <v>4</v>
      </c>
      <c r="N348" s="7" t="n">
        <v>16</v>
      </c>
      <c r="O348" s="7" t="n">
        <v>13</v>
      </c>
      <c r="P348" s="8" t="n">
        <v>138.230244961784</v>
      </c>
      <c r="Q348" s="9" t="n">
        <v>0.007234306792095</v>
      </c>
      <c r="R348" s="8" t="n">
        <v>41</v>
      </c>
      <c r="S348" s="12" t="n">
        <f aca="false">IF(AND(ISNUMBER(R348),R348&gt;1,P348&gt;0),R348/P348-1,"")</f>
        <v>-0.703393421524101</v>
      </c>
    </row>
    <row r="349" customFormat="false" ht="15" hidden="false" customHeight="false" outlineLevel="0" collapsed="false">
      <c r="A349" s="10" t="s">
        <v>204</v>
      </c>
      <c r="B349" s="10" t="s">
        <v>205</v>
      </c>
      <c r="C349" s="10" t="s">
        <v>206</v>
      </c>
      <c r="D349" s="10"/>
      <c r="E349" s="11" t="n">
        <v>6</v>
      </c>
      <c r="F349" s="10" t="s">
        <v>796</v>
      </c>
      <c r="G349" s="7" t="n">
        <v>17</v>
      </c>
      <c r="H349" s="10" t="s">
        <v>207</v>
      </c>
      <c r="I349" s="10" t="s">
        <v>208</v>
      </c>
      <c r="J349" s="10" t="s">
        <v>209</v>
      </c>
      <c r="K349" s="7" t="n">
        <v>6</v>
      </c>
      <c r="L349" s="7" t="n">
        <v>0</v>
      </c>
      <c r="M349" s="7" t="n">
        <v>3</v>
      </c>
      <c r="N349" s="7" t="n">
        <v>90</v>
      </c>
      <c r="O349" s="7" t="n">
        <v>1</v>
      </c>
      <c r="P349" s="8" t="n">
        <v>4.1024736814852</v>
      </c>
      <c r="Q349" s="9" t="n">
        <v>0.243755372402042</v>
      </c>
      <c r="R349" s="8" t="n">
        <v>6.5</v>
      </c>
      <c r="S349" s="12" t="n">
        <f aca="false">IF(AND(ISNUMBER(R349),R349&gt;1,P349&gt;0),R349/P349-1,"")</f>
        <v>0.584409920613271</v>
      </c>
    </row>
    <row r="350" customFormat="false" ht="15" hidden="false" customHeight="false" outlineLevel="0" collapsed="false">
      <c r="A350" s="10" t="s">
        <v>204</v>
      </c>
      <c r="B350" s="10" t="s">
        <v>205</v>
      </c>
      <c r="C350" s="10" t="s">
        <v>206</v>
      </c>
      <c r="D350" s="10"/>
      <c r="E350" s="11" t="n">
        <v>6</v>
      </c>
      <c r="F350" s="10" t="s">
        <v>796</v>
      </c>
      <c r="G350" s="7" t="n">
        <v>17</v>
      </c>
      <c r="H350" s="10" t="s">
        <v>210</v>
      </c>
      <c r="I350" s="10" t="s">
        <v>922</v>
      </c>
      <c r="J350" s="10" t="s">
        <v>260</v>
      </c>
      <c r="K350" s="7" t="n">
        <v>11</v>
      </c>
      <c r="L350" s="7" t="n">
        <v>66</v>
      </c>
      <c r="M350" s="7" t="n">
        <v>3</v>
      </c>
      <c r="N350" s="7" t="n">
        <v>31</v>
      </c>
      <c r="O350" s="7" t="n">
        <v>2</v>
      </c>
      <c r="P350" s="8" t="n">
        <v>4.94882469923912</v>
      </c>
      <c r="Q350" s="9" t="n">
        <v>0.202068179976904</v>
      </c>
      <c r="R350" s="8" t="n">
        <v>5</v>
      </c>
      <c r="S350" s="12" t="n">
        <f aca="false">IF(AND(ISNUMBER(R350),R350&gt;1,P350&gt;0),R350/P350-1,"")</f>
        <v>0.010340899884522</v>
      </c>
    </row>
    <row r="351" customFormat="false" ht="15" hidden="false" customHeight="false" outlineLevel="0" collapsed="false">
      <c r="A351" s="10" t="s">
        <v>204</v>
      </c>
      <c r="B351" s="10" t="s">
        <v>205</v>
      </c>
      <c r="C351" s="10" t="s">
        <v>206</v>
      </c>
      <c r="D351" s="10"/>
      <c r="E351" s="11" t="n">
        <v>6</v>
      </c>
      <c r="F351" s="10" t="s">
        <v>796</v>
      </c>
      <c r="G351" s="7" t="n">
        <v>17</v>
      </c>
      <c r="H351" s="10" t="s">
        <v>923</v>
      </c>
      <c r="I351" s="10" t="s">
        <v>249</v>
      </c>
      <c r="J351" s="10" t="s">
        <v>924</v>
      </c>
      <c r="K351" s="7" t="n">
        <v>12</v>
      </c>
      <c r="L351" s="7" t="n">
        <v>57</v>
      </c>
      <c r="M351" s="7" t="n">
        <v>3</v>
      </c>
      <c r="N351" s="7" t="n">
        <v>41</v>
      </c>
      <c r="O351" s="7" t="n">
        <v>3</v>
      </c>
      <c r="P351" s="8" t="n">
        <v>6.70278437877524</v>
      </c>
      <c r="Q351" s="9" t="n">
        <v>0.149191730404839</v>
      </c>
      <c r="R351" s="8" t="n">
        <v>12</v>
      </c>
      <c r="S351" s="12" t="n">
        <f aca="false">IF(AND(ISNUMBER(R351),R351&gt;1,P351&gt;0),R351/P351-1,"")</f>
        <v>0.790300764858066</v>
      </c>
    </row>
    <row r="352" customFormat="false" ht="15" hidden="false" customHeight="false" outlineLevel="0" collapsed="false">
      <c r="A352" s="10" t="s">
        <v>204</v>
      </c>
      <c r="B352" s="10" t="s">
        <v>205</v>
      </c>
      <c r="C352" s="10" t="s">
        <v>206</v>
      </c>
      <c r="D352" s="10"/>
      <c r="E352" s="11" t="n">
        <v>6</v>
      </c>
      <c r="F352" s="10" t="s">
        <v>796</v>
      </c>
      <c r="G352" s="7" t="n">
        <v>17</v>
      </c>
      <c r="H352" s="10" t="s">
        <v>925</v>
      </c>
      <c r="I352" s="10" t="s">
        <v>926</v>
      </c>
      <c r="J352" s="10" t="s">
        <v>280</v>
      </c>
      <c r="K352" s="7" t="n">
        <v>10</v>
      </c>
      <c r="L352" s="7" t="n">
        <v>62</v>
      </c>
      <c r="M352" s="7" t="n">
        <v>3</v>
      </c>
      <c r="N352" s="7" t="n">
        <v>16</v>
      </c>
      <c r="O352" s="7" t="n">
        <v>4</v>
      </c>
      <c r="P352" s="8" t="n">
        <v>10.9220363029669</v>
      </c>
      <c r="Q352" s="9" t="n">
        <v>0.0915580183274392</v>
      </c>
      <c r="R352" s="8" t="n">
        <v>11</v>
      </c>
      <c r="S352" s="12" t="n">
        <f aca="false">IF(AND(ISNUMBER(R352),R352&gt;1,P352&gt;0),R352/P352-1,"")</f>
        <v>0.00713820160183154</v>
      </c>
    </row>
    <row r="353" customFormat="false" ht="15" hidden="false" customHeight="false" outlineLevel="0" collapsed="false">
      <c r="A353" s="10" t="s">
        <v>204</v>
      </c>
      <c r="B353" s="10" t="s">
        <v>205</v>
      </c>
      <c r="C353" s="10" t="s">
        <v>206</v>
      </c>
      <c r="D353" s="10"/>
      <c r="E353" s="11" t="n">
        <v>6</v>
      </c>
      <c r="F353" s="10" t="s">
        <v>796</v>
      </c>
      <c r="G353" s="7" t="n">
        <v>17</v>
      </c>
      <c r="H353" s="10" t="s">
        <v>927</v>
      </c>
      <c r="I353" s="10" t="s">
        <v>928</v>
      </c>
      <c r="J353" s="10" t="s">
        <v>929</v>
      </c>
      <c r="K353" s="7" t="n">
        <v>8</v>
      </c>
      <c r="L353" s="7" t="n">
        <v>61</v>
      </c>
      <c r="M353" s="7" t="n">
        <v>4</v>
      </c>
      <c r="N353" s="7" t="n">
        <v>23</v>
      </c>
      <c r="O353" s="7" t="n">
        <v>5</v>
      </c>
      <c r="P353" s="8" t="n">
        <v>13.8658252047748</v>
      </c>
      <c r="Q353" s="9" t="n">
        <v>0.0721197610118182</v>
      </c>
      <c r="R353" s="8" t="n">
        <v>4</v>
      </c>
      <c r="S353" s="12" t="n">
        <f aca="false">IF(AND(ISNUMBER(R353),R353&gt;1,P353&gt;0),R353/P353-1,"")</f>
        <v>-0.711520955952727</v>
      </c>
    </row>
    <row r="354" customFormat="false" ht="15" hidden="false" customHeight="false" outlineLevel="0" collapsed="false">
      <c r="A354" s="10" t="s">
        <v>204</v>
      </c>
      <c r="B354" s="10" t="s">
        <v>205</v>
      </c>
      <c r="C354" s="10" t="s">
        <v>206</v>
      </c>
      <c r="D354" s="10"/>
      <c r="E354" s="11" t="n">
        <v>6</v>
      </c>
      <c r="F354" s="10" t="s">
        <v>796</v>
      </c>
      <c r="G354" s="7" t="n">
        <v>17</v>
      </c>
      <c r="H354" s="10" t="s">
        <v>930</v>
      </c>
      <c r="I354" s="10" t="s">
        <v>931</v>
      </c>
      <c r="J354" s="10" t="s">
        <v>280</v>
      </c>
      <c r="K354" s="7" t="n">
        <v>5</v>
      </c>
      <c r="L354" s="7" t="n">
        <v>63</v>
      </c>
      <c r="M354" s="7" t="n">
        <v>3</v>
      </c>
      <c r="N354" s="7" t="n">
        <v>21</v>
      </c>
      <c r="O354" s="7" t="n">
        <v>6</v>
      </c>
      <c r="P354" s="8" t="n">
        <v>16.4733908812637</v>
      </c>
      <c r="Q354" s="9" t="n">
        <v>0.0607039562897379</v>
      </c>
      <c r="R354" s="8" t="n">
        <v>7.5</v>
      </c>
      <c r="S354" s="12" t="n">
        <f aca="false">IF(AND(ISNUMBER(R354),R354&gt;1,P354&gt;0),R354/P354-1,"")</f>
        <v>-0.544720327826965</v>
      </c>
    </row>
    <row r="355" customFormat="false" ht="15" hidden="false" customHeight="false" outlineLevel="0" collapsed="false">
      <c r="A355" s="10" t="s">
        <v>204</v>
      </c>
      <c r="B355" s="10" t="s">
        <v>205</v>
      </c>
      <c r="C355" s="10" t="s">
        <v>206</v>
      </c>
      <c r="D355" s="10"/>
      <c r="E355" s="11" t="n">
        <v>6</v>
      </c>
      <c r="F355" s="10" t="s">
        <v>796</v>
      </c>
      <c r="G355" s="7" t="n">
        <v>17</v>
      </c>
      <c r="H355" s="10" t="s">
        <v>932</v>
      </c>
      <c r="I355" s="10" t="s">
        <v>933</v>
      </c>
      <c r="J355" s="10" t="s">
        <v>934</v>
      </c>
      <c r="K355" s="7" t="n">
        <v>2</v>
      </c>
      <c r="L355" s="7" t="n">
        <v>66</v>
      </c>
      <c r="M355" s="7" t="n">
        <v>4</v>
      </c>
      <c r="N355" s="7" t="n">
        <v>317</v>
      </c>
      <c r="O355" s="7" t="n">
        <v>7</v>
      </c>
      <c r="P355" s="8" t="n">
        <v>19.164329212071</v>
      </c>
      <c r="Q355" s="9" t="n">
        <v>0.0521802766449103</v>
      </c>
      <c r="R355" s="8" t="n">
        <v>15</v>
      </c>
      <c r="S355" s="12" t="n">
        <f aca="false">IF(AND(ISNUMBER(R355),R355&gt;1,P355&gt;0),R355/P355-1,"")</f>
        <v>-0.217295850326345</v>
      </c>
    </row>
    <row r="356" customFormat="false" ht="15" hidden="false" customHeight="false" outlineLevel="0" collapsed="false">
      <c r="A356" s="10" t="s">
        <v>204</v>
      </c>
      <c r="B356" s="10" t="s">
        <v>205</v>
      </c>
      <c r="C356" s="10" t="s">
        <v>206</v>
      </c>
      <c r="D356" s="10"/>
      <c r="E356" s="11" t="n">
        <v>6</v>
      </c>
      <c r="F356" s="10" t="s">
        <v>796</v>
      </c>
      <c r="G356" s="7" t="n">
        <v>17</v>
      </c>
      <c r="H356" s="10" t="s">
        <v>935</v>
      </c>
      <c r="I356" s="10" t="s">
        <v>936</v>
      </c>
      <c r="J356" s="10" t="s">
        <v>937</v>
      </c>
      <c r="K356" s="7" t="n">
        <v>16</v>
      </c>
      <c r="L356" s="7" t="n">
        <v>65</v>
      </c>
      <c r="M356" s="7" t="n">
        <v>3</v>
      </c>
      <c r="N356" s="7" t="n">
        <v>98</v>
      </c>
      <c r="O356" s="7" t="n">
        <v>8</v>
      </c>
      <c r="P356" s="8" t="n">
        <v>20.4251160789907</v>
      </c>
      <c r="Q356" s="9" t="n">
        <v>0.0489593300783539</v>
      </c>
      <c r="R356" s="8" t="n">
        <v>5</v>
      </c>
      <c r="S356" s="12" t="n">
        <f aca="false">IF(AND(ISNUMBER(R356),R356&gt;1,P356&gt;0),R356/P356-1,"")</f>
        <v>-0.75520334960823</v>
      </c>
    </row>
    <row r="357" customFormat="false" ht="15" hidden="false" customHeight="false" outlineLevel="0" collapsed="false">
      <c r="A357" s="10" t="s">
        <v>204</v>
      </c>
      <c r="B357" s="10" t="s">
        <v>205</v>
      </c>
      <c r="C357" s="10" t="s">
        <v>206</v>
      </c>
      <c r="D357" s="10"/>
      <c r="E357" s="11" t="n">
        <v>6</v>
      </c>
      <c r="F357" s="10" t="s">
        <v>796</v>
      </c>
      <c r="G357" s="7" t="n">
        <v>17</v>
      </c>
      <c r="H357" s="10" t="s">
        <v>938</v>
      </c>
      <c r="I357" s="10" t="s">
        <v>939</v>
      </c>
      <c r="J357" s="10" t="s">
        <v>934</v>
      </c>
      <c r="K357" s="7" t="n">
        <v>3</v>
      </c>
      <c r="L357" s="7" t="n">
        <v>0</v>
      </c>
      <c r="M357" s="7" t="n">
        <v>3</v>
      </c>
      <c r="N357" s="7"/>
      <c r="O357" s="7" t="n">
        <v>9</v>
      </c>
      <c r="P357" s="8" t="n">
        <v>47.0623078457914</v>
      </c>
      <c r="Q357" s="9" t="n">
        <v>0.0212484267298724</v>
      </c>
      <c r="R357" s="8" t="n">
        <v>26</v>
      </c>
      <c r="S357" s="12" t="n">
        <f aca="false">IF(AND(ISNUMBER(R357),R357&gt;1,P357&gt;0),R357/P357-1,"")</f>
        <v>-0.447540905023317</v>
      </c>
    </row>
    <row r="358" customFormat="false" ht="15" hidden="false" customHeight="false" outlineLevel="0" collapsed="false">
      <c r="A358" s="10" t="s">
        <v>204</v>
      </c>
      <c r="B358" s="10" t="s">
        <v>205</v>
      </c>
      <c r="C358" s="10" t="s">
        <v>206</v>
      </c>
      <c r="D358" s="10"/>
      <c r="E358" s="11" t="n">
        <v>6</v>
      </c>
      <c r="F358" s="10" t="s">
        <v>796</v>
      </c>
      <c r="G358" s="7" t="n">
        <v>17</v>
      </c>
      <c r="H358" s="10" t="s">
        <v>940</v>
      </c>
      <c r="I358" s="10" t="s">
        <v>358</v>
      </c>
      <c r="J358" s="10" t="s">
        <v>941</v>
      </c>
      <c r="K358" s="7" t="n">
        <v>1</v>
      </c>
      <c r="L358" s="7" t="n">
        <v>46</v>
      </c>
      <c r="M358" s="7" t="n">
        <v>3</v>
      </c>
      <c r="N358" s="7" t="n">
        <v>20</v>
      </c>
      <c r="O358" s="7" t="n">
        <v>10</v>
      </c>
      <c r="P358" s="8" t="n">
        <v>72.0961282991538</v>
      </c>
      <c r="Q358" s="9" t="n">
        <v>0.0138703703456949</v>
      </c>
      <c r="R358" s="8" t="n">
        <v>26</v>
      </c>
      <c r="S358" s="12" t="n">
        <f aca="false">IF(AND(ISNUMBER(R358),R358&gt;1,P358&gt;0),R358/P358-1,"")</f>
        <v>-0.639370371011932</v>
      </c>
    </row>
    <row r="359" customFormat="false" ht="15" hidden="false" customHeight="false" outlineLevel="0" collapsed="false">
      <c r="A359" s="10" t="s">
        <v>204</v>
      </c>
      <c r="B359" s="10" t="s">
        <v>205</v>
      </c>
      <c r="C359" s="10" t="s">
        <v>206</v>
      </c>
      <c r="D359" s="10"/>
      <c r="E359" s="11" t="n">
        <v>6</v>
      </c>
      <c r="F359" s="10" t="s">
        <v>796</v>
      </c>
      <c r="G359" s="7" t="n">
        <v>17</v>
      </c>
      <c r="H359" s="10" t="s">
        <v>942</v>
      </c>
      <c r="I359" s="10" t="s">
        <v>943</v>
      </c>
      <c r="J359" s="10" t="s">
        <v>944</v>
      </c>
      <c r="K359" s="7" t="n">
        <v>9</v>
      </c>
      <c r="L359" s="7" t="n">
        <v>0</v>
      </c>
      <c r="M359" s="7" t="n">
        <v>3</v>
      </c>
      <c r="N359" s="7" t="n">
        <v>16</v>
      </c>
      <c r="O359" s="7" t="n">
        <v>11</v>
      </c>
      <c r="P359" s="8" t="n">
        <v>92.0682386989875</v>
      </c>
      <c r="Q359" s="9" t="n">
        <v>0.0108615089647739</v>
      </c>
      <c r="R359" s="8" t="n">
        <v>34</v>
      </c>
      <c r="S359" s="12" t="n">
        <f aca="false">IF(AND(ISNUMBER(R359),R359&gt;1,P359&gt;0),R359/P359-1,"")</f>
        <v>-0.630708695197686</v>
      </c>
    </row>
    <row r="360" customFormat="false" ht="15" hidden="false" customHeight="false" outlineLevel="0" collapsed="false">
      <c r="A360" s="10" t="s">
        <v>204</v>
      </c>
      <c r="B360" s="10" t="s">
        <v>205</v>
      </c>
      <c r="C360" s="10" t="s">
        <v>206</v>
      </c>
      <c r="D360" s="10"/>
      <c r="E360" s="11" t="n">
        <v>6</v>
      </c>
      <c r="F360" s="10" t="s">
        <v>796</v>
      </c>
      <c r="G360" s="7" t="n">
        <v>17</v>
      </c>
      <c r="H360" s="10" t="s">
        <v>945</v>
      </c>
      <c r="I360" s="10" t="s">
        <v>358</v>
      </c>
      <c r="J360" s="10" t="s">
        <v>946</v>
      </c>
      <c r="K360" s="7" t="n">
        <v>14</v>
      </c>
      <c r="L360" s="7" t="n">
        <v>55</v>
      </c>
      <c r="M360" s="7" t="n">
        <v>3</v>
      </c>
      <c r="N360" s="7" t="n">
        <v>26</v>
      </c>
      <c r="O360" s="7" t="n">
        <v>12</v>
      </c>
      <c r="P360" s="8" t="n">
        <v>94.7468327691515</v>
      </c>
      <c r="Q360" s="9" t="n">
        <v>0.0105544425156298</v>
      </c>
      <c r="R360" s="8" t="n">
        <v>21</v>
      </c>
      <c r="S360" s="12" t="n">
        <f aca="false">IF(AND(ISNUMBER(R360),R360&gt;1,P360&gt;0),R360/P360-1,"")</f>
        <v>-0.778356707171774</v>
      </c>
    </row>
    <row r="361" customFormat="false" ht="15" hidden="false" customHeight="false" outlineLevel="0" collapsed="false">
      <c r="A361" s="10" t="s">
        <v>204</v>
      </c>
      <c r="B361" s="10" t="s">
        <v>205</v>
      </c>
      <c r="C361" s="10" t="s">
        <v>206</v>
      </c>
      <c r="D361" s="10"/>
      <c r="E361" s="11" t="n">
        <v>6</v>
      </c>
      <c r="F361" s="10" t="s">
        <v>796</v>
      </c>
      <c r="G361" s="7" t="n">
        <v>17</v>
      </c>
      <c r="H361" s="10" t="s">
        <v>947</v>
      </c>
      <c r="I361" s="10" t="s">
        <v>358</v>
      </c>
      <c r="J361" s="10" t="s">
        <v>929</v>
      </c>
      <c r="K361" s="7" t="n">
        <v>13</v>
      </c>
      <c r="L361" s="7" t="n">
        <v>54</v>
      </c>
      <c r="M361" s="7" t="n">
        <v>3</v>
      </c>
      <c r="N361" s="7" t="n">
        <v>70</v>
      </c>
      <c r="O361" s="7" t="n">
        <v>13</v>
      </c>
      <c r="P361" s="8" t="n">
        <v>102.270176595885</v>
      </c>
      <c r="Q361" s="9" t="n">
        <v>0.0097780216411617</v>
      </c>
      <c r="R361" s="8" t="n">
        <v>26</v>
      </c>
      <c r="S361" s="12" t="n">
        <f aca="false">IF(AND(ISNUMBER(R361),R361&gt;1,P361&gt;0),R361/P361-1,"")</f>
        <v>-0.745771437329794</v>
      </c>
    </row>
    <row r="362" customFormat="false" ht="15" hidden="false" customHeight="false" outlineLevel="0" collapsed="false">
      <c r="A362" s="10" t="s">
        <v>204</v>
      </c>
      <c r="B362" s="10" t="s">
        <v>205</v>
      </c>
      <c r="C362" s="10" t="s">
        <v>206</v>
      </c>
      <c r="D362" s="10"/>
      <c r="E362" s="11" t="n">
        <v>6</v>
      </c>
      <c r="F362" s="10" t="s">
        <v>796</v>
      </c>
      <c r="G362" s="7" t="n">
        <v>17</v>
      </c>
      <c r="H362" s="10" t="s">
        <v>948</v>
      </c>
      <c r="I362" s="10" t="s">
        <v>949</v>
      </c>
      <c r="J362" s="10" t="s">
        <v>950</v>
      </c>
      <c r="K362" s="7" t="n">
        <v>7</v>
      </c>
      <c r="L362" s="7" t="n">
        <v>0</v>
      </c>
      <c r="M362" s="7" t="n">
        <v>3</v>
      </c>
      <c r="N362" s="7" t="n">
        <v>21</v>
      </c>
      <c r="O362" s="7" t="n">
        <v>14</v>
      </c>
      <c r="P362" s="8" t="n">
        <v>194.30597121198</v>
      </c>
      <c r="Q362" s="9" t="n">
        <v>0.0051465222286403</v>
      </c>
      <c r="R362" s="8" t="n">
        <v>26</v>
      </c>
      <c r="S362" s="12" t="n">
        <f aca="false">IF(AND(ISNUMBER(R362),R362&gt;1,P362&gt;0),R362/P362-1,"")</f>
        <v>-0.866190422055352</v>
      </c>
    </row>
    <row r="363" customFormat="false" ht="15" hidden="false" customHeight="false" outlineLevel="0" collapsed="false">
      <c r="A363" s="10" t="s">
        <v>204</v>
      </c>
      <c r="B363" s="10" t="s">
        <v>205</v>
      </c>
      <c r="C363" s="10" t="s">
        <v>206</v>
      </c>
      <c r="D363" s="10"/>
      <c r="E363" s="11" t="n">
        <v>6</v>
      </c>
      <c r="F363" s="10" t="s">
        <v>796</v>
      </c>
      <c r="G363" s="7" t="n">
        <v>17</v>
      </c>
      <c r="H363" s="10" t="s">
        <v>951</v>
      </c>
      <c r="I363" s="10" t="s">
        <v>952</v>
      </c>
      <c r="J363" s="10" t="s">
        <v>953</v>
      </c>
      <c r="K363" s="7" t="n">
        <v>15</v>
      </c>
      <c r="L363" s="7" t="n">
        <v>0</v>
      </c>
      <c r="M363" s="7" t="n">
        <v>3</v>
      </c>
      <c r="N363" s="7" t="n">
        <v>21</v>
      </c>
      <c r="O363" s="7" t="n">
        <v>15</v>
      </c>
      <c r="P363" s="8" t="n">
        <v>339.589360769011</v>
      </c>
      <c r="Q363" s="9" t="n">
        <v>0.0029447330085237</v>
      </c>
      <c r="R363" s="8" t="n">
        <v>51</v>
      </c>
      <c r="S363" s="12" t="n">
        <f aca="false">IF(AND(ISNUMBER(R363),R363&gt;1,P363&gt;0),R363/P363-1,"")</f>
        <v>-0.849818616565287</v>
      </c>
    </row>
    <row r="364" customFormat="false" ht="15" hidden="false" customHeight="false" outlineLevel="0" collapsed="false">
      <c r="A364" s="10" t="s">
        <v>204</v>
      </c>
      <c r="B364" s="10" t="s">
        <v>205</v>
      </c>
      <c r="C364" s="10" t="s">
        <v>206</v>
      </c>
      <c r="D364" s="10"/>
      <c r="E364" s="11" t="n">
        <v>6</v>
      </c>
      <c r="F364" s="10" t="s">
        <v>796</v>
      </c>
      <c r="G364" s="7" t="n">
        <v>17</v>
      </c>
      <c r="H364" s="10" t="s">
        <v>954</v>
      </c>
      <c r="I364" s="10" t="s">
        <v>955</v>
      </c>
      <c r="J364" s="10" t="s">
        <v>956</v>
      </c>
      <c r="K364" s="7" t="n">
        <v>17</v>
      </c>
      <c r="L364" s="7" t="n">
        <v>0</v>
      </c>
      <c r="M364" s="7" t="n">
        <v>3</v>
      </c>
      <c r="N364" s="7" t="n">
        <v>23</v>
      </c>
      <c r="O364" s="7" t="n">
        <v>16</v>
      </c>
      <c r="P364" s="8" t="n">
        <v>350.618585813771</v>
      </c>
      <c r="Q364" s="9" t="n">
        <v>0.002852102086029</v>
      </c>
      <c r="R364" s="8" t="n">
        <v>126</v>
      </c>
      <c r="S364" s="12" t="n">
        <f aca="false">IF(AND(ISNUMBER(R364),R364&gt;1,P364&gt;0),R364/P364-1,"")</f>
        <v>-0.640635137160344</v>
      </c>
    </row>
    <row r="365" customFormat="false" ht="15" hidden="false" customHeight="false" outlineLevel="0" collapsed="false">
      <c r="A365" s="10" t="s">
        <v>204</v>
      </c>
      <c r="B365" s="10" t="s">
        <v>205</v>
      </c>
      <c r="C365" s="10" t="s">
        <v>206</v>
      </c>
      <c r="D365" s="10"/>
      <c r="E365" s="11" t="n">
        <v>6</v>
      </c>
      <c r="F365" s="10" t="s">
        <v>796</v>
      </c>
      <c r="G365" s="7" t="n">
        <v>17</v>
      </c>
      <c r="H365" s="10" t="s">
        <v>957</v>
      </c>
      <c r="I365" s="10" t="s">
        <v>958</v>
      </c>
      <c r="J365" s="10" t="s">
        <v>959</v>
      </c>
      <c r="K365" s="7" t="n">
        <v>4</v>
      </c>
      <c r="L365" s="7" t="n">
        <v>0</v>
      </c>
      <c r="M365" s="7" t="n">
        <v>3</v>
      </c>
      <c r="N365" s="7" t="n">
        <v>97</v>
      </c>
      <c r="O365" s="7" t="n">
        <v>17</v>
      </c>
      <c r="P365" s="8" t="n">
        <v>453.052986058048</v>
      </c>
      <c r="Q365" s="9" t="n">
        <v>0.0022072473436294</v>
      </c>
      <c r="R365" s="8" t="n">
        <v>126</v>
      </c>
      <c r="S365" s="12" t="n">
        <f aca="false">IF(AND(ISNUMBER(R365),R365&gt;1,P365&gt;0),R365/P365-1,"")</f>
        <v>-0.721886834702694</v>
      </c>
    </row>
    <row r="366" customFormat="false" ht="15" hidden="false" customHeight="false" outlineLevel="0" collapsed="false">
      <c r="A366" s="10" t="s">
        <v>211</v>
      </c>
      <c r="B366" s="10" t="s">
        <v>57</v>
      </c>
      <c r="C366" s="10" t="s">
        <v>212</v>
      </c>
      <c r="D366" s="10"/>
      <c r="E366" s="11" t="n">
        <v>14</v>
      </c>
      <c r="F366" s="10" t="s">
        <v>291</v>
      </c>
      <c r="G366" s="7" t="n">
        <v>17</v>
      </c>
      <c r="H366" s="10" t="s">
        <v>213</v>
      </c>
      <c r="I366" s="10" t="s">
        <v>214</v>
      </c>
      <c r="J366" s="10" t="s">
        <v>61</v>
      </c>
      <c r="K366" s="7" t="n">
        <v>0</v>
      </c>
      <c r="L366" s="7" t="n">
        <v>0</v>
      </c>
      <c r="M366" s="7" t="n">
        <v>5</v>
      </c>
      <c r="N366" s="7" t="n">
        <v>41</v>
      </c>
      <c r="O366" s="7" t="n">
        <v>1</v>
      </c>
      <c r="P366" s="8" t="n">
        <v>2.73324469504245</v>
      </c>
      <c r="Q366" s="9" t="n">
        <v>0.365865523059021</v>
      </c>
      <c r="R366" s="8" t="n">
        <v>3.25</v>
      </c>
      <c r="S366" s="12" t="n">
        <f aca="false">IF(AND(ISNUMBER(R366),R366&gt;1,P366&gt;0),R366/P366-1,"")</f>
        <v>0.189062949941818</v>
      </c>
    </row>
    <row r="367" customFormat="false" ht="15" hidden="false" customHeight="false" outlineLevel="0" collapsed="false">
      <c r="A367" s="10" t="s">
        <v>211</v>
      </c>
      <c r="B367" s="10" t="s">
        <v>57</v>
      </c>
      <c r="C367" s="10" t="s">
        <v>212</v>
      </c>
      <c r="D367" s="10"/>
      <c r="E367" s="11" t="n">
        <v>14</v>
      </c>
      <c r="F367" s="10" t="s">
        <v>291</v>
      </c>
      <c r="G367" s="7" t="n">
        <v>17</v>
      </c>
      <c r="H367" s="10" t="s">
        <v>215</v>
      </c>
      <c r="I367" s="10" t="s">
        <v>190</v>
      </c>
      <c r="J367" s="10" t="s">
        <v>960</v>
      </c>
      <c r="K367" s="7" t="n">
        <v>0</v>
      </c>
      <c r="L367" s="7" t="n">
        <v>0</v>
      </c>
      <c r="M367" s="7" t="n">
        <v>4</v>
      </c>
      <c r="N367" s="7" t="n">
        <v>149</v>
      </c>
      <c r="O367" s="7" t="n">
        <v>2</v>
      </c>
      <c r="P367" s="8" t="n">
        <v>6.98268479303352</v>
      </c>
      <c r="Q367" s="9" t="n">
        <v>0.143211390695693</v>
      </c>
      <c r="R367" s="8" t="n">
        <v>7</v>
      </c>
      <c r="S367" s="12" t="n">
        <f aca="false">IF(AND(ISNUMBER(R367),R367&gt;1,P367&gt;0),R367/P367-1,"")</f>
        <v>0.00247973486985398</v>
      </c>
    </row>
    <row r="368" customFormat="false" ht="15" hidden="false" customHeight="false" outlineLevel="0" collapsed="false">
      <c r="A368" s="10" t="s">
        <v>211</v>
      </c>
      <c r="B368" s="10" t="s">
        <v>57</v>
      </c>
      <c r="C368" s="10" t="s">
        <v>212</v>
      </c>
      <c r="D368" s="10"/>
      <c r="E368" s="11" t="n">
        <v>14</v>
      </c>
      <c r="F368" s="10" t="s">
        <v>291</v>
      </c>
      <c r="G368" s="7" t="n">
        <v>17</v>
      </c>
      <c r="H368" s="10" t="s">
        <v>961</v>
      </c>
      <c r="I368" s="10" t="s">
        <v>847</v>
      </c>
      <c r="J368" s="10" t="s">
        <v>962</v>
      </c>
      <c r="K368" s="7" t="n">
        <v>0</v>
      </c>
      <c r="L368" s="7" t="n">
        <v>84</v>
      </c>
      <c r="M368" s="7" t="n">
        <v>12</v>
      </c>
      <c r="N368" s="7" t="n">
        <v>355</v>
      </c>
      <c r="O368" s="7" t="n">
        <v>3</v>
      </c>
      <c r="P368" s="8" t="n">
        <v>9.21715109368254</v>
      </c>
      <c r="Q368" s="9" t="n">
        <v>0.108493393439693</v>
      </c>
      <c r="R368" s="8" t="n">
        <v>8</v>
      </c>
      <c r="S368" s="12" t="n">
        <f aca="false">IF(AND(ISNUMBER(R368),R368&gt;1,P368&gt;0),R368/P368-1,"")</f>
        <v>-0.132052852482453</v>
      </c>
    </row>
    <row r="369" customFormat="false" ht="15" hidden="false" customHeight="false" outlineLevel="0" collapsed="false">
      <c r="A369" s="10" t="s">
        <v>211</v>
      </c>
      <c r="B369" s="10" t="s">
        <v>57</v>
      </c>
      <c r="C369" s="10" t="s">
        <v>212</v>
      </c>
      <c r="D369" s="10"/>
      <c r="E369" s="11" t="n">
        <v>14</v>
      </c>
      <c r="F369" s="10" t="s">
        <v>291</v>
      </c>
      <c r="G369" s="7" t="n">
        <v>17</v>
      </c>
      <c r="H369" s="10" t="s">
        <v>963</v>
      </c>
      <c r="I369" s="10" t="s">
        <v>842</v>
      </c>
      <c r="J369" s="10" t="s">
        <v>964</v>
      </c>
      <c r="K369" s="7" t="n">
        <v>0</v>
      </c>
      <c r="L369" s="7" t="n">
        <v>93</v>
      </c>
      <c r="M369" s="7" t="n">
        <v>4</v>
      </c>
      <c r="N369" s="7" t="n">
        <v>41</v>
      </c>
      <c r="O369" s="7" t="n">
        <v>4</v>
      </c>
      <c r="P369" s="8" t="n">
        <v>12.2849433399196</v>
      </c>
      <c r="Q369" s="9" t="n">
        <v>0.08140045682999</v>
      </c>
      <c r="R369" s="8" t="n">
        <v>5</v>
      </c>
      <c r="S369" s="12" t="n">
        <f aca="false">IF(AND(ISNUMBER(R369),R369&gt;1,P369&gt;0),R369/P369-1,"")</f>
        <v>-0.59299771585005</v>
      </c>
    </row>
    <row r="370" customFormat="false" ht="15" hidden="false" customHeight="false" outlineLevel="0" collapsed="false">
      <c r="A370" s="10" t="s">
        <v>211</v>
      </c>
      <c r="B370" s="10" t="s">
        <v>57</v>
      </c>
      <c r="C370" s="10" t="s">
        <v>212</v>
      </c>
      <c r="D370" s="10"/>
      <c r="E370" s="11" t="n">
        <v>14</v>
      </c>
      <c r="F370" s="10" t="s">
        <v>291</v>
      </c>
      <c r="G370" s="7" t="n">
        <v>17</v>
      </c>
      <c r="H370" s="10" t="s">
        <v>965</v>
      </c>
      <c r="I370" s="10" t="s">
        <v>844</v>
      </c>
      <c r="J370" s="10" t="s">
        <v>489</v>
      </c>
      <c r="K370" s="7" t="n">
        <v>0</v>
      </c>
      <c r="L370" s="7" t="n">
        <v>0</v>
      </c>
      <c r="M370" s="7" t="n">
        <v>5</v>
      </c>
      <c r="N370" s="7" t="n">
        <v>136</v>
      </c>
      <c r="O370" s="7" t="n">
        <v>5</v>
      </c>
      <c r="P370" s="8" t="n">
        <v>12.6729795255956</v>
      </c>
      <c r="Q370" s="9" t="n">
        <v>0.0789080419470654</v>
      </c>
      <c r="R370" s="8" t="n">
        <v>15</v>
      </c>
      <c r="S370" s="12" t="n">
        <f aca="false">IF(AND(ISNUMBER(R370),R370&gt;1,P370&gt;0),R370/P370-1,"")</f>
        <v>0.183620629205981</v>
      </c>
    </row>
    <row r="371" customFormat="false" ht="15" hidden="false" customHeight="false" outlineLevel="0" collapsed="false">
      <c r="A371" s="10" t="s">
        <v>211</v>
      </c>
      <c r="B371" s="10" t="s">
        <v>57</v>
      </c>
      <c r="C371" s="10" t="s">
        <v>212</v>
      </c>
      <c r="D371" s="10"/>
      <c r="E371" s="11" t="n">
        <v>14</v>
      </c>
      <c r="F371" s="10" t="s">
        <v>291</v>
      </c>
      <c r="G371" s="7" t="n">
        <v>17</v>
      </c>
      <c r="H371" s="10" t="s">
        <v>966</v>
      </c>
      <c r="I371" s="10" t="s">
        <v>967</v>
      </c>
      <c r="J371" s="10" t="s">
        <v>968</v>
      </c>
      <c r="K371" s="7" t="n">
        <v>0</v>
      </c>
      <c r="L371" s="7" t="n">
        <v>0</v>
      </c>
      <c r="M371" s="7" t="n">
        <v>6</v>
      </c>
      <c r="N371" s="7" t="n">
        <v>34</v>
      </c>
      <c r="O371" s="7" t="n">
        <v>6</v>
      </c>
      <c r="P371" s="8" t="n">
        <v>15.1785939686366</v>
      </c>
      <c r="Q371" s="9" t="n">
        <v>0.06588225510652</v>
      </c>
      <c r="R371" s="8" t="n">
        <v>11</v>
      </c>
      <c r="S371" s="12" t="n">
        <f aca="false">IF(AND(ISNUMBER(R371),R371&gt;1,P371&gt;0),R371/P371-1,"")</f>
        <v>-0.275295193828279</v>
      </c>
    </row>
    <row r="372" customFormat="false" ht="15" hidden="false" customHeight="false" outlineLevel="0" collapsed="false">
      <c r="A372" s="10" t="s">
        <v>211</v>
      </c>
      <c r="B372" s="10" t="s">
        <v>57</v>
      </c>
      <c r="C372" s="10" t="s">
        <v>212</v>
      </c>
      <c r="D372" s="10"/>
      <c r="E372" s="11" t="n">
        <v>14</v>
      </c>
      <c r="F372" s="10" t="s">
        <v>291</v>
      </c>
      <c r="G372" s="7" t="n">
        <v>17</v>
      </c>
      <c r="H372" s="10" t="s">
        <v>969</v>
      </c>
      <c r="I372" s="10" t="s">
        <v>554</v>
      </c>
      <c r="J372" s="10" t="s">
        <v>970</v>
      </c>
      <c r="K372" s="7" t="n">
        <v>0</v>
      </c>
      <c r="L372" s="7" t="n">
        <v>0</v>
      </c>
      <c r="M372" s="7" t="n">
        <v>8</v>
      </c>
      <c r="N372" s="7" t="n">
        <v>160</v>
      </c>
      <c r="O372" s="7" t="n">
        <v>7</v>
      </c>
      <c r="P372" s="8" t="n">
        <v>23.6989376309834</v>
      </c>
      <c r="Q372" s="9" t="n">
        <v>0.0421959842914066</v>
      </c>
      <c r="R372" s="8" t="n">
        <v>12</v>
      </c>
      <c r="S372" s="12" t="n">
        <f aca="false">IF(AND(ISNUMBER(R372),R372&gt;1,P372&gt;0),R372/P372-1,"")</f>
        <v>-0.493648188503121</v>
      </c>
    </row>
    <row r="373" customFormat="false" ht="15" hidden="false" customHeight="false" outlineLevel="0" collapsed="false">
      <c r="A373" s="10" t="s">
        <v>211</v>
      </c>
      <c r="B373" s="10" t="s">
        <v>57</v>
      </c>
      <c r="C373" s="10" t="s">
        <v>212</v>
      </c>
      <c r="D373" s="10"/>
      <c r="E373" s="11" t="n">
        <v>14</v>
      </c>
      <c r="F373" s="10" t="s">
        <v>291</v>
      </c>
      <c r="G373" s="7" t="n">
        <v>17</v>
      </c>
      <c r="H373" s="10" t="s">
        <v>971</v>
      </c>
      <c r="I373" s="10" t="s">
        <v>858</v>
      </c>
      <c r="J373" s="10" t="s">
        <v>972</v>
      </c>
      <c r="K373" s="7" t="n">
        <v>0</v>
      </c>
      <c r="L373" s="7" t="n">
        <v>0</v>
      </c>
      <c r="M373" s="7" t="n">
        <v>8</v>
      </c>
      <c r="N373" s="7" t="n">
        <v>42</v>
      </c>
      <c r="O373" s="7" t="n">
        <v>8</v>
      </c>
      <c r="P373" s="8" t="n">
        <v>28.1920372653003</v>
      </c>
      <c r="Q373" s="9" t="n">
        <v>0.0354710087316334</v>
      </c>
      <c r="R373" s="8" t="n">
        <v>12</v>
      </c>
      <c r="S373" s="12" t="n">
        <f aca="false">IF(AND(ISNUMBER(R373),R373&gt;1,P373&gt;0),R373/P373-1,"")</f>
        <v>-0.574347895220399</v>
      </c>
    </row>
    <row r="374" customFormat="false" ht="15" hidden="false" customHeight="false" outlineLevel="0" collapsed="false">
      <c r="A374" s="10" t="s">
        <v>211</v>
      </c>
      <c r="B374" s="10" t="s">
        <v>57</v>
      </c>
      <c r="C374" s="10" t="s">
        <v>212</v>
      </c>
      <c r="D374" s="10"/>
      <c r="E374" s="11" t="n">
        <v>14</v>
      </c>
      <c r="F374" s="10" t="s">
        <v>291</v>
      </c>
      <c r="G374" s="7" t="n">
        <v>17</v>
      </c>
      <c r="H374" s="10" t="s">
        <v>973</v>
      </c>
      <c r="I374" s="10" t="s">
        <v>974</v>
      </c>
      <c r="J374" s="10" t="s">
        <v>975</v>
      </c>
      <c r="K374" s="7" t="n">
        <v>0</v>
      </c>
      <c r="L374" s="7" t="n">
        <v>82</v>
      </c>
      <c r="M374" s="7" t="n">
        <v>6</v>
      </c>
      <c r="N374" s="7" t="n">
        <v>13</v>
      </c>
      <c r="O374" s="7" t="n">
        <v>9</v>
      </c>
      <c r="P374" s="8" t="n">
        <v>39.2583915259064</v>
      </c>
      <c r="Q374" s="9" t="n">
        <v>0.0254722611174761</v>
      </c>
      <c r="R374" s="8" t="n">
        <v>12</v>
      </c>
      <c r="S374" s="12" t="n">
        <f aca="false">IF(AND(ISNUMBER(R374),R374&gt;1,P374&gt;0),R374/P374-1,"")</f>
        <v>-0.694332866590287</v>
      </c>
    </row>
    <row r="375" customFormat="false" ht="15" hidden="false" customHeight="false" outlineLevel="0" collapsed="false">
      <c r="A375" s="10" t="s">
        <v>211</v>
      </c>
      <c r="B375" s="10" t="s">
        <v>57</v>
      </c>
      <c r="C375" s="10" t="s">
        <v>212</v>
      </c>
      <c r="D375" s="10"/>
      <c r="E375" s="11" t="n">
        <v>14</v>
      </c>
      <c r="F375" s="10" t="s">
        <v>291</v>
      </c>
      <c r="G375" s="7" t="n">
        <v>17</v>
      </c>
      <c r="H375" s="10" t="s">
        <v>976</v>
      </c>
      <c r="I375" s="10" t="s">
        <v>856</v>
      </c>
      <c r="J375" s="10" t="s">
        <v>977</v>
      </c>
      <c r="K375" s="7" t="n">
        <v>0</v>
      </c>
      <c r="L375" s="7" t="n">
        <v>0</v>
      </c>
      <c r="M375" s="7" t="n">
        <v>8</v>
      </c>
      <c r="N375" s="7" t="n">
        <v>24</v>
      </c>
      <c r="O375" s="7" t="n">
        <v>10</v>
      </c>
      <c r="P375" s="8" t="n">
        <v>39.3871941844846</v>
      </c>
      <c r="Q375" s="9" t="n">
        <v>0.0253889625982528</v>
      </c>
      <c r="R375" s="8" t="n">
        <v>13</v>
      </c>
      <c r="S375" s="12" t="n">
        <f aca="false">IF(AND(ISNUMBER(R375),R375&gt;1,P375&gt;0),R375/P375-1,"")</f>
        <v>-0.669943486222713</v>
      </c>
    </row>
    <row r="376" customFormat="false" ht="15" hidden="false" customHeight="false" outlineLevel="0" collapsed="false">
      <c r="A376" s="10" t="s">
        <v>211</v>
      </c>
      <c r="B376" s="10" t="s">
        <v>57</v>
      </c>
      <c r="C376" s="10" t="s">
        <v>212</v>
      </c>
      <c r="D376" s="10"/>
      <c r="E376" s="11" t="n">
        <v>14</v>
      </c>
      <c r="F376" s="10" t="s">
        <v>291</v>
      </c>
      <c r="G376" s="7" t="n">
        <v>17</v>
      </c>
      <c r="H376" s="10" t="s">
        <v>978</v>
      </c>
      <c r="I376" s="10" t="s">
        <v>979</v>
      </c>
      <c r="J376" s="10" t="s">
        <v>572</v>
      </c>
      <c r="K376" s="7" t="n">
        <v>0</v>
      </c>
      <c r="L376" s="7" t="n">
        <v>0</v>
      </c>
      <c r="M376" s="7" t="n">
        <v>9</v>
      </c>
      <c r="N376" s="7" t="n">
        <v>202</v>
      </c>
      <c r="O376" s="7" t="n">
        <v>11</v>
      </c>
      <c r="P376" s="8" t="n">
        <v>115.285614582667</v>
      </c>
      <c r="Q376" s="9" t="n">
        <v>0.0086741091125721</v>
      </c>
      <c r="R376" s="8" t="n">
        <v>26</v>
      </c>
      <c r="S376" s="12" t="n">
        <f aca="false">IF(AND(ISNUMBER(R376),R376&gt;1,P376&gt;0),R376/P376-1,"")</f>
        <v>-0.774473163073123</v>
      </c>
    </row>
    <row r="377" customFormat="false" ht="15" hidden="false" customHeight="false" outlineLevel="0" collapsed="false">
      <c r="A377" s="10" t="s">
        <v>211</v>
      </c>
      <c r="B377" s="10" t="s">
        <v>57</v>
      </c>
      <c r="C377" s="10" t="s">
        <v>212</v>
      </c>
      <c r="D377" s="10"/>
      <c r="E377" s="11" t="n">
        <v>14</v>
      </c>
      <c r="F377" s="10" t="s">
        <v>291</v>
      </c>
      <c r="G377" s="7" t="n">
        <v>17</v>
      </c>
      <c r="H377" s="10" t="s">
        <v>980</v>
      </c>
      <c r="I377" s="10" t="s">
        <v>981</v>
      </c>
      <c r="J377" s="10" t="s">
        <v>572</v>
      </c>
      <c r="K377" s="7" t="n">
        <v>0</v>
      </c>
      <c r="L377" s="7" t="n">
        <v>68</v>
      </c>
      <c r="M377" s="7" t="n">
        <v>4</v>
      </c>
      <c r="N377" s="7" t="n">
        <v>138</v>
      </c>
      <c r="O377" s="7" t="n">
        <v>12</v>
      </c>
      <c r="P377" s="8" t="n">
        <v>155.677427344208</v>
      </c>
      <c r="Q377" s="9" t="n">
        <v>0.0064235388332116</v>
      </c>
      <c r="R377" s="8" t="n">
        <v>26</v>
      </c>
      <c r="S377" s="12" t="n">
        <f aca="false">IF(AND(ISNUMBER(R377),R377&gt;1,P377&gt;0),R377/P377-1,"")</f>
        <v>-0.832987990336498</v>
      </c>
    </row>
    <row r="378" customFormat="false" ht="15" hidden="false" customHeight="false" outlineLevel="0" collapsed="false">
      <c r="A378" s="10" t="s">
        <v>211</v>
      </c>
      <c r="B378" s="10" t="s">
        <v>57</v>
      </c>
      <c r="C378" s="10" t="s">
        <v>212</v>
      </c>
      <c r="D378" s="10"/>
      <c r="E378" s="11" t="n">
        <v>14</v>
      </c>
      <c r="F378" s="10" t="s">
        <v>291</v>
      </c>
      <c r="G378" s="7" t="n">
        <v>17</v>
      </c>
      <c r="H378" s="10" t="s">
        <v>982</v>
      </c>
      <c r="I378" s="10" t="s">
        <v>983</v>
      </c>
      <c r="J378" s="10" t="s">
        <v>848</v>
      </c>
      <c r="K378" s="7" t="n">
        <v>0</v>
      </c>
      <c r="L378" s="7" t="n">
        <v>65</v>
      </c>
      <c r="M378" s="7" t="n">
        <v>6</v>
      </c>
      <c r="N378" s="7" t="n">
        <v>26</v>
      </c>
      <c r="O378" s="7" t="n">
        <v>13</v>
      </c>
      <c r="P378" s="8" t="n">
        <v>209.270103421173</v>
      </c>
      <c r="Q378" s="9" t="n">
        <v>0.0047785134314547</v>
      </c>
      <c r="R378" s="8" t="n">
        <v>41</v>
      </c>
      <c r="S378" s="12" t="n">
        <f aca="false">IF(AND(ISNUMBER(R378),R378&gt;1,P378&gt;0),R378/P378-1,"")</f>
        <v>-0.804080949310355</v>
      </c>
    </row>
    <row r="379" customFormat="false" ht="15" hidden="false" customHeight="false" outlineLevel="0" collapsed="false">
      <c r="A379" s="10" t="s">
        <v>211</v>
      </c>
      <c r="B379" s="10" t="s">
        <v>57</v>
      </c>
      <c r="C379" s="10" t="s">
        <v>212</v>
      </c>
      <c r="D379" s="10"/>
      <c r="E379" s="11" t="n">
        <v>14</v>
      </c>
      <c r="F379" s="10" t="s">
        <v>291</v>
      </c>
      <c r="G379" s="7" t="n">
        <v>17</v>
      </c>
      <c r="H379" s="10" t="s">
        <v>984</v>
      </c>
      <c r="I379" s="10" t="s">
        <v>358</v>
      </c>
      <c r="J379" s="10" t="s">
        <v>985</v>
      </c>
      <c r="K379" s="7" t="n">
        <v>0</v>
      </c>
      <c r="L379" s="7" t="n">
        <v>116</v>
      </c>
      <c r="M379" s="7" t="n">
        <v>9</v>
      </c>
      <c r="N379" s="7" t="n">
        <v>21</v>
      </c>
      <c r="O379" s="7" t="n">
        <v>14</v>
      </c>
      <c r="P379" s="8" t="n">
        <v>298.749682783343</v>
      </c>
      <c r="Q379" s="9" t="n">
        <v>0.0033472838889178</v>
      </c>
      <c r="R379" s="8" t="n">
        <v>51</v>
      </c>
      <c r="S379" s="12" t="n">
        <f aca="false">IF(AND(ISNUMBER(R379),R379&gt;1,P379&gt;0),R379/P379-1,"")</f>
        <v>-0.82928852166519</v>
      </c>
    </row>
    <row r="380" customFormat="false" ht="15" hidden="false" customHeight="false" outlineLevel="0" collapsed="false">
      <c r="A380" s="10" t="s">
        <v>211</v>
      </c>
      <c r="B380" s="10" t="s">
        <v>57</v>
      </c>
      <c r="C380" s="10" t="s">
        <v>212</v>
      </c>
      <c r="D380" s="10"/>
      <c r="E380" s="11" t="n">
        <v>14</v>
      </c>
      <c r="F380" s="10" t="s">
        <v>291</v>
      </c>
      <c r="G380" s="7" t="n">
        <v>17</v>
      </c>
      <c r="H380" s="10" t="s">
        <v>986</v>
      </c>
      <c r="I380" s="10" t="s">
        <v>987</v>
      </c>
      <c r="J380" s="10" t="s">
        <v>977</v>
      </c>
      <c r="K380" s="7" t="n">
        <v>0</v>
      </c>
      <c r="L380" s="7" t="n">
        <v>0</v>
      </c>
      <c r="M380" s="7" t="n">
        <v>5</v>
      </c>
      <c r="N380" s="7" t="n">
        <v>207</v>
      </c>
      <c r="O380" s="7" t="n">
        <v>15</v>
      </c>
      <c r="P380" s="8" t="n">
        <v>348.770672226642</v>
      </c>
      <c r="Q380" s="9" t="n">
        <v>0.0028672135578824</v>
      </c>
      <c r="R380" s="8" t="n">
        <v>101</v>
      </c>
      <c r="S380" s="12" t="n">
        <f aca="false">IF(AND(ISNUMBER(R380),R380&gt;1,P380&gt;0),R380/P380-1,"")</f>
        <v>-0.710411430653874</v>
      </c>
    </row>
    <row r="381" customFormat="false" ht="15" hidden="false" customHeight="false" outlineLevel="0" collapsed="false">
      <c r="A381" s="10" t="s">
        <v>211</v>
      </c>
      <c r="B381" s="10" t="s">
        <v>57</v>
      </c>
      <c r="C381" s="10" t="s">
        <v>212</v>
      </c>
      <c r="D381" s="10"/>
      <c r="E381" s="11" t="n">
        <v>14</v>
      </c>
      <c r="F381" s="10" t="s">
        <v>291</v>
      </c>
      <c r="G381" s="7" t="n">
        <v>17</v>
      </c>
      <c r="H381" s="10" t="s">
        <v>988</v>
      </c>
      <c r="I381" s="10" t="s">
        <v>989</v>
      </c>
      <c r="J381" s="10" t="s">
        <v>985</v>
      </c>
      <c r="K381" s="7" t="n">
        <v>0</v>
      </c>
      <c r="L381" s="7" t="n">
        <v>85</v>
      </c>
      <c r="M381" s="7" t="n">
        <v>11</v>
      </c>
      <c r="N381" s="7" t="n">
        <v>364</v>
      </c>
      <c r="O381" s="7" t="n">
        <v>16</v>
      </c>
      <c r="P381" s="8" t="n">
        <v>1030.10617936094</v>
      </c>
      <c r="Q381" s="9" t="n">
        <v>0.0009707737124928</v>
      </c>
      <c r="R381" s="8" t="n">
        <v>151</v>
      </c>
      <c r="S381" s="12" t="n">
        <f aca="false">IF(AND(ISNUMBER(R381),R381&gt;1,P381&gt;0),R381/P381-1,"")</f>
        <v>-0.853413169413586</v>
      </c>
    </row>
    <row r="382" customFormat="false" ht="15" hidden="false" customHeight="false" outlineLevel="0" collapsed="false">
      <c r="A382" s="10" t="s">
        <v>211</v>
      </c>
      <c r="B382" s="10" t="s">
        <v>57</v>
      </c>
      <c r="C382" s="10" t="s">
        <v>212</v>
      </c>
      <c r="D382" s="10"/>
      <c r="E382" s="11" t="n">
        <v>14</v>
      </c>
      <c r="F382" s="10" t="s">
        <v>291</v>
      </c>
      <c r="G382" s="7" t="n">
        <v>17</v>
      </c>
      <c r="H382" s="10" t="s">
        <v>990</v>
      </c>
      <c r="I382" s="10" t="s">
        <v>358</v>
      </c>
      <c r="J382" s="10" t="s">
        <v>991</v>
      </c>
      <c r="K382" s="7" t="n">
        <v>0</v>
      </c>
      <c r="L382" s="7" t="n">
        <v>58</v>
      </c>
      <c r="M382" s="7" t="n">
        <v>6</v>
      </c>
      <c r="N382" s="7" t="n">
        <v>63</v>
      </c>
      <c r="O382" s="7" t="n">
        <v>17</v>
      </c>
      <c r="P382" s="8" t="n">
        <v>1540.14468744053</v>
      </c>
      <c r="Q382" s="9" t="n">
        <v>0.0006492896467161</v>
      </c>
      <c r="R382" s="8" t="n">
        <v>201</v>
      </c>
      <c r="S382" s="12" t="n">
        <f aca="false">IF(AND(ISNUMBER(R382),R382&gt;1,P382&gt;0),R382/P382-1,"")</f>
        <v>-0.869492781010056</v>
      </c>
    </row>
    <row r="383" customFormat="false" ht="15" hidden="false" customHeight="false" outlineLevel="0" collapsed="false">
      <c r="A383" s="10" t="s">
        <v>216</v>
      </c>
      <c r="B383" s="10" t="s">
        <v>172</v>
      </c>
      <c r="C383" s="10" t="s">
        <v>217</v>
      </c>
      <c r="D383" s="10" t="s">
        <v>508</v>
      </c>
      <c r="E383" s="11" t="n">
        <v>6</v>
      </c>
      <c r="F383" s="10" t="s">
        <v>796</v>
      </c>
      <c r="G383" s="7" t="n">
        <v>5</v>
      </c>
      <c r="H383" s="10" t="s">
        <v>218</v>
      </c>
      <c r="I383" s="10" t="s">
        <v>219</v>
      </c>
      <c r="J383" s="10" t="s">
        <v>220</v>
      </c>
      <c r="K383" s="7" t="n">
        <v>3</v>
      </c>
      <c r="L383" s="7" t="n">
        <v>64</v>
      </c>
      <c r="M383" s="7" t="n">
        <v>3</v>
      </c>
      <c r="N383" s="7" t="n">
        <v>23</v>
      </c>
      <c r="O383" s="7" t="n">
        <v>1</v>
      </c>
      <c r="P383" s="8" t="n">
        <v>2.69774848738914</v>
      </c>
      <c r="Q383" s="9" t="n">
        <v>0.370679477599408</v>
      </c>
      <c r="R383" s="8" t="n">
        <v>4.33333333333333</v>
      </c>
      <c r="S383" s="12" t="n">
        <f aca="false">IF(AND(ISNUMBER(R383),R383&gt;1,P383&gt;0),R383/P383-1,"")</f>
        <v>0.606277736264103</v>
      </c>
    </row>
    <row r="384" customFormat="false" ht="15" hidden="false" customHeight="false" outlineLevel="0" collapsed="false">
      <c r="A384" s="10" t="s">
        <v>216</v>
      </c>
      <c r="B384" s="10" t="s">
        <v>172</v>
      </c>
      <c r="C384" s="10" t="s">
        <v>217</v>
      </c>
      <c r="D384" s="10" t="s">
        <v>508</v>
      </c>
      <c r="E384" s="11" t="n">
        <v>6</v>
      </c>
      <c r="F384" s="10" t="s">
        <v>796</v>
      </c>
      <c r="G384" s="7" t="n">
        <v>5</v>
      </c>
      <c r="H384" s="10" t="s">
        <v>221</v>
      </c>
      <c r="I384" s="10" t="s">
        <v>265</v>
      </c>
      <c r="J384" s="10" t="s">
        <v>918</v>
      </c>
      <c r="K384" s="7" t="n">
        <v>2</v>
      </c>
      <c r="L384" s="7" t="n">
        <v>77</v>
      </c>
      <c r="M384" s="7" t="n">
        <v>3</v>
      </c>
      <c r="N384" s="7" t="n">
        <v>41</v>
      </c>
      <c r="O384" s="7" t="n">
        <v>2</v>
      </c>
      <c r="P384" s="8" t="n">
        <v>3.20752358233918</v>
      </c>
      <c r="Q384" s="9" t="n">
        <v>0.311766998536211</v>
      </c>
      <c r="R384" s="8" t="n">
        <v>2.25</v>
      </c>
      <c r="S384" s="12" t="n">
        <f aca="false">IF(AND(ISNUMBER(R384),R384&gt;1,P384&gt;0),R384/P384-1,"")</f>
        <v>-0.298524253293526</v>
      </c>
    </row>
    <row r="385" customFormat="false" ht="15" hidden="false" customHeight="false" outlineLevel="0" collapsed="false">
      <c r="A385" s="10" t="s">
        <v>216</v>
      </c>
      <c r="B385" s="10" t="s">
        <v>172</v>
      </c>
      <c r="C385" s="10" t="s">
        <v>217</v>
      </c>
      <c r="D385" s="10" t="s">
        <v>508</v>
      </c>
      <c r="E385" s="11" t="n">
        <v>6</v>
      </c>
      <c r="F385" s="10" t="s">
        <v>796</v>
      </c>
      <c r="G385" s="7" t="n">
        <v>5</v>
      </c>
      <c r="H385" s="10" t="s">
        <v>992</v>
      </c>
      <c r="I385" s="10" t="s">
        <v>993</v>
      </c>
      <c r="J385" s="10" t="s">
        <v>748</v>
      </c>
      <c r="K385" s="7" t="n">
        <v>1</v>
      </c>
      <c r="L385" s="7" t="n">
        <v>0</v>
      </c>
      <c r="M385" s="7" t="n">
        <v>3</v>
      </c>
      <c r="N385" s="7" t="n">
        <v>20</v>
      </c>
      <c r="O385" s="7" t="n">
        <v>3</v>
      </c>
      <c r="P385" s="8" t="n">
        <v>8.45160545567705</v>
      </c>
      <c r="Q385" s="9" t="n">
        <v>0.118320714951062</v>
      </c>
      <c r="R385" s="8" t="n">
        <v>4.33333333333333</v>
      </c>
      <c r="S385" s="12" t="n">
        <f aca="false">IF(AND(ISNUMBER(R385),R385&gt;1,P385&gt;0),R385/P385-1,"")</f>
        <v>-0.487276901878733</v>
      </c>
    </row>
    <row r="386" customFormat="false" ht="15" hidden="false" customHeight="false" outlineLevel="0" collapsed="false">
      <c r="A386" s="10" t="s">
        <v>216</v>
      </c>
      <c r="B386" s="10" t="s">
        <v>172</v>
      </c>
      <c r="C386" s="10" t="s">
        <v>217</v>
      </c>
      <c r="D386" s="10" t="s">
        <v>508</v>
      </c>
      <c r="E386" s="11" t="n">
        <v>6</v>
      </c>
      <c r="F386" s="10" t="s">
        <v>796</v>
      </c>
      <c r="G386" s="7" t="n">
        <v>5</v>
      </c>
      <c r="H386" s="10" t="s">
        <v>994</v>
      </c>
      <c r="I386" s="10" t="s">
        <v>815</v>
      </c>
      <c r="J386" s="10" t="s">
        <v>427</v>
      </c>
      <c r="K386" s="7" t="n">
        <v>5</v>
      </c>
      <c r="L386" s="7" t="n">
        <v>0</v>
      </c>
      <c r="M386" s="7" t="n">
        <v>3</v>
      </c>
      <c r="N386" s="7" t="n">
        <v>40</v>
      </c>
      <c r="O386" s="7" t="n">
        <v>4</v>
      </c>
      <c r="P386" s="8" t="n">
        <v>9.24292737564005</v>
      </c>
      <c r="Q386" s="9" t="n">
        <v>0.108190831687753</v>
      </c>
      <c r="R386" s="8" t="n">
        <v>6.5</v>
      </c>
      <c r="S386" s="12" t="n">
        <f aca="false">IF(AND(ISNUMBER(R386),R386&gt;1,P386&gt;0),R386/P386-1,"")</f>
        <v>-0.296759594029603</v>
      </c>
    </row>
    <row r="387" customFormat="false" ht="15" hidden="false" customHeight="false" outlineLevel="0" collapsed="false">
      <c r="A387" s="10" t="s">
        <v>216</v>
      </c>
      <c r="B387" s="10" t="s">
        <v>172</v>
      </c>
      <c r="C387" s="10" t="s">
        <v>217</v>
      </c>
      <c r="D387" s="10" t="s">
        <v>508</v>
      </c>
      <c r="E387" s="11" t="n">
        <v>6</v>
      </c>
      <c r="F387" s="10" t="s">
        <v>796</v>
      </c>
      <c r="G387" s="7" t="n">
        <v>5</v>
      </c>
      <c r="H387" s="10" t="s">
        <v>995</v>
      </c>
      <c r="I387" s="10" t="s">
        <v>196</v>
      </c>
      <c r="J387" s="10" t="s">
        <v>197</v>
      </c>
      <c r="K387" s="7" t="n">
        <v>4</v>
      </c>
      <c r="L387" s="7" t="n">
        <v>0</v>
      </c>
      <c r="M387" s="7" t="n">
        <v>3</v>
      </c>
      <c r="N387" s="7" t="n">
        <v>20</v>
      </c>
      <c r="O387" s="7" t="n">
        <v>5</v>
      </c>
      <c r="P387" s="8" t="n">
        <v>10.983944225227</v>
      </c>
      <c r="Q387" s="9" t="n">
        <v>0.0910419772255661</v>
      </c>
      <c r="R387" s="8" t="n">
        <v>13</v>
      </c>
      <c r="S387" s="12" t="n">
        <f aca="false">IF(AND(ISNUMBER(R387),R387&gt;1,P387&gt;0),R387/P387-1,"")</f>
        <v>0.183545703932359</v>
      </c>
    </row>
    <row r="388" customFormat="false" ht="15" hidden="false" customHeight="false" outlineLevel="0" collapsed="false">
      <c r="A388" s="10" t="s">
        <v>222</v>
      </c>
      <c r="B388" s="10" t="s">
        <v>205</v>
      </c>
      <c r="C388" s="10" t="s">
        <v>223</v>
      </c>
      <c r="D388" s="10"/>
      <c r="E388" s="11" t="n">
        <v>6</v>
      </c>
      <c r="F388" s="10" t="s">
        <v>796</v>
      </c>
      <c r="G388" s="7" t="n">
        <v>13</v>
      </c>
      <c r="H388" s="10" t="s">
        <v>224</v>
      </c>
      <c r="I388" s="10" t="s">
        <v>225</v>
      </c>
      <c r="J388" s="10" t="s">
        <v>226</v>
      </c>
      <c r="K388" s="7" t="n">
        <v>12</v>
      </c>
      <c r="L388" s="7" t="n">
        <v>72</v>
      </c>
      <c r="M388" s="7" t="n">
        <v>3</v>
      </c>
      <c r="N388" s="7" t="n">
        <v>4</v>
      </c>
      <c r="O388" s="7" t="n">
        <v>1</v>
      </c>
      <c r="P388" s="8" t="n">
        <v>5.06011716973023</v>
      </c>
      <c r="Q388" s="9" t="n">
        <v>0.197623882304945</v>
      </c>
      <c r="R388" s="8" t="n">
        <v>7</v>
      </c>
      <c r="S388" s="12" t="n">
        <f aca="false">IF(AND(ISNUMBER(R388),R388&gt;1,P388&gt;0),R388/P388-1,"")</f>
        <v>0.383367176134617</v>
      </c>
    </row>
    <row r="389" customFormat="false" ht="15" hidden="false" customHeight="false" outlineLevel="0" collapsed="false">
      <c r="A389" s="10" t="s">
        <v>222</v>
      </c>
      <c r="B389" s="10" t="s">
        <v>205</v>
      </c>
      <c r="C389" s="10" t="s">
        <v>223</v>
      </c>
      <c r="D389" s="10"/>
      <c r="E389" s="11" t="n">
        <v>6</v>
      </c>
      <c r="F389" s="10" t="s">
        <v>796</v>
      </c>
      <c r="G389" s="7" t="n">
        <v>13</v>
      </c>
      <c r="H389" s="10" t="s">
        <v>227</v>
      </c>
      <c r="I389" s="10" t="s">
        <v>996</v>
      </c>
      <c r="J389" s="10" t="s">
        <v>997</v>
      </c>
      <c r="K389" s="7" t="n">
        <v>4</v>
      </c>
      <c r="L389" s="7" t="n">
        <v>74</v>
      </c>
      <c r="M389" s="7" t="n">
        <v>4</v>
      </c>
      <c r="N389" s="7" t="n">
        <v>15</v>
      </c>
      <c r="O389" s="7" t="n">
        <v>2</v>
      </c>
      <c r="P389" s="8" t="n">
        <v>6.33827476259276</v>
      </c>
      <c r="Q389" s="9" t="n">
        <v>0.157771639358679</v>
      </c>
      <c r="R389" s="8" t="n">
        <v>4.5</v>
      </c>
      <c r="S389" s="12" t="n">
        <f aca="false">IF(AND(ISNUMBER(R389),R389&gt;1,P389&gt;0),R389/P389-1,"")</f>
        <v>-0.290027622885945</v>
      </c>
    </row>
    <row r="390" customFormat="false" ht="15" hidden="false" customHeight="false" outlineLevel="0" collapsed="false">
      <c r="A390" s="10" t="s">
        <v>222</v>
      </c>
      <c r="B390" s="10" t="s">
        <v>205</v>
      </c>
      <c r="C390" s="10" t="s">
        <v>223</v>
      </c>
      <c r="D390" s="10"/>
      <c r="E390" s="11" t="n">
        <v>6</v>
      </c>
      <c r="F390" s="10" t="s">
        <v>796</v>
      </c>
      <c r="G390" s="7" t="n">
        <v>13</v>
      </c>
      <c r="H390" s="10" t="s">
        <v>998</v>
      </c>
      <c r="I390" s="10" t="s">
        <v>955</v>
      </c>
      <c r="J390" s="10" t="s">
        <v>956</v>
      </c>
      <c r="K390" s="7" t="n">
        <v>5</v>
      </c>
      <c r="L390" s="7" t="n">
        <v>62</v>
      </c>
      <c r="M390" s="7" t="n">
        <v>5</v>
      </c>
      <c r="N390" s="7" t="n">
        <v>4</v>
      </c>
      <c r="O390" s="7" t="n">
        <v>3</v>
      </c>
      <c r="P390" s="8" t="n">
        <v>7.12121427627277</v>
      </c>
      <c r="Q390" s="9" t="n">
        <v>0.140425489418554</v>
      </c>
      <c r="R390" s="8" t="n">
        <v>4.5</v>
      </c>
      <c r="S390" s="12" t="n">
        <f aca="false">IF(AND(ISNUMBER(R390),R390&gt;1,P390&gt;0),R390/P390-1,"")</f>
        <v>-0.368085297616506</v>
      </c>
    </row>
    <row r="391" customFormat="false" ht="15" hidden="false" customHeight="false" outlineLevel="0" collapsed="false">
      <c r="A391" s="10" t="s">
        <v>222</v>
      </c>
      <c r="B391" s="10" t="s">
        <v>205</v>
      </c>
      <c r="C391" s="10" t="s">
        <v>223</v>
      </c>
      <c r="D391" s="10"/>
      <c r="E391" s="11" t="n">
        <v>6</v>
      </c>
      <c r="F391" s="10" t="s">
        <v>796</v>
      </c>
      <c r="G391" s="7" t="n">
        <v>13</v>
      </c>
      <c r="H391" s="10" t="s">
        <v>999</v>
      </c>
      <c r="I391" s="10" t="s">
        <v>1000</v>
      </c>
      <c r="J391" s="10" t="s">
        <v>1001</v>
      </c>
      <c r="K391" s="7" t="n">
        <v>2</v>
      </c>
      <c r="L391" s="7" t="n">
        <v>68</v>
      </c>
      <c r="M391" s="7" t="n">
        <v>7</v>
      </c>
      <c r="N391" s="7" t="n">
        <v>16</v>
      </c>
      <c r="O391" s="7" t="n">
        <v>4</v>
      </c>
      <c r="P391" s="8" t="n">
        <v>9.46013111232125</v>
      </c>
      <c r="Q391" s="9" t="n">
        <v>0.105706780183793</v>
      </c>
      <c r="R391" s="8" t="n">
        <v>6.5</v>
      </c>
      <c r="S391" s="12" t="n">
        <f aca="false">IF(AND(ISNUMBER(R391),R391&gt;1,P391&gt;0),R391/P391-1,"")</f>
        <v>-0.312905928805348</v>
      </c>
    </row>
    <row r="392" customFormat="false" ht="15" hidden="false" customHeight="false" outlineLevel="0" collapsed="false">
      <c r="A392" s="10" t="s">
        <v>222</v>
      </c>
      <c r="B392" s="10" t="s">
        <v>205</v>
      </c>
      <c r="C392" s="10" t="s">
        <v>223</v>
      </c>
      <c r="D392" s="10"/>
      <c r="E392" s="11" t="n">
        <v>6</v>
      </c>
      <c r="F392" s="10" t="s">
        <v>796</v>
      </c>
      <c r="G392" s="7" t="n">
        <v>13</v>
      </c>
      <c r="H392" s="10" t="s">
        <v>1002</v>
      </c>
      <c r="I392" s="10" t="s">
        <v>1003</v>
      </c>
      <c r="J392" s="10" t="s">
        <v>1004</v>
      </c>
      <c r="K392" s="7" t="n">
        <v>3</v>
      </c>
      <c r="L392" s="7" t="n">
        <v>74</v>
      </c>
      <c r="M392" s="7" t="n">
        <v>3</v>
      </c>
      <c r="N392" s="7" t="n">
        <v>125</v>
      </c>
      <c r="O392" s="7" t="n">
        <v>5</v>
      </c>
      <c r="P392" s="8" t="n">
        <v>11.8637183255989</v>
      </c>
      <c r="Q392" s="9" t="n">
        <v>0.0842906054033878</v>
      </c>
      <c r="R392" s="8" t="n">
        <v>11</v>
      </c>
      <c r="S392" s="12" t="n">
        <f aca="false">IF(AND(ISNUMBER(R392),R392&gt;1,P392&gt;0),R392/P392-1,"")</f>
        <v>-0.0728033405627335</v>
      </c>
    </row>
    <row r="393" customFormat="false" ht="15" hidden="false" customHeight="false" outlineLevel="0" collapsed="false">
      <c r="A393" s="10" t="s">
        <v>222</v>
      </c>
      <c r="B393" s="10" t="s">
        <v>205</v>
      </c>
      <c r="C393" s="10" t="s">
        <v>223</v>
      </c>
      <c r="D393" s="10"/>
      <c r="E393" s="11" t="n">
        <v>6</v>
      </c>
      <c r="F393" s="10" t="s">
        <v>796</v>
      </c>
      <c r="G393" s="7" t="n">
        <v>13</v>
      </c>
      <c r="H393" s="10" t="s">
        <v>1005</v>
      </c>
      <c r="I393" s="10" t="s">
        <v>1006</v>
      </c>
      <c r="J393" s="10" t="s">
        <v>647</v>
      </c>
      <c r="K393" s="7" t="n">
        <v>10</v>
      </c>
      <c r="L393" s="7" t="n">
        <v>60</v>
      </c>
      <c r="M393" s="7" t="n">
        <v>3</v>
      </c>
      <c r="N393" s="7" t="n">
        <v>7</v>
      </c>
      <c r="O393" s="7" t="n">
        <v>6</v>
      </c>
      <c r="P393" s="8" t="n">
        <v>11.9129038961359</v>
      </c>
      <c r="Q393" s="9" t="n">
        <v>0.0839425893735586</v>
      </c>
      <c r="R393" s="8" t="n">
        <v>9</v>
      </c>
      <c r="S393" s="12" t="n">
        <f aca="false">IF(AND(ISNUMBER(R393),R393&gt;1,P393&gt;0),R393/P393-1,"")</f>
        <v>-0.244516695637972</v>
      </c>
    </row>
    <row r="394" customFormat="false" ht="15" hidden="false" customHeight="false" outlineLevel="0" collapsed="false">
      <c r="A394" s="10" t="s">
        <v>222</v>
      </c>
      <c r="B394" s="10" t="s">
        <v>205</v>
      </c>
      <c r="C394" s="10" t="s">
        <v>223</v>
      </c>
      <c r="D394" s="10"/>
      <c r="E394" s="11" t="n">
        <v>6</v>
      </c>
      <c r="F394" s="10" t="s">
        <v>796</v>
      </c>
      <c r="G394" s="7" t="n">
        <v>13</v>
      </c>
      <c r="H394" s="10" t="s">
        <v>1007</v>
      </c>
      <c r="I394" s="10" t="s">
        <v>1008</v>
      </c>
      <c r="J394" s="10" t="s">
        <v>944</v>
      </c>
      <c r="K394" s="7" t="n">
        <v>9</v>
      </c>
      <c r="L394" s="7" t="n">
        <v>69</v>
      </c>
      <c r="M394" s="7" t="n">
        <v>3</v>
      </c>
      <c r="N394" s="7" t="n">
        <v>16</v>
      </c>
      <c r="O394" s="7" t="n">
        <v>7</v>
      </c>
      <c r="P394" s="8" t="n">
        <v>15.0317111400452</v>
      </c>
      <c r="Q394" s="9" t="n">
        <v>0.0665260255923859</v>
      </c>
      <c r="R394" s="8" t="n">
        <v>12</v>
      </c>
      <c r="S394" s="12" t="n">
        <f aca="false">IF(AND(ISNUMBER(R394),R394&gt;1,P394&gt;0),R394/P394-1,"")</f>
        <v>-0.201687692891369</v>
      </c>
    </row>
    <row r="395" customFormat="false" ht="15" hidden="false" customHeight="false" outlineLevel="0" collapsed="false">
      <c r="A395" s="10" t="s">
        <v>222</v>
      </c>
      <c r="B395" s="10" t="s">
        <v>205</v>
      </c>
      <c r="C395" s="10" t="s">
        <v>223</v>
      </c>
      <c r="D395" s="10"/>
      <c r="E395" s="11" t="n">
        <v>6</v>
      </c>
      <c r="F395" s="10" t="s">
        <v>796</v>
      </c>
      <c r="G395" s="7" t="n">
        <v>13</v>
      </c>
      <c r="H395" s="10" t="s">
        <v>1009</v>
      </c>
      <c r="I395" s="10" t="s">
        <v>1010</v>
      </c>
      <c r="J395" s="10" t="s">
        <v>1011</v>
      </c>
      <c r="K395" s="7" t="n">
        <v>6</v>
      </c>
      <c r="L395" s="7" t="n">
        <v>72</v>
      </c>
      <c r="M395" s="7" t="n">
        <v>3</v>
      </c>
      <c r="N395" s="7" t="n">
        <v>16</v>
      </c>
      <c r="O395" s="7" t="n">
        <v>8</v>
      </c>
      <c r="P395" s="8" t="n">
        <v>18.5350037176252</v>
      </c>
      <c r="Q395" s="9" t="n">
        <v>0.0539519719140432</v>
      </c>
      <c r="R395" s="8" t="n">
        <v>26</v>
      </c>
      <c r="S395" s="12" t="n">
        <f aca="false">IF(AND(ISNUMBER(R395),R395&gt;1,P395&gt;0),R395/P395-1,"")</f>
        <v>0.402751269765125</v>
      </c>
    </row>
    <row r="396" customFormat="false" ht="15" hidden="false" customHeight="false" outlineLevel="0" collapsed="false">
      <c r="A396" s="10" t="s">
        <v>222</v>
      </c>
      <c r="B396" s="10" t="s">
        <v>205</v>
      </c>
      <c r="C396" s="10" t="s">
        <v>223</v>
      </c>
      <c r="D396" s="10"/>
      <c r="E396" s="11" t="n">
        <v>6</v>
      </c>
      <c r="F396" s="10" t="s">
        <v>796</v>
      </c>
      <c r="G396" s="7" t="n">
        <v>13</v>
      </c>
      <c r="H396" s="10" t="s">
        <v>1012</v>
      </c>
      <c r="I396" s="10" t="s">
        <v>1013</v>
      </c>
      <c r="J396" s="10" t="s">
        <v>1014</v>
      </c>
      <c r="K396" s="7" t="n">
        <v>1</v>
      </c>
      <c r="L396" s="7" t="n">
        <v>53</v>
      </c>
      <c r="M396" s="7" t="n">
        <v>3</v>
      </c>
      <c r="N396" s="7" t="n">
        <v>16</v>
      </c>
      <c r="O396" s="7" t="n">
        <v>9</v>
      </c>
      <c r="P396" s="8" t="n">
        <v>30.6616399986626</v>
      </c>
      <c r="Q396" s="9" t="n">
        <v>0.032614041520402</v>
      </c>
      <c r="R396" s="8" t="n">
        <v>19</v>
      </c>
      <c r="S396" s="12" t="n">
        <f aca="false">IF(AND(ISNUMBER(R396),R396&gt;1,P396&gt;0),R396/P396-1,"")</f>
        <v>-0.380333211112362</v>
      </c>
    </row>
    <row r="397" customFormat="false" ht="15" hidden="false" customHeight="false" outlineLevel="0" collapsed="false">
      <c r="A397" s="10" t="s">
        <v>222</v>
      </c>
      <c r="B397" s="10" t="s">
        <v>205</v>
      </c>
      <c r="C397" s="10" t="s">
        <v>223</v>
      </c>
      <c r="D397" s="10"/>
      <c r="E397" s="11" t="n">
        <v>6</v>
      </c>
      <c r="F397" s="10" t="s">
        <v>796</v>
      </c>
      <c r="G397" s="7" t="n">
        <v>13</v>
      </c>
      <c r="H397" s="10" t="s">
        <v>1015</v>
      </c>
      <c r="I397" s="10" t="s">
        <v>1016</v>
      </c>
      <c r="J397" s="10" t="s">
        <v>635</v>
      </c>
      <c r="K397" s="7" t="n">
        <v>13</v>
      </c>
      <c r="L397" s="7" t="n">
        <v>60</v>
      </c>
      <c r="M397" s="7" t="n">
        <v>3</v>
      </c>
      <c r="N397" s="7" t="n">
        <v>76</v>
      </c>
      <c r="O397" s="7" t="n">
        <v>10</v>
      </c>
      <c r="P397" s="8" t="n">
        <v>31.5606577932941</v>
      </c>
      <c r="Q397" s="9" t="n">
        <v>0.03168501767452</v>
      </c>
      <c r="R397" s="8" t="n">
        <v>8.5</v>
      </c>
      <c r="S397" s="12" t="n">
        <f aca="false">IF(AND(ISNUMBER(R397),R397&gt;1,P397&gt;0),R397/P397-1,"")</f>
        <v>-0.73067734976658</v>
      </c>
    </row>
    <row r="398" customFormat="false" ht="15" hidden="false" customHeight="false" outlineLevel="0" collapsed="false">
      <c r="A398" s="10" t="s">
        <v>222</v>
      </c>
      <c r="B398" s="10" t="s">
        <v>205</v>
      </c>
      <c r="C398" s="10" t="s">
        <v>223</v>
      </c>
      <c r="D398" s="10"/>
      <c r="E398" s="11" t="n">
        <v>6</v>
      </c>
      <c r="F398" s="10" t="s">
        <v>796</v>
      </c>
      <c r="G398" s="7" t="n">
        <v>13</v>
      </c>
      <c r="H398" s="10" t="s">
        <v>1017</v>
      </c>
      <c r="I398" s="10" t="s">
        <v>1018</v>
      </c>
      <c r="J398" s="10" t="s">
        <v>1019</v>
      </c>
      <c r="K398" s="7" t="n">
        <v>7</v>
      </c>
      <c r="L398" s="7" t="n">
        <v>65</v>
      </c>
      <c r="M398" s="7" t="n">
        <v>5</v>
      </c>
      <c r="N398" s="7" t="n">
        <v>15</v>
      </c>
      <c r="O398" s="7" t="n">
        <v>11</v>
      </c>
      <c r="P398" s="8" t="n">
        <v>40.0747231031738</v>
      </c>
      <c r="Q398" s="9" t="n">
        <v>0.0249533851406899</v>
      </c>
      <c r="R398" s="8" t="n">
        <v>21</v>
      </c>
      <c r="S398" s="12" t="n">
        <f aca="false">IF(AND(ISNUMBER(R398),R398&gt;1,P398&gt;0),R398/P398-1,"")</f>
        <v>-0.475978912045512</v>
      </c>
    </row>
    <row r="399" customFormat="false" ht="15" hidden="false" customHeight="false" outlineLevel="0" collapsed="false">
      <c r="A399" s="10" t="s">
        <v>222</v>
      </c>
      <c r="B399" s="10" t="s">
        <v>205</v>
      </c>
      <c r="C399" s="10" t="s">
        <v>223</v>
      </c>
      <c r="D399" s="10"/>
      <c r="E399" s="11" t="n">
        <v>6</v>
      </c>
      <c r="F399" s="10" t="s">
        <v>796</v>
      </c>
      <c r="G399" s="7" t="n">
        <v>13</v>
      </c>
      <c r="H399" s="10" t="s">
        <v>1020</v>
      </c>
      <c r="I399" s="10" t="s">
        <v>1021</v>
      </c>
      <c r="J399" s="10" t="s">
        <v>1022</v>
      </c>
      <c r="K399" s="7" t="n">
        <v>11</v>
      </c>
      <c r="L399" s="7" t="n">
        <v>52</v>
      </c>
      <c r="M399" s="7" t="n">
        <v>3</v>
      </c>
      <c r="N399" s="7" t="n">
        <v>76</v>
      </c>
      <c r="O399" s="7" t="n">
        <v>12</v>
      </c>
      <c r="P399" s="8" t="n">
        <v>60.4880091838246</v>
      </c>
      <c r="Q399" s="9" t="n">
        <v>0.0165322022247578</v>
      </c>
      <c r="R399" s="8" t="n">
        <v>26</v>
      </c>
      <c r="S399" s="12" t="n">
        <f aca="false">IF(AND(ISNUMBER(R399),R399&gt;1,P399&gt;0),R399/P399-1,"")</f>
        <v>-0.570162742156295</v>
      </c>
    </row>
    <row r="400" customFormat="false" ht="15" hidden="false" customHeight="false" outlineLevel="0" collapsed="false">
      <c r="A400" s="10" t="s">
        <v>222</v>
      </c>
      <c r="B400" s="10" t="s">
        <v>205</v>
      </c>
      <c r="C400" s="10" t="s">
        <v>223</v>
      </c>
      <c r="D400" s="10"/>
      <c r="E400" s="11" t="n">
        <v>6</v>
      </c>
      <c r="F400" s="10" t="s">
        <v>796</v>
      </c>
      <c r="G400" s="7" t="n">
        <v>13</v>
      </c>
      <c r="H400" s="10" t="s">
        <v>1023</v>
      </c>
      <c r="I400" s="10" t="s">
        <v>1024</v>
      </c>
      <c r="J400" s="10" t="s">
        <v>937</v>
      </c>
      <c r="K400" s="7" t="n">
        <v>8</v>
      </c>
      <c r="L400" s="7" t="n">
        <v>59</v>
      </c>
      <c r="M400" s="7" t="n">
        <v>3</v>
      </c>
      <c r="N400" s="7" t="n">
        <v>4</v>
      </c>
      <c r="O400" s="7" t="n">
        <v>13</v>
      </c>
      <c r="P400" s="8" t="n">
        <v>251.485658425186</v>
      </c>
      <c r="Q400" s="9" t="n">
        <v>0.0039763698902833</v>
      </c>
      <c r="R400" s="8" t="n">
        <v>51</v>
      </c>
      <c r="S400" s="12" t="n">
        <f aca="false">IF(AND(ISNUMBER(R400),R400&gt;1,P400&gt;0),R400/P400-1,"")</f>
        <v>-0.797205135595547</v>
      </c>
    </row>
    <row r="401" customFormat="false" ht="15" hidden="false" customHeight="false" outlineLevel="0" collapsed="false">
      <c r="A401" s="10" t="s">
        <v>228</v>
      </c>
      <c r="B401" s="10" t="s">
        <v>172</v>
      </c>
      <c r="C401" s="10" t="s">
        <v>229</v>
      </c>
      <c r="D401" s="10" t="s">
        <v>508</v>
      </c>
      <c r="E401" s="11" t="n">
        <v>7</v>
      </c>
      <c r="F401" s="10" t="s">
        <v>796</v>
      </c>
      <c r="G401" s="7" t="n">
        <v>13</v>
      </c>
      <c r="H401" s="10" t="s">
        <v>230</v>
      </c>
      <c r="I401" s="10" t="s">
        <v>231</v>
      </c>
      <c r="J401" s="10" t="s">
        <v>232</v>
      </c>
      <c r="K401" s="7" t="n">
        <v>8</v>
      </c>
      <c r="L401" s="7" t="n">
        <v>0</v>
      </c>
      <c r="M401" s="7" t="n">
        <v>2</v>
      </c>
      <c r="N401" s="7" t="n">
        <v>46</v>
      </c>
      <c r="O401" s="7" t="n">
        <v>1</v>
      </c>
      <c r="P401" s="8" t="n">
        <v>3.03162878460332</v>
      </c>
      <c r="Q401" s="9" t="n">
        <v>0.329855688492827</v>
      </c>
      <c r="R401" s="8" t="n">
        <v>4.33333333333333</v>
      </c>
      <c r="S401" s="12" t="n">
        <f aca="false">IF(AND(ISNUMBER(R401),R401&gt;1,P401&gt;0),R401/P401-1,"")</f>
        <v>0.429374650135583</v>
      </c>
    </row>
    <row r="402" customFormat="false" ht="15" hidden="false" customHeight="false" outlineLevel="0" collapsed="false">
      <c r="A402" s="10" t="s">
        <v>228</v>
      </c>
      <c r="B402" s="10" t="s">
        <v>172</v>
      </c>
      <c r="C402" s="10" t="s">
        <v>229</v>
      </c>
      <c r="D402" s="10" t="s">
        <v>508</v>
      </c>
      <c r="E402" s="11" t="n">
        <v>7</v>
      </c>
      <c r="F402" s="10" t="s">
        <v>796</v>
      </c>
      <c r="G402" s="7" t="n">
        <v>13</v>
      </c>
      <c r="H402" s="10" t="s">
        <v>233</v>
      </c>
      <c r="I402" s="10" t="s">
        <v>274</v>
      </c>
      <c r="J402" s="10" t="s">
        <v>275</v>
      </c>
      <c r="K402" s="7" t="n">
        <v>7</v>
      </c>
      <c r="L402" s="7" t="n">
        <v>69</v>
      </c>
      <c r="M402" s="7" t="n">
        <v>2</v>
      </c>
      <c r="N402" s="7" t="n">
        <v>25</v>
      </c>
      <c r="O402" s="7" t="n">
        <v>2</v>
      </c>
      <c r="P402" s="8" t="n">
        <v>5.90139759197202</v>
      </c>
      <c r="Q402" s="9" t="n">
        <v>0.169451385780269</v>
      </c>
      <c r="R402" s="8" t="n">
        <v>3.5</v>
      </c>
      <c r="S402" s="12" t="n">
        <f aca="false">IF(AND(ISNUMBER(R402),R402&gt;1,P402&gt;0),R402/P402-1,"")</f>
        <v>-0.406920149769059</v>
      </c>
    </row>
    <row r="403" customFormat="false" ht="15" hidden="false" customHeight="false" outlineLevel="0" collapsed="false">
      <c r="A403" s="10" t="s">
        <v>228</v>
      </c>
      <c r="B403" s="10" t="s">
        <v>172</v>
      </c>
      <c r="C403" s="10" t="s">
        <v>229</v>
      </c>
      <c r="D403" s="10" t="s">
        <v>508</v>
      </c>
      <c r="E403" s="11" t="n">
        <v>7</v>
      </c>
      <c r="F403" s="10" t="s">
        <v>796</v>
      </c>
      <c r="G403" s="7" t="n">
        <v>13</v>
      </c>
      <c r="H403" s="10" t="s">
        <v>1025</v>
      </c>
      <c r="I403" s="10" t="s">
        <v>809</v>
      </c>
      <c r="J403" s="10" t="s">
        <v>1026</v>
      </c>
      <c r="K403" s="7" t="n">
        <v>5</v>
      </c>
      <c r="L403" s="7" t="n">
        <v>68</v>
      </c>
      <c r="M403" s="7" t="n">
        <v>2</v>
      </c>
      <c r="N403" s="7" t="n">
        <v>26</v>
      </c>
      <c r="O403" s="7" t="n">
        <v>3</v>
      </c>
      <c r="P403" s="8" t="n">
        <v>7.14089700191508</v>
      </c>
      <c r="Q403" s="9" t="n">
        <v>0.140038429308225</v>
      </c>
      <c r="R403" s="8" t="n">
        <v>6.5</v>
      </c>
      <c r="S403" s="12" t="n">
        <f aca="false">IF(AND(ISNUMBER(R403),R403&gt;1,P403&gt;0),R403/P403-1,"")</f>
        <v>-0.0897502094965382</v>
      </c>
    </row>
    <row r="404" customFormat="false" ht="15" hidden="false" customHeight="false" outlineLevel="0" collapsed="false">
      <c r="A404" s="10" t="s">
        <v>228</v>
      </c>
      <c r="B404" s="10" t="s">
        <v>172</v>
      </c>
      <c r="C404" s="10" t="s">
        <v>229</v>
      </c>
      <c r="D404" s="10" t="s">
        <v>508</v>
      </c>
      <c r="E404" s="11" t="n">
        <v>7</v>
      </c>
      <c r="F404" s="10" t="s">
        <v>796</v>
      </c>
      <c r="G404" s="7" t="n">
        <v>13</v>
      </c>
      <c r="H404" s="10" t="s">
        <v>1027</v>
      </c>
      <c r="I404" s="10" t="s">
        <v>804</v>
      </c>
      <c r="J404" s="10" t="s">
        <v>327</v>
      </c>
      <c r="K404" s="7" t="n">
        <v>11</v>
      </c>
      <c r="L404" s="7" t="n">
        <v>0</v>
      </c>
      <c r="M404" s="7" t="n">
        <v>2</v>
      </c>
      <c r="N404" s="7" t="n">
        <v>13</v>
      </c>
      <c r="O404" s="7" t="n">
        <v>4</v>
      </c>
      <c r="P404" s="8" t="n">
        <v>14.0024982585307</v>
      </c>
      <c r="Q404" s="9" t="n">
        <v>0.0714158274856971</v>
      </c>
      <c r="R404" s="8" t="n">
        <v>5.5</v>
      </c>
      <c r="S404" s="12" t="n">
        <f aca="false">IF(AND(ISNUMBER(R404),R404&gt;1,P404&gt;0),R404/P404-1,"")</f>
        <v>-0.607212948828666</v>
      </c>
    </row>
    <row r="405" customFormat="false" ht="15" hidden="false" customHeight="false" outlineLevel="0" collapsed="false">
      <c r="A405" s="10" t="s">
        <v>228</v>
      </c>
      <c r="B405" s="10" t="s">
        <v>172</v>
      </c>
      <c r="C405" s="10" t="s">
        <v>229</v>
      </c>
      <c r="D405" s="10" t="s">
        <v>508</v>
      </c>
      <c r="E405" s="11" t="n">
        <v>7</v>
      </c>
      <c r="F405" s="10" t="s">
        <v>796</v>
      </c>
      <c r="G405" s="7" t="n">
        <v>13</v>
      </c>
      <c r="H405" s="10" t="s">
        <v>1028</v>
      </c>
      <c r="I405" s="10" t="s">
        <v>1029</v>
      </c>
      <c r="J405" s="10" t="s">
        <v>1030</v>
      </c>
      <c r="K405" s="7" t="n">
        <v>10</v>
      </c>
      <c r="L405" s="7" t="n">
        <v>0</v>
      </c>
      <c r="M405" s="7" t="n">
        <v>2</v>
      </c>
      <c r="N405" s="7" t="n">
        <v>34</v>
      </c>
      <c r="O405" s="7" t="n">
        <v>5</v>
      </c>
      <c r="P405" s="8" t="n">
        <v>15.1545653451321</v>
      </c>
      <c r="Q405" s="9" t="n">
        <v>0.0659867160308372</v>
      </c>
      <c r="R405" s="8" t="n">
        <v>11</v>
      </c>
      <c r="S405" s="12" t="n">
        <f aca="false">IF(AND(ISNUMBER(R405),R405&gt;1,P405&gt;0),R405/P405-1,"")</f>
        <v>-0.274146123660791</v>
      </c>
    </row>
    <row r="406" customFormat="false" ht="15" hidden="false" customHeight="false" outlineLevel="0" collapsed="false">
      <c r="A406" s="10" t="s">
        <v>228</v>
      </c>
      <c r="B406" s="10" t="s">
        <v>172</v>
      </c>
      <c r="C406" s="10" t="s">
        <v>229</v>
      </c>
      <c r="D406" s="10" t="s">
        <v>508</v>
      </c>
      <c r="E406" s="11" t="n">
        <v>7</v>
      </c>
      <c r="F406" s="10" t="s">
        <v>796</v>
      </c>
      <c r="G406" s="7" t="n">
        <v>13</v>
      </c>
      <c r="H406" s="10" t="s">
        <v>1031</v>
      </c>
      <c r="I406" s="10" t="s">
        <v>265</v>
      </c>
      <c r="J406" s="10" t="s">
        <v>723</v>
      </c>
      <c r="K406" s="7" t="n">
        <v>2</v>
      </c>
      <c r="L406" s="7" t="n">
        <v>0</v>
      </c>
      <c r="M406" s="7" t="n">
        <v>2</v>
      </c>
      <c r="N406" s="7"/>
      <c r="O406" s="7" t="n">
        <v>6</v>
      </c>
      <c r="P406" s="8" t="n">
        <v>15.2166016771327</v>
      </c>
      <c r="Q406" s="9" t="n">
        <v>0.0657176957916159</v>
      </c>
      <c r="R406" s="8" t="n">
        <v>7.5</v>
      </c>
      <c r="S406" s="12" t="n">
        <f aca="false">IF(AND(ISNUMBER(R406),R406&gt;1,P406&gt;0),R406/P406-1,"")</f>
        <v>-0.507117281562881</v>
      </c>
    </row>
    <row r="407" customFormat="false" ht="15" hidden="false" customHeight="false" outlineLevel="0" collapsed="false">
      <c r="A407" s="10" t="s">
        <v>228</v>
      </c>
      <c r="B407" s="10" t="s">
        <v>172</v>
      </c>
      <c r="C407" s="10" t="s">
        <v>229</v>
      </c>
      <c r="D407" s="10" t="s">
        <v>508</v>
      </c>
      <c r="E407" s="11" t="n">
        <v>7</v>
      </c>
      <c r="F407" s="10" t="s">
        <v>796</v>
      </c>
      <c r="G407" s="7" t="n">
        <v>13</v>
      </c>
      <c r="H407" s="10" t="s">
        <v>1032</v>
      </c>
      <c r="I407" s="10" t="s">
        <v>815</v>
      </c>
      <c r="J407" s="10" t="s">
        <v>723</v>
      </c>
      <c r="K407" s="7" t="n">
        <v>3</v>
      </c>
      <c r="L407" s="7" t="n">
        <v>0</v>
      </c>
      <c r="M407" s="7" t="n">
        <v>2</v>
      </c>
      <c r="N407" s="7" t="n">
        <v>101</v>
      </c>
      <c r="O407" s="7" t="n">
        <v>7</v>
      </c>
      <c r="P407" s="8" t="n">
        <v>22.4464316530451</v>
      </c>
      <c r="Q407" s="9" t="n">
        <v>0.0445505109879832</v>
      </c>
      <c r="R407" s="8" t="n">
        <v>29</v>
      </c>
      <c r="S407" s="12" t="n">
        <f aca="false">IF(AND(ISNUMBER(R407),R407&gt;1,P407&gt;0),R407/P407-1,"")</f>
        <v>0.291964818651515</v>
      </c>
    </row>
    <row r="408" customFormat="false" ht="15" hidden="false" customHeight="false" outlineLevel="0" collapsed="false">
      <c r="A408" s="10" t="s">
        <v>228</v>
      </c>
      <c r="B408" s="10" t="s">
        <v>172</v>
      </c>
      <c r="C408" s="10" t="s">
        <v>229</v>
      </c>
      <c r="D408" s="10" t="s">
        <v>508</v>
      </c>
      <c r="E408" s="11" t="n">
        <v>7</v>
      </c>
      <c r="F408" s="10" t="s">
        <v>796</v>
      </c>
      <c r="G408" s="7" t="n">
        <v>13</v>
      </c>
      <c r="H408" s="10" t="s">
        <v>1033</v>
      </c>
      <c r="I408" s="10" t="s">
        <v>1034</v>
      </c>
      <c r="J408" s="10" t="s">
        <v>275</v>
      </c>
      <c r="K408" s="7" t="n">
        <v>4</v>
      </c>
      <c r="L408" s="7" t="n">
        <v>0</v>
      </c>
      <c r="M408" s="7" t="n">
        <v>2</v>
      </c>
      <c r="N408" s="7"/>
      <c r="O408" s="7" t="n">
        <v>8</v>
      </c>
      <c r="P408" s="8" t="n">
        <v>29.7369497600885</v>
      </c>
      <c r="Q408" s="9" t="n">
        <v>0.0336281968415654</v>
      </c>
      <c r="R408" s="8" t="n">
        <v>12</v>
      </c>
      <c r="S408" s="12" t="n">
        <f aca="false">IF(AND(ISNUMBER(R408),R408&gt;1,P408&gt;0),R408/P408-1,"")</f>
        <v>-0.596461637901214</v>
      </c>
    </row>
    <row r="409" customFormat="false" ht="15" hidden="false" customHeight="false" outlineLevel="0" collapsed="false">
      <c r="A409" s="10" t="s">
        <v>228</v>
      </c>
      <c r="B409" s="10" t="s">
        <v>172</v>
      </c>
      <c r="C409" s="10" t="s">
        <v>229</v>
      </c>
      <c r="D409" s="10" t="s">
        <v>508</v>
      </c>
      <c r="E409" s="11" t="n">
        <v>7</v>
      </c>
      <c r="F409" s="10" t="s">
        <v>796</v>
      </c>
      <c r="G409" s="7" t="n">
        <v>13</v>
      </c>
      <c r="H409" s="10" t="s">
        <v>1035</v>
      </c>
      <c r="I409" s="10" t="s">
        <v>797</v>
      </c>
      <c r="J409" s="10" t="s">
        <v>798</v>
      </c>
      <c r="K409" s="7" t="n">
        <v>9</v>
      </c>
      <c r="L409" s="7" t="n">
        <v>0</v>
      </c>
      <c r="M409" s="7" t="n">
        <v>2</v>
      </c>
      <c r="N409" s="7"/>
      <c r="O409" s="7" t="n">
        <v>9</v>
      </c>
      <c r="P409" s="8" t="n">
        <v>42.1918531583583</v>
      </c>
      <c r="Q409" s="9" t="n">
        <v>0.02370125806626</v>
      </c>
      <c r="R409" s="8" t="n">
        <v>15</v>
      </c>
      <c r="S409" s="12" t="n">
        <f aca="false">IF(AND(ISNUMBER(R409),R409&gt;1,P409&gt;0),R409/P409-1,"")</f>
        <v>-0.644481129006099</v>
      </c>
    </row>
    <row r="410" customFormat="false" ht="15" hidden="false" customHeight="false" outlineLevel="0" collapsed="false">
      <c r="A410" s="10" t="s">
        <v>228</v>
      </c>
      <c r="B410" s="10" t="s">
        <v>172</v>
      </c>
      <c r="C410" s="10" t="s">
        <v>229</v>
      </c>
      <c r="D410" s="10" t="s">
        <v>508</v>
      </c>
      <c r="E410" s="11" t="n">
        <v>7</v>
      </c>
      <c r="F410" s="10" t="s">
        <v>796</v>
      </c>
      <c r="G410" s="7" t="n">
        <v>13</v>
      </c>
      <c r="H410" s="10" t="s">
        <v>1036</v>
      </c>
      <c r="I410" s="10" t="s">
        <v>175</v>
      </c>
      <c r="J410" s="10" t="s">
        <v>176</v>
      </c>
      <c r="K410" s="7" t="n">
        <v>13</v>
      </c>
      <c r="L410" s="7" t="n">
        <v>0</v>
      </c>
      <c r="M410" s="7" t="n">
        <v>2</v>
      </c>
      <c r="N410" s="7"/>
      <c r="O410" s="7" t="n">
        <v>10</v>
      </c>
      <c r="P410" s="8" t="n">
        <v>50.819509901097</v>
      </c>
      <c r="Q410" s="9" t="n">
        <v>0.0196774821706498</v>
      </c>
      <c r="R410" s="8" t="n">
        <v>51</v>
      </c>
      <c r="S410" s="12" t="n">
        <f aca="false">IF(AND(ISNUMBER(R410),R410&gt;1,P410&gt;0),R410/P410-1,"")</f>
        <v>0.00355159070314248</v>
      </c>
    </row>
    <row r="411" customFormat="false" ht="15" hidden="false" customHeight="false" outlineLevel="0" collapsed="false">
      <c r="A411" s="10" t="s">
        <v>228</v>
      </c>
      <c r="B411" s="10" t="s">
        <v>172</v>
      </c>
      <c r="C411" s="10" t="s">
        <v>229</v>
      </c>
      <c r="D411" s="10" t="s">
        <v>508</v>
      </c>
      <c r="E411" s="11" t="n">
        <v>7</v>
      </c>
      <c r="F411" s="10" t="s">
        <v>796</v>
      </c>
      <c r="G411" s="7" t="n">
        <v>13</v>
      </c>
      <c r="H411" s="10" t="s">
        <v>1037</v>
      </c>
      <c r="I411" s="10" t="s">
        <v>1038</v>
      </c>
      <c r="J411" s="10" t="s">
        <v>1039</v>
      </c>
      <c r="K411" s="7" t="n">
        <v>6</v>
      </c>
      <c r="L411" s="7" t="n">
        <v>0</v>
      </c>
      <c r="M411" s="7" t="n">
        <v>2</v>
      </c>
      <c r="N411" s="7" t="n">
        <v>13</v>
      </c>
      <c r="O411" s="7" t="n">
        <v>11</v>
      </c>
      <c r="P411" s="8" t="n">
        <v>52.4475783007505</v>
      </c>
      <c r="Q411" s="9" t="n">
        <v>0.0190666572680571</v>
      </c>
      <c r="R411" s="8" t="n">
        <v>101</v>
      </c>
      <c r="S411" s="12" t="n">
        <f aca="false">IF(AND(ISNUMBER(R411),R411&gt;1,P411&gt;0),R411/P411-1,"")</f>
        <v>0.925732384073771</v>
      </c>
    </row>
    <row r="412" customFormat="false" ht="15" hidden="false" customHeight="false" outlineLevel="0" collapsed="false">
      <c r="A412" s="10" t="s">
        <v>228</v>
      </c>
      <c r="B412" s="10" t="s">
        <v>172</v>
      </c>
      <c r="C412" s="10" t="s">
        <v>229</v>
      </c>
      <c r="D412" s="10" t="s">
        <v>508</v>
      </c>
      <c r="E412" s="11" t="n">
        <v>7</v>
      </c>
      <c r="F412" s="10" t="s">
        <v>796</v>
      </c>
      <c r="G412" s="7" t="n">
        <v>13</v>
      </c>
      <c r="H412" s="10" t="s">
        <v>1040</v>
      </c>
      <c r="I412" s="10" t="s">
        <v>1041</v>
      </c>
      <c r="J412" s="10" t="s">
        <v>74</v>
      </c>
      <c r="K412" s="7" t="n">
        <v>1</v>
      </c>
      <c r="L412" s="7" t="n">
        <v>0</v>
      </c>
      <c r="M412" s="7" t="n">
        <v>2</v>
      </c>
      <c r="N412" s="7" t="n">
        <v>13</v>
      </c>
      <c r="O412" s="7" t="n">
        <v>12</v>
      </c>
      <c r="P412" s="8" t="n">
        <v>86.5561352517557</v>
      </c>
      <c r="Q412" s="9" t="n">
        <v>0.0115531960512263</v>
      </c>
      <c r="R412" s="8" t="n">
        <v>21</v>
      </c>
      <c r="S412" s="12" t="n">
        <f aca="false">IF(AND(ISNUMBER(R412),R412&gt;1,P412&gt;0),R412/P412-1,"")</f>
        <v>-0.757382882924246</v>
      </c>
    </row>
    <row r="413" customFormat="false" ht="15" hidden="false" customHeight="false" outlineLevel="0" collapsed="false">
      <c r="A413" s="10" t="s">
        <v>228</v>
      </c>
      <c r="B413" s="10" t="s">
        <v>172</v>
      </c>
      <c r="C413" s="10" t="s">
        <v>229</v>
      </c>
      <c r="D413" s="10" t="s">
        <v>508</v>
      </c>
      <c r="E413" s="11" t="n">
        <v>7</v>
      </c>
      <c r="F413" s="10" t="s">
        <v>796</v>
      </c>
      <c r="G413" s="7" t="n">
        <v>13</v>
      </c>
      <c r="H413" s="10" t="s">
        <v>1042</v>
      </c>
      <c r="I413" s="10" t="s">
        <v>822</v>
      </c>
      <c r="J413" s="10" t="s">
        <v>506</v>
      </c>
      <c r="K413" s="7" t="n">
        <v>12</v>
      </c>
      <c r="L413" s="7" t="n">
        <v>0</v>
      </c>
      <c r="M413" s="7" t="n">
        <v>2</v>
      </c>
      <c r="N413" s="7" t="n">
        <v>10</v>
      </c>
      <c r="O413" s="7" t="n">
        <v>13</v>
      </c>
      <c r="P413" s="8" t="n">
        <v>186.673187417427</v>
      </c>
      <c r="Q413" s="9" t="n">
        <v>0.0053569557247868</v>
      </c>
      <c r="R413" s="8" t="n">
        <v>41</v>
      </c>
      <c r="S413" s="12" t="n">
        <f aca="false">IF(AND(ISNUMBER(R413),R413&gt;1,P413&gt;0),R413/P413-1,"")</f>
        <v>-0.780364815283738</v>
      </c>
    </row>
    <row r="414" customFormat="false" ht="15" hidden="false" customHeight="false" outlineLevel="0" collapsed="false">
      <c r="A414" s="10" t="s">
        <v>234</v>
      </c>
      <c r="B414" s="10" t="s">
        <v>205</v>
      </c>
      <c r="C414" s="10" t="s">
        <v>235</v>
      </c>
      <c r="D414" s="10"/>
      <c r="E414" s="11" t="n">
        <v>7</v>
      </c>
      <c r="F414" s="10" t="s">
        <v>796</v>
      </c>
      <c r="G414" s="7" t="n">
        <v>15</v>
      </c>
      <c r="H414" s="10" t="s">
        <v>236</v>
      </c>
      <c r="I414" s="10" t="s">
        <v>237</v>
      </c>
      <c r="J414" s="10" t="s">
        <v>238</v>
      </c>
      <c r="K414" s="7" t="n">
        <v>10</v>
      </c>
      <c r="L414" s="7" t="n">
        <v>90</v>
      </c>
      <c r="M414" s="7" t="n">
        <v>2</v>
      </c>
      <c r="N414" s="7" t="n">
        <v>41</v>
      </c>
      <c r="O414" s="7" t="n">
        <v>1</v>
      </c>
      <c r="P414" s="8" t="n">
        <v>3.23558516391732</v>
      </c>
      <c r="Q414" s="9" t="n">
        <v>0.309063105849237</v>
      </c>
      <c r="R414" s="8" t="n">
        <v>6</v>
      </c>
      <c r="S414" s="12" t="n">
        <f aca="false">IF(AND(ISNUMBER(R414),R414&gt;1,P414&gt;0),R414/P414-1,"")</f>
        <v>0.854378635095424</v>
      </c>
    </row>
    <row r="415" customFormat="false" ht="15" hidden="false" customHeight="false" outlineLevel="0" collapsed="false">
      <c r="A415" s="10" t="s">
        <v>234</v>
      </c>
      <c r="B415" s="10" t="s">
        <v>205</v>
      </c>
      <c r="C415" s="10" t="s">
        <v>235</v>
      </c>
      <c r="D415" s="10"/>
      <c r="E415" s="11" t="n">
        <v>7</v>
      </c>
      <c r="F415" s="10" t="s">
        <v>796</v>
      </c>
      <c r="G415" s="7" t="n">
        <v>15</v>
      </c>
      <c r="H415" s="10" t="s">
        <v>239</v>
      </c>
      <c r="I415" s="10" t="s">
        <v>259</v>
      </c>
      <c r="J415" s="10" t="s">
        <v>260</v>
      </c>
      <c r="K415" s="7" t="n">
        <v>8</v>
      </c>
      <c r="L415" s="7" t="n">
        <v>0</v>
      </c>
      <c r="M415" s="7" t="n">
        <v>2</v>
      </c>
      <c r="N415" s="7" t="n">
        <v>16</v>
      </c>
      <c r="O415" s="7" t="n">
        <v>2</v>
      </c>
      <c r="P415" s="8" t="n">
        <v>4.1675035218477</v>
      </c>
      <c r="Q415" s="9" t="n">
        <v>0.239951806820943</v>
      </c>
      <c r="R415" s="8" t="n">
        <v>4.33333333333333</v>
      </c>
      <c r="S415" s="12" t="n">
        <f aca="false">IF(AND(ISNUMBER(R415),R415&gt;1,P415&gt;0),R415/P415-1,"")</f>
        <v>0.039791162890755</v>
      </c>
    </row>
    <row r="416" customFormat="false" ht="15" hidden="false" customHeight="false" outlineLevel="0" collapsed="false">
      <c r="A416" s="10" t="s">
        <v>234</v>
      </c>
      <c r="B416" s="10" t="s">
        <v>205</v>
      </c>
      <c r="C416" s="10" t="s">
        <v>235</v>
      </c>
      <c r="D416" s="10"/>
      <c r="E416" s="11" t="n">
        <v>7</v>
      </c>
      <c r="F416" s="10" t="s">
        <v>796</v>
      </c>
      <c r="G416" s="7" t="n">
        <v>15</v>
      </c>
      <c r="H416" s="10" t="s">
        <v>1043</v>
      </c>
      <c r="I416" s="10" t="s">
        <v>1044</v>
      </c>
      <c r="J416" s="10" t="s">
        <v>1045</v>
      </c>
      <c r="K416" s="7" t="n">
        <v>5</v>
      </c>
      <c r="L416" s="7" t="n">
        <v>0</v>
      </c>
      <c r="M416" s="7" t="n">
        <v>2</v>
      </c>
      <c r="N416" s="7" t="n">
        <v>16</v>
      </c>
      <c r="O416" s="7" t="n">
        <v>3</v>
      </c>
      <c r="P416" s="8" t="n">
        <v>6.12106924673068</v>
      </c>
      <c r="Q416" s="9" t="n">
        <v>0.16337014983683</v>
      </c>
      <c r="R416" s="8" t="n">
        <v>2.875</v>
      </c>
      <c r="S416" s="12" t="n">
        <f aca="false">IF(AND(ISNUMBER(R416),R416&gt;1,P416&gt;0),R416/P416-1,"")</f>
        <v>-0.530310819219115</v>
      </c>
    </row>
    <row r="417" customFormat="false" ht="15" hidden="false" customHeight="false" outlineLevel="0" collapsed="false">
      <c r="A417" s="10" t="s">
        <v>234</v>
      </c>
      <c r="B417" s="10" t="s">
        <v>205</v>
      </c>
      <c r="C417" s="10" t="s">
        <v>235</v>
      </c>
      <c r="D417" s="10"/>
      <c r="E417" s="11" t="n">
        <v>7</v>
      </c>
      <c r="F417" s="10" t="s">
        <v>796</v>
      </c>
      <c r="G417" s="7" t="n">
        <v>15</v>
      </c>
      <c r="H417" s="10" t="s">
        <v>1046</v>
      </c>
      <c r="I417" s="10" t="s">
        <v>249</v>
      </c>
      <c r="J417" s="10" t="s">
        <v>1047</v>
      </c>
      <c r="K417" s="7" t="n">
        <v>12</v>
      </c>
      <c r="L417" s="7" t="n">
        <v>0</v>
      </c>
      <c r="M417" s="7" t="n">
        <v>2</v>
      </c>
      <c r="N417" s="7"/>
      <c r="O417" s="7" t="n">
        <v>4</v>
      </c>
      <c r="P417" s="8" t="n">
        <v>6.88457174598761</v>
      </c>
      <c r="Q417" s="9" t="n">
        <v>0.145252317340263</v>
      </c>
      <c r="R417" s="8" t="n">
        <v>3.5</v>
      </c>
      <c r="S417" s="12" t="n">
        <f aca="false">IF(AND(ISNUMBER(R417),R417&gt;1,P417&gt;0),R417/P417-1,"")</f>
        <v>-0.49161688930908</v>
      </c>
    </row>
    <row r="418" customFormat="false" ht="15" hidden="false" customHeight="false" outlineLevel="0" collapsed="false">
      <c r="A418" s="10" t="s">
        <v>234</v>
      </c>
      <c r="B418" s="10" t="s">
        <v>205</v>
      </c>
      <c r="C418" s="10" t="s">
        <v>235</v>
      </c>
      <c r="D418" s="10"/>
      <c r="E418" s="11" t="n">
        <v>7</v>
      </c>
      <c r="F418" s="10" t="s">
        <v>796</v>
      </c>
      <c r="G418" s="7" t="n">
        <v>15</v>
      </c>
      <c r="H418" s="10" t="s">
        <v>1048</v>
      </c>
      <c r="I418" s="10" t="s">
        <v>926</v>
      </c>
      <c r="J418" s="10" t="s">
        <v>1049</v>
      </c>
      <c r="K418" s="7" t="n">
        <v>4</v>
      </c>
      <c r="L418" s="7" t="n">
        <v>0</v>
      </c>
      <c r="M418" s="7" t="n">
        <v>2</v>
      </c>
      <c r="N418" s="7"/>
      <c r="O418" s="7" t="n">
        <v>5</v>
      </c>
      <c r="P418" s="8" t="n">
        <v>25.1357440126094</v>
      </c>
      <c r="Q418" s="9" t="n">
        <v>0.0397839825030979</v>
      </c>
      <c r="R418" s="8" t="n">
        <v>17</v>
      </c>
      <c r="S418" s="12" t="n">
        <f aca="false">IF(AND(ISNUMBER(R418),R418&gt;1,P418&gt;0),R418/P418-1,"")</f>
        <v>-0.323672297447335</v>
      </c>
    </row>
    <row r="419" customFormat="false" ht="15" hidden="false" customHeight="false" outlineLevel="0" collapsed="false">
      <c r="A419" s="10" t="s">
        <v>234</v>
      </c>
      <c r="B419" s="10" t="s">
        <v>205</v>
      </c>
      <c r="C419" s="10" t="s">
        <v>235</v>
      </c>
      <c r="D419" s="10"/>
      <c r="E419" s="11" t="n">
        <v>7</v>
      </c>
      <c r="F419" s="10" t="s">
        <v>796</v>
      </c>
      <c r="G419" s="7" t="n">
        <v>15</v>
      </c>
      <c r="H419" s="10" t="s">
        <v>1050</v>
      </c>
      <c r="I419" s="10" t="s">
        <v>939</v>
      </c>
      <c r="J419" s="10" t="s">
        <v>1049</v>
      </c>
      <c r="K419" s="7" t="n">
        <v>9</v>
      </c>
      <c r="L419" s="7" t="n">
        <v>0</v>
      </c>
      <c r="M419" s="7" t="n">
        <v>2</v>
      </c>
      <c r="N419" s="7" t="n">
        <v>16</v>
      </c>
      <c r="O419" s="7" t="n">
        <v>6</v>
      </c>
      <c r="P419" s="8" t="n">
        <v>43.6259173213843</v>
      </c>
      <c r="Q419" s="9" t="n">
        <v>0.0229221541092919</v>
      </c>
      <c r="R419" s="8" t="n">
        <v>21</v>
      </c>
      <c r="S419" s="12" t="n">
        <f aca="false">IF(AND(ISNUMBER(R419),R419&gt;1,P419&gt;0),R419/P419-1,"")</f>
        <v>-0.518634763704869</v>
      </c>
    </row>
    <row r="420" customFormat="false" ht="15" hidden="false" customHeight="false" outlineLevel="0" collapsed="false">
      <c r="A420" s="10" t="s">
        <v>234</v>
      </c>
      <c r="B420" s="10" t="s">
        <v>205</v>
      </c>
      <c r="C420" s="10" t="s">
        <v>235</v>
      </c>
      <c r="D420" s="10"/>
      <c r="E420" s="11" t="n">
        <v>7</v>
      </c>
      <c r="F420" s="10" t="s">
        <v>796</v>
      </c>
      <c r="G420" s="7" t="n">
        <v>15</v>
      </c>
      <c r="H420" s="10" t="s">
        <v>1051</v>
      </c>
      <c r="I420" s="10" t="s">
        <v>936</v>
      </c>
      <c r="J420" s="10" t="s">
        <v>635</v>
      </c>
      <c r="K420" s="7" t="n">
        <v>13</v>
      </c>
      <c r="L420" s="7" t="n">
        <v>0</v>
      </c>
      <c r="M420" s="7" t="n">
        <v>2</v>
      </c>
      <c r="N420" s="7"/>
      <c r="O420" s="7" t="n">
        <v>7</v>
      </c>
      <c r="P420" s="8" t="n">
        <v>49.8521814126451</v>
      </c>
      <c r="Q420" s="9" t="n">
        <v>0.0200593027559341</v>
      </c>
      <c r="R420" s="8" t="n">
        <v>67</v>
      </c>
      <c r="S420" s="12" t="n">
        <f aca="false">IF(AND(ISNUMBER(R420),R420&gt;1,P420&gt;0),R420/P420-1,"")</f>
        <v>0.343973284647587</v>
      </c>
    </row>
    <row r="421" customFormat="false" ht="15" hidden="false" customHeight="false" outlineLevel="0" collapsed="false">
      <c r="A421" s="10" t="s">
        <v>234</v>
      </c>
      <c r="B421" s="10" t="s">
        <v>205</v>
      </c>
      <c r="C421" s="10" t="s">
        <v>235</v>
      </c>
      <c r="D421" s="10"/>
      <c r="E421" s="11" t="n">
        <v>7</v>
      </c>
      <c r="F421" s="10" t="s">
        <v>796</v>
      </c>
      <c r="G421" s="7" t="n">
        <v>15</v>
      </c>
      <c r="H421" s="10" t="s">
        <v>1052</v>
      </c>
      <c r="I421" s="10" t="s">
        <v>922</v>
      </c>
      <c r="J421" s="10" t="s">
        <v>1053</v>
      </c>
      <c r="K421" s="7" t="n">
        <v>1</v>
      </c>
      <c r="L421" s="7" t="n">
        <v>0</v>
      </c>
      <c r="M421" s="7" t="n">
        <v>2</v>
      </c>
      <c r="N421" s="7"/>
      <c r="O421" s="7" t="n">
        <v>8</v>
      </c>
      <c r="P421" s="8" t="n">
        <v>61.0930250288463</v>
      </c>
      <c r="Q421" s="9" t="n">
        <v>0.01636848068217</v>
      </c>
      <c r="R421" s="8" t="n">
        <v>29</v>
      </c>
      <c r="S421" s="12" t="n">
        <f aca="false">IF(AND(ISNUMBER(R421),R421&gt;1,P421&gt;0),R421/P421-1,"")</f>
        <v>-0.52531406021707</v>
      </c>
    </row>
    <row r="422" customFormat="false" ht="15" hidden="false" customHeight="false" outlineLevel="0" collapsed="false">
      <c r="A422" s="10" t="s">
        <v>234</v>
      </c>
      <c r="B422" s="10" t="s">
        <v>205</v>
      </c>
      <c r="C422" s="10" t="s">
        <v>235</v>
      </c>
      <c r="D422" s="10"/>
      <c r="E422" s="11" t="n">
        <v>7</v>
      </c>
      <c r="F422" s="10" t="s">
        <v>796</v>
      </c>
      <c r="G422" s="7" t="n">
        <v>15</v>
      </c>
      <c r="H422" s="10" t="s">
        <v>1054</v>
      </c>
      <c r="I422" s="10" t="s">
        <v>1055</v>
      </c>
      <c r="J422" s="10" t="s">
        <v>1004</v>
      </c>
      <c r="K422" s="7" t="n">
        <v>6</v>
      </c>
      <c r="L422" s="7" t="n">
        <v>0</v>
      </c>
      <c r="M422" s="7" t="n">
        <v>2</v>
      </c>
      <c r="N422" s="7"/>
      <c r="O422" s="7" t="n">
        <v>9</v>
      </c>
      <c r="P422" s="8" t="n">
        <v>72.3514809000069</v>
      </c>
      <c r="Q422" s="9" t="n">
        <v>0.013821417164661</v>
      </c>
      <c r="R422" s="8" t="n">
        <v>17</v>
      </c>
      <c r="S422" s="12" t="n">
        <f aca="false">IF(AND(ISNUMBER(R422),R422&gt;1,P422&gt;0),R422/P422-1,"")</f>
        <v>-0.765035908200763</v>
      </c>
    </row>
    <row r="423" customFormat="false" ht="15" hidden="false" customHeight="false" outlineLevel="0" collapsed="false">
      <c r="A423" s="10" t="s">
        <v>234</v>
      </c>
      <c r="B423" s="10" t="s">
        <v>205</v>
      </c>
      <c r="C423" s="10" t="s">
        <v>235</v>
      </c>
      <c r="D423" s="10"/>
      <c r="E423" s="11" t="n">
        <v>7</v>
      </c>
      <c r="F423" s="10" t="s">
        <v>796</v>
      </c>
      <c r="G423" s="7" t="n">
        <v>15</v>
      </c>
      <c r="H423" s="10" t="s">
        <v>1056</v>
      </c>
      <c r="I423" s="10" t="s">
        <v>208</v>
      </c>
      <c r="J423" s="10" t="s">
        <v>209</v>
      </c>
      <c r="K423" s="7" t="n">
        <v>3</v>
      </c>
      <c r="L423" s="7" t="n">
        <v>0</v>
      </c>
      <c r="M423" s="7" t="n">
        <v>2</v>
      </c>
      <c r="N423" s="7" t="n">
        <v>33</v>
      </c>
      <c r="O423" s="7" t="n">
        <v>10</v>
      </c>
      <c r="P423" s="8" t="n">
        <v>100.218095292083</v>
      </c>
      <c r="Q423" s="9" t="n">
        <v>0.0099782379328356</v>
      </c>
      <c r="R423" s="8" t="n">
        <v>26</v>
      </c>
      <c r="S423" s="12" t="n">
        <f aca="false">IF(AND(ISNUMBER(R423),R423&gt;1,P423&gt;0),R423/P423-1,"")</f>
        <v>-0.740565813746273</v>
      </c>
    </row>
    <row r="424" customFormat="false" ht="15" hidden="false" customHeight="false" outlineLevel="0" collapsed="false">
      <c r="A424" s="10" t="s">
        <v>234</v>
      </c>
      <c r="B424" s="10" t="s">
        <v>205</v>
      </c>
      <c r="C424" s="10" t="s">
        <v>235</v>
      </c>
      <c r="D424" s="10"/>
      <c r="E424" s="11" t="n">
        <v>7</v>
      </c>
      <c r="F424" s="10" t="s">
        <v>796</v>
      </c>
      <c r="G424" s="7" t="n">
        <v>15</v>
      </c>
      <c r="H424" s="10" t="s">
        <v>1057</v>
      </c>
      <c r="I424" s="10" t="s">
        <v>931</v>
      </c>
      <c r="J424" s="10" t="s">
        <v>635</v>
      </c>
      <c r="K424" s="7" t="n">
        <v>14</v>
      </c>
      <c r="L424" s="7" t="n">
        <v>0</v>
      </c>
      <c r="M424" s="7" t="n">
        <v>2</v>
      </c>
      <c r="N424" s="7"/>
      <c r="O424" s="7" t="n">
        <v>11</v>
      </c>
      <c r="P424" s="8" t="n">
        <v>118.543496082766</v>
      </c>
      <c r="Q424" s="9" t="n">
        <v>0.0084357221867474</v>
      </c>
      <c r="R424" s="8" t="n">
        <v>67</v>
      </c>
      <c r="S424" s="12" t="n">
        <f aca="false">IF(AND(ISNUMBER(R424),R424&gt;1,P424&gt;0),R424/P424-1,"")</f>
        <v>-0.434806613487919</v>
      </c>
    </row>
    <row r="425" customFormat="false" ht="15" hidden="false" customHeight="false" outlineLevel="0" collapsed="false">
      <c r="A425" s="10" t="s">
        <v>234</v>
      </c>
      <c r="B425" s="10" t="s">
        <v>205</v>
      </c>
      <c r="C425" s="10" t="s">
        <v>235</v>
      </c>
      <c r="D425" s="10"/>
      <c r="E425" s="11" t="n">
        <v>7</v>
      </c>
      <c r="F425" s="10" t="s">
        <v>796</v>
      </c>
      <c r="G425" s="7" t="n">
        <v>15</v>
      </c>
      <c r="H425" s="10" t="s">
        <v>1058</v>
      </c>
      <c r="I425" s="10" t="s">
        <v>1059</v>
      </c>
      <c r="J425" s="10" t="s">
        <v>1060</v>
      </c>
      <c r="K425" s="7" t="n">
        <v>11</v>
      </c>
      <c r="L425" s="7" t="n">
        <v>0</v>
      </c>
      <c r="M425" s="7" t="n">
        <v>2</v>
      </c>
      <c r="N425" s="7" t="n">
        <v>33</v>
      </c>
      <c r="O425" s="7" t="n">
        <v>12</v>
      </c>
      <c r="P425" s="8" t="n">
        <v>220.081574740419</v>
      </c>
      <c r="Q425" s="9" t="n">
        <v>0.0045437697416491</v>
      </c>
      <c r="R425" s="8" t="n">
        <v>41</v>
      </c>
      <c r="S425" s="12" t="n">
        <f aca="false">IF(AND(ISNUMBER(R425),R425&gt;1,P425&gt;0),R425/P425-1,"")</f>
        <v>-0.813705440592387</v>
      </c>
    </row>
    <row r="426" customFormat="false" ht="15" hidden="false" customHeight="false" outlineLevel="0" collapsed="false">
      <c r="A426" s="10" t="s">
        <v>234</v>
      </c>
      <c r="B426" s="10" t="s">
        <v>205</v>
      </c>
      <c r="C426" s="10" t="s">
        <v>235</v>
      </c>
      <c r="D426" s="10"/>
      <c r="E426" s="11" t="n">
        <v>7</v>
      </c>
      <c r="F426" s="10" t="s">
        <v>796</v>
      </c>
      <c r="G426" s="7" t="n">
        <v>15</v>
      </c>
      <c r="H426" s="10" t="s">
        <v>1061</v>
      </c>
      <c r="I426" s="10" t="s">
        <v>1062</v>
      </c>
      <c r="J426" s="10" t="s">
        <v>1011</v>
      </c>
      <c r="K426" s="7" t="n">
        <v>15</v>
      </c>
      <c r="L426" s="7" t="n">
        <v>0</v>
      </c>
      <c r="M426" s="7" t="n">
        <v>2</v>
      </c>
      <c r="N426" s="7" t="n">
        <v>34</v>
      </c>
      <c r="O426" s="7" t="n">
        <v>13</v>
      </c>
      <c r="P426" s="8" t="n">
        <v>355.348019109158</v>
      </c>
      <c r="Q426" s="9" t="n">
        <v>0.0028141426045006</v>
      </c>
      <c r="R426" s="8" t="n">
        <v>81</v>
      </c>
      <c r="S426" s="12" t="n">
        <f aca="false">IF(AND(ISNUMBER(R426),R426&gt;1,P426&gt;0),R426/P426-1,"")</f>
        <v>-0.772054449035446</v>
      </c>
    </row>
    <row r="427" customFormat="false" ht="15" hidden="false" customHeight="false" outlineLevel="0" collapsed="false">
      <c r="A427" s="10" t="s">
        <v>234</v>
      </c>
      <c r="B427" s="10" t="s">
        <v>205</v>
      </c>
      <c r="C427" s="10" t="s">
        <v>235</v>
      </c>
      <c r="D427" s="10"/>
      <c r="E427" s="11" t="n">
        <v>7</v>
      </c>
      <c r="F427" s="10" t="s">
        <v>796</v>
      </c>
      <c r="G427" s="7" t="n">
        <v>15</v>
      </c>
      <c r="H427" s="10" t="s">
        <v>1063</v>
      </c>
      <c r="I427" s="10" t="s">
        <v>358</v>
      </c>
      <c r="J427" s="10" t="s">
        <v>128</v>
      </c>
      <c r="K427" s="7" t="n">
        <v>7</v>
      </c>
      <c r="L427" s="7" t="n">
        <v>0</v>
      </c>
      <c r="M427" s="7" t="n">
        <v>2</v>
      </c>
      <c r="N427" s="7" t="n">
        <v>8</v>
      </c>
      <c r="O427" s="7" t="n">
        <v>14</v>
      </c>
      <c r="P427" s="8" t="n">
        <v>371.863027880895</v>
      </c>
      <c r="Q427" s="9" t="n">
        <v>0.0026891622049619</v>
      </c>
      <c r="R427" s="8" t="n">
        <v>81</v>
      </c>
      <c r="S427" s="12" t="n">
        <f aca="false">IF(AND(ISNUMBER(R427),R427&gt;1,P427&gt;0),R427/P427-1,"")</f>
        <v>-0.782177861398085</v>
      </c>
    </row>
    <row r="428" customFormat="false" ht="15" hidden="false" customHeight="false" outlineLevel="0" collapsed="false">
      <c r="A428" s="10" t="s">
        <v>234</v>
      </c>
      <c r="B428" s="10" t="s">
        <v>205</v>
      </c>
      <c r="C428" s="10" t="s">
        <v>235</v>
      </c>
      <c r="D428" s="10"/>
      <c r="E428" s="11" t="n">
        <v>7</v>
      </c>
      <c r="F428" s="10" t="s">
        <v>796</v>
      </c>
      <c r="G428" s="7" t="n">
        <v>15</v>
      </c>
      <c r="H428" s="10" t="s">
        <v>1064</v>
      </c>
      <c r="I428" s="10" t="s">
        <v>943</v>
      </c>
      <c r="J428" s="10" t="s">
        <v>1065</v>
      </c>
      <c r="K428" s="7" t="n">
        <v>2</v>
      </c>
      <c r="L428" s="7" t="n">
        <v>0</v>
      </c>
      <c r="M428" s="7" t="n">
        <v>2</v>
      </c>
      <c r="N428" s="7" t="n">
        <v>41</v>
      </c>
      <c r="O428" s="7" t="n">
        <v>15</v>
      </c>
      <c r="P428" s="8" t="n">
        <v>1056.80510602191</v>
      </c>
      <c r="Q428" s="9" t="n">
        <v>0.000946248266877</v>
      </c>
      <c r="R428" s="8" t="n">
        <v>201</v>
      </c>
      <c r="S428" s="12" t="n">
        <f aca="false">IF(AND(ISNUMBER(R428),R428&gt;1,P428&gt;0),R428/P428-1,"")</f>
        <v>-0.809804098357723</v>
      </c>
    </row>
    <row r="429" customFormat="false" ht="15" hidden="false" customHeight="false" outlineLevel="0" collapsed="false">
      <c r="A429" s="10" t="s">
        <v>240</v>
      </c>
      <c r="B429" s="10" t="s">
        <v>172</v>
      </c>
      <c r="C429" s="10" t="s">
        <v>241</v>
      </c>
      <c r="D429" s="10" t="s">
        <v>795</v>
      </c>
      <c r="E429" s="11" t="n">
        <v>5</v>
      </c>
      <c r="F429" s="10" t="s">
        <v>796</v>
      </c>
      <c r="G429" s="7" t="n">
        <v>8</v>
      </c>
      <c r="H429" s="10" t="s">
        <v>242</v>
      </c>
      <c r="I429" s="10" t="s">
        <v>243</v>
      </c>
      <c r="J429" s="10" t="s">
        <v>244</v>
      </c>
      <c r="K429" s="7" t="n">
        <v>1</v>
      </c>
      <c r="L429" s="7" t="n">
        <v>59</v>
      </c>
      <c r="M429" s="7" t="n">
        <v>4</v>
      </c>
      <c r="N429" s="7" t="n">
        <v>6</v>
      </c>
      <c r="O429" s="7" t="n">
        <v>1</v>
      </c>
      <c r="P429" s="8" t="n">
        <v>2.50566227645941</v>
      </c>
      <c r="Q429" s="9" t="n">
        <v>0.399096083057544</v>
      </c>
      <c r="R429" s="8" t="n">
        <v>2.625</v>
      </c>
      <c r="S429" s="12" t="n">
        <f aca="false">IF(AND(ISNUMBER(R429),R429&gt;1,P429&gt;0),R429/P429-1,"")</f>
        <v>0.047627218026054</v>
      </c>
    </row>
    <row r="430" customFormat="false" ht="15" hidden="false" customHeight="false" outlineLevel="0" collapsed="false">
      <c r="A430" s="10" t="s">
        <v>240</v>
      </c>
      <c r="B430" s="10" t="s">
        <v>172</v>
      </c>
      <c r="C430" s="10" t="s">
        <v>241</v>
      </c>
      <c r="D430" s="10" t="s">
        <v>795</v>
      </c>
      <c r="E430" s="11" t="n">
        <v>5</v>
      </c>
      <c r="F430" s="10" t="s">
        <v>796</v>
      </c>
      <c r="G430" s="7" t="n">
        <v>8</v>
      </c>
      <c r="H430" s="10" t="s">
        <v>245</v>
      </c>
      <c r="I430" s="10" t="s">
        <v>1066</v>
      </c>
      <c r="J430" s="10" t="s">
        <v>1067</v>
      </c>
      <c r="K430" s="7" t="n">
        <v>3</v>
      </c>
      <c r="L430" s="7" t="n">
        <v>54</v>
      </c>
      <c r="M430" s="7" t="n">
        <v>8</v>
      </c>
      <c r="N430" s="7" t="n">
        <v>6</v>
      </c>
      <c r="O430" s="7" t="n">
        <v>2</v>
      </c>
      <c r="P430" s="8" t="n">
        <v>6.11620312030129</v>
      </c>
      <c r="Q430" s="9" t="n">
        <v>0.163500129137428</v>
      </c>
      <c r="R430" s="8" t="n">
        <v>3.5</v>
      </c>
      <c r="S430" s="12" t="n">
        <f aca="false">IF(AND(ISNUMBER(R430),R430&gt;1,P430&gt;0),R430/P430-1,"")</f>
        <v>-0.427749548019003</v>
      </c>
    </row>
    <row r="431" customFormat="false" ht="15" hidden="false" customHeight="false" outlineLevel="0" collapsed="false">
      <c r="A431" s="10" t="s">
        <v>240</v>
      </c>
      <c r="B431" s="10" t="s">
        <v>172</v>
      </c>
      <c r="C431" s="10" t="s">
        <v>241</v>
      </c>
      <c r="D431" s="10" t="s">
        <v>795</v>
      </c>
      <c r="E431" s="11" t="n">
        <v>5</v>
      </c>
      <c r="F431" s="10" t="s">
        <v>796</v>
      </c>
      <c r="G431" s="7" t="n">
        <v>8</v>
      </c>
      <c r="H431" s="10" t="s">
        <v>1068</v>
      </c>
      <c r="I431" s="10" t="s">
        <v>800</v>
      </c>
      <c r="J431" s="10" t="s">
        <v>430</v>
      </c>
      <c r="K431" s="7" t="n">
        <v>7</v>
      </c>
      <c r="L431" s="7" t="n">
        <v>51</v>
      </c>
      <c r="M431" s="7" t="n">
        <v>3</v>
      </c>
      <c r="N431" s="7" t="n">
        <v>8</v>
      </c>
      <c r="O431" s="7" t="n">
        <v>3</v>
      </c>
      <c r="P431" s="8" t="n">
        <v>8.25688801632778</v>
      </c>
      <c r="Q431" s="9" t="n">
        <v>0.121111004293933</v>
      </c>
      <c r="R431" s="8" t="n">
        <v>8</v>
      </c>
      <c r="S431" s="12" t="n">
        <f aca="false">IF(AND(ISNUMBER(R431),R431&gt;1,P431&gt;0),R431/P431-1,"")</f>
        <v>-0.0311119656485331</v>
      </c>
    </row>
    <row r="432" customFormat="false" ht="15" hidden="false" customHeight="false" outlineLevel="0" collapsed="false">
      <c r="A432" s="10" t="s">
        <v>240</v>
      </c>
      <c r="B432" s="10" t="s">
        <v>172</v>
      </c>
      <c r="C432" s="10" t="s">
        <v>241</v>
      </c>
      <c r="D432" s="10" t="s">
        <v>795</v>
      </c>
      <c r="E432" s="11" t="n">
        <v>5</v>
      </c>
      <c r="F432" s="10" t="s">
        <v>796</v>
      </c>
      <c r="G432" s="7" t="n">
        <v>8</v>
      </c>
      <c r="H432" s="10" t="s">
        <v>1069</v>
      </c>
      <c r="I432" s="10" t="s">
        <v>822</v>
      </c>
      <c r="J432" s="10" t="s">
        <v>1070</v>
      </c>
      <c r="K432" s="7" t="n">
        <v>2</v>
      </c>
      <c r="L432" s="7" t="n">
        <v>51</v>
      </c>
      <c r="M432" s="7" t="n">
        <v>7</v>
      </c>
      <c r="N432" s="7" t="n">
        <v>8</v>
      </c>
      <c r="O432" s="7" t="n">
        <v>4</v>
      </c>
      <c r="P432" s="8" t="n">
        <v>11.0093936459094</v>
      </c>
      <c r="Q432" s="9" t="n">
        <v>0.0908315237117132</v>
      </c>
      <c r="R432" s="8" t="n">
        <v>7</v>
      </c>
      <c r="S432" s="12" t="n">
        <f aca="false">IF(AND(ISNUMBER(R432),R432&gt;1,P432&gt;0),R432/P432-1,"")</f>
        <v>-0.364179334018008</v>
      </c>
    </row>
    <row r="433" customFormat="false" ht="15" hidden="false" customHeight="false" outlineLevel="0" collapsed="false">
      <c r="A433" s="10" t="s">
        <v>240</v>
      </c>
      <c r="B433" s="10" t="s">
        <v>172</v>
      </c>
      <c r="C433" s="10" t="s">
        <v>241</v>
      </c>
      <c r="D433" s="10" t="s">
        <v>795</v>
      </c>
      <c r="E433" s="11" t="n">
        <v>5</v>
      </c>
      <c r="F433" s="10" t="s">
        <v>796</v>
      </c>
      <c r="G433" s="7" t="n">
        <v>8</v>
      </c>
      <c r="H433" s="10" t="s">
        <v>1071</v>
      </c>
      <c r="I433" s="10" t="s">
        <v>797</v>
      </c>
      <c r="J433" s="10" t="s">
        <v>1072</v>
      </c>
      <c r="K433" s="7" t="n">
        <v>4</v>
      </c>
      <c r="L433" s="7" t="n">
        <v>50</v>
      </c>
      <c r="M433" s="7" t="n">
        <v>8</v>
      </c>
      <c r="N433" s="7" t="n">
        <v>13</v>
      </c>
      <c r="O433" s="7" t="n">
        <v>5</v>
      </c>
      <c r="P433" s="8" t="n">
        <v>11.3129231476407</v>
      </c>
      <c r="Q433" s="9" t="n">
        <v>0.0883944836316286</v>
      </c>
      <c r="R433" s="8" t="n">
        <v>8</v>
      </c>
      <c r="S433" s="12" t="n">
        <f aca="false">IF(AND(ISNUMBER(R433),R433&gt;1,P433&gt;0),R433/P433-1,"")</f>
        <v>-0.292844130946971</v>
      </c>
    </row>
    <row r="434" customFormat="false" ht="15" hidden="false" customHeight="false" outlineLevel="0" collapsed="false">
      <c r="A434" s="10" t="s">
        <v>240</v>
      </c>
      <c r="B434" s="10" t="s">
        <v>172</v>
      </c>
      <c r="C434" s="10" t="s">
        <v>241</v>
      </c>
      <c r="D434" s="10" t="s">
        <v>795</v>
      </c>
      <c r="E434" s="11" t="n">
        <v>5</v>
      </c>
      <c r="F434" s="10" t="s">
        <v>796</v>
      </c>
      <c r="G434" s="7" t="n">
        <v>8</v>
      </c>
      <c r="H434" s="10" t="s">
        <v>1073</v>
      </c>
      <c r="I434" s="10" t="s">
        <v>219</v>
      </c>
      <c r="J434" s="10" t="s">
        <v>220</v>
      </c>
      <c r="K434" s="7" t="n">
        <v>8</v>
      </c>
      <c r="L434" s="7" t="n">
        <v>51</v>
      </c>
      <c r="M434" s="7" t="n">
        <v>5</v>
      </c>
      <c r="N434" s="7" t="n">
        <v>13</v>
      </c>
      <c r="O434" s="7" t="n">
        <v>6</v>
      </c>
      <c r="P434" s="8" t="n">
        <v>12.6423083889074</v>
      </c>
      <c r="Q434" s="9" t="n">
        <v>0.0790994784526394</v>
      </c>
      <c r="R434" s="8" t="n">
        <v>17</v>
      </c>
      <c r="S434" s="12" t="n">
        <f aca="false">IF(AND(ISNUMBER(R434),R434&gt;1,P434&gt;0),R434/P434-1,"")</f>
        <v>0.344691133694871</v>
      </c>
    </row>
    <row r="435" customFormat="false" ht="15" hidden="false" customHeight="false" outlineLevel="0" collapsed="false">
      <c r="A435" s="10" t="s">
        <v>240</v>
      </c>
      <c r="B435" s="10" t="s">
        <v>172</v>
      </c>
      <c r="C435" s="10" t="s">
        <v>241</v>
      </c>
      <c r="D435" s="10" t="s">
        <v>795</v>
      </c>
      <c r="E435" s="11" t="n">
        <v>5</v>
      </c>
      <c r="F435" s="10" t="s">
        <v>796</v>
      </c>
      <c r="G435" s="7" t="n">
        <v>8</v>
      </c>
      <c r="H435" s="10" t="s">
        <v>1074</v>
      </c>
      <c r="I435" s="10" t="s">
        <v>265</v>
      </c>
      <c r="J435" s="10" t="s">
        <v>1072</v>
      </c>
      <c r="K435" s="7" t="n">
        <v>6</v>
      </c>
      <c r="L435" s="7" t="n">
        <v>45</v>
      </c>
      <c r="M435" s="7" t="n">
        <v>5</v>
      </c>
      <c r="N435" s="7" t="n">
        <v>23</v>
      </c>
      <c r="O435" s="7" t="n">
        <v>7</v>
      </c>
      <c r="P435" s="8" t="n">
        <v>21.7732434000724</v>
      </c>
      <c r="Q435" s="9" t="n">
        <v>0.0459279300573415</v>
      </c>
      <c r="R435" s="8" t="n">
        <v>13</v>
      </c>
      <c r="S435" s="12" t="n">
        <f aca="false">IF(AND(ISNUMBER(R435),R435&gt;1,P435&gt;0),R435/P435-1,"")</f>
        <v>-0.40293690925456</v>
      </c>
    </row>
    <row r="436" customFormat="false" ht="15" hidden="false" customHeight="false" outlineLevel="0" collapsed="false">
      <c r="A436" s="10" t="s">
        <v>240</v>
      </c>
      <c r="B436" s="10" t="s">
        <v>172</v>
      </c>
      <c r="C436" s="10" t="s">
        <v>241</v>
      </c>
      <c r="D436" s="10" t="s">
        <v>795</v>
      </c>
      <c r="E436" s="11" t="n">
        <v>5</v>
      </c>
      <c r="F436" s="10" t="s">
        <v>796</v>
      </c>
      <c r="G436" s="7" t="n">
        <v>8</v>
      </c>
      <c r="H436" s="10" t="s">
        <v>1075</v>
      </c>
      <c r="I436" s="10" t="s">
        <v>885</v>
      </c>
      <c r="J436" s="10" t="s">
        <v>886</v>
      </c>
      <c r="K436" s="7" t="n">
        <v>5</v>
      </c>
      <c r="L436" s="7" t="n">
        <v>46</v>
      </c>
      <c r="M436" s="7" t="n">
        <v>3</v>
      </c>
      <c r="N436" s="7" t="n">
        <v>13</v>
      </c>
      <c r="O436" s="7" t="n">
        <v>8</v>
      </c>
      <c r="P436" s="8" t="n">
        <v>83.0608407705269</v>
      </c>
      <c r="Q436" s="9" t="n">
        <v>0.0120393676577716</v>
      </c>
      <c r="R436" s="8" t="n">
        <v>34</v>
      </c>
      <c r="S436" s="12" t="n">
        <f aca="false">IF(AND(ISNUMBER(R436),R436&gt;1,P436&gt;0),R436/P436-1,"")</f>
        <v>-0.590661499635765</v>
      </c>
    </row>
    <row r="437" customFormat="false" ht="15" hidden="false" customHeight="false" outlineLevel="0" collapsed="false">
      <c r="A437" s="10" t="s">
        <v>246</v>
      </c>
      <c r="B437" s="10" t="s">
        <v>205</v>
      </c>
      <c r="C437" s="10" t="s">
        <v>247</v>
      </c>
      <c r="D437" s="10"/>
      <c r="E437" s="11" t="n">
        <v>8</v>
      </c>
      <c r="F437" s="10" t="s">
        <v>796</v>
      </c>
      <c r="G437" s="7" t="n">
        <v>17</v>
      </c>
      <c r="H437" s="10" t="s">
        <v>248</v>
      </c>
      <c r="I437" s="10" t="s">
        <v>249</v>
      </c>
      <c r="J437" s="10" t="s">
        <v>250</v>
      </c>
      <c r="K437" s="7" t="n">
        <v>4</v>
      </c>
      <c r="L437" s="7" t="n">
        <v>58</v>
      </c>
      <c r="M437" s="7" t="n">
        <v>5</v>
      </c>
      <c r="N437" s="7" t="n">
        <v>7</v>
      </c>
      <c r="O437" s="7" t="n">
        <v>1</v>
      </c>
      <c r="P437" s="8" t="n">
        <v>5.29172363664834</v>
      </c>
      <c r="Q437" s="9" t="n">
        <v>0.188974343458605</v>
      </c>
      <c r="R437" s="8" t="n">
        <v>5</v>
      </c>
      <c r="S437" s="12" t="n">
        <f aca="false">IF(AND(ISNUMBER(R437),R437&gt;1,P437&gt;0),R437/P437-1,"")</f>
        <v>-0.055128282706976</v>
      </c>
    </row>
    <row r="438" customFormat="false" ht="15" hidden="false" customHeight="false" outlineLevel="0" collapsed="false">
      <c r="A438" s="10" t="s">
        <v>246</v>
      </c>
      <c r="B438" s="10" t="s">
        <v>205</v>
      </c>
      <c r="C438" s="10" t="s">
        <v>247</v>
      </c>
      <c r="D438" s="10"/>
      <c r="E438" s="11" t="n">
        <v>8</v>
      </c>
      <c r="F438" s="10" t="s">
        <v>796</v>
      </c>
      <c r="G438" s="7" t="n">
        <v>17</v>
      </c>
      <c r="H438" s="10" t="s">
        <v>251</v>
      </c>
      <c r="I438" s="10" t="s">
        <v>259</v>
      </c>
      <c r="J438" s="10" t="s">
        <v>1076</v>
      </c>
      <c r="K438" s="7" t="n">
        <v>15</v>
      </c>
      <c r="L438" s="7" t="n">
        <v>56</v>
      </c>
      <c r="M438" s="7" t="n">
        <v>4</v>
      </c>
      <c r="N438" s="7" t="n">
        <v>7</v>
      </c>
      <c r="O438" s="7" t="n">
        <v>2</v>
      </c>
      <c r="P438" s="8" t="n">
        <v>5.74481619239169</v>
      </c>
      <c r="Q438" s="9" t="n">
        <v>0.174069973087107</v>
      </c>
      <c r="R438" s="8" t="n">
        <v>5.5</v>
      </c>
      <c r="S438" s="12" t="n">
        <f aca="false">IF(AND(ISNUMBER(R438),R438&gt;1,P438&gt;0),R438/P438-1,"")</f>
        <v>-0.0426151480209096</v>
      </c>
    </row>
    <row r="439" customFormat="false" ht="15" hidden="false" customHeight="false" outlineLevel="0" collapsed="false">
      <c r="A439" s="10" t="s">
        <v>246</v>
      </c>
      <c r="B439" s="10" t="s">
        <v>205</v>
      </c>
      <c r="C439" s="10" t="s">
        <v>247</v>
      </c>
      <c r="D439" s="10"/>
      <c r="E439" s="11" t="n">
        <v>8</v>
      </c>
      <c r="F439" s="10" t="s">
        <v>796</v>
      </c>
      <c r="G439" s="7" t="n">
        <v>17</v>
      </c>
      <c r="H439" s="10" t="s">
        <v>1077</v>
      </c>
      <c r="I439" s="10" t="s">
        <v>952</v>
      </c>
      <c r="J439" s="10" t="s">
        <v>929</v>
      </c>
      <c r="K439" s="7" t="n">
        <v>9</v>
      </c>
      <c r="L439" s="7" t="n">
        <v>42</v>
      </c>
      <c r="M439" s="7" t="n">
        <v>3</v>
      </c>
      <c r="N439" s="7" t="n">
        <v>7</v>
      </c>
      <c r="O439" s="7" t="n">
        <v>3</v>
      </c>
      <c r="P439" s="8" t="n">
        <v>6.69666736818469</v>
      </c>
      <c r="Q439" s="9" t="n">
        <v>0.149328008249434</v>
      </c>
      <c r="R439" s="8" t="n">
        <v>4</v>
      </c>
      <c r="S439" s="12" t="n">
        <f aca="false">IF(AND(ISNUMBER(R439),R439&gt;1,P439&gt;0),R439/P439-1,"")</f>
        <v>-0.402687967002263</v>
      </c>
    </row>
    <row r="440" customFormat="false" ht="15" hidden="false" customHeight="false" outlineLevel="0" collapsed="false">
      <c r="A440" s="10" t="s">
        <v>246</v>
      </c>
      <c r="B440" s="10" t="s">
        <v>205</v>
      </c>
      <c r="C440" s="10" t="s">
        <v>247</v>
      </c>
      <c r="D440" s="10"/>
      <c r="E440" s="11" t="n">
        <v>8</v>
      </c>
      <c r="F440" s="10" t="s">
        <v>796</v>
      </c>
      <c r="G440" s="7" t="n">
        <v>17</v>
      </c>
      <c r="H440" s="10" t="s">
        <v>1078</v>
      </c>
      <c r="I440" s="10" t="s">
        <v>1079</v>
      </c>
      <c r="J440" s="10" t="s">
        <v>1080</v>
      </c>
      <c r="K440" s="7" t="n">
        <v>3</v>
      </c>
      <c r="L440" s="7" t="n">
        <v>53</v>
      </c>
      <c r="M440" s="7" t="n">
        <v>7</v>
      </c>
      <c r="N440" s="7" t="n">
        <v>7</v>
      </c>
      <c r="O440" s="7" t="n">
        <v>4</v>
      </c>
      <c r="P440" s="8" t="n">
        <v>8.83376939552474</v>
      </c>
      <c r="Q440" s="9" t="n">
        <v>0.113201958894989</v>
      </c>
      <c r="R440" s="8" t="n">
        <v>6.5</v>
      </c>
      <c r="S440" s="12" t="n">
        <f aca="false">IF(AND(ISNUMBER(R440),R440&gt;1,P440&gt;0),R440/P440-1,"")</f>
        <v>-0.264187267182574</v>
      </c>
    </row>
    <row r="441" customFormat="false" ht="15" hidden="false" customHeight="false" outlineLevel="0" collapsed="false">
      <c r="A441" s="10" t="s">
        <v>246</v>
      </c>
      <c r="B441" s="10" t="s">
        <v>205</v>
      </c>
      <c r="C441" s="10" t="s">
        <v>247</v>
      </c>
      <c r="D441" s="10"/>
      <c r="E441" s="11" t="n">
        <v>8</v>
      </c>
      <c r="F441" s="10" t="s">
        <v>796</v>
      </c>
      <c r="G441" s="7" t="n">
        <v>17</v>
      </c>
      <c r="H441" s="10" t="s">
        <v>1081</v>
      </c>
      <c r="I441" s="10" t="s">
        <v>358</v>
      </c>
      <c r="J441" s="10" t="s">
        <v>944</v>
      </c>
      <c r="K441" s="7" t="n">
        <v>6</v>
      </c>
      <c r="L441" s="7" t="n">
        <v>52</v>
      </c>
      <c r="M441" s="7" t="n">
        <v>4</v>
      </c>
      <c r="N441" s="7" t="n">
        <v>15</v>
      </c>
      <c r="O441" s="7" t="n">
        <v>5</v>
      </c>
      <c r="P441" s="8" t="n">
        <v>10.5922645918958</v>
      </c>
      <c r="Q441" s="9" t="n">
        <v>0.0944085177748583</v>
      </c>
      <c r="R441" s="8" t="n">
        <v>8</v>
      </c>
      <c r="S441" s="12" t="n">
        <f aca="false">IF(AND(ISNUMBER(R441),R441&gt;1,P441&gt;0),R441/P441-1,"")</f>
        <v>-0.244731857801133</v>
      </c>
    </row>
    <row r="442" customFormat="false" ht="15" hidden="false" customHeight="false" outlineLevel="0" collapsed="false">
      <c r="A442" s="10" t="s">
        <v>246</v>
      </c>
      <c r="B442" s="10" t="s">
        <v>205</v>
      </c>
      <c r="C442" s="10" t="s">
        <v>247</v>
      </c>
      <c r="D442" s="10"/>
      <c r="E442" s="11" t="n">
        <v>8</v>
      </c>
      <c r="F442" s="10" t="s">
        <v>796</v>
      </c>
      <c r="G442" s="7" t="n">
        <v>17</v>
      </c>
      <c r="H442" s="10" t="s">
        <v>1082</v>
      </c>
      <c r="I442" s="10" t="s">
        <v>926</v>
      </c>
      <c r="J442" s="10" t="s">
        <v>1076</v>
      </c>
      <c r="K442" s="7" t="n">
        <v>10</v>
      </c>
      <c r="L442" s="7" t="n">
        <v>49</v>
      </c>
      <c r="M442" s="7" t="n">
        <v>3</v>
      </c>
      <c r="N442" s="7" t="n">
        <v>20</v>
      </c>
      <c r="O442" s="7" t="n">
        <v>6</v>
      </c>
      <c r="P442" s="8" t="n">
        <v>21.7401939763792</v>
      </c>
      <c r="Q442" s="9" t="n">
        <v>0.045997749656075</v>
      </c>
      <c r="R442" s="8" t="n">
        <v>13</v>
      </c>
      <c r="S442" s="12" t="n">
        <f aca="false">IF(AND(ISNUMBER(R442),R442&gt;1,P442&gt;0),R442/P442-1,"")</f>
        <v>-0.402029254471024</v>
      </c>
    </row>
    <row r="443" customFormat="false" ht="15" hidden="false" customHeight="false" outlineLevel="0" collapsed="false">
      <c r="A443" s="10" t="s">
        <v>246</v>
      </c>
      <c r="B443" s="10" t="s">
        <v>205</v>
      </c>
      <c r="C443" s="10" t="s">
        <v>247</v>
      </c>
      <c r="D443" s="10"/>
      <c r="E443" s="11" t="n">
        <v>8</v>
      </c>
      <c r="F443" s="10" t="s">
        <v>796</v>
      </c>
      <c r="G443" s="7" t="n">
        <v>17</v>
      </c>
      <c r="H443" s="10" t="s">
        <v>1083</v>
      </c>
      <c r="I443" s="10" t="s">
        <v>208</v>
      </c>
      <c r="J443" s="10" t="s">
        <v>1014</v>
      </c>
      <c r="K443" s="7" t="n">
        <v>5</v>
      </c>
      <c r="L443" s="7" t="n">
        <v>45</v>
      </c>
      <c r="M443" s="7" t="n">
        <v>3</v>
      </c>
      <c r="N443" s="7" t="n">
        <v>16</v>
      </c>
      <c r="O443" s="7" t="n">
        <v>7</v>
      </c>
      <c r="P443" s="8" t="n">
        <v>24.6541856673044</v>
      </c>
      <c r="Q443" s="9" t="n">
        <v>0.0405610638896975</v>
      </c>
      <c r="R443" s="8" t="n">
        <v>13</v>
      </c>
      <c r="S443" s="12" t="n">
        <f aca="false">IF(AND(ISNUMBER(R443),R443&gt;1,P443&gt;0),R443/P443-1,"")</f>
        <v>-0.472706169433932</v>
      </c>
    </row>
    <row r="444" customFormat="false" ht="15" hidden="false" customHeight="false" outlineLevel="0" collapsed="false">
      <c r="A444" s="10" t="s">
        <v>246</v>
      </c>
      <c r="B444" s="10" t="s">
        <v>205</v>
      </c>
      <c r="C444" s="10" t="s">
        <v>247</v>
      </c>
      <c r="D444" s="10"/>
      <c r="E444" s="11" t="n">
        <v>8</v>
      </c>
      <c r="F444" s="10" t="s">
        <v>796</v>
      </c>
      <c r="G444" s="7" t="n">
        <v>17</v>
      </c>
      <c r="H444" s="10" t="s">
        <v>1084</v>
      </c>
      <c r="I444" s="10" t="s">
        <v>1085</v>
      </c>
      <c r="J444" s="10" t="s">
        <v>1086</v>
      </c>
      <c r="K444" s="7" t="n">
        <v>8</v>
      </c>
      <c r="L444" s="7" t="n">
        <v>43</v>
      </c>
      <c r="M444" s="7" t="n">
        <v>4</v>
      </c>
      <c r="N444" s="7" t="n">
        <v>16</v>
      </c>
      <c r="O444" s="7" t="n">
        <v>8</v>
      </c>
      <c r="P444" s="8" t="n">
        <v>28.6658866471036</v>
      </c>
      <c r="Q444" s="9" t="n">
        <v>0.0348846701415753</v>
      </c>
      <c r="R444" s="8" t="n">
        <v>12</v>
      </c>
      <c r="S444" s="12" t="n">
        <f aca="false">IF(AND(ISNUMBER(R444),R444&gt;1,P444&gt;0),R444/P444-1,"")</f>
        <v>-0.581383958301095</v>
      </c>
    </row>
    <row r="445" customFormat="false" ht="15" hidden="false" customHeight="false" outlineLevel="0" collapsed="false">
      <c r="A445" s="10" t="s">
        <v>246</v>
      </c>
      <c r="B445" s="10" t="s">
        <v>205</v>
      </c>
      <c r="C445" s="10" t="s">
        <v>247</v>
      </c>
      <c r="D445" s="10"/>
      <c r="E445" s="11" t="n">
        <v>8</v>
      </c>
      <c r="F445" s="10" t="s">
        <v>796</v>
      </c>
      <c r="G445" s="7" t="n">
        <v>17</v>
      </c>
      <c r="H445" s="10" t="s">
        <v>1087</v>
      </c>
      <c r="I445" s="10" t="s">
        <v>933</v>
      </c>
      <c r="J445" s="10" t="s">
        <v>1088</v>
      </c>
      <c r="K445" s="7" t="n">
        <v>17</v>
      </c>
      <c r="L445" s="7" t="n">
        <v>47</v>
      </c>
      <c r="M445" s="7" t="n">
        <v>3</v>
      </c>
      <c r="N445" s="7" t="n">
        <v>51</v>
      </c>
      <c r="O445" s="7" t="n">
        <v>9</v>
      </c>
      <c r="P445" s="8" t="n">
        <v>28.8998211975655</v>
      </c>
      <c r="Q445" s="9" t="n">
        <v>0.0346022902067034</v>
      </c>
      <c r="R445" s="8" t="n">
        <v>9</v>
      </c>
      <c r="S445" s="12" t="n">
        <f aca="false">IF(AND(ISNUMBER(R445),R445&gt;1,P445&gt;0),R445/P445-1,"")</f>
        <v>-0.688579388139669</v>
      </c>
    </row>
    <row r="446" customFormat="false" ht="15" hidden="false" customHeight="false" outlineLevel="0" collapsed="false">
      <c r="A446" s="10" t="s">
        <v>246</v>
      </c>
      <c r="B446" s="10" t="s">
        <v>205</v>
      </c>
      <c r="C446" s="10" t="s">
        <v>247</v>
      </c>
      <c r="D446" s="10"/>
      <c r="E446" s="11" t="n">
        <v>8</v>
      </c>
      <c r="F446" s="10" t="s">
        <v>796</v>
      </c>
      <c r="G446" s="7" t="n">
        <v>17</v>
      </c>
      <c r="H446" s="10" t="s">
        <v>1089</v>
      </c>
      <c r="I446" s="10" t="s">
        <v>1062</v>
      </c>
      <c r="J446" s="10" t="s">
        <v>1090</v>
      </c>
      <c r="K446" s="7" t="n">
        <v>14</v>
      </c>
      <c r="L446" s="7" t="n">
        <v>54</v>
      </c>
      <c r="M446" s="7" t="n">
        <v>6</v>
      </c>
      <c r="N446" s="7" t="n">
        <v>24</v>
      </c>
      <c r="O446" s="7" t="n">
        <v>10</v>
      </c>
      <c r="P446" s="8" t="n">
        <v>33.6529068887946</v>
      </c>
      <c r="Q446" s="9" t="n">
        <v>0.0297151150509666</v>
      </c>
      <c r="R446" s="8" t="n">
        <v>26</v>
      </c>
      <c r="S446" s="12" t="n">
        <f aca="false">IF(AND(ISNUMBER(R446),R446&gt;1,P446&gt;0),R446/P446-1,"")</f>
        <v>-0.227407008674866</v>
      </c>
    </row>
    <row r="447" customFormat="false" ht="15" hidden="false" customHeight="false" outlineLevel="0" collapsed="false">
      <c r="A447" s="10" t="s">
        <v>246</v>
      </c>
      <c r="B447" s="10" t="s">
        <v>205</v>
      </c>
      <c r="C447" s="10" t="s">
        <v>247</v>
      </c>
      <c r="D447" s="10"/>
      <c r="E447" s="11" t="n">
        <v>8</v>
      </c>
      <c r="F447" s="10" t="s">
        <v>796</v>
      </c>
      <c r="G447" s="7" t="n">
        <v>17</v>
      </c>
      <c r="H447" s="10" t="s">
        <v>1091</v>
      </c>
      <c r="I447" s="10" t="s">
        <v>1092</v>
      </c>
      <c r="J447" s="10" t="s">
        <v>1019</v>
      </c>
      <c r="K447" s="7" t="n">
        <v>12</v>
      </c>
      <c r="L447" s="7" t="n">
        <v>51</v>
      </c>
      <c r="M447" s="7" t="n">
        <v>5</v>
      </c>
      <c r="N447" s="7" t="n">
        <v>15</v>
      </c>
      <c r="O447" s="7" t="n">
        <v>11</v>
      </c>
      <c r="P447" s="8" t="n">
        <v>42.301185786673</v>
      </c>
      <c r="Q447" s="9" t="n">
        <v>0.0236399992435921</v>
      </c>
      <c r="R447" s="8" t="n">
        <v>41</v>
      </c>
      <c r="S447" s="12" t="n">
        <f aca="false">IF(AND(ISNUMBER(R447),R447&gt;1,P447&gt;0),R447/P447-1,"")</f>
        <v>-0.0307600310127226</v>
      </c>
    </row>
    <row r="448" customFormat="false" ht="15" hidden="false" customHeight="false" outlineLevel="0" collapsed="false">
      <c r="A448" s="10" t="s">
        <v>246</v>
      </c>
      <c r="B448" s="10" t="s">
        <v>205</v>
      </c>
      <c r="C448" s="10" t="s">
        <v>247</v>
      </c>
      <c r="D448" s="10"/>
      <c r="E448" s="11" t="n">
        <v>8</v>
      </c>
      <c r="F448" s="10" t="s">
        <v>796</v>
      </c>
      <c r="G448" s="7" t="n">
        <v>17</v>
      </c>
      <c r="H448" s="10" t="s">
        <v>1093</v>
      </c>
      <c r="I448" s="10" t="s">
        <v>1055</v>
      </c>
      <c r="J448" s="10" t="s">
        <v>768</v>
      </c>
      <c r="K448" s="7" t="n">
        <v>1</v>
      </c>
      <c r="L448" s="7" t="n">
        <v>46</v>
      </c>
      <c r="M448" s="7" t="n">
        <v>4</v>
      </c>
      <c r="N448" s="7" t="n">
        <v>6</v>
      </c>
      <c r="O448" s="7" t="n">
        <v>12</v>
      </c>
      <c r="P448" s="8" t="n">
        <v>48.5220894394195</v>
      </c>
      <c r="Q448" s="9" t="n">
        <v>0.0206091702058402</v>
      </c>
      <c r="R448" s="8" t="n">
        <v>21</v>
      </c>
      <c r="S448" s="12" t="n">
        <f aca="false">IF(AND(ISNUMBER(R448),R448&gt;1,P448&gt;0),R448/P448-1,"")</f>
        <v>-0.567207425677355</v>
      </c>
    </row>
    <row r="449" customFormat="false" ht="15" hidden="false" customHeight="false" outlineLevel="0" collapsed="false">
      <c r="A449" s="10" t="s">
        <v>246</v>
      </c>
      <c r="B449" s="10" t="s">
        <v>205</v>
      </c>
      <c r="C449" s="10" t="s">
        <v>247</v>
      </c>
      <c r="D449" s="10"/>
      <c r="E449" s="11" t="n">
        <v>8</v>
      </c>
      <c r="F449" s="10" t="s">
        <v>796</v>
      </c>
      <c r="G449" s="7" t="n">
        <v>17</v>
      </c>
      <c r="H449" s="10" t="s">
        <v>1094</v>
      </c>
      <c r="I449" s="10" t="s">
        <v>1095</v>
      </c>
      <c r="J449" s="10" t="s">
        <v>1096</v>
      </c>
      <c r="K449" s="7" t="n">
        <v>13</v>
      </c>
      <c r="L449" s="7" t="n">
        <v>52</v>
      </c>
      <c r="M449" s="7" t="n">
        <v>3</v>
      </c>
      <c r="N449" s="7" t="n">
        <v>20</v>
      </c>
      <c r="O449" s="7" t="n">
        <v>13</v>
      </c>
      <c r="P449" s="8" t="n">
        <v>59.6129473563128</v>
      </c>
      <c r="Q449" s="9" t="n">
        <v>0.0167748793567091</v>
      </c>
      <c r="R449" s="8" t="n">
        <v>29</v>
      </c>
      <c r="S449" s="12" t="n">
        <f aca="false">IF(AND(ISNUMBER(R449),R449&gt;1,P449&gt;0),R449/P449-1,"")</f>
        <v>-0.513528498655435</v>
      </c>
    </row>
    <row r="450" customFormat="false" ht="15" hidden="false" customHeight="false" outlineLevel="0" collapsed="false">
      <c r="A450" s="10" t="s">
        <v>246</v>
      </c>
      <c r="B450" s="10" t="s">
        <v>205</v>
      </c>
      <c r="C450" s="10" t="s">
        <v>247</v>
      </c>
      <c r="D450" s="10"/>
      <c r="E450" s="11" t="n">
        <v>8</v>
      </c>
      <c r="F450" s="10" t="s">
        <v>796</v>
      </c>
      <c r="G450" s="7" t="n">
        <v>17</v>
      </c>
      <c r="H450" s="10" t="s">
        <v>1097</v>
      </c>
      <c r="I450" s="10" t="s">
        <v>358</v>
      </c>
      <c r="J450" s="10" t="s">
        <v>953</v>
      </c>
      <c r="K450" s="7" t="n">
        <v>11</v>
      </c>
      <c r="L450" s="7" t="n">
        <v>40</v>
      </c>
      <c r="M450" s="7" t="n">
        <v>8</v>
      </c>
      <c r="N450" s="7" t="n">
        <v>128</v>
      </c>
      <c r="O450" s="7" t="n">
        <v>14</v>
      </c>
      <c r="P450" s="8" t="n">
        <v>87.4179960340264</v>
      </c>
      <c r="Q450" s="9" t="n">
        <v>0.0114392921980362</v>
      </c>
      <c r="R450" s="8" t="n">
        <v>41</v>
      </c>
      <c r="S450" s="12" t="n">
        <f aca="false">IF(AND(ISNUMBER(R450),R450&gt;1,P450&gt;0),R450/P450-1,"")</f>
        <v>-0.530989019880515</v>
      </c>
    </row>
    <row r="451" customFormat="false" ht="15" hidden="false" customHeight="false" outlineLevel="0" collapsed="false">
      <c r="A451" s="10" t="s">
        <v>246</v>
      </c>
      <c r="B451" s="10" t="s">
        <v>205</v>
      </c>
      <c r="C451" s="10" t="s">
        <v>247</v>
      </c>
      <c r="D451" s="10"/>
      <c r="E451" s="11" t="n">
        <v>8</v>
      </c>
      <c r="F451" s="10" t="s">
        <v>796</v>
      </c>
      <c r="G451" s="7" t="n">
        <v>17</v>
      </c>
      <c r="H451" s="10" t="s">
        <v>1098</v>
      </c>
      <c r="I451" s="10" t="s">
        <v>1099</v>
      </c>
      <c r="J451" s="10" t="s">
        <v>1100</v>
      </c>
      <c r="K451" s="7" t="n">
        <v>2</v>
      </c>
      <c r="L451" s="7" t="n">
        <v>51</v>
      </c>
      <c r="M451" s="7" t="n">
        <v>5</v>
      </c>
      <c r="N451" s="7" t="n">
        <v>41</v>
      </c>
      <c r="O451" s="7" t="n">
        <v>15</v>
      </c>
      <c r="P451" s="8" t="n">
        <v>117.051947471832</v>
      </c>
      <c r="Q451" s="9" t="n">
        <v>0.0085432153979381</v>
      </c>
      <c r="R451" s="8" t="n">
        <v>51</v>
      </c>
      <c r="S451" s="12" t="n">
        <f aca="false">IF(AND(ISNUMBER(R451),R451&gt;1,P451&gt;0),R451/P451-1,"")</f>
        <v>-0.564296014705157</v>
      </c>
    </row>
    <row r="452" customFormat="false" ht="15" hidden="false" customHeight="false" outlineLevel="0" collapsed="false">
      <c r="A452" s="10" t="s">
        <v>246</v>
      </c>
      <c r="B452" s="10" t="s">
        <v>205</v>
      </c>
      <c r="C452" s="10" t="s">
        <v>247</v>
      </c>
      <c r="D452" s="10"/>
      <c r="E452" s="11" t="n">
        <v>8</v>
      </c>
      <c r="F452" s="10" t="s">
        <v>796</v>
      </c>
      <c r="G452" s="7" t="n">
        <v>17</v>
      </c>
      <c r="H452" s="10" t="s">
        <v>1101</v>
      </c>
      <c r="I452" s="10" t="s">
        <v>358</v>
      </c>
      <c r="J452" s="10" t="s">
        <v>1001</v>
      </c>
      <c r="K452" s="7" t="n">
        <v>7</v>
      </c>
      <c r="L452" s="7" t="n">
        <v>46</v>
      </c>
      <c r="M452" s="7" t="n">
        <v>3</v>
      </c>
      <c r="N452" s="7" t="n">
        <v>10</v>
      </c>
      <c r="O452" s="7" t="n">
        <v>16</v>
      </c>
      <c r="P452" s="8" t="n">
        <v>136.900591426569</v>
      </c>
      <c r="Q452" s="9" t="n">
        <v>0.0073045703424618</v>
      </c>
      <c r="R452" s="8" t="n">
        <v>21</v>
      </c>
      <c r="S452" s="12" t="n">
        <f aca="false">IF(AND(ISNUMBER(R452),R452&gt;1,P452&gt;0),R452/P452-1,"")</f>
        <v>-0.846604022808301</v>
      </c>
    </row>
    <row r="453" customFormat="false" ht="15" hidden="false" customHeight="false" outlineLevel="0" collapsed="false">
      <c r="A453" s="10" t="s">
        <v>246</v>
      </c>
      <c r="B453" s="10" t="s">
        <v>205</v>
      </c>
      <c r="C453" s="10" t="s">
        <v>247</v>
      </c>
      <c r="D453" s="10"/>
      <c r="E453" s="11" t="n">
        <v>8</v>
      </c>
      <c r="F453" s="10" t="s">
        <v>796</v>
      </c>
      <c r="G453" s="7" t="n">
        <v>17</v>
      </c>
      <c r="H453" s="10" t="s">
        <v>1102</v>
      </c>
      <c r="I453" s="10" t="s">
        <v>1103</v>
      </c>
      <c r="J453" s="10" t="s">
        <v>1104</v>
      </c>
      <c r="K453" s="7" t="n">
        <v>16</v>
      </c>
      <c r="L453" s="7" t="n">
        <v>49</v>
      </c>
      <c r="M453" s="7" t="n">
        <v>8</v>
      </c>
      <c r="N453" s="7" t="n">
        <v>44</v>
      </c>
      <c r="O453" s="7" t="n">
        <v>17</v>
      </c>
      <c r="P453" s="8" t="n">
        <v>168.203405345543</v>
      </c>
      <c r="Q453" s="9" t="n">
        <v>0.0059451828454107</v>
      </c>
      <c r="R453" s="8" t="n">
        <v>51</v>
      </c>
      <c r="S453" s="12" t="n">
        <f aca="false">IF(AND(ISNUMBER(R453),R453&gt;1,P453&gt;0),R453/P453-1,"")</f>
        <v>-0.69679567488405</v>
      </c>
    </row>
    <row r="454" customFormat="false" ht="15" hidden="false" customHeight="false" outlineLevel="0" collapsed="false">
      <c r="A454" s="10" t="s">
        <v>252</v>
      </c>
      <c r="B454" s="10" t="s">
        <v>172</v>
      </c>
      <c r="C454" s="10" t="s">
        <v>253</v>
      </c>
      <c r="D454" s="10" t="s">
        <v>795</v>
      </c>
      <c r="E454" s="11" t="n">
        <v>8</v>
      </c>
      <c r="F454" s="10" t="s">
        <v>796</v>
      </c>
      <c r="G454" s="7" t="n">
        <v>11</v>
      </c>
      <c r="H454" s="10" t="s">
        <v>254</v>
      </c>
      <c r="I454" s="10" t="s">
        <v>196</v>
      </c>
      <c r="J454" s="10" t="s">
        <v>244</v>
      </c>
      <c r="K454" s="7" t="n">
        <v>3</v>
      </c>
      <c r="L454" s="7" t="n">
        <v>54</v>
      </c>
      <c r="M454" s="7" t="n">
        <v>6</v>
      </c>
      <c r="N454" s="7" t="n">
        <v>6</v>
      </c>
      <c r="O454" s="7" t="n">
        <v>1</v>
      </c>
      <c r="P454" s="8" t="n">
        <v>4.16021458017883</v>
      </c>
      <c r="Q454" s="9" t="n">
        <v>0.240372216559323</v>
      </c>
      <c r="R454" s="8" t="n">
        <v>4.33333333333333</v>
      </c>
      <c r="S454" s="12" t="n">
        <f aca="false">IF(AND(ISNUMBER(R454),R454&gt;1,P454&gt;0),R454/P454-1,"")</f>
        <v>0.041612938423734</v>
      </c>
    </row>
    <row r="455" customFormat="false" ht="15" hidden="false" customHeight="false" outlineLevel="0" collapsed="false">
      <c r="A455" s="10" t="s">
        <v>252</v>
      </c>
      <c r="B455" s="10" t="s">
        <v>172</v>
      </c>
      <c r="C455" s="10" t="s">
        <v>253</v>
      </c>
      <c r="D455" s="10" t="s">
        <v>795</v>
      </c>
      <c r="E455" s="11" t="n">
        <v>8</v>
      </c>
      <c r="F455" s="10" t="s">
        <v>796</v>
      </c>
      <c r="G455" s="7" t="n">
        <v>11</v>
      </c>
      <c r="H455" s="10" t="s">
        <v>255</v>
      </c>
      <c r="I455" s="10" t="s">
        <v>231</v>
      </c>
      <c r="J455" s="10" t="s">
        <v>1105</v>
      </c>
      <c r="K455" s="7" t="n">
        <v>6</v>
      </c>
      <c r="L455" s="7" t="n">
        <v>60</v>
      </c>
      <c r="M455" s="7" t="n">
        <v>6</v>
      </c>
      <c r="N455" s="7" t="n">
        <v>56</v>
      </c>
      <c r="O455" s="7" t="n">
        <v>2</v>
      </c>
      <c r="P455" s="8" t="n">
        <v>5.171976351087</v>
      </c>
      <c r="Q455" s="9" t="n">
        <v>0.193349685326738</v>
      </c>
      <c r="R455" s="8" t="n">
        <v>5.5</v>
      </c>
      <c r="S455" s="12" t="n">
        <f aca="false">IF(AND(ISNUMBER(R455),R455&gt;1,P455&gt;0),R455/P455-1,"")</f>
        <v>0.0634232692970567</v>
      </c>
    </row>
    <row r="456" customFormat="false" ht="15" hidden="false" customHeight="false" outlineLevel="0" collapsed="false">
      <c r="A456" s="10" t="s">
        <v>252</v>
      </c>
      <c r="B456" s="10" t="s">
        <v>172</v>
      </c>
      <c r="C456" s="10" t="s">
        <v>253</v>
      </c>
      <c r="D456" s="10" t="s">
        <v>795</v>
      </c>
      <c r="E456" s="11" t="n">
        <v>8</v>
      </c>
      <c r="F456" s="10" t="s">
        <v>796</v>
      </c>
      <c r="G456" s="7" t="n">
        <v>11</v>
      </c>
      <c r="H456" s="10" t="s">
        <v>1106</v>
      </c>
      <c r="I456" s="10" t="s">
        <v>219</v>
      </c>
      <c r="J456" s="10" t="s">
        <v>807</v>
      </c>
      <c r="K456" s="7" t="n">
        <v>1</v>
      </c>
      <c r="L456" s="7" t="n">
        <v>59</v>
      </c>
      <c r="M456" s="7" t="n">
        <v>6</v>
      </c>
      <c r="N456" s="7" t="n">
        <v>6</v>
      </c>
      <c r="O456" s="7" t="n">
        <v>3</v>
      </c>
      <c r="P456" s="8" t="n">
        <v>7.30370288781207</v>
      </c>
      <c r="Q456" s="9" t="n">
        <v>0.136916850994683</v>
      </c>
      <c r="R456" s="8" t="n">
        <v>5</v>
      </c>
      <c r="S456" s="12" t="n">
        <f aca="false">IF(AND(ISNUMBER(R456),R456&gt;1,P456&gt;0),R456/P456-1,"")</f>
        <v>-0.315415745026585</v>
      </c>
    </row>
    <row r="457" customFormat="false" ht="15" hidden="false" customHeight="false" outlineLevel="0" collapsed="false">
      <c r="A457" s="10" t="s">
        <v>252</v>
      </c>
      <c r="B457" s="10" t="s">
        <v>172</v>
      </c>
      <c r="C457" s="10" t="s">
        <v>253</v>
      </c>
      <c r="D457" s="10" t="s">
        <v>795</v>
      </c>
      <c r="E457" s="11" t="n">
        <v>8</v>
      </c>
      <c r="F457" s="10" t="s">
        <v>796</v>
      </c>
      <c r="G457" s="7" t="n">
        <v>11</v>
      </c>
      <c r="H457" s="10" t="s">
        <v>1107</v>
      </c>
      <c r="I457" s="10" t="s">
        <v>175</v>
      </c>
      <c r="J457" s="10" t="s">
        <v>1108</v>
      </c>
      <c r="K457" s="7" t="n">
        <v>7</v>
      </c>
      <c r="L457" s="7" t="n">
        <v>54</v>
      </c>
      <c r="M457" s="7" t="n">
        <v>5</v>
      </c>
      <c r="N457" s="7" t="n">
        <v>23</v>
      </c>
      <c r="O457" s="7" t="n">
        <v>4</v>
      </c>
      <c r="P457" s="8" t="n">
        <v>11.3127486586812</v>
      </c>
      <c r="Q457" s="9" t="n">
        <v>0.0883958470369287</v>
      </c>
      <c r="R457" s="8" t="n">
        <v>8.5</v>
      </c>
      <c r="S457" s="12" t="n">
        <f aca="false">IF(AND(ISNUMBER(R457),R457&gt;1,P457&gt;0),R457/P457-1,"")</f>
        <v>-0.248635300186105</v>
      </c>
    </row>
    <row r="458" customFormat="false" ht="15" hidden="false" customHeight="false" outlineLevel="0" collapsed="false">
      <c r="A458" s="10" t="s">
        <v>252</v>
      </c>
      <c r="B458" s="10" t="s">
        <v>172</v>
      </c>
      <c r="C458" s="10" t="s">
        <v>253</v>
      </c>
      <c r="D458" s="10" t="s">
        <v>795</v>
      </c>
      <c r="E458" s="11" t="n">
        <v>8</v>
      </c>
      <c r="F458" s="10" t="s">
        <v>796</v>
      </c>
      <c r="G458" s="7" t="n">
        <v>11</v>
      </c>
      <c r="H458" s="10" t="s">
        <v>1109</v>
      </c>
      <c r="I458" s="10" t="s">
        <v>804</v>
      </c>
      <c r="J458" s="10" t="s">
        <v>1110</v>
      </c>
      <c r="K458" s="7" t="n">
        <v>2</v>
      </c>
      <c r="L458" s="7" t="n">
        <v>48</v>
      </c>
      <c r="M458" s="7" t="n">
        <v>7</v>
      </c>
      <c r="N458" s="7" t="n">
        <v>6</v>
      </c>
      <c r="O458" s="7" t="n">
        <v>5</v>
      </c>
      <c r="P458" s="8" t="n">
        <v>12.0482599274708</v>
      </c>
      <c r="Q458" s="9" t="n">
        <v>0.0829995373622323</v>
      </c>
      <c r="R458" s="8" t="n">
        <v>7.5</v>
      </c>
      <c r="S458" s="12" t="n">
        <f aca="false">IF(AND(ISNUMBER(R458),R458&gt;1,P458&gt;0),R458/P458-1,"")</f>
        <v>-0.377503469783258</v>
      </c>
    </row>
    <row r="459" customFormat="false" ht="15" hidden="false" customHeight="false" outlineLevel="0" collapsed="false">
      <c r="A459" s="10" t="s">
        <v>252</v>
      </c>
      <c r="B459" s="10" t="s">
        <v>172</v>
      </c>
      <c r="C459" s="10" t="s">
        <v>253</v>
      </c>
      <c r="D459" s="10" t="s">
        <v>795</v>
      </c>
      <c r="E459" s="11" t="n">
        <v>8</v>
      </c>
      <c r="F459" s="10" t="s">
        <v>796</v>
      </c>
      <c r="G459" s="7" t="n">
        <v>11</v>
      </c>
      <c r="H459" s="10" t="s">
        <v>1111</v>
      </c>
      <c r="I459" s="10" t="s">
        <v>891</v>
      </c>
      <c r="J459" s="10" t="s">
        <v>1112</v>
      </c>
      <c r="K459" s="7" t="n">
        <v>5</v>
      </c>
      <c r="L459" s="7" t="n">
        <v>54</v>
      </c>
      <c r="M459" s="7" t="n">
        <v>4</v>
      </c>
      <c r="N459" s="7" t="n">
        <v>29</v>
      </c>
      <c r="O459" s="7" t="n">
        <v>6</v>
      </c>
      <c r="P459" s="8" t="n">
        <v>12.7657514877221</v>
      </c>
      <c r="Q459" s="9" t="n">
        <v>0.0783345971415617</v>
      </c>
      <c r="R459" s="8" t="n">
        <v>7.5</v>
      </c>
      <c r="S459" s="12" t="n">
        <f aca="false">IF(AND(ISNUMBER(R459),R459&gt;1,P459&gt;0),R459/P459-1,"")</f>
        <v>-0.412490521438287</v>
      </c>
    </row>
    <row r="460" customFormat="false" ht="15" hidden="false" customHeight="false" outlineLevel="0" collapsed="false">
      <c r="A460" s="10" t="s">
        <v>252</v>
      </c>
      <c r="B460" s="10" t="s">
        <v>172</v>
      </c>
      <c r="C460" s="10" t="s">
        <v>253</v>
      </c>
      <c r="D460" s="10" t="s">
        <v>795</v>
      </c>
      <c r="E460" s="11" t="n">
        <v>8</v>
      </c>
      <c r="F460" s="10" t="s">
        <v>796</v>
      </c>
      <c r="G460" s="7" t="n">
        <v>11</v>
      </c>
      <c r="H460" s="10" t="s">
        <v>1113</v>
      </c>
      <c r="I460" s="10" t="s">
        <v>265</v>
      </c>
      <c r="J460" s="10" t="s">
        <v>424</v>
      </c>
      <c r="K460" s="7" t="n">
        <v>4</v>
      </c>
      <c r="L460" s="7" t="n">
        <v>59</v>
      </c>
      <c r="M460" s="7" t="n">
        <v>5</v>
      </c>
      <c r="N460" s="7" t="n">
        <v>21</v>
      </c>
      <c r="O460" s="7" t="n">
        <v>7</v>
      </c>
      <c r="P460" s="8" t="n">
        <v>14.2918537069413</v>
      </c>
      <c r="Q460" s="9" t="n">
        <v>0.0699699297589589</v>
      </c>
      <c r="R460" s="8" t="n">
        <v>10</v>
      </c>
      <c r="S460" s="12" t="n">
        <f aca="false">IF(AND(ISNUMBER(R460),R460&gt;1,P460&gt;0),R460/P460-1,"")</f>
        <v>-0.30030070241041</v>
      </c>
    </row>
    <row r="461" customFormat="false" ht="15" hidden="false" customHeight="false" outlineLevel="0" collapsed="false">
      <c r="A461" s="10" t="s">
        <v>252</v>
      </c>
      <c r="B461" s="10" t="s">
        <v>172</v>
      </c>
      <c r="C461" s="10" t="s">
        <v>253</v>
      </c>
      <c r="D461" s="10" t="s">
        <v>795</v>
      </c>
      <c r="E461" s="11" t="n">
        <v>8</v>
      </c>
      <c r="F461" s="10" t="s">
        <v>796</v>
      </c>
      <c r="G461" s="7" t="n">
        <v>11</v>
      </c>
      <c r="H461" s="10" t="s">
        <v>1114</v>
      </c>
      <c r="I461" s="10" t="s">
        <v>274</v>
      </c>
      <c r="J461" s="10" t="s">
        <v>802</v>
      </c>
      <c r="K461" s="7" t="n">
        <v>10</v>
      </c>
      <c r="L461" s="7" t="n">
        <v>60</v>
      </c>
      <c r="M461" s="7" t="n">
        <v>5</v>
      </c>
      <c r="N461" s="7" t="n">
        <v>16</v>
      </c>
      <c r="O461" s="7" t="n">
        <v>8</v>
      </c>
      <c r="P461" s="8" t="n">
        <v>15.1733303608454</v>
      </c>
      <c r="Q461" s="9" t="n">
        <v>0.065905109571758</v>
      </c>
      <c r="R461" s="8" t="n">
        <v>8.5</v>
      </c>
      <c r="S461" s="12" t="n">
        <f aca="false">IF(AND(ISNUMBER(R461),R461&gt;1,P461&gt;0),R461/P461-1,"")</f>
        <v>-0.439806568640057</v>
      </c>
    </row>
    <row r="462" customFormat="false" ht="15" hidden="false" customHeight="false" outlineLevel="0" collapsed="false">
      <c r="A462" s="10" t="s">
        <v>252</v>
      </c>
      <c r="B462" s="10" t="s">
        <v>172</v>
      </c>
      <c r="C462" s="10" t="s">
        <v>253</v>
      </c>
      <c r="D462" s="10" t="s">
        <v>795</v>
      </c>
      <c r="E462" s="11" t="n">
        <v>8</v>
      </c>
      <c r="F462" s="10" t="s">
        <v>796</v>
      </c>
      <c r="G462" s="7" t="n">
        <v>11</v>
      </c>
      <c r="H462" s="10" t="s">
        <v>1115</v>
      </c>
      <c r="I462" s="10" t="s">
        <v>797</v>
      </c>
      <c r="J462" s="10" t="s">
        <v>1072</v>
      </c>
      <c r="K462" s="7" t="n">
        <v>9</v>
      </c>
      <c r="L462" s="7" t="n">
        <v>52</v>
      </c>
      <c r="M462" s="7" t="n">
        <v>12</v>
      </c>
      <c r="N462" s="7" t="n">
        <v>62</v>
      </c>
      <c r="O462" s="7" t="n">
        <v>9</v>
      </c>
      <c r="P462" s="8" t="n">
        <v>38.6582715848556</v>
      </c>
      <c r="Q462" s="9" t="n">
        <v>0.0258676852069028</v>
      </c>
      <c r="R462" s="8" t="n">
        <v>23</v>
      </c>
      <c r="S462" s="12" t="n">
        <f aca="false">IF(AND(ISNUMBER(R462),R462&gt;1,P462&gt;0),R462/P462-1,"")</f>
        <v>-0.405043240241235</v>
      </c>
    </row>
    <row r="463" customFormat="false" ht="15" hidden="false" customHeight="false" outlineLevel="0" collapsed="false">
      <c r="A463" s="10" t="s">
        <v>252</v>
      </c>
      <c r="B463" s="10" t="s">
        <v>172</v>
      </c>
      <c r="C463" s="10" t="s">
        <v>253</v>
      </c>
      <c r="D463" s="10" t="s">
        <v>795</v>
      </c>
      <c r="E463" s="11" t="n">
        <v>8</v>
      </c>
      <c r="F463" s="10" t="s">
        <v>796</v>
      </c>
      <c r="G463" s="7" t="n">
        <v>11</v>
      </c>
      <c r="H463" s="10" t="s">
        <v>1116</v>
      </c>
      <c r="I463" s="10" t="s">
        <v>875</v>
      </c>
      <c r="J463" s="10" t="s">
        <v>892</v>
      </c>
      <c r="K463" s="7" t="n">
        <v>11</v>
      </c>
      <c r="L463" s="7" t="n">
        <v>46</v>
      </c>
      <c r="M463" s="7" t="n">
        <v>5</v>
      </c>
      <c r="N463" s="7" t="n">
        <v>23</v>
      </c>
      <c r="O463" s="7" t="n">
        <v>10</v>
      </c>
      <c r="P463" s="8" t="n">
        <v>63.4124230396106</v>
      </c>
      <c r="Q463" s="9" t="n">
        <v>0.0157697806213042</v>
      </c>
      <c r="R463" s="8" t="n">
        <v>34</v>
      </c>
      <c r="S463" s="12" t="n">
        <f aca="false">IF(AND(ISNUMBER(R463),R463&gt;1,P463&gt;0),R463/P463-1,"")</f>
        <v>-0.463827458875654</v>
      </c>
    </row>
    <row r="464" customFormat="false" ht="15" hidden="false" customHeight="false" outlineLevel="0" collapsed="false">
      <c r="A464" s="10" t="s">
        <v>252</v>
      </c>
      <c r="B464" s="10" t="s">
        <v>172</v>
      </c>
      <c r="C464" s="10" t="s">
        <v>253</v>
      </c>
      <c r="D464" s="10" t="s">
        <v>795</v>
      </c>
      <c r="E464" s="11" t="n">
        <v>8</v>
      </c>
      <c r="F464" s="10" t="s">
        <v>796</v>
      </c>
      <c r="G464" s="7" t="n">
        <v>11</v>
      </c>
      <c r="H464" s="10" t="s">
        <v>1117</v>
      </c>
      <c r="I464" s="10" t="s">
        <v>900</v>
      </c>
      <c r="J464" s="10" t="s">
        <v>901</v>
      </c>
      <c r="K464" s="7" t="n">
        <v>8</v>
      </c>
      <c r="L464" s="7" t="n">
        <v>46</v>
      </c>
      <c r="M464" s="7" t="n">
        <v>4</v>
      </c>
      <c r="N464" s="7" t="n">
        <v>17</v>
      </c>
      <c r="O464" s="7" t="n">
        <v>11</v>
      </c>
      <c r="P464" s="8" t="n">
        <v>471.974080101232</v>
      </c>
      <c r="Q464" s="9" t="n">
        <v>0.0021187604196093</v>
      </c>
      <c r="R464" s="8" t="n">
        <v>81</v>
      </c>
      <c r="S464" s="12" t="n">
        <f aca="false">IF(AND(ISNUMBER(R464),R464&gt;1,P464&gt;0),R464/P464-1,"")</f>
        <v>-0.828380406011647</v>
      </c>
    </row>
    <row r="465" customFormat="false" ht="15" hidden="false" customHeight="false" outlineLevel="0" collapsed="false">
      <c r="A465" s="10" t="s">
        <v>256</v>
      </c>
      <c r="B465" s="10" t="s">
        <v>205</v>
      </c>
      <c r="C465" s="10" t="s">
        <v>257</v>
      </c>
      <c r="D465" s="10"/>
      <c r="E465" s="11" t="n">
        <v>10.5</v>
      </c>
      <c r="F465" s="10" t="s">
        <v>796</v>
      </c>
      <c r="G465" s="7" t="n">
        <v>7</v>
      </c>
      <c r="H465" s="10" t="s">
        <v>258</v>
      </c>
      <c r="I465" s="10" t="s">
        <v>259</v>
      </c>
      <c r="J465" s="10" t="s">
        <v>260</v>
      </c>
      <c r="K465" s="7" t="n">
        <v>4</v>
      </c>
      <c r="L465" s="7" t="n">
        <v>112</v>
      </c>
      <c r="M465" s="7" t="n">
        <v>3</v>
      </c>
      <c r="N465" s="7" t="n">
        <v>34</v>
      </c>
      <c r="O465" s="7" t="n">
        <v>1</v>
      </c>
      <c r="P465" s="8" t="n">
        <v>2.7029906238106</v>
      </c>
      <c r="Q465" s="9" t="n">
        <v>0.369960587798942</v>
      </c>
      <c r="R465" s="8" t="n">
        <v>2.5</v>
      </c>
      <c r="S465" s="12" t="n">
        <f aca="false">IF(AND(ISNUMBER(R465),R465&gt;1,P465&gt;0),R465/P465-1,"")</f>
        <v>-0.0750985305026446</v>
      </c>
    </row>
    <row r="466" customFormat="false" ht="15" hidden="false" customHeight="false" outlineLevel="0" collapsed="false">
      <c r="A466" s="10" t="s">
        <v>256</v>
      </c>
      <c r="B466" s="10" t="s">
        <v>205</v>
      </c>
      <c r="C466" s="10" t="s">
        <v>257</v>
      </c>
      <c r="D466" s="10"/>
      <c r="E466" s="11" t="n">
        <v>10.5</v>
      </c>
      <c r="F466" s="10" t="s">
        <v>796</v>
      </c>
      <c r="G466" s="7" t="n">
        <v>7</v>
      </c>
      <c r="H466" s="10" t="s">
        <v>261</v>
      </c>
      <c r="I466" s="10" t="s">
        <v>249</v>
      </c>
      <c r="J466" s="10" t="s">
        <v>96</v>
      </c>
      <c r="K466" s="7" t="n">
        <v>2</v>
      </c>
      <c r="L466" s="7" t="n">
        <v>111</v>
      </c>
      <c r="M466" s="7" t="n">
        <v>6</v>
      </c>
      <c r="N466" s="7" t="n">
        <v>398</v>
      </c>
      <c r="O466" s="7" t="n">
        <v>2</v>
      </c>
      <c r="P466" s="8" t="n">
        <v>3.23053855962163</v>
      </c>
      <c r="Q466" s="9" t="n">
        <v>0.309545910548463</v>
      </c>
      <c r="R466" s="8" t="n">
        <v>1.90909090909091</v>
      </c>
      <c r="S466" s="12" t="n">
        <f aca="false">IF(AND(ISNUMBER(R466),R466&gt;1,P466&gt;0),R466/P466-1,"")</f>
        <v>-0.409048716225661</v>
      </c>
    </row>
    <row r="467" customFormat="false" ht="15" hidden="false" customHeight="false" outlineLevel="0" collapsed="false">
      <c r="A467" s="10" t="s">
        <v>256</v>
      </c>
      <c r="B467" s="10" t="s">
        <v>205</v>
      </c>
      <c r="C467" s="10" t="s">
        <v>257</v>
      </c>
      <c r="D467" s="10"/>
      <c r="E467" s="11" t="n">
        <v>10.5</v>
      </c>
      <c r="F467" s="10" t="s">
        <v>796</v>
      </c>
      <c r="G467" s="7" t="n">
        <v>7</v>
      </c>
      <c r="H467" s="10" t="s">
        <v>1118</v>
      </c>
      <c r="I467" s="10" t="s">
        <v>1044</v>
      </c>
      <c r="J467" s="10" t="s">
        <v>1045</v>
      </c>
      <c r="K467" s="7" t="n">
        <v>5</v>
      </c>
      <c r="L467" s="7" t="n">
        <v>103</v>
      </c>
      <c r="M467" s="7" t="n">
        <v>3</v>
      </c>
      <c r="N467" s="7" t="n">
        <v>13</v>
      </c>
      <c r="O467" s="7" t="n">
        <v>3</v>
      </c>
      <c r="P467" s="8" t="n">
        <v>8.09061024013682</v>
      </c>
      <c r="Q467" s="9" t="n">
        <v>0.12360007098588</v>
      </c>
      <c r="R467" s="8" t="n">
        <v>7.5</v>
      </c>
      <c r="S467" s="12" t="n">
        <f aca="false">IF(AND(ISNUMBER(R467),R467&gt;1,P467&gt;0),R467/P467-1,"")</f>
        <v>-0.0729994676058992</v>
      </c>
    </row>
    <row r="468" customFormat="false" ht="15" hidden="false" customHeight="false" outlineLevel="0" collapsed="false">
      <c r="A468" s="10" t="s">
        <v>256</v>
      </c>
      <c r="B468" s="10" t="s">
        <v>205</v>
      </c>
      <c r="C468" s="10" t="s">
        <v>257</v>
      </c>
      <c r="D468" s="10"/>
      <c r="E468" s="11" t="n">
        <v>10.5</v>
      </c>
      <c r="F468" s="10" t="s">
        <v>796</v>
      </c>
      <c r="G468" s="7" t="n">
        <v>7</v>
      </c>
      <c r="H468" s="10" t="s">
        <v>1119</v>
      </c>
      <c r="I468" s="10" t="s">
        <v>1120</v>
      </c>
      <c r="J468" s="10" t="s">
        <v>964</v>
      </c>
      <c r="K468" s="7" t="n">
        <v>3</v>
      </c>
      <c r="L468" s="7" t="n">
        <v>89</v>
      </c>
      <c r="M468" s="7" t="n">
        <v>4</v>
      </c>
      <c r="N468" s="7" t="n">
        <v>7</v>
      </c>
      <c r="O468" s="7" t="n">
        <v>4</v>
      </c>
      <c r="P468" s="8" t="n">
        <v>10.2095966868486</v>
      </c>
      <c r="Q468" s="9" t="n">
        <v>0.0979470620311713</v>
      </c>
      <c r="R468" s="8" t="n">
        <v>26</v>
      </c>
      <c r="S468" s="12" t="n">
        <f aca="false">IF(AND(ISNUMBER(R468),R468&gt;1,P468&gt;0),R468/P468-1,"")</f>
        <v>1.54662361281045</v>
      </c>
    </row>
    <row r="469" customFormat="false" ht="15" hidden="false" customHeight="false" outlineLevel="0" collapsed="false">
      <c r="A469" s="10" t="s">
        <v>256</v>
      </c>
      <c r="B469" s="10" t="s">
        <v>205</v>
      </c>
      <c r="C469" s="10" t="s">
        <v>257</v>
      </c>
      <c r="D469" s="10"/>
      <c r="E469" s="11" t="n">
        <v>10.5</v>
      </c>
      <c r="F469" s="10" t="s">
        <v>796</v>
      </c>
      <c r="G469" s="7" t="n">
        <v>7</v>
      </c>
      <c r="H469" s="10" t="s">
        <v>1121</v>
      </c>
      <c r="I469" s="10" t="s">
        <v>1099</v>
      </c>
      <c r="J469" s="10" t="s">
        <v>1122</v>
      </c>
      <c r="K469" s="7" t="n">
        <v>6</v>
      </c>
      <c r="L469" s="7" t="n">
        <v>99</v>
      </c>
      <c r="M469" s="7" t="n">
        <v>4</v>
      </c>
      <c r="N469" s="7" t="n">
        <v>44</v>
      </c>
      <c r="O469" s="7" t="n">
        <v>5</v>
      </c>
      <c r="P469" s="8" t="n">
        <v>15.9534981029401</v>
      </c>
      <c r="Q469" s="9" t="n">
        <v>0.06268217751038</v>
      </c>
      <c r="R469" s="8" t="n">
        <v>17</v>
      </c>
      <c r="S469" s="12" t="n">
        <f aca="false">IF(AND(ISNUMBER(R469),R469&gt;1,P469&gt;0),R469/P469-1,"")</f>
        <v>0.0655970176764606</v>
      </c>
    </row>
    <row r="470" customFormat="false" ht="15" hidden="false" customHeight="false" outlineLevel="0" collapsed="false">
      <c r="A470" s="10" t="s">
        <v>256</v>
      </c>
      <c r="B470" s="10" t="s">
        <v>205</v>
      </c>
      <c r="C470" s="10" t="s">
        <v>257</v>
      </c>
      <c r="D470" s="10"/>
      <c r="E470" s="11" t="n">
        <v>10.5</v>
      </c>
      <c r="F470" s="10" t="s">
        <v>796</v>
      </c>
      <c r="G470" s="7" t="n">
        <v>7</v>
      </c>
      <c r="H470" s="10" t="s">
        <v>1123</v>
      </c>
      <c r="I470" s="10" t="s">
        <v>1124</v>
      </c>
      <c r="J470" s="10" t="s">
        <v>128</v>
      </c>
      <c r="K470" s="7" t="n">
        <v>7</v>
      </c>
      <c r="L470" s="7" t="n">
        <v>88</v>
      </c>
      <c r="M470" s="7" t="n">
        <v>4</v>
      </c>
      <c r="N470" s="7" t="n">
        <v>17</v>
      </c>
      <c r="O470" s="7" t="n">
        <v>6</v>
      </c>
      <c r="P470" s="8" t="n">
        <v>34.1900412501818</v>
      </c>
      <c r="Q470" s="9" t="n">
        <v>0.0292482829336944</v>
      </c>
      <c r="R470" s="8" t="n">
        <v>34</v>
      </c>
      <c r="S470" s="12" t="n">
        <f aca="false">IF(AND(ISNUMBER(R470),R470&gt;1,P470&gt;0),R470/P470-1,"")</f>
        <v>-0.00555838025439004</v>
      </c>
    </row>
    <row r="471" customFormat="false" ht="15" hidden="false" customHeight="false" outlineLevel="0" collapsed="false">
      <c r="A471" s="10" t="s">
        <v>256</v>
      </c>
      <c r="B471" s="10" t="s">
        <v>205</v>
      </c>
      <c r="C471" s="10" t="s">
        <v>257</v>
      </c>
      <c r="D471" s="10"/>
      <c r="E471" s="11" t="n">
        <v>10.5</v>
      </c>
      <c r="F471" s="10" t="s">
        <v>796</v>
      </c>
      <c r="G471" s="7" t="n">
        <v>7</v>
      </c>
      <c r="H471" s="10" t="s">
        <v>1125</v>
      </c>
      <c r="I471" s="10" t="s">
        <v>1055</v>
      </c>
      <c r="J471" s="10" t="s">
        <v>1004</v>
      </c>
      <c r="K471" s="7" t="n">
        <v>1</v>
      </c>
      <c r="L471" s="7" t="n">
        <v>91</v>
      </c>
      <c r="M471" s="7" t="n">
        <v>4</v>
      </c>
      <c r="N471" s="7" t="n">
        <v>12</v>
      </c>
      <c r="O471" s="7" t="n">
        <v>7</v>
      </c>
      <c r="P471" s="8" t="n">
        <v>142.533222030472</v>
      </c>
      <c r="Q471" s="9" t="n">
        <v>0.0070159081914686</v>
      </c>
      <c r="R471" s="8" t="n">
        <v>81</v>
      </c>
      <c r="S471" s="12" t="n">
        <f aca="false">IF(AND(ISNUMBER(R471),R471&gt;1,P471&gt;0),R471/P471-1,"")</f>
        <v>-0.431711436491043</v>
      </c>
    </row>
    <row r="472" customFormat="false" ht="15" hidden="false" customHeight="false" outlineLevel="0" collapsed="false">
      <c r="A472" s="10" t="s">
        <v>262</v>
      </c>
      <c r="B472" s="10" t="s">
        <v>172</v>
      </c>
      <c r="C472" s="10" t="s">
        <v>263</v>
      </c>
      <c r="D472" s="10" t="s">
        <v>290</v>
      </c>
      <c r="E472" s="11" t="n">
        <v>7</v>
      </c>
      <c r="F472" s="10" t="s">
        <v>796</v>
      </c>
      <c r="G472" s="7" t="n">
        <v>11</v>
      </c>
      <c r="H472" s="10" t="s">
        <v>264</v>
      </c>
      <c r="I472" s="10" t="s">
        <v>265</v>
      </c>
      <c r="J472" s="10" t="s">
        <v>266</v>
      </c>
      <c r="K472" s="7" t="n">
        <v>7</v>
      </c>
      <c r="L472" s="7" t="n">
        <v>75</v>
      </c>
      <c r="M472" s="7" t="n">
        <v>4</v>
      </c>
      <c r="N472" s="7" t="n">
        <v>20</v>
      </c>
      <c r="O472" s="7" t="n">
        <v>1</v>
      </c>
      <c r="P472" s="8" t="n">
        <v>5.83284454604228</v>
      </c>
      <c r="Q472" s="9" t="n">
        <v>0.171442936993499</v>
      </c>
      <c r="R472" s="8" t="n">
        <v>2.75</v>
      </c>
      <c r="S472" s="12" t="n">
        <f aca="false">IF(AND(ISNUMBER(R472),R472&gt;1,P472&gt;0),R472/P472-1,"")</f>
        <v>-0.528531923267878</v>
      </c>
    </row>
    <row r="473" customFormat="false" ht="15" hidden="false" customHeight="false" outlineLevel="0" collapsed="false">
      <c r="A473" s="10" t="s">
        <v>262</v>
      </c>
      <c r="B473" s="10" t="s">
        <v>172</v>
      </c>
      <c r="C473" s="10" t="s">
        <v>263</v>
      </c>
      <c r="D473" s="10" t="s">
        <v>290</v>
      </c>
      <c r="E473" s="11" t="n">
        <v>7</v>
      </c>
      <c r="F473" s="10" t="s">
        <v>796</v>
      </c>
      <c r="G473" s="7" t="n">
        <v>11</v>
      </c>
      <c r="H473" s="10" t="s">
        <v>267</v>
      </c>
      <c r="I473" s="10" t="s">
        <v>231</v>
      </c>
      <c r="J473" s="10" t="s">
        <v>1105</v>
      </c>
      <c r="K473" s="7" t="n">
        <v>6</v>
      </c>
      <c r="L473" s="7" t="n">
        <v>72</v>
      </c>
      <c r="M473" s="7" t="n">
        <v>4</v>
      </c>
      <c r="N473" s="7" t="n">
        <v>63</v>
      </c>
      <c r="O473" s="7" t="n">
        <v>2</v>
      </c>
      <c r="P473" s="8" t="n">
        <v>8.94220490837452</v>
      </c>
      <c r="Q473" s="9" t="n">
        <v>0.111829242367672</v>
      </c>
      <c r="R473" s="8" t="n">
        <v>7.5</v>
      </c>
      <c r="S473" s="12" t="n">
        <f aca="false">IF(AND(ISNUMBER(R473),R473&gt;1,P473&gt;0),R473/P473-1,"")</f>
        <v>-0.16128068224246</v>
      </c>
    </row>
    <row r="474" customFormat="false" ht="15" hidden="false" customHeight="false" outlineLevel="0" collapsed="false">
      <c r="A474" s="10" t="s">
        <v>262</v>
      </c>
      <c r="B474" s="10" t="s">
        <v>172</v>
      </c>
      <c r="C474" s="10" t="s">
        <v>263</v>
      </c>
      <c r="D474" s="10" t="s">
        <v>290</v>
      </c>
      <c r="E474" s="11" t="n">
        <v>7</v>
      </c>
      <c r="F474" s="10" t="s">
        <v>796</v>
      </c>
      <c r="G474" s="7" t="n">
        <v>11</v>
      </c>
      <c r="H474" s="10" t="s">
        <v>1126</v>
      </c>
      <c r="I474" s="10" t="s">
        <v>175</v>
      </c>
      <c r="J474" s="10" t="s">
        <v>407</v>
      </c>
      <c r="K474" s="7" t="n">
        <v>4</v>
      </c>
      <c r="L474" s="7" t="n">
        <v>75</v>
      </c>
      <c r="M474" s="7" t="n">
        <v>5</v>
      </c>
      <c r="N474" s="7" t="n">
        <v>22</v>
      </c>
      <c r="O474" s="7" t="n">
        <v>3</v>
      </c>
      <c r="P474" s="8" t="n">
        <v>9.00869784136447</v>
      </c>
      <c r="Q474" s="9" t="n">
        <v>0.111003834028974</v>
      </c>
      <c r="R474" s="8" t="n">
        <v>8.5</v>
      </c>
      <c r="S474" s="12" t="n">
        <f aca="false">IF(AND(ISNUMBER(R474),R474&gt;1,P474&gt;0),R474/P474-1,"")</f>
        <v>-0.0564674107537192</v>
      </c>
    </row>
    <row r="475" customFormat="false" ht="15" hidden="false" customHeight="false" outlineLevel="0" collapsed="false">
      <c r="A475" s="10" t="s">
        <v>262</v>
      </c>
      <c r="B475" s="10" t="s">
        <v>172</v>
      </c>
      <c r="C475" s="10" t="s">
        <v>263</v>
      </c>
      <c r="D475" s="10" t="s">
        <v>290</v>
      </c>
      <c r="E475" s="11" t="n">
        <v>7</v>
      </c>
      <c r="F475" s="10" t="s">
        <v>796</v>
      </c>
      <c r="G475" s="7" t="n">
        <v>11</v>
      </c>
      <c r="H475" s="10" t="s">
        <v>1127</v>
      </c>
      <c r="I475" s="10" t="s">
        <v>1128</v>
      </c>
      <c r="J475" s="10" t="s">
        <v>506</v>
      </c>
      <c r="K475" s="7" t="n">
        <v>1</v>
      </c>
      <c r="L475" s="7" t="n">
        <v>75</v>
      </c>
      <c r="M475" s="7" t="n">
        <v>7</v>
      </c>
      <c r="N475" s="7" t="n">
        <v>23</v>
      </c>
      <c r="O475" s="7" t="n">
        <v>4</v>
      </c>
      <c r="P475" s="8" t="n">
        <v>9.32885948031589</v>
      </c>
      <c r="Q475" s="9" t="n">
        <v>0.10719423977926</v>
      </c>
      <c r="R475" s="8" t="n">
        <v>9</v>
      </c>
      <c r="S475" s="12" t="n">
        <f aca="false">IF(AND(ISNUMBER(R475),R475&gt;1,P475&gt;0),R475/P475-1,"")</f>
        <v>-0.0352518419866642</v>
      </c>
    </row>
    <row r="476" customFormat="false" ht="15" hidden="false" customHeight="false" outlineLevel="0" collapsed="false">
      <c r="A476" s="10" t="s">
        <v>262</v>
      </c>
      <c r="B476" s="10" t="s">
        <v>172</v>
      </c>
      <c r="C476" s="10" t="s">
        <v>263</v>
      </c>
      <c r="D476" s="10" t="s">
        <v>290</v>
      </c>
      <c r="E476" s="11" t="n">
        <v>7</v>
      </c>
      <c r="F476" s="10" t="s">
        <v>796</v>
      </c>
      <c r="G476" s="7" t="n">
        <v>11</v>
      </c>
      <c r="H476" s="10" t="s">
        <v>1129</v>
      </c>
      <c r="I476" s="10" t="s">
        <v>219</v>
      </c>
      <c r="J476" s="10" t="s">
        <v>1130</v>
      </c>
      <c r="K476" s="7" t="n">
        <v>11</v>
      </c>
      <c r="L476" s="7" t="n">
        <v>73</v>
      </c>
      <c r="M476" s="7" t="n">
        <v>5</v>
      </c>
      <c r="N476" s="7" t="n">
        <v>23</v>
      </c>
      <c r="O476" s="7" t="n">
        <v>5</v>
      </c>
      <c r="P476" s="8" t="n">
        <v>9.96452875448875</v>
      </c>
      <c r="Q476" s="9" t="n">
        <v>0.100355975143283</v>
      </c>
      <c r="R476" s="8" t="n">
        <v>13</v>
      </c>
      <c r="S476" s="12" t="n">
        <f aca="false">IF(AND(ISNUMBER(R476),R476&gt;1,P476&gt;0),R476/P476-1,"")</f>
        <v>0.304627676862677</v>
      </c>
    </row>
    <row r="477" customFormat="false" ht="15" hidden="false" customHeight="false" outlineLevel="0" collapsed="false">
      <c r="A477" s="10" t="s">
        <v>262</v>
      </c>
      <c r="B477" s="10" t="s">
        <v>172</v>
      </c>
      <c r="C477" s="10" t="s">
        <v>263</v>
      </c>
      <c r="D477" s="10" t="s">
        <v>290</v>
      </c>
      <c r="E477" s="11" t="n">
        <v>7</v>
      </c>
      <c r="F477" s="10" t="s">
        <v>796</v>
      </c>
      <c r="G477" s="7" t="n">
        <v>11</v>
      </c>
      <c r="H477" s="10" t="s">
        <v>1131</v>
      </c>
      <c r="I477" s="10" t="s">
        <v>891</v>
      </c>
      <c r="J477" s="10" t="s">
        <v>596</v>
      </c>
      <c r="K477" s="7" t="n">
        <v>5</v>
      </c>
      <c r="L477" s="7" t="n">
        <v>75</v>
      </c>
      <c r="M477" s="7" t="n">
        <v>4</v>
      </c>
      <c r="N477" s="7" t="n">
        <v>37</v>
      </c>
      <c r="O477" s="7" t="n">
        <v>6</v>
      </c>
      <c r="P477" s="8" t="n">
        <v>10.3910254962491</v>
      </c>
      <c r="Q477" s="9" t="n">
        <v>0.0962368921489966</v>
      </c>
      <c r="R477" s="8" t="n">
        <v>6.5</v>
      </c>
      <c r="S477" s="12" t="n">
        <f aca="false">IF(AND(ISNUMBER(R477),R477&gt;1,P477&gt;0),R477/P477-1,"")</f>
        <v>-0.374460201031522</v>
      </c>
    </row>
    <row r="478" customFormat="false" ht="15" hidden="false" customHeight="false" outlineLevel="0" collapsed="false">
      <c r="A478" s="10" t="s">
        <v>262</v>
      </c>
      <c r="B478" s="10" t="s">
        <v>172</v>
      </c>
      <c r="C478" s="10" t="s">
        <v>263</v>
      </c>
      <c r="D478" s="10" t="s">
        <v>290</v>
      </c>
      <c r="E478" s="11" t="n">
        <v>7</v>
      </c>
      <c r="F478" s="10" t="s">
        <v>796</v>
      </c>
      <c r="G478" s="7" t="n">
        <v>11</v>
      </c>
      <c r="H478" s="10" t="s">
        <v>1132</v>
      </c>
      <c r="I478" s="10" t="s">
        <v>1034</v>
      </c>
      <c r="J478" s="10" t="s">
        <v>407</v>
      </c>
      <c r="K478" s="7" t="n">
        <v>9</v>
      </c>
      <c r="L478" s="7" t="n">
        <v>69</v>
      </c>
      <c r="M478" s="7" t="n">
        <v>4</v>
      </c>
      <c r="N478" s="7" t="n">
        <v>20</v>
      </c>
      <c r="O478" s="7" t="n">
        <v>7</v>
      </c>
      <c r="P478" s="8" t="n">
        <v>10.5185513665091</v>
      </c>
      <c r="Q478" s="9" t="n">
        <v>0.0950701256433452</v>
      </c>
      <c r="R478" s="8" t="n">
        <v>15</v>
      </c>
      <c r="S478" s="12" t="n">
        <f aca="false">IF(AND(ISNUMBER(R478),R478&gt;1,P478&gt;0),R478/P478-1,"")</f>
        <v>0.426051884650179</v>
      </c>
    </row>
    <row r="479" customFormat="false" ht="15" hidden="false" customHeight="false" outlineLevel="0" collapsed="false">
      <c r="A479" s="10" t="s">
        <v>262</v>
      </c>
      <c r="B479" s="10" t="s">
        <v>172</v>
      </c>
      <c r="C479" s="10" t="s">
        <v>263</v>
      </c>
      <c r="D479" s="10" t="s">
        <v>290</v>
      </c>
      <c r="E479" s="11" t="n">
        <v>7</v>
      </c>
      <c r="F479" s="10" t="s">
        <v>796</v>
      </c>
      <c r="G479" s="7" t="n">
        <v>11</v>
      </c>
      <c r="H479" s="10" t="s">
        <v>1133</v>
      </c>
      <c r="I479" s="10" t="s">
        <v>797</v>
      </c>
      <c r="J479" s="10" t="s">
        <v>1134</v>
      </c>
      <c r="K479" s="7" t="n">
        <v>3</v>
      </c>
      <c r="L479" s="7" t="n">
        <v>70</v>
      </c>
      <c r="M479" s="7" t="n">
        <v>4</v>
      </c>
      <c r="N479" s="7" t="n">
        <v>14</v>
      </c>
      <c r="O479" s="7" t="n">
        <v>8</v>
      </c>
      <c r="P479" s="8" t="n">
        <v>13.7730753012354</v>
      </c>
      <c r="Q479" s="9" t="n">
        <v>0.0726054260307648</v>
      </c>
      <c r="R479" s="8" t="n">
        <v>7.5</v>
      </c>
      <c r="S479" s="12" t="n">
        <f aca="false">IF(AND(ISNUMBER(R479),R479&gt;1,P479&gt;0),R479/P479-1,"")</f>
        <v>-0.455459304769263</v>
      </c>
    </row>
    <row r="480" customFormat="false" ht="15" hidden="false" customHeight="false" outlineLevel="0" collapsed="false">
      <c r="A480" s="10" t="s">
        <v>262</v>
      </c>
      <c r="B480" s="10" t="s">
        <v>172</v>
      </c>
      <c r="C480" s="10" t="s">
        <v>263</v>
      </c>
      <c r="D480" s="10" t="s">
        <v>290</v>
      </c>
      <c r="E480" s="11" t="n">
        <v>7</v>
      </c>
      <c r="F480" s="10" t="s">
        <v>796</v>
      </c>
      <c r="G480" s="7" t="n">
        <v>11</v>
      </c>
      <c r="H480" s="10" t="s">
        <v>1135</v>
      </c>
      <c r="I480" s="10" t="s">
        <v>196</v>
      </c>
      <c r="J480" s="10" t="s">
        <v>1136</v>
      </c>
      <c r="K480" s="7" t="n">
        <v>8</v>
      </c>
      <c r="L480" s="7" t="n">
        <v>70</v>
      </c>
      <c r="M480" s="7" t="n">
        <v>4</v>
      </c>
      <c r="N480" s="7" t="n">
        <v>20</v>
      </c>
      <c r="O480" s="7" t="n">
        <v>9</v>
      </c>
      <c r="P480" s="8" t="n">
        <v>14.5754540572465</v>
      </c>
      <c r="Q480" s="9" t="n">
        <v>0.0686084972771623</v>
      </c>
      <c r="R480" s="8" t="n">
        <v>17</v>
      </c>
      <c r="S480" s="12" t="n">
        <f aca="false">IF(AND(ISNUMBER(R480),R480&gt;1,P480&gt;0),R480/P480-1,"")</f>
        <v>0.16634445371176</v>
      </c>
    </row>
    <row r="481" customFormat="false" ht="15" hidden="false" customHeight="false" outlineLevel="0" collapsed="false">
      <c r="A481" s="10" t="s">
        <v>262</v>
      </c>
      <c r="B481" s="10" t="s">
        <v>172</v>
      </c>
      <c r="C481" s="10" t="s">
        <v>263</v>
      </c>
      <c r="D481" s="10" t="s">
        <v>290</v>
      </c>
      <c r="E481" s="11" t="n">
        <v>7</v>
      </c>
      <c r="F481" s="10" t="s">
        <v>796</v>
      </c>
      <c r="G481" s="7" t="n">
        <v>11</v>
      </c>
      <c r="H481" s="10" t="s">
        <v>1137</v>
      </c>
      <c r="I481" s="10" t="s">
        <v>800</v>
      </c>
      <c r="J481" s="10" t="s">
        <v>807</v>
      </c>
      <c r="K481" s="7" t="n">
        <v>10</v>
      </c>
      <c r="L481" s="7" t="n">
        <v>64</v>
      </c>
      <c r="M481" s="7" t="n">
        <v>6</v>
      </c>
      <c r="N481" s="7" t="n">
        <v>23</v>
      </c>
      <c r="O481" s="7" t="n">
        <v>10</v>
      </c>
      <c r="P481" s="8" t="n">
        <v>26.1294480803055</v>
      </c>
      <c r="Q481" s="9" t="n">
        <v>0.0382709958865809</v>
      </c>
      <c r="R481" s="8" t="n">
        <v>29</v>
      </c>
      <c r="S481" s="12" t="n">
        <f aca="false">IF(AND(ISNUMBER(R481),R481&gt;1,P481&gt;0),R481/P481-1,"")</f>
        <v>0.109858880710846</v>
      </c>
    </row>
    <row r="482" customFormat="false" ht="15" hidden="false" customHeight="false" outlineLevel="0" collapsed="false">
      <c r="A482" s="10" t="s">
        <v>262</v>
      </c>
      <c r="B482" s="10" t="s">
        <v>172</v>
      </c>
      <c r="C482" s="10" t="s">
        <v>263</v>
      </c>
      <c r="D482" s="10" t="s">
        <v>290</v>
      </c>
      <c r="E482" s="11" t="n">
        <v>7</v>
      </c>
      <c r="F482" s="10" t="s">
        <v>796</v>
      </c>
      <c r="G482" s="7" t="n">
        <v>11</v>
      </c>
      <c r="H482" s="10" t="s">
        <v>1138</v>
      </c>
      <c r="I482" s="10" t="s">
        <v>1066</v>
      </c>
      <c r="J482" s="10" t="s">
        <v>807</v>
      </c>
      <c r="K482" s="7" t="n">
        <v>2</v>
      </c>
      <c r="L482" s="7" t="n">
        <v>61</v>
      </c>
      <c r="M482" s="7" t="n">
        <v>5</v>
      </c>
      <c r="N482" s="7" t="n">
        <v>23</v>
      </c>
      <c r="O482" s="7" t="n">
        <v>11</v>
      </c>
      <c r="P482" s="8" t="n">
        <v>36.5205622975696</v>
      </c>
      <c r="Q482" s="9" t="n">
        <v>0.0273818347004626</v>
      </c>
      <c r="R482" s="8" t="n">
        <v>23</v>
      </c>
      <c r="S482" s="12" t="n">
        <f aca="false">IF(AND(ISNUMBER(R482),R482&gt;1,P482&gt;0),R482/P482-1,"")</f>
        <v>-0.370217801889358</v>
      </c>
    </row>
    <row r="483" customFormat="false" ht="15" hidden="false" customHeight="false" outlineLevel="0" collapsed="false">
      <c r="A483" s="10" t="s">
        <v>268</v>
      </c>
      <c r="B483" s="10" t="s">
        <v>205</v>
      </c>
      <c r="C483" s="10" t="s">
        <v>269</v>
      </c>
      <c r="D483" s="10"/>
      <c r="E483" s="11" t="n">
        <v>10.5</v>
      </c>
      <c r="F483" s="10" t="s">
        <v>796</v>
      </c>
      <c r="G483" s="7" t="n">
        <v>17</v>
      </c>
      <c r="H483" s="10" t="s">
        <v>270</v>
      </c>
      <c r="I483" s="10" t="s">
        <v>259</v>
      </c>
      <c r="J483" s="10" t="s">
        <v>260</v>
      </c>
      <c r="K483" s="7" t="n">
        <v>1</v>
      </c>
      <c r="L483" s="7" t="n">
        <v>78</v>
      </c>
      <c r="M483" s="7" t="n">
        <v>3</v>
      </c>
      <c r="N483" s="7" t="n">
        <v>31</v>
      </c>
      <c r="O483" s="7" t="n">
        <v>1</v>
      </c>
      <c r="P483" s="8" t="n">
        <v>6.65045822809723</v>
      </c>
      <c r="Q483" s="9" t="n">
        <v>0.150365578686765</v>
      </c>
      <c r="R483" s="8" t="n">
        <v>4.33333333333333</v>
      </c>
      <c r="S483" s="12" t="n">
        <f aca="false">IF(AND(ISNUMBER(R483),R483&gt;1,P483&gt;0),R483/P483-1,"")</f>
        <v>-0.348415825690683</v>
      </c>
    </row>
    <row r="484" customFormat="false" ht="15" hidden="false" customHeight="false" outlineLevel="0" collapsed="false">
      <c r="A484" s="10" t="s">
        <v>268</v>
      </c>
      <c r="B484" s="10" t="s">
        <v>205</v>
      </c>
      <c r="C484" s="10" t="s">
        <v>269</v>
      </c>
      <c r="D484" s="10"/>
      <c r="E484" s="11" t="n">
        <v>10.5</v>
      </c>
      <c r="F484" s="10" t="s">
        <v>796</v>
      </c>
      <c r="G484" s="7" t="n">
        <v>17</v>
      </c>
      <c r="H484" s="10" t="s">
        <v>271</v>
      </c>
      <c r="I484" s="10" t="s">
        <v>249</v>
      </c>
      <c r="J484" s="10" t="s">
        <v>250</v>
      </c>
      <c r="K484" s="7" t="n">
        <v>10</v>
      </c>
      <c r="L484" s="7" t="n">
        <v>69</v>
      </c>
      <c r="M484" s="7" t="n">
        <v>5</v>
      </c>
      <c r="N484" s="7" t="n">
        <v>9</v>
      </c>
      <c r="O484" s="7" t="n">
        <v>2</v>
      </c>
      <c r="P484" s="8" t="n">
        <v>7.16139590550262</v>
      </c>
      <c r="Q484" s="9" t="n">
        <v>0.139637580884423</v>
      </c>
      <c r="R484" s="8" t="n">
        <v>8.5</v>
      </c>
      <c r="S484" s="12" t="n">
        <f aca="false">IF(AND(ISNUMBER(R484),R484&gt;1,P484&gt;0),R484/P484-1,"")</f>
        <v>0.186919437517598</v>
      </c>
    </row>
    <row r="485" customFormat="false" ht="15" hidden="false" customHeight="false" outlineLevel="0" collapsed="false">
      <c r="A485" s="10" t="s">
        <v>268</v>
      </c>
      <c r="B485" s="10" t="s">
        <v>205</v>
      </c>
      <c r="C485" s="10" t="s">
        <v>269</v>
      </c>
      <c r="D485" s="10"/>
      <c r="E485" s="11" t="n">
        <v>10.5</v>
      </c>
      <c r="F485" s="10" t="s">
        <v>796</v>
      </c>
      <c r="G485" s="7" t="n">
        <v>17</v>
      </c>
      <c r="H485" s="10" t="s">
        <v>1139</v>
      </c>
      <c r="I485" s="10" t="s">
        <v>943</v>
      </c>
      <c r="J485" s="10" t="s">
        <v>944</v>
      </c>
      <c r="K485" s="7" t="n">
        <v>2</v>
      </c>
      <c r="L485" s="7" t="n">
        <v>81</v>
      </c>
      <c r="M485" s="7" t="n">
        <v>6</v>
      </c>
      <c r="N485" s="7" t="n">
        <v>27</v>
      </c>
      <c r="O485" s="7" t="n">
        <v>3</v>
      </c>
      <c r="P485" s="8" t="n">
        <v>10.6647703783567</v>
      </c>
      <c r="Q485" s="9" t="n">
        <v>0.0937666695599394</v>
      </c>
      <c r="R485" s="8" t="n">
        <v>6.5</v>
      </c>
      <c r="S485" s="12" t="n">
        <f aca="false">IF(AND(ISNUMBER(R485),R485&gt;1,P485&gt;0),R485/P485-1,"")</f>
        <v>-0.390516647860394</v>
      </c>
    </row>
    <row r="486" customFormat="false" ht="15" hidden="false" customHeight="false" outlineLevel="0" collapsed="false">
      <c r="A486" s="10" t="s">
        <v>268</v>
      </c>
      <c r="B486" s="10" t="s">
        <v>205</v>
      </c>
      <c r="C486" s="10" t="s">
        <v>269</v>
      </c>
      <c r="D486" s="10"/>
      <c r="E486" s="11" t="n">
        <v>10.5</v>
      </c>
      <c r="F486" s="10" t="s">
        <v>796</v>
      </c>
      <c r="G486" s="7" t="n">
        <v>17</v>
      </c>
      <c r="H486" s="10" t="s">
        <v>1140</v>
      </c>
      <c r="I486" s="10" t="s">
        <v>1079</v>
      </c>
      <c r="J486" s="10" t="s">
        <v>128</v>
      </c>
      <c r="K486" s="7" t="n">
        <v>12</v>
      </c>
      <c r="L486" s="7" t="n">
        <v>77</v>
      </c>
      <c r="M486" s="7" t="n">
        <v>5</v>
      </c>
      <c r="N486" s="7" t="n">
        <v>7</v>
      </c>
      <c r="O486" s="7" t="n">
        <v>4</v>
      </c>
      <c r="P486" s="8" t="n">
        <v>10.9381394555401</v>
      </c>
      <c r="Q486" s="9" t="n">
        <v>0.091423226414754</v>
      </c>
      <c r="R486" s="8" t="n">
        <v>9</v>
      </c>
      <c r="S486" s="12" t="n">
        <f aca="false">IF(AND(ISNUMBER(R486),R486&gt;1,P486&gt;0),R486/P486-1,"")</f>
        <v>-0.177190962267213</v>
      </c>
    </row>
    <row r="487" customFormat="false" ht="15" hidden="false" customHeight="false" outlineLevel="0" collapsed="false">
      <c r="A487" s="10" t="s">
        <v>268</v>
      </c>
      <c r="B487" s="10" t="s">
        <v>205</v>
      </c>
      <c r="C487" s="10" t="s">
        <v>269</v>
      </c>
      <c r="D487" s="10"/>
      <c r="E487" s="11" t="n">
        <v>10.5</v>
      </c>
      <c r="F487" s="10" t="s">
        <v>796</v>
      </c>
      <c r="G487" s="7" t="n">
        <v>17</v>
      </c>
      <c r="H487" s="10" t="s">
        <v>1141</v>
      </c>
      <c r="I487" s="10" t="s">
        <v>208</v>
      </c>
      <c r="J487" s="10" t="s">
        <v>209</v>
      </c>
      <c r="K487" s="7" t="n">
        <v>11</v>
      </c>
      <c r="L487" s="7" t="n">
        <v>75</v>
      </c>
      <c r="M487" s="7" t="n">
        <v>3</v>
      </c>
      <c r="N487" s="7" t="n">
        <v>20</v>
      </c>
      <c r="O487" s="7" t="n">
        <v>5</v>
      </c>
      <c r="P487" s="8" t="n">
        <v>11.0706522043733</v>
      </c>
      <c r="Q487" s="9" t="n">
        <v>0.090328914822648</v>
      </c>
      <c r="R487" s="8" t="n">
        <v>7.5</v>
      </c>
      <c r="S487" s="12" t="n">
        <f aca="false">IF(AND(ISNUMBER(R487),R487&gt;1,P487&gt;0),R487/P487-1,"")</f>
        <v>-0.32253313883014</v>
      </c>
    </row>
    <row r="488" customFormat="false" ht="15" hidden="false" customHeight="false" outlineLevel="0" collapsed="false">
      <c r="A488" s="10" t="s">
        <v>268</v>
      </c>
      <c r="B488" s="10" t="s">
        <v>205</v>
      </c>
      <c r="C488" s="10" t="s">
        <v>269</v>
      </c>
      <c r="D488" s="10"/>
      <c r="E488" s="11" t="n">
        <v>10.5</v>
      </c>
      <c r="F488" s="10" t="s">
        <v>796</v>
      </c>
      <c r="G488" s="7" t="n">
        <v>17</v>
      </c>
      <c r="H488" s="10" t="s">
        <v>1142</v>
      </c>
      <c r="I488" s="10" t="s">
        <v>926</v>
      </c>
      <c r="J488" s="10" t="s">
        <v>1143</v>
      </c>
      <c r="K488" s="7" t="n">
        <v>9</v>
      </c>
      <c r="L488" s="7" t="n">
        <v>75</v>
      </c>
      <c r="M488" s="7" t="n">
        <v>3</v>
      </c>
      <c r="N488" s="7" t="n">
        <v>53</v>
      </c>
      <c r="O488" s="7" t="n">
        <v>6</v>
      </c>
      <c r="P488" s="8" t="n">
        <v>15.2571619401021</v>
      </c>
      <c r="Q488" s="9" t="n">
        <v>0.0655429891827777</v>
      </c>
      <c r="R488" s="8" t="n">
        <v>8</v>
      </c>
      <c r="S488" s="12" t="n">
        <f aca="false">IF(AND(ISNUMBER(R488),R488&gt;1,P488&gt;0),R488/P488-1,"")</f>
        <v>-0.475656086537778</v>
      </c>
    </row>
    <row r="489" customFormat="false" ht="15" hidden="false" customHeight="false" outlineLevel="0" collapsed="false">
      <c r="A489" s="10" t="s">
        <v>268</v>
      </c>
      <c r="B489" s="10" t="s">
        <v>205</v>
      </c>
      <c r="C489" s="10" t="s">
        <v>269</v>
      </c>
      <c r="D489" s="10"/>
      <c r="E489" s="11" t="n">
        <v>10.5</v>
      </c>
      <c r="F489" s="10" t="s">
        <v>796</v>
      </c>
      <c r="G489" s="7" t="n">
        <v>17</v>
      </c>
      <c r="H489" s="10" t="s">
        <v>1144</v>
      </c>
      <c r="I489" s="10" t="s">
        <v>358</v>
      </c>
      <c r="J489" s="10" t="s">
        <v>280</v>
      </c>
      <c r="K489" s="7" t="n">
        <v>17</v>
      </c>
      <c r="L489" s="7" t="n">
        <v>83</v>
      </c>
      <c r="M489" s="7" t="n">
        <v>3</v>
      </c>
      <c r="N489" s="7" t="n">
        <v>44</v>
      </c>
      <c r="O489" s="7" t="n">
        <v>7</v>
      </c>
      <c r="P489" s="8" t="n">
        <v>15.4307963022338</v>
      </c>
      <c r="Q489" s="9" t="n">
        <v>0.0648054695566967</v>
      </c>
      <c r="R489" s="8" t="n">
        <v>10</v>
      </c>
      <c r="S489" s="12" t="n">
        <f aca="false">IF(AND(ISNUMBER(R489),R489&gt;1,P489&gt;0),R489/P489-1,"")</f>
        <v>-0.351945304433033</v>
      </c>
    </row>
    <row r="490" customFormat="false" ht="15" hidden="false" customHeight="false" outlineLevel="0" collapsed="false">
      <c r="A490" s="10" t="s">
        <v>268</v>
      </c>
      <c r="B490" s="10" t="s">
        <v>205</v>
      </c>
      <c r="C490" s="10" t="s">
        <v>269</v>
      </c>
      <c r="D490" s="10"/>
      <c r="E490" s="11" t="n">
        <v>10.5</v>
      </c>
      <c r="F490" s="10" t="s">
        <v>796</v>
      </c>
      <c r="G490" s="7" t="n">
        <v>17</v>
      </c>
      <c r="H490" s="10" t="s">
        <v>1145</v>
      </c>
      <c r="I490" s="10" t="s">
        <v>939</v>
      </c>
      <c r="J490" s="10" t="s">
        <v>1049</v>
      </c>
      <c r="K490" s="7" t="n">
        <v>4</v>
      </c>
      <c r="L490" s="7" t="n">
        <v>68</v>
      </c>
      <c r="M490" s="7" t="n">
        <v>3</v>
      </c>
      <c r="N490" s="7" t="n">
        <v>21</v>
      </c>
      <c r="O490" s="7" t="n">
        <v>8</v>
      </c>
      <c r="P490" s="8" t="n">
        <v>16.1033497402822</v>
      </c>
      <c r="Q490" s="9" t="n">
        <v>0.0620988810482404</v>
      </c>
      <c r="R490" s="8" t="n">
        <v>15</v>
      </c>
      <c r="S490" s="12" t="n">
        <f aca="false">IF(AND(ISNUMBER(R490),R490&gt;1,P490&gt;0),R490/P490-1,"")</f>
        <v>-0.0685167842763926</v>
      </c>
    </row>
    <row r="491" customFormat="false" ht="15" hidden="false" customHeight="false" outlineLevel="0" collapsed="false">
      <c r="A491" s="10" t="s">
        <v>268</v>
      </c>
      <c r="B491" s="10" t="s">
        <v>205</v>
      </c>
      <c r="C491" s="10" t="s">
        <v>269</v>
      </c>
      <c r="D491" s="10"/>
      <c r="E491" s="11" t="n">
        <v>10.5</v>
      </c>
      <c r="F491" s="10" t="s">
        <v>796</v>
      </c>
      <c r="G491" s="7" t="n">
        <v>17</v>
      </c>
      <c r="H491" s="10" t="s">
        <v>1146</v>
      </c>
      <c r="I491" s="10" t="s">
        <v>952</v>
      </c>
      <c r="J491" s="10" t="s">
        <v>1147</v>
      </c>
      <c r="K491" s="7" t="n">
        <v>5</v>
      </c>
      <c r="L491" s="7" t="n">
        <v>76</v>
      </c>
      <c r="M491" s="7" t="n">
        <v>6</v>
      </c>
      <c r="N491" s="7" t="n">
        <v>9</v>
      </c>
      <c r="O491" s="7" t="n">
        <v>9</v>
      </c>
      <c r="P491" s="8" t="n">
        <v>17.1448350644832</v>
      </c>
      <c r="Q491" s="9" t="n">
        <v>0.0583266036820369</v>
      </c>
      <c r="R491" s="8" t="n">
        <v>9</v>
      </c>
      <c r="S491" s="12" t="n">
        <f aca="false">IF(AND(ISNUMBER(R491),R491&gt;1,P491&gt;0),R491/P491-1,"")</f>
        <v>-0.475060566861668</v>
      </c>
    </row>
    <row r="492" customFormat="false" ht="15" hidden="false" customHeight="false" outlineLevel="0" collapsed="false">
      <c r="A492" s="10" t="s">
        <v>268</v>
      </c>
      <c r="B492" s="10" t="s">
        <v>205</v>
      </c>
      <c r="C492" s="10" t="s">
        <v>269</v>
      </c>
      <c r="D492" s="10"/>
      <c r="E492" s="11" t="n">
        <v>10.5</v>
      </c>
      <c r="F492" s="10" t="s">
        <v>796</v>
      </c>
      <c r="G492" s="7" t="n">
        <v>17</v>
      </c>
      <c r="H492" s="10" t="s">
        <v>1148</v>
      </c>
      <c r="I492" s="10" t="s">
        <v>922</v>
      </c>
      <c r="J492" s="10" t="s">
        <v>280</v>
      </c>
      <c r="K492" s="7" t="n">
        <v>16</v>
      </c>
      <c r="L492" s="7" t="n">
        <v>76</v>
      </c>
      <c r="M492" s="7" t="n">
        <v>4</v>
      </c>
      <c r="N492" s="7" t="n">
        <v>41</v>
      </c>
      <c r="O492" s="7" t="n">
        <v>10</v>
      </c>
      <c r="P492" s="8" t="n">
        <v>20.8189348616007</v>
      </c>
      <c r="Q492" s="9" t="n">
        <v>0.0480331970222184</v>
      </c>
      <c r="R492" s="8" t="n">
        <v>21</v>
      </c>
      <c r="S492" s="12" t="n">
        <f aca="false">IF(AND(ISNUMBER(R492),R492&gt;1,P492&gt;0),R492/P492-1,"")</f>
        <v>0.0086971374665874</v>
      </c>
    </row>
    <row r="493" customFormat="false" ht="15" hidden="false" customHeight="false" outlineLevel="0" collapsed="false">
      <c r="A493" s="10" t="s">
        <v>268</v>
      </c>
      <c r="B493" s="10" t="s">
        <v>205</v>
      </c>
      <c r="C493" s="10" t="s">
        <v>269</v>
      </c>
      <c r="D493" s="10"/>
      <c r="E493" s="11" t="n">
        <v>10.5</v>
      </c>
      <c r="F493" s="10" t="s">
        <v>796</v>
      </c>
      <c r="G493" s="7" t="n">
        <v>17</v>
      </c>
      <c r="H493" s="10" t="s">
        <v>1149</v>
      </c>
      <c r="I493" s="10" t="s">
        <v>1150</v>
      </c>
      <c r="J493" s="10" t="s">
        <v>964</v>
      </c>
      <c r="K493" s="7" t="n">
        <v>7</v>
      </c>
      <c r="L493" s="7" t="n">
        <v>75</v>
      </c>
      <c r="M493" s="7" t="n">
        <v>3</v>
      </c>
      <c r="N493" s="7" t="n">
        <v>25</v>
      </c>
      <c r="O493" s="7" t="n">
        <v>11</v>
      </c>
      <c r="P493" s="8" t="n">
        <v>25.5517351246795</v>
      </c>
      <c r="Q493" s="9" t="n">
        <v>0.0391362854663493</v>
      </c>
      <c r="R493" s="8" t="n">
        <v>13</v>
      </c>
      <c r="S493" s="12" t="n">
        <f aca="false">IF(AND(ISNUMBER(R493),R493&gt;1,P493&gt;0),R493/P493-1,"")</f>
        <v>-0.491228288937459</v>
      </c>
    </row>
    <row r="494" customFormat="false" ht="15" hidden="false" customHeight="false" outlineLevel="0" collapsed="false">
      <c r="A494" s="10" t="s">
        <v>268</v>
      </c>
      <c r="B494" s="10" t="s">
        <v>205</v>
      </c>
      <c r="C494" s="10" t="s">
        <v>269</v>
      </c>
      <c r="D494" s="10"/>
      <c r="E494" s="11" t="n">
        <v>10.5</v>
      </c>
      <c r="F494" s="10" t="s">
        <v>796</v>
      </c>
      <c r="G494" s="7" t="n">
        <v>17</v>
      </c>
      <c r="H494" s="10" t="s">
        <v>1151</v>
      </c>
      <c r="I494" s="10" t="s">
        <v>1044</v>
      </c>
      <c r="J494" s="10" t="s">
        <v>1152</v>
      </c>
      <c r="K494" s="7" t="n">
        <v>15</v>
      </c>
      <c r="L494" s="7" t="n">
        <v>80</v>
      </c>
      <c r="M494" s="7" t="n">
        <v>4</v>
      </c>
      <c r="N494" s="7" t="n">
        <v>107</v>
      </c>
      <c r="O494" s="7" t="n">
        <v>12</v>
      </c>
      <c r="P494" s="8" t="n">
        <v>26.7031185155874</v>
      </c>
      <c r="Q494" s="9" t="n">
        <v>0.0374488095619345</v>
      </c>
      <c r="R494" s="8" t="n">
        <v>21</v>
      </c>
      <c r="S494" s="12" t="n">
        <f aca="false">IF(AND(ISNUMBER(R494),R494&gt;1,P494&gt;0),R494/P494-1,"")</f>
        <v>-0.213574999199375</v>
      </c>
    </row>
    <row r="495" customFormat="false" ht="15" hidden="false" customHeight="false" outlineLevel="0" collapsed="false">
      <c r="A495" s="10" t="s">
        <v>268</v>
      </c>
      <c r="B495" s="10" t="s">
        <v>205</v>
      </c>
      <c r="C495" s="10" t="s">
        <v>269</v>
      </c>
      <c r="D495" s="10"/>
      <c r="E495" s="11" t="n">
        <v>10.5</v>
      </c>
      <c r="F495" s="10" t="s">
        <v>796</v>
      </c>
      <c r="G495" s="7" t="n">
        <v>17</v>
      </c>
      <c r="H495" s="10" t="s">
        <v>1153</v>
      </c>
      <c r="I495" s="10" t="s">
        <v>1154</v>
      </c>
      <c r="J495" s="10" t="s">
        <v>1155</v>
      </c>
      <c r="K495" s="7" t="n">
        <v>8</v>
      </c>
      <c r="L495" s="7" t="n">
        <v>73</v>
      </c>
      <c r="M495" s="7" t="n">
        <v>10</v>
      </c>
      <c r="N495" s="7" t="n">
        <v>113</v>
      </c>
      <c r="O495" s="7" t="n">
        <v>13</v>
      </c>
      <c r="P495" s="8" t="n">
        <v>55.2213482209231</v>
      </c>
      <c r="Q495" s="9" t="n">
        <v>0.0181089385213725</v>
      </c>
      <c r="R495" s="8" t="n">
        <v>41</v>
      </c>
      <c r="S495" s="12" t="n">
        <f aca="false">IF(AND(ISNUMBER(R495),R495&gt;1,P495&gt;0),R495/P495-1,"")</f>
        <v>-0.257533520623726</v>
      </c>
    </row>
    <row r="496" customFormat="false" ht="15" hidden="false" customHeight="false" outlineLevel="0" collapsed="false">
      <c r="A496" s="10" t="s">
        <v>268</v>
      </c>
      <c r="B496" s="10" t="s">
        <v>205</v>
      </c>
      <c r="C496" s="10" t="s">
        <v>269</v>
      </c>
      <c r="D496" s="10"/>
      <c r="E496" s="11" t="n">
        <v>10.5</v>
      </c>
      <c r="F496" s="10" t="s">
        <v>796</v>
      </c>
      <c r="G496" s="7" t="n">
        <v>17</v>
      </c>
      <c r="H496" s="10" t="s">
        <v>1156</v>
      </c>
      <c r="I496" s="10" t="s">
        <v>358</v>
      </c>
      <c r="J496" s="10" t="s">
        <v>191</v>
      </c>
      <c r="K496" s="7" t="n">
        <v>6</v>
      </c>
      <c r="L496" s="7" t="n">
        <v>64</v>
      </c>
      <c r="M496" s="7" t="n">
        <v>4</v>
      </c>
      <c r="N496" s="7" t="n">
        <v>15</v>
      </c>
      <c r="O496" s="7" t="n">
        <v>14</v>
      </c>
      <c r="P496" s="8" t="n">
        <v>75.3343953374469</v>
      </c>
      <c r="Q496" s="9" t="n">
        <v>0.013274149152199</v>
      </c>
      <c r="R496" s="8" t="n">
        <v>34</v>
      </c>
      <c r="S496" s="12" t="n">
        <f aca="false">IF(AND(ISNUMBER(R496),R496&gt;1,P496&gt;0),R496/P496-1,"")</f>
        <v>-0.548678928825232</v>
      </c>
    </row>
    <row r="497" customFormat="false" ht="15" hidden="false" customHeight="false" outlineLevel="0" collapsed="false">
      <c r="A497" s="10" t="s">
        <v>268</v>
      </c>
      <c r="B497" s="10" t="s">
        <v>205</v>
      </c>
      <c r="C497" s="10" t="s">
        <v>269</v>
      </c>
      <c r="D497" s="10"/>
      <c r="E497" s="11" t="n">
        <v>10.5</v>
      </c>
      <c r="F497" s="10" t="s">
        <v>796</v>
      </c>
      <c r="G497" s="7" t="n">
        <v>17</v>
      </c>
      <c r="H497" s="10" t="s">
        <v>1157</v>
      </c>
      <c r="I497" s="10" t="s">
        <v>949</v>
      </c>
      <c r="J497" s="10" t="s">
        <v>1096</v>
      </c>
      <c r="K497" s="7" t="n">
        <v>3</v>
      </c>
      <c r="L497" s="7" t="n">
        <v>72</v>
      </c>
      <c r="M497" s="7" t="n">
        <v>5</v>
      </c>
      <c r="N497" s="7" t="n">
        <v>25</v>
      </c>
      <c r="O497" s="7" t="n">
        <v>15</v>
      </c>
      <c r="P497" s="8" t="n">
        <v>91.1627508378578</v>
      </c>
      <c r="Q497" s="9" t="n">
        <v>0.0109693925513349</v>
      </c>
      <c r="R497" s="8" t="n">
        <v>17</v>
      </c>
      <c r="S497" s="12" t="n">
        <f aca="false">IF(AND(ISNUMBER(R497),R497&gt;1,P497&gt;0),R497/P497-1,"")</f>
        <v>-0.813520326627306</v>
      </c>
    </row>
    <row r="498" customFormat="false" ht="15" hidden="false" customHeight="false" outlineLevel="0" collapsed="false">
      <c r="A498" s="10" t="s">
        <v>268</v>
      </c>
      <c r="B498" s="10" t="s">
        <v>205</v>
      </c>
      <c r="C498" s="10" t="s">
        <v>269</v>
      </c>
      <c r="D498" s="10"/>
      <c r="E498" s="11" t="n">
        <v>10.5</v>
      </c>
      <c r="F498" s="10" t="s">
        <v>796</v>
      </c>
      <c r="G498" s="7" t="n">
        <v>17</v>
      </c>
      <c r="H498" s="10" t="s">
        <v>1158</v>
      </c>
      <c r="I498" s="10" t="s">
        <v>1062</v>
      </c>
      <c r="J498" s="10" t="s">
        <v>1159</v>
      </c>
      <c r="K498" s="7" t="n">
        <v>13</v>
      </c>
      <c r="L498" s="7" t="n">
        <v>67</v>
      </c>
      <c r="M498" s="7" t="n">
        <v>9</v>
      </c>
      <c r="N498" s="7" t="n">
        <v>1</v>
      </c>
      <c r="O498" s="7" t="n">
        <v>16</v>
      </c>
      <c r="P498" s="8" t="n">
        <v>110.994751987016</v>
      </c>
      <c r="Q498" s="9" t="n">
        <v>0.0090094349696549</v>
      </c>
      <c r="R498" s="8" t="n">
        <v>51</v>
      </c>
      <c r="S498" s="12" t="n">
        <f aca="false">IF(AND(ISNUMBER(R498),R498&gt;1,P498&gt;0),R498/P498-1,"")</f>
        <v>-0.540518816547598</v>
      </c>
    </row>
    <row r="499" customFormat="false" ht="15" hidden="false" customHeight="false" outlineLevel="0" collapsed="false">
      <c r="A499" s="10" t="s">
        <v>268</v>
      </c>
      <c r="B499" s="10" t="s">
        <v>205</v>
      </c>
      <c r="C499" s="10" t="s">
        <v>269</v>
      </c>
      <c r="D499" s="10"/>
      <c r="E499" s="11" t="n">
        <v>10.5</v>
      </c>
      <c r="F499" s="10" t="s">
        <v>796</v>
      </c>
      <c r="G499" s="7" t="n">
        <v>17</v>
      </c>
      <c r="H499" s="10" t="s">
        <v>1160</v>
      </c>
      <c r="I499" s="10" t="s">
        <v>358</v>
      </c>
      <c r="J499" s="10" t="s">
        <v>960</v>
      </c>
      <c r="K499" s="7" t="n">
        <v>14</v>
      </c>
      <c r="L499" s="7" t="n">
        <v>65</v>
      </c>
      <c r="M499" s="7" t="n">
        <v>3</v>
      </c>
      <c r="N499" s="7" t="n">
        <v>16</v>
      </c>
      <c r="O499" s="7" t="n">
        <v>17</v>
      </c>
      <c r="P499" s="8" t="n">
        <v>129.468627200228</v>
      </c>
      <c r="Q499" s="9" t="n">
        <v>0.0077238789166541</v>
      </c>
      <c r="R499" s="8" t="n">
        <v>34</v>
      </c>
      <c r="S499" s="12" t="n">
        <f aca="false">IF(AND(ISNUMBER(R499),R499&gt;1,P499&gt;0),R499/P499-1,"")</f>
        <v>-0.737388116833759</v>
      </c>
    </row>
    <row r="500" customFormat="false" ht="15" hidden="false" customHeight="false" outlineLevel="0" collapsed="false">
      <c r="A500" s="10" t="s">
        <v>272</v>
      </c>
      <c r="B500" s="10" t="s">
        <v>172</v>
      </c>
      <c r="C500" s="10" t="s">
        <v>173</v>
      </c>
      <c r="D500" s="10" t="s">
        <v>795</v>
      </c>
      <c r="E500" s="11" t="n">
        <v>6</v>
      </c>
      <c r="F500" s="10" t="s">
        <v>796</v>
      </c>
      <c r="G500" s="7" t="n">
        <v>13</v>
      </c>
      <c r="H500" s="10" t="s">
        <v>273</v>
      </c>
      <c r="I500" s="10" t="s">
        <v>274</v>
      </c>
      <c r="J500" s="10" t="s">
        <v>275</v>
      </c>
      <c r="K500" s="7" t="n">
        <v>11</v>
      </c>
      <c r="L500" s="7" t="n">
        <v>50</v>
      </c>
      <c r="M500" s="7" t="n">
        <v>7</v>
      </c>
      <c r="N500" s="7" t="n">
        <v>6</v>
      </c>
      <c r="O500" s="7" t="n">
        <v>1</v>
      </c>
      <c r="P500" s="8" t="n">
        <v>5.25658255423605</v>
      </c>
      <c r="Q500" s="9" t="n">
        <v>0.190237666712595</v>
      </c>
      <c r="R500" s="8" t="n">
        <v>4.33333333333333</v>
      </c>
      <c r="S500" s="12" t="n">
        <f aca="false">IF(AND(ISNUMBER(R500),R500&gt;1,P500&gt;0),R500/P500-1,"")</f>
        <v>-0.175636777578754</v>
      </c>
    </row>
    <row r="501" customFormat="false" ht="15" hidden="false" customHeight="false" outlineLevel="0" collapsed="false">
      <c r="A501" s="10" t="s">
        <v>272</v>
      </c>
      <c r="B501" s="10" t="s">
        <v>172</v>
      </c>
      <c r="C501" s="10" t="s">
        <v>173</v>
      </c>
      <c r="D501" s="10" t="s">
        <v>795</v>
      </c>
      <c r="E501" s="11" t="n">
        <v>6</v>
      </c>
      <c r="F501" s="10" t="s">
        <v>796</v>
      </c>
      <c r="G501" s="7" t="n">
        <v>13</v>
      </c>
      <c r="H501" s="10" t="s">
        <v>276</v>
      </c>
      <c r="I501" s="10" t="s">
        <v>885</v>
      </c>
      <c r="J501" s="10" t="s">
        <v>886</v>
      </c>
      <c r="K501" s="7" t="n">
        <v>13</v>
      </c>
      <c r="L501" s="7" t="n">
        <v>50</v>
      </c>
      <c r="M501" s="7" t="n">
        <v>4</v>
      </c>
      <c r="N501" s="7" t="n">
        <v>16</v>
      </c>
      <c r="O501" s="7" t="n">
        <v>2</v>
      </c>
      <c r="P501" s="8" t="n">
        <v>5.71545265396597</v>
      </c>
      <c r="Q501" s="9" t="n">
        <v>0.174964269768921</v>
      </c>
      <c r="R501" s="8" t="n">
        <v>4.33333333333333</v>
      </c>
      <c r="S501" s="12" t="n">
        <f aca="false">IF(AND(ISNUMBER(R501),R501&gt;1,P501&gt;0),R501/P501-1,"")</f>
        <v>-0.241821497668007</v>
      </c>
    </row>
    <row r="502" customFormat="false" ht="15" hidden="false" customHeight="false" outlineLevel="0" collapsed="false">
      <c r="A502" s="10" t="s">
        <v>272</v>
      </c>
      <c r="B502" s="10" t="s">
        <v>172</v>
      </c>
      <c r="C502" s="10" t="s">
        <v>173</v>
      </c>
      <c r="D502" s="10" t="s">
        <v>795</v>
      </c>
      <c r="E502" s="11" t="n">
        <v>6</v>
      </c>
      <c r="F502" s="10" t="s">
        <v>796</v>
      </c>
      <c r="G502" s="7" t="n">
        <v>13</v>
      </c>
      <c r="H502" s="10" t="s">
        <v>1161</v>
      </c>
      <c r="I502" s="10" t="s">
        <v>1162</v>
      </c>
      <c r="J502" s="10" t="s">
        <v>823</v>
      </c>
      <c r="K502" s="7" t="n">
        <v>9</v>
      </c>
      <c r="L502" s="7" t="n">
        <v>49</v>
      </c>
      <c r="M502" s="7" t="n">
        <v>7</v>
      </c>
      <c r="N502" s="7" t="n">
        <v>6</v>
      </c>
      <c r="O502" s="7" t="n">
        <v>3</v>
      </c>
      <c r="P502" s="8" t="n">
        <v>7.77728569172884</v>
      </c>
      <c r="Q502" s="9" t="n">
        <v>0.128579563569782</v>
      </c>
      <c r="R502" s="8" t="n">
        <v>7</v>
      </c>
      <c r="S502" s="12" t="n">
        <f aca="false">IF(AND(ISNUMBER(R502),R502&gt;1,P502&gt;0),R502/P502-1,"")</f>
        <v>-0.0999430550115295</v>
      </c>
    </row>
    <row r="503" customFormat="false" ht="15" hidden="false" customHeight="false" outlineLevel="0" collapsed="false">
      <c r="A503" s="10" t="s">
        <v>272</v>
      </c>
      <c r="B503" s="10" t="s">
        <v>172</v>
      </c>
      <c r="C503" s="10" t="s">
        <v>173</v>
      </c>
      <c r="D503" s="10" t="s">
        <v>795</v>
      </c>
      <c r="E503" s="11" t="n">
        <v>6</v>
      </c>
      <c r="F503" s="10" t="s">
        <v>796</v>
      </c>
      <c r="G503" s="7" t="n">
        <v>13</v>
      </c>
      <c r="H503" s="10" t="s">
        <v>1163</v>
      </c>
      <c r="I503" s="10" t="s">
        <v>1066</v>
      </c>
      <c r="J503" s="10" t="s">
        <v>1067</v>
      </c>
      <c r="K503" s="7" t="n">
        <v>6</v>
      </c>
      <c r="L503" s="7" t="n">
        <v>48</v>
      </c>
      <c r="M503" s="7" t="n">
        <v>4</v>
      </c>
      <c r="N503" s="7" t="n">
        <v>22</v>
      </c>
      <c r="O503" s="7" t="n">
        <v>4</v>
      </c>
      <c r="P503" s="8" t="n">
        <v>7.90758696198435</v>
      </c>
      <c r="Q503" s="9" t="n">
        <v>0.126460828670932</v>
      </c>
      <c r="R503" s="8" t="n">
        <v>5.5</v>
      </c>
      <c r="S503" s="12" t="n">
        <f aca="false">IF(AND(ISNUMBER(R503),R503&gt;1,P503&gt;0),R503/P503-1,"")</f>
        <v>-0.304465442309873</v>
      </c>
    </row>
    <row r="504" customFormat="false" ht="15" hidden="false" customHeight="false" outlineLevel="0" collapsed="false">
      <c r="A504" s="10" t="s">
        <v>272</v>
      </c>
      <c r="B504" s="10" t="s">
        <v>172</v>
      </c>
      <c r="C504" s="10" t="s">
        <v>173</v>
      </c>
      <c r="D504" s="10" t="s">
        <v>795</v>
      </c>
      <c r="E504" s="11" t="n">
        <v>6</v>
      </c>
      <c r="F504" s="10" t="s">
        <v>796</v>
      </c>
      <c r="G504" s="7" t="n">
        <v>13</v>
      </c>
      <c r="H504" s="10" t="s">
        <v>1164</v>
      </c>
      <c r="I504" s="10" t="s">
        <v>1128</v>
      </c>
      <c r="J504" s="10" t="s">
        <v>1165</v>
      </c>
      <c r="K504" s="7" t="n">
        <v>8</v>
      </c>
      <c r="L504" s="7" t="n">
        <v>52</v>
      </c>
      <c r="M504" s="7" t="n">
        <v>5</v>
      </c>
      <c r="N504" s="7" t="n">
        <v>29</v>
      </c>
      <c r="O504" s="7" t="n">
        <v>5</v>
      </c>
      <c r="P504" s="8" t="n">
        <v>8.20495900584832</v>
      </c>
      <c r="Q504" s="9" t="n">
        <v>0.121877513255974</v>
      </c>
      <c r="R504" s="8" t="n">
        <v>11</v>
      </c>
      <c r="S504" s="12" t="n">
        <f aca="false">IF(AND(ISNUMBER(R504),R504&gt;1,P504&gt;0),R504/P504-1,"")</f>
        <v>0.340652645815711</v>
      </c>
    </row>
    <row r="505" customFormat="false" ht="15" hidden="false" customHeight="false" outlineLevel="0" collapsed="false">
      <c r="A505" s="10" t="s">
        <v>272</v>
      </c>
      <c r="B505" s="10" t="s">
        <v>172</v>
      </c>
      <c r="C505" s="10" t="s">
        <v>173</v>
      </c>
      <c r="D505" s="10" t="s">
        <v>795</v>
      </c>
      <c r="E505" s="11" t="n">
        <v>6</v>
      </c>
      <c r="F505" s="10" t="s">
        <v>796</v>
      </c>
      <c r="G505" s="7" t="n">
        <v>13</v>
      </c>
      <c r="H505" s="10" t="s">
        <v>1166</v>
      </c>
      <c r="I505" s="10" t="s">
        <v>797</v>
      </c>
      <c r="J505" s="10" t="s">
        <v>1167</v>
      </c>
      <c r="K505" s="7" t="n">
        <v>7</v>
      </c>
      <c r="L505" s="7" t="n">
        <v>51</v>
      </c>
      <c r="M505" s="7" t="n">
        <v>4</v>
      </c>
      <c r="N505" s="7" t="n">
        <v>22</v>
      </c>
      <c r="O505" s="7" t="n">
        <v>6</v>
      </c>
      <c r="P505" s="8" t="n">
        <v>13.8472783821533</v>
      </c>
      <c r="Q505" s="9" t="n">
        <v>0.0722163570632641</v>
      </c>
      <c r="R505" s="8" t="n">
        <v>10</v>
      </c>
      <c r="S505" s="12" t="n">
        <f aca="false">IF(AND(ISNUMBER(R505),R505&gt;1,P505&gt;0),R505/P505-1,"")</f>
        <v>-0.277836429367359</v>
      </c>
    </row>
    <row r="506" customFormat="false" ht="15" hidden="false" customHeight="false" outlineLevel="0" collapsed="false">
      <c r="A506" s="10" t="s">
        <v>272</v>
      </c>
      <c r="B506" s="10" t="s">
        <v>172</v>
      </c>
      <c r="C506" s="10" t="s">
        <v>173</v>
      </c>
      <c r="D506" s="10" t="s">
        <v>795</v>
      </c>
      <c r="E506" s="11" t="n">
        <v>6</v>
      </c>
      <c r="F506" s="10" t="s">
        <v>796</v>
      </c>
      <c r="G506" s="7" t="n">
        <v>13</v>
      </c>
      <c r="H506" s="10" t="s">
        <v>1168</v>
      </c>
      <c r="I506" s="10" t="s">
        <v>219</v>
      </c>
      <c r="J506" s="10" t="s">
        <v>1169</v>
      </c>
      <c r="K506" s="7" t="n">
        <v>1</v>
      </c>
      <c r="L506" s="7" t="n">
        <v>50</v>
      </c>
      <c r="M506" s="7" t="n">
        <v>9</v>
      </c>
      <c r="N506" s="7" t="n">
        <v>22</v>
      </c>
      <c r="O506" s="7" t="n">
        <v>7</v>
      </c>
      <c r="P506" s="8" t="n">
        <v>20.4511536086271</v>
      </c>
      <c r="Q506" s="9" t="n">
        <v>0.0488969971639233</v>
      </c>
      <c r="R506" s="8" t="n">
        <v>12</v>
      </c>
      <c r="S506" s="12" t="n">
        <f aca="false">IF(AND(ISNUMBER(R506),R506&gt;1,P506&gt;0),R506/P506-1,"")</f>
        <v>-0.413236034032919</v>
      </c>
    </row>
    <row r="507" customFormat="false" ht="15" hidden="false" customHeight="false" outlineLevel="0" collapsed="false">
      <c r="A507" s="10" t="s">
        <v>272</v>
      </c>
      <c r="B507" s="10" t="s">
        <v>172</v>
      </c>
      <c r="C507" s="10" t="s">
        <v>173</v>
      </c>
      <c r="D507" s="10" t="s">
        <v>795</v>
      </c>
      <c r="E507" s="11" t="n">
        <v>6</v>
      </c>
      <c r="F507" s="10" t="s">
        <v>796</v>
      </c>
      <c r="G507" s="7" t="n">
        <v>13</v>
      </c>
      <c r="H507" s="10" t="s">
        <v>1170</v>
      </c>
      <c r="I507" s="10" t="s">
        <v>822</v>
      </c>
      <c r="J507" s="10" t="s">
        <v>823</v>
      </c>
      <c r="K507" s="7" t="n">
        <v>12</v>
      </c>
      <c r="L507" s="7" t="n">
        <v>46</v>
      </c>
      <c r="M507" s="7" t="n">
        <v>5</v>
      </c>
      <c r="N507" s="7" t="n">
        <v>22</v>
      </c>
      <c r="O507" s="7" t="n">
        <v>8</v>
      </c>
      <c r="P507" s="8" t="n">
        <v>20.6266046926377</v>
      </c>
      <c r="Q507" s="9" t="n">
        <v>0.0484810764981078</v>
      </c>
      <c r="R507" s="8" t="n">
        <v>12</v>
      </c>
      <c r="S507" s="12" t="n">
        <f aca="false">IF(AND(ISNUMBER(R507),R507&gt;1,P507&gt;0),R507/P507-1,"")</f>
        <v>-0.418227082022706</v>
      </c>
    </row>
    <row r="508" customFormat="false" ht="15" hidden="false" customHeight="false" outlineLevel="0" collapsed="false">
      <c r="A508" s="10" t="s">
        <v>272</v>
      </c>
      <c r="B508" s="10" t="s">
        <v>172</v>
      </c>
      <c r="C508" s="10" t="s">
        <v>173</v>
      </c>
      <c r="D508" s="10" t="s">
        <v>795</v>
      </c>
      <c r="E508" s="11" t="n">
        <v>6</v>
      </c>
      <c r="F508" s="10" t="s">
        <v>796</v>
      </c>
      <c r="G508" s="7" t="n">
        <v>13</v>
      </c>
      <c r="H508" s="10" t="s">
        <v>1171</v>
      </c>
      <c r="I508" s="10" t="s">
        <v>800</v>
      </c>
      <c r="J508" s="10" t="s">
        <v>1172</v>
      </c>
      <c r="K508" s="7" t="n">
        <v>10</v>
      </c>
      <c r="L508" s="7" t="n">
        <v>55</v>
      </c>
      <c r="M508" s="7" t="n">
        <v>4</v>
      </c>
      <c r="N508" s="7" t="n">
        <v>6</v>
      </c>
      <c r="O508" s="7" t="n">
        <v>9</v>
      </c>
      <c r="P508" s="8" t="n">
        <v>44.4068096773191</v>
      </c>
      <c r="Q508" s="9" t="n">
        <v>0.0225190687479346</v>
      </c>
      <c r="R508" s="8" t="n">
        <v>34</v>
      </c>
      <c r="S508" s="12" t="n">
        <f aca="false">IF(AND(ISNUMBER(R508),R508&gt;1,P508&gt;0),R508/P508-1,"")</f>
        <v>-0.234351662570221</v>
      </c>
    </row>
    <row r="509" customFormat="false" ht="15" hidden="false" customHeight="false" outlineLevel="0" collapsed="false">
      <c r="A509" s="10" t="s">
        <v>272</v>
      </c>
      <c r="B509" s="10" t="s">
        <v>172</v>
      </c>
      <c r="C509" s="10" t="s">
        <v>173</v>
      </c>
      <c r="D509" s="10" t="s">
        <v>795</v>
      </c>
      <c r="E509" s="11" t="n">
        <v>6</v>
      </c>
      <c r="F509" s="10" t="s">
        <v>796</v>
      </c>
      <c r="G509" s="7" t="n">
        <v>13</v>
      </c>
      <c r="H509" s="10" t="s">
        <v>1173</v>
      </c>
      <c r="I509" s="10" t="s">
        <v>811</v>
      </c>
      <c r="J509" s="10" t="s">
        <v>1130</v>
      </c>
      <c r="K509" s="7" t="n">
        <v>2</v>
      </c>
      <c r="L509" s="7" t="n">
        <v>50</v>
      </c>
      <c r="M509" s="7" t="n">
        <v>4</v>
      </c>
      <c r="N509" s="7" t="n">
        <v>28</v>
      </c>
      <c r="O509" s="7" t="n">
        <v>10</v>
      </c>
      <c r="P509" s="8" t="n">
        <v>50.8789434381117</v>
      </c>
      <c r="Q509" s="9" t="n">
        <v>0.0196544961908728</v>
      </c>
      <c r="R509" s="8" t="n">
        <v>26</v>
      </c>
      <c r="S509" s="12" t="n">
        <f aca="false">IF(AND(ISNUMBER(R509),R509&gt;1,P509&gt;0),R509/P509-1,"")</f>
        <v>-0.488983099037307</v>
      </c>
    </row>
    <row r="510" customFormat="false" ht="15" hidden="false" customHeight="false" outlineLevel="0" collapsed="false">
      <c r="A510" s="10" t="s">
        <v>272</v>
      </c>
      <c r="B510" s="10" t="s">
        <v>172</v>
      </c>
      <c r="C510" s="10" t="s">
        <v>173</v>
      </c>
      <c r="D510" s="10" t="s">
        <v>795</v>
      </c>
      <c r="E510" s="11" t="n">
        <v>6</v>
      </c>
      <c r="F510" s="10" t="s">
        <v>796</v>
      </c>
      <c r="G510" s="7" t="n">
        <v>13</v>
      </c>
      <c r="H510" s="10" t="s">
        <v>1174</v>
      </c>
      <c r="I510" s="10" t="s">
        <v>265</v>
      </c>
      <c r="J510" s="10" t="s">
        <v>1072</v>
      </c>
      <c r="K510" s="7" t="n">
        <v>5</v>
      </c>
      <c r="L510" s="7" t="n">
        <v>46</v>
      </c>
      <c r="M510" s="7" t="n">
        <v>3</v>
      </c>
      <c r="N510" s="7" t="n">
        <v>16</v>
      </c>
      <c r="O510" s="7" t="n">
        <v>11</v>
      </c>
      <c r="P510" s="8" t="n">
        <v>50.9497058072098</v>
      </c>
      <c r="Q510" s="9" t="n">
        <v>0.0196271987081521</v>
      </c>
      <c r="R510" s="8" t="n">
        <v>19</v>
      </c>
      <c r="S510" s="12" t="n">
        <f aca="false">IF(AND(ISNUMBER(R510),R510&gt;1,P510&gt;0),R510/P510-1,"")</f>
        <v>-0.62708322454511</v>
      </c>
    </row>
    <row r="511" customFormat="false" ht="15" hidden="false" customHeight="false" outlineLevel="0" collapsed="false">
      <c r="A511" s="10" t="s">
        <v>272</v>
      </c>
      <c r="B511" s="10" t="s">
        <v>172</v>
      </c>
      <c r="C511" s="10" t="s">
        <v>173</v>
      </c>
      <c r="D511" s="10" t="s">
        <v>795</v>
      </c>
      <c r="E511" s="11" t="n">
        <v>6</v>
      </c>
      <c r="F511" s="10" t="s">
        <v>796</v>
      </c>
      <c r="G511" s="7" t="n">
        <v>13</v>
      </c>
      <c r="H511" s="10" t="s">
        <v>1175</v>
      </c>
      <c r="I511" s="10" t="s">
        <v>888</v>
      </c>
      <c r="J511" s="10" t="s">
        <v>889</v>
      </c>
      <c r="K511" s="7" t="n">
        <v>4</v>
      </c>
      <c r="L511" s="7" t="n">
        <v>48</v>
      </c>
      <c r="M511" s="7" t="n">
        <v>3</v>
      </c>
      <c r="N511" s="7" t="n">
        <v>16</v>
      </c>
      <c r="O511" s="7" t="n">
        <v>12</v>
      </c>
      <c r="P511" s="8" t="n">
        <v>54.4618548758675</v>
      </c>
      <c r="Q511" s="9" t="n">
        <v>0.0183614752431634</v>
      </c>
      <c r="R511" s="8" t="n">
        <v>23</v>
      </c>
      <c r="S511" s="12" t="n">
        <f aca="false">IF(AND(ISNUMBER(R511),R511&gt;1,P511&gt;0),R511/P511-1,"")</f>
        <v>-0.577686069407241</v>
      </c>
    </row>
    <row r="512" customFormat="false" ht="15" hidden="false" customHeight="false" outlineLevel="0" collapsed="false">
      <c r="A512" s="10" t="s">
        <v>272</v>
      </c>
      <c r="B512" s="10" t="s">
        <v>172</v>
      </c>
      <c r="C512" s="10" t="s">
        <v>173</v>
      </c>
      <c r="D512" s="10" t="s">
        <v>795</v>
      </c>
      <c r="E512" s="11" t="n">
        <v>6</v>
      </c>
      <c r="F512" s="10" t="s">
        <v>796</v>
      </c>
      <c r="G512" s="7" t="n">
        <v>13</v>
      </c>
      <c r="H512" s="10" t="s">
        <v>1176</v>
      </c>
      <c r="I512" s="10" t="s">
        <v>809</v>
      </c>
      <c r="J512" s="10" t="s">
        <v>1177</v>
      </c>
      <c r="K512" s="7" t="n">
        <v>3</v>
      </c>
      <c r="L512" s="7" t="n">
        <v>50</v>
      </c>
      <c r="M512" s="7" t="n">
        <v>4</v>
      </c>
      <c r="N512" s="7" t="n">
        <v>22</v>
      </c>
      <c r="O512" s="7" t="n">
        <v>13</v>
      </c>
      <c r="P512" s="8" t="n">
        <v>123.099824850481</v>
      </c>
      <c r="Q512" s="9" t="n">
        <v>0.0081234884063776</v>
      </c>
      <c r="R512" s="8" t="n">
        <v>23</v>
      </c>
      <c r="S512" s="12" t="n">
        <f aca="false">IF(AND(ISNUMBER(R512),R512&gt;1,P512&gt;0),R512/P512-1,"")</f>
        <v>-0.813159766653315</v>
      </c>
    </row>
    <row r="513" customFormat="false" ht="15" hidden="false" customHeight="false" outlineLevel="0" collapsed="false">
      <c r="A513" s="10" t="s">
        <v>277</v>
      </c>
      <c r="B513" s="10" t="s">
        <v>205</v>
      </c>
      <c r="C513" s="10" t="s">
        <v>278</v>
      </c>
      <c r="D513" s="10"/>
      <c r="E513" s="11" t="n">
        <v>12</v>
      </c>
      <c r="F513" s="10" t="s">
        <v>796</v>
      </c>
      <c r="G513" s="7" t="n">
        <v>17</v>
      </c>
      <c r="H513" s="10" t="s">
        <v>279</v>
      </c>
      <c r="I513" s="10" t="s">
        <v>208</v>
      </c>
      <c r="J513" s="10" t="s">
        <v>280</v>
      </c>
      <c r="K513" s="7" t="n">
        <v>14</v>
      </c>
      <c r="L513" s="7" t="n">
        <v>58</v>
      </c>
      <c r="M513" s="7" t="n">
        <v>3</v>
      </c>
      <c r="N513" s="7" t="n">
        <v>21</v>
      </c>
      <c r="O513" s="7" t="n">
        <v>1</v>
      </c>
      <c r="P513" s="8" t="n">
        <v>6.55411877963466</v>
      </c>
      <c r="Q513" s="9" t="n">
        <v>0.152575812801449</v>
      </c>
      <c r="R513" s="8" t="n">
        <v>4.5</v>
      </c>
      <c r="S513" s="12" t="n">
        <f aca="false">IF(AND(ISNUMBER(R513),R513&gt;1,P513&gt;0),R513/P513-1,"")</f>
        <v>-0.313408842393479</v>
      </c>
    </row>
    <row r="514" customFormat="false" ht="15" hidden="false" customHeight="false" outlineLevel="0" collapsed="false">
      <c r="A514" s="10" t="s">
        <v>277</v>
      </c>
      <c r="B514" s="10" t="s">
        <v>205</v>
      </c>
      <c r="C514" s="10" t="s">
        <v>278</v>
      </c>
      <c r="D514" s="10"/>
      <c r="E514" s="11" t="n">
        <v>12</v>
      </c>
      <c r="F514" s="10" t="s">
        <v>796</v>
      </c>
      <c r="G514" s="7" t="n">
        <v>17</v>
      </c>
      <c r="H514" s="10" t="s">
        <v>281</v>
      </c>
      <c r="I514" s="10" t="s">
        <v>1178</v>
      </c>
      <c r="J514" s="10" t="s">
        <v>1011</v>
      </c>
      <c r="K514" s="7" t="n">
        <v>1</v>
      </c>
      <c r="L514" s="7" t="n">
        <v>47</v>
      </c>
      <c r="M514" s="7" t="n">
        <v>3</v>
      </c>
      <c r="N514" s="7" t="n">
        <v>20</v>
      </c>
      <c r="O514" s="7" t="n">
        <v>2</v>
      </c>
      <c r="P514" s="8" t="n">
        <v>7.43591880067708</v>
      </c>
      <c r="Q514" s="9" t="n">
        <v>0.134482372226677</v>
      </c>
      <c r="R514" s="8" t="n">
        <v>4</v>
      </c>
      <c r="S514" s="12" t="n">
        <f aca="false">IF(AND(ISNUMBER(R514),R514&gt;1,P514&gt;0),R514/P514-1,"")</f>
        <v>-0.462070511093292</v>
      </c>
    </row>
    <row r="515" customFormat="false" ht="15" hidden="false" customHeight="false" outlineLevel="0" collapsed="false">
      <c r="A515" s="10" t="s">
        <v>277</v>
      </c>
      <c r="B515" s="10" t="s">
        <v>205</v>
      </c>
      <c r="C515" s="10" t="s">
        <v>278</v>
      </c>
      <c r="D515" s="10"/>
      <c r="E515" s="11" t="n">
        <v>12</v>
      </c>
      <c r="F515" s="10" t="s">
        <v>796</v>
      </c>
      <c r="G515" s="7" t="n">
        <v>17</v>
      </c>
      <c r="H515" s="10" t="s">
        <v>1179</v>
      </c>
      <c r="I515" s="10" t="s">
        <v>952</v>
      </c>
      <c r="J515" s="10" t="s">
        <v>772</v>
      </c>
      <c r="K515" s="7" t="n">
        <v>11</v>
      </c>
      <c r="L515" s="7" t="n">
        <v>64</v>
      </c>
      <c r="M515" s="7" t="n">
        <v>3</v>
      </c>
      <c r="N515" s="7" t="n">
        <v>7</v>
      </c>
      <c r="O515" s="7" t="n">
        <v>3</v>
      </c>
      <c r="P515" s="8" t="n">
        <v>9.49280531298315</v>
      </c>
      <c r="Q515" s="9" t="n">
        <v>0.105342937838651</v>
      </c>
      <c r="R515" s="8" t="n">
        <v>5.5</v>
      </c>
      <c r="S515" s="12" t="n">
        <f aca="false">IF(AND(ISNUMBER(R515),R515&gt;1,P515&gt;0),R515/P515-1,"")</f>
        <v>-0.420613841887419</v>
      </c>
    </row>
    <row r="516" customFormat="false" ht="15" hidden="false" customHeight="false" outlineLevel="0" collapsed="false">
      <c r="A516" s="10" t="s">
        <v>277</v>
      </c>
      <c r="B516" s="10" t="s">
        <v>205</v>
      </c>
      <c r="C516" s="10" t="s">
        <v>278</v>
      </c>
      <c r="D516" s="10"/>
      <c r="E516" s="11" t="n">
        <v>12</v>
      </c>
      <c r="F516" s="10" t="s">
        <v>796</v>
      </c>
      <c r="G516" s="7" t="n">
        <v>17</v>
      </c>
      <c r="H516" s="10" t="s">
        <v>1180</v>
      </c>
      <c r="I516" s="10" t="s">
        <v>949</v>
      </c>
      <c r="J516" s="10" t="s">
        <v>1086</v>
      </c>
      <c r="K516" s="7" t="n">
        <v>6</v>
      </c>
      <c r="L516" s="7" t="n">
        <v>51</v>
      </c>
      <c r="M516" s="7" t="n">
        <v>7</v>
      </c>
      <c r="N516" s="7" t="n">
        <v>29</v>
      </c>
      <c r="O516" s="7" t="n">
        <v>4</v>
      </c>
      <c r="P516" s="8" t="n">
        <v>11.4779378186621</v>
      </c>
      <c r="Q516" s="9" t="n">
        <v>0.0871236641806935</v>
      </c>
      <c r="R516" s="8" t="n">
        <v>9</v>
      </c>
      <c r="S516" s="12" t="n">
        <f aca="false">IF(AND(ISNUMBER(R516),R516&gt;1,P516&gt;0),R516/P516-1,"")</f>
        <v>-0.215887022373758</v>
      </c>
    </row>
    <row r="517" customFormat="false" ht="15" hidden="false" customHeight="false" outlineLevel="0" collapsed="false">
      <c r="A517" s="10" t="s">
        <v>277</v>
      </c>
      <c r="B517" s="10" t="s">
        <v>205</v>
      </c>
      <c r="C517" s="10" t="s">
        <v>278</v>
      </c>
      <c r="D517" s="10"/>
      <c r="E517" s="11" t="n">
        <v>12</v>
      </c>
      <c r="F517" s="10" t="s">
        <v>796</v>
      </c>
      <c r="G517" s="7" t="n">
        <v>17</v>
      </c>
      <c r="H517" s="10" t="s">
        <v>1181</v>
      </c>
      <c r="I517" s="10" t="s">
        <v>1182</v>
      </c>
      <c r="J517" s="10" t="s">
        <v>1183</v>
      </c>
      <c r="K517" s="7" t="n">
        <v>4</v>
      </c>
      <c r="L517" s="7" t="n">
        <v>49</v>
      </c>
      <c r="M517" s="7" t="n">
        <v>5</v>
      </c>
      <c r="N517" s="7" t="n">
        <v>35</v>
      </c>
      <c r="O517" s="7" t="n">
        <v>5</v>
      </c>
      <c r="P517" s="8" t="n">
        <v>13.6009267708729</v>
      </c>
      <c r="Q517" s="9" t="n">
        <v>0.0735244014504626</v>
      </c>
      <c r="R517" s="8" t="n">
        <v>7.5</v>
      </c>
      <c r="S517" s="12" t="n">
        <f aca="false">IF(AND(ISNUMBER(R517),R517&gt;1,P517&gt;0),R517/P517-1,"")</f>
        <v>-0.44856698912153</v>
      </c>
    </row>
    <row r="518" customFormat="false" ht="15" hidden="false" customHeight="false" outlineLevel="0" collapsed="false">
      <c r="A518" s="10" t="s">
        <v>277</v>
      </c>
      <c r="B518" s="10" t="s">
        <v>205</v>
      </c>
      <c r="C518" s="10" t="s">
        <v>278</v>
      </c>
      <c r="D518" s="10"/>
      <c r="E518" s="11" t="n">
        <v>12</v>
      </c>
      <c r="F518" s="10" t="s">
        <v>796</v>
      </c>
      <c r="G518" s="7" t="n">
        <v>17</v>
      </c>
      <c r="H518" s="10" t="s">
        <v>1184</v>
      </c>
      <c r="I518" s="10" t="s">
        <v>358</v>
      </c>
      <c r="J518" s="10" t="s">
        <v>1185</v>
      </c>
      <c r="K518" s="7" t="n">
        <v>7</v>
      </c>
      <c r="L518" s="7" t="n">
        <v>41</v>
      </c>
      <c r="M518" s="7" t="n">
        <v>4</v>
      </c>
      <c r="N518" s="7" t="n">
        <v>29</v>
      </c>
      <c r="O518" s="7" t="n">
        <v>6</v>
      </c>
      <c r="P518" s="8" t="n">
        <v>14.982342643494</v>
      </c>
      <c r="Q518" s="9" t="n">
        <v>0.0667452362954895</v>
      </c>
      <c r="R518" s="8" t="n">
        <v>12</v>
      </c>
      <c r="S518" s="12" t="n">
        <f aca="false">IF(AND(ISNUMBER(R518),R518&gt;1,P518&gt;0),R518/P518-1,"")</f>
        <v>-0.199057164454125</v>
      </c>
    </row>
    <row r="519" customFormat="false" ht="15" hidden="false" customHeight="false" outlineLevel="0" collapsed="false">
      <c r="A519" s="10" t="s">
        <v>277</v>
      </c>
      <c r="B519" s="10" t="s">
        <v>205</v>
      </c>
      <c r="C519" s="10" t="s">
        <v>278</v>
      </c>
      <c r="D519" s="10"/>
      <c r="E519" s="11" t="n">
        <v>12</v>
      </c>
      <c r="F519" s="10" t="s">
        <v>796</v>
      </c>
      <c r="G519" s="7" t="n">
        <v>17</v>
      </c>
      <c r="H519" s="10" t="s">
        <v>1186</v>
      </c>
      <c r="I519" s="10" t="s">
        <v>259</v>
      </c>
      <c r="J519" s="10" t="s">
        <v>1187</v>
      </c>
      <c r="K519" s="7" t="n">
        <v>9</v>
      </c>
      <c r="L519" s="7" t="n">
        <v>55</v>
      </c>
      <c r="M519" s="7" t="n">
        <v>4</v>
      </c>
      <c r="N519" s="7" t="n">
        <v>21</v>
      </c>
      <c r="O519" s="7" t="n">
        <v>7</v>
      </c>
      <c r="P519" s="8" t="n">
        <v>15.3606704030632</v>
      </c>
      <c r="Q519" s="9" t="n">
        <v>0.065101325252092</v>
      </c>
      <c r="R519" s="8" t="n">
        <v>7</v>
      </c>
      <c r="S519" s="12" t="n">
        <f aca="false">IF(AND(ISNUMBER(R519),R519&gt;1,P519&gt;0),R519/P519-1,"")</f>
        <v>-0.544290723235356</v>
      </c>
    </row>
    <row r="520" customFormat="false" ht="15" hidden="false" customHeight="false" outlineLevel="0" collapsed="false">
      <c r="A520" s="10" t="s">
        <v>277</v>
      </c>
      <c r="B520" s="10" t="s">
        <v>205</v>
      </c>
      <c r="C520" s="10" t="s">
        <v>278</v>
      </c>
      <c r="D520" s="10"/>
      <c r="E520" s="11" t="n">
        <v>12</v>
      </c>
      <c r="F520" s="10" t="s">
        <v>796</v>
      </c>
      <c r="G520" s="7" t="n">
        <v>17</v>
      </c>
      <c r="H520" s="10" t="s">
        <v>1188</v>
      </c>
      <c r="I520" s="10" t="s">
        <v>1189</v>
      </c>
      <c r="J520" s="10" t="s">
        <v>280</v>
      </c>
      <c r="K520" s="7" t="n">
        <v>8</v>
      </c>
      <c r="L520" s="7" t="n">
        <v>55</v>
      </c>
      <c r="M520" s="7" t="n">
        <v>3</v>
      </c>
      <c r="N520" s="7" t="n">
        <v>29</v>
      </c>
      <c r="O520" s="7" t="n">
        <v>8</v>
      </c>
      <c r="P520" s="8" t="n">
        <v>15.7507646288691</v>
      </c>
      <c r="Q520" s="9" t="n">
        <v>0.0634889812375922</v>
      </c>
      <c r="R520" s="8" t="n">
        <v>9</v>
      </c>
      <c r="S520" s="12" t="n">
        <f aca="false">IF(AND(ISNUMBER(R520),R520&gt;1,P520&gt;0),R520/P520-1,"")</f>
        <v>-0.42859916886167</v>
      </c>
    </row>
    <row r="521" customFormat="false" ht="15" hidden="false" customHeight="false" outlineLevel="0" collapsed="false">
      <c r="A521" s="10" t="s">
        <v>277</v>
      </c>
      <c r="B521" s="10" t="s">
        <v>205</v>
      </c>
      <c r="C521" s="10" t="s">
        <v>278</v>
      </c>
      <c r="D521" s="10"/>
      <c r="E521" s="11" t="n">
        <v>12</v>
      </c>
      <c r="F521" s="10" t="s">
        <v>796</v>
      </c>
      <c r="G521" s="7" t="n">
        <v>17</v>
      </c>
      <c r="H521" s="10" t="s">
        <v>1190</v>
      </c>
      <c r="I521" s="10" t="s">
        <v>358</v>
      </c>
      <c r="J521" s="10" t="s">
        <v>956</v>
      </c>
      <c r="K521" s="7" t="n">
        <v>13</v>
      </c>
      <c r="L521" s="7" t="n">
        <v>51</v>
      </c>
      <c r="M521" s="7" t="n">
        <v>5</v>
      </c>
      <c r="N521" s="7" t="n">
        <v>29</v>
      </c>
      <c r="O521" s="7" t="n">
        <v>9</v>
      </c>
      <c r="P521" s="8" t="n">
        <v>20.49846415003</v>
      </c>
      <c r="Q521" s="9" t="n">
        <v>0.0487841426889798</v>
      </c>
      <c r="R521" s="8" t="n">
        <v>11</v>
      </c>
      <c r="S521" s="12" t="n">
        <f aca="false">IF(AND(ISNUMBER(R521),R521&gt;1,P521&gt;0),R521/P521-1,"")</f>
        <v>-0.463374430421222</v>
      </c>
    </row>
    <row r="522" customFormat="false" ht="15" hidden="false" customHeight="false" outlineLevel="0" collapsed="false">
      <c r="A522" s="10" t="s">
        <v>277</v>
      </c>
      <c r="B522" s="10" t="s">
        <v>205</v>
      </c>
      <c r="C522" s="10" t="s">
        <v>278</v>
      </c>
      <c r="D522" s="10"/>
      <c r="E522" s="11" t="n">
        <v>12</v>
      </c>
      <c r="F522" s="10" t="s">
        <v>796</v>
      </c>
      <c r="G522" s="7" t="n">
        <v>17</v>
      </c>
      <c r="H522" s="10" t="s">
        <v>1191</v>
      </c>
      <c r="I522" s="10" t="s">
        <v>931</v>
      </c>
      <c r="J522" s="10" t="s">
        <v>1086</v>
      </c>
      <c r="K522" s="7" t="n">
        <v>16</v>
      </c>
      <c r="L522" s="7" t="n">
        <v>51</v>
      </c>
      <c r="M522" s="7" t="n">
        <v>6</v>
      </c>
      <c r="N522" s="7" t="n">
        <v>38</v>
      </c>
      <c r="O522" s="7" t="n">
        <v>10</v>
      </c>
      <c r="P522" s="8" t="n">
        <v>24.2203447644323</v>
      </c>
      <c r="Q522" s="9" t="n">
        <v>0.0412876038605571</v>
      </c>
      <c r="R522" s="8" t="n">
        <v>26</v>
      </c>
      <c r="S522" s="12" t="n">
        <f aca="false">IF(AND(ISNUMBER(R522),R522&gt;1,P522&gt;0),R522/P522-1,"")</f>
        <v>0.0734777003744862</v>
      </c>
    </row>
    <row r="523" customFormat="false" ht="15" hidden="false" customHeight="false" outlineLevel="0" collapsed="false">
      <c r="A523" s="10" t="s">
        <v>277</v>
      </c>
      <c r="B523" s="10" t="s">
        <v>205</v>
      </c>
      <c r="C523" s="10" t="s">
        <v>278</v>
      </c>
      <c r="D523" s="10"/>
      <c r="E523" s="11" t="n">
        <v>12</v>
      </c>
      <c r="F523" s="10" t="s">
        <v>796</v>
      </c>
      <c r="G523" s="7" t="n">
        <v>17</v>
      </c>
      <c r="H523" s="10" t="s">
        <v>1192</v>
      </c>
      <c r="I523" s="10" t="s">
        <v>1193</v>
      </c>
      <c r="J523" s="10" t="s">
        <v>959</v>
      </c>
      <c r="K523" s="7" t="n">
        <v>3</v>
      </c>
      <c r="L523" s="7" t="n">
        <v>41</v>
      </c>
      <c r="M523" s="7" t="n">
        <v>5</v>
      </c>
      <c r="N523" s="7" t="n">
        <v>41</v>
      </c>
      <c r="O523" s="7" t="n">
        <v>11</v>
      </c>
      <c r="P523" s="8" t="n">
        <v>24.4776298391778</v>
      </c>
      <c r="Q523" s="9" t="n">
        <v>0.0408536286629943</v>
      </c>
      <c r="R523" s="8" t="n">
        <v>26</v>
      </c>
      <c r="S523" s="12" t="n">
        <f aca="false">IF(AND(ISNUMBER(R523),R523&gt;1,P523&gt;0),R523/P523-1,"")</f>
        <v>0.0621943452378528</v>
      </c>
    </row>
    <row r="524" customFormat="false" ht="15" hidden="false" customHeight="false" outlineLevel="0" collapsed="false">
      <c r="A524" s="10" t="s">
        <v>277</v>
      </c>
      <c r="B524" s="10" t="s">
        <v>205</v>
      </c>
      <c r="C524" s="10" t="s">
        <v>278</v>
      </c>
      <c r="D524" s="10"/>
      <c r="E524" s="11" t="n">
        <v>12</v>
      </c>
      <c r="F524" s="10" t="s">
        <v>796</v>
      </c>
      <c r="G524" s="7" t="n">
        <v>17</v>
      </c>
      <c r="H524" s="10" t="s">
        <v>1194</v>
      </c>
      <c r="I524" s="10" t="s">
        <v>358</v>
      </c>
      <c r="J524" s="10" t="s">
        <v>964</v>
      </c>
      <c r="K524" s="7" t="n">
        <v>10</v>
      </c>
      <c r="L524" s="7" t="n">
        <v>51</v>
      </c>
      <c r="M524" s="7" t="n">
        <v>3</v>
      </c>
      <c r="N524" s="7" t="n">
        <v>7</v>
      </c>
      <c r="O524" s="7" t="n">
        <v>12</v>
      </c>
      <c r="P524" s="8" t="n">
        <v>26.8705551762326</v>
      </c>
      <c r="Q524" s="9" t="n">
        <v>0.037215457345091</v>
      </c>
      <c r="R524" s="8" t="n">
        <v>13</v>
      </c>
      <c r="S524" s="12" t="n">
        <f aca="false">IF(AND(ISNUMBER(R524),R524&gt;1,P524&gt;0),R524/P524-1,"")</f>
        <v>-0.516199054513816</v>
      </c>
    </row>
    <row r="525" customFormat="false" ht="15" hidden="false" customHeight="false" outlineLevel="0" collapsed="false">
      <c r="A525" s="10" t="s">
        <v>277</v>
      </c>
      <c r="B525" s="10" t="s">
        <v>205</v>
      </c>
      <c r="C525" s="10" t="s">
        <v>278</v>
      </c>
      <c r="D525" s="10"/>
      <c r="E525" s="11" t="n">
        <v>12</v>
      </c>
      <c r="F525" s="10" t="s">
        <v>796</v>
      </c>
      <c r="G525" s="7" t="n">
        <v>17</v>
      </c>
      <c r="H525" s="10" t="s">
        <v>1195</v>
      </c>
      <c r="I525" s="10" t="s">
        <v>1196</v>
      </c>
      <c r="J525" s="10" t="s">
        <v>635</v>
      </c>
      <c r="K525" s="7" t="n">
        <v>12</v>
      </c>
      <c r="L525" s="7" t="n">
        <v>59</v>
      </c>
      <c r="M525" s="7" t="n">
        <v>3</v>
      </c>
      <c r="N525" s="7" t="n">
        <v>5</v>
      </c>
      <c r="O525" s="7" t="n">
        <v>13</v>
      </c>
      <c r="P525" s="8" t="n">
        <v>38.5645559637444</v>
      </c>
      <c r="Q525" s="9" t="n">
        <v>0.0259305461973976</v>
      </c>
      <c r="R525" s="8" t="n">
        <v>34</v>
      </c>
      <c r="S525" s="12" t="n">
        <f aca="false">IF(AND(ISNUMBER(R525),R525&gt;1,P525&gt;0),R525/P525-1,"")</f>
        <v>-0.118361429288481</v>
      </c>
    </row>
    <row r="526" customFormat="false" ht="15" hidden="false" customHeight="false" outlineLevel="0" collapsed="false">
      <c r="A526" s="10" t="s">
        <v>277</v>
      </c>
      <c r="B526" s="10" t="s">
        <v>205</v>
      </c>
      <c r="C526" s="10" t="s">
        <v>278</v>
      </c>
      <c r="D526" s="10"/>
      <c r="E526" s="11" t="n">
        <v>12</v>
      </c>
      <c r="F526" s="10" t="s">
        <v>796</v>
      </c>
      <c r="G526" s="7" t="n">
        <v>17</v>
      </c>
      <c r="H526" s="10" t="s">
        <v>1197</v>
      </c>
      <c r="I526" s="10" t="s">
        <v>1198</v>
      </c>
      <c r="J526" s="10" t="s">
        <v>1199</v>
      </c>
      <c r="K526" s="7" t="n">
        <v>2</v>
      </c>
      <c r="L526" s="7" t="n">
        <v>40</v>
      </c>
      <c r="M526" s="7" t="n">
        <v>4</v>
      </c>
      <c r="N526" s="7" t="n">
        <v>29</v>
      </c>
      <c r="O526" s="7" t="n">
        <v>14</v>
      </c>
      <c r="P526" s="8" t="n">
        <v>40.8817220737847</v>
      </c>
      <c r="Q526" s="9" t="n">
        <v>0.024460809116484</v>
      </c>
      <c r="R526" s="8" t="n">
        <v>26</v>
      </c>
      <c r="S526" s="12" t="n">
        <f aca="false">IF(AND(ISNUMBER(R526),R526&gt;1,P526&gt;0),R526/P526-1,"")</f>
        <v>-0.364018962971414</v>
      </c>
    </row>
    <row r="527" customFormat="false" ht="15" hidden="false" customHeight="false" outlineLevel="0" collapsed="false">
      <c r="A527" s="10" t="s">
        <v>277</v>
      </c>
      <c r="B527" s="10" t="s">
        <v>205</v>
      </c>
      <c r="C527" s="10" t="s">
        <v>278</v>
      </c>
      <c r="D527" s="10"/>
      <c r="E527" s="11" t="n">
        <v>12</v>
      </c>
      <c r="F527" s="10" t="s">
        <v>796</v>
      </c>
      <c r="G527" s="7" t="n">
        <v>17</v>
      </c>
      <c r="H527" s="10" t="s">
        <v>1200</v>
      </c>
      <c r="I527" s="10" t="s">
        <v>1000</v>
      </c>
      <c r="J527" s="10" t="s">
        <v>1014</v>
      </c>
      <c r="K527" s="7" t="n">
        <v>17</v>
      </c>
      <c r="L527" s="7" t="n">
        <v>40</v>
      </c>
      <c r="M527" s="7" t="n">
        <v>4</v>
      </c>
      <c r="N527" s="7" t="n">
        <v>9</v>
      </c>
      <c r="O527" s="7" t="n">
        <v>15</v>
      </c>
      <c r="P527" s="8" t="n">
        <v>56.39606129184</v>
      </c>
      <c r="Q527" s="9" t="n">
        <v>0.017731734754049</v>
      </c>
      <c r="R527" s="8" t="n">
        <v>34</v>
      </c>
      <c r="S527" s="12" t="n">
        <f aca="false">IF(AND(ISNUMBER(R527),R527&gt;1,P527&gt;0),R527/P527-1,"")</f>
        <v>-0.397121018362332</v>
      </c>
    </row>
    <row r="528" customFormat="false" ht="15" hidden="false" customHeight="false" outlineLevel="0" collapsed="false">
      <c r="A528" s="10" t="s">
        <v>277</v>
      </c>
      <c r="B528" s="10" t="s">
        <v>205</v>
      </c>
      <c r="C528" s="10" t="s">
        <v>278</v>
      </c>
      <c r="D528" s="10"/>
      <c r="E528" s="11" t="n">
        <v>12</v>
      </c>
      <c r="F528" s="10" t="s">
        <v>796</v>
      </c>
      <c r="G528" s="7" t="n">
        <v>17</v>
      </c>
      <c r="H528" s="10" t="s">
        <v>1201</v>
      </c>
      <c r="I528" s="10" t="s">
        <v>1099</v>
      </c>
      <c r="J528" s="10" t="s">
        <v>1202</v>
      </c>
      <c r="K528" s="7" t="n">
        <v>5</v>
      </c>
      <c r="L528" s="7" t="n">
        <v>50</v>
      </c>
      <c r="M528" s="7" t="n">
        <v>3</v>
      </c>
      <c r="N528" s="7" t="n">
        <v>9</v>
      </c>
      <c r="O528" s="7" t="n">
        <v>16</v>
      </c>
      <c r="P528" s="8" t="n">
        <v>103.766525181143</v>
      </c>
      <c r="Q528" s="9" t="n">
        <v>0.0096370192434826</v>
      </c>
      <c r="R528" s="8" t="n">
        <v>67</v>
      </c>
      <c r="S528" s="12" t="n">
        <f aca="false">IF(AND(ISNUMBER(R528),R528&gt;1,P528&gt;0),R528/P528-1,"")</f>
        <v>-0.354319710686666</v>
      </c>
    </row>
    <row r="529" customFormat="false" ht="15" hidden="false" customHeight="false" outlineLevel="0" collapsed="false">
      <c r="A529" s="10" t="s">
        <v>277</v>
      </c>
      <c r="B529" s="10" t="s">
        <v>205</v>
      </c>
      <c r="C529" s="10" t="s">
        <v>278</v>
      </c>
      <c r="D529" s="10"/>
      <c r="E529" s="11" t="n">
        <v>12</v>
      </c>
      <c r="F529" s="10" t="s">
        <v>796</v>
      </c>
      <c r="G529" s="7" t="n">
        <v>17</v>
      </c>
      <c r="H529" s="10" t="s">
        <v>1203</v>
      </c>
      <c r="I529" s="10" t="s">
        <v>933</v>
      </c>
      <c r="J529" s="10" t="s">
        <v>1104</v>
      </c>
      <c r="K529" s="7" t="n">
        <v>15</v>
      </c>
      <c r="L529" s="7" t="n">
        <v>48</v>
      </c>
      <c r="M529" s="7" t="n">
        <v>6</v>
      </c>
      <c r="N529" s="7" t="n">
        <v>29</v>
      </c>
      <c r="O529" s="7" t="n">
        <v>17</v>
      </c>
      <c r="P529" s="8" t="n">
        <v>174.998740293446</v>
      </c>
      <c r="Q529" s="9" t="n">
        <v>0.005714326847857</v>
      </c>
      <c r="R529" s="8" t="n">
        <v>81</v>
      </c>
      <c r="S529" s="12" t="n">
        <f aca="false">IF(AND(ISNUMBER(R529),R529&gt;1,P529&gt;0),R529/P529-1,"")</f>
        <v>-0.53713952532358</v>
      </c>
    </row>
  </sheetData>
  <autoFilter ref="A1:S529"/>
  <conditionalFormatting sqref="A2:S529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5" t="s">
        <v>26</v>
      </c>
      <c r="B1" s="5" t="s">
        <v>27</v>
      </c>
      <c r="C1" s="5" t="s">
        <v>28</v>
      </c>
      <c r="D1" s="5" t="s">
        <v>282</v>
      </c>
      <c r="E1" s="5" t="s">
        <v>283</v>
      </c>
      <c r="F1" s="5" t="s">
        <v>284</v>
      </c>
      <c r="G1" s="5" t="s">
        <v>1</v>
      </c>
      <c r="H1" s="5" t="s">
        <v>285</v>
      </c>
      <c r="I1" s="5" t="s">
        <v>30</v>
      </c>
      <c r="J1" s="5" t="s">
        <v>31</v>
      </c>
      <c r="K1" s="5" t="s">
        <v>286</v>
      </c>
      <c r="L1" s="5" t="s">
        <v>287</v>
      </c>
      <c r="M1" s="5" t="s">
        <v>288</v>
      </c>
      <c r="N1" s="5" t="s">
        <v>289</v>
      </c>
      <c r="O1" s="5" t="s">
        <v>18</v>
      </c>
      <c r="P1" s="5" t="s">
        <v>14</v>
      </c>
      <c r="Q1" s="5" t="s">
        <v>16</v>
      </c>
      <c r="R1" s="5" t="s">
        <v>20</v>
      </c>
      <c r="S1" s="5" t="s">
        <v>22</v>
      </c>
    </row>
    <row r="2" customFormat="false" ht="15" hidden="false" customHeight="false" outlineLevel="0" collapsed="false">
      <c r="A2" s="10" t="s">
        <v>36</v>
      </c>
      <c r="B2" s="10" t="s">
        <v>37</v>
      </c>
      <c r="C2" s="10" t="s">
        <v>38</v>
      </c>
      <c r="D2" s="10" t="s">
        <v>290</v>
      </c>
      <c r="E2" s="11" t="n">
        <v>16.5</v>
      </c>
      <c r="F2" s="10" t="s">
        <v>291</v>
      </c>
      <c r="G2" s="7" t="n">
        <v>10</v>
      </c>
      <c r="H2" s="10" t="s">
        <v>39</v>
      </c>
      <c r="I2" s="10" t="s">
        <v>40</v>
      </c>
      <c r="J2" s="10" t="s">
        <v>41</v>
      </c>
      <c r="K2" s="7" t="n">
        <v>6</v>
      </c>
      <c r="L2" s="7" t="n">
        <v>82</v>
      </c>
      <c r="M2" s="7" t="n">
        <v>6</v>
      </c>
      <c r="N2" s="7" t="n">
        <v>28</v>
      </c>
      <c r="O2" s="7" t="n">
        <v>1</v>
      </c>
      <c r="P2" s="8" t="n">
        <v>3.30594643104296</v>
      </c>
      <c r="Q2" s="9" t="n">
        <v>0.30248524011459</v>
      </c>
      <c r="R2" s="8" t="n">
        <v>1.83333333333333</v>
      </c>
      <c r="S2" s="12" t="n">
        <f aca="false">IF(AND(ISNUMBER(R2),R2&gt;1,P2&gt;0),R2/P2-1,"")</f>
        <v>-0.445443726456586</v>
      </c>
    </row>
    <row r="3" customFormat="false" ht="15" hidden="false" customHeight="false" outlineLevel="0" collapsed="false">
      <c r="A3" s="10" t="s">
        <v>36</v>
      </c>
      <c r="B3" s="10" t="s">
        <v>37</v>
      </c>
      <c r="C3" s="10" t="s">
        <v>38</v>
      </c>
      <c r="D3" s="10" t="s">
        <v>290</v>
      </c>
      <c r="E3" s="11" t="n">
        <v>16.5</v>
      </c>
      <c r="F3" s="10" t="s">
        <v>291</v>
      </c>
      <c r="G3" s="7" t="n">
        <v>10</v>
      </c>
      <c r="H3" s="10" t="s">
        <v>42</v>
      </c>
      <c r="I3" s="10" t="s">
        <v>292</v>
      </c>
      <c r="J3" s="10" t="s">
        <v>293</v>
      </c>
      <c r="K3" s="7" t="n">
        <v>1</v>
      </c>
      <c r="L3" s="7" t="n">
        <v>100</v>
      </c>
      <c r="M3" s="7" t="n">
        <v>10</v>
      </c>
      <c r="N3" s="7" t="n">
        <v>37</v>
      </c>
      <c r="O3" s="7" t="n">
        <v>2</v>
      </c>
      <c r="P3" s="8" t="n">
        <v>4.68796761981854</v>
      </c>
      <c r="Q3" s="9" t="n">
        <v>0.213312053558661</v>
      </c>
      <c r="R3" s="8" t="n">
        <v>8</v>
      </c>
      <c r="S3" s="12" t="n">
        <f aca="false">IF(AND(ISNUMBER(R3),R3&gt;1,P3&gt;0),R3/P3-1,"")</f>
        <v>0.706496428469288</v>
      </c>
    </row>
    <row r="4" customFormat="false" ht="15" hidden="false" customHeight="false" outlineLevel="0" collapsed="false">
      <c r="A4" s="10" t="s">
        <v>36</v>
      </c>
      <c r="B4" s="10" t="s">
        <v>37</v>
      </c>
      <c r="C4" s="10" t="s">
        <v>38</v>
      </c>
      <c r="D4" s="10" t="s">
        <v>290</v>
      </c>
      <c r="E4" s="11" t="n">
        <v>16.5</v>
      </c>
      <c r="F4" s="10" t="s">
        <v>291</v>
      </c>
      <c r="G4" s="7" t="n">
        <v>10</v>
      </c>
      <c r="H4" s="10" t="s">
        <v>294</v>
      </c>
      <c r="I4" s="10" t="s">
        <v>295</v>
      </c>
      <c r="J4" s="10" t="s">
        <v>296</v>
      </c>
      <c r="K4" s="7" t="n">
        <v>5</v>
      </c>
      <c r="L4" s="7" t="n">
        <v>89</v>
      </c>
      <c r="M4" s="7" t="n">
        <v>6</v>
      </c>
      <c r="N4" s="7" t="n">
        <v>143</v>
      </c>
      <c r="O4" s="7" t="n">
        <v>3</v>
      </c>
      <c r="P4" s="8" t="n">
        <v>8.87668843379882</v>
      </c>
      <c r="Q4" s="9" t="n">
        <v>0.112654624239419</v>
      </c>
      <c r="R4" s="8" t="n">
        <v>9</v>
      </c>
      <c r="S4" s="12" t="n">
        <f aca="false">IF(AND(ISNUMBER(R4),R4&gt;1,P4&gt;0),R4/P4-1,"")</f>
        <v>0.0138916181547684</v>
      </c>
    </row>
    <row r="5" customFormat="false" ht="15" hidden="false" customHeight="false" outlineLevel="0" collapsed="false">
      <c r="A5" s="10" t="s">
        <v>36</v>
      </c>
      <c r="B5" s="10" t="s">
        <v>37</v>
      </c>
      <c r="C5" s="10" t="s">
        <v>38</v>
      </c>
      <c r="D5" s="10" t="s">
        <v>290</v>
      </c>
      <c r="E5" s="11" t="n">
        <v>16.5</v>
      </c>
      <c r="F5" s="10" t="s">
        <v>291</v>
      </c>
      <c r="G5" s="7" t="n">
        <v>10</v>
      </c>
      <c r="H5" s="10" t="s">
        <v>297</v>
      </c>
      <c r="I5" s="10" t="s">
        <v>298</v>
      </c>
      <c r="J5" s="10" t="s">
        <v>299</v>
      </c>
      <c r="K5" s="7" t="n">
        <v>3</v>
      </c>
      <c r="L5" s="7" t="n">
        <v>95</v>
      </c>
      <c r="M5" s="7" t="n">
        <v>5</v>
      </c>
      <c r="N5" s="7" t="n">
        <v>162</v>
      </c>
      <c r="O5" s="7" t="n">
        <v>4</v>
      </c>
      <c r="P5" s="8" t="n">
        <v>12.1214876843353</v>
      </c>
      <c r="Q5" s="9" t="n">
        <v>0.0824981244911306</v>
      </c>
      <c r="R5" s="8" t="n">
        <v>9</v>
      </c>
      <c r="S5" s="12" t="n">
        <f aca="false">IF(AND(ISNUMBER(R5),R5&gt;1,P5&gt;0),R5/P5-1,"")</f>
        <v>-0.257516879579824</v>
      </c>
    </row>
    <row r="6" customFormat="false" ht="15" hidden="false" customHeight="false" outlineLevel="0" collapsed="false">
      <c r="A6" s="10" t="s">
        <v>36</v>
      </c>
      <c r="B6" s="10" t="s">
        <v>37</v>
      </c>
      <c r="C6" s="10" t="s">
        <v>38</v>
      </c>
      <c r="D6" s="10" t="s">
        <v>290</v>
      </c>
      <c r="E6" s="11" t="n">
        <v>16.5</v>
      </c>
      <c r="F6" s="10" t="s">
        <v>291</v>
      </c>
      <c r="G6" s="7" t="n">
        <v>10</v>
      </c>
      <c r="H6" s="10" t="s">
        <v>300</v>
      </c>
      <c r="I6" s="10" t="s">
        <v>301</v>
      </c>
      <c r="J6" s="10" t="s">
        <v>302</v>
      </c>
      <c r="K6" s="7" t="n">
        <v>10</v>
      </c>
      <c r="L6" s="7" t="n">
        <v>76</v>
      </c>
      <c r="M6" s="7" t="n">
        <v>6</v>
      </c>
      <c r="N6" s="7" t="n">
        <v>80</v>
      </c>
      <c r="O6" s="7" t="n">
        <v>5</v>
      </c>
      <c r="P6" s="8" t="n">
        <v>13.9078615395996</v>
      </c>
      <c r="Q6" s="9" t="n">
        <v>0.0719017799503336</v>
      </c>
      <c r="R6" s="8" t="n">
        <v>12</v>
      </c>
      <c r="S6" s="12" t="n">
        <f aca="false">IF(AND(ISNUMBER(R6),R6&gt;1,P6&gt;0),R6/P6-1,"")</f>
        <v>-0.137178640595996</v>
      </c>
    </row>
    <row r="7" customFormat="false" ht="15" hidden="false" customHeight="false" outlineLevel="0" collapsed="false">
      <c r="A7" s="10" t="s">
        <v>36</v>
      </c>
      <c r="B7" s="10" t="s">
        <v>37</v>
      </c>
      <c r="C7" s="10" t="s">
        <v>38</v>
      </c>
      <c r="D7" s="10" t="s">
        <v>290</v>
      </c>
      <c r="E7" s="11" t="n">
        <v>16.5</v>
      </c>
      <c r="F7" s="10" t="s">
        <v>291</v>
      </c>
      <c r="G7" s="7" t="n">
        <v>10</v>
      </c>
      <c r="H7" s="10" t="s">
        <v>303</v>
      </c>
      <c r="I7" s="10" t="s">
        <v>304</v>
      </c>
      <c r="J7" s="10" t="s">
        <v>305</v>
      </c>
      <c r="K7" s="7" t="n">
        <v>4</v>
      </c>
      <c r="L7" s="7" t="n">
        <v>92</v>
      </c>
      <c r="M7" s="7" t="n">
        <v>7</v>
      </c>
      <c r="N7" s="7" t="n">
        <v>25</v>
      </c>
      <c r="O7" s="7" t="n">
        <v>6</v>
      </c>
      <c r="P7" s="8" t="n">
        <v>18.1174042244394</v>
      </c>
      <c r="Q7" s="9" t="n">
        <v>0.055195544991542</v>
      </c>
      <c r="R7" s="8" t="n">
        <v>10</v>
      </c>
      <c r="S7" s="12" t="n">
        <f aca="false">IF(AND(ISNUMBER(R7),R7&gt;1,P7&gt;0),R7/P7-1,"")</f>
        <v>-0.44804455008458</v>
      </c>
    </row>
    <row r="8" customFormat="false" ht="15" hidden="false" customHeight="false" outlineLevel="0" collapsed="false">
      <c r="A8" s="10" t="s">
        <v>36</v>
      </c>
      <c r="B8" s="10" t="s">
        <v>37</v>
      </c>
      <c r="C8" s="10" t="s">
        <v>38</v>
      </c>
      <c r="D8" s="10" t="s">
        <v>290</v>
      </c>
      <c r="E8" s="11" t="n">
        <v>16.5</v>
      </c>
      <c r="F8" s="10" t="s">
        <v>291</v>
      </c>
      <c r="G8" s="7" t="n">
        <v>10</v>
      </c>
      <c r="H8" s="10" t="s">
        <v>306</v>
      </c>
      <c r="I8" s="10" t="s">
        <v>307</v>
      </c>
      <c r="J8" s="10" t="s">
        <v>308</v>
      </c>
      <c r="K8" s="7" t="n">
        <v>7</v>
      </c>
      <c r="L8" s="7" t="n">
        <v>81</v>
      </c>
      <c r="M8" s="7" t="n">
        <v>7</v>
      </c>
      <c r="N8" s="7" t="n">
        <v>155</v>
      </c>
      <c r="O8" s="7" t="n">
        <v>7</v>
      </c>
      <c r="P8" s="8" t="n">
        <v>20.6756871118158</v>
      </c>
      <c r="Q8" s="9" t="n">
        <v>0.0483659863196767</v>
      </c>
      <c r="R8" s="8" t="n">
        <v>21</v>
      </c>
      <c r="S8" s="12" t="n">
        <f aca="false">IF(AND(ISNUMBER(R8),R8&gt;1,P8&gt;0),R8/P8-1,"")</f>
        <v>0.0156857127132113</v>
      </c>
    </row>
    <row r="9" customFormat="false" ht="15" hidden="false" customHeight="false" outlineLevel="0" collapsed="false">
      <c r="A9" s="10" t="s">
        <v>36</v>
      </c>
      <c r="B9" s="10" t="s">
        <v>37</v>
      </c>
      <c r="C9" s="10" t="s">
        <v>38</v>
      </c>
      <c r="D9" s="10" t="s">
        <v>290</v>
      </c>
      <c r="E9" s="11" t="n">
        <v>16.5</v>
      </c>
      <c r="F9" s="10" t="s">
        <v>291</v>
      </c>
      <c r="G9" s="7" t="n">
        <v>10</v>
      </c>
      <c r="H9" s="10" t="s">
        <v>309</v>
      </c>
      <c r="I9" s="10" t="s">
        <v>310</v>
      </c>
      <c r="J9" s="10" t="s">
        <v>311</v>
      </c>
      <c r="K9" s="7" t="n">
        <v>8</v>
      </c>
      <c r="L9" s="7" t="n">
        <v>80</v>
      </c>
      <c r="M9" s="7" t="n">
        <v>8</v>
      </c>
      <c r="N9" s="7" t="n">
        <v>21</v>
      </c>
      <c r="O9" s="7" t="n">
        <v>8</v>
      </c>
      <c r="P9" s="8" t="n">
        <v>21.4258476062345</v>
      </c>
      <c r="Q9" s="9" t="n">
        <v>0.0466725993005299</v>
      </c>
      <c r="R9" s="8" t="n">
        <v>15</v>
      </c>
      <c r="S9" s="12" t="n">
        <f aca="false">IF(AND(ISNUMBER(R9),R9&gt;1,P9&gt;0),R9/P9-1,"")</f>
        <v>-0.299911010492051</v>
      </c>
    </row>
    <row r="10" customFormat="false" ht="15" hidden="false" customHeight="false" outlineLevel="0" collapsed="false">
      <c r="A10" s="10" t="s">
        <v>36</v>
      </c>
      <c r="B10" s="10" t="s">
        <v>37</v>
      </c>
      <c r="C10" s="10" t="s">
        <v>38</v>
      </c>
      <c r="D10" s="10" t="s">
        <v>290</v>
      </c>
      <c r="E10" s="11" t="n">
        <v>16.5</v>
      </c>
      <c r="F10" s="10" t="s">
        <v>291</v>
      </c>
      <c r="G10" s="7" t="n">
        <v>10</v>
      </c>
      <c r="H10" s="10" t="s">
        <v>312</v>
      </c>
      <c r="I10" s="10" t="s">
        <v>313</v>
      </c>
      <c r="J10" s="10" t="s">
        <v>314</v>
      </c>
      <c r="K10" s="7" t="n">
        <v>2</v>
      </c>
      <c r="L10" s="7" t="n">
        <v>99</v>
      </c>
      <c r="M10" s="7" t="n">
        <v>5</v>
      </c>
      <c r="N10" s="7" t="n">
        <v>5</v>
      </c>
      <c r="O10" s="7" t="n">
        <v>9</v>
      </c>
      <c r="P10" s="8" t="n">
        <v>23.4380243609857</v>
      </c>
      <c r="Q10" s="9" t="n">
        <v>0.0426657121179792</v>
      </c>
      <c r="R10" s="8" t="n">
        <v>13</v>
      </c>
      <c r="S10" s="12" t="n">
        <f aca="false">IF(AND(ISNUMBER(R10),R10&gt;1,P10&gt;0),R10/P10-1,"")</f>
        <v>-0.44534574246627</v>
      </c>
    </row>
    <row r="11" customFormat="false" ht="15" hidden="false" customHeight="false" outlineLevel="0" collapsed="false">
      <c r="A11" s="10" t="s">
        <v>36</v>
      </c>
      <c r="B11" s="10" t="s">
        <v>37</v>
      </c>
      <c r="C11" s="10" t="s">
        <v>38</v>
      </c>
      <c r="D11" s="10" t="s">
        <v>290</v>
      </c>
      <c r="E11" s="11" t="n">
        <v>16.5</v>
      </c>
      <c r="F11" s="10" t="s">
        <v>291</v>
      </c>
      <c r="G11" s="7" t="n">
        <v>10</v>
      </c>
      <c r="H11" s="10" t="s">
        <v>315</v>
      </c>
      <c r="I11" s="10" t="s">
        <v>316</v>
      </c>
      <c r="J11" s="10" t="s">
        <v>317</v>
      </c>
      <c r="K11" s="7" t="n">
        <v>9</v>
      </c>
      <c r="L11" s="7" t="n">
        <v>79</v>
      </c>
      <c r="M11" s="7" t="n">
        <v>9</v>
      </c>
      <c r="N11" s="7" t="n">
        <v>13</v>
      </c>
      <c r="O11" s="7" t="n">
        <v>10</v>
      </c>
      <c r="P11" s="8" t="n">
        <v>41.2399450708034</v>
      </c>
      <c r="Q11" s="9" t="n">
        <v>0.0242483349161385</v>
      </c>
      <c r="R11" s="8" t="n">
        <v>19</v>
      </c>
      <c r="S11" s="12" t="n">
        <f aca="false">IF(AND(ISNUMBER(R11),R11&gt;1,P11&gt;0),R11/P11-1,"")</f>
        <v>-0.539281636593367</v>
      </c>
    </row>
    <row r="12" customFormat="false" ht="15" hidden="false" customHeight="false" outlineLevel="0" collapsed="false">
      <c r="A12" s="10" t="s">
        <v>50</v>
      </c>
      <c r="B12" s="10" t="s">
        <v>37</v>
      </c>
      <c r="C12" s="10" t="s">
        <v>51</v>
      </c>
      <c r="D12" s="10" t="s">
        <v>340</v>
      </c>
      <c r="E12" s="11" t="n">
        <v>23</v>
      </c>
      <c r="F12" s="10" t="s">
        <v>291</v>
      </c>
      <c r="G12" s="7" t="n">
        <v>4</v>
      </c>
      <c r="H12" s="10" t="s">
        <v>52</v>
      </c>
      <c r="I12" s="10" t="s">
        <v>53</v>
      </c>
      <c r="J12" s="10" t="s">
        <v>54</v>
      </c>
      <c r="K12" s="7" t="n">
        <v>5</v>
      </c>
      <c r="L12" s="7" t="n">
        <v>116</v>
      </c>
      <c r="M12" s="7" t="n">
        <v>6</v>
      </c>
      <c r="N12" s="7" t="n">
        <v>33</v>
      </c>
      <c r="O12" s="7" t="n">
        <v>1</v>
      </c>
      <c r="P12" s="8" t="n">
        <v>2.77639912665931</v>
      </c>
      <c r="Q12" s="9" t="n">
        <v>0.360178761907062</v>
      </c>
      <c r="R12" s="8" t="n">
        <v>2.25</v>
      </c>
      <c r="S12" s="12" t="n">
        <f aca="false">IF(AND(ISNUMBER(R12),R12&gt;1,P12&gt;0),R12/P12-1,"")</f>
        <v>-0.18959778570911</v>
      </c>
    </row>
    <row r="13" customFormat="false" ht="15" hidden="false" customHeight="false" outlineLevel="0" collapsed="false">
      <c r="A13" s="10" t="s">
        <v>50</v>
      </c>
      <c r="B13" s="10" t="s">
        <v>37</v>
      </c>
      <c r="C13" s="10" t="s">
        <v>51</v>
      </c>
      <c r="D13" s="10" t="s">
        <v>340</v>
      </c>
      <c r="E13" s="11" t="n">
        <v>23</v>
      </c>
      <c r="F13" s="10" t="s">
        <v>291</v>
      </c>
      <c r="G13" s="7" t="n">
        <v>4</v>
      </c>
      <c r="H13" s="10" t="s">
        <v>55</v>
      </c>
      <c r="I13" s="10" t="s">
        <v>341</v>
      </c>
      <c r="J13" s="10" t="s">
        <v>342</v>
      </c>
      <c r="K13" s="7" t="n">
        <v>2</v>
      </c>
      <c r="L13" s="7" t="n">
        <v>127</v>
      </c>
      <c r="M13" s="7" t="n">
        <v>6</v>
      </c>
      <c r="N13" s="7" t="n">
        <v>195</v>
      </c>
      <c r="O13" s="7" t="n">
        <v>2</v>
      </c>
      <c r="P13" s="8" t="n">
        <v>3.02450048232237</v>
      </c>
      <c r="Q13" s="9" t="n">
        <v>0.330633109779552</v>
      </c>
      <c r="R13" s="8" t="n">
        <v>3.25</v>
      </c>
      <c r="S13" s="12" t="n">
        <f aca="false">IF(AND(ISNUMBER(R13),R13&gt;1,P13&gt;0),R13/P13-1,"")</f>
        <v>0.0745576067835454</v>
      </c>
    </row>
    <row r="14" customFormat="false" ht="15" hidden="false" customHeight="false" outlineLevel="0" collapsed="false">
      <c r="A14" s="10" t="s">
        <v>50</v>
      </c>
      <c r="B14" s="10" t="s">
        <v>37</v>
      </c>
      <c r="C14" s="10" t="s">
        <v>51</v>
      </c>
      <c r="D14" s="10" t="s">
        <v>340</v>
      </c>
      <c r="E14" s="11" t="n">
        <v>23</v>
      </c>
      <c r="F14" s="10" t="s">
        <v>291</v>
      </c>
      <c r="G14" s="7" t="n">
        <v>4</v>
      </c>
      <c r="H14" s="10" t="s">
        <v>343</v>
      </c>
      <c r="I14" s="10" t="s">
        <v>344</v>
      </c>
      <c r="J14" s="10" t="s">
        <v>345</v>
      </c>
      <c r="K14" s="7" t="n">
        <v>4</v>
      </c>
      <c r="L14" s="7" t="n">
        <v>121</v>
      </c>
      <c r="M14" s="7" t="n">
        <v>8</v>
      </c>
      <c r="N14" s="7" t="n">
        <v>25</v>
      </c>
      <c r="O14" s="7" t="n">
        <v>3</v>
      </c>
      <c r="P14" s="8" t="n">
        <v>4.75682801824643</v>
      </c>
      <c r="Q14" s="9" t="n">
        <v>0.210224123336846</v>
      </c>
      <c r="R14" s="8" t="n">
        <v>4.33333333333333</v>
      </c>
      <c r="S14" s="12" t="n">
        <f aca="false">IF(AND(ISNUMBER(R14),R14&gt;1,P14&gt;0),R14/P14-1,"")</f>
        <v>-0.089028798873669</v>
      </c>
    </row>
    <row r="15" customFormat="false" ht="15" hidden="false" customHeight="false" outlineLevel="0" collapsed="false">
      <c r="A15" s="10" t="s">
        <v>50</v>
      </c>
      <c r="B15" s="10" t="s">
        <v>37</v>
      </c>
      <c r="C15" s="10" t="s">
        <v>51</v>
      </c>
      <c r="D15" s="10" t="s">
        <v>340</v>
      </c>
      <c r="E15" s="11" t="n">
        <v>23</v>
      </c>
      <c r="F15" s="10" t="s">
        <v>291</v>
      </c>
      <c r="G15" s="7" t="n">
        <v>4</v>
      </c>
      <c r="H15" s="10" t="s">
        <v>346</v>
      </c>
      <c r="I15" s="10" t="s">
        <v>347</v>
      </c>
      <c r="J15" s="10" t="s">
        <v>348</v>
      </c>
      <c r="K15" s="7" t="n">
        <v>1</v>
      </c>
      <c r="L15" s="7" t="n">
        <v>131</v>
      </c>
      <c r="M15" s="7" t="n">
        <v>7</v>
      </c>
      <c r="N15" s="7" t="n">
        <v>139</v>
      </c>
      <c r="O15" s="7" t="n">
        <v>4</v>
      </c>
      <c r="P15" s="8" t="n">
        <v>10.1046840236211</v>
      </c>
      <c r="Q15" s="9" t="n">
        <v>0.0989640049765398</v>
      </c>
      <c r="R15" s="8" t="n">
        <v>7.5</v>
      </c>
      <c r="S15" s="12" t="n">
        <f aca="false">IF(AND(ISNUMBER(R15),R15&gt;1,P15&gt;0),R15/P15-1,"")</f>
        <v>-0.257769962675951</v>
      </c>
    </row>
    <row r="16" customFormat="false" ht="15" hidden="false" customHeight="false" outlineLevel="0" collapsed="false">
      <c r="A16" s="10" t="s">
        <v>76</v>
      </c>
      <c r="B16" s="10" t="s">
        <v>37</v>
      </c>
      <c r="C16" s="10" t="s">
        <v>77</v>
      </c>
      <c r="D16" s="10" t="s">
        <v>431</v>
      </c>
      <c r="E16" s="11" t="n">
        <v>20</v>
      </c>
      <c r="F16" s="10" t="s">
        <v>291</v>
      </c>
      <c r="G16" s="7" t="n">
        <v>12</v>
      </c>
      <c r="H16" s="10" t="s">
        <v>78</v>
      </c>
      <c r="I16" s="10" t="s">
        <v>40</v>
      </c>
      <c r="J16" s="10" t="s">
        <v>41</v>
      </c>
      <c r="K16" s="7" t="n">
        <v>8</v>
      </c>
      <c r="L16" s="7" t="n">
        <v>110</v>
      </c>
      <c r="M16" s="7" t="n">
        <v>6</v>
      </c>
      <c r="N16" s="7" t="n">
        <v>15</v>
      </c>
      <c r="O16" s="7" t="n">
        <v>1</v>
      </c>
      <c r="P16" s="8" t="n">
        <v>5.31504890242851</v>
      </c>
      <c r="Q16" s="9" t="n">
        <v>0.188145023377506</v>
      </c>
      <c r="R16" s="8" t="n">
        <v>5.5</v>
      </c>
      <c r="S16" s="12" t="n">
        <f aca="false">IF(AND(ISNUMBER(R16),R16&gt;1,P16&gt;0),R16/P16-1,"")</f>
        <v>0.0347976285762834</v>
      </c>
    </row>
    <row r="17" customFormat="false" ht="15" hidden="false" customHeight="false" outlineLevel="0" collapsed="false">
      <c r="A17" s="10" t="s">
        <v>76</v>
      </c>
      <c r="B17" s="10" t="s">
        <v>37</v>
      </c>
      <c r="C17" s="10" t="s">
        <v>77</v>
      </c>
      <c r="D17" s="10" t="s">
        <v>431</v>
      </c>
      <c r="E17" s="11" t="n">
        <v>20</v>
      </c>
      <c r="F17" s="10" t="s">
        <v>291</v>
      </c>
      <c r="G17" s="7" t="n">
        <v>12</v>
      </c>
      <c r="H17" s="10" t="s">
        <v>79</v>
      </c>
      <c r="I17" s="10" t="s">
        <v>295</v>
      </c>
      <c r="J17" s="10" t="s">
        <v>432</v>
      </c>
      <c r="K17" s="7" t="n">
        <v>7</v>
      </c>
      <c r="L17" s="7" t="n">
        <v>115</v>
      </c>
      <c r="M17" s="7" t="n">
        <v>5</v>
      </c>
      <c r="N17" s="7" t="n">
        <v>28</v>
      </c>
      <c r="O17" s="7" t="n">
        <v>2</v>
      </c>
      <c r="P17" s="8" t="n">
        <v>6.78728229567735</v>
      </c>
      <c r="Q17" s="9" t="n">
        <v>0.147334375739296</v>
      </c>
      <c r="R17" s="8" t="n">
        <v>4.5</v>
      </c>
      <c r="S17" s="12" t="n">
        <f aca="false">IF(AND(ISNUMBER(R17),R17&gt;1,P17&gt;0),R17/P17-1,"")</f>
        <v>-0.336995309173167</v>
      </c>
    </row>
    <row r="18" customFormat="false" ht="15" hidden="false" customHeight="false" outlineLevel="0" collapsed="false">
      <c r="A18" s="10" t="s">
        <v>76</v>
      </c>
      <c r="B18" s="10" t="s">
        <v>37</v>
      </c>
      <c r="C18" s="10" t="s">
        <v>77</v>
      </c>
      <c r="D18" s="10" t="s">
        <v>431</v>
      </c>
      <c r="E18" s="11" t="n">
        <v>20</v>
      </c>
      <c r="F18" s="10" t="s">
        <v>291</v>
      </c>
      <c r="G18" s="7" t="n">
        <v>12</v>
      </c>
      <c r="H18" s="10" t="s">
        <v>433</v>
      </c>
      <c r="I18" s="10" t="s">
        <v>434</v>
      </c>
      <c r="J18" s="10" t="s">
        <v>435</v>
      </c>
      <c r="K18" s="7" t="n">
        <v>9</v>
      </c>
      <c r="L18" s="7" t="n">
        <v>110</v>
      </c>
      <c r="M18" s="7" t="n">
        <v>7</v>
      </c>
      <c r="N18" s="7" t="n">
        <v>28</v>
      </c>
      <c r="O18" s="7" t="n">
        <v>3</v>
      </c>
      <c r="P18" s="8" t="n">
        <v>7.57385567602136</v>
      </c>
      <c r="Q18" s="9" t="n">
        <v>0.132033147022589</v>
      </c>
      <c r="R18" s="8" t="n">
        <v>13</v>
      </c>
      <c r="S18" s="12" t="n">
        <f aca="false">IF(AND(ISNUMBER(R18),R18&gt;1,P18&gt;0),R18/P18-1,"")</f>
        <v>0.71643091129366</v>
      </c>
    </row>
    <row r="19" customFormat="false" ht="15" hidden="false" customHeight="false" outlineLevel="0" collapsed="false">
      <c r="A19" s="10" t="s">
        <v>76</v>
      </c>
      <c r="B19" s="10" t="s">
        <v>37</v>
      </c>
      <c r="C19" s="10" t="s">
        <v>77</v>
      </c>
      <c r="D19" s="10" t="s">
        <v>431</v>
      </c>
      <c r="E19" s="11" t="n">
        <v>20</v>
      </c>
      <c r="F19" s="10" t="s">
        <v>291</v>
      </c>
      <c r="G19" s="7" t="n">
        <v>12</v>
      </c>
      <c r="H19" s="10" t="s">
        <v>436</v>
      </c>
      <c r="I19" s="10" t="s">
        <v>53</v>
      </c>
      <c r="J19" s="10" t="s">
        <v>437</v>
      </c>
      <c r="K19" s="7" t="n">
        <v>3</v>
      </c>
      <c r="L19" s="7" t="n">
        <v>120</v>
      </c>
      <c r="M19" s="7" t="n">
        <v>8</v>
      </c>
      <c r="N19" s="7" t="n">
        <v>18</v>
      </c>
      <c r="O19" s="7" t="n">
        <v>4</v>
      </c>
      <c r="P19" s="8" t="n">
        <v>8.89247352306103</v>
      </c>
      <c r="Q19" s="9" t="n">
        <v>0.112454650262009</v>
      </c>
      <c r="R19" s="8" t="n">
        <v>10</v>
      </c>
      <c r="S19" s="12" t="n">
        <f aca="false">IF(AND(ISNUMBER(R19),R19&gt;1,P19&gt;0),R19/P19-1,"")</f>
        <v>0.124546502620087</v>
      </c>
    </row>
    <row r="20" customFormat="false" ht="15" hidden="false" customHeight="false" outlineLevel="0" collapsed="false">
      <c r="A20" s="10" t="s">
        <v>76</v>
      </c>
      <c r="B20" s="10" t="s">
        <v>37</v>
      </c>
      <c r="C20" s="10" t="s">
        <v>77</v>
      </c>
      <c r="D20" s="10" t="s">
        <v>431</v>
      </c>
      <c r="E20" s="11" t="n">
        <v>20</v>
      </c>
      <c r="F20" s="10" t="s">
        <v>291</v>
      </c>
      <c r="G20" s="7" t="n">
        <v>12</v>
      </c>
      <c r="H20" s="10" t="s">
        <v>438</v>
      </c>
      <c r="I20" s="10" t="s">
        <v>439</v>
      </c>
      <c r="J20" s="10" t="s">
        <v>440</v>
      </c>
      <c r="K20" s="7" t="n">
        <v>10</v>
      </c>
      <c r="L20" s="7" t="n">
        <v>110</v>
      </c>
      <c r="M20" s="7" t="n">
        <v>6</v>
      </c>
      <c r="N20" s="7" t="n">
        <v>128</v>
      </c>
      <c r="O20" s="7" t="n">
        <v>5</v>
      </c>
      <c r="P20" s="8" t="n">
        <v>9.68637023572297</v>
      </c>
      <c r="Q20" s="9" t="n">
        <v>0.103237846134772</v>
      </c>
      <c r="R20" s="8" t="n">
        <v>7.5</v>
      </c>
      <c r="S20" s="12" t="n">
        <f aca="false">IF(AND(ISNUMBER(R20),R20&gt;1,P20&gt;0),R20/P20-1,"")</f>
        <v>-0.225716153989212</v>
      </c>
    </row>
    <row r="21" customFormat="false" ht="15" hidden="false" customHeight="false" outlineLevel="0" collapsed="false">
      <c r="A21" s="10" t="s">
        <v>76</v>
      </c>
      <c r="B21" s="10" t="s">
        <v>37</v>
      </c>
      <c r="C21" s="10" t="s">
        <v>77</v>
      </c>
      <c r="D21" s="10" t="s">
        <v>431</v>
      </c>
      <c r="E21" s="11" t="n">
        <v>20</v>
      </c>
      <c r="F21" s="10" t="s">
        <v>291</v>
      </c>
      <c r="G21" s="7" t="n">
        <v>12</v>
      </c>
      <c r="H21" s="10" t="s">
        <v>441</v>
      </c>
      <c r="I21" s="10" t="s">
        <v>344</v>
      </c>
      <c r="J21" s="10" t="s">
        <v>442</v>
      </c>
      <c r="K21" s="7" t="n">
        <v>4</v>
      </c>
      <c r="L21" s="7" t="n">
        <v>117</v>
      </c>
      <c r="M21" s="7" t="n">
        <v>8</v>
      </c>
      <c r="N21" s="7" t="n">
        <v>33</v>
      </c>
      <c r="O21" s="7" t="n">
        <v>6</v>
      </c>
      <c r="P21" s="8" t="n">
        <v>10.3890322068373</v>
      </c>
      <c r="Q21" s="9" t="n">
        <v>0.0962553566194425</v>
      </c>
      <c r="R21" s="8" t="n">
        <v>11</v>
      </c>
      <c r="S21" s="12" t="n">
        <f aca="false">IF(AND(ISNUMBER(R21),R21&gt;1,P21&gt;0),R21/P21-1,"")</f>
        <v>0.0588089228138675</v>
      </c>
    </row>
    <row r="22" customFormat="false" ht="15" hidden="false" customHeight="false" outlineLevel="0" collapsed="false">
      <c r="A22" s="10" t="s">
        <v>76</v>
      </c>
      <c r="B22" s="10" t="s">
        <v>37</v>
      </c>
      <c r="C22" s="10" t="s">
        <v>77</v>
      </c>
      <c r="D22" s="10" t="s">
        <v>431</v>
      </c>
      <c r="E22" s="11" t="n">
        <v>20</v>
      </c>
      <c r="F22" s="10" t="s">
        <v>291</v>
      </c>
      <c r="G22" s="7" t="n">
        <v>12</v>
      </c>
      <c r="H22" s="10" t="s">
        <v>443</v>
      </c>
      <c r="I22" s="10" t="s">
        <v>121</v>
      </c>
      <c r="J22" s="10" t="s">
        <v>122</v>
      </c>
      <c r="K22" s="7" t="n">
        <v>6</v>
      </c>
      <c r="L22" s="7" t="n">
        <v>115</v>
      </c>
      <c r="M22" s="7" t="n">
        <v>6</v>
      </c>
      <c r="N22" s="7" t="n">
        <v>27</v>
      </c>
      <c r="O22" s="7" t="n">
        <v>7</v>
      </c>
      <c r="P22" s="8" t="n">
        <v>16.3708075021557</v>
      </c>
      <c r="Q22" s="9" t="n">
        <v>0.0610843417386905</v>
      </c>
      <c r="R22" s="8" t="n">
        <v>4</v>
      </c>
      <c r="S22" s="12" t="n">
        <f aca="false">IF(AND(ISNUMBER(R22),R22&gt;1,P22&gt;0),R22/P22-1,"")</f>
        <v>-0.755662633045238</v>
      </c>
    </row>
    <row r="23" customFormat="false" ht="15" hidden="false" customHeight="false" outlineLevel="0" collapsed="false">
      <c r="A23" s="10" t="s">
        <v>76</v>
      </c>
      <c r="B23" s="10" t="s">
        <v>37</v>
      </c>
      <c r="C23" s="10" t="s">
        <v>77</v>
      </c>
      <c r="D23" s="10" t="s">
        <v>431</v>
      </c>
      <c r="E23" s="11" t="n">
        <v>20</v>
      </c>
      <c r="F23" s="10" t="s">
        <v>291</v>
      </c>
      <c r="G23" s="7" t="n">
        <v>12</v>
      </c>
      <c r="H23" s="10" t="s">
        <v>444</v>
      </c>
      <c r="I23" s="10" t="s">
        <v>445</v>
      </c>
      <c r="J23" s="10" t="s">
        <v>202</v>
      </c>
      <c r="K23" s="7" t="n">
        <v>5</v>
      </c>
      <c r="L23" s="7" t="n">
        <v>117</v>
      </c>
      <c r="M23" s="7" t="n">
        <v>7</v>
      </c>
      <c r="N23" s="7" t="n">
        <v>17</v>
      </c>
      <c r="O23" s="7" t="n">
        <v>8</v>
      </c>
      <c r="P23" s="8" t="n">
        <v>17.5004689403169</v>
      </c>
      <c r="Q23" s="9" t="n">
        <v>0.0571413259501999</v>
      </c>
      <c r="R23" s="8" t="n">
        <v>10</v>
      </c>
      <c r="S23" s="12" t="n">
        <f aca="false">IF(AND(ISNUMBER(R23),R23&gt;1,P23&gt;0),R23/P23-1,"")</f>
        <v>-0.428586740498001</v>
      </c>
    </row>
    <row r="24" customFormat="false" ht="15" hidden="false" customHeight="false" outlineLevel="0" collapsed="false">
      <c r="A24" s="10" t="s">
        <v>76</v>
      </c>
      <c r="B24" s="10" t="s">
        <v>37</v>
      </c>
      <c r="C24" s="10" t="s">
        <v>77</v>
      </c>
      <c r="D24" s="10" t="s">
        <v>431</v>
      </c>
      <c r="E24" s="11" t="n">
        <v>20</v>
      </c>
      <c r="F24" s="10" t="s">
        <v>291</v>
      </c>
      <c r="G24" s="7" t="n">
        <v>12</v>
      </c>
      <c r="H24" s="10" t="s">
        <v>446</v>
      </c>
      <c r="I24" s="10" t="s">
        <v>447</v>
      </c>
      <c r="J24" s="10" t="s">
        <v>448</v>
      </c>
      <c r="K24" s="7" t="n">
        <v>1</v>
      </c>
      <c r="L24" s="7" t="n">
        <v>124</v>
      </c>
      <c r="M24" s="7" t="n">
        <v>6</v>
      </c>
      <c r="N24" s="7" t="n">
        <v>15</v>
      </c>
      <c r="O24" s="7" t="n">
        <v>9</v>
      </c>
      <c r="P24" s="8" t="n">
        <v>21.7777355062862</v>
      </c>
      <c r="Q24" s="9" t="n">
        <v>0.0459184564764021</v>
      </c>
      <c r="R24" s="8" t="n">
        <v>21</v>
      </c>
      <c r="S24" s="12" t="n">
        <f aca="false">IF(AND(ISNUMBER(R24),R24&gt;1,P24&gt;0),R24/P24-1,"")</f>
        <v>-0.0357124139955546</v>
      </c>
    </row>
    <row r="25" customFormat="false" ht="15" hidden="false" customHeight="false" outlineLevel="0" collapsed="false">
      <c r="A25" s="10" t="s">
        <v>76</v>
      </c>
      <c r="B25" s="10" t="s">
        <v>37</v>
      </c>
      <c r="C25" s="10" t="s">
        <v>77</v>
      </c>
      <c r="D25" s="10" t="s">
        <v>431</v>
      </c>
      <c r="E25" s="11" t="n">
        <v>20</v>
      </c>
      <c r="F25" s="10" t="s">
        <v>291</v>
      </c>
      <c r="G25" s="7" t="n">
        <v>12</v>
      </c>
      <c r="H25" s="10" t="s">
        <v>449</v>
      </c>
      <c r="I25" s="10" t="s">
        <v>304</v>
      </c>
      <c r="J25" s="10" t="s">
        <v>448</v>
      </c>
      <c r="K25" s="7" t="n">
        <v>11</v>
      </c>
      <c r="L25" s="7" t="n">
        <v>109</v>
      </c>
      <c r="M25" s="7" t="n">
        <v>4</v>
      </c>
      <c r="N25" s="7" t="n">
        <v>19</v>
      </c>
      <c r="O25" s="7" t="n">
        <v>10</v>
      </c>
      <c r="P25" s="8" t="n">
        <v>30.1455874975192</v>
      </c>
      <c r="Q25" s="9" t="n">
        <v>0.0331723506825764</v>
      </c>
      <c r="R25" s="8" t="n">
        <v>21</v>
      </c>
      <c r="S25" s="12" t="n">
        <f aca="false">IF(AND(ISNUMBER(R25),R25&gt;1,P25&gt;0),R25/P25-1,"")</f>
        <v>-0.303380635665894</v>
      </c>
    </row>
    <row r="26" customFormat="false" ht="15" hidden="false" customHeight="false" outlineLevel="0" collapsed="false">
      <c r="A26" s="10" t="s">
        <v>76</v>
      </c>
      <c r="B26" s="10" t="s">
        <v>37</v>
      </c>
      <c r="C26" s="10" t="s">
        <v>77</v>
      </c>
      <c r="D26" s="10" t="s">
        <v>431</v>
      </c>
      <c r="E26" s="11" t="n">
        <v>20</v>
      </c>
      <c r="F26" s="10" t="s">
        <v>291</v>
      </c>
      <c r="G26" s="7" t="n">
        <v>12</v>
      </c>
      <c r="H26" s="10" t="s">
        <v>450</v>
      </c>
      <c r="I26" s="10" t="s">
        <v>451</v>
      </c>
      <c r="J26" s="10" t="s">
        <v>452</v>
      </c>
      <c r="K26" s="7" t="n">
        <v>2</v>
      </c>
      <c r="L26" s="7" t="n">
        <v>120</v>
      </c>
      <c r="M26" s="7" t="n">
        <v>10</v>
      </c>
      <c r="N26" s="7" t="n">
        <v>33</v>
      </c>
      <c r="O26" s="7" t="n">
        <v>11</v>
      </c>
      <c r="P26" s="8" t="n">
        <v>60.6192516605249</v>
      </c>
      <c r="Q26" s="9" t="n">
        <v>0.0164964095168993</v>
      </c>
      <c r="R26" s="8" t="n">
        <v>51</v>
      </c>
      <c r="S26" s="12" t="n">
        <f aca="false">IF(AND(ISNUMBER(R26),R26&gt;1,P26&gt;0),R26/P26-1,"")</f>
        <v>-0.158683114638133</v>
      </c>
    </row>
    <row r="27" customFormat="false" ht="15" hidden="false" customHeight="false" outlineLevel="0" collapsed="false">
      <c r="A27" s="10" t="s">
        <v>76</v>
      </c>
      <c r="B27" s="10" t="s">
        <v>37</v>
      </c>
      <c r="C27" s="10" t="s">
        <v>77</v>
      </c>
      <c r="D27" s="10" t="s">
        <v>431</v>
      </c>
      <c r="E27" s="11" t="n">
        <v>20</v>
      </c>
      <c r="F27" s="10" t="s">
        <v>291</v>
      </c>
      <c r="G27" s="7" t="n">
        <v>12</v>
      </c>
      <c r="H27" s="10" t="s">
        <v>453</v>
      </c>
      <c r="I27" s="10" t="s">
        <v>310</v>
      </c>
      <c r="J27" s="10" t="s">
        <v>454</v>
      </c>
      <c r="K27" s="7" t="n">
        <v>12</v>
      </c>
      <c r="L27" s="7" t="n">
        <v>98</v>
      </c>
      <c r="M27" s="7" t="n">
        <v>7</v>
      </c>
      <c r="N27" s="7" t="n">
        <v>17</v>
      </c>
      <c r="O27" s="7" t="n">
        <v>12</v>
      </c>
      <c r="P27" s="8" t="n">
        <v>148.660940747264</v>
      </c>
      <c r="Q27" s="9" t="n">
        <v>0.0067267164796171</v>
      </c>
      <c r="R27" s="8" t="n">
        <v>67</v>
      </c>
      <c r="S27" s="12" t="n">
        <f aca="false">IF(AND(ISNUMBER(R27),R27&gt;1,P27&gt;0),R27/P27-1,"")</f>
        <v>-0.549309995865654</v>
      </c>
    </row>
    <row r="28" customFormat="false" ht="15" hidden="false" customHeight="false" outlineLevel="0" collapsed="false">
      <c r="A28" s="10" t="s">
        <v>98</v>
      </c>
      <c r="B28" s="10" t="s">
        <v>37</v>
      </c>
      <c r="C28" s="10" t="s">
        <v>99</v>
      </c>
      <c r="D28" s="10" t="s">
        <v>431</v>
      </c>
      <c r="E28" s="11" t="n">
        <v>20</v>
      </c>
      <c r="F28" s="10" t="s">
        <v>291</v>
      </c>
      <c r="G28" s="7" t="n">
        <v>16</v>
      </c>
      <c r="H28" s="10" t="s">
        <v>100</v>
      </c>
      <c r="I28" s="10" t="s">
        <v>53</v>
      </c>
      <c r="J28" s="10" t="s">
        <v>54</v>
      </c>
      <c r="K28" s="7" t="n">
        <v>1</v>
      </c>
      <c r="L28" s="7" t="n">
        <v>124</v>
      </c>
      <c r="M28" s="7" t="n">
        <v>5</v>
      </c>
      <c r="N28" s="7" t="n">
        <v>37</v>
      </c>
      <c r="O28" s="7" t="n">
        <v>1</v>
      </c>
      <c r="P28" s="8" t="n">
        <v>5.32337520976979</v>
      </c>
      <c r="Q28" s="9" t="n">
        <v>0.187850745174741</v>
      </c>
      <c r="R28" s="8" t="n">
        <v>5.5</v>
      </c>
      <c r="S28" s="12" t="n">
        <f aca="false">IF(AND(ISNUMBER(R28),R28&gt;1,P28&gt;0),R28/P28-1,"")</f>
        <v>0.0331790984610765</v>
      </c>
    </row>
    <row r="29" customFormat="false" ht="15" hidden="false" customHeight="false" outlineLevel="0" collapsed="false">
      <c r="A29" s="10" t="s">
        <v>98</v>
      </c>
      <c r="B29" s="10" t="s">
        <v>37</v>
      </c>
      <c r="C29" s="10" t="s">
        <v>99</v>
      </c>
      <c r="D29" s="10" t="s">
        <v>431</v>
      </c>
      <c r="E29" s="11" t="n">
        <v>20</v>
      </c>
      <c r="F29" s="10" t="s">
        <v>291</v>
      </c>
      <c r="G29" s="7" t="n">
        <v>16</v>
      </c>
      <c r="H29" s="10" t="s">
        <v>101</v>
      </c>
      <c r="I29" s="10" t="s">
        <v>121</v>
      </c>
      <c r="J29" s="10" t="s">
        <v>122</v>
      </c>
      <c r="K29" s="7" t="n">
        <v>8</v>
      </c>
      <c r="L29" s="7" t="n">
        <v>114</v>
      </c>
      <c r="M29" s="7" t="n">
        <v>4</v>
      </c>
      <c r="N29" s="7" t="n">
        <v>33</v>
      </c>
      <c r="O29" s="7" t="n">
        <v>2</v>
      </c>
      <c r="P29" s="8" t="n">
        <v>5.39357548975352</v>
      </c>
      <c r="Q29" s="9" t="n">
        <v>0.185405766897999</v>
      </c>
      <c r="R29" s="8" t="n">
        <v>4.33333333333333</v>
      </c>
      <c r="S29" s="12" t="n">
        <f aca="false">IF(AND(ISNUMBER(R29),R29&gt;1,P29&gt;0),R29/P29-1,"")</f>
        <v>-0.196575010108673</v>
      </c>
    </row>
    <row r="30" customFormat="false" ht="15" hidden="false" customHeight="false" outlineLevel="0" collapsed="false">
      <c r="A30" s="10" t="s">
        <v>98</v>
      </c>
      <c r="B30" s="10" t="s">
        <v>37</v>
      </c>
      <c r="C30" s="10" t="s">
        <v>99</v>
      </c>
      <c r="D30" s="10" t="s">
        <v>431</v>
      </c>
      <c r="E30" s="11" t="n">
        <v>20</v>
      </c>
      <c r="F30" s="10" t="s">
        <v>291</v>
      </c>
      <c r="G30" s="7" t="n">
        <v>16</v>
      </c>
      <c r="H30" s="10" t="s">
        <v>523</v>
      </c>
      <c r="I30" s="10" t="s">
        <v>524</v>
      </c>
      <c r="J30" s="10" t="s">
        <v>54</v>
      </c>
      <c r="K30" s="7" t="n">
        <v>2</v>
      </c>
      <c r="L30" s="7" t="n">
        <v>120</v>
      </c>
      <c r="M30" s="7" t="n">
        <v>5</v>
      </c>
      <c r="N30" s="7" t="n">
        <v>33</v>
      </c>
      <c r="O30" s="7" t="n">
        <v>3</v>
      </c>
      <c r="P30" s="8" t="n">
        <v>8.79010098914782</v>
      </c>
      <c r="Q30" s="9" t="n">
        <v>0.113764335726585</v>
      </c>
      <c r="R30" s="8" t="n">
        <v>12</v>
      </c>
      <c r="S30" s="12" t="n">
        <f aca="false">IF(AND(ISNUMBER(R30),R30&gt;1,P30&gt;0),R30/P30-1,"")</f>
        <v>0.365172028719021</v>
      </c>
    </row>
    <row r="31" customFormat="false" ht="15" hidden="false" customHeight="false" outlineLevel="0" collapsed="false">
      <c r="A31" s="10" t="s">
        <v>98</v>
      </c>
      <c r="B31" s="10" t="s">
        <v>37</v>
      </c>
      <c r="C31" s="10" t="s">
        <v>99</v>
      </c>
      <c r="D31" s="10" t="s">
        <v>431</v>
      </c>
      <c r="E31" s="11" t="n">
        <v>20</v>
      </c>
      <c r="F31" s="10" t="s">
        <v>291</v>
      </c>
      <c r="G31" s="7" t="n">
        <v>16</v>
      </c>
      <c r="H31" s="10" t="s">
        <v>525</v>
      </c>
      <c r="I31" s="10" t="s">
        <v>526</v>
      </c>
      <c r="J31" s="10" t="s">
        <v>122</v>
      </c>
      <c r="K31" s="7" t="n">
        <v>5</v>
      </c>
      <c r="L31" s="7" t="n">
        <v>119</v>
      </c>
      <c r="M31" s="7" t="n">
        <v>4</v>
      </c>
      <c r="N31" s="7" t="n">
        <v>37</v>
      </c>
      <c r="O31" s="7" t="n">
        <v>4</v>
      </c>
      <c r="P31" s="8" t="n">
        <v>8.85073605656582</v>
      </c>
      <c r="Q31" s="9" t="n">
        <v>0.112984953297546</v>
      </c>
      <c r="R31" s="8" t="n">
        <v>11</v>
      </c>
      <c r="S31" s="12" t="n">
        <f aca="false">IF(AND(ISNUMBER(R31),R31&gt;1,P31&gt;0),R31/P31-1,"")</f>
        <v>0.242834486273011</v>
      </c>
    </row>
    <row r="32" customFormat="false" ht="15" hidden="false" customHeight="false" outlineLevel="0" collapsed="false">
      <c r="A32" s="10" t="s">
        <v>98</v>
      </c>
      <c r="B32" s="10" t="s">
        <v>37</v>
      </c>
      <c r="C32" s="10" t="s">
        <v>99</v>
      </c>
      <c r="D32" s="10" t="s">
        <v>431</v>
      </c>
      <c r="E32" s="11" t="n">
        <v>20</v>
      </c>
      <c r="F32" s="10" t="s">
        <v>291</v>
      </c>
      <c r="G32" s="7" t="n">
        <v>16</v>
      </c>
      <c r="H32" s="10" t="s">
        <v>527</v>
      </c>
      <c r="I32" s="10" t="s">
        <v>528</v>
      </c>
      <c r="J32" s="10" t="s">
        <v>529</v>
      </c>
      <c r="K32" s="7" t="n">
        <v>6</v>
      </c>
      <c r="L32" s="7" t="n">
        <v>116</v>
      </c>
      <c r="M32" s="7" t="n">
        <v>6</v>
      </c>
      <c r="N32" s="7" t="n">
        <v>15</v>
      </c>
      <c r="O32" s="7" t="n">
        <v>5</v>
      </c>
      <c r="P32" s="8" t="n">
        <v>10.9045007029254</v>
      </c>
      <c r="Q32" s="9" t="n">
        <v>0.091705253385121</v>
      </c>
      <c r="R32" s="8" t="n">
        <v>8</v>
      </c>
      <c r="S32" s="12" t="n">
        <f aca="false">IF(AND(ISNUMBER(R32),R32&gt;1,P32&gt;0),R32/P32-1,"")</f>
        <v>-0.266357972919032</v>
      </c>
    </row>
    <row r="33" customFormat="false" ht="15" hidden="false" customHeight="false" outlineLevel="0" collapsed="false">
      <c r="A33" s="10" t="s">
        <v>98</v>
      </c>
      <c r="B33" s="10" t="s">
        <v>37</v>
      </c>
      <c r="C33" s="10" t="s">
        <v>99</v>
      </c>
      <c r="D33" s="10" t="s">
        <v>431</v>
      </c>
      <c r="E33" s="11" t="n">
        <v>20</v>
      </c>
      <c r="F33" s="10" t="s">
        <v>291</v>
      </c>
      <c r="G33" s="7" t="n">
        <v>16</v>
      </c>
      <c r="H33" s="10" t="s">
        <v>530</v>
      </c>
      <c r="I33" s="10" t="s">
        <v>434</v>
      </c>
      <c r="J33" s="10" t="s">
        <v>435</v>
      </c>
      <c r="K33" s="7" t="n">
        <v>3</v>
      </c>
      <c r="L33" s="7" t="n">
        <v>117</v>
      </c>
      <c r="M33" s="7" t="n">
        <v>9</v>
      </c>
      <c r="N33" s="7" t="n">
        <v>77</v>
      </c>
      <c r="O33" s="7" t="n">
        <v>6</v>
      </c>
      <c r="P33" s="8" t="n">
        <v>14.2431483043706</v>
      </c>
      <c r="Q33" s="9" t="n">
        <v>0.0702091966347879</v>
      </c>
      <c r="R33" s="8" t="n">
        <v>23</v>
      </c>
      <c r="S33" s="12" t="n">
        <f aca="false">IF(AND(ISNUMBER(R33),R33&gt;1,P33&gt;0),R33/P33-1,"")</f>
        <v>0.614811522600123</v>
      </c>
    </row>
    <row r="34" customFormat="false" ht="15" hidden="false" customHeight="false" outlineLevel="0" collapsed="false">
      <c r="A34" s="10" t="s">
        <v>98</v>
      </c>
      <c r="B34" s="10" t="s">
        <v>37</v>
      </c>
      <c r="C34" s="10" t="s">
        <v>99</v>
      </c>
      <c r="D34" s="10" t="s">
        <v>431</v>
      </c>
      <c r="E34" s="11" t="n">
        <v>20</v>
      </c>
      <c r="F34" s="10" t="s">
        <v>291</v>
      </c>
      <c r="G34" s="7" t="n">
        <v>16</v>
      </c>
      <c r="H34" s="10" t="s">
        <v>531</v>
      </c>
      <c r="I34" s="10" t="s">
        <v>532</v>
      </c>
      <c r="J34" s="10" t="s">
        <v>202</v>
      </c>
      <c r="K34" s="7" t="n">
        <v>15</v>
      </c>
      <c r="L34" s="7" t="n">
        <v>104</v>
      </c>
      <c r="M34" s="7" t="n">
        <v>5</v>
      </c>
      <c r="N34" s="7" t="n">
        <v>19</v>
      </c>
      <c r="O34" s="7" t="n">
        <v>7</v>
      </c>
      <c r="P34" s="8" t="n">
        <v>29.7208526957269</v>
      </c>
      <c r="Q34" s="9" t="n">
        <v>0.0336464101564547</v>
      </c>
      <c r="R34" s="8" t="n">
        <v>11</v>
      </c>
      <c r="S34" s="12" t="n">
        <f aca="false">IF(AND(ISNUMBER(R34),R34&gt;1,P34&gt;0),R34/P34-1,"")</f>
        <v>-0.629889488278998</v>
      </c>
    </row>
    <row r="35" customFormat="false" ht="15" hidden="false" customHeight="false" outlineLevel="0" collapsed="false">
      <c r="A35" s="10" t="s">
        <v>98</v>
      </c>
      <c r="B35" s="10" t="s">
        <v>37</v>
      </c>
      <c r="C35" s="10" t="s">
        <v>99</v>
      </c>
      <c r="D35" s="10" t="s">
        <v>431</v>
      </c>
      <c r="E35" s="11" t="n">
        <v>20</v>
      </c>
      <c r="F35" s="10" t="s">
        <v>291</v>
      </c>
      <c r="G35" s="7" t="n">
        <v>16</v>
      </c>
      <c r="H35" s="10" t="s">
        <v>533</v>
      </c>
      <c r="I35" s="10" t="s">
        <v>534</v>
      </c>
      <c r="J35" s="10" t="s">
        <v>535</v>
      </c>
      <c r="K35" s="7" t="n">
        <v>14</v>
      </c>
      <c r="L35" s="7" t="n">
        <v>105</v>
      </c>
      <c r="M35" s="7" t="n">
        <v>5</v>
      </c>
      <c r="N35" s="7" t="n">
        <v>65</v>
      </c>
      <c r="O35" s="7" t="n">
        <v>8</v>
      </c>
      <c r="P35" s="8" t="n">
        <v>32.2592945697365</v>
      </c>
      <c r="Q35" s="9" t="n">
        <v>0.0309988179635562</v>
      </c>
      <c r="R35" s="8" t="n">
        <v>19</v>
      </c>
      <c r="S35" s="12" t="n">
        <f aca="false">IF(AND(ISNUMBER(R35),R35&gt;1,P35&gt;0),R35/P35-1,"")</f>
        <v>-0.411022458692431</v>
      </c>
    </row>
    <row r="36" customFormat="false" ht="15" hidden="false" customHeight="false" outlineLevel="0" collapsed="false">
      <c r="A36" s="10" t="s">
        <v>98</v>
      </c>
      <c r="B36" s="10" t="s">
        <v>37</v>
      </c>
      <c r="C36" s="10" t="s">
        <v>99</v>
      </c>
      <c r="D36" s="10" t="s">
        <v>431</v>
      </c>
      <c r="E36" s="11" t="n">
        <v>20</v>
      </c>
      <c r="F36" s="10" t="s">
        <v>291</v>
      </c>
      <c r="G36" s="7" t="n">
        <v>16</v>
      </c>
      <c r="H36" s="10" t="s">
        <v>536</v>
      </c>
      <c r="I36" s="10" t="s">
        <v>347</v>
      </c>
      <c r="J36" s="10" t="s">
        <v>348</v>
      </c>
      <c r="K36" s="7" t="n">
        <v>9</v>
      </c>
      <c r="L36" s="7" t="n">
        <v>110</v>
      </c>
      <c r="M36" s="7" t="n">
        <v>5</v>
      </c>
      <c r="N36" s="7" t="n">
        <v>17</v>
      </c>
      <c r="O36" s="7" t="n">
        <v>9</v>
      </c>
      <c r="P36" s="8" t="n">
        <v>33.337369428312</v>
      </c>
      <c r="Q36" s="9" t="n">
        <v>0.0299963679542976</v>
      </c>
      <c r="R36" s="8" t="n">
        <v>23</v>
      </c>
      <c r="S36" s="12" t="n">
        <f aca="false">IF(AND(ISNUMBER(R36),R36&gt;1,P36&gt;0),R36/P36-1,"")</f>
        <v>-0.310083537051154</v>
      </c>
    </row>
    <row r="37" customFormat="false" ht="15" hidden="false" customHeight="false" outlineLevel="0" collapsed="false">
      <c r="A37" s="10" t="s">
        <v>98</v>
      </c>
      <c r="B37" s="10" t="s">
        <v>37</v>
      </c>
      <c r="C37" s="10" t="s">
        <v>99</v>
      </c>
      <c r="D37" s="10" t="s">
        <v>431</v>
      </c>
      <c r="E37" s="11" t="n">
        <v>20</v>
      </c>
      <c r="F37" s="10" t="s">
        <v>291</v>
      </c>
      <c r="G37" s="7" t="n">
        <v>16</v>
      </c>
      <c r="H37" s="10" t="s">
        <v>537</v>
      </c>
      <c r="I37" s="10" t="s">
        <v>445</v>
      </c>
      <c r="J37" s="10" t="s">
        <v>202</v>
      </c>
      <c r="K37" s="7" t="n">
        <v>13</v>
      </c>
      <c r="L37" s="7" t="n">
        <v>108</v>
      </c>
      <c r="M37" s="7" t="n">
        <v>4</v>
      </c>
      <c r="N37" s="7" t="n">
        <v>37</v>
      </c>
      <c r="O37" s="7" t="n">
        <v>10</v>
      </c>
      <c r="P37" s="8" t="n">
        <v>39.0935024672448</v>
      </c>
      <c r="Q37" s="9" t="n">
        <v>0.0255796983357494</v>
      </c>
      <c r="R37" s="8" t="n">
        <v>9.5</v>
      </c>
      <c r="S37" s="12" t="n">
        <f aca="false">IF(AND(ISNUMBER(R37),R37&gt;1,P37&gt;0),R37/P37-1,"")</f>
        <v>-0.75699286581038</v>
      </c>
    </row>
    <row r="38" customFormat="false" ht="15" hidden="false" customHeight="false" outlineLevel="0" collapsed="false">
      <c r="A38" s="10" t="s">
        <v>98</v>
      </c>
      <c r="B38" s="10" t="s">
        <v>37</v>
      </c>
      <c r="C38" s="10" t="s">
        <v>99</v>
      </c>
      <c r="D38" s="10" t="s">
        <v>431</v>
      </c>
      <c r="E38" s="11" t="n">
        <v>20</v>
      </c>
      <c r="F38" s="10" t="s">
        <v>291</v>
      </c>
      <c r="G38" s="7" t="n">
        <v>16</v>
      </c>
      <c r="H38" s="10" t="s">
        <v>538</v>
      </c>
      <c r="I38" s="10" t="s">
        <v>344</v>
      </c>
      <c r="J38" s="10" t="s">
        <v>345</v>
      </c>
      <c r="K38" s="7" t="n">
        <v>11</v>
      </c>
      <c r="L38" s="7" t="n">
        <v>112</v>
      </c>
      <c r="M38" s="7" t="n">
        <v>4</v>
      </c>
      <c r="N38" s="7" t="n">
        <v>21</v>
      </c>
      <c r="O38" s="7" t="n">
        <v>11</v>
      </c>
      <c r="P38" s="8" t="n">
        <v>39.9648646176853</v>
      </c>
      <c r="Q38" s="9" t="n">
        <v>0.0250219789198905</v>
      </c>
      <c r="R38" s="8" t="n">
        <v>15</v>
      </c>
      <c r="S38" s="12" t="n">
        <f aca="false">IF(AND(ISNUMBER(R38),R38&gt;1,P38&gt;0),R38/P38-1,"")</f>
        <v>-0.624670316201643</v>
      </c>
    </row>
    <row r="39" customFormat="false" ht="15" hidden="false" customHeight="false" outlineLevel="0" collapsed="false">
      <c r="A39" s="10" t="s">
        <v>98</v>
      </c>
      <c r="B39" s="10" t="s">
        <v>37</v>
      </c>
      <c r="C39" s="10" t="s">
        <v>99</v>
      </c>
      <c r="D39" s="10" t="s">
        <v>431</v>
      </c>
      <c r="E39" s="11" t="n">
        <v>20</v>
      </c>
      <c r="F39" s="10" t="s">
        <v>291</v>
      </c>
      <c r="G39" s="7" t="n">
        <v>16</v>
      </c>
      <c r="H39" s="10" t="s">
        <v>539</v>
      </c>
      <c r="I39" s="10" t="s">
        <v>298</v>
      </c>
      <c r="J39" s="10" t="s">
        <v>540</v>
      </c>
      <c r="K39" s="7" t="n">
        <v>7</v>
      </c>
      <c r="L39" s="7" t="n">
        <v>116</v>
      </c>
      <c r="M39" s="7" t="n">
        <v>5</v>
      </c>
      <c r="N39" s="7" t="n">
        <v>111</v>
      </c>
      <c r="O39" s="7" t="n">
        <v>12</v>
      </c>
      <c r="P39" s="8" t="n">
        <v>40.6579794687215</v>
      </c>
      <c r="Q39" s="9" t="n">
        <v>0.0245954179983121</v>
      </c>
      <c r="R39" s="8" t="n">
        <v>17</v>
      </c>
      <c r="S39" s="12" t="n">
        <f aca="false">IF(AND(ISNUMBER(R39),R39&gt;1,P39&gt;0),R39/P39-1,"")</f>
        <v>-0.581877894028693</v>
      </c>
    </row>
    <row r="40" customFormat="false" ht="15" hidden="false" customHeight="false" outlineLevel="0" collapsed="false">
      <c r="A40" s="10" t="s">
        <v>98</v>
      </c>
      <c r="B40" s="10" t="s">
        <v>37</v>
      </c>
      <c r="C40" s="10" t="s">
        <v>99</v>
      </c>
      <c r="D40" s="10" t="s">
        <v>431</v>
      </c>
      <c r="E40" s="11" t="n">
        <v>20</v>
      </c>
      <c r="F40" s="10" t="s">
        <v>291</v>
      </c>
      <c r="G40" s="7" t="n">
        <v>16</v>
      </c>
      <c r="H40" s="10" t="s">
        <v>541</v>
      </c>
      <c r="I40" s="10" t="s">
        <v>295</v>
      </c>
      <c r="J40" s="10" t="s">
        <v>152</v>
      </c>
      <c r="K40" s="7" t="n">
        <v>10</v>
      </c>
      <c r="L40" s="7" t="n">
        <v>110</v>
      </c>
      <c r="M40" s="7" t="n">
        <v>5</v>
      </c>
      <c r="N40" s="7" t="n">
        <v>13</v>
      </c>
      <c r="O40" s="7" t="n">
        <v>13</v>
      </c>
      <c r="P40" s="8" t="n">
        <v>42.5167404307283</v>
      </c>
      <c r="Q40" s="9" t="n">
        <v>0.0235201473553524</v>
      </c>
      <c r="R40" s="8" t="n">
        <v>17</v>
      </c>
      <c r="S40" s="12" t="n">
        <f aca="false">IF(AND(ISNUMBER(R40),R40&gt;1,P40&gt;0),R40/P40-1,"")</f>
        <v>-0.600157494959008</v>
      </c>
    </row>
    <row r="41" customFormat="false" ht="15" hidden="false" customHeight="false" outlineLevel="0" collapsed="false">
      <c r="A41" s="10" t="s">
        <v>98</v>
      </c>
      <c r="B41" s="10" t="s">
        <v>37</v>
      </c>
      <c r="C41" s="10" t="s">
        <v>99</v>
      </c>
      <c r="D41" s="10" t="s">
        <v>431</v>
      </c>
      <c r="E41" s="11" t="n">
        <v>20</v>
      </c>
      <c r="F41" s="10" t="s">
        <v>291</v>
      </c>
      <c r="G41" s="7" t="n">
        <v>16</v>
      </c>
      <c r="H41" s="10" t="s">
        <v>542</v>
      </c>
      <c r="I41" s="10" t="s">
        <v>543</v>
      </c>
      <c r="J41" s="10" t="s">
        <v>544</v>
      </c>
      <c r="K41" s="7" t="n">
        <v>16</v>
      </c>
      <c r="L41" s="7" t="n">
        <v>98</v>
      </c>
      <c r="M41" s="7" t="n">
        <v>7</v>
      </c>
      <c r="N41" s="7" t="n">
        <v>7</v>
      </c>
      <c r="O41" s="7" t="n">
        <v>14</v>
      </c>
      <c r="P41" s="8" t="n">
        <v>43.6505957498814</v>
      </c>
      <c r="Q41" s="9" t="n">
        <v>0.0229091947731942</v>
      </c>
      <c r="R41" s="8" t="n">
        <v>15</v>
      </c>
      <c r="S41" s="12" t="n">
        <f aca="false">IF(AND(ISNUMBER(R41),R41&gt;1,P41&gt;0),R41/P41-1,"")</f>
        <v>-0.656362078402086</v>
      </c>
    </row>
    <row r="42" customFormat="false" ht="15" hidden="false" customHeight="false" outlineLevel="0" collapsed="false">
      <c r="A42" s="10" t="s">
        <v>98</v>
      </c>
      <c r="B42" s="10" t="s">
        <v>37</v>
      </c>
      <c r="C42" s="10" t="s">
        <v>99</v>
      </c>
      <c r="D42" s="10" t="s">
        <v>431</v>
      </c>
      <c r="E42" s="11" t="n">
        <v>20</v>
      </c>
      <c r="F42" s="10" t="s">
        <v>291</v>
      </c>
      <c r="G42" s="7" t="n">
        <v>16</v>
      </c>
      <c r="H42" s="10" t="s">
        <v>545</v>
      </c>
      <c r="I42" s="10" t="s">
        <v>546</v>
      </c>
      <c r="J42" s="10" t="s">
        <v>163</v>
      </c>
      <c r="K42" s="7" t="n">
        <v>12</v>
      </c>
      <c r="L42" s="7" t="n">
        <v>108</v>
      </c>
      <c r="M42" s="7" t="n">
        <v>6</v>
      </c>
      <c r="N42" s="7" t="n">
        <v>115</v>
      </c>
      <c r="O42" s="7" t="n">
        <v>15</v>
      </c>
      <c r="P42" s="8" t="n">
        <v>75.2052665143438</v>
      </c>
      <c r="Q42" s="9" t="n">
        <v>0.0132969411099589</v>
      </c>
      <c r="R42" s="8" t="n">
        <v>19</v>
      </c>
      <c r="S42" s="12" t="n">
        <f aca="false">IF(AND(ISNUMBER(R42),R42&gt;1,P42&gt;0),R42/P42-1,"")</f>
        <v>-0.747358118910779</v>
      </c>
    </row>
    <row r="43" customFormat="false" ht="15" hidden="false" customHeight="false" outlineLevel="0" collapsed="false">
      <c r="A43" s="10" t="s">
        <v>98</v>
      </c>
      <c r="B43" s="10" t="s">
        <v>37</v>
      </c>
      <c r="C43" s="10" t="s">
        <v>99</v>
      </c>
      <c r="D43" s="10" t="s">
        <v>431</v>
      </c>
      <c r="E43" s="11" t="n">
        <v>20</v>
      </c>
      <c r="F43" s="10" t="s">
        <v>291</v>
      </c>
      <c r="G43" s="7" t="n">
        <v>16</v>
      </c>
      <c r="H43" s="10" t="s">
        <v>547</v>
      </c>
      <c r="I43" s="10" t="s">
        <v>548</v>
      </c>
      <c r="J43" s="10" t="s">
        <v>549</v>
      </c>
      <c r="K43" s="7" t="n">
        <v>4</v>
      </c>
      <c r="L43" s="7" t="n">
        <v>117</v>
      </c>
      <c r="M43" s="7" t="n">
        <v>6</v>
      </c>
      <c r="N43" s="7" t="n">
        <v>33</v>
      </c>
      <c r="O43" s="7" t="n">
        <v>16</v>
      </c>
      <c r="P43" s="8" t="n">
        <v>117.442924830984</v>
      </c>
      <c r="Q43" s="9" t="n">
        <v>0.0085147743164531</v>
      </c>
      <c r="R43" s="8" t="n">
        <v>67</v>
      </c>
      <c r="S43" s="12" t="n">
        <f aca="false">IF(AND(ISNUMBER(R43),R43&gt;1,P43&gt;0),R43/P43-1,"")</f>
        <v>-0.429510120797639</v>
      </c>
    </row>
    <row r="44" customFormat="false" ht="15" hidden="false" customHeight="false" outlineLevel="0" collapsed="false">
      <c r="A44" s="10" t="s">
        <v>118</v>
      </c>
      <c r="B44" s="10" t="s">
        <v>37</v>
      </c>
      <c r="C44" s="10" t="s">
        <v>119</v>
      </c>
      <c r="D44" s="10" t="s">
        <v>508</v>
      </c>
      <c r="E44" s="11" t="n">
        <v>20</v>
      </c>
      <c r="F44" s="10" t="s">
        <v>291</v>
      </c>
      <c r="G44" s="7" t="n">
        <v>9</v>
      </c>
      <c r="H44" s="10" t="s">
        <v>120</v>
      </c>
      <c r="I44" s="10" t="s">
        <v>121</v>
      </c>
      <c r="J44" s="10" t="s">
        <v>122</v>
      </c>
      <c r="K44" s="7" t="n">
        <v>7</v>
      </c>
      <c r="L44" s="7" t="n">
        <v>109</v>
      </c>
      <c r="M44" s="7" t="n">
        <v>4</v>
      </c>
      <c r="N44" s="7" t="n">
        <v>106</v>
      </c>
      <c r="O44" s="7" t="n">
        <v>1</v>
      </c>
      <c r="P44" s="8" t="n">
        <v>1.62655294159896</v>
      </c>
      <c r="Q44" s="9" t="n">
        <v>0.614797080639113</v>
      </c>
      <c r="R44" s="8" t="n">
        <v>1.83333333333333</v>
      </c>
      <c r="S44" s="12" t="n">
        <f aca="false">IF(AND(ISNUMBER(R44),R44&gt;1,P44&gt;0),R44/P44-1,"")</f>
        <v>0.127127981171707</v>
      </c>
    </row>
    <row r="45" customFormat="false" ht="15" hidden="false" customHeight="false" outlineLevel="0" collapsed="false">
      <c r="A45" s="10" t="s">
        <v>118</v>
      </c>
      <c r="B45" s="10" t="s">
        <v>37</v>
      </c>
      <c r="C45" s="10" t="s">
        <v>119</v>
      </c>
      <c r="D45" s="10" t="s">
        <v>508</v>
      </c>
      <c r="E45" s="11" t="n">
        <v>20</v>
      </c>
      <c r="F45" s="10" t="s">
        <v>291</v>
      </c>
      <c r="G45" s="7" t="n">
        <v>9</v>
      </c>
      <c r="H45" s="10" t="s">
        <v>123</v>
      </c>
      <c r="I45" s="10" t="s">
        <v>344</v>
      </c>
      <c r="J45" s="10" t="s">
        <v>345</v>
      </c>
      <c r="K45" s="7" t="n">
        <v>2</v>
      </c>
      <c r="L45" s="7" t="n">
        <v>0</v>
      </c>
      <c r="M45" s="7" t="n">
        <v>5</v>
      </c>
      <c r="N45" s="7" t="n">
        <v>173</v>
      </c>
      <c r="O45" s="7" t="n">
        <v>2</v>
      </c>
      <c r="P45" s="8" t="n">
        <v>5.50032559925874</v>
      </c>
      <c r="Q45" s="9" t="n">
        <v>0.181807418843489</v>
      </c>
      <c r="R45" s="8" t="n">
        <v>4.33333333333333</v>
      </c>
      <c r="S45" s="12" t="n">
        <f aca="false">IF(AND(ISNUMBER(R45),R45&gt;1,P45&gt;0),R45/P45-1,"")</f>
        <v>-0.212167851678214</v>
      </c>
    </row>
    <row r="46" customFormat="false" ht="15" hidden="false" customHeight="false" outlineLevel="0" collapsed="false">
      <c r="A46" s="10" t="s">
        <v>118</v>
      </c>
      <c r="B46" s="10" t="s">
        <v>37</v>
      </c>
      <c r="C46" s="10" t="s">
        <v>119</v>
      </c>
      <c r="D46" s="10" t="s">
        <v>508</v>
      </c>
      <c r="E46" s="11" t="n">
        <v>20</v>
      </c>
      <c r="F46" s="10" t="s">
        <v>291</v>
      </c>
      <c r="G46" s="7" t="n">
        <v>9</v>
      </c>
      <c r="H46" s="10" t="s">
        <v>612</v>
      </c>
      <c r="I46" s="10" t="s">
        <v>295</v>
      </c>
      <c r="J46" s="10" t="s">
        <v>613</v>
      </c>
      <c r="K46" s="7" t="n">
        <v>1</v>
      </c>
      <c r="L46" s="7" t="n">
        <v>108</v>
      </c>
      <c r="M46" s="7" t="n">
        <v>5</v>
      </c>
      <c r="N46" s="7" t="n">
        <v>173</v>
      </c>
      <c r="O46" s="7" t="n">
        <v>3</v>
      </c>
      <c r="P46" s="8" t="n">
        <v>6.07501331601816</v>
      </c>
      <c r="Q46" s="9" t="n">
        <v>0.164608692686034</v>
      </c>
      <c r="R46" s="8" t="n">
        <v>2.625</v>
      </c>
      <c r="S46" s="12" t="n">
        <f aca="false">IF(AND(ISNUMBER(R46),R46&gt;1,P46&gt;0),R46/P46-1,"")</f>
        <v>-0.56790218169916</v>
      </c>
    </row>
    <row r="47" customFormat="false" ht="15" hidden="false" customHeight="false" outlineLevel="0" collapsed="false">
      <c r="A47" s="10" t="s">
        <v>118</v>
      </c>
      <c r="B47" s="10" t="s">
        <v>37</v>
      </c>
      <c r="C47" s="10" t="s">
        <v>119</v>
      </c>
      <c r="D47" s="10" t="s">
        <v>508</v>
      </c>
      <c r="E47" s="11" t="n">
        <v>20</v>
      </c>
      <c r="F47" s="10" t="s">
        <v>291</v>
      </c>
      <c r="G47" s="7" t="n">
        <v>9</v>
      </c>
      <c r="H47" s="10" t="s">
        <v>614</v>
      </c>
      <c r="I47" s="10" t="s">
        <v>615</v>
      </c>
      <c r="J47" s="10" t="s">
        <v>616</v>
      </c>
      <c r="K47" s="7" t="n">
        <v>6</v>
      </c>
      <c r="L47" s="7" t="n">
        <v>0</v>
      </c>
      <c r="M47" s="7" t="n">
        <v>4</v>
      </c>
      <c r="N47" s="7" t="n">
        <v>75</v>
      </c>
      <c r="O47" s="7" t="n">
        <v>4</v>
      </c>
      <c r="P47" s="8" t="n">
        <v>62.9414389427208</v>
      </c>
      <c r="Q47" s="9" t="n">
        <v>0.0158877842133549</v>
      </c>
      <c r="R47" s="8" t="n">
        <v>34</v>
      </c>
      <c r="S47" s="12" t="n">
        <f aca="false">IF(AND(ISNUMBER(R47),R47&gt;1,P47&gt;0),R47/P47-1,"")</f>
        <v>-0.459815336745933</v>
      </c>
    </row>
    <row r="48" customFormat="false" ht="15" hidden="false" customHeight="false" outlineLevel="0" collapsed="false">
      <c r="A48" s="10" t="s">
        <v>118</v>
      </c>
      <c r="B48" s="10" t="s">
        <v>37</v>
      </c>
      <c r="C48" s="10" t="s">
        <v>119</v>
      </c>
      <c r="D48" s="10" t="s">
        <v>508</v>
      </c>
      <c r="E48" s="11" t="n">
        <v>20</v>
      </c>
      <c r="F48" s="10" t="s">
        <v>291</v>
      </c>
      <c r="G48" s="7" t="n">
        <v>9</v>
      </c>
      <c r="H48" s="10" t="s">
        <v>617</v>
      </c>
      <c r="I48" s="10" t="s">
        <v>532</v>
      </c>
      <c r="J48" s="10" t="s">
        <v>613</v>
      </c>
      <c r="K48" s="7" t="n">
        <v>5</v>
      </c>
      <c r="L48" s="7" t="n">
        <v>0</v>
      </c>
      <c r="M48" s="7" t="n">
        <v>4</v>
      </c>
      <c r="N48" s="7" t="n">
        <v>15</v>
      </c>
      <c r="O48" s="7" t="n">
        <v>5</v>
      </c>
      <c r="P48" s="8" t="n">
        <v>78.0526670485661</v>
      </c>
      <c r="Q48" s="9" t="n">
        <v>0.0128118620133477</v>
      </c>
      <c r="R48" s="8" t="n">
        <v>67</v>
      </c>
      <c r="S48" s="12" t="n">
        <f aca="false">IF(AND(ISNUMBER(R48),R48&gt;1,P48&gt;0),R48/P48-1,"")</f>
        <v>-0.141605245105703</v>
      </c>
    </row>
    <row r="49" customFormat="false" ht="15" hidden="false" customHeight="false" outlineLevel="0" collapsed="false">
      <c r="A49" s="10" t="s">
        <v>118</v>
      </c>
      <c r="B49" s="10" t="s">
        <v>37</v>
      </c>
      <c r="C49" s="10" t="s">
        <v>119</v>
      </c>
      <c r="D49" s="10" t="s">
        <v>508</v>
      </c>
      <c r="E49" s="11" t="n">
        <v>20</v>
      </c>
      <c r="F49" s="10" t="s">
        <v>291</v>
      </c>
      <c r="G49" s="7" t="n">
        <v>9</v>
      </c>
      <c r="H49" s="10" t="s">
        <v>618</v>
      </c>
      <c r="I49" s="10" t="s">
        <v>619</v>
      </c>
      <c r="J49" s="10" t="s">
        <v>620</v>
      </c>
      <c r="K49" s="7" t="n">
        <v>3</v>
      </c>
      <c r="L49" s="7" t="n">
        <v>0</v>
      </c>
      <c r="M49" s="7" t="n">
        <v>5</v>
      </c>
      <c r="N49" s="7" t="n">
        <v>72</v>
      </c>
      <c r="O49" s="7" t="n">
        <v>6</v>
      </c>
      <c r="P49" s="8" t="n">
        <v>213.550734813141</v>
      </c>
      <c r="Q49" s="9" t="n">
        <v>0.0046827279750407</v>
      </c>
      <c r="R49" s="8" t="n">
        <v>34</v>
      </c>
      <c r="S49" s="12" t="n">
        <f aca="false">IF(AND(ISNUMBER(R49),R49&gt;1,P49&gt;0),R49/P49-1,"")</f>
        <v>-0.840787248848615</v>
      </c>
    </row>
    <row r="50" customFormat="false" ht="15" hidden="false" customHeight="false" outlineLevel="0" collapsed="false">
      <c r="A50" s="10" t="s">
        <v>118</v>
      </c>
      <c r="B50" s="10" t="s">
        <v>37</v>
      </c>
      <c r="C50" s="10" t="s">
        <v>119</v>
      </c>
      <c r="D50" s="10" t="s">
        <v>508</v>
      </c>
      <c r="E50" s="11" t="n">
        <v>20</v>
      </c>
      <c r="F50" s="10" t="s">
        <v>291</v>
      </c>
      <c r="G50" s="7" t="n">
        <v>9</v>
      </c>
      <c r="H50" s="10" t="s">
        <v>621</v>
      </c>
      <c r="I50" s="10" t="s">
        <v>622</v>
      </c>
      <c r="J50" s="10" t="s">
        <v>296</v>
      </c>
      <c r="K50" s="7" t="n">
        <v>4</v>
      </c>
      <c r="L50" s="7" t="n">
        <v>0</v>
      </c>
      <c r="M50" s="7" t="n">
        <v>5</v>
      </c>
      <c r="N50" s="7" t="n">
        <v>172</v>
      </c>
      <c r="O50" s="7" t="n">
        <v>7</v>
      </c>
      <c r="P50" s="8" t="n">
        <v>303.41726097763</v>
      </c>
      <c r="Q50" s="9" t="n">
        <v>0.0032957914021698</v>
      </c>
      <c r="R50" s="8" t="n">
        <v>126</v>
      </c>
      <c r="S50" s="12" t="n">
        <f aca="false">IF(AND(ISNUMBER(R50),R50&gt;1,P50&gt;0),R50/P50-1,"")</f>
        <v>-0.584730283326599</v>
      </c>
    </row>
    <row r="51" customFormat="false" ht="15" hidden="false" customHeight="false" outlineLevel="0" collapsed="false">
      <c r="A51" s="10" t="s">
        <v>118</v>
      </c>
      <c r="B51" s="10" t="s">
        <v>37</v>
      </c>
      <c r="C51" s="10" t="s">
        <v>119</v>
      </c>
      <c r="D51" s="10" t="s">
        <v>508</v>
      </c>
      <c r="E51" s="11" t="n">
        <v>20</v>
      </c>
      <c r="F51" s="10" t="s">
        <v>291</v>
      </c>
      <c r="G51" s="7" t="n">
        <v>9</v>
      </c>
      <c r="H51" s="10" t="s">
        <v>623</v>
      </c>
      <c r="I51" s="10" t="s">
        <v>304</v>
      </c>
      <c r="J51" s="10" t="s">
        <v>624</v>
      </c>
      <c r="K51" s="7" t="n">
        <v>8</v>
      </c>
      <c r="L51" s="7" t="n">
        <v>0</v>
      </c>
      <c r="M51" s="7" t="n">
        <v>4</v>
      </c>
      <c r="N51" s="7" t="n">
        <v>10</v>
      </c>
      <c r="O51" s="7" t="n">
        <v>8</v>
      </c>
      <c r="P51" s="8" t="n">
        <v>779.02324007959</v>
      </c>
      <c r="Q51" s="9" t="n">
        <v>0.0012836587518208</v>
      </c>
      <c r="R51" s="8" t="n">
        <v>201</v>
      </c>
      <c r="S51" s="12" t="n">
        <f aca="false">IF(AND(ISNUMBER(R51),R51&gt;1,P51&gt;0),R51/P51-1,"")</f>
        <v>-0.74198459088401</v>
      </c>
    </row>
    <row r="52" customFormat="false" ht="15" hidden="false" customHeight="false" outlineLevel="0" collapsed="false">
      <c r="A52" s="10" t="s">
        <v>118</v>
      </c>
      <c r="B52" s="10" t="s">
        <v>37</v>
      </c>
      <c r="C52" s="10" t="s">
        <v>119</v>
      </c>
      <c r="D52" s="10" t="s">
        <v>508</v>
      </c>
      <c r="E52" s="11" t="n">
        <v>20</v>
      </c>
      <c r="F52" s="10" t="s">
        <v>291</v>
      </c>
      <c r="G52" s="7" t="n">
        <v>9</v>
      </c>
      <c r="H52" s="10" t="s">
        <v>625</v>
      </c>
      <c r="I52" s="10" t="s">
        <v>626</v>
      </c>
      <c r="J52" s="10" t="s">
        <v>627</v>
      </c>
      <c r="K52" s="7" t="n">
        <v>9</v>
      </c>
      <c r="L52" s="7" t="n">
        <v>0</v>
      </c>
      <c r="M52" s="7" t="n">
        <v>4</v>
      </c>
      <c r="N52" s="7" t="n">
        <v>63</v>
      </c>
      <c r="O52" s="7" t="n">
        <v>9</v>
      </c>
      <c r="P52" s="8" t="n">
        <v>1212.14549083773</v>
      </c>
      <c r="Q52" s="9" t="n">
        <v>0.0008249834756295</v>
      </c>
      <c r="R52" s="8" t="n">
        <v>201</v>
      </c>
      <c r="S52" s="12" t="n">
        <f aca="false">IF(AND(ISNUMBER(R52),R52&gt;1,P52&gt;0),R52/P52-1,"")</f>
        <v>-0.834178321398459</v>
      </c>
    </row>
    <row r="53" customFormat="false" ht="15" hidden="false" customHeight="false" outlineLevel="0" collapsed="false">
      <c r="A53" s="10" t="s">
        <v>138</v>
      </c>
      <c r="B53" s="10" t="s">
        <v>37</v>
      </c>
      <c r="C53" s="10" t="s">
        <v>139</v>
      </c>
      <c r="D53" s="10" t="s">
        <v>508</v>
      </c>
      <c r="E53" s="11" t="n">
        <v>23</v>
      </c>
      <c r="F53" s="10" t="s">
        <v>291</v>
      </c>
      <c r="G53" s="7" t="n">
        <v>9</v>
      </c>
      <c r="H53" s="10" t="s">
        <v>140</v>
      </c>
      <c r="I53" s="10" t="s">
        <v>53</v>
      </c>
      <c r="J53" s="10" t="s">
        <v>54</v>
      </c>
      <c r="K53" s="7" t="n">
        <v>4</v>
      </c>
      <c r="L53" s="7" t="n">
        <v>118</v>
      </c>
      <c r="M53" s="7" t="n">
        <v>9</v>
      </c>
      <c r="N53" s="7" t="n">
        <v>21</v>
      </c>
      <c r="O53" s="7" t="n">
        <v>1</v>
      </c>
      <c r="P53" s="8" t="n">
        <v>4.6910294298205</v>
      </c>
      <c r="Q53" s="9" t="n">
        <v>0.213172825913877</v>
      </c>
      <c r="R53" s="8" t="n">
        <v>7</v>
      </c>
      <c r="S53" s="12" t="n">
        <f aca="false">IF(AND(ISNUMBER(R53),R53&gt;1,P53&gt;0),R53/P53-1,"")</f>
        <v>0.49220978139714</v>
      </c>
    </row>
    <row r="54" customFormat="false" ht="15" hidden="false" customHeight="false" outlineLevel="0" collapsed="false">
      <c r="A54" s="10" t="s">
        <v>138</v>
      </c>
      <c r="B54" s="10" t="s">
        <v>37</v>
      </c>
      <c r="C54" s="10" t="s">
        <v>139</v>
      </c>
      <c r="D54" s="10" t="s">
        <v>508</v>
      </c>
      <c r="E54" s="11" t="n">
        <v>23</v>
      </c>
      <c r="F54" s="10" t="s">
        <v>291</v>
      </c>
      <c r="G54" s="7" t="n">
        <v>9</v>
      </c>
      <c r="H54" s="10" t="s">
        <v>141</v>
      </c>
      <c r="I54" s="10" t="s">
        <v>670</v>
      </c>
      <c r="J54" s="10" t="s">
        <v>671</v>
      </c>
      <c r="K54" s="7" t="n">
        <v>6</v>
      </c>
      <c r="L54" s="7" t="n">
        <v>116</v>
      </c>
      <c r="M54" s="7" t="n">
        <v>6</v>
      </c>
      <c r="N54" s="7" t="n">
        <v>21</v>
      </c>
      <c r="O54" s="7" t="n">
        <v>2</v>
      </c>
      <c r="P54" s="8" t="n">
        <v>4.81907564531771</v>
      </c>
      <c r="Q54" s="9" t="n">
        <v>0.207508674608919</v>
      </c>
      <c r="R54" s="8" t="n">
        <v>3</v>
      </c>
      <c r="S54" s="12" t="n">
        <f aca="false">IF(AND(ISNUMBER(R54),R54&gt;1,P54&gt;0),R54/P54-1,"")</f>
        <v>-0.377473976173242</v>
      </c>
    </row>
    <row r="55" customFormat="false" ht="15" hidden="false" customHeight="false" outlineLevel="0" collapsed="false">
      <c r="A55" s="10" t="s">
        <v>138</v>
      </c>
      <c r="B55" s="10" t="s">
        <v>37</v>
      </c>
      <c r="C55" s="10" t="s">
        <v>139</v>
      </c>
      <c r="D55" s="10" t="s">
        <v>508</v>
      </c>
      <c r="E55" s="11" t="n">
        <v>23</v>
      </c>
      <c r="F55" s="10" t="s">
        <v>291</v>
      </c>
      <c r="G55" s="7" t="n">
        <v>9</v>
      </c>
      <c r="H55" s="10" t="s">
        <v>672</v>
      </c>
      <c r="I55" s="10" t="s">
        <v>673</v>
      </c>
      <c r="J55" s="10" t="s">
        <v>674</v>
      </c>
      <c r="K55" s="7" t="n">
        <v>2</v>
      </c>
      <c r="L55" s="7" t="n">
        <v>120</v>
      </c>
      <c r="M55" s="7" t="n">
        <v>5</v>
      </c>
      <c r="N55" s="7" t="n">
        <v>156</v>
      </c>
      <c r="O55" s="7" t="n">
        <v>3</v>
      </c>
      <c r="P55" s="8" t="n">
        <v>5.0859407885649</v>
      </c>
      <c r="Q55" s="9" t="n">
        <v>0.196620456582659</v>
      </c>
      <c r="R55" s="8" t="n">
        <v>3.75</v>
      </c>
      <c r="S55" s="12" t="n">
        <f aca="false">IF(AND(ISNUMBER(R55),R55&gt;1,P55&gt;0),R55/P55-1,"")</f>
        <v>-0.262673287815029</v>
      </c>
    </row>
    <row r="56" customFormat="false" ht="15" hidden="false" customHeight="false" outlineLevel="0" collapsed="false">
      <c r="A56" s="10" t="s">
        <v>138</v>
      </c>
      <c r="B56" s="10" t="s">
        <v>37</v>
      </c>
      <c r="C56" s="10" t="s">
        <v>139</v>
      </c>
      <c r="D56" s="10" t="s">
        <v>508</v>
      </c>
      <c r="E56" s="11" t="n">
        <v>23</v>
      </c>
      <c r="F56" s="10" t="s">
        <v>291</v>
      </c>
      <c r="G56" s="7" t="n">
        <v>9</v>
      </c>
      <c r="H56" s="10" t="s">
        <v>675</v>
      </c>
      <c r="I56" s="10" t="s">
        <v>676</v>
      </c>
      <c r="J56" s="10" t="s">
        <v>677</v>
      </c>
      <c r="K56" s="7" t="n">
        <v>5</v>
      </c>
      <c r="L56" s="7" t="n">
        <v>117</v>
      </c>
      <c r="M56" s="7" t="n">
        <v>6</v>
      </c>
      <c r="N56" s="7" t="n">
        <v>139</v>
      </c>
      <c r="O56" s="7" t="n">
        <v>4</v>
      </c>
      <c r="P56" s="8" t="n">
        <v>8.09932496293473</v>
      </c>
      <c r="Q56" s="9" t="n">
        <v>0.123467079611738</v>
      </c>
      <c r="R56" s="8" t="n">
        <v>7</v>
      </c>
      <c r="S56" s="12" t="n">
        <f aca="false">IF(AND(ISNUMBER(R56),R56&gt;1,P56&gt;0),R56/P56-1,"")</f>
        <v>-0.135730442717833</v>
      </c>
    </row>
    <row r="57" customFormat="false" ht="15" hidden="false" customHeight="false" outlineLevel="0" collapsed="false">
      <c r="A57" s="10" t="s">
        <v>138</v>
      </c>
      <c r="B57" s="10" t="s">
        <v>37</v>
      </c>
      <c r="C57" s="10" t="s">
        <v>139</v>
      </c>
      <c r="D57" s="10" t="s">
        <v>508</v>
      </c>
      <c r="E57" s="11" t="n">
        <v>23</v>
      </c>
      <c r="F57" s="10" t="s">
        <v>291</v>
      </c>
      <c r="G57" s="7" t="n">
        <v>9</v>
      </c>
      <c r="H57" s="10" t="s">
        <v>678</v>
      </c>
      <c r="I57" s="10" t="s">
        <v>679</v>
      </c>
      <c r="J57" s="10" t="s">
        <v>163</v>
      </c>
      <c r="K57" s="7" t="n">
        <v>8</v>
      </c>
      <c r="L57" s="7" t="n">
        <v>110</v>
      </c>
      <c r="M57" s="7" t="n">
        <v>7</v>
      </c>
      <c r="N57" s="7" t="n">
        <v>10</v>
      </c>
      <c r="O57" s="7" t="n">
        <v>5</v>
      </c>
      <c r="P57" s="8" t="n">
        <v>14.3074980602617</v>
      </c>
      <c r="Q57" s="9" t="n">
        <v>0.0698934220216635</v>
      </c>
      <c r="R57" s="8" t="n">
        <v>8</v>
      </c>
      <c r="S57" s="12" t="n">
        <f aca="false">IF(AND(ISNUMBER(R57),R57&gt;1,P57&gt;0),R57/P57-1,"")</f>
        <v>-0.440852623826692</v>
      </c>
    </row>
    <row r="58" customFormat="false" ht="15" hidden="false" customHeight="false" outlineLevel="0" collapsed="false">
      <c r="A58" s="10" t="s">
        <v>138</v>
      </c>
      <c r="B58" s="10" t="s">
        <v>37</v>
      </c>
      <c r="C58" s="10" t="s">
        <v>139</v>
      </c>
      <c r="D58" s="10" t="s">
        <v>508</v>
      </c>
      <c r="E58" s="11" t="n">
        <v>23</v>
      </c>
      <c r="F58" s="10" t="s">
        <v>291</v>
      </c>
      <c r="G58" s="7" t="n">
        <v>9</v>
      </c>
      <c r="H58" s="10" t="s">
        <v>680</v>
      </c>
      <c r="I58" s="10" t="s">
        <v>528</v>
      </c>
      <c r="J58" s="10" t="s">
        <v>529</v>
      </c>
      <c r="K58" s="7" t="n">
        <v>3</v>
      </c>
      <c r="L58" s="7" t="n">
        <v>118</v>
      </c>
      <c r="M58" s="7" t="n">
        <v>11</v>
      </c>
      <c r="N58" s="7" t="n">
        <v>65</v>
      </c>
      <c r="O58" s="7" t="n">
        <v>6</v>
      </c>
      <c r="P58" s="8" t="n">
        <v>17.7158357141021</v>
      </c>
      <c r="Q58" s="9" t="n">
        <v>0.0564466738198516</v>
      </c>
      <c r="R58" s="8" t="n">
        <v>12</v>
      </c>
      <c r="S58" s="12" t="n">
        <f aca="false">IF(AND(ISNUMBER(R58),R58&gt;1,P58&gt;0),R58/P58-1,"")</f>
        <v>-0.322639914161781</v>
      </c>
    </row>
    <row r="59" customFormat="false" ht="15" hidden="false" customHeight="false" outlineLevel="0" collapsed="false">
      <c r="A59" s="10" t="s">
        <v>138</v>
      </c>
      <c r="B59" s="10" t="s">
        <v>37</v>
      </c>
      <c r="C59" s="10" t="s">
        <v>139</v>
      </c>
      <c r="D59" s="10" t="s">
        <v>508</v>
      </c>
      <c r="E59" s="11" t="n">
        <v>23</v>
      </c>
      <c r="F59" s="10" t="s">
        <v>291</v>
      </c>
      <c r="G59" s="7" t="n">
        <v>9</v>
      </c>
      <c r="H59" s="10" t="s">
        <v>681</v>
      </c>
      <c r="I59" s="10" t="s">
        <v>341</v>
      </c>
      <c r="J59" s="10" t="s">
        <v>682</v>
      </c>
      <c r="K59" s="7" t="n">
        <v>9</v>
      </c>
      <c r="L59" s="7" t="n">
        <v>105</v>
      </c>
      <c r="M59" s="7" t="n">
        <v>6</v>
      </c>
      <c r="N59" s="7" t="n">
        <v>28</v>
      </c>
      <c r="O59" s="7" t="n">
        <v>7</v>
      </c>
      <c r="P59" s="8" t="n">
        <v>18.2361822736853</v>
      </c>
      <c r="Q59" s="9" t="n">
        <v>0.0548360388699884</v>
      </c>
      <c r="R59" s="8" t="n">
        <v>15</v>
      </c>
      <c r="S59" s="12" t="n">
        <f aca="false">IF(AND(ISNUMBER(R59),R59&gt;1,P59&gt;0),R59/P59-1,"")</f>
        <v>-0.177459416950173</v>
      </c>
    </row>
    <row r="60" customFormat="false" ht="15" hidden="false" customHeight="false" outlineLevel="0" collapsed="false">
      <c r="A60" s="10" t="s">
        <v>138</v>
      </c>
      <c r="B60" s="10" t="s">
        <v>37</v>
      </c>
      <c r="C60" s="10" t="s">
        <v>139</v>
      </c>
      <c r="D60" s="10" t="s">
        <v>508</v>
      </c>
      <c r="E60" s="11" t="n">
        <v>23</v>
      </c>
      <c r="F60" s="10" t="s">
        <v>291</v>
      </c>
      <c r="G60" s="7" t="n">
        <v>9</v>
      </c>
      <c r="H60" s="10" t="s">
        <v>683</v>
      </c>
      <c r="I60" s="10" t="s">
        <v>121</v>
      </c>
      <c r="J60" s="10" t="s">
        <v>684</v>
      </c>
      <c r="K60" s="7" t="n">
        <v>7</v>
      </c>
      <c r="L60" s="7" t="n">
        <v>111</v>
      </c>
      <c r="M60" s="7" t="n">
        <v>13</v>
      </c>
      <c r="N60" s="7" t="n">
        <v>71</v>
      </c>
      <c r="O60" s="7" t="n">
        <v>8</v>
      </c>
      <c r="P60" s="8" t="n">
        <v>25.4581453471822</v>
      </c>
      <c r="Q60" s="9" t="n">
        <v>0.0392801591146027</v>
      </c>
      <c r="R60" s="8" t="n">
        <v>17</v>
      </c>
      <c r="S60" s="12" t="n">
        <f aca="false">IF(AND(ISNUMBER(R60),R60&gt;1,P60&gt;0),R60/P60-1,"")</f>
        <v>-0.332237295051753</v>
      </c>
    </row>
    <row r="61" customFormat="false" ht="15" hidden="false" customHeight="false" outlineLevel="0" collapsed="false">
      <c r="A61" s="10" t="s">
        <v>138</v>
      </c>
      <c r="B61" s="10" t="s">
        <v>37</v>
      </c>
      <c r="C61" s="10" t="s">
        <v>139</v>
      </c>
      <c r="D61" s="10" t="s">
        <v>508</v>
      </c>
      <c r="E61" s="11" t="n">
        <v>23</v>
      </c>
      <c r="F61" s="10" t="s">
        <v>291</v>
      </c>
      <c r="G61" s="7" t="n">
        <v>9</v>
      </c>
      <c r="H61" s="10" t="s">
        <v>685</v>
      </c>
      <c r="I61" s="10" t="s">
        <v>304</v>
      </c>
      <c r="J61" s="10" t="s">
        <v>624</v>
      </c>
      <c r="K61" s="7" t="n">
        <v>1</v>
      </c>
      <c r="L61" s="7" t="n">
        <v>122</v>
      </c>
      <c r="M61" s="7" t="n">
        <v>8</v>
      </c>
      <c r="N61" s="7" t="n">
        <v>139</v>
      </c>
      <c r="O61" s="7" t="n">
        <v>9</v>
      </c>
      <c r="P61" s="8" t="n">
        <v>25.7900328748569</v>
      </c>
      <c r="Q61" s="9" t="n">
        <v>0.0387746694566998</v>
      </c>
      <c r="R61" s="8" t="n">
        <v>19</v>
      </c>
      <c r="S61" s="12" t="n">
        <f aca="false">IF(AND(ISNUMBER(R61),R61&gt;1,P61&gt;0),R61/P61-1,"")</f>
        <v>-0.263281280322702</v>
      </c>
    </row>
    <row r="62" customFormat="false" ht="15" hidden="false" customHeight="false" outlineLevel="0" collapsed="false">
      <c r="A62" s="10" t="s">
        <v>159</v>
      </c>
      <c r="B62" s="10" t="s">
        <v>37</v>
      </c>
      <c r="C62" s="10" t="s">
        <v>160</v>
      </c>
      <c r="D62" s="10" t="s">
        <v>290</v>
      </c>
      <c r="E62" s="11" t="n">
        <v>16</v>
      </c>
      <c r="F62" s="10" t="s">
        <v>291</v>
      </c>
      <c r="G62" s="7" t="n">
        <v>10</v>
      </c>
      <c r="H62" s="10" t="s">
        <v>161</v>
      </c>
      <c r="I62" s="10" t="s">
        <v>162</v>
      </c>
      <c r="J62" s="10" t="s">
        <v>163</v>
      </c>
      <c r="K62" s="7" t="n">
        <v>5</v>
      </c>
      <c r="L62" s="7" t="n">
        <v>99</v>
      </c>
      <c r="M62" s="7" t="n">
        <v>6</v>
      </c>
      <c r="N62" s="7" t="n">
        <v>20</v>
      </c>
      <c r="O62" s="7" t="n">
        <v>1</v>
      </c>
      <c r="P62" s="8" t="n">
        <v>3.69750579107155</v>
      </c>
      <c r="Q62" s="9" t="n">
        <v>0.270452585203442</v>
      </c>
      <c r="R62" s="8" t="n">
        <v>3.75</v>
      </c>
      <c r="S62" s="12" t="n">
        <f aca="false">IF(AND(ISNUMBER(R62),R62&gt;1,P62&gt;0),R62/P62-1,"")</f>
        <v>0.014197194512908</v>
      </c>
    </row>
    <row r="63" customFormat="false" ht="15" hidden="false" customHeight="false" outlineLevel="0" collapsed="false">
      <c r="A63" s="10" t="s">
        <v>159</v>
      </c>
      <c r="B63" s="10" t="s">
        <v>37</v>
      </c>
      <c r="C63" s="10" t="s">
        <v>160</v>
      </c>
      <c r="D63" s="10" t="s">
        <v>290</v>
      </c>
      <c r="E63" s="11" t="n">
        <v>16</v>
      </c>
      <c r="F63" s="10" t="s">
        <v>291</v>
      </c>
      <c r="G63" s="7" t="n">
        <v>10</v>
      </c>
      <c r="H63" s="10" t="s">
        <v>164</v>
      </c>
      <c r="I63" s="10" t="s">
        <v>749</v>
      </c>
      <c r="J63" s="10" t="s">
        <v>54</v>
      </c>
      <c r="K63" s="7" t="n">
        <v>3</v>
      </c>
      <c r="L63" s="7" t="n">
        <v>102</v>
      </c>
      <c r="M63" s="7" t="n">
        <v>4</v>
      </c>
      <c r="N63" s="7" t="n">
        <v>33</v>
      </c>
      <c r="O63" s="7" t="n">
        <v>2</v>
      </c>
      <c r="P63" s="8" t="n">
        <v>3.6979310066296</v>
      </c>
      <c r="Q63" s="9" t="n">
        <v>0.270421486557541</v>
      </c>
      <c r="R63" s="8" t="n">
        <v>4</v>
      </c>
      <c r="S63" s="12" t="n">
        <f aca="false">IF(AND(ISNUMBER(R63),R63&gt;1,P63&gt;0),R63/P63-1,"")</f>
        <v>0.0816859462301633</v>
      </c>
    </row>
    <row r="64" customFormat="false" ht="15" hidden="false" customHeight="false" outlineLevel="0" collapsed="false">
      <c r="A64" s="10" t="s">
        <v>159</v>
      </c>
      <c r="B64" s="10" t="s">
        <v>37</v>
      </c>
      <c r="C64" s="10" t="s">
        <v>160</v>
      </c>
      <c r="D64" s="10" t="s">
        <v>290</v>
      </c>
      <c r="E64" s="11" t="n">
        <v>16</v>
      </c>
      <c r="F64" s="10" t="s">
        <v>291</v>
      </c>
      <c r="G64" s="7" t="n">
        <v>10</v>
      </c>
      <c r="H64" s="10" t="s">
        <v>750</v>
      </c>
      <c r="I64" s="10" t="s">
        <v>751</v>
      </c>
      <c r="J64" s="10" t="s">
        <v>620</v>
      </c>
      <c r="K64" s="7" t="n">
        <v>4</v>
      </c>
      <c r="L64" s="7" t="n">
        <v>99</v>
      </c>
      <c r="M64" s="7" t="n">
        <v>5</v>
      </c>
      <c r="N64" s="7" t="n">
        <v>27</v>
      </c>
      <c r="O64" s="7" t="n">
        <v>3</v>
      </c>
      <c r="P64" s="8" t="n">
        <v>6.22161505547464</v>
      </c>
      <c r="Q64" s="9" t="n">
        <v>0.160729969804233</v>
      </c>
      <c r="R64" s="8" t="n">
        <v>4.5</v>
      </c>
      <c r="S64" s="12" t="n">
        <f aca="false">IF(AND(ISNUMBER(R64),R64&gt;1,P64&gt;0),R64/P64-1,"")</f>
        <v>-0.276715135880951</v>
      </c>
    </row>
    <row r="65" customFormat="false" ht="15" hidden="false" customHeight="false" outlineLevel="0" collapsed="false">
      <c r="A65" s="10" t="s">
        <v>159</v>
      </c>
      <c r="B65" s="10" t="s">
        <v>37</v>
      </c>
      <c r="C65" s="10" t="s">
        <v>160</v>
      </c>
      <c r="D65" s="10" t="s">
        <v>290</v>
      </c>
      <c r="E65" s="11" t="n">
        <v>16</v>
      </c>
      <c r="F65" s="10" t="s">
        <v>291</v>
      </c>
      <c r="G65" s="7" t="n">
        <v>10</v>
      </c>
      <c r="H65" s="10" t="s">
        <v>752</v>
      </c>
      <c r="I65" s="10" t="s">
        <v>753</v>
      </c>
      <c r="J65" s="10" t="s">
        <v>152</v>
      </c>
      <c r="K65" s="7" t="n">
        <v>7</v>
      </c>
      <c r="L65" s="7" t="n">
        <v>100</v>
      </c>
      <c r="M65" s="7" t="n">
        <v>3</v>
      </c>
      <c r="N65" s="7" t="n">
        <v>27</v>
      </c>
      <c r="O65" s="7" t="n">
        <v>4</v>
      </c>
      <c r="P65" s="8" t="n">
        <v>10.7893327638562</v>
      </c>
      <c r="Q65" s="9" t="n">
        <v>0.0926841373685276</v>
      </c>
      <c r="R65" s="8" t="n">
        <v>5</v>
      </c>
      <c r="S65" s="12" t="n">
        <f aca="false">IF(AND(ISNUMBER(R65),R65&gt;1,P65&gt;0),R65/P65-1,"")</f>
        <v>-0.536579313157362</v>
      </c>
    </row>
    <row r="66" customFormat="false" ht="15" hidden="false" customHeight="false" outlineLevel="0" collapsed="false">
      <c r="A66" s="10" t="s">
        <v>159</v>
      </c>
      <c r="B66" s="10" t="s">
        <v>37</v>
      </c>
      <c r="C66" s="10" t="s">
        <v>160</v>
      </c>
      <c r="D66" s="10" t="s">
        <v>290</v>
      </c>
      <c r="E66" s="11" t="n">
        <v>16</v>
      </c>
      <c r="F66" s="10" t="s">
        <v>291</v>
      </c>
      <c r="G66" s="7" t="n">
        <v>10</v>
      </c>
      <c r="H66" s="10" t="s">
        <v>754</v>
      </c>
      <c r="I66" s="10" t="s">
        <v>755</v>
      </c>
      <c r="J66" s="10" t="s">
        <v>756</v>
      </c>
      <c r="K66" s="7" t="n">
        <v>1</v>
      </c>
      <c r="L66" s="7" t="n">
        <v>102</v>
      </c>
      <c r="M66" s="7" t="n">
        <v>8</v>
      </c>
      <c r="N66" s="7" t="n">
        <v>23</v>
      </c>
      <c r="O66" s="7" t="n">
        <v>5</v>
      </c>
      <c r="P66" s="8" t="n">
        <v>21.1312074515742</v>
      </c>
      <c r="Q66" s="9" t="n">
        <v>0.0473233724240166</v>
      </c>
      <c r="R66" s="8" t="n">
        <v>7</v>
      </c>
      <c r="S66" s="12" t="n">
        <f aca="false">IF(AND(ISNUMBER(R66),R66&gt;1,P66&gt;0),R66/P66-1,"")</f>
        <v>-0.668736393031883</v>
      </c>
    </row>
    <row r="67" customFormat="false" ht="15" hidden="false" customHeight="false" outlineLevel="0" collapsed="false">
      <c r="A67" s="10" t="s">
        <v>159</v>
      </c>
      <c r="B67" s="10" t="s">
        <v>37</v>
      </c>
      <c r="C67" s="10" t="s">
        <v>160</v>
      </c>
      <c r="D67" s="10" t="s">
        <v>290</v>
      </c>
      <c r="E67" s="11" t="n">
        <v>16</v>
      </c>
      <c r="F67" s="10" t="s">
        <v>291</v>
      </c>
      <c r="G67" s="7" t="n">
        <v>10</v>
      </c>
      <c r="H67" s="10" t="s">
        <v>757</v>
      </c>
      <c r="I67" s="10" t="s">
        <v>758</v>
      </c>
      <c r="J67" s="10" t="s">
        <v>759</v>
      </c>
      <c r="K67" s="7" t="n">
        <v>8</v>
      </c>
      <c r="L67" s="7" t="n">
        <v>82</v>
      </c>
      <c r="M67" s="7" t="n">
        <v>10</v>
      </c>
      <c r="N67" s="7" t="n">
        <v>33</v>
      </c>
      <c r="O67" s="7" t="n">
        <v>6</v>
      </c>
      <c r="P67" s="8" t="n">
        <v>21.2847964600928</v>
      </c>
      <c r="Q67" s="9" t="n">
        <v>0.0469818915992415</v>
      </c>
      <c r="R67" s="8" t="n">
        <v>21</v>
      </c>
      <c r="S67" s="12" t="n">
        <f aca="false">IF(AND(ISNUMBER(R67),R67&gt;1,P67&gt;0),R67/P67-1,"")</f>
        <v>-0.0133802764159271</v>
      </c>
    </row>
    <row r="68" customFormat="false" ht="15" hidden="false" customHeight="false" outlineLevel="0" collapsed="false">
      <c r="A68" s="10" t="s">
        <v>159</v>
      </c>
      <c r="B68" s="10" t="s">
        <v>37</v>
      </c>
      <c r="C68" s="10" t="s">
        <v>160</v>
      </c>
      <c r="D68" s="10" t="s">
        <v>290</v>
      </c>
      <c r="E68" s="11" t="n">
        <v>16</v>
      </c>
      <c r="F68" s="10" t="s">
        <v>291</v>
      </c>
      <c r="G68" s="7" t="n">
        <v>10</v>
      </c>
      <c r="H68" s="10" t="s">
        <v>760</v>
      </c>
      <c r="I68" s="10" t="s">
        <v>316</v>
      </c>
      <c r="J68" s="10" t="s">
        <v>677</v>
      </c>
      <c r="K68" s="7" t="n">
        <v>6</v>
      </c>
      <c r="L68" s="7" t="n">
        <v>91</v>
      </c>
      <c r="M68" s="7" t="n">
        <v>5</v>
      </c>
      <c r="N68" s="7" t="n">
        <v>111</v>
      </c>
      <c r="O68" s="7" t="n">
        <v>7</v>
      </c>
      <c r="P68" s="8" t="n">
        <v>22.4517136029404</v>
      </c>
      <c r="Q68" s="9" t="n">
        <v>0.0445400301146293</v>
      </c>
      <c r="R68" s="8" t="n">
        <v>12</v>
      </c>
      <c r="S68" s="12" t="n">
        <f aca="false">IF(AND(ISNUMBER(R68),R68&gt;1,P68&gt;0),R68/P68-1,"")</f>
        <v>-0.465519638624447</v>
      </c>
    </row>
    <row r="69" customFormat="false" ht="15" hidden="false" customHeight="false" outlineLevel="0" collapsed="false">
      <c r="A69" s="10" t="s">
        <v>159</v>
      </c>
      <c r="B69" s="10" t="s">
        <v>37</v>
      </c>
      <c r="C69" s="10" t="s">
        <v>160</v>
      </c>
      <c r="D69" s="10" t="s">
        <v>290</v>
      </c>
      <c r="E69" s="11" t="n">
        <v>16</v>
      </c>
      <c r="F69" s="10" t="s">
        <v>291</v>
      </c>
      <c r="G69" s="7" t="n">
        <v>10</v>
      </c>
      <c r="H69" s="10" t="s">
        <v>761</v>
      </c>
      <c r="I69" s="10" t="s">
        <v>762</v>
      </c>
      <c r="J69" s="10" t="s">
        <v>266</v>
      </c>
      <c r="K69" s="7" t="n">
        <v>2</v>
      </c>
      <c r="L69" s="7" t="n">
        <v>102</v>
      </c>
      <c r="M69" s="7" t="n">
        <v>5</v>
      </c>
      <c r="N69" s="7" t="n">
        <v>31</v>
      </c>
      <c r="O69" s="7" t="n">
        <v>8</v>
      </c>
      <c r="P69" s="8" t="n">
        <v>32.3504345017397</v>
      </c>
      <c r="Q69" s="9" t="n">
        <v>0.030911485901255</v>
      </c>
      <c r="R69" s="8" t="n">
        <v>26</v>
      </c>
      <c r="S69" s="12" t="n">
        <f aca="false">IF(AND(ISNUMBER(R69),R69&gt;1,P69&gt;0),R69/P69-1,"")</f>
        <v>-0.196301366567369</v>
      </c>
    </row>
    <row r="70" customFormat="false" ht="15" hidden="false" customHeight="false" outlineLevel="0" collapsed="false">
      <c r="A70" s="10" t="s">
        <v>159</v>
      </c>
      <c r="B70" s="10" t="s">
        <v>37</v>
      </c>
      <c r="C70" s="10" t="s">
        <v>160</v>
      </c>
      <c r="D70" s="10" t="s">
        <v>290</v>
      </c>
      <c r="E70" s="11" t="n">
        <v>16</v>
      </c>
      <c r="F70" s="10" t="s">
        <v>291</v>
      </c>
      <c r="G70" s="7" t="n">
        <v>10</v>
      </c>
      <c r="H70" s="10" t="s">
        <v>763</v>
      </c>
      <c r="I70" s="10" t="s">
        <v>764</v>
      </c>
      <c r="J70" s="10" t="s">
        <v>765</v>
      </c>
      <c r="K70" s="7" t="n">
        <v>10</v>
      </c>
      <c r="L70" s="7" t="n">
        <v>76</v>
      </c>
      <c r="M70" s="7" t="n">
        <v>6</v>
      </c>
      <c r="N70" s="7" t="n">
        <v>61</v>
      </c>
      <c r="O70" s="7" t="n">
        <v>9</v>
      </c>
      <c r="P70" s="8" t="n">
        <v>53.4637929449281</v>
      </c>
      <c r="Q70" s="9" t="n">
        <v>0.0187042472095101</v>
      </c>
      <c r="R70" s="8" t="n">
        <v>67</v>
      </c>
      <c r="S70" s="12" t="n">
        <f aca="false">IF(AND(ISNUMBER(R70),R70&gt;1,P70&gt;0),R70/P70-1,"")</f>
        <v>0.25318456303718</v>
      </c>
    </row>
    <row r="71" customFormat="false" ht="15" hidden="false" customHeight="false" outlineLevel="0" collapsed="false">
      <c r="A71" s="10" t="s">
        <v>159</v>
      </c>
      <c r="B71" s="10" t="s">
        <v>37</v>
      </c>
      <c r="C71" s="10" t="s">
        <v>160</v>
      </c>
      <c r="D71" s="10" t="s">
        <v>290</v>
      </c>
      <c r="E71" s="11" t="n">
        <v>16</v>
      </c>
      <c r="F71" s="10" t="s">
        <v>291</v>
      </c>
      <c r="G71" s="7" t="n">
        <v>10</v>
      </c>
      <c r="H71" s="10" t="s">
        <v>766</v>
      </c>
      <c r="I71" s="10" t="s">
        <v>767</v>
      </c>
      <c r="J71" s="10" t="s">
        <v>308</v>
      </c>
      <c r="K71" s="7" t="n">
        <v>9</v>
      </c>
      <c r="L71" s="7" t="n">
        <v>78</v>
      </c>
      <c r="M71" s="7" t="n">
        <v>5</v>
      </c>
      <c r="N71" s="7" t="n">
        <v>20</v>
      </c>
      <c r="O71" s="7" t="n">
        <v>10</v>
      </c>
      <c r="P71" s="8" t="n">
        <v>57.9683468814957</v>
      </c>
      <c r="Q71" s="9" t="n">
        <v>0.0172507938176034</v>
      </c>
      <c r="R71" s="8" t="n">
        <v>67</v>
      </c>
      <c r="S71" s="12" t="n">
        <f aca="false">IF(AND(ISNUMBER(R71),R71&gt;1,P71&gt;0),R71/P71-1,"")</f>
        <v>0.155803185779433</v>
      </c>
    </row>
  </sheetData>
  <autoFilter ref="A1:S71"/>
  <conditionalFormatting sqref="A2:S71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5" t="s">
        <v>26</v>
      </c>
      <c r="B1" s="5" t="s">
        <v>27</v>
      </c>
      <c r="C1" s="5" t="s">
        <v>28</v>
      </c>
      <c r="D1" s="5" t="s">
        <v>282</v>
      </c>
      <c r="E1" s="5" t="s">
        <v>283</v>
      </c>
      <c r="F1" s="5" t="s">
        <v>284</v>
      </c>
      <c r="G1" s="5" t="s">
        <v>1</v>
      </c>
      <c r="H1" s="5" t="s">
        <v>285</v>
      </c>
      <c r="I1" s="5" t="s">
        <v>30</v>
      </c>
      <c r="J1" s="5" t="s">
        <v>31</v>
      </c>
      <c r="K1" s="5" t="s">
        <v>286</v>
      </c>
      <c r="L1" s="5" t="s">
        <v>287</v>
      </c>
      <c r="M1" s="5" t="s">
        <v>288</v>
      </c>
      <c r="N1" s="5" t="s">
        <v>289</v>
      </c>
      <c r="O1" s="5" t="s">
        <v>18</v>
      </c>
      <c r="P1" s="5" t="s">
        <v>14</v>
      </c>
      <c r="Q1" s="5" t="s">
        <v>16</v>
      </c>
      <c r="R1" s="5" t="s">
        <v>20</v>
      </c>
      <c r="S1" s="5" t="s">
        <v>22</v>
      </c>
    </row>
    <row r="2" customFormat="false" ht="15" hidden="false" customHeight="false" outlineLevel="0" collapsed="false">
      <c r="A2" s="10" t="s">
        <v>43</v>
      </c>
      <c r="B2" s="10" t="s">
        <v>44</v>
      </c>
      <c r="C2" s="10" t="s">
        <v>45</v>
      </c>
      <c r="D2" s="10"/>
      <c r="E2" s="11" t="n">
        <v>8</v>
      </c>
      <c r="F2" s="10" t="s">
        <v>291</v>
      </c>
      <c r="G2" s="7" t="n">
        <v>9</v>
      </c>
      <c r="H2" s="10" t="s">
        <v>46</v>
      </c>
      <c r="I2" s="10" t="s">
        <v>47</v>
      </c>
      <c r="J2" s="10" t="s">
        <v>48</v>
      </c>
      <c r="K2" s="7" t="n">
        <v>7</v>
      </c>
      <c r="L2" s="7" t="n">
        <v>96</v>
      </c>
      <c r="M2" s="7" t="n">
        <v>4</v>
      </c>
      <c r="N2" s="7" t="n">
        <v>48</v>
      </c>
      <c r="O2" s="7" t="n">
        <v>1</v>
      </c>
      <c r="P2" s="8" t="n">
        <v>4.84920756908568</v>
      </c>
      <c r="Q2" s="9" t="n">
        <v>0.206219260725222</v>
      </c>
      <c r="R2" s="8" t="n">
        <v>4.5</v>
      </c>
      <c r="S2" s="12" t="n">
        <f aca="false">IF(AND(ISNUMBER(R2),R2&gt;1,P2&gt;0),R2/P2-1,"")</f>
        <v>-0.0720133267365016</v>
      </c>
    </row>
    <row r="3" customFormat="false" ht="15" hidden="false" customHeight="false" outlineLevel="0" collapsed="false">
      <c r="A3" s="10" t="s">
        <v>43</v>
      </c>
      <c r="B3" s="10" t="s">
        <v>44</v>
      </c>
      <c r="C3" s="10" t="s">
        <v>45</v>
      </c>
      <c r="D3" s="10"/>
      <c r="E3" s="11" t="n">
        <v>8</v>
      </c>
      <c r="F3" s="10" t="s">
        <v>291</v>
      </c>
      <c r="G3" s="7" t="n">
        <v>9</v>
      </c>
      <c r="H3" s="10" t="s">
        <v>49</v>
      </c>
      <c r="I3" s="10" t="s">
        <v>111</v>
      </c>
      <c r="J3" s="10" t="s">
        <v>318</v>
      </c>
      <c r="K3" s="7" t="n">
        <v>5</v>
      </c>
      <c r="L3" s="7" t="n">
        <v>87</v>
      </c>
      <c r="M3" s="7" t="n">
        <v>3</v>
      </c>
      <c r="N3" s="7" t="n">
        <v>21</v>
      </c>
      <c r="O3" s="7" t="n">
        <v>2</v>
      </c>
      <c r="P3" s="8" t="n">
        <v>5.49073543909992</v>
      </c>
      <c r="Q3" s="9" t="n">
        <v>0.182124965060041</v>
      </c>
      <c r="R3" s="8" t="n">
        <v>6</v>
      </c>
      <c r="S3" s="12" t="n">
        <f aca="false">IF(AND(ISNUMBER(R3),R3&gt;1,P3&gt;0),R3/P3-1,"")</f>
        <v>0.0927497903602448</v>
      </c>
    </row>
    <row r="4" customFormat="false" ht="15" hidden="false" customHeight="false" outlineLevel="0" collapsed="false">
      <c r="A4" s="10" t="s">
        <v>43</v>
      </c>
      <c r="B4" s="10" t="s">
        <v>44</v>
      </c>
      <c r="C4" s="10" t="s">
        <v>45</v>
      </c>
      <c r="D4" s="10"/>
      <c r="E4" s="11" t="n">
        <v>8</v>
      </c>
      <c r="F4" s="10" t="s">
        <v>291</v>
      </c>
      <c r="G4" s="7" t="n">
        <v>9</v>
      </c>
      <c r="H4" s="10" t="s">
        <v>319</v>
      </c>
      <c r="I4" s="10" t="s">
        <v>320</v>
      </c>
      <c r="J4" s="10" t="s">
        <v>321</v>
      </c>
      <c r="K4" s="7" t="n">
        <v>2</v>
      </c>
      <c r="L4" s="7" t="n">
        <v>96</v>
      </c>
      <c r="M4" s="7" t="n">
        <v>3</v>
      </c>
      <c r="N4" s="7" t="n">
        <v>178</v>
      </c>
      <c r="O4" s="7" t="n">
        <v>3</v>
      </c>
      <c r="P4" s="8" t="n">
        <v>5.71137815006143</v>
      </c>
      <c r="Q4" s="9" t="n">
        <v>0.175089089485214</v>
      </c>
      <c r="R4" s="8" t="n">
        <v>9.5</v>
      </c>
      <c r="S4" s="12" t="n">
        <f aca="false">IF(AND(ISNUMBER(R4),R4&gt;1,P4&gt;0),R4/P4-1,"")</f>
        <v>0.663346350109531</v>
      </c>
    </row>
    <row r="5" customFormat="false" ht="15" hidden="false" customHeight="false" outlineLevel="0" collapsed="false">
      <c r="A5" s="10" t="s">
        <v>43</v>
      </c>
      <c r="B5" s="10" t="s">
        <v>44</v>
      </c>
      <c r="C5" s="10" t="s">
        <v>45</v>
      </c>
      <c r="D5" s="10"/>
      <c r="E5" s="11" t="n">
        <v>8</v>
      </c>
      <c r="F5" s="10" t="s">
        <v>291</v>
      </c>
      <c r="G5" s="7" t="n">
        <v>9</v>
      </c>
      <c r="H5" s="10" t="s">
        <v>322</v>
      </c>
      <c r="I5" s="10" t="s">
        <v>323</v>
      </c>
      <c r="J5" s="10" t="s">
        <v>324</v>
      </c>
      <c r="K5" s="7" t="n">
        <v>6</v>
      </c>
      <c r="L5" s="7" t="n">
        <v>98</v>
      </c>
      <c r="M5" s="7" t="n">
        <v>3</v>
      </c>
      <c r="N5" s="7" t="n">
        <v>63</v>
      </c>
      <c r="O5" s="7" t="n">
        <v>4</v>
      </c>
      <c r="P5" s="8" t="n">
        <v>7.46448197386094</v>
      </c>
      <c r="Q5" s="9" t="n">
        <v>0.133967769431528</v>
      </c>
      <c r="R5" s="8" t="n">
        <v>5</v>
      </c>
      <c r="S5" s="12" t="n">
        <f aca="false">IF(AND(ISNUMBER(R5),R5&gt;1,P5&gt;0),R5/P5-1,"")</f>
        <v>-0.33016115284236</v>
      </c>
    </row>
    <row r="6" customFormat="false" ht="15" hidden="false" customHeight="false" outlineLevel="0" collapsed="false">
      <c r="A6" s="10" t="s">
        <v>43</v>
      </c>
      <c r="B6" s="10" t="s">
        <v>44</v>
      </c>
      <c r="C6" s="10" t="s">
        <v>45</v>
      </c>
      <c r="D6" s="10"/>
      <c r="E6" s="11" t="n">
        <v>8</v>
      </c>
      <c r="F6" s="10" t="s">
        <v>291</v>
      </c>
      <c r="G6" s="7" t="n">
        <v>9</v>
      </c>
      <c r="H6" s="10" t="s">
        <v>325</v>
      </c>
      <c r="I6" s="10" t="s">
        <v>326</v>
      </c>
      <c r="J6" s="10" t="s">
        <v>327</v>
      </c>
      <c r="K6" s="7" t="n">
        <v>1</v>
      </c>
      <c r="L6" s="7" t="n">
        <v>99</v>
      </c>
      <c r="M6" s="7" t="n">
        <v>5</v>
      </c>
      <c r="N6" s="7" t="n">
        <v>62</v>
      </c>
      <c r="O6" s="7" t="n">
        <v>5</v>
      </c>
      <c r="P6" s="8" t="n">
        <v>8.81110297136301</v>
      </c>
      <c r="Q6" s="9" t="n">
        <v>0.113493169158288</v>
      </c>
      <c r="R6" s="8" t="n">
        <v>5</v>
      </c>
      <c r="S6" s="12" t="n">
        <f aca="false">IF(AND(ISNUMBER(R6),R6&gt;1,P6&gt;0),R6/P6-1,"")</f>
        <v>-0.432534154208558</v>
      </c>
    </row>
    <row r="7" customFormat="false" ht="15" hidden="false" customHeight="false" outlineLevel="0" collapsed="false">
      <c r="A7" s="10" t="s">
        <v>43</v>
      </c>
      <c r="B7" s="10" t="s">
        <v>44</v>
      </c>
      <c r="C7" s="10" t="s">
        <v>45</v>
      </c>
      <c r="D7" s="10"/>
      <c r="E7" s="11" t="n">
        <v>8</v>
      </c>
      <c r="F7" s="10" t="s">
        <v>291</v>
      </c>
      <c r="G7" s="7" t="n">
        <v>9</v>
      </c>
      <c r="H7" s="10" t="s">
        <v>328</v>
      </c>
      <c r="I7" s="10" t="s">
        <v>329</v>
      </c>
      <c r="J7" s="10" t="s">
        <v>330</v>
      </c>
      <c r="K7" s="7" t="n">
        <v>3</v>
      </c>
      <c r="L7" s="7" t="n">
        <v>91</v>
      </c>
      <c r="M7" s="7" t="n">
        <v>3</v>
      </c>
      <c r="N7" s="7" t="n">
        <v>48</v>
      </c>
      <c r="O7" s="7" t="n">
        <v>6</v>
      </c>
      <c r="P7" s="8" t="n">
        <v>13.2243651481816</v>
      </c>
      <c r="Q7" s="9" t="n">
        <v>0.0756179966898074</v>
      </c>
      <c r="R7" s="8" t="n">
        <v>8.5</v>
      </c>
      <c r="S7" s="12" t="n">
        <f aca="false">IF(AND(ISNUMBER(R7),R7&gt;1,P7&gt;0),R7/P7-1,"")</f>
        <v>-0.357247028136636</v>
      </c>
    </row>
    <row r="8" customFormat="false" ht="15" hidden="false" customHeight="false" outlineLevel="0" collapsed="false">
      <c r="A8" s="10" t="s">
        <v>43</v>
      </c>
      <c r="B8" s="10" t="s">
        <v>44</v>
      </c>
      <c r="C8" s="10" t="s">
        <v>45</v>
      </c>
      <c r="D8" s="10"/>
      <c r="E8" s="11" t="n">
        <v>8</v>
      </c>
      <c r="F8" s="10" t="s">
        <v>291</v>
      </c>
      <c r="G8" s="7" t="n">
        <v>9</v>
      </c>
      <c r="H8" s="10" t="s">
        <v>331</v>
      </c>
      <c r="I8" s="10" t="s">
        <v>332</v>
      </c>
      <c r="J8" s="10" t="s">
        <v>333</v>
      </c>
      <c r="K8" s="7" t="n">
        <v>4</v>
      </c>
      <c r="L8" s="7" t="n">
        <v>85</v>
      </c>
      <c r="M8" s="7" t="n">
        <v>3</v>
      </c>
      <c r="N8" s="7" t="n">
        <v>20</v>
      </c>
      <c r="O8" s="7" t="n">
        <v>7</v>
      </c>
      <c r="P8" s="8" t="n">
        <v>17.7529840397422</v>
      </c>
      <c r="Q8" s="9" t="n">
        <v>0.0563285584981869</v>
      </c>
      <c r="R8" s="8" t="n">
        <v>17</v>
      </c>
      <c r="S8" s="12" t="n">
        <f aca="false">IF(AND(ISNUMBER(R8),R8&gt;1,P8&gt;0),R8/P8-1,"")</f>
        <v>-0.0424145055308214</v>
      </c>
    </row>
    <row r="9" customFormat="false" ht="15" hidden="false" customHeight="false" outlineLevel="0" collapsed="false">
      <c r="A9" s="10" t="s">
        <v>43</v>
      </c>
      <c r="B9" s="10" t="s">
        <v>44</v>
      </c>
      <c r="C9" s="10" t="s">
        <v>45</v>
      </c>
      <c r="D9" s="10"/>
      <c r="E9" s="11" t="n">
        <v>8</v>
      </c>
      <c r="F9" s="10" t="s">
        <v>291</v>
      </c>
      <c r="G9" s="7" t="n">
        <v>9</v>
      </c>
      <c r="H9" s="10" t="s">
        <v>334</v>
      </c>
      <c r="I9" s="10" t="s">
        <v>335</v>
      </c>
      <c r="J9" s="10" t="s">
        <v>336</v>
      </c>
      <c r="K9" s="7" t="n">
        <v>9</v>
      </c>
      <c r="L9" s="7" t="n">
        <v>86</v>
      </c>
      <c r="M9" s="7" t="n">
        <v>4</v>
      </c>
      <c r="N9" s="7" t="n">
        <v>18</v>
      </c>
      <c r="O9" s="7" t="n">
        <v>8</v>
      </c>
      <c r="P9" s="8" t="n">
        <v>24.6173398444875</v>
      </c>
      <c r="Q9" s="9" t="n">
        <v>0.0406217733645142</v>
      </c>
      <c r="R9" s="8" t="n">
        <v>17</v>
      </c>
      <c r="S9" s="12" t="n">
        <f aca="false">IF(AND(ISNUMBER(R9),R9&gt;1,P9&gt;0),R9/P9-1,"")</f>
        <v>-0.309429852803257</v>
      </c>
    </row>
    <row r="10" customFormat="false" ht="15" hidden="false" customHeight="false" outlineLevel="0" collapsed="false">
      <c r="A10" s="10" t="s">
        <v>43</v>
      </c>
      <c r="B10" s="10" t="s">
        <v>44</v>
      </c>
      <c r="C10" s="10" t="s">
        <v>45</v>
      </c>
      <c r="D10" s="10"/>
      <c r="E10" s="11" t="n">
        <v>8</v>
      </c>
      <c r="F10" s="10" t="s">
        <v>291</v>
      </c>
      <c r="G10" s="7" t="n">
        <v>9</v>
      </c>
      <c r="H10" s="10" t="s">
        <v>337</v>
      </c>
      <c r="I10" s="10" t="s">
        <v>338</v>
      </c>
      <c r="J10" s="10" t="s">
        <v>339</v>
      </c>
      <c r="K10" s="7" t="n">
        <v>8</v>
      </c>
      <c r="L10" s="7" t="n">
        <v>92</v>
      </c>
      <c r="M10" s="7" t="n">
        <v>5</v>
      </c>
      <c r="N10" s="7" t="n">
        <v>61</v>
      </c>
      <c r="O10" s="7" t="n">
        <v>9</v>
      </c>
      <c r="P10" s="8" t="n">
        <v>60.4689332374422</v>
      </c>
      <c r="Q10" s="9" t="n">
        <v>0.0165374175871983</v>
      </c>
      <c r="R10" s="8" t="n">
        <v>41</v>
      </c>
      <c r="S10" s="12" t="n">
        <f aca="false">IF(AND(ISNUMBER(R10),R10&gt;1,P10&gt;0),R10/P10-1,"")</f>
        <v>-0.321965878924868</v>
      </c>
    </row>
    <row r="11" customFormat="false" ht="15" hidden="false" customHeight="false" outlineLevel="0" collapsed="false">
      <c r="A11" s="10" t="s">
        <v>63</v>
      </c>
      <c r="B11" s="10" t="s">
        <v>44</v>
      </c>
      <c r="C11" s="10" t="s">
        <v>64</v>
      </c>
      <c r="D11" s="10"/>
      <c r="E11" s="11" t="n">
        <v>12</v>
      </c>
      <c r="F11" s="10" t="s">
        <v>291</v>
      </c>
      <c r="G11" s="7" t="n">
        <v>11</v>
      </c>
      <c r="H11" s="10" t="s">
        <v>65</v>
      </c>
      <c r="I11" s="10" t="s">
        <v>66</v>
      </c>
      <c r="J11" s="10" t="s">
        <v>67</v>
      </c>
      <c r="K11" s="7" t="n">
        <v>7</v>
      </c>
      <c r="L11" s="7" t="n">
        <v>110</v>
      </c>
      <c r="M11" s="7" t="n">
        <v>3</v>
      </c>
      <c r="N11" s="7" t="n">
        <v>36</v>
      </c>
      <c r="O11" s="7" t="n">
        <v>1</v>
      </c>
      <c r="P11" s="8" t="n">
        <v>3.85488282196891</v>
      </c>
      <c r="Q11" s="9" t="n">
        <v>0.259411257406066</v>
      </c>
      <c r="R11" s="8" t="n">
        <v>3.5</v>
      </c>
      <c r="S11" s="12" t="n">
        <f aca="false">IF(AND(ISNUMBER(R11),R11&gt;1,P11&gt;0),R11/P11-1,"")</f>
        <v>-0.0920605990787676</v>
      </c>
    </row>
    <row r="12" customFormat="false" ht="15" hidden="false" customHeight="false" outlineLevel="0" collapsed="false">
      <c r="A12" s="10" t="s">
        <v>63</v>
      </c>
      <c r="B12" s="10" t="s">
        <v>44</v>
      </c>
      <c r="C12" s="10" t="s">
        <v>64</v>
      </c>
      <c r="D12" s="10"/>
      <c r="E12" s="11" t="n">
        <v>12</v>
      </c>
      <c r="F12" s="10" t="s">
        <v>291</v>
      </c>
      <c r="G12" s="7" t="n">
        <v>11</v>
      </c>
      <c r="H12" s="10" t="s">
        <v>68</v>
      </c>
      <c r="I12" s="10" t="s">
        <v>323</v>
      </c>
      <c r="J12" s="10" t="s">
        <v>393</v>
      </c>
      <c r="K12" s="7" t="n">
        <v>1</v>
      </c>
      <c r="L12" s="7" t="n">
        <v>108</v>
      </c>
      <c r="M12" s="7" t="n">
        <v>3</v>
      </c>
      <c r="N12" s="7" t="n">
        <v>15</v>
      </c>
      <c r="O12" s="7" t="n">
        <v>2</v>
      </c>
      <c r="P12" s="8" t="n">
        <v>4.71382415860068</v>
      </c>
      <c r="Q12" s="9" t="n">
        <v>0.212141982041361</v>
      </c>
      <c r="R12" s="8" t="n">
        <v>4.5</v>
      </c>
      <c r="S12" s="12" t="n">
        <f aca="false">IF(AND(ISNUMBER(R12),R12&gt;1,P12&gt;0),R12/P12-1,"")</f>
        <v>-0.0453610808138748</v>
      </c>
    </row>
    <row r="13" customFormat="false" ht="15" hidden="false" customHeight="false" outlineLevel="0" collapsed="false">
      <c r="A13" s="10" t="s">
        <v>63</v>
      </c>
      <c r="B13" s="10" t="s">
        <v>44</v>
      </c>
      <c r="C13" s="10" t="s">
        <v>64</v>
      </c>
      <c r="D13" s="10"/>
      <c r="E13" s="11" t="n">
        <v>12</v>
      </c>
      <c r="F13" s="10" t="s">
        <v>291</v>
      </c>
      <c r="G13" s="7" t="n">
        <v>11</v>
      </c>
      <c r="H13" s="10" t="s">
        <v>394</v>
      </c>
      <c r="I13" s="10" t="s">
        <v>111</v>
      </c>
      <c r="J13" s="10" t="s">
        <v>318</v>
      </c>
      <c r="K13" s="7" t="n">
        <v>3</v>
      </c>
      <c r="L13" s="7" t="n">
        <v>92</v>
      </c>
      <c r="M13" s="7" t="n">
        <v>3</v>
      </c>
      <c r="N13" s="7" t="n">
        <v>18</v>
      </c>
      <c r="O13" s="7" t="n">
        <v>3</v>
      </c>
      <c r="P13" s="8" t="n">
        <v>6.81873413621548</v>
      </c>
      <c r="Q13" s="9" t="n">
        <v>0.146654786654436</v>
      </c>
      <c r="R13" s="8" t="n">
        <v>4.5</v>
      </c>
      <c r="S13" s="12" t="n">
        <f aca="false">IF(AND(ISNUMBER(R13),R13&gt;1,P13&gt;0),R13/P13-1,"")</f>
        <v>-0.340053460055039</v>
      </c>
    </row>
    <row r="14" customFormat="false" ht="15" hidden="false" customHeight="false" outlineLevel="0" collapsed="false">
      <c r="A14" s="10" t="s">
        <v>63</v>
      </c>
      <c r="B14" s="10" t="s">
        <v>44</v>
      </c>
      <c r="C14" s="10" t="s">
        <v>64</v>
      </c>
      <c r="D14" s="10"/>
      <c r="E14" s="11" t="n">
        <v>12</v>
      </c>
      <c r="F14" s="10" t="s">
        <v>291</v>
      </c>
      <c r="G14" s="7" t="n">
        <v>11</v>
      </c>
      <c r="H14" s="10" t="s">
        <v>395</v>
      </c>
      <c r="I14" s="10" t="s">
        <v>396</v>
      </c>
      <c r="J14" s="10" t="s">
        <v>333</v>
      </c>
      <c r="K14" s="7" t="n">
        <v>12</v>
      </c>
      <c r="L14" s="7" t="n">
        <v>105</v>
      </c>
      <c r="M14" s="7" t="n">
        <v>4</v>
      </c>
      <c r="N14" s="7" t="n">
        <v>96</v>
      </c>
      <c r="O14" s="7" t="n">
        <v>4</v>
      </c>
      <c r="P14" s="8" t="n">
        <v>9.961102114684</v>
      </c>
      <c r="Q14" s="9" t="n">
        <v>0.100390497807052</v>
      </c>
      <c r="R14" s="8" t="n">
        <v>7.5</v>
      </c>
      <c r="S14" s="12" t="n">
        <f aca="false">IF(AND(ISNUMBER(R14),R14&gt;1,P14&gt;0),R14/P14-1,"")</f>
        <v>-0.247071266447114</v>
      </c>
    </row>
    <row r="15" customFormat="false" ht="15" hidden="false" customHeight="false" outlineLevel="0" collapsed="false">
      <c r="A15" s="10" t="s">
        <v>63</v>
      </c>
      <c r="B15" s="10" t="s">
        <v>44</v>
      </c>
      <c r="C15" s="10" t="s">
        <v>64</v>
      </c>
      <c r="D15" s="10"/>
      <c r="E15" s="11" t="n">
        <v>12</v>
      </c>
      <c r="F15" s="10" t="s">
        <v>291</v>
      </c>
      <c r="G15" s="7" t="n">
        <v>11</v>
      </c>
      <c r="H15" s="10" t="s">
        <v>397</v>
      </c>
      <c r="I15" s="10" t="s">
        <v>151</v>
      </c>
      <c r="J15" s="10" t="s">
        <v>318</v>
      </c>
      <c r="K15" s="7" t="n">
        <v>10</v>
      </c>
      <c r="L15" s="7" t="n">
        <v>95</v>
      </c>
      <c r="M15" s="7" t="n">
        <v>3</v>
      </c>
      <c r="N15" s="7" t="n">
        <v>55</v>
      </c>
      <c r="O15" s="7" t="n">
        <v>5</v>
      </c>
      <c r="P15" s="8" t="n">
        <v>13.9390276984</v>
      </c>
      <c r="Q15" s="9" t="n">
        <v>0.0717410153446202</v>
      </c>
      <c r="R15" s="8" t="n">
        <v>23</v>
      </c>
      <c r="S15" s="12" t="n">
        <f aca="false">IF(AND(ISNUMBER(R15),R15&gt;1,P15&gt;0),R15/P15-1,"")</f>
        <v>0.650043352926265</v>
      </c>
    </row>
    <row r="16" customFormat="false" ht="15" hidden="false" customHeight="false" outlineLevel="0" collapsed="false">
      <c r="A16" s="10" t="s">
        <v>63</v>
      </c>
      <c r="B16" s="10" t="s">
        <v>44</v>
      </c>
      <c r="C16" s="10" t="s">
        <v>64</v>
      </c>
      <c r="D16" s="10"/>
      <c r="E16" s="11" t="n">
        <v>12</v>
      </c>
      <c r="F16" s="10" t="s">
        <v>291</v>
      </c>
      <c r="G16" s="7" t="n">
        <v>11</v>
      </c>
      <c r="H16" s="10" t="s">
        <v>398</v>
      </c>
      <c r="I16" s="10" t="s">
        <v>338</v>
      </c>
      <c r="J16" s="10" t="s">
        <v>399</v>
      </c>
      <c r="K16" s="7" t="n">
        <v>4</v>
      </c>
      <c r="L16" s="7" t="n">
        <v>96</v>
      </c>
      <c r="M16" s="7" t="n">
        <v>3</v>
      </c>
      <c r="N16" s="7" t="n">
        <v>36</v>
      </c>
      <c r="O16" s="7" t="n">
        <v>6</v>
      </c>
      <c r="P16" s="8" t="n">
        <v>14.21590261185</v>
      </c>
      <c r="Q16" s="9" t="n">
        <v>0.0703437570799359</v>
      </c>
      <c r="R16" s="8" t="n">
        <v>10</v>
      </c>
      <c r="S16" s="12" t="n">
        <f aca="false">IF(AND(ISNUMBER(R16),R16&gt;1,P16&gt;0),R16/P16-1,"")</f>
        <v>-0.296562429200641</v>
      </c>
    </row>
    <row r="17" customFormat="false" ht="15" hidden="false" customHeight="false" outlineLevel="0" collapsed="false">
      <c r="A17" s="10" t="s">
        <v>63</v>
      </c>
      <c r="B17" s="10" t="s">
        <v>44</v>
      </c>
      <c r="C17" s="10" t="s">
        <v>64</v>
      </c>
      <c r="D17" s="10"/>
      <c r="E17" s="11" t="n">
        <v>12</v>
      </c>
      <c r="F17" s="10" t="s">
        <v>291</v>
      </c>
      <c r="G17" s="7" t="n">
        <v>11</v>
      </c>
      <c r="H17" s="10" t="s">
        <v>400</v>
      </c>
      <c r="I17" s="10" t="s">
        <v>89</v>
      </c>
      <c r="J17" s="10" t="s">
        <v>327</v>
      </c>
      <c r="K17" s="7" t="n">
        <v>6</v>
      </c>
      <c r="L17" s="7" t="n">
        <v>100</v>
      </c>
      <c r="M17" s="7" t="n">
        <v>5</v>
      </c>
      <c r="N17" s="7" t="n">
        <v>55</v>
      </c>
      <c r="O17" s="7" t="n">
        <v>7</v>
      </c>
      <c r="P17" s="8" t="n">
        <v>14.5007528228419</v>
      </c>
      <c r="Q17" s="9" t="n">
        <v>0.0689619368192233</v>
      </c>
      <c r="R17" s="8" t="n">
        <v>7.5</v>
      </c>
      <c r="S17" s="12" t="n">
        <f aca="false">IF(AND(ISNUMBER(R17),R17&gt;1,P17&gt;0),R17/P17-1,"")</f>
        <v>-0.482785473855825</v>
      </c>
    </row>
    <row r="18" customFormat="false" ht="15" hidden="false" customHeight="false" outlineLevel="0" collapsed="false">
      <c r="A18" s="10" t="s">
        <v>63</v>
      </c>
      <c r="B18" s="10" t="s">
        <v>44</v>
      </c>
      <c r="C18" s="10" t="s">
        <v>64</v>
      </c>
      <c r="D18" s="10"/>
      <c r="E18" s="11" t="n">
        <v>12</v>
      </c>
      <c r="F18" s="10" t="s">
        <v>291</v>
      </c>
      <c r="G18" s="7" t="n">
        <v>11</v>
      </c>
      <c r="H18" s="10" t="s">
        <v>401</v>
      </c>
      <c r="I18" s="10" t="s">
        <v>47</v>
      </c>
      <c r="J18" s="10" t="s">
        <v>48</v>
      </c>
      <c r="K18" s="7" t="n">
        <v>11</v>
      </c>
      <c r="L18" s="7" t="n">
        <v>97</v>
      </c>
      <c r="M18" s="7" t="n">
        <v>6</v>
      </c>
      <c r="N18" s="7" t="n">
        <v>48</v>
      </c>
      <c r="O18" s="7" t="n">
        <v>8</v>
      </c>
      <c r="P18" s="8" t="n">
        <v>44.8524794535086</v>
      </c>
      <c r="Q18" s="9" t="n">
        <v>0.0222953114785224</v>
      </c>
      <c r="R18" s="8" t="n">
        <v>26</v>
      </c>
      <c r="S18" s="12" t="n">
        <f aca="false">IF(AND(ISNUMBER(R18),R18&gt;1,P18&gt;0),R18/P18-1,"")</f>
        <v>-0.420321901558417</v>
      </c>
    </row>
    <row r="19" customFormat="false" ht="15" hidden="false" customHeight="false" outlineLevel="0" collapsed="false">
      <c r="A19" s="10" t="s">
        <v>63</v>
      </c>
      <c r="B19" s="10" t="s">
        <v>44</v>
      </c>
      <c r="C19" s="10" t="s">
        <v>64</v>
      </c>
      <c r="D19" s="10"/>
      <c r="E19" s="11" t="n">
        <v>12</v>
      </c>
      <c r="F19" s="10" t="s">
        <v>291</v>
      </c>
      <c r="G19" s="7" t="n">
        <v>11</v>
      </c>
      <c r="H19" s="10" t="s">
        <v>402</v>
      </c>
      <c r="I19" s="10" t="s">
        <v>403</v>
      </c>
      <c r="J19" s="10" t="s">
        <v>404</v>
      </c>
      <c r="K19" s="7" t="n">
        <v>9</v>
      </c>
      <c r="L19" s="7" t="n">
        <v>95</v>
      </c>
      <c r="M19" s="7" t="n">
        <v>3</v>
      </c>
      <c r="N19" s="7" t="n">
        <v>99</v>
      </c>
      <c r="O19" s="7" t="n">
        <v>9</v>
      </c>
      <c r="P19" s="8" t="n">
        <v>53.0560235378611</v>
      </c>
      <c r="Q19" s="9" t="n">
        <v>0.018848001288419</v>
      </c>
      <c r="R19" s="8" t="n">
        <v>51</v>
      </c>
      <c r="S19" s="12" t="n">
        <f aca="false">IF(AND(ISNUMBER(R19),R19&gt;1,P19&gt;0),R19/P19-1,"")</f>
        <v>-0.0387519342906261</v>
      </c>
    </row>
    <row r="20" customFormat="false" ht="15" hidden="false" customHeight="false" outlineLevel="0" collapsed="false">
      <c r="A20" s="10" t="s">
        <v>63</v>
      </c>
      <c r="B20" s="10" t="s">
        <v>44</v>
      </c>
      <c r="C20" s="10" t="s">
        <v>64</v>
      </c>
      <c r="D20" s="10"/>
      <c r="E20" s="11" t="n">
        <v>12</v>
      </c>
      <c r="F20" s="10" t="s">
        <v>291</v>
      </c>
      <c r="G20" s="7" t="n">
        <v>11</v>
      </c>
      <c r="H20" s="10" t="s">
        <v>405</v>
      </c>
      <c r="I20" s="10" t="s">
        <v>320</v>
      </c>
      <c r="J20" s="10" t="s">
        <v>324</v>
      </c>
      <c r="K20" s="7" t="n">
        <v>8</v>
      </c>
      <c r="L20" s="7" t="n">
        <v>98</v>
      </c>
      <c r="M20" s="7" t="n">
        <v>4</v>
      </c>
      <c r="N20" s="7" t="n">
        <v>36</v>
      </c>
      <c r="O20" s="7" t="n">
        <v>10</v>
      </c>
      <c r="P20" s="8" t="n">
        <v>59.6394306923488</v>
      </c>
      <c r="Q20" s="9" t="n">
        <v>0.0167674303458482</v>
      </c>
      <c r="R20" s="8" t="n">
        <v>67</v>
      </c>
      <c r="S20" s="12" t="n">
        <f aca="false">IF(AND(ISNUMBER(R20),R20&gt;1,P20&gt;0),R20/P20-1,"")</f>
        <v>0.12341783317183</v>
      </c>
    </row>
    <row r="21" customFormat="false" ht="15" hidden="false" customHeight="false" outlineLevel="0" collapsed="false">
      <c r="A21" s="10" t="s">
        <v>63</v>
      </c>
      <c r="B21" s="10" t="s">
        <v>44</v>
      </c>
      <c r="C21" s="10" t="s">
        <v>64</v>
      </c>
      <c r="D21" s="10"/>
      <c r="E21" s="11" t="n">
        <v>12</v>
      </c>
      <c r="F21" s="10" t="s">
        <v>291</v>
      </c>
      <c r="G21" s="7" t="n">
        <v>11</v>
      </c>
      <c r="H21" s="10" t="s">
        <v>406</v>
      </c>
      <c r="I21" s="10" t="s">
        <v>259</v>
      </c>
      <c r="J21" s="10" t="s">
        <v>407</v>
      </c>
      <c r="K21" s="7" t="n">
        <v>5</v>
      </c>
      <c r="L21" s="7" t="n">
        <v>95</v>
      </c>
      <c r="M21" s="7" t="n">
        <v>4</v>
      </c>
      <c r="N21" s="7" t="n">
        <v>36</v>
      </c>
      <c r="O21" s="7" t="n">
        <v>11</v>
      </c>
      <c r="P21" s="8" t="n">
        <v>80.3598595867596</v>
      </c>
      <c r="Q21" s="9" t="n">
        <v>0.0124440237345158</v>
      </c>
      <c r="R21" s="8" t="n">
        <v>151</v>
      </c>
      <c r="S21" s="12" t="n">
        <f aca="false">IF(AND(ISNUMBER(R21),R21&gt;1,P21&gt;0),R21/P21-1,"")</f>
        <v>0.879047583911899</v>
      </c>
    </row>
    <row r="22" customFormat="false" ht="15" hidden="false" customHeight="false" outlineLevel="0" collapsed="false">
      <c r="A22" s="10" t="s">
        <v>86</v>
      </c>
      <c r="B22" s="10" t="s">
        <v>44</v>
      </c>
      <c r="C22" s="10" t="s">
        <v>87</v>
      </c>
      <c r="D22" s="10"/>
      <c r="E22" s="11" t="n">
        <v>7</v>
      </c>
      <c r="F22" s="10" t="s">
        <v>291</v>
      </c>
      <c r="G22" s="7" t="n">
        <v>9</v>
      </c>
      <c r="H22" s="10" t="s">
        <v>88</v>
      </c>
      <c r="I22" s="10" t="s">
        <v>89</v>
      </c>
      <c r="J22" s="10" t="s">
        <v>90</v>
      </c>
      <c r="K22" s="7" t="n">
        <v>4</v>
      </c>
      <c r="L22" s="7" t="n">
        <v>101</v>
      </c>
      <c r="M22" s="7" t="n">
        <v>2</v>
      </c>
      <c r="N22" s="7" t="n">
        <v>26</v>
      </c>
      <c r="O22" s="7" t="n">
        <v>1</v>
      </c>
      <c r="P22" s="8" t="n">
        <v>3.94469773775564</v>
      </c>
      <c r="Q22" s="9" t="n">
        <v>0.253504847894621</v>
      </c>
      <c r="R22" s="8" t="n">
        <v>5</v>
      </c>
      <c r="S22" s="12" t="n">
        <f aca="false">IF(AND(ISNUMBER(R22),R22&gt;1,P22&gt;0),R22/P22-1,"")</f>
        <v>0.267524239473106</v>
      </c>
    </row>
    <row r="23" customFormat="false" ht="15" hidden="false" customHeight="false" outlineLevel="0" collapsed="false">
      <c r="A23" s="10" t="s">
        <v>86</v>
      </c>
      <c r="B23" s="10" t="s">
        <v>44</v>
      </c>
      <c r="C23" s="10" t="s">
        <v>87</v>
      </c>
      <c r="D23" s="10"/>
      <c r="E23" s="11" t="n">
        <v>7</v>
      </c>
      <c r="F23" s="10" t="s">
        <v>291</v>
      </c>
      <c r="G23" s="7" t="n">
        <v>9</v>
      </c>
      <c r="H23" s="10" t="s">
        <v>91</v>
      </c>
      <c r="I23" s="10" t="s">
        <v>259</v>
      </c>
      <c r="J23" s="10" t="s">
        <v>318</v>
      </c>
      <c r="K23" s="7" t="n">
        <v>7</v>
      </c>
      <c r="L23" s="7" t="n">
        <v>88</v>
      </c>
      <c r="M23" s="7" t="n">
        <v>2</v>
      </c>
      <c r="N23" s="7" t="n">
        <v>36</v>
      </c>
      <c r="O23" s="7" t="n">
        <v>2</v>
      </c>
      <c r="P23" s="8" t="n">
        <v>4.40548443421583</v>
      </c>
      <c r="Q23" s="9" t="n">
        <v>0.226989793048264</v>
      </c>
      <c r="R23" s="8" t="n">
        <v>2.75</v>
      </c>
      <c r="S23" s="12" t="n">
        <f aca="false">IF(AND(ISNUMBER(R23),R23&gt;1,P23&gt;0),R23/P23-1,"")</f>
        <v>-0.375778069117274</v>
      </c>
    </row>
    <row r="24" customFormat="false" ht="15" hidden="false" customHeight="false" outlineLevel="0" collapsed="false">
      <c r="A24" s="10" t="s">
        <v>86</v>
      </c>
      <c r="B24" s="10" t="s">
        <v>44</v>
      </c>
      <c r="C24" s="10" t="s">
        <v>87</v>
      </c>
      <c r="D24" s="10"/>
      <c r="E24" s="11" t="n">
        <v>7</v>
      </c>
      <c r="F24" s="10" t="s">
        <v>291</v>
      </c>
      <c r="G24" s="7" t="n">
        <v>9</v>
      </c>
      <c r="H24" s="10" t="s">
        <v>495</v>
      </c>
      <c r="I24" s="10" t="s">
        <v>496</v>
      </c>
      <c r="J24" s="10" t="s">
        <v>497</v>
      </c>
      <c r="K24" s="7" t="n">
        <v>8</v>
      </c>
      <c r="L24" s="7" t="n">
        <v>102</v>
      </c>
      <c r="M24" s="7" t="n">
        <v>2</v>
      </c>
      <c r="N24" s="7" t="n">
        <v>48</v>
      </c>
      <c r="O24" s="7" t="n">
        <v>3</v>
      </c>
      <c r="P24" s="8" t="n">
        <v>6.94099790647129</v>
      </c>
      <c r="Q24" s="9" t="n">
        <v>0.144071502898405</v>
      </c>
      <c r="R24" s="8" t="n">
        <v>6</v>
      </c>
      <c r="S24" s="12" t="n">
        <f aca="false">IF(AND(ISNUMBER(R24),R24&gt;1,P24&gt;0),R24/P24-1,"")</f>
        <v>-0.135570982609571</v>
      </c>
    </row>
    <row r="25" customFormat="false" ht="15" hidden="false" customHeight="false" outlineLevel="0" collapsed="false">
      <c r="A25" s="10" t="s">
        <v>86</v>
      </c>
      <c r="B25" s="10" t="s">
        <v>44</v>
      </c>
      <c r="C25" s="10" t="s">
        <v>87</v>
      </c>
      <c r="D25" s="10"/>
      <c r="E25" s="11" t="n">
        <v>7</v>
      </c>
      <c r="F25" s="10" t="s">
        <v>291</v>
      </c>
      <c r="G25" s="7" t="n">
        <v>9</v>
      </c>
      <c r="H25" s="10" t="s">
        <v>498</v>
      </c>
      <c r="I25" s="10" t="s">
        <v>111</v>
      </c>
      <c r="J25" s="10" t="s">
        <v>399</v>
      </c>
      <c r="K25" s="7" t="n">
        <v>6</v>
      </c>
      <c r="L25" s="7" t="n">
        <v>85</v>
      </c>
      <c r="M25" s="7" t="n">
        <v>2</v>
      </c>
      <c r="N25" s="7" t="n">
        <v>22</v>
      </c>
      <c r="O25" s="7" t="n">
        <v>4</v>
      </c>
      <c r="P25" s="8" t="n">
        <v>8.15501271442708</v>
      </c>
      <c r="Q25" s="9" t="n">
        <v>0.122623965776398</v>
      </c>
      <c r="R25" s="8" t="n">
        <v>8</v>
      </c>
      <c r="S25" s="12" t="n">
        <f aca="false">IF(AND(ISNUMBER(R25),R25&gt;1,P25&gt;0),R25/P25-1,"")</f>
        <v>-0.0190082737888126</v>
      </c>
    </row>
    <row r="26" customFormat="false" ht="15" hidden="false" customHeight="false" outlineLevel="0" collapsed="false">
      <c r="A26" s="10" t="s">
        <v>86</v>
      </c>
      <c r="B26" s="10" t="s">
        <v>44</v>
      </c>
      <c r="C26" s="10" t="s">
        <v>87</v>
      </c>
      <c r="D26" s="10"/>
      <c r="E26" s="11" t="n">
        <v>7</v>
      </c>
      <c r="F26" s="10" t="s">
        <v>291</v>
      </c>
      <c r="G26" s="7" t="n">
        <v>9</v>
      </c>
      <c r="H26" s="10" t="s">
        <v>499</v>
      </c>
      <c r="I26" s="10" t="s">
        <v>335</v>
      </c>
      <c r="J26" s="10" t="s">
        <v>500</v>
      </c>
      <c r="K26" s="7" t="n">
        <v>2</v>
      </c>
      <c r="L26" s="7" t="n">
        <v>94</v>
      </c>
      <c r="M26" s="7" t="n">
        <v>2</v>
      </c>
      <c r="N26" s="7" t="n">
        <v>15</v>
      </c>
      <c r="O26" s="7" t="n">
        <v>5</v>
      </c>
      <c r="P26" s="8" t="n">
        <v>9.59273057845181</v>
      </c>
      <c r="Q26" s="9" t="n">
        <v>0.104245604713042</v>
      </c>
      <c r="R26" s="8" t="n">
        <v>10</v>
      </c>
      <c r="S26" s="12" t="n">
        <f aca="false">IF(AND(ISNUMBER(R26),R26&gt;1,P26&gt;0),R26/P26-1,"")</f>
        <v>0.0424560471304221</v>
      </c>
    </row>
    <row r="27" customFormat="false" ht="15" hidden="false" customHeight="false" outlineLevel="0" collapsed="false">
      <c r="A27" s="10" t="s">
        <v>86</v>
      </c>
      <c r="B27" s="10" t="s">
        <v>44</v>
      </c>
      <c r="C27" s="10" t="s">
        <v>87</v>
      </c>
      <c r="D27" s="10"/>
      <c r="E27" s="11" t="n">
        <v>7</v>
      </c>
      <c r="F27" s="10" t="s">
        <v>291</v>
      </c>
      <c r="G27" s="7" t="n">
        <v>9</v>
      </c>
      <c r="H27" s="10" t="s">
        <v>501</v>
      </c>
      <c r="I27" s="10" t="s">
        <v>151</v>
      </c>
      <c r="J27" s="10" t="s">
        <v>502</v>
      </c>
      <c r="K27" s="7" t="n">
        <v>1</v>
      </c>
      <c r="L27" s="7" t="n">
        <v>87</v>
      </c>
      <c r="M27" s="7" t="n">
        <v>2</v>
      </c>
      <c r="N27" s="7" t="n">
        <v>99</v>
      </c>
      <c r="O27" s="7" t="n">
        <v>6</v>
      </c>
      <c r="P27" s="8" t="n">
        <v>18.1476530267056</v>
      </c>
      <c r="Q27" s="9" t="n">
        <v>0.0551035441623458</v>
      </c>
      <c r="R27" s="8" t="n">
        <v>26</v>
      </c>
      <c r="S27" s="12" t="n">
        <f aca="false">IF(AND(ISNUMBER(R27),R27&gt;1,P27&gt;0),R27/P27-1,"")</f>
        <v>0.432692148220993</v>
      </c>
    </row>
    <row r="28" customFormat="false" ht="15" hidden="false" customHeight="false" outlineLevel="0" collapsed="false">
      <c r="A28" s="10" t="s">
        <v>86</v>
      </c>
      <c r="B28" s="10" t="s">
        <v>44</v>
      </c>
      <c r="C28" s="10" t="s">
        <v>87</v>
      </c>
      <c r="D28" s="10"/>
      <c r="E28" s="11" t="n">
        <v>7</v>
      </c>
      <c r="F28" s="10" t="s">
        <v>291</v>
      </c>
      <c r="G28" s="7" t="n">
        <v>9</v>
      </c>
      <c r="H28" s="10" t="s">
        <v>503</v>
      </c>
      <c r="I28" s="10" t="s">
        <v>332</v>
      </c>
      <c r="J28" s="10" t="s">
        <v>321</v>
      </c>
      <c r="K28" s="7" t="n">
        <v>3</v>
      </c>
      <c r="L28" s="7" t="n">
        <v>86</v>
      </c>
      <c r="M28" s="7" t="n">
        <v>2</v>
      </c>
      <c r="N28" s="7" t="n">
        <v>20</v>
      </c>
      <c r="O28" s="7" t="n">
        <v>7</v>
      </c>
      <c r="P28" s="8" t="n">
        <v>23.5950325298695</v>
      </c>
      <c r="Q28" s="9" t="n">
        <v>0.0423818021328887</v>
      </c>
      <c r="R28" s="8" t="n">
        <v>9.5</v>
      </c>
      <c r="S28" s="12" t="n">
        <f aca="false">IF(AND(ISNUMBER(R28),R28&gt;1,P28&gt;0),R28/P28-1,"")</f>
        <v>-0.597372879737557</v>
      </c>
    </row>
    <row r="29" customFormat="false" ht="15" hidden="false" customHeight="false" outlineLevel="0" collapsed="false">
      <c r="A29" s="10" t="s">
        <v>86</v>
      </c>
      <c r="B29" s="10" t="s">
        <v>44</v>
      </c>
      <c r="C29" s="10" t="s">
        <v>87</v>
      </c>
      <c r="D29" s="10"/>
      <c r="E29" s="11" t="n">
        <v>7</v>
      </c>
      <c r="F29" s="10" t="s">
        <v>291</v>
      </c>
      <c r="G29" s="7" t="n">
        <v>9</v>
      </c>
      <c r="H29" s="10" t="s">
        <v>504</v>
      </c>
      <c r="I29" s="10" t="s">
        <v>505</v>
      </c>
      <c r="J29" s="10" t="s">
        <v>506</v>
      </c>
      <c r="K29" s="7" t="n">
        <v>9</v>
      </c>
      <c r="L29" s="7" t="n">
        <v>94</v>
      </c>
      <c r="M29" s="7" t="n">
        <v>2</v>
      </c>
      <c r="N29" s="7" t="n">
        <v>6</v>
      </c>
      <c r="O29" s="7" t="n">
        <v>8</v>
      </c>
      <c r="P29" s="8" t="n">
        <v>30.1070669149177</v>
      </c>
      <c r="Q29" s="9" t="n">
        <v>0.0332147931522519</v>
      </c>
      <c r="R29" s="8" t="n">
        <v>23</v>
      </c>
      <c r="S29" s="12" t="n">
        <f aca="false">IF(AND(ISNUMBER(R29),R29&gt;1,P29&gt;0),R29/P29-1,"")</f>
        <v>-0.236059757498205</v>
      </c>
    </row>
    <row r="30" customFormat="false" ht="15" hidden="false" customHeight="false" outlineLevel="0" collapsed="false">
      <c r="A30" s="10" t="s">
        <v>86</v>
      </c>
      <c r="B30" s="10" t="s">
        <v>44</v>
      </c>
      <c r="C30" s="10" t="s">
        <v>87</v>
      </c>
      <c r="D30" s="10"/>
      <c r="E30" s="11" t="n">
        <v>7</v>
      </c>
      <c r="F30" s="10" t="s">
        <v>291</v>
      </c>
      <c r="G30" s="7" t="n">
        <v>9</v>
      </c>
      <c r="H30" s="10" t="s">
        <v>507</v>
      </c>
      <c r="I30" s="10" t="s">
        <v>323</v>
      </c>
      <c r="J30" s="10" t="s">
        <v>266</v>
      </c>
      <c r="K30" s="7" t="n">
        <v>10</v>
      </c>
      <c r="L30" s="7" t="n">
        <v>79</v>
      </c>
      <c r="M30" s="7" t="n">
        <v>2</v>
      </c>
      <c r="N30" s="7" t="n">
        <v>26</v>
      </c>
      <c r="O30" s="7" t="n">
        <v>9</v>
      </c>
      <c r="P30" s="8" t="n">
        <v>55.9780460585712</v>
      </c>
      <c r="Q30" s="9" t="n">
        <v>0.0178641462217826</v>
      </c>
      <c r="R30" s="8" t="n">
        <v>41</v>
      </c>
      <c r="S30" s="12" t="n">
        <f aca="false">IF(AND(ISNUMBER(R30),R30&gt;1,P30&gt;0),R30/P30-1,"")</f>
        <v>-0.267570004906911</v>
      </c>
    </row>
    <row r="31" customFormat="false" ht="15" hidden="false" customHeight="false" outlineLevel="0" collapsed="false">
      <c r="A31" s="10" t="s">
        <v>108</v>
      </c>
      <c r="B31" s="10" t="s">
        <v>44</v>
      </c>
      <c r="C31" s="10" t="s">
        <v>109</v>
      </c>
      <c r="D31" s="10"/>
      <c r="E31" s="11" t="n">
        <v>8</v>
      </c>
      <c r="F31" s="10" t="s">
        <v>291</v>
      </c>
      <c r="G31" s="7" t="n">
        <v>7</v>
      </c>
      <c r="H31" s="10" t="s">
        <v>110</v>
      </c>
      <c r="I31" s="10" t="s">
        <v>111</v>
      </c>
      <c r="J31" s="10" t="s">
        <v>96</v>
      </c>
      <c r="K31" s="7" t="n">
        <v>6</v>
      </c>
      <c r="L31" s="7" t="n">
        <v>116</v>
      </c>
      <c r="M31" s="7" t="n">
        <v>3</v>
      </c>
      <c r="N31" s="7" t="n">
        <v>56</v>
      </c>
      <c r="O31" s="7" t="n">
        <v>1</v>
      </c>
      <c r="P31" s="8" t="n">
        <v>1.83132428732785</v>
      </c>
      <c r="Q31" s="9" t="n">
        <v>0.546052933890334</v>
      </c>
      <c r="R31" s="8" t="n">
        <v>1.57142857142857</v>
      </c>
      <c r="S31" s="12" t="n">
        <f aca="false">IF(AND(ISNUMBER(R31),R31&gt;1,P31&gt;0),R31/P31-1,"")</f>
        <v>-0.141916818172332</v>
      </c>
    </row>
    <row r="32" customFormat="false" ht="15" hidden="false" customHeight="false" outlineLevel="0" collapsed="false">
      <c r="A32" s="10" t="s">
        <v>108</v>
      </c>
      <c r="B32" s="10" t="s">
        <v>44</v>
      </c>
      <c r="C32" s="10" t="s">
        <v>109</v>
      </c>
      <c r="D32" s="10"/>
      <c r="E32" s="11" t="n">
        <v>8</v>
      </c>
      <c r="F32" s="10" t="s">
        <v>291</v>
      </c>
      <c r="G32" s="7" t="n">
        <v>7</v>
      </c>
      <c r="H32" s="10" t="s">
        <v>112</v>
      </c>
      <c r="I32" s="10" t="s">
        <v>89</v>
      </c>
      <c r="J32" s="10" t="s">
        <v>418</v>
      </c>
      <c r="K32" s="7" t="n">
        <v>4</v>
      </c>
      <c r="L32" s="7" t="n">
        <v>114</v>
      </c>
      <c r="M32" s="7" t="n">
        <v>5</v>
      </c>
      <c r="N32" s="7" t="n">
        <v>20</v>
      </c>
      <c r="O32" s="7" t="n">
        <v>2</v>
      </c>
      <c r="P32" s="8" t="n">
        <v>6.78689077841678</v>
      </c>
      <c r="Q32" s="9" t="n">
        <v>0.147342875058508</v>
      </c>
      <c r="R32" s="8" t="n">
        <v>8</v>
      </c>
      <c r="S32" s="12" t="n">
        <f aca="false">IF(AND(ISNUMBER(R32),R32&gt;1,P32&gt;0),R32/P32-1,"")</f>
        <v>0.17874300046806</v>
      </c>
    </row>
    <row r="33" customFormat="false" ht="15" hidden="false" customHeight="false" outlineLevel="0" collapsed="false">
      <c r="A33" s="10" t="s">
        <v>108</v>
      </c>
      <c r="B33" s="10" t="s">
        <v>44</v>
      </c>
      <c r="C33" s="10" t="s">
        <v>109</v>
      </c>
      <c r="D33" s="10"/>
      <c r="E33" s="11" t="n">
        <v>8</v>
      </c>
      <c r="F33" s="10" t="s">
        <v>291</v>
      </c>
      <c r="G33" s="7" t="n">
        <v>7</v>
      </c>
      <c r="H33" s="10" t="s">
        <v>583</v>
      </c>
      <c r="I33" s="10" t="s">
        <v>323</v>
      </c>
      <c r="J33" s="10" t="s">
        <v>393</v>
      </c>
      <c r="K33" s="7" t="n">
        <v>5</v>
      </c>
      <c r="L33" s="7" t="n">
        <v>110</v>
      </c>
      <c r="M33" s="7" t="n">
        <v>4</v>
      </c>
      <c r="N33" s="7" t="n">
        <v>20</v>
      </c>
      <c r="O33" s="7" t="n">
        <v>3</v>
      </c>
      <c r="P33" s="8" t="n">
        <v>7.70527438970528</v>
      </c>
      <c r="Q33" s="9" t="n">
        <v>0.129781231585479</v>
      </c>
      <c r="R33" s="8" t="n">
        <v>8</v>
      </c>
      <c r="S33" s="12" t="n">
        <f aca="false">IF(AND(ISNUMBER(R33),R33&gt;1,P33&gt;0),R33/P33-1,"")</f>
        <v>0.0382498526838311</v>
      </c>
    </row>
    <row r="34" customFormat="false" ht="15" hidden="false" customHeight="false" outlineLevel="0" collapsed="false">
      <c r="A34" s="10" t="s">
        <v>108</v>
      </c>
      <c r="B34" s="10" t="s">
        <v>44</v>
      </c>
      <c r="C34" s="10" t="s">
        <v>109</v>
      </c>
      <c r="D34" s="10"/>
      <c r="E34" s="11" t="n">
        <v>8</v>
      </c>
      <c r="F34" s="10" t="s">
        <v>291</v>
      </c>
      <c r="G34" s="7" t="n">
        <v>7</v>
      </c>
      <c r="H34" s="10" t="s">
        <v>584</v>
      </c>
      <c r="I34" s="10" t="s">
        <v>329</v>
      </c>
      <c r="J34" s="10" t="s">
        <v>90</v>
      </c>
      <c r="K34" s="7" t="n">
        <v>3</v>
      </c>
      <c r="L34" s="7" t="n">
        <v>112</v>
      </c>
      <c r="M34" s="7" t="n">
        <v>3</v>
      </c>
      <c r="N34" s="7" t="n">
        <v>20</v>
      </c>
      <c r="O34" s="7" t="n">
        <v>4</v>
      </c>
      <c r="P34" s="8" t="n">
        <v>11.9724609471967</v>
      </c>
      <c r="Q34" s="9" t="n">
        <v>0.0835250166536686</v>
      </c>
      <c r="R34" s="8" t="n">
        <v>12</v>
      </c>
      <c r="S34" s="12" t="n">
        <f aca="false">IF(AND(ISNUMBER(R34),R34&gt;1,P34&gt;0),R34/P34-1,"")</f>
        <v>0.00230019984402441</v>
      </c>
    </row>
    <row r="35" customFormat="false" ht="15" hidden="false" customHeight="false" outlineLevel="0" collapsed="false">
      <c r="A35" s="10" t="s">
        <v>108</v>
      </c>
      <c r="B35" s="10" t="s">
        <v>44</v>
      </c>
      <c r="C35" s="10" t="s">
        <v>109</v>
      </c>
      <c r="D35" s="10"/>
      <c r="E35" s="11" t="n">
        <v>8</v>
      </c>
      <c r="F35" s="10" t="s">
        <v>291</v>
      </c>
      <c r="G35" s="7" t="n">
        <v>7</v>
      </c>
      <c r="H35" s="10" t="s">
        <v>585</v>
      </c>
      <c r="I35" s="10" t="s">
        <v>320</v>
      </c>
      <c r="J35" s="10" t="s">
        <v>321</v>
      </c>
      <c r="K35" s="7" t="n">
        <v>1</v>
      </c>
      <c r="L35" s="7" t="n">
        <v>103</v>
      </c>
      <c r="M35" s="7" t="n">
        <v>3</v>
      </c>
      <c r="N35" s="7" t="n">
        <v>20</v>
      </c>
      <c r="O35" s="7" t="n">
        <v>5</v>
      </c>
      <c r="P35" s="8" t="n">
        <v>22.1612571521155</v>
      </c>
      <c r="Q35" s="9" t="n">
        <v>0.0451237938866</v>
      </c>
      <c r="R35" s="8" t="n">
        <v>13</v>
      </c>
      <c r="S35" s="12" t="n">
        <f aca="false">IF(AND(ISNUMBER(R35),R35&gt;1,P35&gt;0),R35/P35-1,"")</f>
        <v>-0.4133906794742</v>
      </c>
    </row>
    <row r="36" customFormat="false" ht="15" hidden="false" customHeight="false" outlineLevel="0" collapsed="false">
      <c r="A36" s="10" t="s">
        <v>108</v>
      </c>
      <c r="B36" s="10" t="s">
        <v>44</v>
      </c>
      <c r="C36" s="10" t="s">
        <v>109</v>
      </c>
      <c r="D36" s="10"/>
      <c r="E36" s="11" t="n">
        <v>8</v>
      </c>
      <c r="F36" s="10" t="s">
        <v>291</v>
      </c>
      <c r="G36" s="7" t="n">
        <v>7</v>
      </c>
      <c r="H36" s="10" t="s">
        <v>586</v>
      </c>
      <c r="I36" s="10" t="s">
        <v>587</v>
      </c>
      <c r="J36" s="10" t="s">
        <v>407</v>
      </c>
      <c r="K36" s="7" t="n">
        <v>7</v>
      </c>
      <c r="L36" s="7" t="n">
        <v>106</v>
      </c>
      <c r="M36" s="7" t="n">
        <v>7</v>
      </c>
      <c r="N36" s="7" t="n">
        <v>13</v>
      </c>
      <c r="O36" s="7" t="n">
        <v>6</v>
      </c>
      <c r="P36" s="8" t="n">
        <v>33.7074883879343</v>
      </c>
      <c r="Q36" s="9" t="n">
        <v>0.0296669982791702</v>
      </c>
      <c r="R36" s="8" t="n">
        <v>23</v>
      </c>
      <c r="S36" s="12" t="n">
        <f aca="false">IF(AND(ISNUMBER(R36),R36&gt;1,P36&gt;0),R36/P36-1,"")</f>
        <v>-0.317659039579084</v>
      </c>
    </row>
    <row r="37" customFormat="false" ht="15" hidden="false" customHeight="false" outlineLevel="0" collapsed="false">
      <c r="A37" s="10" t="s">
        <v>108</v>
      </c>
      <c r="B37" s="10" t="s">
        <v>44</v>
      </c>
      <c r="C37" s="10" t="s">
        <v>109</v>
      </c>
      <c r="D37" s="10"/>
      <c r="E37" s="11" t="n">
        <v>8</v>
      </c>
      <c r="F37" s="10" t="s">
        <v>291</v>
      </c>
      <c r="G37" s="7" t="n">
        <v>7</v>
      </c>
      <c r="H37" s="10" t="s">
        <v>588</v>
      </c>
      <c r="I37" s="10" t="s">
        <v>151</v>
      </c>
      <c r="J37" s="10" t="s">
        <v>96</v>
      </c>
      <c r="K37" s="7" t="n">
        <v>2</v>
      </c>
      <c r="L37" s="7" t="n">
        <v>102</v>
      </c>
      <c r="M37" s="7" t="n">
        <v>3</v>
      </c>
      <c r="N37" s="7" t="n">
        <v>55</v>
      </c>
      <c r="O37" s="7" t="n">
        <v>7</v>
      </c>
      <c r="P37" s="8" t="n">
        <v>54.0331690769012</v>
      </c>
      <c r="Q37" s="9" t="n">
        <v>0.0185071506462406</v>
      </c>
      <c r="R37" s="8" t="n">
        <v>41</v>
      </c>
      <c r="S37" s="12" t="n">
        <f aca="false">IF(AND(ISNUMBER(R37),R37&gt;1,P37&gt;0),R37/P37-1,"")</f>
        <v>-0.241206823504135</v>
      </c>
    </row>
    <row r="38" customFormat="false" ht="15" hidden="false" customHeight="false" outlineLevel="0" collapsed="false">
      <c r="A38" s="10" t="s">
        <v>130</v>
      </c>
      <c r="B38" s="10" t="s">
        <v>44</v>
      </c>
      <c r="C38" s="10" t="s">
        <v>131</v>
      </c>
      <c r="D38" s="10"/>
      <c r="E38" s="11" t="n">
        <v>12</v>
      </c>
      <c r="F38" s="10" t="s">
        <v>291</v>
      </c>
      <c r="G38" s="7" t="n">
        <v>4</v>
      </c>
      <c r="H38" s="10" t="s">
        <v>132</v>
      </c>
      <c r="I38" s="10" t="s">
        <v>111</v>
      </c>
      <c r="J38" s="10" t="s">
        <v>96</v>
      </c>
      <c r="K38" s="7" t="n">
        <v>4</v>
      </c>
      <c r="L38" s="7" t="n">
        <v>105</v>
      </c>
      <c r="M38" s="7" t="n">
        <v>3</v>
      </c>
      <c r="N38" s="7" t="n">
        <v>23</v>
      </c>
      <c r="O38" s="7" t="n">
        <v>1</v>
      </c>
      <c r="P38" s="8" t="n">
        <v>3.10729714781278</v>
      </c>
      <c r="Q38" s="9" t="n">
        <v>0.321823099764983</v>
      </c>
      <c r="R38" s="8" t="n">
        <v>2.75</v>
      </c>
      <c r="S38" s="12" t="n">
        <f aca="false">IF(AND(ISNUMBER(R38),R38&gt;1,P38&gt;0),R38/P38-1,"")</f>
        <v>-0.114986475646296</v>
      </c>
    </row>
    <row r="39" customFormat="false" ht="15" hidden="false" customHeight="false" outlineLevel="0" collapsed="false">
      <c r="A39" s="10" t="s">
        <v>130</v>
      </c>
      <c r="B39" s="10" t="s">
        <v>44</v>
      </c>
      <c r="C39" s="10" t="s">
        <v>131</v>
      </c>
      <c r="D39" s="10"/>
      <c r="E39" s="11" t="n">
        <v>12</v>
      </c>
      <c r="F39" s="10" t="s">
        <v>291</v>
      </c>
      <c r="G39" s="7" t="n">
        <v>4</v>
      </c>
      <c r="H39" s="10" t="s">
        <v>133</v>
      </c>
      <c r="I39" s="10" t="s">
        <v>151</v>
      </c>
      <c r="J39" s="10" t="s">
        <v>96</v>
      </c>
      <c r="K39" s="7" t="n">
        <v>3</v>
      </c>
      <c r="L39" s="7" t="n">
        <v>98</v>
      </c>
      <c r="M39" s="7" t="n">
        <v>3</v>
      </c>
      <c r="N39" s="7" t="n">
        <v>22</v>
      </c>
      <c r="O39" s="7" t="n">
        <v>2</v>
      </c>
      <c r="P39" s="8" t="n">
        <v>3.40329515683438</v>
      </c>
      <c r="Q39" s="9" t="n">
        <v>0.293832874880639</v>
      </c>
      <c r="R39" s="8" t="n">
        <v>5.5</v>
      </c>
      <c r="S39" s="12" t="n">
        <f aca="false">IF(AND(ISNUMBER(R39),R39&gt;1,P39&gt;0),R39/P39-1,"")</f>
        <v>0.616080811843514</v>
      </c>
    </row>
    <row r="40" customFormat="false" ht="15" hidden="false" customHeight="false" outlineLevel="0" collapsed="false">
      <c r="A40" s="10" t="s">
        <v>130</v>
      </c>
      <c r="B40" s="10" t="s">
        <v>44</v>
      </c>
      <c r="C40" s="10" t="s">
        <v>131</v>
      </c>
      <c r="D40" s="10"/>
      <c r="E40" s="11" t="n">
        <v>12</v>
      </c>
      <c r="F40" s="10" t="s">
        <v>291</v>
      </c>
      <c r="G40" s="7" t="n">
        <v>4</v>
      </c>
      <c r="H40" s="10" t="s">
        <v>659</v>
      </c>
      <c r="I40" s="10" t="s">
        <v>338</v>
      </c>
      <c r="J40" s="10" t="s">
        <v>399</v>
      </c>
      <c r="K40" s="7" t="n">
        <v>2</v>
      </c>
      <c r="L40" s="7" t="n">
        <v>106</v>
      </c>
      <c r="M40" s="7" t="n">
        <v>3</v>
      </c>
      <c r="N40" s="7" t="n">
        <v>27</v>
      </c>
      <c r="O40" s="7" t="n">
        <v>3</v>
      </c>
      <c r="P40" s="8" t="n">
        <v>4.31898427337949</v>
      </c>
      <c r="Q40" s="9" t="n">
        <v>0.231535920647733</v>
      </c>
      <c r="R40" s="8" t="n">
        <v>2.2</v>
      </c>
      <c r="S40" s="12" t="n">
        <f aca="false">IF(AND(ISNUMBER(R40),R40&gt;1,P40&gt;0),R40/P40-1,"")</f>
        <v>-0.490620974574987</v>
      </c>
    </row>
    <row r="41" customFormat="false" ht="15" hidden="false" customHeight="false" outlineLevel="0" collapsed="false">
      <c r="A41" s="10" t="s">
        <v>130</v>
      </c>
      <c r="B41" s="10" t="s">
        <v>44</v>
      </c>
      <c r="C41" s="10" t="s">
        <v>131</v>
      </c>
      <c r="D41" s="10"/>
      <c r="E41" s="11" t="n">
        <v>12</v>
      </c>
      <c r="F41" s="10" t="s">
        <v>291</v>
      </c>
      <c r="G41" s="7" t="n">
        <v>4</v>
      </c>
      <c r="H41" s="10" t="s">
        <v>660</v>
      </c>
      <c r="I41" s="10" t="s">
        <v>66</v>
      </c>
      <c r="J41" s="10" t="s">
        <v>321</v>
      </c>
      <c r="K41" s="7" t="n">
        <v>1</v>
      </c>
      <c r="L41" s="7" t="n">
        <v>100</v>
      </c>
      <c r="M41" s="7" t="n">
        <v>3</v>
      </c>
      <c r="N41" s="7" t="n">
        <v>20</v>
      </c>
      <c r="O41" s="7" t="n">
        <v>4</v>
      </c>
      <c r="P41" s="8" t="n">
        <v>6.54415550745665</v>
      </c>
      <c r="Q41" s="9" t="n">
        <v>0.152808104706645</v>
      </c>
      <c r="R41" s="8" t="n">
        <v>8.5</v>
      </c>
      <c r="S41" s="12" t="n">
        <f aca="false">IF(AND(ISNUMBER(R41),R41&gt;1,P41&gt;0),R41/P41-1,"")</f>
        <v>0.298868890006479</v>
      </c>
    </row>
    <row r="42" customFormat="false" ht="15" hidden="false" customHeight="false" outlineLevel="0" collapsed="false">
      <c r="A42" s="10" t="s">
        <v>148</v>
      </c>
      <c r="B42" s="10" t="s">
        <v>44</v>
      </c>
      <c r="C42" s="10" t="s">
        <v>149</v>
      </c>
      <c r="D42" s="10" t="s">
        <v>340</v>
      </c>
      <c r="E42" s="11" t="n">
        <v>7</v>
      </c>
      <c r="F42" s="10" t="s">
        <v>291</v>
      </c>
      <c r="G42" s="7" t="n">
        <v>15</v>
      </c>
      <c r="H42" s="10" t="s">
        <v>150</v>
      </c>
      <c r="I42" s="10" t="s">
        <v>151</v>
      </c>
      <c r="J42" s="10" t="s">
        <v>152</v>
      </c>
      <c r="K42" s="7" t="n">
        <v>14</v>
      </c>
      <c r="L42" s="7" t="n">
        <v>0</v>
      </c>
      <c r="M42" s="7" t="n">
        <v>2</v>
      </c>
      <c r="N42" s="7" t="n">
        <v>55</v>
      </c>
      <c r="O42" s="7" t="n">
        <v>1</v>
      </c>
      <c r="P42" s="8" t="n">
        <v>3.20071205473957</v>
      </c>
      <c r="Q42" s="9" t="n">
        <v>0.312430478873978</v>
      </c>
      <c r="R42" s="8" t="n">
        <v>4.5</v>
      </c>
      <c r="S42" s="12" t="n">
        <f aca="false">IF(AND(ISNUMBER(R42),R42&gt;1,P42&gt;0),R42/P42-1,"")</f>
        <v>0.405937154932903</v>
      </c>
    </row>
    <row r="43" customFormat="false" ht="15" hidden="false" customHeight="false" outlineLevel="0" collapsed="false">
      <c r="A43" s="10" t="s">
        <v>148</v>
      </c>
      <c r="B43" s="10" t="s">
        <v>44</v>
      </c>
      <c r="C43" s="10" t="s">
        <v>149</v>
      </c>
      <c r="D43" s="10" t="s">
        <v>340</v>
      </c>
      <c r="E43" s="11" t="n">
        <v>7</v>
      </c>
      <c r="F43" s="10" t="s">
        <v>291</v>
      </c>
      <c r="G43" s="7" t="n">
        <v>15</v>
      </c>
      <c r="H43" s="10" t="s">
        <v>153</v>
      </c>
      <c r="I43" s="10" t="s">
        <v>708</v>
      </c>
      <c r="J43" s="10" t="s">
        <v>591</v>
      </c>
      <c r="K43" s="7" t="n">
        <v>1</v>
      </c>
      <c r="L43" s="7" t="n">
        <v>0</v>
      </c>
      <c r="M43" s="7" t="n">
        <v>2</v>
      </c>
      <c r="N43" s="7" t="n">
        <v>35</v>
      </c>
      <c r="O43" s="7" t="n">
        <v>2</v>
      </c>
      <c r="P43" s="8" t="n">
        <v>5.84350040507241</v>
      </c>
      <c r="Q43" s="9" t="n">
        <v>0.171130303872651</v>
      </c>
      <c r="R43" s="8" t="n">
        <v>3.5</v>
      </c>
      <c r="S43" s="12" t="n">
        <f aca="false">IF(AND(ISNUMBER(R43),R43&gt;1,P43&gt;0),R43/P43-1,"")</f>
        <v>-0.401043936445722</v>
      </c>
    </row>
    <row r="44" customFormat="false" ht="15" hidden="false" customHeight="false" outlineLevel="0" collapsed="false">
      <c r="A44" s="10" t="s">
        <v>148</v>
      </c>
      <c r="B44" s="10" t="s">
        <v>44</v>
      </c>
      <c r="C44" s="10" t="s">
        <v>149</v>
      </c>
      <c r="D44" s="10" t="s">
        <v>340</v>
      </c>
      <c r="E44" s="11" t="n">
        <v>7</v>
      </c>
      <c r="F44" s="10" t="s">
        <v>291</v>
      </c>
      <c r="G44" s="7" t="n">
        <v>15</v>
      </c>
      <c r="H44" s="10" t="s">
        <v>709</v>
      </c>
      <c r="I44" s="10" t="s">
        <v>710</v>
      </c>
      <c r="J44" s="10" t="s">
        <v>711</v>
      </c>
      <c r="K44" s="7" t="n">
        <v>11</v>
      </c>
      <c r="L44" s="7" t="n">
        <v>0</v>
      </c>
      <c r="M44" s="7" t="n">
        <v>2</v>
      </c>
      <c r="N44" s="7" t="n">
        <v>21</v>
      </c>
      <c r="O44" s="7" t="n">
        <v>3</v>
      </c>
      <c r="P44" s="8" t="n">
        <v>6.82909386530229</v>
      </c>
      <c r="Q44" s="9" t="n">
        <v>0.146432311478521</v>
      </c>
      <c r="R44" s="8" t="n">
        <v>4</v>
      </c>
      <c r="S44" s="12" t="n">
        <f aca="false">IF(AND(ISNUMBER(R44),R44&gt;1,P44&gt;0),R44/P44-1,"")</f>
        <v>-0.414270754085917</v>
      </c>
    </row>
    <row r="45" customFormat="false" ht="15" hidden="false" customHeight="false" outlineLevel="0" collapsed="false">
      <c r="A45" s="10" t="s">
        <v>148</v>
      </c>
      <c r="B45" s="10" t="s">
        <v>44</v>
      </c>
      <c r="C45" s="10" t="s">
        <v>149</v>
      </c>
      <c r="D45" s="10" t="s">
        <v>340</v>
      </c>
      <c r="E45" s="11" t="n">
        <v>7</v>
      </c>
      <c r="F45" s="10" t="s">
        <v>291</v>
      </c>
      <c r="G45" s="7" t="n">
        <v>15</v>
      </c>
      <c r="H45" s="10" t="s">
        <v>712</v>
      </c>
      <c r="I45" s="10" t="s">
        <v>89</v>
      </c>
      <c r="J45" s="10" t="s">
        <v>48</v>
      </c>
      <c r="K45" s="7" t="n">
        <v>3</v>
      </c>
      <c r="L45" s="7" t="n">
        <v>0</v>
      </c>
      <c r="M45" s="7" t="n">
        <v>2</v>
      </c>
      <c r="N45" s="7"/>
      <c r="O45" s="7" t="n">
        <v>4</v>
      </c>
      <c r="P45" s="8" t="n">
        <v>11.0409747802655</v>
      </c>
      <c r="Q45" s="9" t="n">
        <v>0.09057171308709</v>
      </c>
      <c r="R45" s="8" t="n">
        <v>6</v>
      </c>
      <c r="S45" s="12" t="n">
        <f aca="false">IF(AND(ISNUMBER(R45),R45&gt;1,P45&gt;0),R45/P45-1,"")</f>
        <v>-0.456569721477459</v>
      </c>
    </row>
    <row r="46" customFormat="false" ht="15" hidden="false" customHeight="false" outlineLevel="0" collapsed="false">
      <c r="A46" s="10" t="s">
        <v>148</v>
      </c>
      <c r="B46" s="10" t="s">
        <v>44</v>
      </c>
      <c r="C46" s="10" t="s">
        <v>149</v>
      </c>
      <c r="D46" s="10" t="s">
        <v>340</v>
      </c>
      <c r="E46" s="11" t="n">
        <v>7</v>
      </c>
      <c r="F46" s="10" t="s">
        <v>291</v>
      </c>
      <c r="G46" s="7" t="n">
        <v>15</v>
      </c>
      <c r="H46" s="10" t="s">
        <v>713</v>
      </c>
      <c r="I46" s="10" t="s">
        <v>403</v>
      </c>
      <c r="J46" s="10" t="s">
        <v>714</v>
      </c>
      <c r="K46" s="7" t="n">
        <v>5</v>
      </c>
      <c r="L46" s="7" t="n">
        <v>0</v>
      </c>
      <c r="M46" s="7" t="n">
        <v>2</v>
      </c>
      <c r="N46" s="7" t="n">
        <v>15</v>
      </c>
      <c r="O46" s="7" t="n">
        <v>5</v>
      </c>
      <c r="P46" s="8" t="n">
        <v>12.6770614965132</v>
      </c>
      <c r="Q46" s="9" t="n">
        <v>0.0788826338244904</v>
      </c>
      <c r="R46" s="8" t="n">
        <v>8</v>
      </c>
      <c r="S46" s="12" t="n">
        <f aca="false">IF(AND(ISNUMBER(R46),R46&gt;1,P46&gt;0),R46/P46-1,"")</f>
        <v>-0.368938929404076</v>
      </c>
    </row>
    <row r="47" customFormat="false" ht="15" hidden="false" customHeight="false" outlineLevel="0" collapsed="false">
      <c r="A47" s="10" t="s">
        <v>148</v>
      </c>
      <c r="B47" s="10" t="s">
        <v>44</v>
      </c>
      <c r="C47" s="10" t="s">
        <v>149</v>
      </c>
      <c r="D47" s="10" t="s">
        <v>340</v>
      </c>
      <c r="E47" s="11" t="n">
        <v>7</v>
      </c>
      <c r="F47" s="10" t="s">
        <v>291</v>
      </c>
      <c r="G47" s="7" t="n">
        <v>15</v>
      </c>
      <c r="H47" s="10" t="s">
        <v>715</v>
      </c>
      <c r="I47" s="10" t="s">
        <v>323</v>
      </c>
      <c r="J47" s="10" t="s">
        <v>393</v>
      </c>
      <c r="K47" s="7" t="n">
        <v>9</v>
      </c>
      <c r="L47" s="7" t="n">
        <v>0</v>
      </c>
      <c r="M47" s="7" t="n">
        <v>2</v>
      </c>
      <c r="N47" s="7" t="n">
        <v>17</v>
      </c>
      <c r="O47" s="7" t="n">
        <v>6</v>
      </c>
      <c r="P47" s="8" t="n">
        <v>17.4162791421133</v>
      </c>
      <c r="Q47" s="9" t="n">
        <v>0.0574175454952349</v>
      </c>
      <c r="R47" s="8" t="n">
        <v>17</v>
      </c>
      <c r="S47" s="12" t="n">
        <f aca="false">IF(AND(ISNUMBER(R47),R47&gt;1,P47&gt;0),R47/P47-1,"")</f>
        <v>-0.0239017265810065</v>
      </c>
    </row>
    <row r="48" customFormat="false" ht="15" hidden="false" customHeight="false" outlineLevel="0" collapsed="false">
      <c r="A48" s="10" t="s">
        <v>148</v>
      </c>
      <c r="B48" s="10" t="s">
        <v>44</v>
      </c>
      <c r="C48" s="10" t="s">
        <v>149</v>
      </c>
      <c r="D48" s="10" t="s">
        <v>340</v>
      </c>
      <c r="E48" s="11" t="n">
        <v>7</v>
      </c>
      <c r="F48" s="10" t="s">
        <v>291</v>
      </c>
      <c r="G48" s="7" t="n">
        <v>15</v>
      </c>
      <c r="H48" s="10" t="s">
        <v>716</v>
      </c>
      <c r="I48" s="10" t="s">
        <v>338</v>
      </c>
      <c r="J48" s="10" t="s">
        <v>399</v>
      </c>
      <c r="K48" s="7" t="n">
        <v>12</v>
      </c>
      <c r="L48" s="7" t="n">
        <v>0</v>
      </c>
      <c r="M48" s="7" t="n">
        <v>2</v>
      </c>
      <c r="N48" s="7"/>
      <c r="O48" s="7" t="n">
        <v>7</v>
      </c>
      <c r="P48" s="8" t="n">
        <v>23.759461560718</v>
      </c>
      <c r="Q48" s="9" t="n">
        <v>0.0420884958796086</v>
      </c>
      <c r="R48" s="8" t="n">
        <v>13</v>
      </c>
      <c r="S48" s="12" t="n">
        <f aca="false">IF(AND(ISNUMBER(R48),R48&gt;1,P48&gt;0),R48/P48-1,"")</f>
        <v>-0.452849553565088</v>
      </c>
    </row>
    <row r="49" customFormat="false" ht="15" hidden="false" customHeight="false" outlineLevel="0" collapsed="false">
      <c r="A49" s="10" t="s">
        <v>148</v>
      </c>
      <c r="B49" s="10" t="s">
        <v>44</v>
      </c>
      <c r="C49" s="10" t="s">
        <v>149</v>
      </c>
      <c r="D49" s="10" t="s">
        <v>340</v>
      </c>
      <c r="E49" s="11" t="n">
        <v>7</v>
      </c>
      <c r="F49" s="10" t="s">
        <v>291</v>
      </c>
      <c r="G49" s="7" t="n">
        <v>15</v>
      </c>
      <c r="H49" s="10" t="s">
        <v>717</v>
      </c>
      <c r="I49" s="10" t="s">
        <v>329</v>
      </c>
      <c r="J49" s="10" t="s">
        <v>330</v>
      </c>
      <c r="K49" s="7" t="n">
        <v>10</v>
      </c>
      <c r="L49" s="7" t="n">
        <v>0</v>
      </c>
      <c r="M49" s="7" t="n">
        <v>2</v>
      </c>
      <c r="N49" s="7"/>
      <c r="O49" s="7" t="n">
        <v>8</v>
      </c>
      <c r="P49" s="8" t="n">
        <v>37.3925433800681</v>
      </c>
      <c r="Q49" s="9" t="n">
        <v>0.0267432998562233</v>
      </c>
      <c r="R49" s="8" t="n">
        <v>17</v>
      </c>
      <c r="S49" s="12" t="n">
        <f aca="false">IF(AND(ISNUMBER(R49),R49&gt;1,P49&gt;0),R49/P49-1,"")</f>
        <v>-0.545363902444204</v>
      </c>
    </row>
    <row r="50" customFormat="false" ht="15" hidden="false" customHeight="false" outlineLevel="0" collapsed="false">
      <c r="A50" s="10" t="s">
        <v>148</v>
      </c>
      <c r="B50" s="10" t="s">
        <v>44</v>
      </c>
      <c r="C50" s="10" t="s">
        <v>149</v>
      </c>
      <c r="D50" s="10" t="s">
        <v>340</v>
      </c>
      <c r="E50" s="11" t="n">
        <v>7</v>
      </c>
      <c r="F50" s="10" t="s">
        <v>291</v>
      </c>
      <c r="G50" s="7" t="n">
        <v>15</v>
      </c>
      <c r="H50" s="10" t="s">
        <v>718</v>
      </c>
      <c r="I50" s="10" t="s">
        <v>719</v>
      </c>
      <c r="J50" s="10" t="s">
        <v>418</v>
      </c>
      <c r="K50" s="7" t="n">
        <v>8</v>
      </c>
      <c r="L50" s="7" t="n">
        <v>0</v>
      </c>
      <c r="M50" s="7" t="n">
        <v>2</v>
      </c>
      <c r="N50" s="7" t="n">
        <v>22</v>
      </c>
      <c r="O50" s="7" t="n">
        <v>9</v>
      </c>
      <c r="P50" s="8" t="n">
        <v>51.099575705548</v>
      </c>
      <c r="Q50" s="9" t="n">
        <v>0.019569634115209</v>
      </c>
      <c r="R50" s="8" t="n">
        <v>34</v>
      </c>
      <c r="S50" s="12" t="n">
        <f aca="false">IF(AND(ISNUMBER(R50),R50&gt;1,P50&gt;0),R50/P50-1,"")</f>
        <v>-0.334632440082892</v>
      </c>
    </row>
    <row r="51" customFormat="false" ht="15" hidden="false" customHeight="false" outlineLevel="0" collapsed="false">
      <c r="A51" s="10" t="s">
        <v>148</v>
      </c>
      <c r="B51" s="10" t="s">
        <v>44</v>
      </c>
      <c r="C51" s="10" t="s">
        <v>149</v>
      </c>
      <c r="D51" s="10" t="s">
        <v>340</v>
      </c>
      <c r="E51" s="11" t="n">
        <v>7</v>
      </c>
      <c r="F51" s="10" t="s">
        <v>291</v>
      </c>
      <c r="G51" s="7" t="n">
        <v>15</v>
      </c>
      <c r="H51" s="10" t="s">
        <v>720</v>
      </c>
      <c r="I51" s="10" t="s">
        <v>320</v>
      </c>
      <c r="J51" s="10" t="s">
        <v>721</v>
      </c>
      <c r="K51" s="7" t="n">
        <v>2</v>
      </c>
      <c r="L51" s="7" t="n">
        <v>0</v>
      </c>
      <c r="M51" s="7" t="n">
        <v>2</v>
      </c>
      <c r="N51" s="7" t="n">
        <v>23</v>
      </c>
      <c r="O51" s="7" t="n">
        <v>10</v>
      </c>
      <c r="P51" s="8" t="n">
        <v>58.3470783459883</v>
      </c>
      <c r="Q51" s="9" t="n">
        <v>0.0171388187437624</v>
      </c>
      <c r="R51" s="8" t="n">
        <v>51</v>
      </c>
      <c r="S51" s="12" t="n">
        <f aca="false">IF(AND(ISNUMBER(R51),R51&gt;1,P51&gt;0),R51/P51-1,"")</f>
        <v>-0.125920244068116</v>
      </c>
    </row>
    <row r="52" customFormat="false" ht="15" hidden="false" customHeight="false" outlineLevel="0" collapsed="false">
      <c r="A52" s="10" t="s">
        <v>148</v>
      </c>
      <c r="B52" s="10" t="s">
        <v>44</v>
      </c>
      <c r="C52" s="10" t="s">
        <v>149</v>
      </c>
      <c r="D52" s="10" t="s">
        <v>340</v>
      </c>
      <c r="E52" s="11" t="n">
        <v>7</v>
      </c>
      <c r="F52" s="10" t="s">
        <v>291</v>
      </c>
      <c r="G52" s="7" t="n">
        <v>15</v>
      </c>
      <c r="H52" s="10" t="s">
        <v>722</v>
      </c>
      <c r="I52" s="10" t="s">
        <v>47</v>
      </c>
      <c r="J52" s="10" t="s">
        <v>723</v>
      </c>
      <c r="K52" s="7" t="n">
        <v>6</v>
      </c>
      <c r="L52" s="7" t="n">
        <v>0</v>
      </c>
      <c r="M52" s="7" t="n">
        <v>2</v>
      </c>
      <c r="N52" s="7" t="n">
        <v>23</v>
      </c>
      <c r="O52" s="7" t="n">
        <v>11</v>
      </c>
      <c r="P52" s="8" t="n">
        <v>84.5304411393117</v>
      </c>
      <c r="Q52" s="9" t="n">
        <v>0.0118300577463204</v>
      </c>
      <c r="R52" s="8" t="n">
        <v>26</v>
      </c>
      <c r="S52" s="12" t="n">
        <f aca="false">IF(AND(ISNUMBER(R52),R52&gt;1,P52&gt;0),R52/P52-1,"")</f>
        <v>-0.692418498595668</v>
      </c>
    </row>
    <row r="53" customFormat="false" ht="15" hidden="false" customHeight="false" outlineLevel="0" collapsed="false">
      <c r="A53" s="10" t="s">
        <v>148</v>
      </c>
      <c r="B53" s="10" t="s">
        <v>44</v>
      </c>
      <c r="C53" s="10" t="s">
        <v>149</v>
      </c>
      <c r="D53" s="10" t="s">
        <v>340</v>
      </c>
      <c r="E53" s="11" t="n">
        <v>7</v>
      </c>
      <c r="F53" s="10" t="s">
        <v>291</v>
      </c>
      <c r="G53" s="7" t="n">
        <v>15</v>
      </c>
      <c r="H53" s="10" t="s">
        <v>724</v>
      </c>
      <c r="I53" s="10" t="s">
        <v>725</v>
      </c>
      <c r="J53" s="10" t="s">
        <v>599</v>
      </c>
      <c r="K53" s="7" t="n">
        <v>4</v>
      </c>
      <c r="L53" s="7" t="n">
        <v>0</v>
      </c>
      <c r="M53" s="7" t="n">
        <v>2</v>
      </c>
      <c r="N53" s="7"/>
      <c r="O53" s="7" t="n">
        <v>12</v>
      </c>
      <c r="P53" s="8" t="n">
        <v>118.068677756699</v>
      </c>
      <c r="Q53" s="9" t="n">
        <v>0.0084696468106526</v>
      </c>
      <c r="R53" s="8" t="n">
        <v>67</v>
      </c>
      <c r="S53" s="12" t="n">
        <f aca="false">IF(AND(ISNUMBER(R53),R53&gt;1,P53&gt;0),R53/P53-1,"")</f>
        <v>-0.432533663686274</v>
      </c>
    </row>
    <row r="54" customFormat="false" ht="15" hidden="false" customHeight="false" outlineLevel="0" collapsed="false">
      <c r="A54" s="10" t="s">
        <v>148</v>
      </c>
      <c r="B54" s="10" t="s">
        <v>44</v>
      </c>
      <c r="C54" s="10" t="s">
        <v>149</v>
      </c>
      <c r="D54" s="10" t="s">
        <v>340</v>
      </c>
      <c r="E54" s="11" t="n">
        <v>7</v>
      </c>
      <c r="F54" s="10" t="s">
        <v>291</v>
      </c>
      <c r="G54" s="7" t="n">
        <v>15</v>
      </c>
      <c r="H54" s="10" t="s">
        <v>726</v>
      </c>
      <c r="I54" s="10" t="s">
        <v>727</v>
      </c>
      <c r="J54" s="10" t="s">
        <v>723</v>
      </c>
      <c r="K54" s="7" t="n">
        <v>15</v>
      </c>
      <c r="L54" s="7" t="n">
        <v>0</v>
      </c>
      <c r="M54" s="7" t="n">
        <v>2</v>
      </c>
      <c r="N54" s="7"/>
      <c r="O54" s="7" t="n">
        <v>13</v>
      </c>
      <c r="P54" s="8" t="n">
        <v>138.20371508831</v>
      </c>
      <c r="Q54" s="9" t="n">
        <v>0.0072356955047193</v>
      </c>
      <c r="R54" s="8" t="n">
        <v>41</v>
      </c>
      <c r="S54" s="12" t="n">
        <f aca="false">IF(AND(ISNUMBER(R54),R54&gt;1,P54&gt;0),R54/P54-1,"")</f>
        <v>-0.703336484306506</v>
      </c>
    </row>
    <row r="55" customFormat="false" ht="15" hidden="false" customHeight="false" outlineLevel="0" collapsed="false">
      <c r="A55" s="10" t="s">
        <v>148</v>
      </c>
      <c r="B55" s="10" t="s">
        <v>44</v>
      </c>
      <c r="C55" s="10" t="s">
        <v>149</v>
      </c>
      <c r="D55" s="10" t="s">
        <v>340</v>
      </c>
      <c r="E55" s="11" t="n">
        <v>7</v>
      </c>
      <c r="F55" s="10" t="s">
        <v>291</v>
      </c>
      <c r="G55" s="7" t="n">
        <v>15</v>
      </c>
      <c r="H55" s="10" t="s">
        <v>728</v>
      </c>
      <c r="I55" s="10" t="s">
        <v>729</v>
      </c>
      <c r="J55" s="10" t="s">
        <v>730</v>
      </c>
      <c r="K55" s="7" t="n">
        <v>7</v>
      </c>
      <c r="L55" s="7" t="n">
        <v>0</v>
      </c>
      <c r="M55" s="7" t="n">
        <v>2</v>
      </c>
      <c r="N55" s="7"/>
      <c r="O55" s="7" t="n">
        <v>14</v>
      </c>
      <c r="P55" s="8" t="n">
        <v>195.169216945012</v>
      </c>
      <c r="Q55" s="9" t="n">
        <v>0.0051237588368341</v>
      </c>
      <c r="R55" s="8" t="n">
        <v>101</v>
      </c>
      <c r="S55" s="12" t="n">
        <f aca="false">IF(AND(ISNUMBER(R55),R55&gt;1,P55&gt;0),R55/P55-1,"")</f>
        <v>-0.482500357479753</v>
      </c>
    </row>
    <row r="56" customFormat="false" ht="15" hidden="false" customHeight="false" outlineLevel="0" collapsed="false">
      <c r="A56" s="10" t="s">
        <v>148</v>
      </c>
      <c r="B56" s="10" t="s">
        <v>44</v>
      </c>
      <c r="C56" s="10" t="s">
        <v>149</v>
      </c>
      <c r="D56" s="10" t="s">
        <v>340</v>
      </c>
      <c r="E56" s="11" t="n">
        <v>7</v>
      </c>
      <c r="F56" s="10" t="s">
        <v>291</v>
      </c>
      <c r="G56" s="7" t="n">
        <v>15</v>
      </c>
      <c r="H56" s="10" t="s">
        <v>731</v>
      </c>
      <c r="I56" s="10" t="s">
        <v>732</v>
      </c>
      <c r="J56" s="10" t="s">
        <v>519</v>
      </c>
      <c r="K56" s="7" t="n">
        <v>13</v>
      </c>
      <c r="L56" s="7" t="n">
        <v>0</v>
      </c>
      <c r="M56" s="7" t="n">
        <v>2</v>
      </c>
      <c r="N56" s="7" t="n">
        <v>132</v>
      </c>
      <c r="O56" s="7" t="n">
        <v>15</v>
      </c>
      <c r="P56" s="8" t="n">
        <v>202.609370639806</v>
      </c>
      <c r="Q56" s="9" t="n">
        <v>0.0049356058747044</v>
      </c>
      <c r="R56" s="8" t="n">
        <v>81</v>
      </c>
      <c r="S56" s="12" t="n">
        <f aca="false">IF(AND(ISNUMBER(R56),R56&gt;1,P56&gt;0),R56/P56-1,"")</f>
        <v>-0.600215924148938</v>
      </c>
    </row>
    <row r="57" customFormat="false" ht="15" hidden="false" customHeight="false" outlineLevel="0" collapsed="false">
      <c r="A57" s="10" t="s">
        <v>178</v>
      </c>
      <c r="B57" s="10" t="s">
        <v>44</v>
      </c>
      <c r="C57" s="10" t="s">
        <v>179</v>
      </c>
      <c r="D57" s="10" t="s">
        <v>340</v>
      </c>
      <c r="E57" s="11" t="n">
        <v>9</v>
      </c>
      <c r="F57" s="10" t="s">
        <v>291</v>
      </c>
      <c r="G57" s="7" t="n">
        <v>10</v>
      </c>
      <c r="H57" s="10" t="s">
        <v>180</v>
      </c>
      <c r="I57" s="10" t="s">
        <v>151</v>
      </c>
      <c r="J57" s="10" t="s">
        <v>181</v>
      </c>
      <c r="K57" s="7" t="n">
        <v>4</v>
      </c>
      <c r="L57" s="7" t="n">
        <v>88</v>
      </c>
      <c r="M57" s="7" t="n">
        <v>3</v>
      </c>
      <c r="N57" s="7" t="n">
        <v>43</v>
      </c>
      <c r="O57" s="7" t="n">
        <v>1</v>
      </c>
      <c r="P57" s="8" t="n">
        <v>4.62289671014528</v>
      </c>
      <c r="Q57" s="9" t="n">
        <v>0.216314588601002</v>
      </c>
      <c r="R57" s="8" t="n">
        <v>4.33333333333333</v>
      </c>
      <c r="S57" s="12" t="n">
        <f aca="false">IF(AND(ISNUMBER(R57),R57&gt;1,P57&gt;0),R57/P57-1,"")</f>
        <v>-0.0626367827289933</v>
      </c>
    </row>
    <row r="58" customFormat="false" ht="15" hidden="false" customHeight="false" outlineLevel="0" collapsed="false">
      <c r="A58" s="10" t="s">
        <v>178</v>
      </c>
      <c r="B58" s="10" t="s">
        <v>44</v>
      </c>
      <c r="C58" s="10" t="s">
        <v>179</v>
      </c>
      <c r="D58" s="10" t="s">
        <v>340</v>
      </c>
      <c r="E58" s="11" t="n">
        <v>9</v>
      </c>
      <c r="F58" s="10" t="s">
        <v>291</v>
      </c>
      <c r="G58" s="7" t="n">
        <v>10</v>
      </c>
      <c r="H58" s="10" t="s">
        <v>182</v>
      </c>
      <c r="I58" s="10" t="s">
        <v>587</v>
      </c>
      <c r="J58" s="10" t="s">
        <v>318</v>
      </c>
      <c r="K58" s="7" t="n">
        <v>5</v>
      </c>
      <c r="L58" s="7" t="n">
        <v>88</v>
      </c>
      <c r="M58" s="7" t="n">
        <v>3</v>
      </c>
      <c r="N58" s="7" t="n">
        <v>21</v>
      </c>
      <c r="O58" s="7" t="n">
        <v>2</v>
      </c>
      <c r="P58" s="8" t="n">
        <v>7.28490974890374</v>
      </c>
      <c r="Q58" s="9" t="n">
        <v>0.137270060229708</v>
      </c>
      <c r="R58" s="8" t="n">
        <v>5.5</v>
      </c>
      <c r="S58" s="12" t="n">
        <f aca="false">IF(AND(ISNUMBER(R58),R58&gt;1,P58&gt;0),R58/P58-1,"")</f>
        <v>-0.245014668736608</v>
      </c>
    </row>
    <row r="59" customFormat="false" ht="15" hidden="false" customHeight="false" outlineLevel="0" collapsed="false">
      <c r="A59" s="10" t="s">
        <v>178</v>
      </c>
      <c r="B59" s="10" t="s">
        <v>44</v>
      </c>
      <c r="C59" s="10" t="s">
        <v>179</v>
      </c>
      <c r="D59" s="10" t="s">
        <v>340</v>
      </c>
      <c r="E59" s="11" t="n">
        <v>9</v>
      </c>
      <c r="F59" s="10" t="s">
        <v>291</v>
      </c>
      <c r="G59" s="7" t="n">
        <v>10</v>
      </c>
      <c r="H59" s="10" t="s">
        <v>824</v>
      </c>
      <c r="I59" s="10" t="s">
        <v>403</v>
      </c>
      <c r="J59" s="10" t="s">
        <v>737</v>
      </c>
      <c r="K59" s="7" t="n">
        <v>1</v>
      </c>
      <c r="L59" s="7" t="n">
        <v>88</v>
      </c>
      <c r="M59" s="7" t="n">
        <v>6</v>
      </c>
      <c r="N59" s="7" t="n">
        <v>13</v>
      </c>
      <c r="O59" s="7" t="n">
        <v>3</v>
      </c>
      <c r="P59" s="8" t="n">
        <v>8.01830889800932</v>
      </c>
      <c r="Q59" s="9" t="n">
        <v>0.124714576691884</v>
      </c>
      <c r="R59" s="8" t="n">
        <v>6</v>
      </c>
      <c r="S59" s="12" t="n">
        <f aca="false">IF(AND(ISNUMBER(R59),R59&gt;1,P59&gt;0),R59/P59-1,"")</f>
        <v>-0.251712539848696</v>
      </c>
    </row>
    <row r="60" customFormat="false" ht="15" hidden="false" customHeight="false" outlineLevel="0" collapsed="false">
      <c r="A60" s="10" t="s">
        <v>178</v>
      </c>
      <c r="B60" s="10" t="s">
        <v>44</v>
      </c>
      <c r="C60" s="10" t="s">
        <v>179</v>
      </c>
      <c r="D60" s="10" t="s">
        <v>340</v>
      </c>
      <c r="E60" s="11" t="n">
        <v>9</v>
      </c>
      <c r="F60" s="10" t="s">
        <v>291</v>
      </c>
      <c r="G60" s="7" t="n">
        <v>10</v>
      </c>
      <c r="H60" s="10" t="s">
        <v>825</v>
      </c>
      <c r="I60" s="10" t="s">
        <v>826</v>
      </c>
      <c r="J60" s="10" t="s">
        <v>404</v>
      </c>
      <c r="K60" s="7" t="n">
        <v>9</v>
      </c>
      <c r="L60" s="7" t="n">
        <v>91</v>
      </c>
      <c r="M60" s="7" t="n">
        <v>3</v>
      </c>
      <c r="N60" s="7" t="n">
        <v>99</v>
      </c>
      <c r="O60" s="7" t="n">
        <v>4</v>
      </c>
      <c r="P60" s="8" t="n">
        <v>9.27753783368085</v>
      </c>
      <c r="Q60" s="9" t="n">
        <v>0.107787218756429</v>
      </c>
      <c r="R60" s="8" t="n">
        <v>4.33333333333333</v>
      </c>
      <c r="S60" s="12" t="n">
        <f aca="false">IF(AND(ISNUMBER(R60),R60&gt;1,P60&gt;0),R60/P60-1,"")</f>
        <v>-0.532922052055476</v>
      </c>
    </row>
    <row r="61" customFormat="false" ht="15" hidden="false" customHeight="false" outlineLevel="0" collapsed="false">
      <c r="A61" s="10" t="s">
        <v>178</v>
      </c>
      <c r="B61" s="10" t="s">
        <v>44</v>
      </c>
      <c r="C61" s="10" t="s">
        <v>179</v>
      </c>
      <c r="D61" s="10" t="s">
        <v>340</v>
      </c>
      <c r="E61" s="11" t="n">
        <v>9</v>
      </c>
      <c r="F61" s="10" t="s">
        <v>291</v>
      </c>
      <c r="G61" s="7" t="n">
        <v>10</v>
      </c>
      <c r="H61" s="10" t="s">
        <v>827</v>
      </c>
      <c r="I61" s="10" t="s">
        <v>323</v>
      </c>
      <c r="J61" s="10" t="s">
        <v>330</v>
      </c>
      <c r="K61" s="7" t="n">
        <v>10</v>
      </c>
      <c r="L61" s="7" t="n">
        <v>81</v>
      </c>
      <c r="M61" s="7" t="n">
        <v>3</v>
      </c>
      <c r="N61" s="7" t="n">
        <v>141</v>
      </c>
      <c r="O61" s="7" t="n">
        <v>5</v>
      </c>
      <c r="P61" s="8" t="n">
        <v>9.28997505331512</v>
      </c>
      <c r="Q61" s="9" t="n">
        <v>0.107642915536479</v>
      </c>
      <c r="R61" s="8" t="n">
        <v>9.5</v>
      </c>
      <c r="S61" s="12" t="n">
        <f aca="false">IF(AND(ISNUMBER(R61),R61&gt;1,P61&gt;0),R61/P61-1,"")</f>
        <v>0.0226076975965541</v>
      </c>
    </row>
    <row r="62" customFormat="false" ht="15" hidden="false" customHeight="false" outlineLevel="0" collapsed="false">
      <c r="A62" s="10" t="s">
        <v>178</v>
      </c>
      <c r="B62" s="10" t="s">
        <v>44</v>
      </c>
      <c r="C62" s="10" t="s">
        <v>179</v>
      </c>
      <c r="D62" s="10" t="s">
        <v>340</v>
      </c>
      <c r="E62" s="11" t="n">
        <v>9</v>
      </c>
      <c r="F62" s="10" t="s">
        <v>291</v>
      </c>
      <c r="G62" s="7" t="n">
        <v>10</v>
      </c>
      <c r="H62" s="10" t="s">
        <v>828</v>
      </c>
      <c r="I62" s="10" t="s">
        <v>829</v>
      </c>
      <c r="J62" s="10" t="s">
        <v>830</v>
      </c>
      <c r="K62" s="7" t="n">
        <v>6</v>
      </c>
      <c r="L62" s="7" t="n">
        <v>78</v>
      </c>
      <c r="M62" s="7" t="n">
        <v>6</v>
      </c>
      <c r="N62" s="7" t="n">
        <v>10</v>
      </c>
      <c r="O62" s="7" t="n">
        <v>6</v>
      </c>
      <c r="P62" s="8" t="n">
        <v>10.5424599952938</v>
      </c>
      <c r="Q62" s="9" t="n">
        <v>0.0948545216625348</v>
      </c>
      <c r="R62" s="8" t="n">
        <v>19</v>
      </c>
      <c r="S62" s="12" t="n">
        <f aca="false">IF(AND(ISNUMBER(R62),R62&gt;1,P62&gt;0),R62/P62-1,"")</f>
        <v>0.802235911588162</v>
      </c>
    </row>
    <row r="63" customFormat="false" ht="15" hidden="false" customHeight="false" outlineLevel="0" collapsed="false">
      <c r="A63" s="10" t="s">
        <v>178</v>
      </c>
      <c r="B63" s="10" t="s">
        <v>44</v>
      </c>
      <c r="C63" s="10" t="s">
        <v>179</v>
      </c>
      <c r="D63" s="10" t="s">
        <v>340</v>
      </c>
      <c r="E63" s="11" t="n">
        <v>9</v>
      </c>
      <c r="F63" s="10" t="s">
        <v>291</v>
      </c>
      <c r="G63" s="7" t="n">
        <v>10</v>
      </c>
      <c r="H63" s="10" t="s">
        <v>831</v>
      </c>
      <c r="I63" s="10" t="s">
        <v>66</v>
      </c>
      <c r="J63" s="10" t="s">
        <v>805</v>
      </c>
      <c r="K63" s="7" t="n">
        <v>7</v>
      </c>
      <c r="L63" s="7" t="n">
        <v>87</v>
      </c>
      <c r="M63" s="7" t="n">
        <v>3</v>
      </c>
      <c r="N63" s="7" t="n">
        <v>48</v>
      </c>
      <c r="O63" s="7" t="n">
        <v>7</v>
      </c>
      <c r="P63" s="8" t="n">
        <v>11.402363477946</v>
      </c>
      <c r="Q63" s="9" t="n">
        <v>0.087701115819905</v>
      </c>
      <c r="R63" s="8" t="n">
        <v>9</v>
      </c>
      <c r="S63" s="12" t="n">
        <f aca="false">IF(AND(ISNUMBER(R63),R63&gt;1,P63&gt;0),R63/P63-1,"")</f>
        <v>-0.210689957620855</v>
      </c>
    </row>
    <row r="64" customFormat="false" ht="15" hidden="false" customHeight="false" outlineLevel="0" collapsed="false">
      <c r="A64" s="10" t="s">
        <v>178</v>
      </c>
      <c r="B64" s="10" t="s">
        <v>44</v>
      </c>
      <c r="C64" s="10" t="s">
        <v>179</v>
      </c>
      <c r="D64" s="10" t="s">
        <v>340</v>
      </c>
      <c r="E64" s="11" t="n">
        <v>9</v>
      </c>
      <c r="F64" s="10" t="s">
        <v>291</v>
      </c>
      <c r="G64" s="7" t="n">
        <v>10</v>
      </c>
      <c r="H64" s="10" t="s">
        <v>832</v>
      </c>
      <c r="I64" s="10" t="s">
        <v>335</v>
      </c>
      <c r="J64" s="10" t="s">
        <v>833</v>
      </c>
      <c r="K64" s="7" t="n">
        <v>8</v>
      </c>
      <c r="L64" s="7" t="n">
        <v>77</v>
      </c>
      <c r="M64" s="7" t="n">
        <v>4</v>
      </c>
      <c r="N64" s="7" t="n">
        <v>7</v>
      </c>
      <c r="O64" s="7" t="n">
        <v>8</v>
      </c>
      <c r="P64" s="8" t="n">
        <v>16.9727060298719</v>
      </c>
      <c r="Q64" s="9" t="n">
        <v>0.0589181240893471</v>
      </c>
      <c r="R64" s="8" t="n">
        <v>9.5</v>
      </c>
      <c r="S64" s="12" t="n">
        <f aca="false">IF(AND(ISNUMBER(R64),R64&gt;1,P64&gt;0),R64/P64-1,"")</f>
        <v>-0.440277821151202</v>
      </c>
    </row>
    <row r="65" customFormat="false" ht="15" hidden="false" customHeight="false" outlineLevel="0" collapsed="false">
      <c r="A65" s="10" t="s">
        <v>178</v>
      </c>
      <c r="B65" s="10" t="s">
        <v>44</v>
      </c>
      <c r="C65" s="10" t="s">
        <v>179</v>
      </c>
      <c r="D65" s="10" t="s">
        <v>340</v>
      </c>
      <c r="E65" s="11" t="n">
        <v>9</v>
      </c>
      <c r="F65" s="10" t="s">
        <v>291</v>
      </c>
      <c r="G65" s="7" t="n">
        <v>10</v>
      </c>
      <c r="H65" s="10" t="s">
        <v>834</v>
      </c>
      <c r="I65" s="10" t="s">
        <v>835</v>
      </c>
      <c r="J65" s="10" t="s">
        <v>497</v>
      </c>
      <c r="K65" s="7" t="n">
        <v>2</v>
      </c>
      <c r="L65" s="7" t="n">
        <v>79</v>
      </c>
      <c r="M65" s="7" t="n">
        <v>4</v>
      </c>
      <c r="N65" s="7" t="n">
        <v>26</v>
      </c>
      <c r="O65" s="7" t="n">
        <v>9</v>
      </c>
      <c r="P65" s="8" t="n">
        <v>27.8895892232753</v>
      </c>
      <c r="Q65" s="9" t="n">
        <v>0.0358556733121565</v>
      </c>
      <c r="R65" s="8" t="n">
        <v>19</v>
      </c>
      <c r="S65" s="12" t="n">
        <f aca="false">IF(AND(ISNUMBER(R65),R65&gt;1,P65&gt;0),R65/P65-1,"")</f>
        <v>-0.318742207069026</v>
      </c>
    </row>
    <row r="66" customFormat="false" ht="15" hidden="false" customHeight="false" outlineLevel="0" collapsed="false">
      <c r="A66" s="10" t="s">
        <v>178</v>
      </c>
      <c r="B66" s="10" t="s">
        <v>44</v>
      </c>
      <c r="C66" s="10" t="s">
        <v>179</v>
      </c>
      <c r="D66" s="10" t="s">
        <v>340</v>
      </c>
      <c r="E66" s="11" t="n">
        <v>9</v>
      </c>
      <c r="F66" s="10" t="s">
        <v>291</v>
      </c>
      <c r="G66" s="7" t="n">
        <v>10</v>
      </c>
      <c r="H66" s="10" t="s">
        <v>836</v>
      </c>
      <c r="I66" s="10" t="s">
        <v>338</v>
      </c>
      <c r="J66" s="10" t="s">
        <v>837</v>
      </c>
      <c r="K66" s="7" t="n">
        <v>3</v>
      </c>
      <c r="L66" s="7" t="n">
        <v>78</v>
      </c>
      <c r="M66" s="7" t="n">
        <v>3</v>
      </c>
      <c r="N66" s="7" t="n">
        <v>30</v>
      </c>
      <c r="O66" s="7" t="n">
        <v>10</v>
      </c>
      <c r="P66" s="8" t="n">
        <v>34.5528111084168</v>
      </c>
      <c r="Q66" s="9" t="n">
        <v>0.0289412053005553</v>
      </c>
      <c r="R66" s="8" t="n">
        <v>26</v>
      </c>
      <c r="S66" s="12" t="n">
        <f aca="false">IF(AND(ISNUMBER(R66),R66&gt;1,P66&gt;0),R66/P66-1,"")</f>
        <v>-0.247528662185562</v>
      </c>
    </row>
  </sheetData>
  <autoFilter ref="A1:S66"/>
  <conditionalFormatting sqref="A2:S66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5" t="s">
        <v>26</v>
      </c>
      <c r="B1" s="5" t="s">
        <v>27</v>
      </c>
      <c r="C1" s="5" t="s">
        <v>28</v>
      </c>
      <c r="D1" s="5" t="s">
        <v>282</v>
      </c>
      <c r="E1" s="5" t="s">
        <v>283</v>
      </c>
      <c r="F1" s="5" t="s">
        <v>284</v>
      </c>
      <c r="G1" s="5" t="s">
        <v>1</v>
      </c>
      <c r="H1" s="5" t="s">
        <v>285</v>
      </c>
      <c r="I1" s="5" t="s">
        <v>30</v>
      </c>
      <c r="J1" s="5" t="s">
        <v>31</v>
      </c>
      <c r="K1" s="5" t="s">
        <v>286</v>
      </c>
      <c r="L1" s="5" t="s">
        <v>287</v>
      </c>
      <c r="M1" s="5" t="s">
        <v>288</v>
      </c>
      <c r="N1" s="5" t="s">
        <v>289</v>
      </c>
      <c r="O1" s="5" t="s">
        <v>18</v>
      </c>
      <c r="P1" s="5" t="s">
        <v>14</v>
      </c>
      <c r="Q1" s="5" t="s">
        <v>16</v>
      </c>
      <c r="R1" s="5" t="s">
        <v>20</v>
      </c>
      <c r="S1" s="5" t="s">
        <v>22</v>
      </c>
    </row>
    <row r="2" customFormat="false" ht="15" hidden="false" customHeight="false" outlineLevel="0" collapsed="false">
      <c r="A2" s="10" t="s">
        <v>56</v>
      </c>
      <c r="B2" s="10" t="s">
        <v>57</v>
      </c>
      <c r="C2" s="10" t="s">
        <v>58</v>
      </c>
      <c r="D2" s="10"/>
      <c r="E2" s="11" t="n">
        <v>18.5</v>
      </c>
      <c r="F2" s="10" t="s">
        <v>291</v>
      </c>
      <c r="G2" s="7" t="n">
        <v>18</v>
      </c>
      <c r="H2" s="10" t="s">
        <v>59</v>
      </c>
      <c r="I2" s="10" t="s">
        <v>60</v>
      </c>
      <c r="J2" s="10" t="s">
        <v>61</v>
      </c>
      <c r="K2" s="7" t="n">
        <v>12</v>
      </c>
      <c r="L2" s="7" t="n">
        <v>0</v>
      </c>
      <c r="M2" s="7" t="n">
        <v>5</v>
      </c>
      <c r="N2" s="7" t="n">
        <v>34</v>
      </c>
      <c r="O2" s="7" t="n">
        <v>1</v>
      </c>
      <c r="P2" s="8" t="n">
        <v>1.29980167101487</v>
      </c>
      <c r="Q2" s="9" t="n">
        <v>0.769348141566252</v>
      </c>
      <c r="R2" s="8" t="n">
        <v>1.57142857142857</v>
      </c>
      <c r="S2" s="12" t="n">
        <f aca="false">IF(AND(ISNUMBER(R2),R2&gt;1,P2&gt;0),R2/P2-1,"")</f>
        <v>0.208975651032681</v>
      </c>
    </row>
    <row r="3" customFormat="false" ht="15" hidden="false" customHeight="false" outlineLevel="0" collapsed="false">
      <c r="A3" s="10" t="s">
        <v>56</v>
      </c>
      <c r="B3" s="10" t="s">
        <v>57</v>
      </c>
      <c r="C3" s="10" t="s">
        <v>58</v>
      </c>
      <c r="D3" s="10"/>
      <c r="E3" s="11" t="n">
        <v>18.5</v>
      </c>
      <c r="F3" s="10" t="s">
        <v>291</v>
      </c>
      <c r="G3" s="7" t="n">
        <v>18</v>
      </c>
      <c r="H3" s="10" t="s">
        <v>62</v>
      </c>
      <c r="I3" s="10" t="s">
        <v>349</v>
      </c>
      <c r="J3" s="10" t="s">
        <v>350</v>
      </c>
      <c r="K3" s="7" t="n">
        <v>6</v>
      </c>
      <c r="L3" s="7" t="n">
        <v>0</v>
      </c>
      <c r="M3" s="7" t="n">
        <v>5</v>
      </c>
      <c r="N3" s="7" t="n">
        <v>510</v>
      </c>
      <c r="O3" s="7" t="n">
        <v>2</v>
      </c>
      <c r="P3" s="8" t="n">
        <v>14.0246920162005</v>
      </c>
      <c r="Q3" s="9" t="n">
        <v>0.0713028135551826</v>
      </c>
      <c r="R3" s="8" t="n">
        <v>4.33333333333333</v>
      </c>
      <c r="S3" s="12" t="n">
        <f aca="false">IF(AND(ISNUMBER(R3),R3&gt;1,P3&gt;0),R3/P3-1,"")</f>
        <v>-0.691021141260875</v>
      </c>
    </row>
    <row r="4" customFormat="false" ht="15" hidden="false" customHeight="false" outlineLevel="0" collapsed="false">
      <c r="A4" s="10" t="s">
        <v>56</v>
      </c>
      <c r="B4" s="10" t="s">
        <v>57</v>
      </c>
      <c r="C4" s="10" t="s">
        <v>58</v>
      </c>
      <c r="D4" s="10"/>
      <c r="E4" s="11" t="n">
        <v>18.5</v>
      </c>
      <c r="F4" s="10" t="s">
        <v>291</v>
      </c>
      <c r="G4" s="7" t="n">
        <v>18</v>
      </c>
      <c r="H4" s="10" t="s">
        <v>351</v>
      </c>
      <c r="I4" s="10" t="s">
        <v>352</v>
      </c>
      <c r="J4" s="10" t="s">
        <v>353</v>
      </c>
      <c r="K4" s="7" t="n">
        <v>2</v>
      </c>
      <c r="L4" s="7" t="n">
        <v>0</v>
      </c>
      <c r="M4" s="7" t="n">
        <v>5</v>
      </c>
      <c r="N4" s="7" t="n">
        <v>48</v>
      </c>
      <c r="O4" s="7" t="n">
        <v>3</v>
      </c>
      <c r="P4" s="8" t="n">
        <v>15.3451066525856</v>
      </c>
      <c r="Q4" s="9" t="n">
        <v>0.0651673541696436</v>
      </c>
      <c r="R4" s="8" t="n">
        <v>7.5</v>
      </c>
      <c r="S4" s="12" t="n">
        <f aca="false">IF(AND(ISNUMBER(R4),R4&gt;1,P4&gt;0),R4/P4-1,"")</f>
        <v>-0.511244843727672</v>
      </c>
    </row>
    <row r="5" customFormat="false" ht="15" hidden="false" customHeight="false" outlineLevel="0" collapsed="false">
      <c r="A5" s="10" t="s">
        <v>56</v>
      </c>
      <c r="B5" s="10" t="s">
        <v>57</v>
      </c>
      <c r="C5" s="10" t="s">
        <v>58</v>
      </c>
      <c r="D5" s="10"/>
      <c r="E5" s="11" t="n">
        <v>18.5</v>
      </c>
      <c r="F5" s="10" t="s">
        <v>291</v>
      </c>
      <c r="G5" s="7" t="n">
        <v>18</v>
      </c>
      <c r="H5" s="10" t="s">
        <v>354</v>
      </c>
      <c r="I5" s="10" t="s">
        <v>355</v>
      </c>
      <c r="J5" s="10" t="s">
        <v>356</v>
      </c>
      <c r="K5" s="7" t="n">
        <v>3</v>
      </c>
      <c r="L5" s="7" t="n">
        <v>0</v>
      </c>
      <c r="M5" s="7" t="n">
        <v>6</v>
      </c>
      <c r="N5" s="7" t="n">
        <v>34</v>
      </c>
      <c r="O5" s="7" t="n">
        <v>4</v>
      </c>
      <c r="P5" s="8" t="n">
        <v>31.0092024819553</v>
      </c>
      <c r="Q5" s="9" t="n">
        <v>0.0322484914141831</v>
      </c>
      <c r="R5" s="8" t="n">
        <v>12</v>
      </c>
      <c r="S5" s="12" t="n">
        <f aca="false">IF(AND(ISNUMBER(R5),R5&gt;1,P5&gt;0),R5/P5-1,"")</f>
        <v>-0.613018103029803</v>
      </c>
    </row>
    <row r="6" customFormat="false" ht="15" hidden="false" customHeight="false" outlineLevel="0" collapsed="false">
      <c r="A6" s="10" t="s">
        <v>56</v>
      </c>
      <c r="B6" s="10" t="s">
        <v>57</v>
      </c>
      <c r="C6" s="10" t="s">
        <v>58</v>
      </c>
      <c r="D6" s="10"/>
      <c r="E6" s="11" t="n">
        <v>18.5</v>
      </c>
      <c r="F6" s="10" t="s">
        <v>291</v>
      </c>
      <c r="G6" s="7" t="n">
        <v>18</v>
      </c>
      <c r="H6" s="10" t="s">
        <v>357</v>
      </c>
      <c r="I6" s="10" t="s">
        <v>358</v>
      </c>
      <c r="J6" s="10" t="s">
        <v>128</v>
      </c>
      <c r="K6" s="7" t="n">
        <v>16</v>
      </c>
      <c r="L6" s="7" t="n">
        <v>0</v>
      </c>
      <c r="M6" s="7" t="n">
        <v>5</v>
      </c>
      <c r="N6" s="7" t="n">
        <v>123</v>
      </c>
      <c r="O6" s="7" t="n">
        <v>5</v>
      </c>
      <c r="P6" s="8" t="n">
        <v>64.5891510650228</v>
      </c>
      <c r="Q6" s="9" t="n">
        <v>0.0154824762906898</v>
      </c>
      <c r="R6" s="8" t="n">
        <v>8.5</v>
      </c>
      <c r="S6" s="12" t="n">
        <f aca="false">IF(AND(ISNUMBER(R6),R6&gt;1,P6&gt;0),R6/P6-1,"")</f>
        <v>-0.868398951529136</v>
      </c>
    </row>
    <row r="7" customFormat="false" ht="15" hidden="false" customHeight="false" outlineLevel="0" collapsed="false">
      <c r="A7" s="10" t="s">
        <v>56</v>
      </c>
      <c r="B7" s="10" t="s">
        <v>57</v>
      </c>
      <c r="C7" s="10" t="s">
        <v>58</v>
      </c>
      <c r="D7" s="10"/>
      <c r="E7" s="11" t="n">
        <v>18.5</v>
      </c>
      <c r="F7" s="10" t="s">
        <v>291</v>
      </c>
      <c r="G7" s="7" t="n">
        <v>18</v>
      </c>
      <c r="H7" s="10" t="s">
        <v>359</v>
      </c>
      <c r="I7" s="10" t="s">
        <v>360</v>
      </c>
      <c r="J7" s="10" t="s">
        <v>361</v>
      </c>
      <c r="K7" s="7" t="n">
        <v>13</v>
      </c>
      <c r="L7" s="7" t="n">
        <v>0</v>
      </c>
      <c r="M7" s="7" t="n">
        <v>6</v>
      </c>
      <c r="N7" s="7" t="n">
        <v>123</v>
      </c>
      <c r="O7" s="7" t="n">
        <v>6</v>
      </c>
      <c r="P7" s="8" t="n">
        <v>80.9491466369237</v>
      </c>
      <c r="Q7" s="9" t="n">
        <v>0.0123534347370607</v>
      </c>
      <c r="R7" s="8" t="n">
        <v>13</v>
      </c>
      <c r="S7" s="12" t="n">
        <f aca="false">IF(AND(ISNUMBER(R7),R7&gt;1,P7&gt;0),R7/P7-1,"")</f>
        <v>-0.83940534841821</v>
      </c>
    </row>
    <row r="8" customFormat="false" ht="15" hidden="false" customHeight="false" outlineLevel="0" collapsed="false">
      <c r="A8" s="10" t="s">
        <v>56</v>
      </c>
      <c r="B8" s="10" t="s">
        <v>57</v>
      </c>
      <c r="C8" s="10" t="s">
        <v>58</v>
      </c>
      <c r="D8" s="10"/>
      <c r="E8" s="11" t="n">
        <v>18.5</v>
      </c>
      <c r="F8" s="10" t="s">
        <v>291</v>
      </c>
      <c r="G8" s="7" t="n">
        <v>18</v>
      </c>
      <c r="H8" s="10" t="s">
        <v>362</v>
      </c>
      <c r="I8" s="10" t="s">
        <v>363</v>
      </c>
      <c r="J8" s="10" t="s">
        <v>364</v>
      </c>
      <c r="K8" s="7" t="n">
        <v>5</v>
      </c>
      <c r="L8" s="7" t="n">
        <v>0</v>
      </c>
      <c r="M8" s="7" t="n">
        <v>5</v>
      </c>
      <c r="N8" s="7" t="n">
        <v>141</v>
      </c>
      <c r="O8" s="7" t="n">
        <v>7</v>
      </c>
      <c r="P8" s="8" t="n">
        <v>114.28815679191</v>
      </c>
      <c r="Q8" s="9" t="n">
        <v>0.0087498129996159</v>
      </c>
      <c r="R8" s="8" t="n">
        <v>23</v>
      </c>
      <c r="S8" s="12" t="n">
        <f aca="false">IF(AND(ISNUMBER(R8),R8&gt;1,P8&gt;0),R8/P8-1,"")</f>
        <v>-0.798754301008833</v>
      </c>
    </row>
    <row r="9" customFormat="false" ht="15" hidden="false" customHeight="false" outlineLevel="0" collapsed="false">
      <c r="A9" s="10" t="s">
        <v>56</v>
      </c>
      <c r="B9" s="10" t="s">
        <v>57</v>
      </c>
      <c r="C9" s="10" t="s">
        <v>58</v>
      </c>
      <c r="D9" s="10"/>
      <c r="E9" s="11" t="n">
        <v>18.5</v>
      </c>
      <c r="F9" s="10" t="s">
        <v>291</v>
      </c>
      <c r="G9" s="7" t="n">
        <v>18</v>
      </c>
      <c r="H9" s="10" t="s">
        <v>365</v>
      </c>
      <c r="I9" s="10" t="s">
        <v>366</v>
      </c>
      <c r="J9" s="10" t="s">
        <v>367</v>
      </c>
      <c r="K9" s="7" t="n">
        <v>11</v>
      </c>
      <c r="L9" s="7" t="n">
        <v>0</v>
      </c>
      <c r="M9" s="7" t="n">
        <v>5</v>
      </c>
      <c r="N9" s="7" t="n">
        <v>282</v>
      </c>
      <c r="O9" s="7" t="n">
        <v>8</v>
      </c>
      <c r="P9" s="8" t="n">
        <v>259.303840608654</v>
      </c>
      <c r="Q9" s="9" t="n">
        <v>0.0038564797098752</v>
      </c>
      <c r="R9" s="8" t="n">
        <v>17</v>
      </c>
      <c r="S9" s="12" t="n">
        <f aca="false">IF(AND(ISNUMBER(R9),R9&gt;1,P9&gt;0),R9/P9-1,"")</f>
        <v>-0.934439844932121</v>
      </c>
    </row>
    <row r="10" customFormat="false" ht="15" hidden="false" customHeight="false" outlineLevel="0" collapsed="false">
      <c r="A10" s="10" t="s">
        <v>56</v>
      </c>
      <c r="B10" s="10" t="s">
        <v>57</v>
      </c>
      <c r="C10" s="10" t="s">
        <v>58</v>
      </c>
      <c r="D10" s="10"/>
      <c r="E10" s="11" t="n">
        <v>18.5</v>
      </c>
      <c r="F10" s="10" t="s">
        <v>291</v>
      </c>
      <c r="G10" s="7" t="n">
        <v>18</v>
      </c>
      <c r="H10" s="10" t="s">
        <v>368</v>
      </c>
      <c r="I10" s="10" t="s">
        <v>358</v>
      </c>
      <c r="J10" s="10" t="s">
        <v>369</v>
      </c>
      <c r="K10" s="7" t="n">
        <v>17</v>
      </c>
      <c r="L10" s="7" t="n">
        <v>0</v>
      </c>
      <c r="M10" s="7" t="n">
        <v>4</v>
      </c>
      <c r="N10" s="7" t="n">
        <v>35</v>
      </c>
      <c r="O10" s="7" t="n">
        <v>9</v>
      </c>
      <c r="P10" s="8" t="n">
        <v>269.211426090593</v>
      </c>
      <c r="Q10" s="9" t="n">
        <v>0.0037145525898424</v>
      </c>
      <c r="R10" s="8" t="n">
        <v>51</v>
      </c>
      <c r="S10" s="12" t="n">
        <f aca="false">IF(AND(ISNUMBER(R10),R10&gt;1,P10&gt;0),R10/P10-1,"")</f>
        <v>-0.810557817918033</v>
      </c>
    </row>
    <row r="11" customFormat="false" ht="15" hidden="false" customHeight="false" outlineLevel="0" collapsed="false">
      <c r="A11" s="10" t="s">
        <v>56</v>
      </c>
      <c r="B11" s="10" t="s">
        <v>57</v>
      </c>
      <c r="C11" s="10" t="s">
        <v>58</v>
      </c>
      <c r="D11" s="10"/>
      <c r="E11" s="11" t="n">
        <v>18.5</v>
      </c>
      <c r="F11" s="10" t="s">
        <v>291</v>
      </c>
      <c r="G11" s="7" t="n">
        <v>18</v>
      </c>
      <c r="H11" s="10" t="s">
        <v>370</v>
      </c>
      <c r="I11" s="10" t="s">
        <v>371</v>
      </c>
      <c r="J11" s="10" t="s">
        <v>372</v>
      </c>
      <c r="K11" s="7" t="n">
        <v>15</v>
      </c>
      <c r="L11" s="7" t="n">
        <v>0</v>
      </c>
      <c r="M11" s="7" t="n">
        <v>4</v>
      </c>
      <c r="N11" s="7"/>
      <c r="O11" s="7" t="n">
        <v>10</v>
      </c>
      <c r="P11" s="8" t="n">
        <v>334.59126519395</v>
      </c>
      <c r="Q11" s="9" t="n">
        <v>0.0029887211772259</v>
      </c>
      <c r="R11" s="8" t="n">
        <v>101</v>
      </c>
      <c r="S11" s="12" t="n">
        <f aca="false">IF(AND(ISNUMBER(R11),R11&gt;1,P11&gt;0),R11/P11-1,"")</f>
        <v>-0.698139161100174</v>
      </c>
    </row>
    <row r="12" customFormat="false" ht="15" hidden="false" customHeight="false" outlineLevel="0" collapsed="false">
      <c r="A12" s="10" t="s">
        <v>56</v>
      </c>
      <c r="B12" s="10" t="s">
        <v>57</v>
      </c>
      <c r="C12" s="10" t="s">
        <v>58</v>
      </c>
      <c r="D12" s="10"/>
      <c r="E12" s="11" t="n">
        <v>18.5</v>
      </c>
      <c r="F12" s="10" t="s">
        <v>291</v>
      </c>
      <c r="G12" s="7" t="n">
        <v>18</v>
      </c>
      <c r="H12" s="10" t="s">
        <v>373</v>
      </c>
      <c r="I12" s="10" t="s">
        <v>358</v>
      </c>
      <c r="J12" s="10" t="s">
        <v>369</v>
      </c>
      <c r="K12" s="7" t="n">
        <v>18</v>
      </c>
      <c r="L12" s="7" t="n">
        <v>0</v>
      </c>
      <c r="M12" s="7" t="n">
        <v>5</v>
      </c>
      <c r="N12" s="7" t="n">
        <v>6</v>
      </c>
      <c r="O12" s="7" t="n">
        <v>11</v>
      </c>
      <c r="P12" s="8" t="n">
        <v>383.302961231646</v>
      </c>
      <c r="Q12" s="9" t="n">
        <v>0.0026089023596028</v>
      </c>
      <c r="R12" s="8" t="n">
        <v>126</v>
      </c>
      <c r="S12" s="12" t="n">
        <f aca="false">IF(AND(ISNUMBER(R12),R12&gt;1,P12&gt;0),R12/P12-1,"")</f>
        <v>-0.671278302690042</v>
      </c>
    </row>
    <row r="13" customFormat="false" ht="15" hidden="false" customHeight="false" outlineLevel="0" collapsed="false">
      <c r="A13" s="10" t="s">
        <v>56</v>
      </c>
      <c r="B13" s="10" t="s">
        <v>57</v>
      </c>
      <c r="C13" s="10" t="s">
        <v>58</v>
      </c>
      <c r="D13" s="10"/>
      <c r="E13" s="11" t="n">
        <v>18.5</v>
      </c>
      <c r="F13" s="10" t="s">
        <v>291</v>
      </c>
      <c r="G13" s="7" t="n">
        <v>18</v>
      </c>
      <c r="H13" s="10" t="s">
        <v>374</v>
      </c>
      <c r="I13" s="10" t="s">
        <v>375</v>
      </c>
      <c r="J13" s="10" t="s">
        <v>376</v>
      </c>
      <c r="K13" s="7" t="n">
        <v>7</v>
      </c>
      <c r="L13" s="7" t="n">
        <v>0</v>
      </c>
      <c r="M13" s="7" t="n">
        <v>5</v>
      </c>
      <c r="N13" s="7" t="n">
        <v>22</v>
      </c>
      <c r="O13" s="7" t="n">
        <v>12</v>
      </c>
      <c r="P13" s="8" t="n">
        <v>438.527827505367</v>
      </c>
      <c r="Q13" s="9" t="n">
        <v>0.0022803569973852</v>
      </c>
      <c r="R13" s="8" t="n">
        <v>101</v>
      </c>
      <c r="S13" s="12" t="n">
        <f aca="false">IF(AND(ISNUMBER(R13),R13&gt;1,P13&gt;0),R13/P13-1,"")</f>
        <v>-0.769683943264093</v>
      </c>
    </row>
    <row r="14" customFormat="false" ht="15" hidden="false" customHeight="false" outlineLevel="0" collapsed="false">
      <c r="A14" s="10" t="s">
        <v>56</v>
      </c>
      <c r="B14" s="10" t="s">
        <v>57</v>
      </c>
      <c r="C14" s="10" t="s">
        <v>58</v>
      </c>
      <c r="D14" s="10"/>
      <c r="E14" s="11" t="n">
        <v>18.5</v>
      </c>
      <c r="F14" s="10" t="s">
        <v>291</v>
      </c>
      <c r="G14" s="7" t="n">
        <v>18</v>
      </c>
      <c r="H14" s="10" t="s">
        <v>377</v>
      </c>
      <c r="I14" s="10" t="s">
        <v>378</v>
      </c>
      <c r="J14" s="10" t="s">
        <v>379</v>
      </c>
      <c r="K14" s="7" t="n">
        <v>4</v>
      </c>
      <c r="L14" s="7" t="n">
        <v>0</v>
      </c>
      <c r="M14" s="7" t="n">
        <v>6</v>
      </c>
      <c r="N14" s="7"/>
      <c r="O14" s="7" t="n">
        <v>13</v>
      </c>
      <c r="P14" s="8" t="n">
        <v>445.537773377085</v>
      </c>
      <c r="Q14" s="9" t="n">
        <v>0.0022444786048558</v>
      </c>
      <c r="R14" s="8" t="n">
        <v>51</v>
      </c>
      <c r="S14" s="12" t="n">
        <f aca="false">IF(AND(ISNUMBER(R14),R14&gt;1,P14&gt;0),R14/P14-1,"")</f>
        <v>-0.885531591152349</v>
      </c>
    </row>
    <row r="15" customFormat="false" ht="15" hidden="false" customHeight="false" outlineLevel="0" collapsed="false">
      <c r="A15" s="10" t="s">
        <v>56</v>
      </c>
      <c r="B15" s="10" t="s">
        <v>57</v>
      </c>
      <c r="C15" s="10" t="s">
        <v>58</v>
      </c>
      <c r="D15" s="10"/>
      <c r="E15" s="11" t="n">
        <v>18.5</v>
      </c>
      <c r="F15" s="10" t="s">
        <v>291</v>
      </c>
      <c r="G15" s="7" t="n">
        <v>18</v>
      </c>
      <c r="H15" s="10" t="s">
        <v>380</v>
      </c>
      <c r="I15" s="10" t="s">
        <v>381</v>
      </c>
      <c r="J15" s="10" t="s">
        <v>382</v>
      </c>
      <c r="K15" s="7" t="n">
        <v>10</v>
      </c>
      <c r="L15" s="7" t="n">
        <v>0</v>
      </c>
      <c r="M15" s="7" t="n">
        <v>5</v>
      </c>
      <c r="N15" s="7"/>
      <c r="O15" s="7" t="n">
        <v>14</v>
      </c>
      <c r="P15" s="8" t="n">
        <v>484.092832661885</v>
      </c>
      <c r="Q15" s="9" t="n">
        <v>0.0020657194912415</v>
      </c>
      <c r="R15" s="8" t="n">
        <v>101</v>
      </c>
      <c r="S15" s="12" t="n">
        <f aca="false">IF(AND(ISNUMBER(R15),R15&gt;1,P15&gt;0),R15/P15-1,"")</f>
        <v>-0.791362331384601</v>
      </c>
    </row>
    <row r="16" customFormat="false" ht="15" hidden="false" customHeight="false" outlineLevel="0" collapsed="false">
      <c r="A16" s="10" t="s">
        <v>56</v>
      </c>
      <c r="B16" s="10" t="s">
        <v>57</v>
      </c>
      <c r="C16" s="10" t="s">
        <v>58</v>
      </c>
      <c r="D16" s="10"/>
      <c r="E16" s="11" t="n">
        <v>18.5</v>
      </c>
      <c r="F16" s="10" t="s">
        <v>291</v>
      </c>
      <c r="G16" s="7" t="n">
        <v>18</v>
      </c>
      <c r="H16" s="10" t="s">
        <v>383</v>
      </c>
      <c r="I16" s="10" t="s">
        <v>384</v>
      </c>
      <c r="J16" s="10" t="s">
        <v>84</v>
      </c>
      <c r="K16" s="7" t="n">
        <v>8</v>
      </c>
      <c r="L16" s="7" t="n">
        <v>0</v>
      </c>
      <c r="M16" s="7" t="n">
        <v>6</v>
      </c>
      <c r="N16" s="7" t="n">
        <v>18</v>
      </c>
      <c r="O16" s="7" t="n">
        <v>15</v>
      </c>
      <c r="P16" s="8" t="n">
        <v>519.666347233874</v>
      </c>
      <c r="Q16" s="9" t="n">
        <v>0.0019243116382711</v>
      </c>
      <c r="R16" s="8" t="n">
        <v>101</v>
      </c>
      <c r="S16" s="12" t="n">
        <f aca="false">IF(AND(ISNUMBER(R16),R16&gt;1,P16&gt;0),R16/P16-1,"")</f>
        <v>-0.805644524534614</v>
      </c>
    </row>
    <row r="17" customFormat="false" ht="15" hidden="false" customHeight="false" outlineLevel="0" collapsed="false">
      <c r="A17" s="10" t="s">
        <v>56</v>
      </c>
      <c r="B17" s="10" t="s">
        <v>57</v>
      </c>
      <c r="C17" s="10" t="s">
        <v>58</v>
      </c>
      <c r="D17" s="10"/>
      <c r="E17" s="11" t="n">
        <v>18.5</v>
      </c>
      <c r="F17" s="10" t="s">
        <v>291</v>
      </c>
      <c r="G17" s="7" t="n">
        <v>18</v>
      </c>
      <c r="H17" s="10" t="s">
        <v>385</v>
      </c>
      <c r="I17" s="10" t="s">
        <v>386</v>
      </c>
      <c r="J17" s="10" t="s">
        <v>387</v>
      </c>
      <c r="K17" s="7" t="n">
        <v>9</v>
      </c>
      <c r="L17" s="7" t="n">
        <v>0</v>
      </c>
      <c r="M17" s="7" t="n">
        <v>5</v>
      </c>
      <c r="N17" s="7" t="n">
        <v>32</v>
      </c>
      <c r="O17" s="7" t="n">
        <v>16</v>
      </c>
      <c r="P17" s="8" t="n">
        <v>765.65019439368</v>
      </c>
      <c r="Q17" s="9" t="n">
        <v>0.0013060794698705</v>
      </c>
      <c r="R17" s="8" t="n">
        <v>151</v>
      </c>
      <c r="S17" s="12" t="n">
        <f aca="false">IF(AND(ISNUMBER(R17),R17&gt;1,P17&gt;0),R17/P17-1,"")</f>
        <v>-0.802782000049543</v>
      </c>
    </row>
    <row r="18" customFormat="false" ht="15" hidden="false" customHeight="false" outlineLevel="0" collapsed="false">
      <c r="A18" s="10" t="s">
        <v>56</v>
      </c>
      <c r="B18" s="10" t="s">
        <v>57</v>
      </c>
      <c r="C18" s="10" t="s">
        <v>58</v>
      </c>
      <c r="D18" s="10"/>
      <c r="E18" s="11" t="n">
        <v>18.5</v>
      </c>
      <c r="F18" s="10" t="s">
        <v>291</v>
      </c>
      <c r="G18" s="7" t="n">
        <v>18</v>
      </c>
      <c r="H18" s="10" t="s">
        <v>388</v>
      </c>
      <c r="I18" s="10" t="s">
        <v>389</v>
      </c>
      <c r="J18" s="10" t="s">
        <v>379</v>
      </c>
      <c r="K18" s="7" t="n">
        <v>1</v>
      </c>
      <c r="L18" s="7" t="n">
        <v>0</v>
      </c>
      <c r="M18" s="7" t="n">
        <v>7</v>
      </c>
      <c r="N18" s="7" t="n">
        <v>48</v>
      </c>
      <c r="O18" s="7" t="n">
        <v>17</v>
      </c>
      <c r="P18" s="8" t="n">
        <v>806.231902053936</v>
      </c>
      <c r="Q18" s="9" t="n">
        <v>0.0012403379194651</v>
      </c>
      <c r="R18" s="8" t="n">
        <v>151</v>
      </c>
      <c r="S18" s="12" t="n">
        <f aca="false">IF(AND(ISNUMBER(R18),R18&gt;1,P18&gt;0),R18/P18-1,"")</f>
        <v>-0.812708974160764</v>
      </c>
    </row>
    <row r="19" customFormat="false" ht="15" hidden="false" customHeight="false" outlineLevel="0" collapsed="false">
      <c r="A19" s="10" t="s">
        <v>56</v>
      </c>
      <c r="B19" s="10" t="s">
        <v>57</v>
      </c>
      <c r="C19" s="10" t="s">
        <v>58</v>
      </c>
      <c r="D19" s="10"/>
      <c r="E19" s="11" t="n">
        <v>18.5</v>
      </c>
      <c r="F19" s="10" t="s">
        <v>291</v>
      </c>
      <c r="G19" s="7" t="n">
        <v>18</v>
      </c>
      <c r="H19" s="10" t="s">
        <v>390</v>
      </c>
      <c r="I19" s="10" t="s">
        <v>391</v>
      </c>
      <c r="J19" s="10" t="s">
        <v>392</v>
      </c>
      <c r="K19" s="7" t="n">
        <v>14</v>
      </c>
      <c r="L19" s="7" t="n">
        <v>0</v>
      </c>
      <c r="M19" s="7" t="n">
        <v>4</v>
      </c>
      <c r="N19" s="7" t="n">
        <v>22</v>
      </c>
      <c r="O19" s="7" t="n">
        <v>18</v>
      </c>
      <c r="P19" s="8" t="n">
        <v>894.82631223164</v>
      </c>
      <c r="Q19" s="9" t="n">
        <v>0.0011175353097363</v>
      </c>
      <c r="R19" s="8" t="n">
        <v>101</v>
      </c>
      <c r="S19" s="12" t="n">
        <f aca="false">IF(AND(ISNUMBER(R19),R19&gt;1,P19&gt;0),R19/P19-1,"")</f>
        <v>-0.887128933716631</v>
      </c>
    </row>
    <row r="20" customFormat="false" ht="15" hidden="false" customHeight="false" outlineLevel="0" collapsed="false">
      <c r="A20" s="10" t="s">
        <v>80</v>
      </c>
      <c r="B20" s="10" t="s">
        <v>57</v>
      </c>
      <c r="C20" s="10" t="s">
        <v>81</v>
      </c>
      <c r="D20" s="10"/>
      <c r="E20" s="11" t="n">
        <v>18.5</v>
      </c>
      <c r="F20" s="10" t="s">
        <v>291</v>
      </c>
      <c r="G20" s="7" t="n">
        <v>18</v>
      </c>
      <c r="H20" s="10" t="s">
        <v>82</v>
      </c>
      <c r="I20" s="10" t="s">
        <v>83</v>
      </c>
      <c r="J20" s="10" t="s">
        <v>84</v>
      </c>
      <c r="K20" s="7" t="n">
        <v>15</v>
      </c>
      <c r="L20" s="7" t="n">
        <v>97</v>
      </c>
      <c r="M20" s="7" t="n">
        <v>4</v>
      </c>
      <c r="N20" s="7" t="n">
        <v>49</v>
      </c>
      <c r="O20" s="7" t="n">
        <v>1</v>
      </c>
      <c r="P20" s="8" t="n">
        <v>6.9327793936071</v>
      </c>
      <c r="Q20" s="9" t="n">
        <v>0.144242293490851</v>
      </c>
      <c r="R20" s="8" t="n">
        <v>3</v>
      </c>
      <c r="S20" s="12" t="n">
        <f aca="false">IF(AND(ISNUMBER(R20),R20&gt;1,P20&gt;0),R20/P20-1,"")</f>
        <v>-0.567273119527447</v>
      </c>
    </row>
    <row r="21" customFormat="false" ht="15" hidden="false" customHeight="false" outlineLevel="0" collapsed="false">
      <c r="A21" s="10" t="s">
        <v>80</v>
      </c>
      <c r="B21" s="10" t="s">
        <v>57</v>
      </c>
      <c r="C21" s="10" t="s">
        <v>81</v>
      </c>
      <c r="D21" s="10"/>
      <c r="E21" s="11" t="n">
        <v>18.5</v>
      </c>
      <c r="F21" s="10" t="s">
        <v>291</v>
      </c>
      <c r="G21" s="7" t="n">
        <v>18</v>
      </c>
      <c r="H21" s="10" t="s">
        <v>85</v>
      </c>
      <c r="I21" s="10" t="s">
        <v>455</v>
      </c>
      <c r="J21" s="10" t="s">
        <v>456</v>
      </c>
      <c r="K21" s="7" t="n">
        <v>10</v>
      </c>
      <c r="L21" s="7" t="n">
        <v>99</v>
      </c>
      <c r="M21" s="7" t="n">
        <v>9</v>
      </c>
      <c r="N21" s="7" t="n">
        <v>6</v>
      </c>
      <c r="O21" s="7" t="n">
        <v>2</v>
      </c>
      <c r="P21" s="8" t="n">
        <v>6.95767960455093</v>
      </c>
      <c r="Q21" s="9" t="n">
        <v>0.143726077778274</v>
      </c>
      <c r="R21" s="8" t="n">
        <v>8.5</v>
      </c>
      <c r="S21" s="12" t="n">
        <f aca="false">IF(AND(ISNUMBER(R21),R21&gt;1,P21&gt;0),R21/P21-1,"")</f>
        <v>0.221671661115332</v>
      </c>
    </row>
    <row r="22" customFormat="false" ht="15" hidden="false" customHeight="false" outlineLevel="0" collapsed="false">
      <c r="A22" s="10" t="s">
        <v>80</v>
      </c>
      <c r="B22" s="10" t="s">
        <v>57</v>
      </c>
      <c r="C22" s="10" t="s">
        <v>81</v>
      </c>
      <c r="D22" s="10"/>
      <c r="E22" s="11" t="n">
        <v>18.5</v>
      </c>
      <c r="F22" s="10" t="s">
        <v>291</v>
      </c>
      <c r="G22" s="7" t="n">
        <v>18</v>
      </c>
      <c r="H22" s="10" t="s">
        <v>457</v>
      </c>
      <c r="I22" s="10" t="s">
        <v>458</v>
      </c>
      <c r="J22" s="10" t="s">
        <v>392</v>
      </c>
      <c r="K22" s="7" t="n">
        <v>4</v>
      </c>
      <c r="L22" s="7" t="n">
        <v>104</v>
      </c>
      <c r="M22" s="7" t="n">
        <v>6</v>
      </c>
      <c r="N22" s="7" t="n">
        <v>36</v>
      </c>
      <c r="O22" s="7" t="n">
        <v>3</v>
      </c>
      <c r="P22" s="8" t="n">
        <v>7.13865457565574</v>
      </c>
      <c r="Q22" s="9" t="n">
        <v>0.140082418809029</v>
      </c>
      <c r="R22" s="8" t="n">
        <v>9.5</v>
      </c>
      <c r="S22" s="12" t="n">
        <f aca="false">IF(AND(ISNUMBER(R22),R22&gt;1,P22&gt;0),R22/P22-1,"")</f>
        <v>0.330782978685777</v>
      </c>
    </row>
    <row r="23" customFormat="false" ht="15" hidden="false" customHeight="false" outlineLevel="0" collapsed="false">
      <c r="A23" s="10" t="s">
        <v>80</v>
      </c>
      <c r="B23" s="10" t="s">
        <v>57</v>
      </c>
      <c r="C23" s="10" t="s">
        <v>81</v>
      </c>
      <c r="D23" s="10"/>
      <c r="E23" s="11" t="n">
        <v>18.5</v>
      </c>
      <c r="F23" s="10" t="s">
        <v>291</v>
      </c>
      <c r="G23" s="7" t="n">
        <v>18</v>
      </c>
      <c r="H23" s="10" t="s">
        <v>459</v>
      </c>
      <c r="I23" s="10" t="s">
        <v>358</v>
      </c>
      <c r="J23" s="10" t="s">
        <v>460</v>
      </c>
      <c r="K23" s="7" t="n">
        <v>16</v>
      </c>
      <c r="L23" s="7" t="n">
        <v>96</v>
      </c>
      <c r="M23" s="7" t="n">
        <v>5</v>
      </c>
      <c r="N23" s="7" t="n">
        <v>30</v>
      </c>
      <c r="O23" s="7" t="n">
        <v>4</v>
      </c>
      <c r="P23" s="8" t="n">
        <v>13.7757092473606</v>
      </c>
      <c r="Q23" s="9" t="n">
        <v>0.0725915437124663</v>
      </c>
      <c r="R23" s="8" t="n">
        <v>8.5</v>
      </c>
      <c r="S23" s="12" t="n">
        <f aca="false">IF(AND(ISNUMBER(R23),R23&gt;1,P23&gt;0),R23/P23-1,"")</f>
        <v>-0.382971878444036</v>
      </c>
    </row>
    <row r="24" customFormat="false" ht="15" hidden="false" customHeight="false" outlineLevel="0" collapsed="false">
      <c r="A24" s="10" t="s">
        <v>80</v>
      </c>
      <c r="B24" s="10" t="s">
        <v>57</v>
      </c>
      <c r="C24" s="10" t="s">
        <v>81</v>
      </c>
      <c r="D24" s="10"/>
      <c r="E24" s="11" t="n">
        <v>18.5</v>
      </c>
      <c r="F24" s="10" t="s">
        <v>291</v>
      </c>
      <c r="G24" s="7" t="n">
        <v>18</v>
      </c>
      <c r="H24" s="10" t="s">
        <v>461</v>
      </c>
      <c r="I24" s="10" t="s">
        <v>462</v>
      </c>
      <c r="J24" s="10" t="s">
        <v>463</v>
      </c>
      <c r="K24" s="7" t="n">
        <v>6</v>
      </c>
      <c r="L24" s="7" t="n">
        <v>104</v>
      </c>
      <c r="M24" s="7" t="n">
        <v>7</v>
      </c>
      <c r="N24" s="7" t="n">
        <v>160</v>
      </c>
      <c r="O24" s="7" t="n">
        <v>5</v>
      </c>
      <c r="P24" s="8" t="n">
        <v>17.3302636291262</v>
      </c>
      <c r="Q24" s="9" t="n">
        <v>0.0577025267128276</v>
      </c>
      <c r="R24" s="8" t="n">
        <v>11</v>
      </c>
      <c r="S24" s="12" t="n">
        <f aca="false">IF(AND(ISNUMBER(R24),R24&gt;1,P24&gt;0),R24/P24-1,"")</f>
        <v>-0.365272206158896</v>
      </c>
    </row>
    <row r="25" customFormat="false" ht="15" hidden="false" customHeight="false" outlineLevel="0" collapsed="false">
      <c r="A25" s="10" t="s">
        <v>80</v>
      </c>
      <c r="B25" s="10" t="s">
        <v>57</v>
      </c>
      <c r="C25" s="10" t="s">
        <v>81</v>
      </c>
      <c r="D25" s="10"/>
      <c r="E25" s="11" t="n">
        <v>18.5</v>
      </c>
      <c r="F25" s="10" t="s">
        <v>291</v>
      </c>
      <c r="G25" s="7" t="n">
        <v>18</v>
      </c>
      <c r="H25" s="10" t="s">
        <v>464</v>
      </c>
      <c r="I25" s="10" t="s">
        <v>465</v>
      </c>
      <c r="J25" s="10" t="s">
        <v>84</v>
      </c>
      <c r="K25" s="7" t="n">
        <v>3</v>
      </c>
      <c r="L25" s="7" t="n">
        <v>109</v>
      </c>
      <c r="M25" s="7" t="n">
        <v>8</v>
      </c>
      <c r="N25" s="7" t="n">
        <v>36</v>
      </c>
      <c r="O25" s="7" t="n">
        <v>6</v>
      </c>
      <c r="P25" s="8" t="n">
        <v>18.9186266927672</v>
      </c>
      <c r="Q25" s="9" t="n">
        <v>0.0528579593138392</v>
      </c>
      <c r="R25" s="8" t="n">
        <v>12</v>
      </c>
      <c r="S25" s="12" t="n">
        <f aca="false">IF(AND(ISNUMBER(R25),R25&gt;1,P25&gt;0),R25/P25-1,"")</f>
        <v>-0.36570448823393</v>
      </c>
    </row>
    <row r="26" customFormat="false" ht="15" hidden="false" customHeight="false" outlineLevel="0" collapsed="false">
      <c r="A26" s="10" t="s">
        <v>80</v>
      </c>
      <c r="B26" s="10" t="s">
        <v>57</v>
      </c>
      <c r="C26" s="10" t="s">
        <v>81</v>
      </c>
      <c r="D26" s="10"/>
      <c r="E26" s="11" t="n">
        <v>18.5</v>
      </c>
      <c r="F26" s="10" t="s">
        <v>291</v>
      </c>
      <c r="G26" s="7" t="n">
        <v>18</v>
      </c>
      <c r="H26" s="10" t="s">
        <v>466</v>
      </c>
      <c r="I26" s="10" t="s">
        <v>467</v>
      </c>
      <c r="J26" s="10" t="s">
        <v>468</v>
      </c>
      <c r="K26" s="7" t="n">
        <v>2</v>
      </c>
      <c r="L26" s="7" t="n">
        <v>110</v>
      </c>
      <c r="M26" s="7" t="n">
        <v>5</v>
      </c>
      <c r="N26" s="7" t="n">
        <v>210</v>
      </c>
      <c r="O26" s="7" t="n">
        <v>7</v>
      </c>
      <c r="P26" s="8" t="n">
        <v>19.0385631925158</v>
      </c>
      <c r="Q26" s="9" t="n">
        <v>0.0525249720731609</v>
      </c>
      <c r="R26" s="8" t="n">
        <v>12</v>
      </c>
      <c r="S26" s="12" t="n">
        <f aca="false">IF(AND(ISNUMBER(R26),R26&gt;1,P26&gt;0),R26/P26-1,"")</f>
        <v>-0.369700335122069</v>
      </c>
    </row>
    <row r="27" customFormat="false" ht="15" hidden="false" customHeight="false" outlineLevel="0" collapsed="false">
      <c r="A27" s="10" t="s">
        <v>80</v>
      </c>
      <c r="B27" s="10" t="s">
        <v>57</v>
      </c>
      <c r="C27" s="10" t="s">
        <v>81</v>
      </c>
      <c r="D27" s="10"/>
      <c r="E27" s="11" t="n">
        <v>18.5</v>
      </c>
      <c r="F27" s="10" t="s">
        <v>291</v>
      </c>
      <c r="G27" s="7" t="n">
        <v>18</v>
      </c>
      <c r="H27" s="10" t="s">
        <v>469</v>
      </c>
      <c r="I27" s="10" t="s">
        <v>470</v>
      </c>
      <c r="J27" s="10" t="s">
        <v>356</v>
      </c>
      <c r="K27" s="7" t="n">
        <v>12</v>
      </c>
      <c r="L27" s="7" t="n">
        <v>99</v>
      </c>
      <c r="M27" s="7" t="n">
        <v>5</v>
      </c>
      <c r="N27" s="7" t="n">
        <v>22</v>
      </c>
      <c r="O27" s="7" t="n">
        <v>8</v>
      </c>
      <c r="P27" s="8" t="n">
        <v>19.0655450625615</v>
      </c>
      <c r="Q27" s="9" t="n">
        <v>0.052450637876788</v>
      </c>
      <c r="R27" s="8" t="n">
        <v>8</v>
      </c>
      <c r="S27" s="12" t="n">
        <f aca="false">IF(AND(ISNUMBER(R27),R27&gt;1,P27&gt;0),R27/P27-1,"")</f>
        <v>-0.580394896985696</v>
      </c>
    </row>
    <row r="28" customFormat="false" ht="15" hidden="false" customHeight="false" outlineLevel="0" collapsed="false">
      <c r="A28" s="10" t="s">
        <v>80</v>
      </c>
      <c r="B28" s="10" t="s">
        <v>57</v>
      </c>
      <c r="C28" s="10" t="s">
        <v>81</v>
      </c>
      <c r="D28" s="10"/>
      <c r="E28" s="11" t="n">
        <v>18.5</v>
      </c>
      <c r="F28" s="10" t="s">
        <v>291</v>
      </c>
      <c r="G28" s="7" t="n">
        <v>18</v>
      </c>
      <c r="H28" s="10" t="s">
        <v>471</v>
      </c>
      <c r="I28" s="10" t="s">
        <v>358</v>
      </c>
      <c r="J28" s="10" t="s">
        <v>472</v>
      </c>
      <c r="K28" s="7" t="n">
        <v>17</v>
      </c>
      <c r="L28" s="7" t="n">
        <v>88</v>
      </c>
      <c r="M28" s="7" t="n">
        <v>9</v>
      </c>
      <c r="N28" s="7" t="n">
        <v>84</v>
      </c>
      <c r="O28" s="7" t="n">
        <v>9</v>
      </c>
      <c r="P28" s="8" t="n">
        <v>24.6802628873361</v>
      </c>
      <c r="Q28" s="9" t="n">
        <v>0.0405182069804094</v>
      </c>
      <c r="R28" s="8" t="n">
        <v>13</v>
      </c>
      <c r="S28" s="12" t="n">
        <f aca="false">IF(AND(ISNUMBER(R28),R28&gt;1,P28&gt;0),R28/P28-1,"")</f>
        <v>-0.473263309254678</v>
      </c>
    </row>
    <row r="29" customFormat="false" ht="15" hidden="false" customHeight="false" outlineLevel="0" collapsed="false">
      <c r="A29" s="10" t="s">
        <v>80</v>
      </c>
      <c r="B29" s="10" t="s">
        <v>57</v>
      </c>
      <c r="C29" s="10" t="s">
        <v>81</v>
      </c>
      <c r="D29" s="10"/>
      <c r="E29" s="11" t="n">
        <v>18.5</v>
      </c>
      <c r="F29" s="10" t="s">
        <v>291</v>
      </c>
      <c r="G29" s="7" t="n">
        <v>18</v>
      </c>
      <c r="H29" s="10" t="s">
        <v>473</v>
      </c>
      <c r="I29" s="10" t="s">
        <v>474</v>
      </c>
      <c r="J29" s="10" t="s">
        <v>475</v>
      </c>
      <c r="K29" s="7" t="n">
        <v>14</v>
      </c>
      <c r="L29" s="7" t="n">
        <v>96</v>
      </c>
      <c r="M29" s="7" t="n">
        <v>8</v>
      </c>
      <c r="N29" s="7" t="n">
        <v>35</v>
      </c>
      <c r="O29" s="7" t="n">
        <v>10</v>
      </c>
      <c r="P29" s="8" t="n">
        <v>27.1215666364023</v>
      </c>
      <c r="Q29" s="9" t="n">
        <v>0.0368710264199048</v>
      </c>
      <c r="R29" s="8" t="n">
        <v>13</v>
      </c>
      <c r="S29" s="12" t="n">
        <f aca="false">IF(AND(ISNUMBER(R29),R29&gt;1,P29&gt;0),R29/P29-1,"")</f>
        <v>-0.520676656541237</v>
      </c>
    </row>
    <row r="30" customFormat="false" ht="15" hidden="false" customHeight="false" outlineLevel="0" collapsed="false">
      <c r="A30" s="10" t="s">
        <v>80</v>
      </c>
      <c r="B30" s="10" t="s">
        <v>57</v>
      </c>
      <c r="C30" s="10" t="s">
        <v>81</v>
      </c>
      <c r="D30" s="10"/>
      <c r="E30" s="11" t="n">
        <v>18.5</v>
      </c>
      <c r="F30" s="10" t="s">
        <v>291</v>
      </c>
      <c r="G30" s="7" t="n">
        <v>18</v>
      </c>
      <c r="H30" s="10" t="s">
        <v>476</v>
      </c>
      <c r="I30" s="10" t="s">
        <v>477</v>
      </c>
      <c r="J30" s="10" t="s">
        <v>478</v>
      </c>
      <c r="K30" s="7" t="n">
        <v>5</v>
      </c>
      <c r="L30" s="7" t="n">
        <v>104</v>
      </c>
      <c r="M30" s="7" t="n">
        <v>8</v>
      </c>
      <c r="N30" s="7" t="n">
        <v>118</v>
      </c>
      <c r="O30" s="7" t="n">
        <v>11</v>
      </c>
      <c r="P30" s="8" t="n">
        <v>27.2251277395144</v>
      </c>
      <c r="Q30" s="9" t="n">
        <v>0.0367307734813161</v>
      </c>
      <c r="R30" s="8" t="n">
        <v>17</v>
      </c>
      <c r="S30" s="12" t="n">
        <f aca="false">IF(AND(ISNUMBER(R30),R30&gt;1,P30&gt;0),R30/P30-1,"")</f>
        <v>-0.375576850817626</v>
      </c>
    </row>
    <row r="31" customFormat="false" ht="15" hidden="false" customHeight="false" outlineLevel="0" collapsed="false">
      <c r="A31" s="10" t="s">
        <v>80</v>
      </c>
      <c r="B31" s="10" t="s">
        <v>57</v>
      </c>
      <c r="C31" s="10" t="s">
        <v>81</v>
      </c>
      <c r="D31" s="10"/>
      <c r="E31" s="11" t="n">
        <v>18.5</v>
      </c>
      <c r="F31" s="10" t="s">
        <v>291</v>
      </c>
      <c r="G31" s="7" t="n">
        <v>18</v>
      </c>
      <c r="H31" s="10" t="s">
        <v>479</v>
      </c>
      <c r="I31" s="10" t="s">
        <v>358</v>
      </c>
      <c r="J31" s="10" t="s">
        <v>460</v>
      </c>
      <c r="K31" s="7" t="n">
        <v>18</v>
      </c>
      <c r="L31" s="7" t="n">
        <v>85</v>
      </c>
      <c r="M31" s="7" t="n">
        <v>4</v>
      </c>
      <c r="N31" s="7" t="n">
        <v>1</v>
      </c>
      <c r="O31" s="7" t="n">
        <v>12</v>
      </c>
      <c r="P31" s="8" t="n">
        <v>28.2378809479375</v>
      </c>
      <c r="Q31" s="9" t="n">
        <v>0.0354134221984897</v>
      </c>
      <c r="R31" s="8" t="n">
        <v>21</v>
      </c>
      <c r="S31" s="12" t="n">
        <f aca="false">IF(AND(ISNUMBER(R31),R31&gt;1,P31&gt;0),R31/P31-1,"")</f>
        <v>-0.256318133831716</v>
      </c>
    </row>
    <row r="32" customFormat="false" ht="15" hidden="false" customHeight="false" outlineLevel="0" collapsed="false">
      <c r="A32" s="10" t="s">
        <v>80</v>
      </c>
      <c r="B32" s="10" t="s">
        <v>57</v>
      </c>
      <c r="C32" s="10" t="s">
        <v>81</v>
      </c>
      <c r="D32" s="10"/>
      <c r="E32" s="11" t="n">
        <v>18.5</v>
      </c>
      <c r="F32" s="10" t="s">
        <v>291</v>
      </c>
      <c r="G32" s="7" t="n">
        <v>18</v>
      </c>
      <c r="H32" s="10" t="s">
        <v>480</v>
      </c>
      <c r="I32" s="10" t="s">
        <v>481</v>
      </c>
      <c r="J32" s="10" t="s">
        <v>128</v>
      </c>
      <c r="K32" s="7" t="n">
        <v>13</v>
      </c>
      <c r="L32" s="7" t="n">
        <v>96</v>
      </c>
      <c r="M32" s="7" t="n">
        <v>9</v>
      </c>
      <c r="N32" s="7" t="n">
        <v>48</v>
      </c>
      <c r="O32" s="7" t="n">
        <v>13</v>
      </c>
      <c r="P32" s="8" t="n">
        <v>29.7274668382956</v>
      </c>
      <c r="Q32" s="9" t="n">
        <v>0.0336389240778422</v>
      </c>
      <c r="R32" s="8" t="n">
        <v>9</v>
      </c>
      <c r="S32" s="12" t="n">
        <f aca="false">IF(AND(ISNUMBER(R32),R32&gt;1,P32&gt;0),R32/P32-1,"")</f>
        <v>-0.69724968329942</v>
      </c>
    </row>
    <row r="33" customFormat="false" ht="15" hidden="false" customHeight="false" outlineLevel="0" collapsed="false">
      <c r="A33" s="10" t="s">
        <v>80</v>
      </c>
      <c r="B33" s="10" t="s">
        <v>57</v>
      </c>
      <c r="C33" s="10" t="s">
        <v>81</v>
      </c>
      <c r="D33" s="10"/>
      <c r="E33" s="11" t="n">
        <v>18.5</v>
      </c>
      <c r="F33" s="10" t="s">
        <v>291</v>
      </c>
      <c r="G33" s="7" t="n">
        <v>18</v>
      </c>
      <c r="H33" s="10" t="s">
        <v>482</v>
      </c>
      <c r="I33" s="10" t="s">
        <v>483</v>
      </c>
      <c r="J33" s="10" t="s">
        <v>484</v>
      </c>
      <c r="K33" s="7" t="n">
        <v>7</v>
      </c>
      <c r="L33" s="7" t="n">
        <v>102</v>
      </c>
      <c r="M33" s="7" t="n">
        <v>9</v>
      </c>
      <c r="N33" s="7" t="n">
        <v>60</v>
      </c>
      <c r="O33" s="7" t="n">
        <v>14</v>
      </c>
      <c r="P33" s="8" t="n">
        <v>39.8665948962278</v>
      </c>
      <c r="Q33" s="9" t="n">
        <v>0.0250836571972847</v>
      </c>
      <c r="R33" s="8" t="n">
        <v>34</v>
      </c>
      <c r="S33" s="12" t="n">
        <f aca="false">IF(AND(ISNUMBER(R33),R33&gt;1,P33&gt;0),R33/P33-1,"")</f>
        <v>-0.147155655292318</v>
      </c>
    </row>
    <row r="34" customFormat="false" ht="15" hidden="false" customHeight="false" outlineLevel="0" collapsed="false">
      <c r="A34" s="10" t="s">
        <v>80</v>
      </c>
      <c r="B34" s="10" t="s">
        <v>57</v>
      </c>
      <c r="C34" s="10" t="s">
        <v>81</v>
      </c>
      <c r="D34" s="10"/>
      <c r="E34" s="11" t="n">
        <v>18.5</v>
      </c>
      <c r="F34" s="10" t="s">
        <v>291</v>
      </c>
      <c r="G34" s="7" t="n">
        <v>18</v>
      </c>
      <c r="H34" s="10" t="s">
        <v>485</v>
      </c>
      <c r="I34" s="10" t="s">
        <v>486</v>
      </c>
      <c r="J34" s="10" t="s">
        <v>460</v>
      </c>
      <c r="K34" s="7" t="n">
        <v>1</v>
      </c>
      <c r="L34" s="7" t="n">
        <v>112</v>
      </c>
      <c r="M34" s="7" t="n">
        <v>7</v>
      </c>
      <c r="N34" s="7" t="n">
        <v>18</v>
      </c>
      <c r="O34" s="7" t="n">
        <v>15</v>
      </c>
      <c r="P34" s="8" t="n">
        <v>40.2486224069324</v>
      </c>
      <c r="Q34" s="9" t="n">
        <v>0.0248455708592838</v>
      </c>
      <c r="R34" s="8" t="n">
        <v>23</v>
      </c>
      <c r="S34" s="12" t="n">
        <f aca="false">IF(AND(ISNUMBER(R34),R34&gt;1,P34&gt;0),R34/P34-1,"")</f>
        <v>-0.428551870236471</v>
      </c>
    </row>
    <row r="35" customFormat="false" ht="15" hidden="false" customHeight="false" outlineLevel="0" collapsed="false">
      <c r="A35" s="10" t="s">
        <v>80</v>
      </c>
      <c r="B35" s="10" t="s">
        <v>57</v>
      </c>
      <c r="C35" s="10" t="s">
        <v>81</v>
      </c>
      <c r="D35" s="10"/>
      <c r="E35" s="11" t="n">
        <v>18.5</v>
      </c>
      <c r="F35" s="10" t="s">
        <v>291</v>
      </c>
      <c r="G35" s="7" t="n">
        <v>18</v>
      </c>
      <c r="H35" s="10" t="s">
        <v>487</v>
      </c>
      <c r="I35" s="10" t="s">
        <v>488</v>
      </c>
      <c r="J35" s="10" t="s">
        <v>489</v>
      </c>
      <c r="K35" s="7" t="n">
        <v>8</v>
      </c>
      <c r="L35" s="7" t="n">
        <v>100</v>
      </c>
      <c r="M35" s="7" t="n">
        <v>7</v>
      </c>
      <c r="N35" s="7" t="n">
        <v>7</v>
      </c>
      <c r="O35" s="7" t="n">
        <v>16</v>
      </c>
      <c r="P35" s="8" t="n">
        <v>41.5610472784786</v>
      </c>
      <c r="Q35" s="9" t="n">
        <v>0.024060991372511</v>
      </c>
      <c r="R35" s="8" t="n">
        <v>17</v>
      </c>
      <c r="S35" s="12" t="n">
        <f aca="false">IF(AND(ISNUMBER(R35),R35&gt;1,P35&gt;0),R35/P35-1,"")</f>
        <v>-0.590963146667311</v>
      </c>
    </row>
    <row r="36" customFormat="false" ht="15" hidden="false" customHeight="false" outlineLevel="0" collapsed="false">
      <c r="A36" s="10" t="s">
        <v>80</v>
      </c>
      <c r="B36" s="10" t="s">
        <v>57</v>
      </c>
      <c r="C36" s="10" t="s">
        <v>81</v>
      </c>
      <c r="D36" s="10"/>
      <c r="E36" s="11" t="n">
        <v>18.5</v>
      </c>
      <c r="F36" s="10" t="s">
        <v>291</v>
      </c>
      <c r="G36" s="7" t="n">
        <v>18</v>
      </c>
      <c r="H36" s="10" t="s">
        <v>490</v>
      </c>
      <c r="I36" s="10" t="s">
        <v>491</v>
      </c>
      <c r="J36" s="10" t="s">
        <v>353</v>
      </c>
      <c r="K36" s="7" t="n">
        <v>11</v>
      </c>
      <c r="L36" s="7" t="n">
        <v>99</v>
      </c>
      <c r="M36" s="7" t="n">
        <v>6</v>
      </c>
      <c r="N36" s="7" t="n">
        <v>435</v>
      </c>
      <c r="O36" s="7" t="n">
        <v>17</v>
      </c>
      <c r="P36" s="8" t="n">
        <v>56.6743306867199</v>
      </c>
      <c r="Q36" s="9" t="n">
        <v>0.0176446724272356</v>
      </c>
      <c r="R36" s="8" t="n">
        <v>29</v>
      </c>
      <c r="S36" s="12" t="n">
        <f aca="false">IF(AND(ISNUMBER(R36),R36&gt;1,P36&gt;0),R36/P36-1,"")</f>
        <v>-0.488304499610167</v>
      </c>
    </row>
    <row r="37" customFormat="false" ht="15" hidden="false" customHeight="false" outlineLevel="0" collapsed="false">
      <c r="A37" s="10" t="s">
        <v>80</v>
      </c>
      <c r="B37" s="10" t="s">
        <v>57</v>
      </c>
      <c r="C37" s="10" t="s">
        <v>81</v>
      </c>
      <c r="D37" s="10"/>
      <c r="E37" s="11" t="n">
        <v>18.5</v>
      </c>
      <c r="F37" s="10" t="s">
        <v>291</v>
      </c>
      <c r="G37" s="7" t="n">
        <v>18</v>
      </c>
      <c r="H37" s="10" t="s">
        <v>492</v>
      </c>
      <c r="I37" s="10" t="s">
        <v>493</v>
      </c>
      <c r="J37" s="10" t="s">
        <v>494</v>
      </c>
      <c r="K37" s="7" t="n">
        <v>9</v>
      </c>
      <c r="L37" s="7" t="n">
        <v>100</v>
      </c>
      <c r="M37" s="7" t="n">
        <v>9</v>
      </c>
      <c r="N37" s="7" t="n">
        <v>18</v>
      </c>
      <c r="O37" s="7" t="n">
        <v>18</v>
      </c>
      <c r="P37" s="8" t="n">
        <v>110.934537612347</v>
      </c>
      <c r="Q37" s="9" t="n">
        <v>0.0090143252184854</v>
      </c>
      <c r="R37" s="8" t="n">
        <v>67</v>
      </c>
      <c r="S37" s="12" t="n">
        <f aca="false">IF(AND(ISNUMBER(R37),R37&gt;1,P37&gt;0),R37/P37-1,"")</f>
        <v>-0.396040210361475</v>
      </c>
    </row>
    <row r="38" customFormat="false" ht="15" hidden="false" customHeight="false" outlineLevel="0" collapsed="false">
      <c r="A38" s="10" t="s">
        <v>102</v>
      </c>
      <c r="B38" s="10" t="s">
        <v>57</v>
      </c>
      <c r="C38" s="10" t="s">
        <v>103</v>
      </c>
      <c r="D38" s="10"/>
      <c r="E38" s="11" t="n">
        <v>16</v>
      </c>
      <c r="F38" s="10" t="s">
        <v>291</v>
      </c>
      <c r="G38" s="7" t="n">
        <v>17</v>
      </c>
      <c r="H38" s="10" t="s">
        <v>104</v>
      </c>
      <c r="I38" s="10" t="s">
        <v>105</v>
      </c>
      <c r="J38" s="10" t="s">
        <v>106</v>
      </c>
      <c r="K38" s="7" t="n">
        <v>3</v>
      </c>
      <c r="L38" s="7" t="n">
        <v>97</v>
      </c>
      <c r="M38" s="7" t="n">
        <v>5</v>
      </c>
      <c r="N38" s="7" t="n">
        <v>18</v>
      </c>
      <c r="O38" s="7" t="n">
        <v>1</v>
      </c>
      <c r="P38" s="8" t="n">
        <v>4.0425145415529</v>
      </c>
      <c r="Q38" s="9" t="n">
        <v>0.247370786108752</v>
      </c>
      <c r="R38" s="8" t="n">
        <v>6.5</v>
      </c>
      <c r="S38" s="12" t="n">
        <f aca="false">IF(AND(ISNUMBER(R38),R38&gt;1,P38&gt;0),R38/P38-1,"")</f>
        <v>0.607910109706887</v>
      </c>
    </row>
    <row r="39" customFormat="false" ht="15" hidden="false" customHeight="false" outlineLevel="0" collapsed="false">
      <c r="A39" s="10" t="s">
        <v>102</v>
      </c>
      <c r="B39" s="10" t="s">
        <v>57</v>
      </c>
      <c r="C39" s="10" t="s">
        <v>103</v>
      </c>
      <c r="D39" s="10"/>
      <c r="E39" s="11" t="n">
        <v>16</v>
      </c>
      <c r="F39" s="10" t="s">
        <v>291</v>
      </c>
      <c r="G39" s="7" t="n">
        <v>17</v>
      </c>
      <c r="H39" s="10" t="s">
        <v>107</v>
      </c>
      <c r="I39" s="10" t="s">
        <v>550</v>
      </c>
      <c r="J39" s="10" t="s">
        <v>551</v>
      </c>
      <c r="K39" s="7" t="n">
        <v>8</v>
      </c>
      <c r="L39" s="7" t="n">
        <v>91</v>
      </c>
      <c r="M39" s="7" t="n">
        <v>5</v>
      </c>
      <c r="N39" s="7" t="n">
        <v>134</v>
      </c>
      <c r="O39" s="7" t="n">
        <v>2</v>
      </c>
      <c r="P39" s="8" t="n">
        <v>5.80435674761071</v>
      </c>
      <c r="Q39" s="9" t="n">
        <v>0.172284379386508</v>
      </c>
      <c r="R39" s="8" t="n">
        <v>5</v>
      </c>
      <c r="S39" s="12" t="n">
        <f aca="false">IF(AND(ISNUMBER(R39),R39&gt;1,P39&gt;0),R39/P39-1,"")</f>
        <v>-0.138578103067461</v>
      </c>
    </row>
    <row r="40" customFormat="false" ht="15" hidden="false" customHeight="false" outlineLevel="0" collapsed="false">
      <c r="A40" s="10" t="s">
        <v>102</v>
      </c>
      <c r="B40" s="10" t="s">
        <v>57</v>
      </c>
      <c r="C40" s="10" t="s">
        <v>103</v>
      </c>
      <c r="D40" s="10"/>
      <c r="E40" s="11" t="n">
        <v>16</v>
      </c>
      <c r="F40" s="10" t="s">
        <v>291</v>
      </c>
      <c r="G40" s="7" t="n">
        <v>17</v>
      </c>
      <c r="H40" s="10" t="s">
        <v>552</v>
      </c>
      <c r="I40" s="10" t="s">
        <v>384</v>
      </c>
      <c r="J40" s="10" t="s">
        <v>84</v>
      </c>
      <c r="K40" s="7" t="n">
        <v>12</v>
      </c>
      <c r="L40" s="7" t="n">
        <v>86</v>
      </c>
      <c r="M40" s="7" t="n">
        <v>6</v>
      </c>
      <c r="N40" s="7" t="n">
        <v>40</v>
      </c>
      <c r="O40" s="7" t="n">
        <v>3</v>
      </c>
      <c r="P40" s="8" t="n">
        <v>11.2318415555476</v>
      </c>
      <c r="Q40" s="9" t="n">
        <v>0.0890325949715769</v>
      </c>
      <c r="R40" s="8" t="n">
        <v>4.5</v>
      </c>
      <c r="S40" s="12" t="n">
        <f aca="false">IF(AND(ISNUMBER(R40),R40&gt;1,P40&gt;0),R40/P40-1,"")</f>
        <v>-0.599353322627904</v>
      </c>
    </row>
    <row r="41" customFormat="false" ht="15" hidden="false" customHeight="false" outlineLevel="0" collapsed="false">
      <c r="A41" s="10" t="s">
        <v>102</v>
      </c>
      <c r="B41" s="10" t="s">
        <v>57</v>
      </c>
      <c r="C41" s="10" t="s">
        <v>103</v>
      </c>
      <c r="D41" s="10"/>
      <c r="E41" s="11" t="n">
        <v>16</v>
      </c>
      <c r="F41" s="10" t="s">
        <v>291</v>
      </c>
      <c r="G41" s="7" t="n">
        <v>17</v>
      </c>
      <c r="H41" s="10" t="s">
        <v>553</v>
      </c>
      <c r="I41" s="10" t="s">
        <v>554</v>
      </c>
      <c r="J41" s="10" t="s">
        <v>555</v>
      </c>
      <c r="K41" s="7" t="n">
        <v>1</v>
      </c>
      <c r="L41" s="7" t="n">
        <v>100</v>
      </c>
      <c r="M41" s="7" t="n">
        <v>5</v>
      </c>
      <c r="N41" s="7" t="n">
        <v>49</v>
      </c>
      <c r="O41" s="7" t="n">
        <v>4</v>
      </c>
      <c r="P41" s="8" t="n">
        <v>12.3849974172808</v>
      </c>
      <c r="Q41" s="9" t="n">
        <v>0.0807428509112726</v>
      </c>
      <c r="R41" s="8" t="n">
        <v>9.5</v>
      </c>
      <c r="S41" s="12" t="n">
        <f aca="false">IF(AND(ISNUMBER(R41),R41&gt;1,P41&gt;0),R41/P41-1,"")</f>
        <v>-0.23294291634291</v>
      </c>
    </row>
    <row r="42" customFormat="false" ht="15" hidden="false" customHeight="false" outlineLevel="0" collapsed="false">
      <c r="A42" s="10" t="s">
        <v>102</v>
      </c>
      <c r="B42" s="10" t="s">
        <v>57</v>
      </c>
      <c r="C42" s="10" t="s">
        <v>103</v>
      </c>
      <c r="D42" s="10"/>
      <c r="E42" s="11" t="n">
        <v>16</v>
      </c>
      <c r="F42" s="10" t="s">
        <v>291</v>
      </c>
      <c r="G42" s="7" t="n">
        <v>17</v>
      </c>
      <c r="H42" s="10" t="s">
        <v>556</v>
      </c>
      <c r="I42" s="10" t="s">
        <v>371</v>
      </c>
      <c r="J42" s="10" t="s">
        <v>557</v>
      </c>
      <c r="K42" s="7" t="n">
        <v>5</v>
      </c>
      <c r="L42" s="7" t="n">
        <v>95</v>
      </c>
      <c r="M42" s="7" t="n">
        <v>5</v>
      </c>
      <c r="N42" s="7" t="n">
        <v>63</v>
      </c>
      <c r="O42" s="7" t="n">
        <v>5</v>
      </c>
      <c r="P42" s="8" t="n">
        <v>14.5846897735564</v>
      </c>
      <c r="Q42" s="9" t="n">
        <v>0.0685650511273203</v>
      </c>
      <c r="R42" s="8" t="n">
        <v>13</v>
      </c>
      <c r="S42" s="12" t="n">
        <f aca="false">IF(AND(ISNUMBER(R42),R42&gt;1,P42&gt;0),R42/P42-1,"")</f>
        <v>-0.108654335344835</v>
      </c>
    </row>
    <row r="43" customFormat="false" ht="15" hidden="false" customHeight="false" outlineLevel="0" collapsed="false">
      <c r="A43" s="10" t="s">
        <v>102</v>
      </c>
      <c r="B43" s="10" t="s">
        <v>57</v>
      </c>
      <c r="C43" s="10" t="s">
        <v>103</v>
      </c>
      <c r="D43" s="10"/>
      <c r="E43" s="11" t="n">
        <v>16</v>
      </c>
      <c r="F43" s="10" t="s">
        <v>291</v>
      </c>
      <c r="G43" s="7" t="n">
        <v>17</v>
      </c>
      <c r="H43" s="10" t="s">
        <v>558</v>
      </c>
      <c r="I43" s="10" t="s">
        <v>127</v>
      </c>
      <c r="J43" s="10" t="s">
        <v>84</v>
      </c>
      <c r="K43" s="7" t="n">
        <v>2</v>
      </c>
      <c r="L43" s="7" t="n">
        <v>98</v>
      </c>
      <c r="M43" s="7" t="n">
        <v>7</v>
      </c>
      <c r="N43" s="7" t="n">
        <v>121</v>
      </c>
      <c r="O43" s="7" t="n">
        <v>6</v>
      </c>
      <c r="P43" s="8" t="n">
        <v>18.3426223816187</v>
      </c>
      <c r="Q43" s="9" t="n">
        <v>0.054517831703394</v>
      </c>
      <c r="R43" s="8" t="n">
        <v>13</v>
      </c>
      <c r="S43" s="12" t="n">
        <f aca="false">IF(AND(ISNUMBER(R43),R43&gt;1,P43&gt;0),R43/P43-1,"")</f>
        <v>-0.291268187855877</v>
      </c>
    </row>
    <row r="44" customFormat="false" ht="15" hidden="false" customHeight="false" outlineLevel="0" collapsed="false">
      <c r="A44" s="10" t="s">
        <v>102</v>
      </c>
      <c r="B44" s="10" t="s">
        <v>57</v>
      </c>
      <c r="C44" s="10" t="s">
        <v>103</v>
      </c>
      <c r="D44" s="10"/>
      <c r="E44" s="11" t="n">
        <v>16</v>
      </c>
      <c r="F44" s="10" t="s">
        <v>291</v>
      </c>
      <c r="G44" s="7" t="n">
        <v>17</v>
      </c>
      <c r="H44" s="10" t="s">
        <v>559</v>
      </c>
      <c r="I44" s="10" t="s">
        <v>389</v>
      </c>
      <c r="J44" s="10" t="s">
        <v>84</v>
      </c>
      <c r="K44" s="7" t="n">
        <v>10</v>
      </c>
      <c r="L44" s="7" t="n">
        <v>90</v>
      </c>
      <c r="M44" s="7" t="n">
        <v>5</v>
      </c>
      <c r="N44" s="7" t="n">
        <v>77</v>
      </c>
      <c r="O44" s="7" t="n">
        <v>7</v>
      </c>
      <c r="P44" s="8" t="n">
        <v>21.504445369367</v>
      </c>
      <c r="Q44" s="9" t="n">
        <v>0.0465020130872334</v>
      </c>
      <c r="R44" s="8" t="n">
        <v>10</v>
      </c>
      <c r="S44" s="12" t="n">
        <f aca="false">IF(AND(ISNUMBER(R44),R44&gt;1,P44&gt;0),R44/P44-1,"")</f>
        <v>-0.534979869127665</v>
      </c>
    </row>
    <row r="45" customFormat="false" ht="15" hidden="false" customHeight="false" outlineLevel="0" collapsed="false">
      <c r="A45" s="10" t="s">
        <v>102</v>
      </c>
      <c r="B45" s="10" t="s">
        <v>57</v>
      </c>
      <c r="C45" s="10" t="s">
        <v>103</v>
      </c>
      <c r="D45" s="10"/>
      <c r="E45" s="11" t="n">
        <v>16</v>
      </c>
      <c r="F45" s="10" t="s">
        <v>291</v>
      </c>
      <c r="G45" s="7" t="n">
        <v>17</v>
      </c>
      <c r="H45" s="10" t="s">
        <v>560</v>
      </c>
      <c r="I45" s="10" t="s">
        <v>561</v>
      </c>
      <c r="J45" s="10" t="s">
        <v>562</v>
      </c>
      <c r="K45" s="7" t="n">
        <v>11</v>
      </c>
      <c r="L45" s="7" t="n">
        <v>88</v>
      </c>
      <c r="M45" s="7" t="n">
        <v>10</v>
      </c>
      <c r="N45" s="7" t="n">
        <v>159</v>
      </c>
      <c r="O45" s="7" t="n">
        <v>8</v>
      </c>
      <c r="P45" s="8" t="n">
        <v>21.7558901016851</v>
      </c>
      <c r="Q45" s="9" t="n">
        <v>0.0459645638641347</v>
      </c>
      <c r="R45" s="8" t="n">
        <v>17</v>
      </c>
      <c r="S45" s="12" t="n">
        <f aca="false">IF(AND(ISNUMBER(R45),R45&gt;1,P45&gt;0),R45/P45-1,"")</f>
        <v>-0.21860241430971</v>
      </c>
    </row>
    <row r="46" customFormat="false" ht="15" hidden="false" customHeight="false" outlineLevel="0" collapsed="false">
      <c r="A46" s="10" t="s">
        <v>102</v>
      </c>
      <c r="B46" s="10" t="s">
        <v>57</v>
      </c>
      <c r="C46" s="10" t="s">
        <v>103</v>
      </c>
      <c r="D46" s="10"/>
      <c r="E46" s="11" t="n">
        <v>16</v>
      </c>
      <c r="F46" s="10" t="s">
        <v>291</v>
      </c>
      <c r="G46" s="7" t="n">
        <v>17</v>
      </c>
      <c r="H46" s="10" t="s">
        <v>563</v>
      </c>
      <c r="I46" s="10" t="s">
        <v>564</v>
      </c>
      <c r="J46" s="10" t="s">
        <v>565</v>
      </c>
      <c r="K46" s="7" t="n">
        <v>6</v>
      </c>
      <c r="L46" s="7" t="n">
        <v>94</v>
      </c>
      <c r="M46" s="7" t="n">
        <v>7</v>
      </c>
      <c r="N46" s="7" t="n">
        <v>154</v>
      </c>
      <c r="O46" s="7" t="n">
        <v>9</v>
      </c>
      <c r="P46" s="8" t="n">
        <v>22.6208979336822</v>
      </c>
      <c r="Q46" s="9" t="n">
        <v>0.0442069100409588</v>
      </c>
      <c r="R46" s="8" t="n">
        <v>10</v>
      </c>
      <c r="S46" s="12" t="n">
        <f aca="false">IF(AND(ISNUMBER(R46),R46&gt;1,P46&gt;0),R46/P46-1,"")</f>
        <v>-0.557930899590412</v>
      </c>
    </row>
    <row r="47" customFormat="false" ht="15" hidden="false" customHeight="false" outlineLevel="0" collapsed="false">
      <c r="A47" s="10" t="s">
        <v>102</v>
      </c>
      <c r="B47" s="10" t="s">
        <v>57</v>
      </c>
      <c r="C47" s="10" t="s">
        <v>103</v>
      </c>
      <c r="D47" s="10"/>
      <c r="E47" s="11" t="n">
        <v>16</v>
      </c>
      <c r="F47" s="10" t="s">
        <v>291</v>
      </c>
      <c r="G47" s="7" t="n">
        <v>17</v>
      </c>
      <c r="H47" s="10" t="s">
        <v>566</v>
      </c>
      <c r="I47" s="10" t="s">
        <v>567</v>
      </c>
      <c r="J47" s="10" t="s">
        <v>460</v>
      </c>
      <c r="K47" s="7" t="n">
        <v>7</v>
      </c>
      <c r="L47" s="7" t="n">
        <v>92</v>
      </c>
      <c r="M47" s="7" t="n">
        <v>9</v>
      </c>
      <c r="N47" s="7" t="n">
        <v>7</v>
      </c>
      <c r="O47" s="7" t="n">
        <v>10</v>
      </c>
      <c r="P47" s="8" t="n">
        <v>25.500377697256</v>
      </c>
      <c r="Q47" s="9" t="n">
        <v>0.039215105433815</v>
      </c>
      <c r="R47" s="8" t="n">
        <v>15</v>
      </c>
      <c r="S47" s="12" t="n">
        <f aca="false">IF(AND(ISNUMBER(R47),R47&gt;1,P47&gt;0),R47/P47-1,"")</f>
        <v>-0.411773418492774</v>
      </c>
    </row>
    <row r="48" customFormat="false" ht="15" hidden="false" customHeight="false" outlineLevel="0" collapsed="false">
      <c r="A48" s="10" t="s">
        <v>102</v>
      </c>
      <c r="B48" s="10" t="s">
        <v>57</v>
      </c>
      <c r="C48" s="10" t="s">
        <v>103</v>
      </c>
      <c r="D48" s="10"/>
      <c r="E48" s="11" t="n">
        <v>16</v>
      </c>
      <c r="F48" s="10" t="s">
        <v>291</v>
      </c>
      <c r="G48" s="7" t="n">
        <v>17</v>
      </c>
      <c r="H48" s="10" t="s">
        <v>568</v>
      </c>
      <c r="I48" s="10" t="s">
        <v>569</v>
      </c>
      <c r="J48" s="10" t="s">
        <v>570</v>
      </c>
      <c r="K48" s="7" t="n">
        <v>4</v>
      </c>
      <c r="L48" s="7" t="n">
        <v>96</v>
      </c>
      <c r="M48" s="7" t="n">
        <v>5</v>
      </c>
      <c r="N48" s="7" t="n">
        <v>21</v>
      </c>
      <c r="O48" s="7" t="n">
        <v>11</v>
      </c>
      <c r="P48" s="8" t="n">
        <v>38.9244481032296</v>
      </c>
      <c r="Q48" s="9" t="n">
        <v>0.0256907945707527</v>
      </c>
      <c r="R48" s="8" t="n">
        <v>17</v>
      </c>
      <c r="S48" s="12" t="n">
        <f aca="false">IF(AND(ISNUMBER(R48),R48&gt;1,P48&gt;0),R48/P48-1,"")</f>
        <v>-0.563256492297203</v>
      </c>
    </row>
    <row r="49" customFormat="false" ht="15" hidden="false" customHeight="false" outlineLevel="0" collapsed="false">
      <c r="A49" s="10" t="s">
        <v>102</v>
      </c>
      <c r="B49" s="10" t="s">
        <v>57</v>
      </c>
      <c r="C49" s="10" t="s">
        <v>103</v>
      </c>
      <c r="D49" s="10"/>
      <c r="E49" s="11" t="n">
        <v>16</v>
      </c>
      <c r="F49" s="10" t="s">
        <v>291</v>
      </c>
      <c r="G49" s="7" t="n">
        <v>17</v>
      </c>
      <c r="H49" s="10" t="s">
        <v>571</v>
      </c>
      <c r="I49" s="10" t="s">
        <v>358</v>
      </c>
      <c r="J49" s="10" t="s">
        <v>572</v>
      </c>
      <c r="K49" s="7" t="n">
        <v>16</v>
      </c>
      <c r="L49" s="7" t="n">
        <v>99</v>
      </c>
      <c r="M49" s="7" t="n">
        <v>6</v>
      </c>
      <c r="N49" s="7" t="n">
        <v>48</v>
      </c>
      <c r="O49" s="7" t="n">
        <v>12</v>
      </c>
      <c r="P49" s="8" t="n">
        <v>39.7038033769496</v>
      </c>
      <c r="Q49" s="9" t="n">
        <v>0.025186503935302</v>
      </c>
      <c r="R49" s="8" t="n">
        <v>8</v>
      </c>
      <c r="S49" s="12" t="n">
        <f aca="false">IF(AND(ISNUMBER(R49),R49&gt;1,P49&gt;0),R49/P49-1,"")</f>
        <v>-0.798507968517584</v>
      </c>
    </row>
    <row r="50" customFormat="false" ht="15" hidden="false" customHeight="false" outlineLevel="0" collapsed="false">
      <c r="A50" s="10" t="s">
        <v>102</v>
      </c>
      <c r="B50" s="10" t="s">
        <v>57</v>
      </c>
      <c r="C50" s="10" t="s">
        <v>103</v>
      </c>
      <c r="D50" s="10"/>
      <c r="E50" s="11" t="n">
        <v>16</v>
      </c>
      <c r="F50" s="10" t="s">
        <v>291</v>
      </c>
      <c r="G50" s="7" t="n">
        <v>17</v>
      </c>
      <c r="H50" s="10" t="s">
        <v>573</v>
      </c>
      <c r="I50" s="10" t="s">
        <v>358</v>
      </c>
      <c r="J50" s="10" t="s">
        <v>353</v>
      </c>
      <c r="K50" s="7" t="n">
        <v>17</v>
      </c>
      <c r="L50" s="7" t="n">
        <v>75</v>
      </c>
      <c r="M50" s="7" t="n">
        <v>7</v>
      </c>
      <c r="N50" s="7" t="n">
        <v>46</v>
      </c>
      <c r="O50" s="7" t="n">
        <v>13</v>
      </c>
      <c r="P50" s="8" t="n">
        <v>49.4804563871502</v>
      </c>
      <c r="Q50" s="9" t="n">
        <v>0.0202099995233611</v>
      </c>
      <c r="R50" s="8" t="n">
        <v>11</v>
      </c>
      <c r="S50" s="12" t="n">
        <f aca="false">IF(AND(ISNUMBER(R50),R50&gt;1,P50&gt;0),R50/P50-1,"")</f>
        <v>-0.777690005243027</v>
      </c>
    </row>
    <row r="51" customFormat="false" ht="15" hidden="false" customHeight="false" outlineLevel="0" collapsed="false">
      <c r="A51" s="10" t="s">
        <v>102</v>
      </c>
      <c r="B51" s="10" t="s">
        <v>57</v>
      </c>
      <c r="C51" s="10" t="s">
        <v>103</v>
      </c>
      <c r="D51" s="10"/>
      <c r="E51" s="11" t="n">
        <v>16</v>
      </c>
      <c r="F51" s="10" t="s">
        <v>291</v>
      </c>
      <c r="G51" s="7" t="n">
        <v>17</v>
      </c>
      <c r="H51" s="10" t="s">
        <v>574</v>
      </c>
      <c r="I51" s="10" t="s">
        <v>145</v>
      </c>
      <c r="J51" s="10" t="s">
        <v>575</v>
      </c>
      <c r="K51" s="7" t="n">
        <v>15</v>
      </c>
      <c r="L51" s="7" t="n">
        <v>72</v>
      </c>
      <c r="M51" s="7" t="n">
        <v>8</v>
      </c>
      <c r="N51" s="7" t="n">
        <v>30</v>
      </c>
      <c r="O51" s="7" t="n">
        <v>14</v>
      </c>
      <c r="P51" s="8" t="n">
        <v>56.4560432667952</v>
      </c>
      <c r="Q51" s="9" t="n">
        <v>0.0177128955933784</v>
      </c>
      <c r="R51" s="8" t="n">
        <v>12</v>
      </c>
      <c r="S51" s="12" t="n">
        <f aca="false">IF(AND(ISNUMBER(R51),R51&gt;1,P51&gt;0),R51/P51-1,"")</f>
        <v>-0.787445252879459</v>
      </c>
    </row>
    <row r="52" customFormat="false" ht="15" hidden="false" customHeight="false" outlineLevel="0" collapsed="false">
      <c r="A52" s="10" t="s">
        <v>102</v>
      </c>
      <c r="B52" s="10" t="s">
        <v>57</v>
      </c>
      <c r="C52" s="10" t="s">
        <v>103</v>
      </c>
      <c r="D52" s="10"/>
      <c r="E52" s="11" t="n">
        <v>16</v>
      </c>
      <c r="F52" s="10" t="s">
        <v>291</v>
      </c>
      <c r="G52" s="7" t="n">
        <v>17</v>
      </c>
      <c r="H52" s="10" t="s">
        <v>576</v>
      </c>
      <c r="I52" s="10" t="s">
        <v>577</v>
      </c>
      <c r="J52" s="10" t="s">
        <v>578</v>
      </c>
      <c r="K52" s="7" t="n">
        <v>13</v>
      </c>
      <c r="L52" s="7" t="n">
        <v>86</v>
      </c>
      <c r="M52" s="7" t="n">
        <v>4</v>
      </c>
      <c r="N52" s="7" t="n">
        <v>133</v>
      </c>
      <c r="O52" s="7" t="n">
        <v>15</v>
      </c>
      <c r="P52" s="8" t="n">
        <v>85.8375658275146</v>
      </c>
      <c r="Q52" s="9" t="n">
        <v>0.0116499109726554</v>
      </c>
      <c r="R52" s="8" t="n">
        <v>34</v>
      </c>
      <c r="S52" s="12" t="n">
        <f aca="false">IF(AND(ISNUMBER(R52),R52&gt;1,P52&gt;0),R52/P52-1,"")</f>
        <v>-0.603903026929713</v>
      </c>
    </row>
    <row r="53" customFormat="false" ht="15" hidden="false" customHeight="false" outlineLevel="0" collapsed="false">
      <c r="A53" s="10" t="s">
        <v>102</v>
      </c>
      <c r="B53" s="10" t="s">
        <v>57</v>
      </c>
      <c r="C53" s="10" t="s">
        <v>103</v>
      </c>
      <c r="D53" s="10"/>
      <c r="E53" s="11" t="n">
        <v>16</v>
      </c>
      <c r="F53" s="10" t="s">
        <v>291</v>
      </c>
      <c r="G53" s="7" t="n">
        <v>17</v>
      </c>
      <c r="H53" s="10" t="s">
        <v>579</v>
      </c>
      <c r="I53" s="10" t="s">
        <v>358</v>
      </c>
      <c r="J53" s="10" t="s">
        <v>580</v>
      </c>
      <c r="K53" s="7" t="n">
        <v>18</v>
      </c>
      <c r="L53" s="7" t="n">
        <v>80</v>
      </c>
      <c r="M53" s="7" t="n">
        <v>6</v>
      </c>
      <c r="N53" s="7" t="n">
        <v>35</v>
      </c>
      <c r="O53" s="7" t="n">
        <v>16</v>
      </c>
      <c r="P53" s="8" t="n">
        <v>155.783953866234</v>
      </c>
      <c r="Q53" s="9" t="n">
        <v>0.0064191463573884</v>
      </c>
      <c r="R53" s="8" t="n">
        <v>51</v>
      </c>
      <c r="S53" s="12" t="n">
        <f aca="false">IF(AND(ISNUMBER(R53),R53&gt;1,P53&gt;0),R53/P53-1,"")</f>
        <v>-0.672623535773191</v>
      </c>
    </row>
    <row r="54" customFormat="false" ht="15" hidden="false" customHeight="false" outlineLevel="0" collapsed="false">
      <c r="A54" s="10" t="s">
        <v>102</v>
      </c>
      <c r="B54" s="10" t="s">
        <v>57</v>
      </c>
      <c r="C54" s="10" t="s">
        <v>103</v>
      </c>
      <c r="D54" s="10"/>
      <c r="E54" s="11" t="n">
        <v>16</v>
      </c>
      <c r="F54" s="10" t="s">
        <v>291</v>
      </c>
      <c r="G54" s="7" t="n">
        <v>17</v>
      </c>
      <c r="H54" s="10" t="s">
        <v>581</v>
      </c>
      <c r="I54" s="10" t="s">
        <v>391</v>
      </c>
      <c r="J54" s="10" t="s">
        <v>582</v>
      </c>
      <c r="K54" s="7" t="n">
        <v>14</v>
      </c>
      <c r="L54" s="7" t="n">
        <v>80</v>
      </c>
      <c r="M54" s="7" t="n">
        <v>4</v>
      </c>
      <c r="N54" s="7" t="n">
        <v>50</v>
      </c>
      <c r="O54" s="7" t="n">
        <v>17</v>
      </c>
      <c r="P54" s="8" t="n">
        <v>211.476293469566</v>
      </c>
      <c r="Q54" s="9" t="n">
        <v>0.0047286624121956</v>
      </c>
      <c r="R54" s="8" t="n">
        <v>41</v>
      </c>
      <c r="S54" s="12" t="n">
        <f aca="false">IF(AND(ISNUMBER(R54),R54&gt;1,P54&gt;0),R54/P54-1,"")</f>
        <v>-0.806124841099977</v>
      </c>
    </row>
    <row r="55" customFormat="false" ht="15" hidden="false" customHeight="false" outlineLevel="0" collapsed="false">
      <c r="A55" s="10" t="s">
        <v>124</v>
      </c>
      <c r="B55" s="10" t="s">
        <v>57</v>
      </c>
      <c r="C55" s="10" t="s">
        <v>125</v>
      </c>
      <c r="D55" s="10"/>
      <c r="E55" s="11" t="n">
        <v>16</v>
      </c>
      <c r="F55" s="10" t="s">
        <v>291</v>
      </c>
      <c r="G55" s="7" t="n">
        <v>17</v>
      </c>
      <c r="H55" s="10" t="s">
        <v>126</v>
      </c>
      <c r="I55" s="10" t="s">
        <v>127</v>
      </c>
      <c r="J55" s="10" t="s">
        <v>128</v>
      </c>
      <c r="K55" s="7" t="n">
        <v>4</v>
      </c>
      <c r="L55" s="7" t="n">
        <v>135</v>
      </c>
      <c r="M55" s="7" t="n">
        <v>6</v>
      </c>
      <c r="N55" s="7" t="n">
        <v>57</v>
      </c>
      <c r="O55" s="7" t="n">
        <v>1</v>
      </c>
      <c r="P55" s="8" t="n">
        <v>5.6057063991872</v>
      </c>
      <c r="Q55" s="9" t="n">
        <v>0.178389649544435</v>
      </c>
      <c r="R55" s="8" t="n">
        <v>7</v>
      </c>
      <c r="S55" s="12" t="n">
        <f aca="false">IF(AND(ISNUMBER(R55),R55&gt;1,P55&gt;0),R55/P55-1,"")</f>
        <v>0.248727546811043</v>
      </c>
    </row>
    <row r="56" customFormat="false" ht="15" hidden="false" customHeight="false" outlineLevel="0" collapsed="false">
      <c r="A56" s="10" t="s">
        <v>124</v>
      </c>
      <c r="B56" s="10" t="s">
        <v>57</v>
      </c>
      <c r="C56" s="10" t="s">
        <v>125</v>
      </c>
      <c r="D56" s="10"/>
      <c r="E56" s="11" t="n">
        <v>16</v>
      </c>
      <c r="F56" s="10" t="s">
        <v>291</v>
      </c>
      <c r="G56" s="7" t="n">
        <v>17</v>
      </c>
      <c r="H56" s="10" t="s">
        <v>129</v>
      </c>
      <c r="I56" s="10" t="s">
        <v>168</v>
      </c>
      <c r="J56" s="10" t="s">
        <v>61</v>
      </c>
      <c r="K56" s="7" t="n">
        <v>8</v>
      </c>
      <c r="L56" s="7" t="n">
        <v>133</v>
      </c>
      <c r="M56" s="7" t="n">
        <v>6</v>
      </c>
      <c r="N56" s="7" t="n">
        <v>58</v>
      </c>
      <c r="O56" s="7" t="n">
        <v>2</v>
      </c>
      <c r="P56" s="8" t="n">
        <v>7.93803817532446</v>
      </c>
      <c r="Q56" s="9" t="n">
        <v>0.125975710611788</v>
      </c>
      <c r="R56" s="8" t="n">
        <v>4</v>
      </c>
      <c r="S56" s="12" t="n">
        <f aca="false">IF(AND(ISNUMBER(R56),R56&gt;1,P56&gt;0),R56/P56-1,"")</f>
        <v>-0.496097157552848</v>
      </c>
    </row>
    <row r="57" customFormat="false" ht="15" hidden="false" customHeight="false" outlineLevel="0" collapsed="false">
      <c r="A57" s="10" t="s">
        <v>124</v>
      </c>
      <c r="B57" s="10" t="s">
        <v>57</v>
      </c>
      <c r="C57" s="10" t="s">
        <v>125</v>
      </c>
      <c r="D57" s="10"/>
      <c r="E57" s="11" t="n">
        <v>16</v>
      </c>
      <c r="F57" s="10" t="s">
        <v>291</v>
      </c>
      <c r="G57" s="7" t="n">
        <v>17</v>
      </c>
      <c r="H57" s="10" t="s">
        <v>628</v>
      </c>
      <c r="I57" s="10" t="s">
        <v>629</v>
      </c>
      <c r="J57" s="10" t="s">
        <v>468</v>
      </c>
      <c r="K57" s="7" t="n">
        <v>6</v>
      </c>
      <c r="L57" s="7" t="n">
        <v>134</v>
      </c>
      <c r="M57" s="7" t="n">
        <v>5</v>
      </c>
      <c r="N57" s="7" t="n">
        <v>57</v>
      </c>
      <c r="O57" s="7" t="n">
        <v>3</v>
      </c>
      <c r="P57" s="8" t="n">
        <v>9.39692360854159</v>
      </c>
      <c r="Q57" s="9" t="n">
        <v>0.106417806684203</v>
      </c>
      <c r="R57" s="8" t="n">
        <v>10</v>
      </c>
      <c r="S57" s="12" t="n">
        <f aca="false">IF(AND(ISNUMBER(R57),R57&gt;1,P57&gt;0),R57/P57-1,"")</f>
        <v>0.0641780668420282</v>
      </c>
    </row>
    <row r="58" customFormat="false" ht="15" hidden="false" customHeight="false" outlineLevel="0" collapsed="false">
      <c r="A58" s="10" t="s">
        <v>124</v>
      </c>
      <c r="B58" s="10" t="s">
        <v>57</v>
      </c>
      <c r="C58" s="10" t="s">
        <v>125</v>
      </c>
      <c r="D58" s="10"/>
      <c r="E58" s="11" t="n">
        <v>16</v>
      </c>
      <c r="F58" s="10" t="s">
        <v>291</v>
      </c>
      <c r="G58" s="7" t="n">
        <v>17</v>
      </c>
      <c r="H58" s="10" t="s">
        <v>630</v>
      </c>
      <c r="I58" s="10" t="s">
        <v>550</v>
      </c>
      <c r="J58" s="10" t="s">
        <v>631</v>
      </c>
      <c r="K58" s="7" t="n">
        <v>3</v>
      </c>
      <c r="L58" s="7" t="n">
        <v>136</v>
      </c>
      <c r="M58" s="7" t="n">
        <v>7</v>
      </c>
      <c r="N58" s="7" t="n">
        <v>18</v>
      </c>
      <c r="O58" s="7" t="n">
        <v>4</v>
      </c>
      <c r="P58" s="8" t="n">
        <v>10.9399701580981</v>
      </c>
      <c r="Q58" s="9" t="n">
        <v>0.0914079275855948</v>
      </c>
      <c r="R58" s="8" t="n">
        <v>9</v>
      </c>
      <c r="S58" s="12" t="n">
        <f aca="false">IF(AND(ISNUMBER(R58),R58&gt;1,P58&gt;0),R58/P58-1,"")</f>
        <v>-0.177328651729646</v>
      </c>
    </row>
    <row r="59" customFormat="false" ht="15" hidden="false" customHeight="false" outlineLevel="0" collapsed="false">
      <c r="A59" s="10" t="s">
        <v>124</v>
      </c>
      <c r="B59" s="10" t="s">
        <v>57</v>
      </c>
      <c r="C59" s="10" t="s">
        <v>125</v>
      </c>
      <c r="D59" s="10"/>
      <c r="E59" s="11" t="n">
        <v>16</v>
      </c>
      <c r="F59" s="10" t="s">
        <v>291</v>
      </c>
      <c r="G59" s="7" t="n">
        <v>17</v>
      </c>
      <c r="H59" s="10" t="s">
        <v>632</v>
      </c>
      <c r="I59" s="10" t="s">
        <v>105</v>
      </c>
      <c r="J59" s="10" t="s">
        <v>633</v>
      </c>
      <c r="K59" s="7" t="n">
        <v>5</v>
      </c>
      <c r="L59" s="7" t="n">
        <v>134</v>
      </c>
      <c r="M59" s="7" t="n">
        <v>7</v>
      </c>
      <c r="N59" s="7" t="n">
        <v>35</v>
      </c>
      <c r="O59" s="7" t="n">
        <v>5</v>
      </c>
      <c r="P59" s="8" t="n">
        <v>12.0304724571421</v>
      </c>
      <c r="Q59" s="9" t="n">
        <v>0.0831222550537764</v>
      </c>
      <c r="R59" s="8" t="n">
        <v>11</v>
      </c>
      <c r="S59" s="12" t="n">
        <f aca="false">IF(AND(ISNUMBER(R59),R59&gt;1,P59&gt;0),R59/P59-1,"")</f>
        <v>-0.0856551944084589</v>
      </c>
    </row>
    <row r="60" customFormat="false" ht="15" hidden="false" customHeight="false" outlineLevel="0" collapsed="false">
      <c r="A60" s="10" t="s">
        <v>124</v>
      </c>
      <c r="B60" s="10" t="s">
        <v>57</v>
      </c>
      <c r="C60" s="10" t="s">
        <v>125</v>
      </c>
      <c r="D60" s="10"/>
      <c r="E60" s="11" t="n">
        <v>16</v>
      </c>
      <c r="F60" s="10" t="s">
        <v>291</v>
      </c>
      <c r="G60" s="7" t="n">
        <v>17</v>
      </c>
      <c r="H60" s="10" t="s">
        <v>634</v>
      </c>
      <c r="I60" s="10" t="s">
        <v>371</v>
      </c>
      <c r="J60" s="10" t="s">
        <v>635</v>
      </c>
      <c r="K60" s="7" t="n">
        <v>13</v>
      </c>
      <c r="L60" s="7" t="n">
        <v>123</v>
      </c>
      <c r="M60" s="7" t="n">
        <v>6</v>
      </c>
      <c r="N60" s="7" t="n">
        <v>2</v>
      </c>
      <c r="O60" s="7" t="n">
        <v>6</v>
      </c>
      <c r="P60" s="8" t="n">
        <v>14.3057661185682</v>
      </c>
      <c r="Q60" s="9" t="n">
        <v>0.0699018837377782</v>
      </c>
      <c r="R60" s="8" t="n">
        <v>15</v>
      </c>
      <c r="S60" s="12" t="n">
        <f aca="false">IF(AND(ISNUMBER(R60),R60&gt;1,P60&gt;0),R60/P60-1,"")</f>
        <v>0.0485282560666736</v>
      </c>
    </row>
    <row r="61" customFormat="false" ht="15" hidden="false" customHeight="false" outlineLevel="0" collapsed="false">
      <c r="A61" s="10" t="s">
        <v>124</v>
      </c>
      <c r="B61" s="10" t="s">
        <v>57</v>
      </c>
      <c r="C61" s="10" t="s">
        <v>125</v>
      </c>
      <c r="D61" s="10"/>
      <c r="E61" s="11" t="n">
        <v>16</v>
      </c>
      <c r="F61" s="10" t="s">
        <v>291</v>
      </c>
      <c r="G61" s="7" t="n">
        <v>17</v>
      </c>
      <c r="H61" s="10" t="s">
        <v>636</v>
      </c>
      <c r="I61" s="10" t="s">
        <v>637</v>
      </c>
      <c r="J61" s="10" t="s">
        <v>61</v>
      </c>
      <c r="K61" s="7" t="n">
        <v>17</v>
      </c>
      <c r="L61" s="7" t="n">
        <v>116</v>
      </c>
      <c r="M61" s="7" t="n">
        <v>5</v>
      </c>
      <c r="N61" s="7" t="n">
        <v>21</v>
      </c>
      <c r="O61" s="7" t="n">
        <v>7</v>
      </c>
      <c r="P61" s="8" t="n">
        <v>19.3575184535431</v>
      </c>
      <c r="Q61" s="9" t="n">
        <v>0.0516595142295714</v>
      </c>
      <c r="R61" s="8" t="n">
        <v>12</v>
      </c>
      <c r="S61" s="12" t="n">
        <f aca="false">IF(AND(ISNUMBER(R61),R61&gt;1,P61&gt;0),R61/P61-1,"")</f>
        <v>-0.380085829245142</v>
      </c>
    </row>
    <row r="62" customFormat="false" ht="15" hidden="false" customHeight="false" outlineLevel="0" collapsed="false">
      <c r="A62" s="10" t="s">
        <v>124</v>
      </c>
      <c r="B62" s="10" t="s">
        <v>57</v>
      </c>
      <c r="C62" s="10" t="s">
        <v>125</v>
      </c>
      <c r="D62" s="10"/>
      <c r="E62" s="11" t="n">
        <v>16</v>
      </c>
      <c r="F62" s="10" t="s">
        <v>291</v>
      </c>
      <c r="G62" s="7" t="n">
        <v>17</v>
      </c>
      <c r="H62" s="10" t="s">
        <v>638</v>
      </c>
      <c r="I62" s="10" t="s">
        <v>145</v>
      </c>
      <c r="J62" s="10" t="s">
        <v>639</v>
      </c>
      <c r="K62" s="7" t="n">
        <v>11</v>
      </c>
      <c r="L62" s="7" t="n">
        <v>129</v>
      </c>
      <c r="M62" s="7" t="n">
        <v>7</v>
      </c>
      <c r="N62" s="7" t="n">
        <v>17</v>
      </c>
      <c r="O62" s="7" t="n">
        <v>8</v>
      </c>
      <c r="P62" s="8" t="n">
        <v>22.1195643347005</v>
      </c>
      <c r="Q62" s="9" t="n">
        <v>0.0452088470129238</v>
      </c>
      <c r="R62" s="8" t="n">
        <v>12</v>
      </c>
      <c r="S62" s="12" t="n">
        <f aca="false">IF(AND(ISNUMBER(R62),R62&gt;1,P62&gt;0),R62/P62-1,"")</f>
        <v>-0.457493835844913</v>
      </c>
    </row>
    <row r="63" customFormat="false" ht="15" hidden="false" customHeight="false" outlineLevel="0" collapsed="false">
      <c r="A63" s="10" t="s">
        <v>124</v>
      </c>
      <c r="B63" s="10" t="s">
        <v>57</v>
      </c>
      <c r="C63" s="10" t="s">
        <v>125</v>
      </c>
      <c r="D63" s="10"/>
      <c r="E63" s="11" t="n">
        <v>16</v>
      </c>
      <c r="F63" s="10" t="s">
        <v>291</v>
      </c>
      <c r="G63" s="7" t="n">
        <v>17</v>
      </c>
      <c r="H63" s="10" t="s">
        <v>640</v>
      </c>
      <c r="I63" s="10" t="s">
        <v>641</v>
      </c>
      <c r="J63" s="10" t="s">
        <v>642</v>
      </c>
      <c r="K63" s="7" t="n">
        <v>1</v>
      </c>
      <c r="L63" s="7" t="n">
        <v>142</v>
      </c>
      <c r="M63" s="7" t="n">
        <v>6</v>
      </c>
      <c r="N63" s="7" t="n">
        <v>57</v>
      </c>
      <c r="O63" s="7" t="n">
        <v>9</v>
      </c>
      <c r="P63" s="8" t="n">
        <v>22.7216432406452</v>
      </c>
      <c r="Q63" s="9" t="n">
        <v>0.044010901386356</v>
      </c>
      <c r="R63" s="8" t="n">
        <v>13</v>
      </c>
      <c r="S63" s="12" t="n">
        <f aca="false">IF(AND(ISNUMBER(R63),R63&gt;1,P63&gt;0),R63/P63-1,"")</f>
        <v>-0.427858281977371</v>
      </c>
    </row>
    <row r="64" customFormat="false" ht="15" hidden="false" customHeight="false" outlineLevel="0" collapsed="false">
      <c r="A64" s="10" t="s">
        <v>124</v>
      </c>
      <c r="B64" s="10" t="s">
        <v>57</v>
      </c>
      <c r="C64" s="10" t="s">
        <v>125</v>
      </c>
      <c r="D64" s="10"/>
      <c r="E64" s="11" t="n">
        <v>16</v>
      </c>
      <c r="F64" s="10" t="s">
        <v>291</v>
      </c>
      <c r="G64" s="7" t="n">
        <v>17</v>
      </c>
      <c r="H64" s="10" t="s">
        <v>643</v>
      </c>
      <c r="I64" s="10" t="s">
        <v>644</v>
      </c>
      <c r="J64" s="10" t="s">
        <v>572</v>
      </c>
      <c r="K64" s="7" t="n">
        <v>9</v>
      </c>
      <c r="L64" s="7" t="n">
        <v>132</v>
      </c>
      <c r="M64" s="7" t="n">
        <v>7</v>
      </c>
      <c r="N64" s="7" t="n">
        <v>24</v>
      </c>
      <c r="O64" s="7" t="n">
        <v>10</v>
      </c>
      <c r="P64" s="8" t="n">
        <v>24.2594171646134</v>
      </c>
      <c r="Q64" s="9" t="n">
        <v>0.0412211057345052</v>
      </c>
      <c r="R64" s="8" t="n">
        <v>13</v>
      </c>
      <c r="S64" s="12" t="n">
        <f aca="false">IF(AND(ISNUMBER(R64),R64&gt;1,P64&gt;0),R64/P64-1,"")</f>
        <v>-0.464125625451432</v>
      </c>
    </row>
    <row r="65" customFormat="false" ht="15" hidden="false" customHeight="false" outlineLevel="0" collapsed="false">
      <c r="A65" s="10" t="s">
        <v>124</v>
      </c>
      <c r="B65" s="10" t="s">
        <v>57</v>
      </c>
      <c r="C65" s="10" t="s">
        <v>125</v>
      </c>
      <c r="D65" s="10"/>
      <c r="E65" s="11" t="n">
        <v>16</v>
      </c>
      <c r="F65" s="10" t="s">
        <v>291</v>
      </c>
      <c r="G65" s="7" t="n">
        <v>17</v>
      </c>
      <c r="H65" s="10" t="s">
        <v>645</v>
      </c>
      <c r="I65" s="10" t="s">
        <v>646</v>
      </c>
      <c r="J65" s="10" t="s">
        <v>647</v>
      </c>
      <c r="K65" s="7" t="n">
        <v>2</v>
      </c>
      <c r="L65" s="7" t="n">
        <v>136</v>
      </c>
      <c r="M65" s="7" t="n">
        <v>9</v>
      </c>
      <c r="N65" s="7" t="n">
        <v>13</v>
      </c>
      <c r="O65" s="7" t="n">
        <v>11</v>
      </c>
      <c r="P65" s="8" t="n">
        <v>26.0098548563955</v>
      </c>
      <c r="Q65" s="9" t="n">
        <v>0.0384469657951249</v>
      </c>
      <c r="R65" s="8" t="n">
        <v>19</v>
      </c>
      <c r="S65" s="12" t="n">
        <f aca="false">IF(AND(ISNUMBER(R65),R65&gt;1,P65&gt;0),R65/P65-1,"")</f>
        <v>-0.269507649892626</v>
      </c>
    </row>
    <row r="66" customFormat="false" ht="15" hidden="false" customHeight="false" outlineLevel="0" collapsed="false">
      <c r="A66" s="10" t="s">
        <v>124</v>
      </c>
      <c r="B66" s="10" t="s">
        <v>57</v>
      </c>
      <c r="C66" s="10" t="s">
        <v>125</v>
      </c>
      <c r="D66" s="10"/>
      <c r="E66" s="11" t="n">
        <v>16</v>
      </c>
      <c r="F66" s="10" t="s">
        <v>291</v>
      </c>
      <c r="G66" s="7" t="n">
        <v>17</v>
      </c>
      <c r="H66" s="10" t="s">
        <v>648</v>
      </c>
      <c r="I66" s="10" t="s">
        <v>389</v>
      </c>
      <c r="J66" s="10" t="s">
        <v>191</v>
      </c>
      <c r="K66" s="7" t="n">
        <v>7</v>
      </c>
      <c r="L66" s="7" t="n">
        <v>133</v>
      </c>
      <c r="M66" s="7" t="n">
        <v>5</v>
      </c>
      <c r="N66" s="7" t="n">
        <v>16</v>
      </c>
      <c r="O66" s="7" t="n">
        <v>12</v>
      </c>
      <c r="P66" s="8" t="n">
        <v>37.2169351018768</v>
      </c>
      <c r="Q66" s="9" t="n">
        <v>0.0268694882386908</v>
      </c>
      <c r="R66" s="8" t="n">
        <v>13</v>
      </c>
      <c r="S66" s="12" t="n">
        <f aca="false">IF(AND(ISNUMBER(R66),R66&gt;1,P66&gt;0),R66/P66-1,"")</f>
        <v>-0.650696652897019</v>
      </c>
    </row>
    <row r="67" customFormat="false" ht="15" hidden="false" customHeight="false" outlineLevel="0" collapsed="false">
      <c r="A67" s="10" t="s">
        <v>124</v>
      </c>
      <c r="B67" s="10" t="s">
        <v>57</v>
      </c>
      <c r="C67" s="10" t="s">
        <v>125</v>
      </c>
      <c r="D67" s="10"/>
      <c r="E67" s="11" t="n">
        <v>16</v>
      </c>
      <c r="F67" s="10" t="s">
        <v>291</v>
      </c>
      <c r="G67" s="7" t="n">
        <v>17</v>
      </c>
      <c r="H67" s="10" t="s">
        <v>649</v>
      </c>
      <c r="I67" s="10" t="s">
        <v>650</v>
      </c>
      <c r="J67" s="10" t="s">
        <v>84</v>
      </c>
      <c r="K67" s="7" t="n">
        <v>16</v>
      </c>
      <c r="L67" s="7" t="n">
        <v>119</v>
      </c>
      <c r="M67" s="7" t="n">
        <v>7</v>
      </c>
      <c r="N67" s="7" t="n">
        <v>55</v>
      </c>
      <c r="O67" s="7" t="n">
        <v>13</v>
      </c>
      <c r="P67" s="8" t="n">
        <v>37.5451019119006</v>
      </c>
      <c r="Q67" s="9" t="n">
        <v>0.0266346327237703</v>
      </c>
      <c r="R67" s="8" t="n">
        <v>26</v>
      </c>
      <c r="S67" s="12" t="n">
        <f aca="false">IF(AND(ISNUMBER(R67),R67&gt;1,P67&gt;0),R67/P67-1,"")</f>
        <v>-0.307499549181972</v>
      </c>
    </row>
    <row r="68" customFormat="false" ht="15" hidden="false" customHeight="false" outlineLevel="0" collapsed="false">
      <c r="A68" s="10" t="s">
        <v>124</v>
      </c>
      <c r="B68" s="10" t="s">
        <v>57</v>
      </c>
      <c r="C68" s="10" t="s">
        <v>125</v>
      </c>
      <c r="D68" s="10"/>
      <c r="E68" s="11" t="n">
        <v>16</v>
      </c>
      <c r="F68" s="10" t="s">
        <v>291</v>
      </c>
      <c r="G68" s="7" t="n">
        <v>17</v>
      </c>
      <c r="H68" s="10" t="s">
        <v>651</v>
      </c>
      <c r="I68" s="10" t="s">
        <v>652</v>
      </c>
      <c r="J68" s="10" t="s">
        <v>565</v>
      </c>
      <c r="K68" s="7" t="n">
        <v>15</v>
      </c>
      <c r="L68" s="7" t="n">
        <v>119</v>
      </c>
      <c r="M68" s="7" t="n">
        <v>8</v>
      </c>
      <c r="N68" s="7" t="n">
        <v>21</v>
      </c>
      <c r="O68" s="7" t="n">
        <v>14</v>
      </c>
      <c r="P68" s="8" t="n">
        <v>47.2887581390297</v>
      </c>
      <c r="Q68" s="9" t="n">
        <v>0.0211466750101574</v>
      </c>
      <c r="R68" s="8" t="n">
        <v>29</v>
      </c>
      <c r="S68" s="12" t="n">
        <f aca="false">IF(AND(ISNUMBER(R68),R68&gt;1,P68&gt;0),R68/P68-1,"")</f>
        <v>-0.386746424705434</v>
      </c>
    </row>
    <row r="69" customFormat="false" ht="15" hidden="false" customHeight="false" outlineLevel="0" collapsed="false">
      <c r="A69" s="10" t="s">
        <v>124</v>
      </c>
      <c r="B69" s="10" t="s">
        <v>57</v>
      </c>
      <c r="C69" s="10" t="s">
        <v>125</v>
      </c>
      <c r="D69" s="10"/>
      <c r="E69" s="11" t="n">
        <v>16</v>
      </c>
      <c r="F69" s="10" t="s">
        <v>291</v>
      </c>
      <c r="G69" s="7" t="n">
        <v>17</v>
      </c>
      <c r="H69" s="10" t="s">
        <v>653</v>
      </c>
      <c r="I69" s="10" t="s">
        <v>654</v>
      </c>
      <c r="J69" s="10" t="s">
        <v>655</v>
      </c>
      <c r="K69" s="7" t="n">
        <v>14</v>
      </c>
      <c r="L69" s="7" t="n">
        <v>121</v>
      </c>
      <c r="M69" s="7" t="n">
        <v>6</v>
      </c>
      <c r="N69" s="7" t="n">
        <v>47</v>
      </c>
      <c r="O69" s="7" t="n">
        <v>15</v>
      </c>
      <c r="P69" s="8" t="n">
        <v>47.3124405306279</v>
      </c>
      <c r="Q69" s="9" t="n">
        <v>0.0211360899751651</v>
      </c>
      <c r="R69" s="8" t="n">
        <v>17</v>
      </c>
      <c r="S69" s="12" t="n">
        <f aca="false">IF(AND(ISNUMBER(R69),R69&gt;1,P69&gt;0),R69/P69-1,"")</f>
        <v>-0.640686470422193</v>
      </c>
    </row>
    <row r="70" customFormat="false" ht="15" hidden="false" customHeight="false" outlineLevel="0" collapsed="false">
      <c r="A70" s="10" t="s">
        <v>124</v>
      </c>
      <c r="B70" s="10" t="s">
        <v>57</v>
      </c>
      <c r="C70" s="10" t="s">
        <v>125</v>
      </c>
      <c r="D70" s="10"/>
      <c r="E70" s="11" t="n">
        <v>16</v>
      </c>
      <c r="F70" s="10" t="s">
        <v>291</v>
      </c>
      <c r="G70" s="7" t="n">
        <v>17</v>
      </c>
      <c r="H70" s="10" t="s">
        <v>656</v>
      </c>
      <c r="I70" s="10" t="s">
        <v>657</v>
      </c>
      <c r="J70" s="10" t="s">
        <v>578</v>
      </c>
      <c r="K70" s="7" t="n">
        <v>10</v>
      </c>
      <c r="L70" s="7" t="n">
        <v>129</v>
      </c>
      <c r="M70" s="7" t="n">
        <v>9</v>
      </c>
      <c r="N70" s="7" t="n">
        <v>24</v>
      </c>
      <c r="O70" s="7" t="n">
        <v>16</v>
      </c>
      <c r="P70" s="8" t="n">
        <v>69.3336972258506</v>
      </c>
      <c r="Q70" s="9" t="n">
        <v>0.0144230012246794</v>
      </c>
      <c r="R70" s="8" t="n">
        <v>26</v>
      </c>
      <c r="S70" s="12" t="n">
        <f aca="false">IF(AND(ISNUMBER(R70),R70&gt;1,P70&gt;0),R70/P70-1,"")</f>
        <v>-0.625001968158333</v>
      </c>
    </row>
    <row r="71" customFormat="false" ht="15" hidden="false" customHeight="false" outlineLevel="0" collapsed="false">
      <c r="A71" s="10" t="s">
        <v>124</v>
      </c>
      <c r="B71" s="10" t="s">
        <v>57</v>
      </c>
      <c r="C71" s="10" t="s">
        <v>125</v>
      </c>
      <c r="D71" s="10"/>
      <c r="E71" s="11" t="n">
        <v>16</v>
      </c>
      <c r="F71" s="10" t="s">
        <v>291</v>
      </c>
      <c r="G71" s="7" t="n">
        <v>17</v>
      </c>
      <c r="H71" s="10" t="s">
        <v>658</v>
      </c>
      <c r="I71" s="10" t="s">
        <v>577</v>
      </c>
      <c r="J71" s="10" t="s">
        <v>578</v>
      </c>
      <c r="K71" s="7" t="n">
        <v>12</v>
      </c>
      <c r="L71" s="7" t="n">
        <v>126</v>
      </c>
      <c r="M71" s="7" t="n">
        <v>6</v>
      </c>
      <c r="N71" s="7" t="n">
        <v>83</v>
      </c>
      <c r="O71" s="7" t="n">
        <v>17</v>
      </c>
      <c r="P71" s="8" t="n">
        <v>71.2883093809178</v>
      </c>
      <c r="Q71" s="9" t="n">
        <v>0.0140275454514801</v>
      </c>
      <c r="R71" s="8" t="n">
        <v>19</v>
      </c>
      <c r="S71" s="12" t="n">
        <f aca="false">IF(AND(ISNUMBER(R71),R71&gt;1,P71&gt;0),R71/P71-1,"")</f>
        <v>-0.733476636421878</v>
      </c>
    </row>
    <row r="72" customFormat="false" ht="15" hidden="false" customHeight="false" outlineLevel="0" collapsed="false">
      <c r="A72" s="10" t="s">
        <v>142</v>
      </c>
      <c r="B72" s="10" t="s">
        <v>57</v>
      </c>
      <c r="C72" s="10" t="s">
        <v>143</v>
      </c>
      <c r="D72" s="10"/>
      <c r="E72" s="11" t="n">
        <v>22</v>
      </c>
      <c r="F72" s="10" t="s">
        <v>291</v>
      </c>
      <c r="G72" s="7" t="n">
        <v>16</v>
      </c>
      <c r="H72" s="10" t="s">
        <v>144</v>
      </c>
      <c r="I72" s="10" t="s">
        <v>145</v>
      </c>
      <c r="J72" s="10" t="s">
        <v>146</v>
      </c>
      <c r="K72" s="7" t="n">
        <v>3</v>
      </c>
      <c r="L72" s="7" t="n">
        <v>96</v>
      </c>
      <c r="M72" s="7" t="n">
        <v>6</v>
      </c>
      <c r="N72" s="7" t="n">
        <v>14</v>
      </c>
      <c r="O72" s="7" t="n">
        <v>1</v>
      </c>
      <c r="P72" s="8" t="n">
        <v>6.21550488807399</v>
      </c>
      <c r="Q72" s="9" t="n">
        <v>0.160887975797228</v>
      </c>
      <c r="R72" s="8" t="n">
        <v>11</v>
      </c>
      <c r="S72" s="12" t="n">
        <f aca="false">IF(AND(ISNUMBER(R72),R72&gt;1,P72&gt;0),R72/P72-1,"")</f>
        <v>0.769767733769508</v>
      </c>
    </row>
    <row r="73" customFormat="false" ht="15" hidden="false" customHeight="false" outlineLevel="0" collapsed="false">
      <c r="A73" s="10" t="s">
        <v>142</v>
      </c>
      <c r="B73" s="10" t="s">
        <v>57</v>
      </c>
      <c r="C73" s="10" t="s">
        <v>143</v>
      </c>
      <c r="D73" s="10"/>
      <c r="E73" s="11" t="n">
        <v>22</v>
      </c>
      <c r="F73" s="10" t="s">
        <v>291</v>
      </c>
      <c r="G73" s="7" t="n">
        <v>16</v>
      </c>
      <c r="H73" s="10" t="s">
        <v>147</v>
      </c>
      <c r="I73" s="10" t="s">
        <v>384</v>
      </c>
      <c r="J73" s="10" t="s">
        <v>478</v>
      </c>
      <c r="K73" s="7" t="n">
        <v>2</v>
      </c>
      <c r="L73" s="7" t="n">
        <v>96</v>
      </c>
      <c r="M73" s="7" t="n">
        <v>7</v>
      </c>
      <c r="N73" s="7" t="n">
        <v>52</v>
      </c>
      <c r="O73" s="7" t="n">
        <v>2</v>
      </c>
      <c r="P73" s="8" t="n">
        <v>8.41967240656909</v>
      </c>
      <c r="Q73" s="9" t="n">
        <v>0.118769466519837</v>
      </c>
      <c r="R73" s="8" t="n">
        <v>17</v>
      </c>
      <c r="S73" s="12" t="n">
        <f aca="false">IF(AND(ISNUMBER(R73),R73&gt;1,P73&gt;0),R73/P73-1,"")</f>
        <v>1.01908093083722</v>
      </c>
    </row>
    <row r="74" customFormat="false" ht="15" hidden="false" customHeight="false" outlineLevel="0" collapsed="false">
      <c r="A74" s="10" t="s">
        <v>142</v>
      </c>
      <c r="B74" s="10" t="s">
        <v>57</v>
      </c>
      <c r="C74" s="10" t="s">
        <v>143</v>
      </c>
      <c r="D74" s="10"/>
      <c r="E74" s="11" t="n">
        <v>22</v>
      </c>
      <c r="F74" s="10" t="s">
        <v>291</v>
      </c>
      <c r="G74" s="7" t="n">
        <v>16</v>
      </c>
      <c r="H74" s="10" t="s">
        <v>686</v>
      </c>
      <c r="I74" s="10" t="s">
        <v>561</v>
      </c>
      <c r="J74" s="10" t="s">
        <v>687</v>
      </c>
      <c r="K74" s="7" t="n">
        <v>5</v>
      </c>
      <c r="L74" s="7" t="n">
        <v>94</v>
      </c>
      <c r="M74" s="7" t="n">
        <v>5</v>
      </c>
      <c r="N74" s="7" t="n">
        <v>18</v>
      </c>
      <c r="O74" s="7" t="n">
        <v>3</v>
      </c>
      <c r="P74" s="8" t="n">
        <v>8.6661523925994</v>
      </c>
      <c r="Q74" s="9" t="n">
        <v>0.115391462635017</v>
      </c>
      <c r="R74" s="8" t="n">
        <v>11</v>
      </c>
      <c r="S74" s="12" t="n">
        <f aca="false">IF(AND(ISNUMBER(R74),R74&gt;1,P74&gt;0),R74/P74-1,"")</f>
        <v>0.269306088985192</v>
      </c>
    </row>
    <row r="75" customFormat="false" ht="15" hidden="false" customHeight="false" outlineLevel="0" collapsed="false">
      <c r="A75" s="10" t="s">
        <v>142</v>
      </c>
      <c r="B75" s="10" t="s">
        <v>57</v>
      </c>
      <c r="C75" s="10" t="s">
        <v>143</v>
      </c>
      <c r="D75" s="10"/>
      <c r="E75" s="11" t="n">
        <v>22</v>
      </c>
      <c r="F75" s="10" t="s">
        <v>291</v>
      </c>
      <c r="G75" s="7" t="n">
        <v>16</v>
      </c>
      <c r="H75" s="10" t="s">
        <v>688</v>
      </c>
      <c r="I75" s="10" t="s">
        <v>567</v>
      </c>
      <c r="J75" s="10" t="s">
        <v>460</v>
      </c>
      <c r="K75" s="7" t="n">
        <v>1</v>
      </c>
      <c r="L75" s="7" t="n">
        <v>100</v>
      </c>
      <c r="M75" s="7" t="n">
        <v>6</v>
      </c>
      <c r="N75" s="7" t="n">
        <v>6</v>
      </c>
      <c r="O75" s="7" t="n">
        <v>4</v>
      </c>
      <c r="P75" s="8" t="n">
        <v>9.58098192388851</v>
      </c>
      <c r="Q75" s="9" t="n">
        <v>0.104373435619023</v>
      </c>
      <c r="R75" s="8" t="n">
        <v>10</v>
      </c>
      <c r="S75" s="12" t="n">
        <f aca="false">IF(AND(ISNUMBER(R75),R75&gt;1,P75&gt;0),R75/P75-1,"")</f>
        <v>0.0437343561902297</v>
      </c>
    </row>
    <row r="76" customFormat="false" ht="15" hidden="false" customHeight="false" outlineLevel="0" collapsed="false">
      <c r="A76" s="10" t="s">
        <v>142</v>
      </c>
      <c r="B76" s="10" t="s">
        <v>57</v>
      </c>
      <c r="C76" s="10" t="s">
        <v>143</v>
      </c>
      <c r="D76" s="10"/>
      <c r="E76" s="11" t="n">
        <v>22</v>
      </c>
      <c r="F76" s="10" t="s">
        <v>291</v>
      </c>
      <c r="G76" s="7" t="n">
        <v>16</v>
      </c>
      <c r="H76" s="10" t="s">
        <v>689</v>
      </c>
      <c r="I76" s="10" t="s">
        <v>550</v>
      </c>
      <c r="J76" s="10" t="s">
        <v>392</v>
      </c>
      <c r="K76" s="7" t="n">
        <v>9</v>
      </c>
      <c r="L76" s="7" t="n">
        <v>90</v>
      </c>
      <c r="M76" s="7" t="n">
        <v>7</v>
      </c>
      <c r="N76" s="7" t="n">
        <v>28</v>
      </c>
      <c r="O76" s="7" t="n">
        <v>5</v>
      </c>
      <c r="P76" s="8" t="n">
        <v>11.0195843865679</v>
      </c>
      <c r="Q76" s="9" t="n">
        <v>0.0907475241279451</v>
      </c>
      <c r="R76" s="8" t="n">
        <v>9</v>
      </c>
      <c r="S76" s="12" t="n">
        <f aca="false">IF(AND(ISNUMBER(R76),R76&gt;1,P76&gt;0),R76/P76-1,"")</f>
        <v>-0.183272282848494</v>
      </c>
    </row>
    <row r="77" customFormat="false" ht="15" hidden="false" customHeight="false" outlineLevel="0" collapsed="false">
      <c r="A77" s="10" t="s">
        <v>142</v>
      </c>
      <c r="B77" s="10" t="s">
        <v>57</v>
      </c>
      <c r="C77" s="10" t="s">
        <v>143</v>
      </c>
      <c r="D77" s="10"/>
      <c r="E77" s="11" t="n">
        <v>22</v>
      </c>
      <c r="F77" s="10" t="s">
        <v>291</v>
      </c>
      <c r="G77" s="7" t="n">
        <v>16</v>
      </c>
      <c r="H77" s="10" t="s">
        <v>690</v>
      </c>
      <c r="I77" s="10" t="s">
        <v>83</v>
      </c>
      <c r="J77" s="10" t="s">
        <v>372</v>
      </c>
      <c r="K77" s="7" t="n">
        <v>7</v>
      </c>
      <c r="L77" s="7" t="n">
        <v>92</v>
      </c>
      <c r="M77" s="7" t="n">
        <v>7</v>
      </c>
      <c r="N77" s="7" t="n">
        <v>18</v>
      </c>
      <c r="O77" s="7" t="n">
        <v>6</v>
      </c>
      <c r="P77" s="8" t="n">
        <v>11.0954560080846</v>
      </c>
      <c r="Q77" s="9" t="n">
        <v>0.0901269852515626</v>
      </c>
      <c r="R77" s="8" t="n">
        <v>7</v>
      </c>
      <c r="S77" s="12" t="n">
        <f aca="false">IF(AND(ISNUMBER(R77),R77&gt;1,P77&gt;0),R77/P77-1,"")</f>
        <v>-0.369111103239062</v>
      </c>
    </row>
    <row r="78" customFormat="false" ht="15" hidden="false" customHeight="false" outlineLevel="0" collapsed="false">
      <c r="A78" s="10" t="s">
        <v>142</v>
      </c>
      <c r="B78" s="10" t="s">
        <v>57</v>
      </c>
      <c r="C78" s="10" t="s">
        <v>143</v>
      </c>
      <c r="D78" s="10"/>
      <c r="E78" s="11" t="n">
        <v>22</v>
      </c>
      <c r="F78" s="10" t="s">
        <v>291</v>
      </c>
      <c r="G78" s="7" t="n">
        <v>16</v>
      </c>
      <c r="H78" s="10" t="s">
        <v>691</v>
      </c>
      <c r="I78" s="10" t="s">
        <v>168</v>
      </c>
      <c r="J78" s="10" t="s">
        <v>169</v>
      </c>
      <c r="K78" s="7" t="n">
        <v>8</v>
      </c>
      <c r="L78" s="7" t="n">
        <v>95</v>
      </c>
      <c r="M78" s="7" t="n">
        <v>4</v>
      </c>
      <c r="N78" s="7" t="n">
        <v>21</v>
      </c>
      <c r="O78" s="7" t="n">
        <v>7</v>
      </c>
      <c r="P78" s="8" t="n">
        <v>12.0979302938908</v>
      </c>
      <c r="Q78" s="9" t="n">
        <v>0.0826587668888274</v>
      </c>
      <c r="R78" s="8" t="n">
        <v>6</v>
      </c>
      <c r="S78" s="12" t="n">
        <f aca="false">IF(AND(ISNUMBER(R78),R78&gt;1,P78&gt;0),R78/P78-1,"")</f>
        <v>-0.504047398667035</v>
      </c>
    </row>
    <row r="79" customFormat="false" ht="15" hidden="false" customHeight="false" outlineLevel="0" collapsed="false">
      <c r="A79" s="10" t="s">
        <v>142</v>
      </c>
      <c r="B79" s="10" t="s">
        <v>57</v>
      </c>
      <c r="C79" s="10" t="s">
        <v>143</v>
      </c>
      <c r="D79" s="10"/>
      <c r="E79" s="11" t="n">
        <v>22</v>
      </c>
      <c r="F79" s="10" t="s">
        <v>291</v>
      </c>
      <c r="G79" s="7" t="n">
        <v>16</v>
      </c>
      <c r="H79" s="10" t="s">
        <v>692</v>
      </c>
      <c r="I79" s="10" t="s">
        <v>693</v>
      </c>
      <c r="J79" s="10" t="s">
        <v>694</v>
      </c>
      <c r="K79" s="7" t="n">
        <v>10</v>
      </c>
      <c r="L79" s="7" t="n">
        <v>86</v>
      </c>
      <c r="M79" s="7" t="n">
        <v>6</v>
      </c>
      <c r="N79" s="7" t="n">
        <v>48</v>
      </c>
      <c r="O79" s="7" t="n">
        <v>8</v>
      </c>
      <c r="P79" s="8" t="n">
        <v>15.7376704775447</v>
      </c>
      <c r="Q79" s="9" t="n">
        <v>0.0635418057219363</v>
      </c>
      <c r="R79" s="8" t="n">
        <v>2.875</v>
      </c>
      <c r="S79" s="12" t="n">
        <f aca="false">IF(AND(ISNUMBER(R79),R79&gt;1,P79&gt;0),R79/P79-1,"")</f>
        <v>-0.817317308549433</v>
      </c>
    </row>
    <row r="80" customFormat="false" ht="15" hidden="false" customHeight="false" outlineLevel="0" collapsed="false">
      <c r="A80" s="10" t="s">
        <v>142</v>
      </c>
      <c r="B80" s="10" t="s">
        <v>57</v>
      </c>
      <c r="C80" s="10" t="s">
        <v>143</v>
      </c>
      <c r="D80" s="10"/>
      <c r="E80" s="11" t="n">
        <v>22</v>
      </c>
      <c r="F80" s="10" t="s">
        <v>291</v>
      </c>
      <c r="G80" s="7" t="n">
        <v>16</v>
      </c>
      <c r="H80" s="10" t="s">
        <v>695</v>
      </c>
      <c r="I80" s="10" t="s">
        <v>577</v>
      </c>
      <c r="J80" s="10" t="s">
        <v>696</v>
      </c>
      <c r="K80" s="7" t="n">
        <v>14</v>
      </c>
      <c r="L80" s="7" t="n">
        <v>75</v>
      </c>
      <c r="M80" s="7" t="n">
        <v>6</v>
      </c>
      <c r="N80" s="7" t="n">
        <v>63</v>
      </c>
      <c r="O80" s="7" t="n">
        <v>9</v>
      </c>
      <c r="P80" s="8" t="n">
        <v>24.36486256434</v>
      </c>
      <c r="Q80" s="9" t="n">
        <v>0.041042710475354</v>
      </c>
      <c r="R80" s="8" t="n">
        <v>19</v>
      </c>
      <c r="S80" s="12" t="n">
        <f aca="false">IF(AND(ISNUMBER(R80),R80&gt;1,P80&gt;0),R80/P80-1,"")</f>
        <v>-0.220188500968273</v>
      </c>
    </row>
    <row r="81" customFormat="false" ht="15" hidden="false" customHeight="false" outlineLevel="0" collapsed="false">
      <c r="A81" s="10" t="s">
        <v>142</v>
      </c>
      <c r="B81" s="10" t="s">
        <v>57</v>
      </c>
      <c r="C81" s="10" t="s">
        <v>143</v>
      </c>
      <c r="D81" s="10"/>
      <c r="E81" s="11" t="n">
        <v>22</v>
      </c>
      <c r="F81" s="10" t="s">
        <v>291</v>
      </c>
      <c r="G81" s="7" t="n">
        <v>16</v>
      </c>
      <c r="H81" s="10" t="s">
        <v>697</v>
      </c>
      <c r="I81" s="10" t="s">
        <v>375</v>
      </c>
      <c r="J81" s="10" t="s">
        <v>376</v>
      </c>
      <c r="K81" s="7" t="n">
        <v>12</v>
      </c>
      <c r="L81" s="7" t="n">
        <v>83</v>
      </c>
      <c r="M81" s="7" t="n">
        <v>6</v>
      </c>
      <c r="N81" s="7" t="n">
        <v>49</v>
      </c>
      <c r="O81" s="7" t="n">
        <v>10</v>
      </c>
      <c r="P81" s="8" t="n">
        <v>26.3055861330114</v>
      </c>
      <c r="Q81" s="9" t="n">
        <v>0.0380147393387703</v>
      </c>
      <c r="R81" s="8" t="n">
        <v>51</v>
      </c>
      <c r="S81" s="12" t="n">
        <f aca="false">IF(AND(ISNUMBER(R81),R81&gt;1,P81&gt;0),R81/P81-1,"")</f>
        <v>0.938751706277288</v>
      </c>
    </row>
    <row r="82" customFormat="false" ht="15" hidden="false" customHeight="false" outlineLevel="0" collapsed="false">
      <c r="A82" s="10" t="s">
        <v>142</v>
      </c>
      <c r="B82" s="10" t="s">
        <v>57</v>
      </c>
      <c r="C82" s="10" t="s">
        <v>143</v>
      </c>
      <c r="D82" s="10"/>
      <c r="E82" s="11" t="n">
        <v>22</v>
      </c>
      <c r="F82" s="10" t="s">
        <v>291</v>
      </c>
      <c r="G82" s="7" t="n">
        <v>16</v>
      </c>
      <c r="H82" s="10" t="s">
        <v>698</v>
      </c>
      <c r="I82" s="10" t="s">
        <v>699</v>
      </c>
      <c r="J82" s="10" t="s">
        <v>700</v>
      </c>
      <c r="K82" s="7" t="n">
        <v>4</v>
      </c>
      <c r="L82" s="7" t="n">
        <v>96</v>
      </c>
      <c r="M82" s="7" t="n">
        <v>5</v>
      </c>
      <c r="N82" s="7" t="n">
        <v>132</v>
      </c>
      <c r="O82" s="7" t="n">
        <v>11</v>
      </c>
      <c r="P82" s="8" t="n">
        <v>36.8123758649611</v>
      </c>
      <c r="Q82" s="9" t="n">
        <v>0.0271647775103759</v>
      </c>
      <c r="R82" s="8" t="n">
        <v>9</v>
      </c>
      <c r="S82" s="12" t="n">
        <f aca="false">IF(AND(ISNUMBER(R82),R82&gt;1,P82&gt;0),R82/P82-1,"")</f>
        <v>-0.755517002406617</v>
      </c>
    </row>
    <row r="83" customFormat="false" ht="15" hidden="false" customHeight="false" outlineLevel="0" collapsed="false">
      <c r="A83" s="10" t="s">
        <v>142</v>
      </c>
      <c r="B83" s="10" t="s">
        <v>57</v>
      </c>
      <c r="C83" s="10" t="s">
        <v>143</v>
      </c>
      <c r="D83" s="10"/>
      <c r="E83" s="11" t="n">
        <v>22</v>
      </c>
      <c r="F83" s="10" t="s">
        <v>291</v>
      </c>
      <c r="G83" s="7" t="n">
        <v>16</v>
      </c>
      <c r="H83" s="10" t="s">
        <v>701</v>
      </c>
      <c r="I83" s="10" t="s">
        <v>358</v>
      </c>
      <c r="J83" s="10" t="s">
        <v>472</v>
      </c>
      <c r="K83" s="7" t="n">
        <v>16</v>
      </c>
      <c r="L83" s="7" t="n">
        <v>90</v>
      </c>
      <c r="M83" s="7" t="n">
        <v>5</v>
      </c>
      <c r="N83" s="7" t="n">
        <v>55</v>
      </c>
      <c r="O83" s="7" t="n">
        <v>12</v>
      </c>
      <c r="P83" s="8" t="n">
        <v>51.2170868034879</v>
      </c>
      <c r="Q83" s="9" t="n">
        <v>0.0195247340762828</v>
      </c>
      <c r="R83" s="8" t="n">
        <v>21</v>
      </c>
      <c r="S83" s="12" t="n">
        <f aca="false">IF(AND(ISNUMBER(R83),R83&gt;1,P83&gt;0),R83/P83-1,"")</f>
        <v>-0.589980584398059</v>
      </c>
    </row>
    <row r="84" customFormat="false" ht="15" hidden="false" customHeight="false" outlineLevel="0" collapsed="false">
      <c r="A84" s="10" t="s">
        <v>142</v>
      </c>
      <c r="B84" s="10" t="s">
        <v>57</v>
      </c>
      <c r="C84" s="10" t="s">
        <v>143</v>
      </c>
      <c r="D84" s="10"/>
      <c r="E84" s="11" t="n">
        <v>22</v>
      </c>
      <c r="F84" s="10" t="s">
        <v>291</v>
      </c>
      <c r="G84" s="7" t="n">
        <v>16</v>
      </c>
      <c r="H84" s="10" t="s">
        <v>702</v>
      </c>
      <c r="I84" s="10" t="s">
        <v>358</v>
      </c>
      <c r="J84" s="10" t="s">
        <v>578</v>
      </c>
      <c r="K84" s="7" t="n">
        <v>17</v>
      </c>
      <c r="L84" s="7" t="n">
        <v>81</v>
      </c>
      <c r="M84" s="7" t="n">
        <v>7</v>
      </c>
      <c r="N84" s="7" t="n">
        <v>34</v>
      </c>
      <c r="O84" s="7" t="n">
        <v>13</v>
      </c>
      <c r="P84" s="8" t="n">
        <v>53.933003428223</v>
      </c>
      <c r="Q84" s="9" t="n">
        <v>0.0185415225638389</v>
      </c>
      <c r="R84" s="8" t="n">
        <v>17</v>
      </c>
      <c r="S84" s="12" t="n">
        <f aca="false">IF(AND(ISNUMBER(R84),R84&gt;1,P84&gt;0),R84/P84-1,"")</f>
        <v>-0.684794116414738</v>
      </c>
    </row>
    <row r="85" customFormat="false" ht="15" hidden="false" customHeight="false" outlineLevel="0" collapsed="false">
      <c r="A85" s="10" t="s">
        <v>142</v>
      </c>
      <c r="B85" s="10" t="s">
        <v>57</v>
      </c>
      <c r="C85" s="10" t="s">
        <v>143</v>
      </c>
      <c r="D85" s="10"/>
      <c r="E85" s="11" t="n">
        <v>22</v>
      </c>
      <c r="F85" s="10" t="s">
        <v>291</v>
      </c>
      <c r="G85" s="7" t="n">
        <v>16</v>
      </c>
      <c r="H85" s="10" t="s">
        <v>703</v>
      </c>
      <c r="I85" s="10" t="s">
        <v>352</v>
      </c>
      <c r="J85" s="10" t="s">
        <v>353</v>
      </c>
      <c r="K85" s="7" t="n">
        <v>11</v>
      </c>
      <c r="L85" s="7" t="n">
        <v>86</v>
      </c>
      <c r="M85" s="7" t="n">
        <v>7</v>
      </c>
      <c r="N85" s="7" t="n">
        <v>503</v>
      </c>
      <c r="O85" s="7" t="n">
        <v>14</v>
      </c>
      <c r="P85" s="8" t="n">
        <v>79.1378275491005</v>
      </c>
      <c r="Q85" s="9" t="n">
        <v>0.012636182101152</v>
      </c>
      <c r="R85" s="8" t="n">
        <v>34</v>
      </c>
      <c r="S85" s="12" t="n">
        <f aca="false">IF(AND(ISNUMBER(R85),R85&gt;1,P85&gt;0),R85/P85-1,"")</f>
        <v>-0.570369808560831</v>
      </c>
    </row>
    <row r="86" customFormat="false" ht="15" hidden="false" customHeight="false" outlineLevel="0" collapsed="false">
      <c r="A86" s="10" t="s">
        <v>142</v>
      </c>
      <c r="B86" s="10" t="s">
        <v>57</v>
      </c>
      <c r="C86" s="10" t="s">
        <v>143</v>
      </c>
      <c r="D86" s="10"/>
      <c r="E86" s="11" t="n">
        <v>22</v>
      </c>
      <c r="F86" s="10" t="s">
        <v>291</v>
      </c>
      <c r="G86" s="7" t="n">
        <v>16</v>
      </c>
      <c r="H86" s="10" t="s">
        <v>704</v>
      </c>
      <c r="I86" s="10" t="s">
        <v>705</v>
      </c>
      <c r="J86" s="10" t="s">
        <v>706</v>
      </c>
      <c r="K86" s="7" t="n">
        <v>13</v>
      </c>
      <c r="L86" s="7" t="n">
        <v>78</v>
      </c>
      <c r="M86" s="7" t="n">
        <v>8</v>
      </c>
      <c r="N86" s="7" t="n">
        <v>63</v>
      </c>
      <c r="O86" s="7" t="n">
        <v>15</v>
      </c>
      <c r="P86" s="8" t="n">
        <v>85.4767687941439</v>
      </c>
      <c r="Q86" s="9" t="n">
        <v>0.011699085191303</v>
      </c>
      <c r="R86" s="8" t="n">
        <v>41</v>
      </c>
      <c r="S86" s="12" t="n">
        <f aca="false">IF(AND(ISNUMBER(R86),R86&gt;1,P86&gt;0),R86/P86-1,"")</f>
        <v>-0.520337507156577</v>
      </c>
    </row>
    <row r="87" customFormat="false" ht="15" hidden="false" customHeight="false" outlineLevel="0" collapsed="false">
      <c r="A87" s="10" t="s">
        <v>142</v>
      </c>
      <c r="B87" s="10" t="s">
        <v>57</v>
      </c>
      <c r="C87" s="10" t="s">
        <v>143</v>
      </c>
      <c r="D87" s="10"/>
      <c r="E87" s="11" t="n">
        <v>22</v>
      </c>
      <c r="F87" s="10" t="s">
        <v>291</v>
      </c>
      <c r="G87" s="7" t="n">
        <v>16</v>
      </c>
      <c r="H87" s="10" t="s">
        <v>707</v>
      </c>
      <c r="I87" s="10" t="s">
        <v>358</v>
      </c>
      <c r="J87" s="10" t="s">
        <v>353</v>
      </c>
      <c r="K87" s="7" t="n">
        <v>15</v>
      </c>
      <c r="L87" s="7" t="n">
        <v>88</v>
      </c>
      <c r="M87" s="7" t="n">
        <v>7</v>
      </c>
      <c r="N87" s="7" t="n">
        <v>25</v>
      </c>
      <c r="O87" s="7" t="n">
        <v>16</v>
      </c>
      <c r="P87" s="8" t="n">
        <v>204.967334926266</v>
      </c>
      <c r="Q87" s="9" t="n">
        <v>0.0048788261815461</v>
      </c>
      <c r="R87" s="8" t="n">
        <v>34</v>
      </c>
      <c r="S87" s="12" t="n">
        <f aca="false">IF(AND(ISNUMBER(R87),R87&gt;1,P87&gt;0),R87/P87-1,"")</f>
        <v>-0.834119909827431</v>
      </c>
    </row>
    <row r="88" customFormat="false" ht="15" hidden="false" customHeight="false" outlineLevel="0" collapsed="false">
      <c r="A88" s="10" t="s">
        <v>165</v>
      </c>
      <c r="B88" s="10" t="s">
        <v>57</v>
      </c>
      <c r="C88" s="10" t="s">
        <v>166</v>
      </c>
      <c r="D88" s="10"/>
      <c r="E88" s="11" t="n">
        <v>19</v>
      </c>
      <c r="F88" s="10" t="s">
        <v>291</v>
      </c>
      <c r="G88" s="7" t="n">
        <v>18</v>
      </c>
      <c r="H88" s="10" t="s">
        <v>167</v>
      </c>
      <c r="I88" s="10" t="s">
        <v>168</v>
      </c>
      <c r="J88" s="10" t="s">
        <v>169</v>
      </c>
      <c r="K88" s="7" t="n">
        <v>12</v>
      </c>
      <c r="L88" s="7" t="n">
        <v>102</v>
      </c>
      <c r="M88" s="7" t="n">
        <v>7</v>
      </c>
      <c r="N88" s="7" t="n">
        <v>36</v>
      </c>
      <c r="O88" s="7" t="n">
        <v>1</v>
      </c>
      <c r="P88" s="8" t="n">
        <v>7.03247511959598</v>
      </c>
      <c r="Q88" s="9" t="n">
        <v>0.142197445848547</v>
      </c>
      <c r="R88" s="8" t="n">
        <v>6</v>
      </c>
      <c r="S88" s="12" t="n">
        <f aca="false">IF(AND(ISNUMBER(R88),R88&gt;1,P88&gt;0),R88/P88-1,"")</f>
        <v>-0.14681532490872</v>
      </c>
    </row>
    <row r="89" customFormat="false" ht="15" hidden="false" customHeight="false" outlineLevel="0" collapsed="false">
      <c r="A89" s="10" t="s">
        <v>165</v>
      </c>
      <c r="B89" s="10" t="s">
        <v>57</v>
      </c>
      <c r="C89" s="10" t="s">
        <v>166</v>
      </c>
      <c r="D89" s="10"/>
      <c r="E89" s="11" t="n">
        <v>19</v>
      </c>
      <c r="F89" s="10" t="s">
        <v>291</v>
      </c>
      <c r="G89" s="7" t="n">
        <v>18</v>
      </c>
      <c r="H89" s="10" t="s">
        <v>170</v>
      </c>
      <c r="I89" s="10" t="s">
        <v>105</v>
      </c>
      <c r="J89" s="10" t="s">
        <v>768</v>
      </c>
      <c r="K89" s="7" t="n">
        <v>1</v>
      </c>
      <c r="L89" s="7" t="n">
        <v>112</v>
      </c>
      <c r="M89" s="7" t="n">
        <v>7</v>
      </c>
      <c r="N89" s="7" t="n">
        <v>35</v>
      </c>
      <c r="O89" s="7" t="n">
        <v>2</v>
      </c>
      <c r="P89" s="8" t="n">
        <v>7.34157041221667</v>
      </c>
      <c r="Q89" s="9" t="n">
        <v>0.136210639393441</v>
      </c>
      <c r="R89" s="8" t="n">
        <v>9</v>
      </c>
      <c r="S89" s="12" t="n">
        <f aca="false">IF(AND(ISNUMBER(R89),R89&gt;1,P89&gt;0),R89/P89-1,"")</f>
        <v>0.225895754540968</v>
      </c>
    </row>
    <row r="90" customFormat="false" ht="15" hidden="false" customHeight="false" outlineLevel="0" collapsed="false">
      <c r="A90" s="10" t="s">
        <v>165</v>
      </c>
      <c r="B90" s="10" t="s">
        <v>57</v>
      </c>
      <c r="C90" s="10" t="s">
        <v>166</v>
      </c>
      <c r="D90" s="10"/>
      <c r="E90" s="11" t="n">
        <v>19</v>
      </c>
      <c r="F90" s="10" t="s">
        <v>291</v>
      </c>
      <c r="G90" s="7" t="n">
        <v>18</v>
      </c>
      <c r="H90" s="10" t="s">
        <v>769</v>
      </c>
      <c r="I90" s="10" t="s">
        <v>550</v>
      </c>
      <c r="J90" s="10" t="s">
        <v>61</v>
      </c>
      <c r="K90" s="7" t="n">
        <v>3</v>
      </c>
      <c r="L90" s="7" t="n">
        <v>109</v>
      </c>
      <c r="M90" s="7" t="n">
        <v>7</v>
      </c>
      <c r="N90" s="7" t="n">
        <v>54</v>
      </c>
      <c r="O90" s="7" t="n">
        <v>3</v>
      </c>
      <c r="P90" s="8" t="n">
        <v>8.38175664468831</v>
      </c>
      <c r="Q90" s="9" t="n">
        <v>0.119306732751985</v>
      </c>
      <c r="R90" s="8" t="n">
        <v>6</v>
      </c>
      <c r="S90" s="12" t="n">
        <f aca="false">IF(AND(ISNUMBER(R90),R90&gt;1,P90&gt;0),R90/P90-1,"")</f>
        <v>-0.284159603488092</v>
      </c>
    </row>
    <row r="91" customFormat="false" ht="15" hidden="false" customHeight="false" outlineLevel="0" collapsed="false">
      <c r="A91" s="10" t="s">
        <v>165</v>
      </c>
      <c r="B91" s="10" t="s">
        <v>57</v>
      </c>
      <c r="C91" s="10" t="s">
        <v>166</v>
      </c>
      <c r="D91" s="10"/>
      <c r="E91" s="11" t="n">
        <v>19</v>
      </c>
      <c r="F91" s="10" t="s">
        <v>291</v>
      </c>
      <c r="G91" s="7" t="n">
        <v>18</v>
      </c>
      <c r="H91" s="10" t="s">
        <v>770</v>
      </c>
      <c r="I91" s="10" t="s">
        <v>771</v>
      </c>
      <c r="J91" s="10" t="s">
        <v>772</v>
      </c>
      <c r="K91" s="7" t="n">
        <v>8</v>
      </c>
      <c r="L91" s="7" t="n">
        <v>104</v>
      </c>
      <c r="M91" s="7" t="n">
        <v>6</v>
      </c>
      <c r="N91" s="7" t="n">
        <v>159</v>
      </c>
      <c r="O91" s="7" t="n">
        <v>4</v>
      </c>
      <c r="P91" s="8" t="n">
        <v>11.7727169426441</v>
      </c>
      <c r="Q91" s="9" t="n">
        <v>0.0849421594753305</v>
      </c>
      <c r="R91" s="8" t="n">
        <v>9</v>
      </c>
      <c r="S91" s="12" t="n">
        <f aca="false">IF(AND(ISNUMBER(R91),R91&gt;1,P91&gt;0),R91/P91-1,"")</f>
        <v>-0.235520564722025</v>
      </c>
    </row>
    <row r="92" customFormat="false" ht="15" hidden="false" customHeight="false" outlineLevel="0" collapsed="false">
      <c r="A92" s="10" t="s">
        <v>165</v>
      </c>
      <c r="B92" s="10" t="s">
        <v>57</v>
      </c>
      <c r="C92" s="10" t="s">
        <v>166</v>
      </c>
      <c r="D92" s="10"/>
      <c r="E92" s="11" t="n">
        <v>19</v>
      </c>
      <c r="F92" s="10" t="s">
        <v>291</v>
      </c>
      <c r="G92" s="7" t="n">
        <v>18</v>
      </c>
      <c r="H92" s="10" t="s">
        <v>773</v>
      </c>
      <c r="I92" s="10" t="s">
        <v>366</v>
      </c>
      <c r="J92" s="10" t="s">
        <v>774</v>
      </c>
      <c r="K92" s="7" t="n">
        <v>4</v>
      </c>
      <c r="L92" s="7" t="n">
        <v>108</v>
      </c>
      <c r="M92" s="7" t="n">
        <v>6</v>
      </c>
      <c r="N92" s="7" t="n">
        <v>36</v>
      </c>
      <c r="O92" s="7" t="n">
        <v>5</v>
      </c>
      <c r="P92" s="8" t="n">
        <v>15.3350021453413</v>
      </c>
      <c r="Q92" s="9" t="n">
        <v>0.0652102941050969</v>
      </c>
      <c r="R92" s="8" t="n">
        <v>13</v>
      </c>
      <c r="S92" s="12" t="n">
        <f aca="false">IF(AND(ISNUMBER(R92),R92&gt;1,P92&gt;0),R92/P92-1,"")</f>
        <v>-0.15226617663374</v>
      </c>
    </row>
    <row r="93" customFormat="false" ht="15" hidden="false" customHeight="false" outlineLevel="0" collapsed="false">
      <c r="A93" s="10" t="s">
        <v>165</v>
      </c>
      <c r="B93" s="10" t="s">
        <v>57</v>
      </c>
      <c r="C93" s="10" t="s">
        <v>166</v>
      </c>
      <c r="D93" s="10"/>
      <c r="E93" s="11" t="n">
        <v>19</v>
      </c>
      <c r="F93" s="10" t="s">
        <v>291</v>
      </c>
      <c r="G93" s="7" t="n">
        <v>18</v>
      </c>
      <c r="H93" s="10" t="s">
        <v>775</v>
      </c>
      <c r="I93" s="10" t="s">
        <v>127</v>
      </c>
      <c r="J93" s="10" t="s">
        <v>128</v>
      </c>
      <c r="K93" s="7" t="n">
        <v>15</v>
      </c>
      <c r="L93" s="7" t="n">
        <v>100</v>
      </c>
      <c r="M93" s="7" t="n">
        <v>7</v>
      </c>
      <c r="N93" s="7" t="n">
        <v>14</v>
      </c>
      <c r="O93" s="7" t="n">
        <v>6</v>
      </c>
      <c r="P93" s="8" t="n">
        <v>15.7375091430161</v>
      </c>
      <c r="Q93" s="9" t="n">
        <v>0.0635424571266269</v>
      </c>
      <c r="R93" s="8" t="n">
        <v>8.5</v>
      </c>
      <c r="S93" s="12" t="n">
        <f aca="false">IF(AND(ISNUMBER(R93),R93&gt;1,P93&gt;0),R93/P93-1,"")</f>
        <v>-0.459889114423671</v>
      </c>
    </row>
    <row r="94" customFormat="false" ht="15" hidden="false" customHeight="false" outlineLevel="0" collapsed="false">
      <c r="A94" s="10" t="s">
        <v>165</v>
      </c>
      <c r="B94" s="10" t="s">
        <v>57</v>
      </c>
      <c r="C94" s="10" t="s">
        <v>166</v>
      </c>
      <c r="D94" s="10"/>
      <c r="E94" s="11" t="n">
        <v>19</v>
      </c>
      <c r="F94" s="10" t="s">
        <v>291</v>
      </c>
      <c r="G94" s="7" t="n">
        <v>18</v>
      </c>
      <c r="H94" s="10" t="s">
        <v>776</v>
      </c>
      <c r="I94" s="10" t="s">
        <v>777</v>
      </c>
      <c r="J94" s="10" t="s">
        <v>578</v>
      </c>
      <c r="K94" s="7" t="n">
        <v>2</v>
      </c>
      <c r="L94" s="7" t="n">
        <v>110</v>
      </c>
      <c r="M94" s="7" t="n">
        <v>6</v>
      </c>
      <c r="N94" s="7" t="n">
        <v>59</v>
      </c>
      <c r="O94" s="7" t="n">
        <v>7</v>
      </c>
      <c r="P94" s="8" t="n">
        <v>17.3993918210818</v>
      </c>
      <c r="Q94" s="9" t="n">
        <v>0.0574732732202948</v>
      </c>
      <c r="R94" s="8" t="n">
        <v>26</v>
      </c>
      <c r="S94" s="12" t="n">
        <f aca="false">IF(AND(ISNUMBER(R94),R94&gt;1,P94&gt;0),R94/P94-1,"")</f>
        <v>0.494305103727667</v>
      </c>
    </row>
    <row r="95" customFormat="false" ht="15" hidden="false" customHeight="false" outlineLevel="0" collapsed="false">
      <c r="A95" s="10" t="s">
        <v>165</v>
      </c>
      <c r="B95" s="10" t="s">
        <v>57</v>
      </c>
      <c r="C95" s="10" t="s">
        <v>166</v>
      </c>
      <c r="D95" s="10"/>
      <c r="E95" s="11" t="n">
        <v>19</v>
      </c>
      <c r="F95" s="10" t="s">
        <v>291</v>
      </c>
      <c r="G95" s="7" t="n">
        <v>18</v>
      </c>
      <c r="H95" s="10" t="s">
        <v>778</v>
      </c>
      <c r="I95" s="10" t="s">
        <v>646</v>
      </c>
      <c r="J95" s="10" t="s">
        <v>468</v>
      </c>
      <c r="K95" s="7" t="n">
        <v>10</v>
      </c>
      <c r="L95" s="7" t="n">
        <v>103</v>
      </c>
      <c r="M95" s="7" t="n">
        <v>10</v>
      </c>
      <c r="N95" s="7" t="n">
        <v>36</v>
      </c>
      <c r="O95" s="7" t="n">
        <v>8</v>
      </c>
      <c r="P95" s="8" t="n">
        <v>18.2888137913481</v>
      </c>
      <c r="Q95" s="9" t="n">
        <v>0.0546782318092751</v>
      </c>
      <c r="R95" s="8" t="n">
        <v>7.5</v>
      </c>
      <c r="S95" s="12" t="n">
        <f aca="false">IF(AND(ISNUMBER(R95),R95&gt;1,P95&gt;0),R95/P95-1,"")</f>
        <v>-0.589913261430436</v>
      </c>
    </row>
    <row r="96" customFormat="false" ht="15" hidden="false" customHeight="false" outlineLevel="0" collapsed="false">
      <c r="A96" s="10" t="s">
        <v>165</v>
      </c>
      <c r="B96" s="10" t="s">
        <v>57</v>
      </c>
      <c r="C96" s="10" t="s">
        <v>166</v>
      </c>
      <c r="D96" s="10"/>
      <c r="E96" s="11" t="n">
        <v>19</v>
      </c>
      <c r="F96" s="10" t="s">
        <v>291</v>
      </c>
      <c r="G96" s="7" t="n">
        <v>18</v>
      </c>
      <c r="H96" s="10" t="s">
        <v>779</v>
      </c>
      <c r="I96" s="10" t="s">
        <v>629</v>
      </c>
      <c r="J96" s="10" t="s">
        <v>468</v>
      </c>
      <c r="K96" s="7" t="n">
        <v>9</v>
      </c>
      <c r="L96" s="7" t="n">
        <v>103</v>
      </c>
      <c r="M96" s="7" t="n">
        <v>6</v>
      </c>
      <c r="N96" s="7" t="n">
        <v>22</v>
      </c>
      <c r="O96" s="7" t="n">
        <v>9</v>
      </c>
      <c r="P96" s="8" t="n">
        <v>22.8761669789169</v>
      </c>
      <c r="Q96" s="9" t="n">
        <v>0.043713616923745</v>
      </c>
      <c r="R96" s="8" t="n">
        <v>13</v>
      </c>
      <c r="S96" s="12" t="n">
        <f aca="false">IF(AND(ISNUMBER(R96),R96&gt;1,P96&gt;0),R96/P96-1,"")</f>
        <v>-0.431722979991314</v>
      </c>
    </row>
    <row r="97" customFormat="false" ht="15" hidden="false" customHeight="false" outlineLevel="0" collapsed="false">
      <c r="A97" s="10" t="s">
        <v>165</v>
      </c>
      <c r="B97" s="10" t="s">
        <v>57</v>
      </c>
      <c r="C97" s="10" t="s">
        <v>166</v>
      </c>
      <c r="D97" s="10"/>
      <c r="E97" s="11" t="n">
        <v>19</v>
      </c>
      <c r="F97" s="10" t="s">
        <v>291</v>
      </c>
      <c r="G97" s="7" t="n">
        <v>18</v>
      </c>
      <c r="H97" s="10" t="s">
        <v>780</v>
      </c>
      <c r="I97" s="10" t="s">
        <v>371</v>
      </c>
      <c r="J97" s="10" t="s">
        <v>772</v>
      </c>
      <c r="K97" s="7" t="n">
        <v>13</v>
      </c>
      <c r="L97" s="7" t="n">
        <v>100</v>
      </c>
      <c r="M97" s="7" t="n">
        <v>7</v>
      </c>
      <c r="N97" s="7" t="n">
        <v>28</v>
      </c>
      <c r="O97" s="7" t="n">
        <v>10</v>
      </c>
      <c r="P97" s="8" t="n">
        <v>23.0360580396713</v>
      </c>
      <c r="Q97" s="9" t="n">
        <v>0.0434102049177798</v>
      </c>
      <c r="R97" s="8" t="n">
        <v>13</v>
      </c>
      <c r="S97" s="12" t="n">
        <f aca="false">IF(AND(ISNUMBER(R97),R97&gt;1,P97&gt;0),R97/P97-1,"")</f>
        <v>-0.435667336068862</v>
      </c>
    </row>
    <row r="98" customFormat="false" ht="15" hidden="false" customHeight="false" outlineLevel="0" collapsed="false">
      <c r="A98" s="10" t="s">
        <v>165</v>
      </c>
      <c r="B98" s="10" t="s">
        <v>57</v>
      </c>
      <c r="C98" s="10" t="s">
        <v>166</v>
      </c>
      <c r="D98" s="10"/>
      <c r="E98" s="11" t="n">
        <v>19</v>
      </c>
      <c r="F98" s="10" t="s">
        <v>291</v>
      </c>
      <c r="G98" s="7" t="n">
        <v>18</v>
      </c>
      <c r="H98" s="10" t="s">
        <v>781</v>
      </c>
      <c r="I98" s="10" t="s">
        <v>389</v>
      </c>
      <c r="J98" s="10" t="s">
        <v>782</v>
      </c>
      <c r="K98" s="7" t="n">
        <v>6</v>
      </c>
      <c r="L98" s="7" t="n">
        <v>104</v>
      </c>
      <c r="M98" s="7" t="n">
        <v>7</v>
      </c>
      <c r="N98" s="7" t="n">
        <v>149</v>
      </c>
      <c r="O98" s="7" t="n">
        <v>11</v>
      </c>
      <c r="P98" s="8" t="n">
        <v>23.6704248731126</v>
      </c>
      <c r="Q98" s="9" t="n">
        <v>0.0422468124404437</v>
      </c>
      <c r="R98" s="8" t="n">
        <v>15</v>
      </c>
      <c r="S98" s="12" t="n">
        <f aca="false">IF(AND(ISNUMBER(R98),R98&gt;1,P98&gt;0),R98/P98-1,"")</f>
        <v>-0.366297813393344</v>
      </c>
    </row>
    <row r="99" customFormat="false" ht="15" hidden="false" customHeight="false" outlineLevel="0" collapsed="false">
      <c r="A99" s="10" t="s">
        <v>165</v>
      </c>
      <c r="B99" s="10" t="s">
        <v>57</v>
      </c>
      <c r="C99" s="10" t="s">
        <v>166</v>
      </c>
      <c r="D99" s="10"/>
      <c r="E99" s="11" t="n">
        <v>19</v>
      </c>
      <c r="F99" s="10" t="s">
        <v>291</v>
      </c>
      <c r="G99" s="7" t="n">
        <v>18</v>
      </c>
      <c r="H99" s="10" t="s">
        <v>783</v>
      </c>
      <c r="I99" s="10" t="s">
        <v>652</v>
      </c>
      <c r="J99" s="10" t="s">
        <v>647</v>
      </c>
      <c r="K99" s="7" t="n">
        <v>5</v>
      </c>
      <c r="L99" s="7" t="n">
        <v>107</v>
      </c>
      <c r="M99" s="7" t="n">
        <v>6</v>
      </c>
      <c r="N99" s="7" t="n">
        <v>21</v>
      </c>
      <c r="O99" s="7" t="n">
        <v>12</v>
      </c>
      <c r="P99" s="8" t="n">
        <v>26.7733452475868</v>
      </c>
      <c r="Q99" s="9" t="n">
        <v>0.0373505809883856</v>
      </c>
      <c r="R99" s="8" t="n">
        <v>15</v>
      </c>
      <c r="S99" s="12" t="n">
        <f aca="false">IF(AND(ISNUMBER(R99),R99&gt;1,P99&gt;0),R99/P99-1,"")</f>
        <v>-0.439741285174215</v>
      </c>
    </row>
    <row r="100" customFormat="false" ht="15" hidden="false" customHeight="false" outlineLevel="0" collapsed="false">
      <c r="A100" s="10" t="s">
        <v>165</v>
      </c>
      <c r="B100" s="10" t="s">
        <v>57</v>
      </c>
      <c r="C100" s="10" t="s">
        <v>166</v>
      </c>
      <c r="D100" s="10"/>
      <c r="E100" s="11" t="n">
        <v>19</v>
      </c>
      <c r="F100" s="10" t="s">
        <v>291</v>
      </c>
      <c r="G100" s="7" t="n">
        <v>18</v>
      </c>
      <c r="H100" s="10" t="s">
        <v>784</v>
      </c>
      <c r="I100" s="10" t="s">
        <v>360</v>
      </c>
      <c r="J100" s="10" t="s">
        <v>146</v>
      </c>
      <c r="K100" s="7" t="n">
        <v>14</v>
      </c>
      <c r="L100" s="7" t="n">
        <v>100</v>
      </c>
      <c r="M100" s="7" t="n">
        <v>11</v>
      </c>
      <c r="N100" s="7" t="n">
        <v>21</v>
      </c>
      <c r="O100" s="7" t="n">
        <v>13</v>
      </c>
      <c r="P100" s="8" t="n">
        <v>38.0074415305422</v>
      </c>
      <c r="Q100" s="9" t="n">
        <v>0.0263106370681756</v>
      </c>
      <c r="R100" s="8" t="n">
        <v>26</v>
      </c>
      <c r="S100" s="12" t="n">
        <f aca="false">IF(AND(ISNUMBER(R100),R100&gt;1,P100&gt;0),R100/P100-1,"")</f>
        <v>-0.315923436227434</v>
      </c>
    </row>
    <row r="101" customFormat="false" ht="15" hidden="false" customHeight="false" outlineLevel="0" collapsed="false">
      <c r="A101" s="10" t="s">
        <v>165</v>
      </c>
      <c r="B101" s="10" t="s">
        <v>57</v>
      </c>
      <c r="C101" s="10" t="s">
        <v>166</v>
      </c>
      <c r="D101" s="10"/>
      <c r="E101" s="11" t="n">
        <v>19</v>
      </c>
      <c r="F101" s="10" t="s">
        <v>291</v>
      </c>
      <c r="G101" s="7" t="n">
        <v>18</v>
      </c>
      <c r="H101" s="10" t="s">
        <v>785</v>
      </c>
      <c r="I101" s="10" t="s">
        <v>358</v>
      </c>
      <c r="J101" s="10" t="s">
        <v>786</v>
      </c>
      <c r="K101" s="7" t="n">
        <v>17</v>
      </c>
      <c r="L101" s="7" t="n">
        <v>97</v>
      </c>
      <c r="M101" s="7" t="n">
        <v>5</v>
      </c>
      <c r="N101" s="7" t="n">
        <v>2</v>
      </c>
      <c r="O101" s="7" t="n">
        <v>14</v>
      </c>
      <c r="P101" s="8" t="n">
        <v>39.1117576835815</v>
      </c>
      <c r="Q101" s="9" t="n">
        <v>0.0255677591401059</v>
      </c>
      <c r="R101" s="8" t="n">
        <v>13</v>
      </c>
      <c r="S101" s="12" t="n">
        <f aca="false">IF(AND(ISNUMBER(R101),R101&gt;1,P101&gt;0),R101/P101-1,"")</f>
        <v>-0.667619131178623</v>
      </c>
    </row>
    <row r="102" customFormat="false" ht="15" hidden="false" customHeight="false" outlineLevel="0" collapsed="false">
      <c r="A102" s="10" t="s">
        <v>165</v>
      </c>
      <c r="B102" s="10" t="s">
        <v>57</v>
      </c>
      <c r="C102" s="10" t="s">
        <v>166</v>
      </c>
      <c r="D102" s="10"/>
      <c r="E102" s="11" t="n">
        <v>19</v>
      </c>
      <c r="F102" s="10" t="s">
        <v>291</v>
      </c>
      <c r="G102" s="7" t="n">
        <v>18</v>
      </c>
      <c r="H102" s="10" t="s">
        <v>787</v>
      </c>
      <c r="I102" s="10" t="s">
        <v>358</v>
      </c>
      <c r="J102" s="10" t="s">
        <v>484</v>
      </c>
      <c r="K102" s="7" t="n">
        <v>16</v>
      </c>
      <c r="L102" s="7" t="n">
        <v>99</v>
      </c>
      <c r="M102" s="7" t="n">
        <v>9</v>
      </c>
      <c r="N102" s="7" t="n">
        <v>28</v>
      </c>
      <c r="O102" s="7" t="n">
        <v>15</v>
      </c>
      <c r="P102" s="8" t="n">
        <v>50.638497340807</v>
      </c>
      <c r="Q102" s="9" t="n">
        <v>0.0197478213713531</v>
      </c>
      <c r="R102" s="8" t="n">
        <v>29</v>
      </c>
      <c r="S102" s="12" t="n">
        <f aca="false">IF(AND(ISNUMBER(R102),R102&gt;1,P102&gt;0),R102/P102-1,"")</f>
        <v>-0.427313180230758</v>
      </c>
    </row>
    <row r="103" customFormat="false" ht="15" hidden="false" customHeight="false" outlineLevel="0" collapsed="false">
      <c r="A103" s="10" t="s">
        <v>165</v>
      </c>
      <c r="B103" s="10" t="s">
        <v>57</v>
      </c>
      <c r="C103" s="10" t="s">
        <v>166</v>
      </c>
      <c r="D103" s="10"/>
      <c r="E103" s="11" t="n">
        <v>19</v>
      </c>
      <c r="F103" s="10" t="s">
        <v>291</v>
      </c>
      <c r="G103" s="7" t="n">
        <v>18</v>
      </c>
      <c r="H103" s="10" t="s">
        <v>788</v>
      </c>
      <c r="I103" s="10" t="s">
        <v>789</v>
      </c>
      <c r="J103" s="10" t="s">
        <v>468</v>
      </c>
      <c r="K103" s="7" t="n">
        <v>7</v>
      </c>
      <c r="L103" s="7" t="n">
        <v>104</v>
      </c>
      <c r="M103" s="7" t="n">
        <v>11</v>
      </c>
      <c r="N103" s="7" t="n">
        <v>59</v>
      </c>
      <c r="O103" s="7" t="n">
        <v>16</v>
      </c>
      <c r="P103" s="8" t="n">
        <v>72.520397413304</v>
      </c>
      <c r="Q103" s="9" t="n">
        <v>0.0137892239379337</v>
      </c>
      <c r="R103" s="8" t="n">
        <v>19</v>
      </c>
      <c r="S103" s="12" t="n">
        <f aca="false">IF(AND(ISNUMBER(R103),R103&gt;1,P103&gt;0),R103/P103-1,"")</f>
        <v>-0.738004745179259</v>
      </c>
    </row>
    <row r="104" customFormat="false" ht="15" hidden="false" customHeight="false" outlineLevel="0" collapsed="false">
      <c r="A104" s="10" t="s">
        <v>165</v>
      </c>
      <c r="B104" s="10" t="s">
        <v>57</v>
      </c>
      <c r="C104" s="10" t="s">
        <v>166</v>
      </c>
      <c r="D104" s="10"/>
      <c r="E104" s="11" t="n">
        <v>19</v>
      </c>
      <c r="F104" s="10" t="s">
        <v>291</v>
      </c>
      <c r="G104" s="7" t="n">
        <v>18</v>
      </c>
      <c r="H104" s="10" t="s">
        <v>790</v>
      </c>
      <c r="I104" s="10" t="s">
        <v>358</v>
      </c>
      <c r="J104" s="10" t="s">
        <v>791</v>
      </c>
      <c r="K104" s="7" t="n">
        <v>18</v>
      </c>
      <c r="L104" s="7" t="n">
        <v>96</v>
      </c>
      <c r="M104" s="7" t="n">
        <v>7</v>
      </c>
      <c r="N104" s="7" t="n">
        <v>18</v>
      </c>
      <c r="O104" s="7" t="n">
        <v>17</v>
      </c>
      <c r="P104" s="8" t="n">
        <v>81.4711688807162</v>
      </c>
      <c r="Q104" s="9" t="n">
        <v>0.012274280751564</v>
      </c>
      <c r="R104" s="8" t="n">
        <v>29</v>
      </c>
      <c r="S104" s="12" t="n">
        <f aca="false">IF(AND(ISNUMBER(R104),R104&gt;1,P104&gt;0),R104/P104-1,"")</f>
        <v>-0.644045858204642</v>
      </c>
    </row>
    <row r="105" customFormat="false" ht="15" hidden="false" customHeight="false" outlineLevel="0" collapsed="false">
      <c r="A105" s="10" t="s">
        <v>165</v>
      </c>
      <c r="B105" s="10" t="s">
        <v>57</v>
      </c>
      <c r="C105" s="10" t="s">
        <v>166</v>
      </c>
      <c r="D105" s="10"/>
      <c r="E105" s="11" t="n">
        <v>19</v>
      </c>
      <c r="F105" s="10" t="s">
        <v>291</v>
      </c>
      <c r="G105" s="7" t="n">
        <v>18</v>
      </c>
      <c r="H105" s="10" t="s">
        <v>792</v>
      </c>
      <c r="I105" s="10" t="s">
        <v>793</v>
      </c>
      <c r="J105" s="10" t="s">
        <v>794</v>
      </c>
      <c r="K105" s="7" t="n">
        <v>11</v>
      </c>
      <c r="L105" s="7" t="n">
        <v>102</v>
      </c>
      <c r="M105" s="7" t="n">
        <v>10</v>
      </c>
      <c r="N105" s="7" t="n">
        <v>43</v>
      </c>
      <c r="O105" s="7" t="n">
        <v>18</v>
      </c>
      <c r="P105" s="8" t="n">
        <v>83.1405253977991</v>
      </c>
      <c r="Q105" s="9" t="n">
        <v>0.0120278287299165</v>
      </c>
      <c r="R105" s="8" t="n">
        <v>26</v>
      </c>
      <c r="S105" s="12" t="n">
        <f aca="false">IF(AND(ISNUMBER(R105),R105&gt;1,P105&gt;0),R105/P105-1,"")</f>
        <v>-0.687276453022171</v>
      </c>
    </row>
    <row r="106" customFormat="false" ht="15" hidden="false" customHeight="false" outlineLevel="0" collapsed="false">
      <c r="A106" s="10" t="s">
        <v>187</v>
      </c>
      <c r="B106" s="10" t="s">
        <v>57</v>
      </c>
      <c r="C106" s="10" t="s">
        <v>188</v>
      </c>
      <c r="D106" s="10"/>
      <c r="E106" s="11" t="n">
        <v>16</v>
      </c>
      <c r="F106" s="10" t="s">
        <v>291</v>
      </c>
      <c r="G106" s="7" t="n">
        <v>17</v>
      </c>
      <c r="H106" s="10" t="s">
        <v>189</v>
      </c>
      <c r="I106" s="10" t="s">
        <v>190</v>
      </c>
      <c r="J106" s="10" t="s">
        <v>191</v>
      </c>
      <c r="K106" s="7" t="n">
        <v>14</v>
      </c>
      <c r="L106" s="7" t="n">
        <v>0</v>
      </c>
      <c r="M106" s="7" t="n">
        <v>4</v>
      </c>
      <c r="N106" s="7" t="n">
        <v>32</v>
      </c>
      <c r="O106" s="7" t="n">
        <v>1</v>
      </c>
      <c r="P106" s="8" t="n">
        <v>3.73924560981985</v>
      </c>
      <c r="Q106" s="9" t="n">
        <v>0.26743362280719</v>
      </c>
      <c r="R106" s="8" t="n">
        <v>5</v>
      </c>
      <c r="S106" s="12" t="n">
        <f aca="false">IF(AND(ISNUMBER(R106),R106&gt;1,P106&gt;0),R106/P106-1,"")</f>
        <v>0.337168114035948</v>
      </c>
    </row>
    <row r="107" customFormat="false" ht="15" hidden="false" customHeight="false" outlineLevel="0" collapsed="false">
      <c r="A107" s="10" t="s">
        <v>187</v>
      </c>
      <c r="B107" s="10" t="s">
        <v>57</v>
      </c>
      <c r="C107" s="10" t="s">
        <v>188</v>
      </c>
      <c r="D107" s="10"/>
      <c r="E107" s="11" t="n">
        <v>16</v>
      </c>
      <c r="F107" s="10" t="s">
        <v>291</v>
      </c>
      <c r="G107" s="7" t="n">
        <v>17</v>
      </c>
      <c r="H107" s="10" t="s">
        <v>192</v>
      </c>
      <c r="I107" s="10" t="s">
        <v>214</v>
      </c>
      <c r="J107" s="10" t="s">
        <v>61</v>
      </c>
      <c r="K107" s="7" t="n">
        <v>5</v>
      </c>
      <c r="L107" s="7" t="n">
        <v>0</v>
      </c>
      <c r="M107" s="7" t="n">
        <v>5</v>
      </c>
      <c r="N107" s="7" t="n">
        <v>22</v>
      </c>
      <c r="O107" s="7" t="n">
        <v>2</v>
      </c>
      <c r="P107" s="8" t="n">
        <v>7.00225051587416</v>
      </c>
      <c r="Q107" s="9" t="n">
        <v>0.14281122872325</v>
      </c>
      <c r="R107" s="8" t="n">
        <v>5</v>
      </c>
      <c r="S107" s="12" t="n">
        <f aca="false">IF(AND(ISNUMBER(R107),R107&gt;1,P107&gt;0),R107/P107-1,"")</f>
        <v>-0.28594385638375</v>
      </c>
    </row>
    <row r="108" customFormat="false" ht="15" hidden="false" customHeight="false" outlineLevel="0" collapsed="false">
      <c r="A108" s="10" t="s">
        <v>187</v>
      </c>
      <c r="B108" s="10" t="s">
        <v>57</v>
      </c>
      <c r="C108" s="10" t="s">
        <v>188</v>
      </c>
      <c r="D108" s="10"/>
      <c r="E108" s="11" t="n">
        <v>16</v>
      </c>
      <c r="F108" s="10" t="s">
        <v>291</v>
      </c>
      <c r="G108" s="7" t="n">
        <v>17</v>
      </c>
      <c r="H108" s="10" t="s">
        <v>841</v>
      </c>
      <c r="I108" s="10" t="s">
        <v>842</v>
      </c>
      <c r="J108" s="10" t="s">
        <v>128</v>
      </c>
      <c r="K108" s="7" t="n">
        <v>10</v>
      </c>
      <c r="L108" s="7" t="n">
        <v>0</v>
      </c>
      <c r="M108" s="7" t="n">
        <v>5</v>
      </c>
      <c r="N108" s="7" t="n">
        <v>192</v>
      </c>
      <c r="O108" s="7" t="n">
        <v>3</v>
      </c>
      <c r="P108" s="8" t="n">
        <v>7.92044338130748</v>
      </c>
      <c r="Q108" s="9" t="n">
        <v>0.126255558162316</v>
      </c>
      <c r="R108" s="8" t="n">
        <v>3.25</v>
      </c>
      <c r="S108" s="12" t="n">
        <f aca="false">IF(AND(ISNUMBER(R108),R108&gt;1,P108&gt;0),R108/P108-1,"")</f>
        <v>-0.589669435972472</v>
      </c>
    </row>
    <row r="109" customFormat="false" ht="15" hidden="false" customHeight="false" outlineLevel="0" collapsed="false">
      <c r="A109" s="10" t="s">
        <v>187</v>
      </c>
      <c r="B109" s="10" t="s">
        <v>57</v>
      </c>
      <c r="C109" s="10" t="s">
        <v>188</v>
      </c>
      <c r="D109" s="10"/>
      <c r="E109" s="11" t="n">
        <v>16</v>
      </c>
      <c r="F109" s="10" t="s">
        <v>291</v>
      </c>
      <c r="G109" s="7" t="n">
        <v>17</v>
      </c>
      <c r="H109" s="10" t="s">
        <v>843</v>
      </c>
      <c r="I109" s="10" t="s">
        <v>844</v>
      </c>
      <c r="J109" s="10" t="s">
        <v>565</v>
      </c>
      <c r="K109" s="7" t="n">
        <v>11</v>
      </c>
      <c r="L109" s="7" t="n">
        <v>0</v>
      </c>
      <c r="M109" s="7" t="n">
        <v>4</v>
      </c>
      <c r="N109" s="7" t="n">
        <v>28</v>
      </c>
      <c r="O109" s="7" t="n">
        <v>4</v>
      </c>
      <c r="P109" s="8" t="n">
        <v>9.68067764045701</v>
      </c>
      <c r="Q109" s="9" t="n">
        <v>0.103298553793471</v>
      </c>
      <c r="R109" s="8" t="n">
        <v>12</v>
      </c>
      <c r="S109" s="12" t="n">
        <f aca="false">IF(AND(ISNUMBER(R109),R109&gt;1,P109&gt;0),R109/P109-1,"")</f>
        <v>0.239582645521651</v>
      </c>
    </row>
    <row r="110" customFormat="false" ht="15" hidden="false" customHeight="false" outlineLevel="0" collapsed="false">
      <c r="A110" s="10" t="s">
        <v>187</v>
      </c>
      <c r="B110" s="10" t="s">
        <v>57</v>
      </c>
      <c r="C110" s="10" t="s">
        <v>188</v>
      </c>
      <c r="D110" s="10"/>
      <c r="E110" s="11" t="n">
        <v>16</v>
      </c>
      <c r="F110" s="10" t="s">
        <v>291</v>
      </c>
      <c r="G110" s="7" t="n">
        <v>17</v>
      </c>
      <c r="H110" s="10" t="s">
        <v>845</v>
      </c>
      <c r="I110" s="10" t="s">
        <v>358</v>
      </c>
      <c r="J110" s="10" t="s">
        <v>647</v>
      </c>
      <c r="K110" s="7" t="n">
        <v>15</v>
      </c>
      <c r="L110" s="7" t="n">
        <v>0</v>
      </c>
      <c r="M110" s="7" t="n">
        <v>4</v>
      </c>
      <c r="N110" s="7" t="n">
        <v>150</v>
      </c>
      <c r="O110" s="7" t="n">
        <v>5</v>
      </c>
      <c r="P110" s="8" t="n">
        <v>13.5775954155189</v>
      </c>
      <c r="Q110" s="9" t="n">
        <v>0.0736507436992136</v>
      </c>
      <c r="R110" s="8" t="n">
        <v>9</v>
      </c>
      <c r="S110" s="12" t="n">
        <f aca="false">IF(AND(ISNUMBER(R110),R110&gt;1,P110&gt;0),R110/P110-1,"")</f>
        <v>-0.337143306707077</v>
      </c>
    </row>
    <row r="111" customFormat="false" ht="15" hidden="false" customHeight="false" outlineLevel="0" collapsed="false">
      <c r="A111" s="10" t="s">
        <v>187</v>
      </c>
      <c r="B111" s="10" t="s">
        <v>57</v>
      </c>
      <c r="C111" s="10" t="s">
        <v>188</v>
      </c>
      <c r="D111" s="10"/>
      <c r="E111" s="11" t="n">
        <v>16</v>
      </c>
      <c r="F111" s="10" t="s">
        <v>291</v>
      </c>
      <c r="G111" s="7" t="n">
        <v>17</v>
      </c>
      <c r="H111" s="10" t="s">
        <v>846</v>
      </c>
      <c r="I111" s="10" t="s">
        <v>847</v>
      </c>
      <c r="J111" s="10" t="s">
        <v>848</v>
      </c>
      <c r="K111" s="7" t="n">
        <v>3</v>
      </c>
      <c r="L111" s="7" t="n">
        <v>0</v>
      </c>
      <c r="M111" s="7" t="n">
        <v>7</v>
      </c>
      <c r="N111" s="7" t="n">
        <v>18</v>
      </c>
      <c r="O111" s="7" t="n">
        <v>6</v>
      </c>
      <c r="P111" s="8" t="n">
        <v>15.815312330439</v>
      </c>
      <c r="Q111" s="9" t="n">
        <v>0.0632298609794349</v>
      </c>
      <c r="R111" s="8" t="n">
        <v>29</v>
      </c>
      <c r="S111" s="12" t="n">
        <f aca="false">IF(AND(ISNUMBER(R111),R111&gt;1,P111&gt;0),R111/P111-1,"")</f>
        <v>0.833665968403613</v>
      </c>
    </row>
    <row r="112" customFormat="false" ht="15" hidden="false" customHeight="false" outlineLevel="0" collapsed="false">
      <c r="A112" s="10" t="s">
        <v>187</v>
      </c>
      <c r="B112" s="10" t="s">
        <v>57</v>
      </c>
      <c r="C112" s="10" t="s">
        <v>188</v>
      </c>
      <c r="D112" s="10"/>
      <c r="E112" s="11" t="n">
        <v>16</v>
      </c>
      <c r="F112" s="10" t="s">
        <v>291</v>
      </c>
      <c r="G112" s="7" t="n">
        <v>17</v>
      </c>
      <c r="H112" s="10" t="s">
        <v>849</v>
      </c>
      <c r="I112" s="10" t="s">
        <v>850</v>
      </c>
      <c r="J112" s="10" t="s">
        <v>851</v>
      </c>
      <c r="K112" s="7" t="n">
        <v>7</v>
      </c>
      <c r="L112" s="7" t="n">
        <v>0</v>
      </c>
      <c r="M112" s="7" t="n">
        <v>5</v>
      </c>
      <c r="N112" s="7" t="n">
        <v>49</v>
      </c>
      <c r="O112" s="7" t="n">
        <v>7</v>
      </c>
      <c r="P112" s="8" t="n">
        <v>15.9288717330343</v>
      </c>
      <c r="Q112" s="9" t="n">
        <v>0.062779085471957</v>
      </c>
      <c r="R112" s="8" t="n">
        <v>4.5</v>
      </c>
      <c r="S112" s="12" t="n">
        <f aca="false">IF(AND(ISNUMBER(R112),R112&gt;1,P112&gt;0),R112/P112-1,"")</f>
        <v>-0.717494115376193</v>
      </c>
    </row>
    <row r="113" customFormat="false" ht="15" hidden="false" customHeight="false" outlineLevel="0" collapsed="false">
      <c r="A113" s="10" t="s">
        <v>187</v>
      </c>
      <c r="B113" s="10" t="s">
        <v>57</v>
      </c>
      <c r="C113" s="10" t="s">
        <v>188</v>
      </c>
      <c r="D113" s="10"/>
      <c r="E113" s="11" t="n">
        <v>16</v>
      </c>
      <c r="F113" s="10" t="s">
        <v>291</v>
      </c>
      <c r="G113" s="7" t="n">
        <v>17</v>
      </c>
      <c r="H113" s="10" t="s">
        <v>852</v>
      </c>
      <c r="I113" s="10" t="s">
        <v>853</v>
      </c>
      <c r="J113" s="10" t="s">
        <v>854</v>
      </c>
      <c r="K113" s="7" t="n">
        <v>1</v>
      </c>
      <c r="L113" s="7" t="n">
        <v>0</v>
      </c>
      <c r="M113" s="7" t="n">
        <v>6</v>
      </c>
      <c r="N113" s="7" t="n">
        <v>18</v>
      </c>
      <c r="O113" s="7" t="n">
        <v>8</v>
      </c>
      <c r="P113" s="8" t="n">
        <v>21.574686982427</v>
      </c>
      <c r="Q113" s="9" t="n">
        <v>0.0463506145333427</v>
      </c>
      <c r="R113" s="8" t="n">
        <v>41</v>
      </c>
      <c r="S113" s="12" t="n">
        <f aca="false">IF(AND(ISNUMBER(R113),R113&gt;1,P113&gt;0),R113/P113-1,"")</f>
        <v>0.900375195867054</v>
      </c>
    </row>
    <row r="114" customFormat="false" ht="15" hidden="false" customHeight="false" outlineLevel="0" collapsed="false">
      <c r="A114" s="10" t="s">
        <v>187</v>
      </c>
      <c r="B114" s="10" t="s">
        <v>57</v>
      </c>
      <c r="C114" s="10" t="s">
        <v>188</v>
      </c>
      <c r="D114" s="10"/>
      <c r="E114" s="11" t="n">
        <v>16</v>
      </c>
      <c r="F114" s="10" t="s">
        <v>291</v>
      </c>
      <c r="G114" s="7" t="n">
        <v>17</v>
      </c>
      <c r="H114" s="10" t="s">
        <v>855</v>
      </c>
      <c r="I114" s="10" t="s">
        <v>856</v>
      </c>
      <c r="J114" s="10" t="s">
        <v>578</v>
      </c>
      <c r="K114" s="7" t="n">
        <v>9</v>
      </c>
      <c r="L114" s="7" t="n">
        <v>0</v>
      </c>
      <c r="M114" s="7" t="n">
        <v>5</v>
      </c>
      <c r="N114" s="7"/>
      <c r="O114" s="7" t="n">
        <v>9</v>
      </c>
      <c r="P114" s="8" t="n">
        <v>27.4648289011735</v>
      </c>
      <c r="Q114" s="9" t="n">
        <v>0.0364102031583117</v>
      </c>
      <c r="R114" s="8" t="n">
        <v>11</v>
      </c>
      <c r="S114" s="12" t="n">
        <f aca="false">IF(AND(ISNUMBER(R114),R114&gt;1,P114&gt;0),R114/P114-1,"")</f>
        <v>-0.599487765258571</v>
      </c>
    </row>
    <row r="115" customFormat="false" ht="15" hidden="false" customHeight="false" outlineLevel="0" collapsed="false">
      <c r="A115" s="10" t="s">
        <v>187</v>
      </c>
      <c r="B115" s="10" t="s">
        <v>57</v>
      </c>
      <c r="C115" s="10" t="s">
        <v>188</v>
      </c>
      <c r="D115" s="10"/>
      <c r="E115" s="11" t="n">
        <v>16</v>
      </c>
      <c r="F115" s="10" t="s">
        <v>291</v>
      </c>
      <c r="G115" s="7" t="n">
        <v>17</v>
      </c>
      <c r="H115" s="10" t="s">
        <v>857</v>
      </c>
      <c r="I115" s="10" t="s">
        <v>858</v>
      </c>
      <c r="J115" s="10" t="s">
        <v>146</v>
      </c>
      <c r="K115" s="7" t="n">
        <v>6</v>
      </c>
      <c r="L115" s="7" t="n">
        <v>0</v>
      </c>
      <c r="M115" s="7" t="n">
        <v>5</v>
      </c>
      <c r="N115" s="7" t="n">
        <v>35</v>
      </c>
      <c r="O115" s="7" t="n">
        <v>10</v>
      </c>
      <c r="P115" s="8" t="n">
        <v>64.0776545327129</v>
      </c>
      <c r="Q115" s="9" t="n">
        <v>0.0156060643494602</v>
      </c>
      <c r="R115" s="8" t="n">
        <v>21</v>
      </c>
      <c r="S115" s="12" t="n">
        <f aca="false">IF(AND(ISNUMBER(R115),R115&gt;1,P115&gt;0),R115/P115-1,"")</f>
        <v>-0.672272648661335</v>
      </c>
    </row>
    <row r="116" customFormat="false" ht="15" hidden="false" customHeight="false" outlineLevel="0" collapsed="false">
      <c r="A116" s="10" t="s">
        <v>187</v>
      </c>
      <c r="B116" s="10" t="s">
        <v>57</v>
      </c>
      <c r="C116" s="10" t="s">
        <v>188</v>
      </c>
      <c r="D116" s="10"/>
      <c r="E116" s="11" t="n">
        <v>16</v>
      </c>
      <c r="F116" s="10" t="s">
        <v>291</v>
      </c>
      <c r="G116" s="7" t="n">
        <v>17</v>
      </c>
      <c r="H116" s="10" t="s">
        <v>859</v>
      </c>
      <c r="I116" s="10" t="s">
        <v>860</v>
      </c>
      <c r="J116" s="10" t="s">
        <v>854</v>
      </c>
      <c r="K116" s="7" t="n">
        <v>2</v>
      </c>
      <c r="L116" s="7" t="n">
        <v>0</v>
      </c>
      <c r="M116" s="7" t="n">
        <v>5</v>
      </c>
      <c r="N116" s="7"/>
      <c r="O116" s="7" t="n">
        <v>11</v>
      </c>
      <c r="P116" s="8" t="n">
        <v>68.773243851302</v>
      </c>
      <c r="Q116" s="9" t="n">
        <v>0.0145405385001491</v>
      </c>
      <c r="R116" s="8" t="n">
        <v>81</v>
      </c>
      <c r="S116" s="12" t="n">
        <f aca="false">IF(AND(ISNUMBER(R116),R116&gt;1,P116&gt;0),R116/P116-1,"")</f>
        <v>0.177783618512079</v>
      </c>
    </row>
    <row r="117" customFormat="false" ht="15" hidden="false" customHeight="false" outlineLevel="0" collapsed="false">
      <c r="A117" s="10" t="s">
        <v>187</v>
      </c>
      <c r="B117" s="10" t="s">
        <v>57</v>
      </c>
      <c r="C117" s="10" t="s">
        <v>188</v>
      </c>
      <c r="D117" s="10"/>
      <c r="E117" s="11" t="n">
        <v>16</v>
      </c>
      <c r="F117" s="10" t="s">
        <v>291</v>
      </c>
      <c r="G117" s="7" t="n">
        <v>17</v>
      </c>
      <c r="H117" s="10" t="s">
        <v>861</v>
      </c>
      <c r="I117" s="10" t="s">
        <v>358</v>
      </c>
      <c r="J117" s="10" t="s">
        <v>392</v>
      </c>
      <c r="K117" s="7" t="n">
        <v>16</v>
      </c>
      <c r="L117" s="7" t="n">
        <v>0</v>
      </c>
      <c r="M117" s="7" t="n">
        <v>5</v>
      </c>
      <c r="N117" s="7"/>
      <c r="O117" s="7" t="n">
        <v>12</v>
      </c>
      <c r="P117" s="8" t="n">
        <v>80.8814178907059</v>
      </c>
      <c r="Q117" s="9" t="n">
        <v>0.01236377929664</v>
      </c>
      <c r="R117" s="8" t="n">
        <v>23</v>
      </c>
      <c r="S117" s="12" t="n">
        <f aca="false">IF(AND(ISNUMBER(R117),R117&gt;1,P117&gt;0),R117/P117-1,"")</f>
        <v>-0.715633076177279</v>
      </c>
    </row>
    <row r="118" customFormat="false" ht="15" hidden="false" customHeight="false" outlineLevel="0" collapsed="false">
      <c r="A118" s="10" t="s">
        <v>187</v>
      </c>
      <c r="B118" s="10" t="s">
        <v>57</v>
      </c>
      <c r="C118" s="10" t="s">
        <v>188</v>
      </c>
      <c r="D118" s="10"/>
      <c r="E118" s="11" t="n">
        <v>16</v>
      </c>
      <c r="F118" s="10" t="s">
        <v>291</v>
      </c>
      <c r="G118" s="7" t="n">
        <v>17</v>
      </c>
      <c r="H118" s="10" t="s">
        <v>862</v>
      </c>
      <c r="I118" s="10" t="s">
        <v>863</v>
      </c>
      <c r="J118" s="10" t="s">
        <v>864</v>
      </c>
      <c r="K118" s="7" t="n">
        <v>13</v>
      </c>
      <c r="L118" s="7" t="n">
        <v>0</v>
      </c>
      <c r="M118" s="7" t="n">
        <v>4</v>
      </c>
      <c r="N118" s="7"/>
      <c r="O118" s="7" t="n">
        <v>13</v>
      </c>
      <c r="P118" s="8" t="n">
        <v>83.0940725851177</v>
      </c>
      <c r="Q118" s="9" t="n">
        <v>0.0120345527531539</v>
      </c>
      <c r="R118" s="8" t="n">
        <v>67</v>
      </c>
      <c r="S118" s="12" t="n">
        <f aca="false">IF(AND(ISNUMBER(R118),R118&gt;1,P118&gt;0),R118/P118-1,"")</f>
        <v>-0.193684965538687</v>
      </c>
    </row>
    <row r="119" customFormat="false" ht="15" hidden="false" customHeight="false" outlineLevel="0" collapsed="false">
      <c r="A119" s="10" t="s">
        <v>187</v>
      </c>
      <c r="B119" s="10" t="s">
        <v>57</v>
      </c>
      <c r="C119" s="10" t="s">
        <v>188</v>
      </c>
      <c r="D119" s="10"/>
      <c r="E119" s="11" t="n">
        <v>16</v>
      </c>
      <c r="F119" s="10" t="s">
        <v>291</v>
      </c>
      <c r="G119" s="7" t="n">
        <v>17</v>
      </c>
      <c r="H119" s="10" t="s">
        <v>865</v>
      </c>
      <c r="I119" s="10" t="s">
        <v>866</v>
      </c>
      <c r="J119" s="10" t="s">
        <v>791</v>
      </c>
      <c r="K119" s="7" t="n">
        <v>8</v>
      </c>
      <c r="L119" s="7" t="n">
        <v>0</v>
      </c>
      <c r="M119" s="7" t="n">
        <v>7</v>
      </c>
      <c r="N119" s="7" t="n">
        <v>18</v>
      </c>
      <c r="O119" s="7" t="n">
        <v>14</v>
      </c>
      <c r="P119" s="8" t="n">
        <v>94.3567544204322</v>
      </c>
      <c r="Q119" s="9" t="n">
        <v>0.0105980754228174</v>
      </c>
      <c r="R119" s="8" t="n">
        <v>41</v>
      </c>
      <c r="S119" s="12" t="n">
        <f aca="false">IF(AND(ISNUMBER(R119),R119&gt;1,P119&gt;0),R119/P119-1,"")</f>
        <v>-0.565478907664486</v>
      </c>
    </row>
    <row r="120" customFormat="false" ht="15" hidden="false" customHeight="false" outlineLevel="0" collapsed="false">
      <c r="A120" s="10" t="s">
        <v>187</v>
      </c>
      <c r="B120" s="10" t="s">
        <v>57</v>
      </c>
      <c r="C120" s="10" t="s">
        <v>188</v>
      </c>
      <c r="D120" s="10"/>
      <c r="E120" s="11" t="n">
        <v>16</v>
      </c>
      <c r="F120" s="10" t="s">
        <v>291</v>
      </c>
      <c r="G120" s="7" t="n">
        <v>17</v>
      </c>
      <c r="H120" s="10" t="s">
        <v>867</v>
      </c>
      <c r="I120" s="10" t="s">
        <v>868</v>
      </c>
      <c r="J120" s="10" t="s">
        <v>869</v>
      </c>
      <c r="K120" s="7" t="n">
        <v>12</v>
      </c>
      <c r="L120" s="7" t="n">
        <v>0</v>
      </c>
      <c r="M120" s="7" t="n">
        <v>4</v>
      </c>
      <c r="N120" s="7"/>
      <c r="O120" s="7" t="n">
        <v>15</v>
      </c>
      <c r="P120" s="8" t="n">
        <v>132.694331182733</v>
      </c>
      <c r="Q120" s="9" t="n">
        <v>0.0075361169620946</v>
      </c>
      <c r="R120" s="8" t="n">
        <v>13</v>
      </c>
      <c r="S120" s="12" t="n">
        <f aca="false">IF(AND(ISNUMBER(R120),R120&gt;1,P120&gt;0),R120/P120-1,"")</f>
        <v>-0.902030479492769</v>
      </c>
    </row>
    <row r="121" customFormat="false" ht="15" hidden="false" customHeight="false" outlineLevel="0" collapsed="false">
      <c r="A121" s="10" t="s">
        <v>187</v>
      </c>
      <c r="B121" s="10" t="s">
        <v>57</v>
      </c>
      <c r="C121" s="10" t="s">
        <v>188</v>
      </c>
      <c r="D121" s="10"/>
      <c r="E121" s="11" t="n">
        <v>16</v>
      </c>
      <c r="F121" s="10" t="s">
        <v>291</v>
      </c>
      <c r="G121" s="7" t="n">
        <v>17</v>
      </c>
      <c r="H121" s="10" t="s">
        <v>870</v>
      </c>
      <c r="I121" s="10" t="s">
        <v>358</v>
      </c>
      <c r="J121" s="10" t="s">
        <v>871</v>
      </c>
      <c r="K121" s="7" t="n">
        <v>17</v>
      </c>
      <c r="L121" s="7" t="n">
        <v>0</v>
      </c>
      <c r="M121" s="7" t="n">
        <v>4</v>
      </c>
      <c r="N121" s="7" t="n">
        <v>316</v>
      </c>
      <c r="O121" s="7" t="n">
        <v>16</v>
      </c>
      <c r="P121" s="8" t="n">
        <v>368.270481936636</v>
      </c>
      <c r="Q121" s="9" t="n">
        <v>0.0027153954743841</v>
      </c>
      <c r="R121" s="8" t="n">
        <v>126</v>
      </c>
      <c r="S121" s="12" t="n">
        <f aca="false">IF(AND(ISNUMBER(R121),R121&gt;1,P121&gt;0),R121/P121-1,"")</f>
        <v>-0.657860170227601</v>
      </c>
    </row>
    <row r="122" customFormat="false" ht="15" hidden="false" customHeight="false" outlineLevel="0" collapsed="false">
      <c r="A122" s="10" t="s">
        <v>187</v>
      </c>
      <c r="B122" s="10" t="s">
        <v>57</v>
      </c>
      <c r="C122" s="10" t="s">
        <v>188</v>
      </c>
      <c r="D122" s="10"/>
      <c r="E122" s="11" t="n">
        <v>16</v>
      </c>
      <c r="F122" s="10" t="s">
        <v>291</v>
      </c>
      <c r="G122" s="7" t="n">
        <v>17</v>
      </c>
      <c r="H122" s="10" t="s">
        <v>872</v>
      </c>
      <c r="I122" s="10" t="s">
        <v>873</v>
      </c>
      <c r="J122" s="10" t="s">
        <v>874</v>
      </c>
      <c r="K122" s="7" t="n">
        <v>4</v>
      </c>
      <c r="L122" s="7" t="n">
        <v>0</v>
      </c>
      <c r="M122" s="7" t="n">
        <v>7</v>
      </c>
      <c r="N122" s="7"/>
      <c r="O122" s="7" t="n">
        <v>17</v>
      </c>
      <c r="P122" s="8" t="n">
        <v>419.110445045305</v>
      </c>
      <c r="Q122" s="9" t="n">
        <v>0.0023860059128135</v>
      </c>
      <c r="R122" s="8" t="n">
        <v>67</v>
      </c>
      <c r="S122" s="12" t="n">
        <f aca="false">IF(AND(ISNUMBER(R122),R122&gt;1,P122&gt;0),R122/P122-1,"")</f>
        <v>-0.840137603841495</v>
      </c>
    </row>
    <row r="123" customFormat="false" ht="15" hidden="false" customHeight="false" outlineLevel="0" collapsed="false">
      <c r="A123" s="10" t="s">
        <v>211</v>
      </c>
      <c r="B123" s="10" t="s">
        <v>57</v>
      </c>
      <c r="C123" s="10" t="s">
        <v>212</v>
      </c>
      <c r="D123" s="10"/>
      <c r="E123" s="11" t="n">
        <v>14</v>
      </c>
      <c r="F123" s="10" t="s">
        <v>291</v>
      </c>
      <c r="G123" s="7" t="n">
        <v>17</v>
      </c>
      <c r="H123" s="10" t="s">
        <v>213</v>
      </c>
      <c r="I123" s="10" t="s">
        <v>214</v>
      </c>
      <c r="J123" s="10" t="s">
        <v>61</v>
      </c>
      <c r="K123" s="7" t="n">
        <v>0</v>
      </c>
      <c r="L123" s="7" t="n">
        <v>0</v>
      </c>
      <c r="M123" s="7" t="n">
        <v>5</v>
      </c>
      <c r="N123" s="7" t="n">
        <v>41</v>
      </c>
      <c r="O123" s="7" t="n">
        <v>1</v>
      </c>
      <c r="P123" s="8" t="n">
        <v>2.73324469504245</v>
      </c>
      <c r="Q123" s="9" t="n">
        <v>0.365865523059021</v>
      </c>
      <c r="R123" s="8" t="n">
        <v>3.25</v>
      </c>
      <c r="S123" s="12" t="n">
        <f aca="false">IF(AND(ISNUMBER(R123),R123&gt;1,P123&gt;0),R123/P123-1,"")</f>
        <v>0.189062949941818</v>
      </c>
    </row>
    <row r="124" customFormat="false" ht="15" hidden="false" customHeight="false" outlineLevel="0" collapsed="false">
      <c r="A124" s="10" t="s">
        <v>211</v>
      </c>
      <c r="B124" s="10" t="s">
        <v>57</v>
      </c>
      <c r="C124" s="10" t="s">
        <v>212</v>
      </c>
      <c r="D124" s="10"/>
      <c r="E124" s="11" t="n">
        <v>14</v>
      </c>
      <c r="F124" s="10" t="s">
        <v>291</v>
      </c>
      <c r="G124" s="7" t="n">
        <v>17</v>
      </c>
      <c r="H124" s="10" t="s">
        <v>215</v>
      </c>
      <c r="I124" s="10" t="s">
        <v>190</v>
      </c>
      <c r="J124" s="10" t="s">
        <v>960</v>
      </c>
      <c r="K124" s="7" t="n">
        <v>0</v>
      </c>
      <c r="L124" s="7" t="n">
        <v>0</v>
      </c>
      <c r="M124" s="7" t="n">
        <v>4</v>
      </c>
      <c r="N124" s="7" t="n">
        <v>149</v>
      </c>
      <c r="O124" s="7" t="n">
        <v>2</v>
      </c>
      <c r="P124" s="8" t="n">
        <v>6.98268479303352</v>
      </c>
      <c r="Q124" s="9" t="n">
        <v>0.143211390695693</v>
      </c>
      <c r="R124" s="8" t="n">
        <v>7</v>
      </c>
      <c r="S124" s="12" t="n">
        <f aca="false">IF(AND(ISNUMBER(R124),R124&gt;1,P124&gt;0),R124/P124-1,"")</f>
        <v>0.00247973486985398</v>
      </c>
    </row>
    <row r="125" customFormat="false" ht="15" hidden="false" customHeight="false" outlineLevel="0" collapsed="false">
      <c r="A125" s="10" t="s">
        <v>211</v>
      </c>
      <c r="B125" s="10" t="s">
        <v>57</v>
      </c>
      <c r="C125" s="10" t="s">
        <v>212</v>
      </c>
      <c r="D125" s="10"/>
      <c r="E125" s="11" t="n">
        <v>14</v>
      </c>
      <c r="F125" s="10" t="s">
        <v>291</v>
      </c>
      <c r="G125" s="7" t="n">
        <v>17</v>
      </c>
      <c r="H125" s="10" t="s">
        <v>961</v>
      </c>
      <c r="I125" s="10" t="s">
        <v>847</v>
      </c>
      <c r="J125" s="10" t="s">
        <v>962</v>
      </c>
      <c r="K125" s="7" t="n">
        <v>0</v>
      </c>
      <c r="L125" s="7" t="n">
        <v>84</v>
      </c>
      <c r="M125" s="7" t="n">
        <v>12</v>
      </c>
      <c r="N125" s="7" t="n">
        <v>355</v>
      </c>
      <c r="O125" s="7" t="n">
        <v>3</v>
      </c>
      <c r="P125" s="8" t="n">
        <v>9.21715109368254</v>
      </c>
      <c r="Q125" s="9" t="n">
        <v>0.108493393439693</v>
      </c>
      <c r="R125" s="8" t="n">
        <v>8</v>
      </c>
      <c r="S125" s="12" t="n">
        <f aca="false">IF(AND(ISNUMBER(R125),R125&gt;1,P125&gt;0),R125/P125-1,"")</f>
        <v>-0.132052852482453</v>
      </c>
    </row>
    <row r="126" customFormat="false" ht="15" hidden="false" customHeight="false" outlineLevel="0" collapsed="false">
      <c r="A126" s="10" t="s">
        <v>211</v>
      </c>
      <c r="B126" s="10" t="s">
        <v>57</v>
      </c>
      <c r="C126" s="10" t="s">
        <v>212</v>
      </c>
      <c r="D126" s="10"/>
      <c r="E126" s="11" t="n">
        <v>14</v>
      </c>
      <c r="F126" s="10" t="s">
        <v>291</v>
      </c>
      <c r="G126" s="7" t="n">
        <v>17</v>
      </c>
      <c r="H126" s="10" t="s">
        <v>963</v>
      </c>
      <c r="I126" s="10" t="s">
        <v>842</v>
      </c>
      <c r="J126" s="10" t="s">
        <v>964</v>
      </c>
      <c r="K126" s="7" t="n">
        <v>0</v>
      </c>
      <c r="L126" s="7" t="n">
        <v>93</v>
      </c>
      <c r="M126" s="7" t="n">
        <v>4</v>
      </c>
      <c r="N126" s="7" t="n">
        <v>41</v>
      </c>
      <c r="O126" s="7" t="n">
        <v>4</v>
      </c>
      <c r="P126" s="8" t="n">
        <v>12.2849433399196</v>
      </c>
      <c r="Q126" s="9" t="n">
        <v>0.08140045682999</v>
      </c>
      <c r="R126" s="8" t="n">
        <v>5</v>
      </c>
      <c r="S126" s="12" t="n">
        <f aca="false">IF(AND(ISNUMBER(R126),R126&gt;1,P126&gt;0),R126/P126-1,"")</f>
        <v>-0.59299771585005</v>
      </c>
    </row>
    <row r="127" customFormat="false" ht="15" hidden="false" customHeight="false" outlineLevel="0" collapsed="false">
      <c r="A127" s="10" t="s">
        <v>211</v>
      </c>
      <c r="B127" s="10" t="s">
        <v>57</v>
      </c>
      <c r="C127" s="10" t="s">
        <v>212</v>
      </c>
      <c r="D127" s="10"/>
      <c r="E127" s="11" t="n">
        <v>14</v>
      </c>
      <c r="F127" s="10" t="s">
        <v>291</v>
      </c>
      <c r="G127" s="7" t="n">
        <v>17</v>
      </c>
      <c r="H127" s="10" t="s">
        <v>965</v>
      </c>
      <c r="I127" s="10" t="s">
        <v>844</v>
      </c>
      <c r="J127" s="10" t="s">
        <v>489</v>
      </c>
      <c r="K127" s="7" t="n">
        <v>0</v>
      </c>
      <c r="L127" s="7" t="n">
        <v>0</v>
      </c>
      <c r="M127" s="7" t="n">
        <v>5</v>
      </c>
      <c r="N127" s="7" t="n">
        <v>136</v>
      </c>
      <c r="O127" s="7" t="n">
        <v>5</v>
      </c>
      <c r="P127" s="8" t="n">
        <v>12.6729795255956</v>
      </c>
      <c r="Q127" s="9" t="n">
        <v>0.0789080419470654</v>
      </c>
      <c r="R127" s="8" t="n">
        <v>15</v>
      </c>
      <c r="S127" s="12" t="n">
        <f aca="false">IF(AND(ISNUMBER(R127),R127&gt;1,P127&gt;0),R127/P127-1,"")</f>
        <v>0.183620629205981</v>
      </c>
    </row>
    <row r="128" customFormat="false" ht="15" hidden="false" customHeight="false" outlineLevel="0" collapsed="false">
      <c r="A128" s="10" t="s">
        <v>211</v>
      </c>
      <c r="B128" s="10" t="s">
        <v>57</v>
      </c>
      <c r="C128" s="10" t="s">
        <v>212</v>
      </c>
      <c r="D128" s="10"/>
      <c r="E128" s="11" t="n">
        <v>14</v>
      </c>
      <c r="F128" s="10" t="s">
        <v>291</v>
      </c>
      <c r="G128" s="7" t="n">
        <v>17</v>
      </c>
      <c r="H128" s="10" t="s">
        <v>966</v>
      </c>
      <c r="I128" s="10" t="s">
        <v>967</v>
      </c>
      <c r="J128" s="10" t="s">
        <v>968</v>
      </c>
      <c r="K128" s="7" t="n">
        <v>0</v>
      </c>
      <c r="L128" s="7" t="n">
        <v>0</v>
      </c>
      <c r="M128" s="7" t="n">
        <v>6</v>
      </c>
      <c r="N128" s="7" t="n">
        <v>34</v>
      </c>
      <c r="O128" s="7" t="n">
        <v>6</v>
      </c>
      <c r="P128" s="8" t="n">
        <v>15.1785939686366</v>
      </c>
      <c r="Q128" s="9" t="n">
        <v>0.06588225510652</v>
      </c>
      <c r="R128" s="8" t="n">
        <v>11</v>
      </c>
      <c r="S128" s="12" t="n">
        <f aca="false">IF(AND(ISNUMBER(R128),R128&gt;1,P128&gt;0),R128/P128-1,"")</f>
        <v>-0.275295193828279</v>
      </c>
    </row>
    <row r="129" customFormat="false" ht="15" hidden="false" customHeight="false" outlineLevel="0" collapsed="false">
      <c r="A129" s="10" t="s">
        <v>211</v>
      </c>
      <c r="B129" s="10" t="s">
        <v>57</v>
      </c>
      <c r="C129" s="10" t="s">
        <v>212</v>
      </c>
      <c r="D129" s="10"/>
      <c r="E129" s="11" t="n">
        <v>14</v>
      </c>
      <c r="F129" s="10" t="s">
        <v>291</v>
      </c>
      <c r="G129" s="7" t="n">
        <v>17</v>
      </c>
      <c r="H129" s="10" t="s">
        <v>969</v>
      </c>
      <c r="I129" s="10" t="s">
        <v>554</v>
      </c>
      <c r="J129" s="10" t="s">
        <v>970</v>
      </c>
      <c r="K129" s="7" t="n">
        <v>0</v>
      </c>
      <c r="L129" s="7" t="n">
        <v>0</v>
      </c>
      <c r="M129" s="7" t="n">
        <v>8</v>
      </c>
      <c r="N129" s="7" t="n">
        <v>160</v>
      </c>
      <c r="O129" s="7" t="n">
        <v>7</v>
      </c>
      <c r="P129" s="8" t="n">
        <v>23.6989376309834</v>
      </c>
      <c r="Q129" s="9" t="n">
        <v>0.0421959842914066</v>
      </c>
      <c r="R129" s="8" t="n">
        <v>12</v>
      </c>
      <c r="S129" s="12" t="n">
        <f aca="false">IF(AND(ISNUMBER(R129),R129&gt;1,P129&gt;0),R129/P129-1,"")</f>
        <v>-0.493648188503121</v>
      </c>
    </row>
    <row r="130" customFormat="false" ht="15" hidden="false" customHeight="false" outlineLevel="0" collapsed="false">
      <c r="A130" s="10" t="s">
        <v>211</v>
      </c>
      <c r="B130" s="10" t="s">
        <v>57</v>
      </c>
      <c r="C130" s="10" t="s">
        <v>212</v>
      </c>
      <c r="D130" s="10"/>
      <c r="E130" s="11" t="n">
        <v>14</v>
      </c>
      <c r="F130" s="10" t="s">
        <v>291</v>
      </c>
      <c r="G130" s="7" t="n">
        <v>17</v>
      </c>
      <c r="H130" s="10" t="s">
        <v>971</v>
      </c>
      <c r="I130" s="10" t="s">
        <v>858</v>
      </c>
      <c r="J130" s="10" t="s">
        <v>972</v>
      </c>
      <c r="K130" s="7" t="n">
        <v>0</v>
      </c>
      <c r="L130" s="7" t="n">
        <v>0</v>
      </c>
      <c r="M130" s="7" t="n">
        <v>8</v>
      </c>
      <c r="N130" s="7" t="n">
        <v>42</v>
      </c>
      <c r="O130" s="7" t="n">
        <v>8</v>
      </c>
      <c r="P130" s="8" t="n">
        <v>28.1920372653003</v>
      </c>
      <c r="Q130" s="9" t="n">
        <v>0.0354710087316334</v>
      </c>
      <c r="R130" s="8" t="n">
        <v>12</v>
      </c>
      <c r="S130" s="12" t="n">
        <f aca="false">IF(AND(ISNUMBER(R130),R130&gt;1,P130&gt;0),R130/P130-1,"")</f>
        <v>-0.574347895220399</v>
      </c>
    </row>
    <row r="131" customFormat="false" ht="15" hidden="false" customHeight="false" outlineLevel="0" collapsed="false">
      <c r="A131" s="10" t="s">
        <v>211</v>
      </c>
      <c r="B131" s="10" t="s">
        <v>57</v>
      </c>
      <c r="C131" s="10" t="s">
        <v>212</v>
      </c>
      <c r="D131" s="10"/>
      <c r="E131" s="11" t="n">
        <v>14</v>
      </c>
      <c r="F131" s="10" t="s">
        <v>291</v>
      </c>
      <c r="G131" s="7" t="n">
        <v>17</v>
      </c>
      <c r="H131" s="10" t="s">
        <v>973</v>
      </c>
      <c r="I131" s="10" t="s">
        <v>974</v>
      </c>
      <c r="J131" s="10" t="s">
        <v>975</v>
      </c>
      <c r="K131" s="7" t="n">
        <v>0</v>
      </c>
      <c r="L131" s="7" t="n">
        <v>82</v>
      </c>
      <c r="M131" s="7" t="n">
        <v>6</v>
      </c>
      <c r="N131" s="7" t="n">
        <v>13</v>
      </c>
      <c r="O131" s="7" t="n">
        <v>9</v>
      </c>
      <c r="P131" s="8" t="n">
        <v>39.2583915259064</v>
      </c>
      <c r="Q131" s="9" t="n">
        <v>0.0254722611174761</v>
      </c>
      <c r="R131" s="8" t="n">
        <v>12</v>
      </c>
      <c r="S131" s="12" t="n">
        <f aca="false">IF(AND(ISNUMBER(R131),R131&gt;1,P131&gt;0),R131/P131-1,"")</f>
        <v>-0.694332866590287</v>
      </c>
    </row>
    <row r="132" customFormat="false" ht="15" hidden="false" customHeight="false" outlineLevel="0" collapsed="false">
      <c r="A132" s="10" t="s">
        <v>211</v>
      </c>
      <c r="B132" s="10" t="s">
        <v>57</v>
      </c>
      <c r="C132" s="10" t="s">
        <v>212</v>
      </c>
      <c r="D132" s="10"/>
      <c r="E132" s="11" t="n">
        <v>14</v>
      </c>
      <c r="F132" s="10" t="s">
        <v>291</v>
      </c>
      <c r="G132" s="7" t="n">
        <v>17</v>
      </c>
      <c r="H132" s="10" t="s">
        <v>976</v>
      </c>
      <c r="I132" s="10" t="s">
        <v>856</v>
      </c>
      <c r="J132" s="10" t="s">
        <v>977</v>
      </c>
      <c r="K132" s="7" t="n">
        <v>0</v>
      </c>
      <c r="L132" s="7" t="n">
        <v>0</v>
      </c>
      <c r="M132" s="7" t="n">
        <v>8</v>
      </c>
      <c r="N132" s="7" t="n">
        <v>24</v>
      </c>
      <c r="O132" s="7" t="n">
        <v>10</v>
      </c>
      <c r="P132" s="8" t="n">
        <v>39.3871941844846</v>
      </c>
      <c r="Q132" s="9" t="n">
        <v>0.0253889625982528</v>
      </c>
      <c r="R132" s="8" t="n">
        <v>13</v>
      </c>
      <c r="S132" s="12" t="n">
        <f aca="false">IF(AND(ISNUMBER(R132),R132&gt;1,P132&gt;0),R132/P132-1,"")</f>
        <v>-0.669943486222713</v>
      </c>
    </row>
    <row r="133" customFormat="false" ht="15" hidden="false" customHeight="false" outlineLevel="0" collapsed="false">
      <c r="A133" s="10" t="s">
        <v>211</v>
      </c>
      <c r="B133" s="10" t="s">
        <v>57</v>
      </c>
      <c r="C133" s="10" t="s">
        <v>212</v>
      </c>
      <c r="D133" s="10"/>
      <c r="E133" s="11" t="n">
        <v>14</v>
      </c>
      <c r="F133" s="10" t="s">
        <v>291</v>
      </c>
      <c r="G133" s="7" t="n">
        <v>17</v>
      </c>
      <c r="H133" s="10" t="s">
        <v>978</v>
      </c>
      <c r="I133" s="10" t="s">
        <v>979</v>
      </c>
      <c r="J133" s="10" t="s">
        <v>572</v>
      </c>
      <c r="K133" s="7" t="n">
        <v>0</v>
      </c>
      <c r="L133" s="7" t="n">
        <v>0</v>
      </c>
      <c r="M133" s="7" t="n">
        <v>9</v>
      </c>
      <c r="N133" s="7" t="n">
        <v>202</v>
      </c>
      <c r="O133" s="7" t="n">
        <v>11</v>
      </c>
      <c r="P133" s="8" t="n">
        <v>115.285614582667</v>
      </c>
      <c r="Q133" s="9" t="n">
        <v>0.0086741091125721</v>
      </c>
      <c r="R133" s="8" t="n">
        <v>26</v>
      </c>
      <c r="S133" s="12" t="n">
        <f aca="false">IF(AND(ISNUMBER(R133),R133&gt;1,P133&gt;0),R133/P133-1,"")</f>
        <v>-0.774473163073123</v>
      </c>
    </row>
    <row r="134" customFormat="false" ht="15" hidden="false" customHeight="false" outlineLevel="0" collapsed="false">
      <c r="A134" s="10" t="s">
        <v>211</v>
      </c>
      <c r="B134" s="10" t="s">
        <v>57</v>
      </c>
      <c r="C134" s="10" t="s">
        <v>212</v>
      </c>
      <c r="D134" s="10"/>
      <c r="E134" s="11" t="n">
        <v>14</v>
      </c>
      <c r="F134" s="10" t="s">
        <v>291</v>
      </c>
      <c r="G134" s="7" t="n">
        <v>17</v>
      </c>
      <c r="H134" s="10" t="s">
        <v>980</v>
      </c>
      <c r="I134" s="10" t="s">
        <v>981</v>
      </c>
      <c r="J134" s="10" t="s">
        <v>572</v>
      </c>
      <c r="K134" s="7" t="n">
        <v>0</v>
      </c>
      <c r="L134" s="7" t="n">
        <v>68</v>
      </c>
      <c r="M134" s="7" t="n">
        <v>4</v>
      </c>
      <c r="N134" s="7" t="n">
        <v>138</v>
      </c>
      <c r="O134" s="7" t="n">
        <v>12</v>
      </c>
      <c r="P134" s="8" t="n">
        <v>155.677427344208</v>
      </c>
      <c r="Q134" s="9" t="n">
        <v>0.0064235388332116</v>
      </c>
      <c r="R134" s="8" t="n">
        <v>26</v>
      </c>
      <c r="S134" s="12" t="n">
        <f aca="false">IF(AND(ISNUMBER(R134),R134&gt;1,P134&gt;0),R134/P134-1,"")</f>
        <v>-0.832987990336498</v>
      </c>
    </row>
    <row r="135" customFormat="false" ht="15" hidden="false" customHeight="false" outlineLevel="0" collapsed="false">
      <c r="A135" s="10" t="s">
        <v>211</v>
      </c>
      <c r="B135" s="10" t="s">
        <v>57</v>
      </c>
      <c r="C135" s="10" t="s">
        <v>212</v>
      </c>
      <c r="D135" s="10"/>
      <c r="E135" s="11" t="n">
        <v>14</v>
      </c>
      <c r="F135" s="10" t="s">
        <v>291</v>
      </c>
      <c r="G135" s="7" t="n">
        <v>17</v>
      </c>
      <c r="H135" s="10" t="s">
        <v>982</v>
      </c>
      <c r="I135" s="10" t="s">
        <v>983</v>
      </c>
      <c r="J135" s="10" t="s">
        <v>848</v>
      </c>
      <c r="K135" s="7" t="n">
        <v>0</v>
      </c>
      <c r="L135" s="7" t="n">
        <v>65</v>
      </c>
      <c r="M135" s="7" t="n">
        <v>6</v>
      </c>
      <c r="N135" s="7" t="n">
        <v>26</v>
      </c>
      <c r="O135" s="7" t="n">
        <v>13</v>
      </c>
      <c r="P135" s="8" t="n">
        <v>209.270103421173</v>
      </c>
      <c r="Q135" s="9" t="n">
        <v>0.0047785134314547</v>
      </c>
      <c r="R135" s="8" t="n">
        <v>41</v>
      </c>
      <c r="S135" s="12" t="n">
        <f aca="false">IF(AND(ISNUMBER(R135),R135&gt;1,P135&gt;0),R135/P135-1,"")</f>
        <v>-0.804080949310355</v>
      </c>
    </row>
    <row r="136" customFormat="false" ht="15" hidden="false" customHeight="false" outlineLevel="0" collapsed="false">
      <c r="A136" s="10" t="s">
        <v>211</v>
      </c>
      <c r="B136" s="10" t="s">
        <v>57</v>
      </c>
      <c r="C136" s="10" t="s">
        <v>212</v>
      </c>
      <c r="D136" s="10"/>
      <c r="E136" s="11" t="n">
        <v>14</v>
      </c>
      <c r="F136" s="10" t="s">
        <v>291</v>
      </c>
      <c r="G136" s="7" t="n">
        <v>17</v>
      </c>
      <c r="H136" s="10" t="s">
        <v>984</v>
      </c>
      <c r="I136" s="10" t="s">
        <v>358</v>
      </c>
      <c r="J136" s="10" t="s">
        <v>985</v>
      </c>
      <c r="K136" s="7" t="n">
        <v>0</v>
      </c>
      <c r="L136" s="7" t="n">
        <v>116</v>
      </c>
      <c r="M136" s="7" t="n">
        <v>9</v>
      </c>
      <c r="N136" s="7" t="n">
        <v>21</v>
      </c>
      <c r="O136" s="7" t="n">
        <v>14</v>
      </c>
      <c r="P136" s="8" t="n">
        <v>298.749682783343</v>
      </c>
      <c r="Q136" s="9" t="n">
        <v>0.0033472838889178</v>
      </c>
      <c r="R136" s="8" t="n">
        <v>51</v>
      </c>
      <c r="S136" s="12" t="n">
        <f aca="false">IF(AND(ISNUMBER(R136),R136&gt;1,P136&gt;0),R136/P136-1,"")</f>
        <v>-0.82928852166519</v>
      </c>
    </row>
    <row r="137" customFormat="false" ht="15" hidden="false" customHeight="false" outlineLevel="0" collapsed="false">
      <c r="A137" s="10" t="s">
        <v>211</v>
      </c>
      <c r="B137" s="10" t="s">
        <v>57</v>
      </c>
      <c r="C137" s="10" t="s">
        <v>212</v>
      </c>
      <c r="D137" s="10"/>
      <c r="E137" s="11" t="n">
        <v>14</v>
      </c>
      <c r="F137" s="10" t="s">
        <v>291</v>
      </c>
      <c r="G137" s="7" t="n">
        <v>17</v>
      </c>
      <c r="H137" s="10" t="s">
        <v>986</v>
      </c>
      <c r="I137" s="10" t="s">
        <v>987</v>
      </c>
      <c r="J137" s="10" t="s">
        <v>977</v>
      </c>
      <c r="K137" s="7" t="n">
        <v>0</v>
      </c>
      <c r="L137" s="7" t="n">
        <v>0</v>
      </c>
      <c r="M137" s="7" t="n">
        <v>5</v>
      </c>
      <c r="N137" s="7" t="n">
        <v>207</v>
      </c>
      <c r="O137" s="7" t="n">
        <v>15</v>
      </c>
      <c r="P137" s="8" t="n">
        <v>348.770672226642</v>
      </c>
      <c r="Q137" s="9" t="n">
        <v>0.0028672135578824</v>
      </c>
      <c r="R137" s="8" t="n">
        <v>101</v>
      </c>
      <c r="S137" s="12" t="n">
        <f aca="false">IF(AND(ISNUMBER(R137),R137&gt;1,P137&gt;0),R137/P137-1,"")</f>
        <v>-0.710411430653874</v>
      </c>
    </row>
    <row r="138" customFormat="false" ht="15" hidden="false" customHeight="false" outlineLevel="0" collapsed="false">
      <c r="A138" s="10" t="s">
        <v>211</v>
      </c>
      <c r="B138" s="10" t="s">
        <v>57</v>
      </c>
      <c r="C138" s="10" t="s">
        <v>212</v>
      </c>
      <c r="D138" s="10"/>
      <c r="E138" s="11" t="n">
        <v>14</v>
      </c>
      <c r="F138" s="10" t="s">
        <v>291</v>
      </c>
      <c r="G138" s="7" t="n">
        <v>17</v>
      </c>
      <c r="H138" s="10" t="s">
        <v>988</v>
      </c>
      <c r="I138" s="10" t="s">
        <v>989</v>
      </c>
      <c r="J138" s="10" t="s">
        <v>985</v>
      </c>
      <c r="K138" s="7" t="n">
        <v>0</v>
      </c>
      <c r="L138" s="7" t="n">
        <v>85</v>
      </c>
      <c r="M138" s="7" t="n">
        <v>11</v>
      </c>
      <c r="N138" s="7" t="n">
        <v>364</v>
      </c>
      <c r="O138" s="7" t="n">
        <v>16</v>
      </c>
      <c r="P138" s="8" t="n">
        <v>1030.10617936094</v>
      </c>
      <c r="Q138" s="9" t="n">
        <v>0.0009707737124928</v>
      </c>
      <c r="R138" s="8" t="n">
        <v>151</v>
      </c>
      <c r="S138" s="12" t="n">
        <f aca="false">IF(AND(ISNUMBER(R138),R138&gt;1,P138&gt;0),R138/P138-1,"")</f>
        <v>-0.853413169413586</v>
      </c>
    </row>
    <row r="139" customFormat="false" ht="15" hidden="false" customHeight="false" outlineLevel="0" collapsed="false">
      <c r="A139" s="10" t="s">
        <v>211</v>
      </c>
      <c r="B139" s="10" t="s">
        <v>57</v>
      </c>
      <c r="C139" s="10" t="s">
        <v>212</v>
      </c>
      <c r="D139" s="10"/>
      <c r="E139" s="11" t="n">
        <v>14</v>
      </c>
      <c r="F139" s="10" t="s">
        <v>291</v>
      </c>
      <c r="G139" s="7" t="n">
        <v>17</v>
      </c>
      <c r="H139" s="10" t="s">
        <v>990</v>
      </c>
      <c r="I139" s="10" t="s">
        <v>358</v>
      </c>
      <c r="J139" s="10" t="s">
        <v>991</v>
      </c>
      <c r="K139" s="7" t="n">
        <v>0</v>
      </c>
      <c r="L139" s="7" t="n">
        <v>58</v>
      </c>
      <c r="M139" s="7" t="n">
        <v>6</v>
      </c>
      <c r="N139" s="7" t="n">
        <v>63</v>
      </c>
      <c r="O139" s="7" t="n">
        <v>17</v>
      </c>
      <c r="P139" s="8" t="n">
        <v>1540.14468744053</v>
      </c>
      <c r="Q139" s="9" t="n">
        <v>0.0006492896467161</v>
      </c>
      <c r="R139" s="8" t="n">
        <v>201</v>
      </c>
      <c r="S139" s="12" t="n">
        <f aca="false">IF(AND(ISNUMBER(R139),R139&gt;1,P139&gt;0),R139/P139-1,"")</f>
        <v>-0.869492781010056</v>
      </c>
    </row>
  </sheetData>
  <autoFilter ref="A1:S139"/>
  <conditionalFormatting sqref="A2:S139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5" t="s">
        <v>26</v>
      </c>
      <c r="B1" s="5" t="s">
        <v>27</v>
      </c>
      <c r="C1" s="5" t="s">
        <v>28</v>
      </c>
      <c r="D1" s="5" t="s">
        <v>282</v>
      </c>
      <c r="E1" s="5" t="s">
        <v>283</v>
      </c>
      <c r="F1" s="5" t="s">
        <v>284</v>
      </c>
      <c r="G1" s="5" t="s">
        <v>1</v>
      </c>
      <c r="H1" s="5" t="s">
        <v>285</v>
      </c>
      <c r="I1" s="5" t="s">
        <v>30</v>
      </c>
      <c r="J1" s="5" t="s">
        <v>31</v>
      </c>
      <c r="K1" s="5" t="s">
        <v>286</v>
      </c>
      <c r="L1" s="5" t="s">
        <v>287</v>
      </c>
      <c r="M1" s="5" t="s">
        <v>288</v>
      </c>
      <c r="N1" s="5" t="s">
        <v>289</v>
      </c>
      <c r="O1" s="5" t="s">
        <v>18</v>
      </c>
      <c r="P1" s="5" t="s">
        <v>14</v>
      </c>
      <c r="Q1" s="5" t="s">
        <v>16</v>
      </c>
      <c r="R1" s="5" t="s">
        <v>20</v>
      </c>
      <c r="S1" s="5" t="s">
        <v>22</v>
      </c>
    </row>
    <row r="2" customFormat="false" ht="15" hidden="false" customHeight="false" outlineLevel="0" collapsed="false">
      <c r="A2" s="10" t="s">
        <v>69</v>
      </c>
      <c r="B2" s="10" t="s">
        <v>70</v>
      </c>
      <c r="C2" s="10" t="s">
        <v>71</v>
      </c>
      <c r="D2" s="10" t="s">
        <v>290</v>
      </c>
      <c r="E2" s="11" t="n">
        <v>10.5</v>
      </c>
      <c r="F2" s="10" t="s">
        <v>408</v>
      </c>
      <c r="G2" s="7" t="n">
        <v>9</v>
      </c>
      <c r="H2" s="10" t="s">
        <v>72</v>
      </c>
      <c r="I2" s="10" t="s">
        <v>73</v>
      </c>
      <c r="J2" s="10" t="s">
        <v>74</v>
      </c>
      <c r="K2" s="7" t="n">
        <v>1</v>
      </c>
      <c r="L2" s="7" t="n">
        <v>62</v>
      </c>
      <c r="M2" s="7" t="n">
        <v>4</v>
      </c>
      <c r="N2" s="7" t="n">
        <v>8</v>
      </c>
      <c r="O2" s="7" t="n">
        <v>1</v>
      </c>
      <c r="P2" s="8" t="n">
        <v>3.47717183836206</v>
      </c>
      <c r="Q2" s="9" t="n">
        <v>0.287590043427665</v>
      </c>
      <c r="R2" s="8" t="n">
        <v>4</v>
      </c>
      <c r="S2" s="12" t="n">
        <f aca="false">IF(AND(ISNUMBER(R2),R2&gt;1,P2&gt;0),R2/P2-1,"")</f>
        <v>0.150360173710662</v>
      </c>
    </row>
    <row r="3" customFormat="false" ht="15" hidden="false" customHeight="false" outlineLevel="0" collapsed="false">
      <c r="A3" s="10" t="s">
        <v>69</v>
      </c>
      <c r="B3" s="10" t="s">
        <v>70</v>
      </c>
      <c r="C3" s="10" t="s">
        <v>71</v>
      </c>
      <c r="D3" s="10" t="s">
        <v>290</v>
      </c>
      <c r="E3" s="11" t="n">
        <v>10.5</v>
      </c>
      <c r="F3" s="10" t="s">
        <v>408</v>
      </c>
      <c r="G3" s="7" t="n">
        <v>9</v>
      </c>
      <c r="H3" s="10" t="s">
        <v>75</v>
      </c>
      <c r="I3" s="10" t="s">
        <v>409</v>
      </c>
      <c r="J3" s="10" t="s">
        <v>330</v>
      </c>
      <c r="K3" s="7" t="n">
        <v>3</v>
      </c>
      <c r="L3" s="7" t="n">
        <v>61</v>
      </c>
      <c r="M3" s="7" t="n">
        <v>4</v>
      </c>
      <c r="N3" s="7" t="n">
        <v>14</v>
      </c>
      <c r="O3" s="7" t="n">
        <v>2</v>
      </c>
      <c r="P3" s="8" t="n">
        <v>4.04324938406888</v>
      </c>
      <c r="Q3" s="9" t="n">
        <v>0.247325827573283</v>
      </c>
      <c r="R3" s="8" t="n">
        <v>2.875</v>
      </c>
      <c r="S3" s="12" t="n">
        <f aca="false">IF(AND(ISNUMBER(R3),R3&gt;1,P3&gt;0),R3/P3-1,"")</f>
        <v>-0.288938245726813</v>
      </c>
    </row>
    <row r="4" customFormat="false" ht="15" hidden="false" customHeight="false" outlineLevel="0" collapsed="false">
      <c r="A4" s="10" t="s">
        <v>69</v>
      </c>
      <c r="B4" s="10" t="s">
        <v>70</v>
      </c>
      <c r="C4" s="10" t="s">
        <v>71</v>
      </c>
      <c r="D4" s="10" t="s">
        <v>290</v>
      </c>
      <c r="E4" s="11" t="n">
        <v>10.5</v>
      </c>
      <c r="F4" s="10" t="s">
        <v>408</v>
      </c>
      <c r="G4" s="7" t="n">
        <v>9</v>
      </c>
      <c r="H4" s="10" t="s">
        <v>410</v>
      </c>
      <c r="I4" s="10" t="s">
        <v>411</v>
      </c>
      <c r="J4" s="10" t="s">
        <v>412</v>
      </c>
      <c r="K4" s="7" t="n">
        <v>2</v>
      </c>
      <c r="L4" s="7" t="n">
        <v>58</v>
      </c>
      <c r="M4" s="7" t="n">
        <v>6</v>
      </c>
      <c r="N4" s="7" t="n">
        <v>6</v>
      </c>
      <c r="O4" s="7" t="n">
        <v>3</v>
      </c>
      <c r="P4" s="8" t="n">
        <v>8.93543759634706</v>
      </c>
      <c r="Q4" s="9" t="n">
        <v>0.111913936974818</v>
      </c>
      <c r="R4" s="8" t="n">
        <v>8</v>
      </c>
      <c r="S4" s="12" t="n">
        <f aca="false">IF(AND(ISNUMBER(R4),R4&gt;1,P4&gt;0),R4/P4-1,"")</f>
        <v>-0.104688504201459</v>
      </c>
    </row>
    <row r="5" customFormat="false" ht="15" hidden="false" customHeight="false" outlineLevel="0" collapsed="false">
      <c r="A5" s="10" t="s">
        <v>69</v>
      </c>
      <c r="B5" s="10" t="s">
        <v>70</v>
      </c>
      <c r="C5" s="10" t="s">
        <v>71</v>
      </c>
      <c r="D5" s="10" t="s">
        <v>290</v>
      </c>
      <c r="E5" s="11" t="n">
        <v>10.5</v>
      </c>
      <c r="F5" s="10" t="s">
        <v>408</v>
      </c>
      <c r="G5" s="7" t="n">
        <v>9</v>
      </c>
      <c r="H5" s="10" t="s">
        <v>413</v>
      </c>
      <c r="I5" s="10" t="s">
        <v>414</v>
      </c>
      <c r="J5" s="10" t="s">
        <v>415</v>
      </c>
      <c r="K5" s="7" t="n">
        <v>8</v>
      </c>
      <c r="L5" s="7" t="n">
        <v>66</v>
      </c>
      <c r="M5" s="7" t="n">
        <v>8</v>
      </c>
      <c r="N5" s="7" t="n">
        <v>16</v>
      </c>
      <c r="O5" s="7" t="n">
        <v>4</v>
      </c>
      <c r="P5" s="8" t="n">
        <v>9.70380498594412</v>
      </c>
      <c r="Q5" s="9" t="n">
        <v>0.103052359507275</v>
      </c>
      <c r="R5" s="8" t="n">
        <v>8.5</v>
      </c>
      <c r="S5" s="12" t="n">
        <f aca="false">IF(AND(ISNUMBER(R5),R5&gt;1,P5&gt;0),R5/P5-1,"")</f>
        <v>-0.124054944188164</v>
      </c>
    </row>
    <row r="6" customFormat="false" ht="15" hidden="false" customHeight="false" outlineLevel="0" collapsed="false">
      <c r="A6" s="10" t="s">
        <v>69</v>
      </c>
      <c r="B6" s="10" t="s">
        <v>70</v>
      </c>
      <c r="C6" s="10" t="s">
        <v>71</v>
      </c>
      <c r="D6" s="10" t="s">
        <v>290</v>
      </c>
      <c r="E6" s="11" t="n">
        <v>10.5</v>
      </c>
      <c r="F6" s="10" t="s">
        <v>408</v>
      </c>
      <c r="G6" s="7" t="n">
        <v>9</v>
      </c>
      <c r="H6" s="10" t="s">
        <v>416</v>
      </c>
      <c r="I6" s="10" t="s">
        <v>417</v>
      </c>
      <c r="J6" s="10" t="s">
        <v>418</v>
      </c>
      <c r="K6" s="7" t="n">
        <v>6</v>
      </c>
      <c r="L6" s="7" t="n">
        <v>70</v>
      </c>
      <c r="M6" s="7" t="n">
        <v>4</v>
      </c>
      <c r="N6" s="7" t="n">
        <v>69</v>
      </c>
      <c r="O6" s="7" t="n">
        <v>5</v>
      </c>
      <c r="P6" s="8" t="n">
        <v>11.635803966533</v>
      </c>
      <c r="Q6" s="9" t="n">
        <v>0.0859416335026106</v>
      </c>
      <c r="R6" s="8" t="n">
        <v>6.5</v>
      </c>
      <c r="S6" s="12" t="n">
        <f aca="false">IF(AND(ISNUMBER(R6),R6&gt;1,P6&gt;0),R6/P6-1,"")</f>
        <v>-0.441379382233031</v>
      </c>
    </row>
    <row r="7" customFormat="false" ht="15" hidden="false" customHeight="false" outlineLevel="0" collapsed="false">
      <c r="A7" s="10" t="s">
        <v>69</v>
      </c>
      <c r="B7" s="10" t="s">
        <v>70</v>
      </c>
      <c r="C7" s="10" t="s">
        <v>71</v>
      </c>
      <c r="D7" s="10" t="s">
        <v>290</v>
      </c>
      <c r="E7" s="11" t="n">
        <v>10.5</v>
      </c>
      <c r="F7" s="10" t="s">
        <v>408</v>
      </c>
      <c r="G7" s="7" t="n">
        <v>9</v>
      </c>
      <c r="H7" s="10" t="s">
        <v>419</v>
      </c>
      <c r="I7" s="10" t="s">
        <v>420</v>
      </c>
      <c r="J7" s="10" t="s">
        <v>421</v>
      </c>
      <c r="K7" s="7" t="n">
        <v>4</v>
      </c>
      <c r="L7" s="7" t="n">
        <v>69</v>
      </c>
      <c r="M7" s="7" t="n">
        <v>7</v>
      </c>
      <c r="N7" s="7" t="n">
        <v>26</v>
      </c>
      <c r="O7" s="7" t="n">
        <v>6</v>
      </c>
      <c r="P7" s="8" t="n">
        <v>11.8493511584227</v>
      </c>
      <c r="Q7" s="9" t="n">
        <v>0.0843928065452922</v>
      </c>
      <c r="R7" s="8" t="n">
        <v>8</v>
      </c>
      <c r="S7" s="12" t="n">
        <f aca="false">IF(AND(ISNUMBER(R7),R7&gt;1,P7&gt;0),R7/P7-1,"")</f>
        <v>-0.324857547637662</v>
      </c>
    </row>
    <row r="8" customFormat="false" ht="15" hidden="false" customHeight="false" outlineLevel="0" collapsed="false">
      <c r="A8" s="10" t="s">
        <v>69</v>
      </c>
      <c r="B8" s="10" t="s">
        <v>70</v>
      </c>
      <c r="C8" s="10" t="s">
        <v>71</v>
      </c>
      <c r="D8" s="10" t="s">
        <v>290</v>
      </c>
      <c r="E8" s="11" t="n">
        <v>10.5</v>
      </c>
      <c r="F8" s="10" t="s">
        <v>408</v>
      </c>
      <c r="G8" s="7" t="n">
        <v>9</v>
      </c>
      <c r="H8" s="10" t="s">
        <v>422</v>
      </c>
      <c r="I8" s="10" t="s">
        <v>423</v>
      </c>
      <c r="J8" s="10" t="s">
        <v>424</v>
      </c>
      <c r="K8" s="7" t="n">
        <v>7</v>
      </c>
      <c r="L8" s="7" t="n">
        <v>65</v>
      </c>
      <c r="M8" s="7" t="n">
        <v>5</v>
      </c>
      <c r="N8" s="7" t="n">
        <v>14</v>
      </c>
      <c r="O8" s="7" t="n">
        <v>7</v>
      </c>
      <c r="P8" s="8" t="n">
        <v>32.2085970745547</v>
      </c>
      <c r="Q8" s="9" t="n">
        <v>0.0310476112227196</v>
      </c>
      <c r="R8" s="8" t="n">
        <v>29</v>
      </c>
      <c r="S8" s="12" t="n">
        <f aca="false">IF(AND(ISNUMBER(R8),R8&gt;1,P8&gt;0),R8/P8-1,"")</f>
        <v>-0.0996192745411301</v>
      </c>
    </row>
    <row r="9" customFormat="false" ht="15" hidden="false" customHeight="false" outlineLevel="0" collapsed="false">
      <c r="A9" s="10" t="s">
        <v>69</v>
      </c>
      <c r="B9" s="10" t="s">
        <v>70</v>
      </c>
      <c r="C9" s="10" t="s">
        <v>71</v>
      </c>
      <c r="D9" s="10" t="s">
        <v>290</v>
      </c>
      <c r="E9" s="11" t="n">
        <v>10.5</v>
      </c>
      <c r="F9" s="10" t="s">
        <v>408</v>
      </c>
      <c r="G9" s="7" t="n">
        <v>9</v>
      </c>
      <c r="H9" s="10" t="s">
        <v>425</v>
      </c>
      <c r="I9" s="10" t="s">
        <v>426</v>
      </c>
      <c r="J9" s="10" t="s">
        <v>427</v>
      </c>
      <c r="K9" s="7" t="n">
        <v>5</v>
      </c>
      <c r="L9" s="7" t="n">
        <v>69</v>
      </c>
      <c r="M9" s="7" t="n">
        <v>8</v>
      </c>
      <c r="N9" s="7" t="n">
        <v>77</v>
      </c>
      <c r="O9" s="7" t="n">
        <v>8</v>
      </c>
      <c r="P9" s="8" t="n">
        <v>33.747553098549</v>
      </c>
      <c r="Q9" s="9" t="n">
        <v>0.0296317779567548</v>
      </c>
      <c r="R9" s="8" t="n">
        <v>12</v>
      </c>
      <c r="S9" s="12" t="n">
        <f aca="false">IF(AND(ISNUMBER(R9),R9&gt;1,P9&gt;0),R9/P9-1,"")</f>
        <v>-0.644418664518941</v>
      </c>
    </row>
    <row r="10" customFormat="false" ht="15" hidden="false" customHeight="false" outlineLevel="0" collapsed="false">
      <c r="A10" s="10" t="s">
        <v>69</v>
      </c>
      <c r="B10" s="10" t="s">
        <v>70</v>
      </c>
      <c r="C10" s="10" t="s">
        <v>71</v>
      </c>
      <c r="D10" s="10" t="s">
        <v>290</v>
      </c>
      <c r="E10" s="11" t="n">
        <v>10.5</v>
      </c>
      <c r="F10" s="10" t="s">
        <v>408</v>
      </c>
      <c r="G10" s="7" t="n">
        <v>9</v>
      </c>
      <c r="H10" s="10" t="s">
        <v>428</v>
      </c>
      <c r="I10" s="10" t="s">
        <v>429</v>
      </c>
      <c r="J10" s="10" t="s">
        <v>430</v>
      </c>
      <c r="K10" s="7" t="n">
        <v>9</v>
      </c>
      <c r="L10" s="7" t="n">
        <v>64</v>
      </c>
      <c r="M10" s="7" t="n">
        <v>4</v>
      </c>
      <c r="N10" s="7" t="n">
        <v>23</v>
      </c>
      <c r="O10" s="7" t="n">
        <v>9</v>
      </c>
      <c r="P10" s="8" t="n">
        <v>52.3450496129947</v>
      </c>
      <c r="Q10" s="9" t="n">
        <v>0.0191040032895822</v>
      </c>
      <c r="R10" s="8" t="n">
        <v>34</v>
      </c>
      <c r="S10" s="12" t="n">
        <f aca="false">IF(AND(ISNUMBER(R10),R10&gt;1,P10&gt;0),R10/P10-1,"")</f>
        <v>-0.350463888154202</v>
      </c>
    </row>
    <row r="11" customFormat="false" ht="15" hidden="false" customHeight="false" outlineLevel="0" collapsed="false">
      <c r="A11" s="10" t="s">
        <v>92</v>
      </c>
      <c r="B11" s="10" t="s">
        <v>70</v>
      </c>
      <c r="C11" s="10" t="s">
        <v>93</v>
      </c>
      <c r="D11" s="10" t="s">
        <v>508</v>
      </c>
      <c r="E11" s="11" t="n">
        <v>8</v>
      </c>
      <c r="F11" s="10" t="s">
        <v>408</v>
      </c>
      <c r="G11" s="7" t="n">
        <v>7</v>
      </c>
      <c r="H11" s="10" t="s">
        <v>94</v>
      </c>
      <c r="I11" s="10" t="s">
        <v>95</v>
      </c>
      <c r="J11" s="10" t="s">
        <v>96</v>
      </c>
      <c r="K11" s="7" t="n">
        <v>2</v>
      </c>
      <c r="L11" s="7" t="n">
        <v>82</v>
      </c>
      <c r="M11" s="7" t="n">
        <v>2</v>
      </c>
      <c r="N11" s="7" t="n">
        <v>27</v>
      </c>
      <c r="O11" s="7" t="n">
        <v>1</v>
      </c>
      <c r="P11" s="8" t="n">
        <v>5.02516967021025</v>
      </c>
      <c r="Q11" s="9" t="n">
        <v>0.19899825590529</v>
      </c>
      <c r="R11" s="8" t="n">
        <v>3.25</v>
      </c>
      <c r="S11" s="12" t="n">
        <f aca="false">IF(AND(ISNUMBER(R11),R11&gt;1,P11&gt;0),R11/P11-1,"")</f>
        <v>-0.353255668307809</v>
      </c>
    </row>
    <row r="12" customFormat="false" ht="15" hidden="false" customHeight="false" outlineLevel="0" collapsed="false">
      <c r="A12" s="10" t="s">
        <v>92</v>
      </c>
      <c r="B12" s="10" t="s">
        <v>70</v>
      </c>
      <c r="C12" s="10" t="s">
        <v>93</v>
      </c>
      <c r="D12" s="10" t="s">
        <v>508</v>
      </c>
      <c r="E12" s="11" t="n">
        <v>8</v>
      </c>
      <c r="F12" s="10" t="s">
        <v>408</v>
      </c>
      <c r="G12" s="7" t="n">
        <v>7</v>
      </c>
      <c r="H12" s="10" t="s">
        <v>97</v>
      </c>
      <c r="I12" s="10" t="s">
        <v>509</v>
      </c>
      <c r="J12" s="10" t="s">
        <v>510</v>
      </c>
      <c r="K12" s="7" t="n">
        <v>1</v>
      </c>
      <c r="L12" s="7" t="n">
        <v>81</v>
      </c>
      <c r="M12" s="7" t="n">
        <v>2</v>
      </c>
      <c r="N12" s="7" t="n">
        <v>36</v>
      </c>
      <c r="O12" s="7" t="n">
        <v>2</v>
      </c>
      <c r="P12" s="8" t="n">
        <v>5.76463799694634</v>
      </c>
      <c r="Q12" s="9" t="n">
        <v>0.173471430561594</v>
      </c>
      <c r="R12" s="8" t="n">
        <v>4.33333333333333</v>
      </c>
      <c r="S12" s="12" t="n">
        <f aca="false">IF(AND(ISNUMBER(R12),R12&gt;1,P12&gt;0),R12/P12-1,"")</f>
        <v>-0.248290467566428</v>
      </c>
    </row>
    <row r="13" customFormat="false" ht="15" hidden="false" customHeight="false" outlineLevel="0" collapsed="false">
      <c r="A13" s="10" t="s">
        <v>92</v>
      </c>
      <c r="B13" s="10" t="s">
        <v>70</v>
      </c>
      <c r="C13" s="10" t="s">
        <v>93</v>
      </c>
      <c r="D13" s="10" t="s">
        <v>508</v>
      </c>
      <c r="E13" s="11" t="n">
        <v>8</v>
      </c>
      <c r="F13" s="10" t="s">
        <v>408</v>
      </c>
      <c r="G13" s="7" t="n">
        <v>7</v>
      </c>
      <c r="H13" s="10" t="s">
        <v>511</v>
      </c>
      <c r="I13" s="10" t="s">
        <v>157</v>
      </c>
      <c r="J13" s="10" t="s">
        <v>90</v>
      </c>
      <c r="K13" s="7" t="n">
        <v>4</v>
      </c>
      <c r="L13" s="7" t="n">
        <v>76</v>
      </c>
      <c r="M13" s="7" t="n">
        <v>2</v>
      </c>
      <c r="N13" s="7" t="n">
        <v>21</v>
      </c>
      <c r="O13" s="7" t="n">
        <v>3</v>
      </c>
      <c r="P13" s="8" t="n">
        <v>5.99440575162902</v>
      </c>
      <c r="Q13" s="9" t="n">
        <v>0.16682220747707</v>
      </c>
      <c r="R13" s="8" t="n">
        <v>7.5</v>
      </c>
      <c r="S13" s="12" t="n">
        <f aca="false">IF(AND(ISNUMBER(R13),R13&gt;1,P13&gt;0),R13/P13-1,"")</f>
        <v>0.251166556078027</v>
      </c>
    </row>
    <row r="14" customFormat="false" ht="15" hidden="false" customHeight="false" outlineLevel="0" collapsed="false">
      <c r="A14" s="10" t="s">
        <v>92</v>
      </c>
      <c r="B14" s="10" t="s">
        <v>70</v>
      </c>
      <c r="C14" s="10" t="s">
        <v>93</v>
      </c>
      <c r="D14" s="10" t="s">
        <v>508</v>
      </c>
      <c r="E14" s="11" t="n">
        <v>8</v>
      </c>
      <c r="F14" s="10" t="s">
        <v>408</v>
      </c>
      <c r="G14" s="7" t="n">
        <v>7</v>
      </c>
      <c r="H14" s="10" t="s">
        <v>512</v>
      </c>
      <c r="I14" s="10" t="s">
        <v>513</v>
      </c>
      <c r="J14" s="10" t="s">
        <v>514</v>
      </c>
      <c r="K14" s="7" t="n">
        <v>5</v>
      </c>
      <c r="L14" s="7" t="n">
        <v>81</v>
      </c>
      <c r="M14" s="7" t="n">
        <v>2</v>
      </c>
      <c r="N14" s="7" t="n">
        <v>10</v>
      </c>
      <c r="O14" s="7" t="n">
        <v>4</v>
      </c>
      <c r="P14" s="8" t="n">
        <v>6.41378344486007</v>
      </c>
      <c r="Q14" s="9" t="n">
        <v>0.155914213287227</v>
      </c>
      <c r="R14" s="8" t="n">
        <v>3.75</v>
      </c>
      <c r="S14" s="12" t="n">
        <f aca="false">IF(AND(ISNUMBER(R14),R14&gt;1,P14&gt;0),R14/P14-1,"")</f>
        <v>-0.415321700172898</v>
      </c>
    </row>
    <row r="15" customFormat="false" ht="15" hidden="false" customHeight="false" outlineLevel="0" collapsed="false">
      <c r="A15" s="10" t="s">
        <v>92</v>
      </c>
      <c r="B15" s="10" t="s">
        <v>70</v>
      </c>
      <c r="C15" s="10" t="s">
        <v>93</v>
      </c>
      <c r="D15" s="10" t="s">
        <v>508</v>
      </c>
      <c r="E15" s="11" t="n">
        <v>8</v>
      </c>
      <c r="F15" s="10" t="s">
        <v>408</v>
      </c>
      <c r="G15" s="7" t="n">
        <v>7</v>
      </c>
      <c r="H15" s="10" t="s">
        <v>515</v>
      </c>
      <c r="I15" s="10" t="s">
        <v>516</v>
      </c>
      <c r="J15" s="10" t="s">
        <v>418</v>
      </c>
      <c r="K15" s="7" t="n">
        <v>3</v>
      </c>
      <c r="L15" s="7" t="n">
        <v>77</v>
      </c>
      <c r="M15" s="7" t="n">
        <v>2</v>
      </c>
      <c r="N15" s="7" t="n">
        <v>15</v>
      </c>
      <c r="O15" s="7" t="n">
        <v>5</v>
      </c>
      <c r="P15" s="8" t="n">
        <v>7.03450027905301</v>
      </c>
      <c r="Q15" s="9" t="n">
        <v>0.142156508683033</v>
      </c>
      <c r="R15" s="8" t="n">
        <v>6</v>
      </c>
      <c r="S15" s="12" t="n">
        <f aca="false">IF(AND(ISNUMBER(R15),R15&gt;1,P15&gt;0),R15/P15-1,"")</f>
        <v>-0.147060947901799</v>
      </c>
    </row>
    <row r="16" customFormat="false" ht="15" hidden="false" customHeight="false" outlineLevel="0" collapsed="false">
      <c r="A16" s="10" t="s">
        <v>92</v>
      </c>
      <c r="B16" s="10" t="s">
        <v>70</v>
      </c>
      <c r="C16" s="10" t="s">
        <v>93</v>
      </c>
      <c r="D16" s="10" t="s">
        <v>508</v>
      </c>
      <c r="E16" s="11" t="n">
        <v>8</v>
      </c>
      <c r="F16" s="10" t="s">
        <v>408</v>
      </c>
      <c r="G16" s="7" t="n">
        <v>7</v>
      </c>
      <c r="H16" s="10" t="s">
        <v>517</v>
      </c>
      <c r="I16" s="10" t="s">
        <v>518</v>
      </c>
      <c r="J16" s="10" t="s">
        <v>519</v>
      </c>
      <c r="K16" s="7" t="n">
        <v>7</v>
      </c>
      <c r="L16" s="7" t="n">
        <v>66</v>
      </c>
      <c r="M16" s="7" t="n">
        <v>2</v>
      </c>
      <c r="N16" s="7" t="n">
        <v>27</v>
      </c>
      <c r="O16" s="7" t="n">
        <v>6</v>
      </c>
      <c r="P16" s="8" t="n">
        <v>8.24165157911528</v>
      </c>
      <c r="Q16" s="9" t="n">
        <v>0.121334903617382</v>
      </c>
      <c r="R16" s="8" t="n">
        <v>17</v>
      </c>
      <c r="S16" s="12" t="n">
        <f aca="false">IF(AND(ISNUMBER(R16),R16&gt;1,P16&gt;0),R16/P16-1,"")</f>
        <v>1.0626933614955</v>
      </c>
    </row>
    <row r="17" customFormat="false" ht="15" hidden="false" customHeight="false" outlineLevel="0" collapsed="false">
      <c r="A17" s="10" t="s">
        <v>92</v>
      </c>
      <c r="B17" s="10" t="s">
        <v>70</v>
      </c>
      <c r="C17" s="10" t="s">
        <v>93</v>
      </c>
      <c r="D17" s="10" t="s">
        <v>508</v>
      </c>
      <c r="E17" s="11" t="n">
        <v>8</v>
      </c>
      <c r="F17" s="10" t="s">
        <v>408</v>
      </c>
      <c r="G17" s="7" t="n">
        <v>7</v>
      </c>
      <c r="H17" s="10" t="s">
        <v>520</v>
      </c>
      <c r="I17" s="10" t="s">
        <v>521</v>
      </c>
      <c r="J17" s="10" t="s">
        <v>522</v>
      </c>
      <c r="K17" s="7" t="n">
        <v>6</v>
      </c>
      <c r="L17" s="7" t="n">
        <v>68</v>
      </c>
      <c r="M17" s="7" t="n">
        <v>2</v>
      </c>
      <c r="N17" s="7" t="n">
        <v>44</v>
      </c>
      <c r="O17" s="7" t="n">
        <v>7</v>
      </c>
      <c r="P17" s="8" t="n">
        <v>24.2116209162064</v>
      </c>
      <c r="Q17" s="9" t="n">
        <v>0.0413024804684033</v>
      </c>
      <c r="R17" s="8" t="n">
        <v>34</v>
      </c>
      <c r="S17" s="12" t="n">
        <f aca="false">IF(AND(ISNUMBER(R17),R17&gt;1,P17&gt;0),R17/P17-1,"")</f>
        <v>0.404284335925712</v>
      </c>
    </row>
    <row r="18" customFormat="false" ht="15" hidden="false" customHeight="false" outlineLevel="0" collapsed="false">
      <c r="A18" s="10" t="s">
        <v>113</v>
      </c>
      <c r="B18" s="10" t="s">
        <v>70</v>
      </c>
      <c r="C18" s="10" t="s">
        <v>114</v>
      </c>
      <c r="D18" s="10" t="s">
        <v>340</v>
      </c>
      <c r="E18" s="11" t="n">
        <v>7</v>
      </c>
      <c r="F18" s="10" t="s">
        <v>408</v>
      </c>
      <c r="G18" s="7" t="n">
        <v>11</v>
      </c>
      <c r="H18" s="10" t="s">
        <v>115</v>
      </c>
      <c r="I18" s="10" t="s">
        <v>116</v>
      </c>
      <c r="J18" s="10" t="s">
        <v>48</v>
      </c>
      <c r="K18" s="7" t="n">
        <v>8</v>
      </c>
      <c r="L18" s="7" t="n">
        <v>0</v>
      </c>
      <c r="M18" s="7" t="n">
        <v>2</v>
      </c>
      <c r="N18" s="7"/>
      <c r="O18" s="7" t="n">
        <v>1</v>
      </c>
      <c r="P18" s="8" t="n">
        <v>4.59424671929994</v>
      </c>
      <c r="Q18" s="9" t="n">
        <v>0.217663539008279</v>
      </c>
      <c r="R18" s="8" t="n">
        <v>2.75</v>
      </c>
      <c r="S18" s="12" t="n">
        <f aca="false">IF(AND(ISNUMBER(R18),R18&gt;1,P18&gt;0),R18/P18-1,"")</f>
        <v>-0.401425267727233</v>
      </c>
    </row>
    <row r="19" customFormat="false" ht="15" hidden="false" customHeight="false" outlineLevel="0" collapsed="false">
      <c r="A19" s="10" t="s">
        <v>113</v>
      </c>
      <c r="B19" s="10" t="s">
        <v>70</v>
      </c>
      <c r="C19" s="10" t="s">
        <v>114</v>
      </c>
      <c r="D19" s="10" t="s">
        <v>340</v>
      </c>
      <c r="E19" s="11" t="n">
        <v>7</v>
      </c>
      <c r="F19" s="10" t="s">
        <v>408</v>
      </c>
      <c r="G19" s="7" t="n">
        <v>11</v>
      </c>
      <c r="H19" s="10" t="s">
        <v>117</v>
      </c>
      <c r="I19" s="10" t="s">
        <v>157</v>
      </c>
      <c r="J19" s="10" t="s">
        <v>90</v>
      </c>
      <c r="K19" s="7" t="n">
        <v>1</v>
      </c>
      <c r="L19" s="7" t="n">
        <v>0</v>
      </c>
      <c r="M19" s="7" t="n">
        <v>2</v>
      </c>
      <c r="N19" s="7"/>
      <c r="O19" s="7" t="n">
        <v>2</v>
      </c>
      <c r="P19" s="8" t="n">
        <v>5.44070464659755</v>
      </c>
      <c r="Q19" s="9" t="n">
        <v>0.183799721719018</v>
      </c>
      <c r="R19" s="8" t="n">
        <v>2.75</v>
      </c>
      <c r="S19" s="12" t="n">
        <f aca="false">IF(AND(ISNUMBER(R19),R19&gt;1,P19&gt;0),R19/P19-1,"")</f>
        <v>-0.494550765272699</v>
      </c>
    </row>
    <row r="20" customFormat="false" ht="15" hidden="false" customHeight="false" outlineLevel="0" collapsed="false">
      <c r="A20" s="10" t="s">
        <v>113</v>
      </c>
      <c r="B20" s="10" t="s">
        <v>70</v>
      </c>
      <c r="C20" s="10" t="s">
        <v>114</v>
      </c>
      <c r="D20" s="10" t="s">
        <v>340</v>
      </c>
      <c r="E20" s="11" t="n">
        <v>7</v>
      </c>
      <c r="F20" s="10" t="s">
        <v>408</v>
      </c>
      <c r="G20" s="7" t="n">
        <v>11</v>
      </c>
      <c r="H20" s="10" t="s">
        <v>589</v>
      </c>
      <c r="I20" s="10" t="s">
        <v>590</v>
      </c>
      <c r="J20" s="10" t="s">
        <v>591</v>
      </c>
      <c r="K20" s="7" t="n">
        <v>7</v>
      </c>
      <c r="L20" s="7" t="n">
        <v>0</v>
      </c>
      <c r="M20" s="7" t="n">
        <v>2</v>
      </c>
      <c r="N20" s="7"/>
      <c r="O20" s="7" t="n">
        <v>3</v>
      </c>
      <c r="P20" s="8" t="n">
        <v>9.90506386357099</v>
      </c>
      <c r="Q20" s="9" t="n">
        <v>0.1009584606191</v>
      </c>
      <c r="R20" s="8" t="n">
        <v>19</v>
      </c>
      <c r="S20" s="12" t="n">
        <f aca="false">IF(AND(ISNUMBER(R20),R20&gt;1,P20&gt;0),R20/P20-1,"")</f>
        <v>0.918210751762895</v>
      </c>
    </row>
    <row r="21" customFormat="false" ht="15" hidden="false" customHeight="false" outlineLevel="0" collapsed="false">
      <c r="A21" s="10" t="s">
        <v>113</v>
      </c>
      <c r="B21" s="10" t="s">
        <v>70</v>
      </c>
      <c r="C21" s="10" t="s">
        <v>114</v>
      </c>
      <c r="D21" s="10" t="s">
        <v>340</v>
      </c>
      <c r="E21" s="11" t="n">
        <v>7</v>
      </c>
      <c r="F21" s="10" t="s">
        <v>408</v>
      </c>
      <c r="G21" s="7" t="n">
        <v>11</v>
      </c>
      <c r="H21" s="10" t="s">
        <v>592</v>
      </c>
      <c r="I21" s="10" t="s">
        <v>593</v>
      </c>
      <c r="J21" s="10" t="s">
        <v>418</v>
      </c>
      <c r="K21" s="7" t="n">
        <v>11</v>
      </c>
      <c r="L21" s="7" t="n">
        <v>0</v>
      </c>
      <c r="M21" s="7" t="n">
        <v>2</v>
      </c>
      <c r="N21" s="7"/>
      <c r="O21" s="7" t="n">
        <v>4</v>
      </c>
      <c r="P21" s="8" t="n">
        <v>11.4569926884326</v>
      </c>
      <c r="Q21" s="9" t="n">
        <v>0.0872829395282444</v>
      </c>
      <c r="R21" s="8" t="n">
        <v>11</v>
      </c>
      <c r="S21" s="12" t="n">
        <f aca="false">IF(AND(ISNUMBER(R21),R21&gt;1,P21&gt;0),R21/P21-1,"")</f>
        <v>-0.0398876651893108</v>
      </c>
    </row>
    <row r="22" customFormat="false" ht="15" hidden="false" customHeight="false" outlineLevel="0" collapsed="false">
      <c r="A22" s="10" t="s">
        <v>113</v>
      </c>
      <c r="B22" s="10" t="s">
        <v>70</v>
      </c>
      <c r="C22" s="10" t="s">
        <v>114</v>
      </c>
      <c r="D22" s="10" t="s">
        <v>340</v>
      </c>
      <c r="E22" s="11" t="n">
        <v>7</v>
      </c>
      <c r="F22" s="10" t="s">
        <v>408</v>
      </c>
      <c r="G22" s="7" t="n">
        <v>11</v>
      </c>
      <c r="H22" s="10" t="s">
        <v>594</v>
      </c>
      <c r="I22" s="10" t="s">
        <v>595</v>
      </c>
      <c r="J22" s="10" t="s">
        <v>596</v>
      </c>
      <c r="K22" s="7" t="n">
        <v>2</v>
      </c>
      <c r="L22" s="7" t="n">
        <v>0</v>
      </c>
      <c r="M22" s="7" t="n">
        <v>2</v>
      </c>
      <c r="N22" s="7" t="n">
        <v>60</v>
      </c>
      <c r="O22" s="7" t="n">
        <v>5</v>
      </c>
      <c r="P22" s="8" t="n">
        <v>12.1233955573341</v>
      </c>
      <c r="Q22" s="9" t="n">
        <v>0.0824851416643782</v>
      </c>
      <c r="R22" s="8" t="n">
        <v>13</v>
      </c>
      <c r="S22" s="12" t="n">
        <f aca="false">IF(AND(ISNUMBER(R22),R22&gt;1,P22&gt;0),R22/P22-1,"")</f>
        <v>0.0723068416369168</v>
      </c>
    </row>
    <row r="23" customFormat="false" ht="15" hidden="false" customHeight="false" outlineLevel="0" collapsed="false">
      <c r="A23" s="10" t="s">
        <v>113</v>
      </c>
      <c r="B23" s="10" t="s">
        <v>70</v>
      </c>
      <c r="C23" s="10" t="s">
        <v>114</v>
      </c>
      <c r="D23" s="10" t="s">
        <v>340</v>
      </c>
      <c r="E23" s="11" t="n">
        <v>7</v>
      </c>
      <c r="F23" s="10" t="s">
        <v>408</v>
      </c>
      <c r="G23" s="7" t="n">
        <v>11</v>
      </c>
      <c r="H23" s="10" t="s">
        <v>597</v>
      </c>
      <c r="I23" s="10" t="s">
        <v>598</v>
      </c>
      <c r="J23" s="10" t="s">
        <v>599</v>
      </c>
      <c r="K23" s="7" t="n">
        <v>5</v>
      </c>
      <c r="L23" s="7" t="n">
        <v>0</v>
      </c>
      <c r="M23" s="7" t="n">
        <v>2</v>
      </c>
      <c r="N23" s="7"/>
      <c r="O23" s="7" t="n">
        <v>6</v>
      </c>
      <c r="P23" s="8" t="n">
        <v>12.7504465591341</v>
      </c>
      <c r="Q23" s="9" t="n">
        <v>0.0784286256455565</v>
      </c>
      <c r="R23" s="8" t="n">
        <v>41</v>
      </c>
      <c r="S23" s="12" t="n">
        <f aca="false">IF(AND(ISNUMBER(R23),R23&gt;1,P23&gt;0),R23/P23-1,"")</f>
        <v>2.21557365146782</v>
      </c>
    </row>
    <row r="24" customFormat="false" ht="15" hidden="false" customHeight="false" outlineLevel="0" collapsed="false">
      <c r="A24" s="10" t="s">
        <v>113</v>
      </c>
      <c r="B24" s="10" t="s">
        <v>70</v>
      </c>
      <c r="C24" s="10" t="s">
        <v>114</v>
      </c>
      <c r="D24" s="10" t="s">
        <v>340</v>
      </c>
      <c r="E24" s="11" t="n">
        <v>7</v>
      </c>
      <c r="F24" s="10" t="s">
        <v>408</v>
      </c>
      <c r="G24" s="7" t="n">
        <v>11</v>
      </c>
      <c r="H24" s="10" t="s">
        <v>600</v>
      </c>
      <c r="I24" s="10" t="s">
        <v>521</v>
      </c>
      <c r="J24" s="10" t="s">
        <v>601</v>
      </c>
      <c r="K24" s="7" t="n">
        <v>12</v>
      </c>
      <c r="L24" s="7" t="n">
        <v>0</v>
      </c>
      <c r="M24" s="7" t="n">
        <v>2</v>
      </c>
      <c r="N24" s="7" t="n">
        <v>73</v>
      </c>
      <c r="O24" s="7" t="n">
        <v>7</v>
      </c>
      <c r="P24" s="8" t="n">
        <v>13.8136112619466</v>
      </c>
      <c r="Q24" s="9" t="n">
        <v>0.0723923658366422</v>
      </c>
      <c r="R24" s="8" t="n">
        <v>15</v>
      </c>
      <c r="S24" s="12" t="n">
        <f aca="false">IF(AND(ISNUMBER(R24),R24&gt;1,P24&gt;0),R24/P24-1,"")</f>
        <v>0.0858854875496333</v>
      </c>
    </row>
    <row r="25" customFormat="false" ht="15" hidden="false" customHeight="false" outlineLevel="0" collapsed="false">
      <c r="A25" s="10" t="s">
        <v>113</v>
      </c>
      <c r="B25" s="10" t="s">
        <v>70</v>
      </c>
      <c r="C25" s="10" t="s">
        <v>114</v>
      </c>
      <c r="D25" s="10" t="s">
        <v>340</v>
      </c>
      <c r="E25" s="11" t="n">
        <v>7</v>
      </c>
      <c r="F25" s="10" t="s">
        <v>408</v>
      </c>
      <c r="G25" s="7" t="n">
        <v>11</v>
      </c>
      <c r="H25" s="10" t="s">
        <v>602</v>
      </c>
      <c r="I25" s="10" t="s">
        <v>603</v>
      </c>
      <c r="J25" s="10" t="s">
        <v>330</v>
      </c>
      <c r="K25" s="7" t="n">
        <v>6</v>
      </c>
      <c r="L25" s="7" t="n">
        <v>0</v>
      </c>
      <c r="M25" s="7" t="n">
        <v>2</v>
      </c>
      <c r="N25" s="7"/>
      <c r="O25" s="7" t="n">
        <v>8</v>
      </c>
      <c r="P25" s="8" t="n">
        <v>16.0461668842857</v>
      </c>
      <c r="Q25" s="9" t="n">
        <v>0.0623201794678651</v>
      </c>
      <c r="R25" s="8" t="n">
        <v>9.5</v>
      </c>
      <c r="S25" s="12" t="n">
        <f aca="false">IF(AND(ISNUMBER(R25),R25&gt;1,P25&gt;0),R25/P25-1,"")</f>
        <v>-0.407958295055282</v>
      </c>
    </row>
    <row r="26" customFormat="false" ht="15" hidden="false" customHeight="false" outlineLevel="0" collapsed="false">
      <c r="A26" s="10" t="s">
        <v>113</v>
      </c>
      <c r="B26" s="10" t="s">
        <v>70</v>
      </c>
      <c r="C26" s="10" t="s">
        <v>114</v>
      </c>
      <c r="D26" s="10" t="s">
        <v>340</v>
      </c>
      <c r="E26" s="11" t="n">
        <v>7</v>
      </c>
      <c r="F26" s="10" t="s">
        <v>408</v>
      </c>
      <c r="G26" s="7" t="n">
        <v>11</v>
      </c>
      <c r="H26" s="10" t="s">
        <v>604</v>
      </c>
      <c r="I26" s="10" t="s">
        <v>605</v>
      </c>
      <c r="J26" s="10" t="s">
        <v>606</v>
      </c>
      <c r="K26" s="7" t="n">
        <v>10</v>
      </c>
      <c r="L26" s="7" t="n">
        <v>0</v>
      </c>
      <c r="M26" s="7" t="n">
        <v>2</v>
      </c>
      <c r="N26" s="7"/>
      <c r="O26" s="7" t="n">
        <v>9</v>
      </c>
      <c r="P26" s="8" t="n">
        <v>19.3323213952906</v>
      </c>
      <c r="Q26" s="9" t="n">
        <v>0.0517268453980701</v>
      </c>
      <c r="R26" s="8" t="n">
        <v>11</v>
      </c>
      <c r="S26" s="12" t="n">
        <f aca="false">IF(AND(ISNUMBER(R26),R26&gt;1,P26&gt;0),R26/P26-1,"")</f>
        <v>-0.431004700621229</v>
      </c>
    </row>
    <row r="27" customFormat="false" ht="15" hidden="false" customHeight="false" outlineLevel="0" collapsed="false">
      <c r="A27" s="10" t="s">
        <v>113</v>
      </c>
      <c r="B27" s="10" t="s">
        <v>70</v>
      </c>
      <c r="C27" s="10" t="s">
        <v>114</v>
      </c>
      <c r="D27" s="10" t="s">
        <v>340</v>
      </c>
      <c r="E27" s="11" t="n">
        <v>7</v>
      </c>
      <c r="F27" s="10" t="s">
        <v>408</v>
      </c>
      <c r="G27" s="7" t="n">
        <v>11</v>
      </c>
      <c r="H27" s="10" t="s">
        <v>607</v>
      </c>
      <c r="I27" s="10" t="s">
        <v>608</v>
      </c>
      <c r="J27" s="10" t="s">
        <v>393</v>
      </c>
      <c r="K27" s="7" t="n">
        <v>9</v>
      </c>
      <c r="L27" s="7" t="n">
        <v>0</v>
      </c>
      <c r="M27" s="7" t="n">
        <v>2</v>
      </c>
      <c r="N27" s="7" t="n">
        <v>16</v>
      </c>
      <c r="O27" s="7" t="n">
        <v>10</v>
      </c>
      <c r="P27" s="8" t="n">
        <v>30.9084904795561</v>
      </c>
      <c r="Q27" s="9" t="n">
        <v>0.0323535696659606</v>
      </c>
      <c r="R27" s="8" t="n">
        <v>23</v>
      </c>
      <c r="S27" s="12" t="n">
        <f aca="false">IF(AND(ISNUMBER(R27),R27&gt;1,P27&gt;0),R27/P27-1,"")</f>
        <v>-0.255867897682905</v>
      </c>
    </row>
    <row r="28" customFormat="false" ht="15" hidden="false" customHeight="false" outlineLevel="0" collapsed="false">
      <c r="A28" s="10" t="s">
        <v>113</v>
      </c>
      <c r="B28" s="10" t="s">
        <v>70</v>
      </c>
      <c r="C28" s="10" t="s">
        <v>114</v>
      </c>
      <c r="D28" s="10" t="s">
        <v>340</v>
      </c>
      <c r="E28" s="11" t="n">
        <v>7</v>
      </c>
      <c r="F28" s="10" t="s">
        <v>408</v>
      </c>
      <c r="G28" s="7" t="n">
        <v>11</v>
      </c>
      <c r="H28" s="10" t="s">
        <v>609</v>
      </c>
      <c r="I28" s="10" t="s">
        <v>610</v>
      </c>
      <c r="J28" s="10" t="s">
        <v>611</v>
      </c>
      <c r="K28" s="7" t="n">
        <v>4</v>
      </c>
      <c r="L28" s="7" t="n">
        <v>0</v>
      </c>
      <c r="M28" s="7" t="n">
        <v>2</v>
      </c>
      <c r="N28" s="7"/>
      <c r="O28" s="7" t="n">
        <v>11</v>
      </c>
      <c r="P28" s="8" t="n">
        <v>32.6919056700699</v>
      </c>
      <c r="Q28" s="9" t="n">
        <v>0.0305886114468854</v>
      </c>
      <c r="R28" s="8" t="n">
        <v>23</v>
      </c>
      <c r="S28" s="12" t="n">
        <f aca="false">IF(AND(ISNUMBER(R28),R28&gt;1,P28&gt;0),R28/P28-1,"")</f>
        <v>-0.296461936721634</v>
      </c>
    </row>
    <row r="29" customFormat="false" ht="15" hidden="false" customHeight="false" outlineLevel="0" collapsed="false">
      <c r="A29" s="10" t="s">
        <v>134</v>
      </c>
      <c r="B29" s="10" t="s">
        <v>70</v>
      </c>
      <c r="C29" s="10" t="s">
        <v>135</v>
      </c>
      <c r="D29" s="10" t="s">
        <v>340</v>
      </c>
      <c r="E29" s="11" t="n">
        <v>7</v>
      </c>
      <c r="F29" s="10" t="s">
        <v>408</v>
      </c>
      <c r="G29" s="7" t="n">
        <v>8</v>
      </c>
      <c r="H29" s="10" t="s">
        <v>136</v>
      </c>
      <c r="I29" s="10" t="s">
        <v>95</v>
      </c>
      <c r="J29" s="10" t="s">
        <v>96</v>
      </c>
      <c r="K29" s="7" t="n">
        <v>2</v>
      </c>
      <c r="L29" s="7" t="n">
        <v>0</v>
      </c>
      <c r="M29" s="7" t="n">
        <v>2</v>
      </c>
      <c r="N29" s="7" t="n">
        <v>64</v>
      </c>
      <c r="O29" s="7" t="n">
        <v>1</v>
      </c>
      <c r="P29" s="8" t="n">
        <v>1.75937964892812</v>
      </c>
      <c r="Q29" s="9" t="n">
        <v>0.56838215709113</v>
      </c>
      <c r="R29" s="8" t="n">
        <v>1.83333333333333</v>
      </c>
      <c r="S29" s="12" t="n">
        <f aca="false">IF(AND(ISNUMBER(R29),R29&gt;1,P29&gt;0),R29/P29-1,"")</f>
        <v>0.0420339546670705</v>
      </c>
    </row>
    <row r="30" customFormat="false" ht="15" hidden="false" customHeight="false" outlineLevel="0" collapsed="false">
      <c r="A30" s="10" t="s">
        <v>134</v>
      </c>
      <c r="B30" s="10" t="s">
        <v>70</v>
      </c>
      <c r="C30" s="10" t="s">
        <v>135</v>
      </c>
      <c r="D30" s="10" t="s">
        <v>340</v>
      </c>
      <c r="E30" s="11" t="n">
        <v>7</v>
      </c>
      <c r="F30" s="10" t="s">
        <v>408</v>
      </c>
      <c r="G30" s="7" t="n">
        <v>8</v>
      </c>
      <c r="H30" s="10" t="s">
        <v>137</v>
      </c>
      <c r="I30" s="10" t="s">
        <v>157</v>
      </c>
      <c r="J30" s="10" t="s">
        <v>90</v>
      </c>
      <c r="K30" s="7" t="n">
        <v>4</v>
      </c>
      <c r="L30" s="7" t="n">
        <v>0</v>
      </c>
      <c r="M30" s="7" t="n">
        <v>2</v>
      </c>
      <c r="N30" s="7" t="n">
        <v>67</v>
      </c>
      <c r="O30" s="7" t="n">
        <v>2</v>
      </c>
      <c r="P30" s="8" t="n">
        <v>6.33785633774263</v>
      </c>
      <c r="Q30" s="9" t="n">
        <v>0.157782055431722</v>
      </c>
      <c r="R30" s="8" t="n">
        <v>8</v>
      </c>
      <c r="S30" s="12" t="n">
        <f aca="false">IF(AND(ISNUMBER(R30),R30&gt;1,P30&gt;0),R30/P30-1,"")</f>
        <v>0.262256443453778</v>
      </c>
    </row>
    <row r="31" customFormat="false" ht="15" hidden="false" customHeight="false" outlineLevel="0" collapsed="false">
      <c r="A31" s="10" t="s">
        <v>134</v>
      </c>
      <c r="B31" s="10" t="s">
        <v>70</v>
      </c>
      <c r="C31" s="10" t="s">
        <v>135</v>
      </c>
      <c r="D31" s="10" t="s">
        <v>340</v>
      </c>
      <c r="E31" s="11" t="n">
        <v>7</v>
      </c>
      <c r="F31" s="10" t="s">
        <v>408</v>
      </c>
      <c r="G31" s="7" t="n">
        <v>8</v>
      </c>
      <c r="H31" s="10" t="s">
        <v>661</v>
      </c>
      <c r="I31" s="10" t="s">
        <v>605</v>
      </c>
      <c r="J31" s="10" t="s">
        <v>662</v>
      </c>
      <c r="K31" s="7" t="n">
        <v>8</v>
      </c>
      <c r="L31" s="7" t="n">
        <v>0</v>
      </c>
      <c r="M31" s="7" t="n">
        <v>2</v>
      </c>
      <c r="N31" s="7"/>
      <c r="O31" s="7" t="n">
        <v>3</v>
      </c>
      <c r="P31" s="8" t="n">
        <v>10.9494624188665</v>
      </c>
      <c r="Q31" s="9" t="n">
        <v>0.0913286846189774</v>
      </c>
      <c r="R31" s="8" t="n">
        <v>8</v>
      </c>
      <c r="S31" s="12" t="n">
        <f aca="false">IF(AND(ISNUMBER(R31),R31&gt;1,P31&gt;0),R31/P31-1,"")</f>
        <v>-0.26937052304818</v>
      </c>
    </row>
    <row r="32" customFormat="false" ht="15" hidden="false" customHeight="false" outlineLevel="0" collapsed="false">
      <c r="A32" s="10" t="s">
        <v>134</v>
      </c>
      <c r="B32" s="10" t="s">
        <v>70</v>
      </c>
      <c r="C32" s="10" t="s">
        <v>135</v>
      </c>
      <c r="D32" s="10" t="s">
        <v>340</v>
      </c>
      <c r="E32" s="11" t="n">
        <v>7</v>
      </c>
      <c r="F32" s="10" t="s">
        <v>408</v>
      </c>
      <c r="G32" s="7" t="n">
        <v>8</v>
      </c>
      <c r="H32" s="10" t="s">
        <v>663</v>
      </c>
      <c r="I32" s="10" t="s">
        <v>595</v>
      </c>
      <c r="J32" s="10" t="s">
        <v>596</v>
      </c>
      <c r="K32" s="7" t="n">
        <v>3</v>
      </c>
      <c r="L32" s="7" t="n">
        <v>0</v>
      </c>
      <c r="M32" s="7" t="n">
        <v>2</v>
      </c>
      <c r="N32" s="7" t="n">
        <v>20</v>
      </c>
      <c r="O32" s="7" t="n">
        <v>4</v>
      </c>
      <c r="P32" s="8" t="n">
        <v>11.4748900171064</v>
      </c>
      <c r="Q32" s="9" t="n">
        <v>0.0871468047632029</v>
      </c>
      <c r="R32" s="8" t="n">
        <v>4.33333333333333</v>
      </c>
      <c r="S32" s="12" t="n">
        <f aca="false">IF(AND(ISNUMBER(R32),R32&gt;1,P32&gt;0),R32/P32-1,"")</f>
        <v>-0.62236384602612</v>
      </c>
    </row>
    <row r="33" customFormat="false" ht="15" hidden="false" customHeight="false" outlineLevel="0" collapsed="false">
      <c r="A33" s="10" t="s">
        <v>134</v>
      </c>
      <c r="B33" s="10" t="s">
        <v>70</v>
      </c>
      <c r="C33" s="10" t="s">
        <v>135</v>
      </c>
      <c r="D33" s="10" t="s">
        <v>340</v>
      </c>
      <c r="E33" s="11" t="n">
        <v>7</v>
      </c>
      <c r="F33" s="10" t="s">
        <v>408</v>
      </c>
      <c r="G33" s="7" t="n">
        <v>8</v>
      </c>
      <c r="H33" s="10" t="s">
        <v>664</v>
      </c>
      <c r="I33" s="10" t="s">
        <v>590</v>
      </c>
      <c r="J33" s="10" t="s">
        <v>591</v>
      </c>
      <c r="K33" s="7" t="n">
        <v>6</v>
      </c>
      <c r="L33" s="7" t="n">
        <v>0</v>
      </c>
      <c r="M33" s="7" t="n">
        <v>2</v>
      </c>
      <c r="N33" s="7"/>
      <c r="O33" s="7" t="n">
        <v>5</v>
      </c>
      <c r="P33" s="8" t="n">
        <v>25.4597016928337</v>
      </c>
      <c r="Q33" s="9" t="n">
        <v>0.0392777579275988</v>
      </c>
      <c r="R33" s="8" t="n">
        <v>17</v>
      </c>
      <c r="S33" s="12" t="n">
        <f aca="false">IF(AND(ISNUMBER(R33),R33&gt;1,P33&gt;0),R33/P33-1,"")</f>
        <v>-0.33227811523082</v>
      </c>
    </row>
    <row r="34" customFormat="false" ht="15" hidden="false" customHeight="false" outlineLevel="0" collapsed="false">
      <c r="A34" s="10" t="s">
        <v>134</v>
      </c>
      <c r="B34" s="10" t="s">
        <v>70</v>
      </c>
      <c r="C34" s="10" t="s">
        <v>135</v>
      </c>
      <c r="D34" s="10" t="s">
        <v>340</v>
      </c>
      <c r="E34" s="11" t="n">
        <v>7</v>
      </c>
      <c r="F34" s="10" t="s">
        <v>408</v>
      </c>
      <c r="G34" s="7" t="n">
        <v>8</v>
      </c>
      <c r="H34" s="10" t="s">
        <v>665</v>
      </c>
      <c r="I34" s="10" t="s">
        <v>513</v>
      </c>
      <c r="J34" s="10" t="s">
        <v>502</v>
      </c>
      <c r="K34" s="7" t="n">
        <v>1</v>
      </c>
      <c r="L34" s="7" t="n">
        <v>0</v>
      </c>
      <c r="M34" s="7" t="n">
        <v>2</v>
      </c>
      <c r="N34" s="7"/>
      <c r="O34" s="7" t="n">
        <v>6</v>
      </c>
      <c r="P34" s="8" t="n">
        <v>26.0743388267387</v>
      </c>
      <c r="Q34" s="9" t="n">
        <v>0.0383518833073734</v>
      </c>
      <c r="R34" s="8" t="n">
        <v>11</v>
      </c>
      <c r="S34" s="12" t="n">
        <f aca="false">IF(AND(ISNUMBER(R34),R34&gt;1,P34&gt;0),R34/P34-1,"")</f>
        <v>-0.578129283618892</v>
      </c>
    </row>
    <row r="35" customFormat="false" ht="15" hidden="false" customHeight="false" outlineLevel="0" collapsed="false">
      <c r="A35" s="10" t="s">
        <v>134</v>
      </c>
      <c r="B35" s="10" t="s">
        <v>70</v>
      </c>
      <c r="C35" s="10" t="s">
        <v>135</v>
      </c>
      <c r="D35" s="10" t="s">
        <v>340</v>
      </c>
      <c r="E35" s="11" t="n">
        <v>7</v>
      </c>
      <c r="F35" s="10" t="s">
        <v>408</v>
      </c>
      <c r="G35" s="7" t="n">
        <v>8</v>
      </c>
      <c r="H35" s="10" t="s">
        <v>666</v>
      </c>
      <c r="I35" s="10" t="s">
        <v>593</v>
      </c>
      <c r="J35" s="10" t="s">
        <v>667</v>
      </c>
      <c r="K35" s="7" t="n">
        <v>7</v>
      </c>
      <c r="L35" s="7" t="n">
        <v>0</v>
      </c>
      <c r="M35" s="7" t="n">
        <v>2</v>
      </c>
      <c r="N35" s="7" t="n">
        <v>44</v>
      </c>
      <c r="O35" s="7" t="n">
        <v>7</v>
      </c>
      <c r="P35" s="8" t="n">
        <v>75.5556276849306</v>
      </c>
      <c r="Q35" s="9" t="n">
        <v>0.0132352814825393</v>
      </c>
      <c r="R35" s="8" t="n">
        <v>51</v>
      </c>
      <c r="S35" s="12" t="n">
        <f aca="false">IF(AND(ISNUMBER(R35),R35&gt;1,P35&gt;0),R35/P35-1,"")</f>
        <v>-0.325000644390493</v>
      </c>
    </row>
    <row r="36" customFormat="false" ht="15" hidden="false" customHeight="false" outlineLevel="0" collapsed="false">
      <c r="A36" s="10" t="s">
        <v>134</v>
      </c>
      <c r="B36" s="10" t="s">
        <v>70</v>
      </c>
      <c r="C36" s="10" t="s">
        <v>135</v>
      </c>
      <c r="D36" s="10" t="s">
        <v>340</v>
      </c>
      <c r="E36" s="11" t="n">
        <v>7</v>
      </c>
      <c r="F36" s="10" t="s">
        <v>408</v>
      </c>
      <c r="G36" s="7" t="n">
        <v>8</v>
      </c>
      <c r="H36" s="10" t="s">
        <v>668</v>
      </c>
      <c r="I36" s="10" t="s">
        <v>669</v>
      </c>
      <c r="J36" s="10" t="s">
        <v>305</v>
      </c>
      <c r="K36" s="7" t="n">
        <v>9</v>
      </c>
      <c r="L36" s="7" t="n">
        <v>0</v>
      </c>
      <c r="M36" s="7" t="n">
        <v>2</v>
      </c>
      <c r="N36" s="7" t="n">
        <v>13</v>
      </c>
      <c r="O36" s="7" t="n">
        <v>8</v>
      </c>
      <c r="P36" s="8" t="n">
        <v>222.450833586645</v>
      </c>
      <c r="Q36" s="9" t="n">
        <v>0.0044953753774561</v>
      </c>
      <c r="R36" s="8" t="n">
        <v>41</v>
      </c>
      <c r="S36" s="12" t="n">
        <f aca="false">IF(AND(ISNUMBER(R36),R36&gt;1,P36&gt;0),R36/P36-1,"")</f>
        <v>-0.815689609524298</v>
      </c>
    </row>
    <row r="37" customFormat="false" ht="15" hidden="false" customHeight="false" outlineLevel="0" collapsed="false">
      <c r="A37" s="10" t="s">
        <v>154</v>
      </c>
      <c r="B37" s="10" t="s">
        <v>70</v>
      </c>
      <c r="C37" s="10" t="s">
        <v>155</v>
      </c>
      <c r="D37" s="10" t="s">
        <v>340</v>
      </c>
      <c r="E37" s="11" t="n">
        <v>7</v>
      </c>
      <c r="F37" s="10" t="s">
        <v>408</v>
      </c>
      <c r="G37" s="7" t="n">
        <v>11</v>
      </c>
      <c r="H37" s="10" t="s">
        <v>156</v>
      </c>
      <c r="I37" s="10" t="s">
        <v>157</v>
      </c>
      <c r="J37" s="10" t="s">
        <v>90</v>
      </c>
      <c r="K37" s="7" t="n">
        <v>5</v>
      </c>
      <c r="L37" s="7" t="n">
        <v>90</v>
      </c>
      <c r="M37" s="7" t="n">
        <v>3</v>
      </c>
      <c r="N37" s="7" t="n">
        <v>19</v>
      </c>
      <c r="O37" s="7" t="n">
        <v>1</v>
      </c>
      <c r="P37" s="8" t="n">
        <v>5.68489783628744</v>
      </c>
      <c r="Q37" s="9" t="n">
        <v>0.175904656301274</v>
      </c>
      <c r="R37" s="8" t="n">
        <v>5.5</v>
      </c>
      <c r="S37" s="12" t="n">
        <f aca="false">IF(AND(ISNUMBER(R37),R37&gt;1,P37&gt;0),R37/P37-1,"")</f>
        <v>-0.0325243903429907</v>
      </c>
    </row>
    <row r="38" customFormat="false" ht="15" hidden="false" customHeight="false" outlineLevel="0" collapsed="false">
      <c r="A38" s="10" t="s">
        <v>154</v>
      </c>
      <c r="B38" s="10" t="s">
        <v>70</v>
      </c>
      <c r="C38" s="10" t="s">
        <v>155</v>
      </c>
      <c r="D38" s="10" t="s">
        <v>340</v>
      </c>
      <c r="E38" s="11" t="n">
        <v>7</v>
      </c>
      <c r="F38" s="10" t="s">
        <v>408</v>
      </c>
      <c r="G38" s="7" t="n">
        <v>11</v>
      </c>
      <c r="H38" s="10" t="s">
        <v>158</v>
      </c>
      <c r="I38" s="10" t="s">
        <v>605</v>
      </c>
      <c r="J38" s="10" t="s">
        <v>399</v>
      </c>
      <c r="K38" s="7" t="n">
        <v>11</v>
      </c>
      <c r="L38" s="7" t="n">
        <v>90</v>
      </c>
      <c r="M38" s="7" t="n">
        <v>3</v>
      </c>
      <c r="N38" s="7" t="n">
        <v>28</v>
      </c>
      <c r="O38" s="7" t="n">
        <v>2</v>
      </c>
      <c r="P38" s="8" t="n">
        <v>6.75772659511278</v>
      </c>
      <c r="Q38" s="9" t="n">
        <v>0.147978759709398</v>
      </c>
      <c r="R38" s="8" t="n">
        <v>5.5</v>
      </c>
      <c r="S38" s="12" t="n">
        <f aca="false">IF(AND(ISNUMBER(R38),R38&gt;1,P38&gt;0),R38/P38-1,"")</f>
        <v>-0.186116821598313</v>
      </c>
    </row>
    <row r="39" customFormat="false" ht="15" hidden="false" customHeight="false" outlineLevel="0" collapsed="false">
      <c r="A39" s="10" t="s">
        <v>154</v>
      </c>
      <c r="B39" s="10" t="s">
        <v>70</v>
      </c>
      <c r="C39" s="10" t="s">
        <v>155</v>
      </c>
      <c r="D39" s="10" t="s">
        <v>340</v>
      </c>
      <c r="E39" s="11" t="n">
        <v>7</v>
      </c>
      <c r="F39" s="10" t="s">
        <v>408</v>
      </c>
      <c r="G39" s="7" t="n">
        <v>11</v>
      </c>
      <c r="H39" s="10" t="s">
        <v>733</v>
      </c>
      <c r="I39" s="10" t="s">
        <v>734</v>
      </c>
      <c r="J39" s="10" t="s">
        <v>333</v>
      </c>
      <c r="K39" s="7" t="n">
        <v>4</v>
      </c>
      <c r="L39" s="7" t="n">
        <v>91</v>
      </c>
      <c r="M39" s="7" t="n">
        <v>6</v>
      </c>
      <c r="N39" s="7" t="n">
        <v>36</v>
      </c>
      <c r="O39" s="7" t="n">
        <v>3</v>
      </c>
      <c r="P39" s="8" t="n">
        <v>8.81573928937312</v>
      </c>
      <c r="Q39" s="9" t="n">
        <v>0.113433481546516</v>
      </c>
      <c r="R39" s="8" t="n">
        <v>5.5</v>
      </c>
      <c r="S39" s="12" t="n">
        <f aca="false">IF(AND(ISNUMBER(R39),R39&gt;1,P39&gt;0),R39/P39-1,"")</f>
        <v>-0.376115851494163</v>
      </c>
    </row>
    <row r="40" customFormat="false" ht="15" hidden="false" customHeight="false" outlineLevel="0" collapsed="false">
      <c r="A40" s="10" t="s">
        <v>154</v>
      </c>
      <c r="B40" s="10" t="s">
        <v>70</v>
      </c>
      <c r="C40" s="10" t="s">
        <v>155</v>
      </c>
      <c r="D40" s="10" t="s">
        <v>340</v>
      </c>
      <c r="E40" s="11" t="n">
        <v>7</v>
      </c>
      <c r="F40" s="10" t="s">
        <v>408</v>
      </c>
      <c r="G40" s="7" t="n">
        <v>11</v>
      </c>
      <c r="H40" s="10" t="s">
        <v>735</v>
      </c>
      <c r="I40" s="10" t="s">
        <v>590</v>
      </c>
      <c r="J40" s="10" t="s">
        <v>591</v>
      </c>
      <c r="K40" s="7" t="n">
        <v>2</v>
      </c>
      <c r="L40" s="7" t="n">
        <v>86</v>
      </c>
      <c r="M40" s="7" t="n">
        <v>5</v>
      </c>
      <c r="N40" s="7" t="n">
        <v>20</v>
      </c>
      <c r="O40" s="7" t="n">
        <v>4</v>
      </c>
      <c r="P40" s="8" t="n">
        <v>9.99650550908531</v>
      </c>
      <c r="Q40" s="9" t="n">
        <v>0.100034957124882</v>
      </c>
      <c r="R40" s="8" t="n">
        <v>5.5</v>
      </c>
      <c r="S40" s="12" t="n">
        <f aca="false">IF(AND(ISNUMBER(R40),R40&gt;1,P40&gt;0),R40/P40-1,"")</f>
        <v>-0.449807735813147</v>
      </c>
    </row>
    <row r="41" customFormat="false" ht="15" hidden="false" customHeight="false" outlineLevel="0" collapsed="false">
      <c r="A41" s="10" t="s">
        <v>154</v>
      </c>
      <c r="B41" s="10" t="s">
        <v>70</v>
      </c>
      <c r="C41" s="10" t="s">
        <v>155</v>
      </c>
      <c r="D41" s="10" t="s">
        <v>340</v>
      </c>
      <c r="E41" s="11" t="n">
        <v>7</v>
      </c>
      <c r="F41" s="10" t="s">
        <v>408</v>
      </c>
      <c r="G41" s="7" t="n">
        <v>11</v>
      </c>
      <c r="H41" s="10" t="s">
        <v>736</v>
      </c>
      <c r="I41" s="10" t="s">
        <v>513</v>
      </c>
      <c r="J41" s="10" t="s">
        <v>737</v>
      </c>
      <c r="K41" s="7" t="n">
        <v>10</v>
      </c>
      <c r="L41" s="7" t="n">
        <v>93</v>
      </c>
      <c r="M41" s="7" t="n">
        <v>4</v>
      </c>
      <c r="N41" s="7" t="n">
        <v>27</v>
      </c>
      <c r="O41" s="7" t="n">
        <v>5</v>
      </c>
      <c r="P41" s="8" t="n">
        <v>10.1831039657827</v>
      </c>
      <c r="Q41" s="9" t="n">
        <v>0.0982018845491709</v>
      </c>
      <c r="R41" s="8" t="n">
        <v>7</v>
      </c>
      <c r="S41" s="12" t="n">
        <f aca="false">IF(AND(ISNUMBER(R41),R41&gt;1,P41&gt;0),R41/P41-1,"")</f>
        <v>-0.312586808155804</v>
      </c>
    </row>
    <row r="42" customFormat="false" ht="15" hidden="false" customHeight="false" outlineLevel="0" collapsed="false">
      <c r="A42" s="10" t="s">
        <v>154</v>
      </c>
      <c r="B42" s="10" t="s">
        <v>70</v>
      </c>
      <c r="C42" s="10" t="s">
        <v>155</v>
      </c>
      <c r="D42" s="10" t="s">
        <v>340</v>
      </c>
      <c r="E42" s="11" t="n">
        <v>7</v>
      </c>
      <c r="F42" s="10" t="s">
        <v>408</v>
      </c>
      <c r="G42" s="7" t="n">
        <v>11</v>
      </c>
      <c r="H42" s="10" t="s">
        <v>738</v>
      </c>
      <c r="I42" s="10" t="s">
        <v>739</v>
      </c>
      <c r="J42" s="10" t="s">
        <v>74</v>
      </c>
      <c r="K42" s="7" t="n">
        <v>1</v>
      </c>
      <c r="L42" s="7" t="n">
        <v>82</v>
      </c>
      <c r="M42" s="7" t="n">
        <v>4</v>
      </c>
      <c r="N42" s="7" t="n">
        <v>7</v>
      </c>
      <c r="O42" s="7" t="n">
        <v>6</v>
      </c>
      <c r="P42" s="8" t="n">
        <v>11.4261394156875</v>
      </c>
      <c r="Q42" s="9" t="n">
        <v>0.0875186240618638</v>
      </c>
      <c r="R42" s="8" t="n">
        <v>12</v>
      </c>
      <c r="S42" s="12" t="n">
        <f aca="false">IF(AND(ISNUMBER(R42),R42&gt;1,P42&gt;0),R42/P42-1,"")</f>
        <v>0.0502234887423663</v>
      </c>
    </row>
    <row r="43" customFormat="false" ht="15" hidden="false" customHeight="false" outlineLevel="0" collapsed="false">
      <c r="A43" s="10" t="s">
        <v>154</v>
      </c>
      <c r="B43" s="10" t="s">
        <v>70</v>
      </c>
      <c r="C43" s="10" t="s">
        <v>155</v>
      </c>
      <c r="D43" s="10" t="s">
        <v>340</v>
      </c>
      <c r="E43" s="11" t="n">
        <v>7</v>
      </c>
      <c r="F43" s="10" t="s">
        <v>408</v>
      </c>
      <c r="G43" s="7" t="n">
        <v>11</v>
      </c>
      <c r="H43" s="10" t="s">
        <v>740</v>
      </c>
      <c r="I43" s="10" t="s">
        <v>610</v>
      </c>
      <c r="J43" s="10" t="s">
        <v>741</v>
      </c>
      <c r="K43" s="7" t="n">
        <v>9</v>
      </c>
      <c r="L43" s="7" t="n">
        <v>92</v>
      </c>
      <c r="M43" s="7" t="n">
        <v>4</v>
      </c>
      <c r="N43" s="7" t="n">
        <v>25</v>
      </c>
      <c r="O43" s="7" t="n">
        <v>7</v>
      </c>
      <c r="P43" s="8" t="n">
        <v>12.0837248915989</v>
      </c>
      <c r="Q43" s="9" t="n">
        <v>0.0827559389981841</v>
      </c>
      <c r="R43" s="8" t="n">
        <v>7.5</v>
      </c>
      <c r="S43" s="12" t="n">
        <f aca="false">IF(AND(ISNUMBER(R43),R43&gt;1,P43&gt;0),R43/P43-1,"")</f>
        <v>-0.379330457513619</v>
      </c>
    </row>
    <row r="44" customFormat="false" ht="15" hidden="false" customHeight="false" outlineLevel="0" collapsed="false">
      <c r="A44" s="10" t="s">
        <v>154</v>
      </c>
      <c r="B44" s="10" t="s">
        <v>70</v>
      </c>
      <c r="C44" s="10" t="s">
        <v>155</v>
      </c>
      <c r="D44" s="10" t="s">
        <v>340</v>
      </c>
      <c r="E44" s="11" t="n">
        <v>7</v>
      </c>
      <c r="F44" s="10" t="s">
        <v>408</v>
      </c>
      <c r="G44" s="7" t="n">
        <v>11</v>
      </c>
      <c r="H44" s="10" t="s">
        <v>742</v>
      </c>
      <c r="I44" s="10" t="s">
        <v>669</v>
      </c>
      <c r="J44" s="10" t="s">
        <v>506</v>
      </c>
      <c r="K44" s="7" t="n">
        <v>6</v>
      </c>
      <c r="L44" s="7" t="n">
        <v>82</v>
      </c>
      <c r="M44" s="7" t="n">
        <v>3</v>
      </c>
      <c r="N44" s="7" t="n">
        <v>38</v>
      </c>
      <c r="O44" s="7" t="n">
        <v>8</v>
      </c>
      <c r="P44" s="8" t="n">
        <v>12.4411027424636</v>
      </c>
      <c r="Q44" s="9" t="n">
        <v>0.0803787269264183</v>
      </c>
      <c r="R44" s="8" t="n">
        <v>10</v>
      </c>
      <c r="S44" s="12" t="n">
        <f aca="false">IF(AND(ISNUMBER(R44),R44&gt;1,P44&gt;0),R44/P44-1,"")</f>
        <v>-0.196212730735816</v>
      </c>
    </row>
    <row r="45" customFormat="false" ht="15" hidden="false" customHeight="false" outlineLevel="0" collapsed="false">
      <c r="A45" s="10" t="s">
        <v>154</v>
      </c>
      <c r="B45" s="10" t="s">
        <v>70</v>
      </c>
      <c r="C45" s="10" t="s">
        <v>155</v>
      </c>
      <c r="D45" s="10" t="s">
        <v>340</v>
      </c>
      <c r="E45" s="11" t="n">
        <v>7</v>
      </c>
      <c r="F45" s="10" t="s">
        <v>408</v>
      </c>
      <c r="G45" s="7" t="n">
        <v>11</v>
      </c>
      <c r="H45" s="10" t="s">
        <v>743</v>
      </c>
      <c r="I45" s="10" t="s">
        <v>598</v>
      </c>
      <c r="J45" s="10" t="s">
        <v>399</v>
      </c>
      <c r="K45" s="7" t="n">
        <v>3</v>
      </c>
      <c r="L45" s="7" t="n">
        <v>94</v>
      </c>
      <c r="M45" s="7" t="n">
        <v>5</v>
      </c>
      <c r="N45" s="7" t="n">
        <v>19</v>
      </c>
      <c r="O45" s="7" t="n">
        <v>9</v>
      </c>
      <c r="P45" s="8" t="n">
        <v>16.4434772474748</v>
      </c>
      <c r="Q45" s="9" t="n">
        <v>0.0608143876717782</v>
      </c>
      <c r="R45" s="8" t="n">
        <v>12</v>
      </c>
      <c r="S45" s="12" t="n">
        <f aca="false">IF(AND(ISNUMBER(R45),R45&gt;1,P45&gt;0),R45/P45-1,"")</f>
        <v>-0.270227347938661</v>
      </c>
    </row>
    <row r="46" customFormat="false" ht="15" hidden="false" customHeight="false" outlineLevel="0" collapsed="false">
      <c r="A46" s="10" t="s">
        <v>154</v>
      </c>
      <c r="B46" s="10" t="s">
        <v>70</v>
      </c>
      <c r="C46" s="10" t="s">
        <v>155</v>
      </c>
      <c r="D46" s="10" t="s">
        <v>340</v>
      </c>
      <c r="E46" s="11" t="n">
        <v>7</v>
      </c>
      <c r="F46" s="10" t="s">
        <v>408</v>
      </c>
      <c r="G46" s="7" t="n">
        <v>11</v>
      </c>
      <c r="H46" s="10" t="s">
        <v>744</v>
      </c>
      <c r="I46" s="10" t="s">
        <v>745</v>
      </c>
      <c r="J46" s="10" t="s">
        <v>90</v>
      </c>
      <c r="K46" s="7" t="n">
        <v>7</v>
      </c>
      <c r="L46" s="7" t="n">
        <v>81</v>
      </c>
      <c r="M46" s="7" t="n">
        <v>3</v>
      </c>
      <c r="N46" s="7" t="n">
        <v>14</v>
      </c>
      <c r="O46" s="7" t="n">
        <v>10</v>
      </c>
      <c r="P46" s="8" t="n">
        <v>22.5546683846255</v>
      </c>
      <c r="Q46" s="9" t="n">
        <v>0.0443367192523945</v>
      </c>
      <c r="R46" s="8" t="n">
        <v>34</v>
      </c>
      <c r="S46" s="12" t="n">
        <f aca="false">IF(AND(ISNUMBER(R46),R46&gt;1,P46&gt;0),R46/P46-1,"")</f>
        <v>0.507448454581414</v>
      </c>
    </row>
    <row r="47" customFormat="false" ht="15" hidden="false" customHeight="false" outlineLevel="0" collapsed="false">
      <c r="A47" s="10" t="s">
        <v>154</v>
      </c>
      <c r="B47" s="10" t="s">
        <v>70</v>
      </c>
      <c r="C47" s="10" t="s">
        <v>155</v>
      </c>
      <c r="D47" s="10" t="s">
        <v>340</v>
      </c>
      <c r="E47" s="11" t="n">
        <v>7</v>
      </c>
      <c r="F47" s="10" t="s">
        <v>408</v>
      </c>
      <c r="G47" s="7" t="n">
        <v>11</v>
      </c>
      <c r="H47" s="10" t="s">
        <v>746</v>
      </c>
      <c r="I47" s="10" t="s">
        <v>747</v>
      </c>
      <c r="J47" s="10" t="s">
        <v>748</v>
      </c>
      <c r="K47" s="7" t="n">
        <v>8</v>
      </c>
      <c r="L47" s="7" t="n">
        <v>89</v>
      </c>
      <c r="M47" s="7" t="n">
        <v>4</v>
      </c>
      <c r="N47" s="7" t="n">
        <v>19</v>
      </c>
      <c r="O47" s="7" t="n">
        <v>11</v>
      </c>
      <c r="P47" s="8" t="n">
        <v>115.71577803328</v>
      </c>
      <c r="Q47" s="9" t="n">
        <v>0.0086418638581196</v>
      </c>
      <c r="R47" s="8" t="n">
        <v>41</v>
      </c>
      <c r="S47" s="12" t="n">
        <f aca="false">IF(AND(ISNUMBER(R47),R47&gt;1,P47&gt;0),R47/P47-1,"")</f>
        <v>-0.645683581817095</v>
      </c>
    </row>
    <row r="48" customFormat="false" ht="15" hidden="false" customHeight="false" outlineLevel="0" collapsed="false">
      <c r="A48" s="10" t="s">
        <v>183</v>
      </c>
      <c r="B48" s="10" t="s">
        <v>70</v>
      </c>
      <c r="C48" s="10" t="s">
        <v>184</v>
      </c>
      <c r="D48" s="10" t="s">
        <v>340</v>
      </c>
      <c r="E48" s="11" t="n">
        <v>14.5</v>
      </c>
      <c r="F48" s="10" t="s">
        <v>408</v>
      </c>
      <c r="G48" s="7" t="n">
        <v>5</v>
      </c>
      <c r="H48" s="10" t="s">
        <v>185</v>
      </c>
      <c r="I48" s="10" t="s">
        <v>157</v>
      </c>
      <c r="J48" s="10" t="s">
        <v>90</v>
      </c>
      <c r="K48" s="7" t="n">
        <v>5</v>
      </c>
      <c r="L48" s="7" t="n">
        <v>88</v>
      </c>
      <c r="M48" s="7" t="n">
        <v>3</v>
      </c>
      <c r="N48" s="7" t="n">
        <v>20</v>
      </c>
      <c r="O48" s="7" t="n">
        <v>1</v>
      </c>
      <c r="P48" s="8" t="n">
        <v>3.60132342982704</v>
      </c>
      <c r="Q48" s="9" t="n">
        <v>0.277675698804988</v>
      </c>
      <c r="R48" s="8" t="n">
        <v>2.1</v>
      </c>
      <c r="S48" s="12" t="n">
        <f aca="false">IF(AND(ISNUMBER(R48),R48&gt;1,P48&gt;0),R48/P48-1,"")</f>
        <v>-0.416881032509525</v>
      </c>
    </row>
    <row r="49" customFormat="false" ht="15" hidden="false" customHeight="false" outlineLevel="0" collapsed="false">
      <c r="A49" s="10" t="s">
        <v>183</v>
      </c>
      <c r="B49" s="10" t="s">
        <v>70</v>
      </c>
      <c r="C49" s="10" t="s">
        <v>184</v>
      </c>
      <c r="D49" s="10" t="s">
        <v>340</v>
      </c>
      <c r="E49" s="11" t="n">
        <v>14.5</v>
      </c>
      <c r="F49" s="10" t="s">
        <v>408</v>
      </c>
      <c r="G49" s="7" t="n">
        <v>5</v>
      </c>
      <c r="H49" s="10" t="s">
        <v>186</v>
      </c>
      <c r="I49" s="10" t="s">
        <v>513</v>
      </c>
      <c r="J49" s="10" t="s">
        <v>404</v>
      </c>
      <c r="K49" s="7" t="n">
        <v>3</v>
      </c>
      <c r="L49" s="7" t="n">
        <v>88</v>
      </c>
      <c r="M49" s="7" t="n">
        <v>3</v>
      </c>
      <c r="N49" s="7" t="n">
        <v>34</v>
      </c>
      <c r="O49" s="7" t="n">
        <v>2</v>
      </c>
      <c r="P49" s="8" t="n">
        <v>3.67434079861681</v>
      </c>
      <c r="Q49" s="9" t="n">
        <v>0.272157661688988</v>
      </c>
      <c r="R49" s="8" t="n">
        <v>4.33333333333333</v>
      </c>
      <c r="S49" s="12" t="n">
        <f aca="false">IF(AND(ISNUMBER(R49),R49&gt;1,P49&gt;0),R49/P49-1,"")</f>
        <v>0.179349867318949</v>
      </c>
    </row>
    <row r="50" customFormat="false" ht="15" hidden="false" customHeight="false" outlineLevel="0" collapsed="false">
      <c r="A50" s="10" t="s">
        <v>183</v>
      </c>
      <c r="B50" s="10" t="s">
        <v>70</v>
      </c>
      <c r="C50" s="10" t="s">
        <v>184</v>
      </c>
      <c r="D50" s="10" t="s">
        <v>340</v>
      </c>
      <c r="E50" s="11" t="n">
        <v>14.5</v>
      </c>
      <c r="F50" s="10" t="s">
        <v>408</v>
      </c>
      <c r="G50" s="7" t="n">
        <v>5</v>
      </c>
      <c r="H50" s="10" t="s">
        <v>838</v>
      </c>
      <c r="I50" s="10" t="s">
        <v>598</v>
      </c>
      <c r="J50" s="10" t="s">
        <v>399</v>
      </c>
      <c r="K50" s="7" t="n">
        <v>1</v>
      </c>
      <c r="L50" s="7" t="n">
        <v>87</v>
      </c>
      <c r="M50" s="7" t="n">
        <v>3</v>
      </c>
      <c r="N50" s="7" t="n">
        <v>107</v>
      </c>
      <c r="O50" s="7" t="n">
        <v>3</v>
      </c>
      <c r="P50" s="8" t="n">
        <v>4.1636200347467</v>
      </c>
      <c r="Q50" s="9" t="n">
        <v>0.24017561440638</v>
      </c>
      <c r="R50" s="8" t="n">
        <v>4</v>
      </c>
      <c r="S50" s="12" t="n">
        <f aca="false">IF(AND(ISNUMBER(R50),R50&gt;1,P50&gt;0),R50/P50-1,"")</f>
        <v>-0.0392975423744821</v>
      </c>
    </row>
    <row r="51" customFormat="false" ht="15" hidden="false" customHeight="false" outlineLevel="0" collapsed="false">
      <c r="A51" s="10" t="s">
        <v>183</v>
      </c>
      <c r="B51" s="10" t="s">
        <v>70</v>
      </c>
      <c r="C51" s="10" t="s">
        <v>184</v>
      </c>
      <c r="D51" s="10" t="s">
        <v>340</v>
      </c>
      <c r="E51" s="11" t="n">
        <v>14.5</v>
      </c>
      <c r="F51" s="10" t="s">
        <v>408</v>
      </c>
      <c r="G51" s="7" t="n">
        <v>5</v>
      </c>
      <c r="H51" s="10" t="s">
        <v>839</v>
      </c>
      <c r="I51" s="10" t="s">
        <v>734</v>
      </c>
      <c r="J51" s="10" t="s">
        <v>407</v>
      </c>
      <c r="K51" s="7" t="n">
        <v>2</v>
      </c>
      <c r="L51" s="7" t="n">
        <v>89</v>
      </c>
      <c r="M51" s="7" t="n">
        <v>3</v>
      </c>
      <c r="N51" s="7" t="n">
        <v>15</v>
      </c>
      <c r="O51" s="7" t="n">
        <v>4</v>
      </c>
      <c r="P51" s="8" t="n">
        <v>6.6382736501757</v>
      </c>
      <c r="Q51" s="9" t="n">
        <v>0.150641575309799</v>
      </c>
      <c r="R51" s="8" t="n">
        <v>7</v>
      </c>
      <c r="S51" s="12" t="n">
        <f aca="false">IF(AND(ISNUMBER(R51),R51&gt;1,P51&gt;0),R51/P51-1,"")</f>
        <v>0.0544910271685961</v>
      </c>
    </row>
    <row r="52" customFormat="false" ht="15" hidden="false" customHeight="false" outlineLevel="0" collapsed="false">
      <c r="A52" s="10" t="s">
        <v>183</v>
      </c>
      <c r="B52" s="10" t="s">
        <v>70</v>
      </c>
      <c r="C52" s="10" t="s">
        <v>184</v>
      </c>
      <c r="D52" s="10" t="s">
        <v>340</v>
      </c>
      <c r="E52" s="11" t="n">
        <v>14.5</v>
      </c>
      <c r="F52" s="10" t="s">
        <v>408</v>
      </c>
      <c r="G52" s="7" t="n">
        <v>5</v>
      </c>
      <c r="H52" s="10" t="s">
        <v>840</v>
      </c>
      <c r="I52" s="10" t="s">
        <v>608</v>
      </c>
      <c r="J52" s="10" t="s">
        <v>393</v>
      </c>
      <c r="K52" s="7" t="n">
        <v>4</v>
      </c>
      <c r="L52" s="7" t="n">
        <v>78</v>
      </c>
      <c r="M52" s="7" t="n">
        <v>3</v>
      </c>
      <c r="N52" s="7" t="n">
        <v>15</v>
      </c>
      <c r="O52" s="7" t="n">
        <v>5</v>
      </c>
      <c r="P52" s="8" t="n">
        <v>16.8493558666674</v>
      </c>
      <c r="Q52" s="9" t="n">
        <v>0.0593494497898446</v>
      </c>
      <c r="R52" s="8" t="n">
        <v>13</v>
      </c>
      <c r="S52" s="12" t="n">
        <f aca="false">IF(AND(ISNUMBER(R52),R52&gt;1,P52&gt;0),R52/P52-1,"")</f>
        <v>-0.228457152732019</v>
      </c>
    </row>
    <row r="53" customFormat="false" ht="15" hidden="false" customHeight="false" outlineLevel="0" collapsed="false">
      <c r="A53" s="10" t="s">
        <v>199</v>
      </c>
      <c r="B53" s="10" t="s">
        <v>70</v>
      </c>
      <c r="C53" s="10" t="s">
        <v>200</v>
      </c>
      <c r="D53" s="10" t="s">
        <v>290</v>
      </c>
      <c r="E53" s="11" t="n">
        <v>14.5</v>
      </c>
      <c r="F53" s="10" t="s">
        <v>408</v>
      </c>
      <c r="G53" s="7" t="n">
        <v>13</v>
      </c>
      <c r="H53" s="10" t="s">
        <v>201</v>
      </c>
      <c r="I53" s="10" t="s">
        <v>116</v>
      </c>
      <c r="J53" s="10" t="s">
        <v>202</v>
      </c>
      <c r="K53" s="7" t="n">
        <v>7</v>
      </c>
      <c r="L53" s="7" t="n">
        <v>68</v>
      </c>
      <c r="M53" s="7" t="n">
        <v>6</v>
      </c>
      <c r="N53" s="7" t="n">
        <v>38</v>
      </c>
      <c r="O53" s="7" t="n">
        <v>1</v>
      </c>
      <c r="P53" s="8" t="n">
        <v>5.76350067498019</v>
      </c>
      <c r="Q53" s="9" t="n">
        <v>0.173505661991345</v>
      </c>
      <c r="R53" s="8" t="n">
        <v>7</v>
      </c>
      <c r="S53" s="12" t="n">
        <f aca="false">IF(AND(ISNUMBER(R53),R53&gt;1,P53&gt;0),R53/P53-1,"")</f>
        <v>0.214539633939413</v>
      </c>
    </row>
    <row r="54" customFormat="false" ht="15" hidden="false" customHeight="false" outlineLevel="0" collapsed="false">
      <c r="A54" s="10" t="s">
        <v>199</v>
      </c>
      <c r="B54" s="10" t="s">
        <v>70</v>
      </c>
      <c r="C54" s="10" t="s">
        <v>200</v>
      </c>
      <c r="D54" s="10" t="s">
        <v>290</v>
      </c>
      <c r="E54" s="11" t="n">
        <v>14.5</v>
      </c>
      <c r="F54" s="10" t="s">
        <v>408</v>
      </c>
      <c r="G54" s="7" t="n">
        <v>13</v>
      </c>
      <c r="H54" s="10" t="s">
        <v>203</v>
      </c>
      <c r="I54" s="10" t="s">
        <v>669</v>
      </c>
      <c r="J54" s="10" t="s">
        <v>902</v>
      </c>
      <c r="K54" s="7" t="n">
        <v>6</v>
      </c>
      <c r="L54" s="7" t="n">
        <v>69</v>
      </c>
      <c r="M54" s="7" t="n">
        <v>8</v>
      </c>
      <c r="N54" s="7" t="n">
        <v>13</v>
      </c>
      <c r="O54" s="7" t="n">
        <v>2</v>
      </c>
      <c r="P54" s="8" t="n">
        <v>6.63089771694415</v>
      </c>
      <c r="Q54" s="9" t="n">
        <v>0.150809142696421</v>
      </c>
      <c r="R54" s="8" t="n">
        <v>5</v>
      </c>
      <c r="S54" s="12" t="n">
        <f aca="false">IF(AND(ISNUMBER(R54),R54&gt;1,P54&gt;0),R54/P54-1,"")</f>
        <v>-0.245954286517897</v>
      </c>
    </row>
    <row r="55" customFormat="false" ht="15" hidden="false" customHeight="false" outlineLevel="0" collapsed="false">
      <c r="A55" s="10" t="s">
        <v>199</v>
      </c>
      <c r="B55" s="10" t="s">
        <v>70</v>
      </c>
      <c r="C55" s="10" t="s">
        <v>200</v>
      </c>
      <c r="D55" s="10" t="s">
        <v>290</v>
      </c>
      <c r="E55" s="11" t="n">
        <v>14.5</v>
      </c>
      <c r="F55" s="10" t="s">
        <v>408</v>
      </c>
      <c r="G55" s="7" t="n">
        <v>13</v>
      </c>
      <c r="H55" s="10" t="s">
        <v>903</v>
      </c>
      <c r="I55" s="10" t="s">
        <v>513</v>
      </c>
      <c r="J55" s="10" t="s">
        <v>333</v>
      </c>
      <c r="K55" s="7" t="n">
        <v>13</v>
      </c>
      <c r="L55" s="7" t="n">
        <v>70</v>
      </c>
      <c r="M55" s="7" t="n">
        <v>4</v>
      </c>
      <c r="N55" s="7" t="n">
        <v>20</v>
      </c>
      <c r="O55" s="7" t="n">
        <v>3</v>
      </c>
      <c r="P55" s="8" t="n">
        <v>7.59773282148691</v>
      </c>
      <c r="Q55" s="9" t="n">
        <v>0.131618210786767</v>
      </c>
      <c r="R55" s="8" t="n">
        <v>5.5</v>
      </c>
      <c r="S55" s="12" t="n">
        <f aca="false">IF(AND(ISNUMBER(R55),R55&gt;1,P55&gt;0),R55/P55-1,"")</f>
        <v>-0.276099840672783</v>
      </c>
    </row>
    <row r="56" customFormat="false" ht="15" hidden="false" customHeight="false" outlineLevel="0" collapsed="false">
      <c r="A56" s="10" t="s">
        <v>199</v>
      </c>
      <c r="B56" s="10" t="s">
        <v>70</v>
      </c>
      <c r="C56" s="10" t="s">
        <v>200</v>
      </c>
      <c r="D56" s="10" t="s">
        <v>290</v>
      </c>
      <c r="E56" s="11" t="n">
        <v>14.5</v>
      </c>
      <c r="F56" s="10" t="s">
        <v>408</v>
      </c>
      <c r="G56" s="7" t="n">
        <v>13</v>
      </c>
      <c r="H56" s="10" t="s">
        <v>904</v>
      </c>
      <c r="I56" s="10" t="s">
        <v>593</v>
      </c>
      <c r="J56" s="10" t="s">
        <v>67</v>
      </c>
      <c r="K56" s="7" t="n">
        <v>2</v>
      </c>
      <c r="L56" s="7" t="n">
        <v>59</v>
      </c>
      <c r="M56" s="7" t="n">
        <v>4</v>
      </c>
      <c r="N56" s="7" t="n">
        <v>23</v>
      </c>
      <c r="O56" s="7" t="n">
        <v>4</v>
      </c>
      <c r="P56" s="8" t="n">
        <v>8.85825646408998</v>
      </c>
      <c r="Q56" s="9" t="n">
        <v>0.112889032289125</v>
      </c>
      <c r="R56" s="8" t="n">
        <v>12</v>
      </c>
      <c r="S56" s="12" t="n">
        <f aca="false">IF(AND(ISNUMBER(R56),R56&gt;1,P56&gt;0),R56/P56-1,"")</f>
        <v>0.354668387469494</v>
      </c>
    </row>
    <row r="57" customFormat="false" ht="15" hidden="false" customHeight="false" outlineLevel="0" collapsed="false">
      <c r="A57" s="10" t="s">
        <v>199</v>
      </c>
      <c r="B57" s="10" t="s">
        <v>70</v>
      </c>
      <c r="C57" s="10" t="s">
        <v>200</v>
      </c>
      <c r="D57" s="10" t="s">
        <v>290</v>
      </c>
      <c r="E57" s="11" t="n">
        <v>14.5</v>
      </c>
      <c r="F57" s="10" t="s">
        <v>408</v>
      </c>
      <c r="G57" s="7" t="n">
        <v>13</v>
      </c>
      <c r="H57" s="10" t="s">
        <v>905</v>
      </c>
      <c r="I57" s="10" t="s">
        <v>598</v>
      </c>
      <c r="J57" s="10" t="s">
        <v>906</v>
      </c>
      <c r="K57" s="7" t="n">
        <v>5</v>
      </c>
      <c r="L57" s="7" t="n">
        <v>69</v>
      </c>
      <c r="M57" s="7" t="n">
        <v>4</v>
      </c>
      <c r="N57" s="7" t="n">
        <v>44</v>
      </c>
      <c r="O57" s="7" t="n">
        <v>5</v>
      </c>
      <c r="P57" s="8" t="n">
        <v>10.5249407130051</v>
      </c>
      <c r="Q57" s="9" t="n">
        <v>0.095012411686496</v>
      </c>
      <c r="R57" s="8" t="n">
        <v>11</v>
      </c>
      <c r="S57" s="12" t="n">
        <f aca="false">IF(AND(ISNUMBER(R57),R57&gt;1,P57&gt;0),R57/P57-1,"")</f>
        <v>0.0451365285514564</v>
      </c>
    </row>
    <row r="58" customFormat="false" ht="15" hidden="false" customHeight="false" outlineLevel="0" collapsed="false">
      <c r="A58" s="10" t="s">
        <v>199</v>
      </c>
      <c r="B58" s="10" t="s">
        <v>70</v>
      </c>
      <c r="C58" s="10" t="s">
        <v>200</v>
      </c>
      <c r="D58" s="10" t="s">
        <v>290</v>
      </c>
      <c r="E58" s="11" t="n">
        <v>14.5</v>
      </c>
      <c r="F58" s="10" t="s">
        <v>408</v>
      </c>
      <c r="G58" s="7" t="n">
        <v>13</v>
      </c>
      <c r="H58" s="10" t="s">
        <v>907</v>
      </c>
      <c r="I58" s="10" t="s">
        <v>603</v>
      </c>
      <c r="J58" s="10" t="s">
        <v>662</v>
      </c>
      <c r="K58" s="7" t="n">
        <v>12</v>
      </c>
      <c r="L58" s="7" t="n">
        <v>58</v>
      </c>
      <c r="M58" s="7" t="n">
        <v>4</v>
      </c>
      <c r="N58" s="7" t="n">
        <v>45</v>
      </c>
      <c r="O58" s="7" t="n">
        <v>6</v>
      </c>
      <c r="P58" s="8" t="n">
        <v>13.886226381808</v>
      </c>
      <c r="Q58" s="9" t="n">
        <v>0.0720138050831487</v>
      </c>
      <c r="R58" s="8" t="n">
        <v>6</v>
      </c>
      <c r="S58" s="12" t="n">
        <f aca="false">IF(AND(ISNUMBER(R58),R58&gt;1,P58&gt;0),R58/P58-1,"")</f>
        <v>-0.567917169501108</v>
      </c>
    </row>
    <row r="59" customFormat="false" ht="15" hidden="false" customHeight="false" outlineLevel="0" collapsed="false">
      <c r="A59" s="10" t="s">
        <v>199</v>
      </c>
      <c r="B59" s="10" t="s">
        <v>70</v>
      </c>
      <c r="C59" s="10" t="s">
        <v>200</v>
      </c>
      <c r="D59" s="10" t="s">
        <v>290</v>
      </c>
      <c r="E59" s="11" t="n">
        <v>14.5</v>
      </c>
      <c r="F59" s="10" t="s">
        <v>408</v>
      </c>
      <c r="G59" s="7" t="n">
        <v>13</v>
      </c>
      <c r="H59" s="10" t="s">
        <v>908</v>
      </c>
      <c r="I59" s="10" t="s">
        <v>909</v>
      </c>
      <c r="J59" s="10" t="s">
        <v>424</v>
      </c>
      <c r="K59" s="7" t="n">
        <v>10</v>
      </c>
      <c r="L59" s="7" t="n">
        <v>70</v>
      </c>
      <c r="M59" s="7" t="n">
        <v>7</v>
      </c>
      <c r="N59" s="7" t="n">
        <v>12</v>
      </c>
      <c r="O59" s="7" t="n">
        <v>7</v>
      </c>
      <c r="P59" s="8" t="n">
        <v>15.2997357757013</v>
      </c>
      <c r="Q59" s="9" t="n">
        <v>0.0653606058732189</v>
      </c>
      <c r="R59" s="8" t="n">
        <v>8.5</v>
      </c>
      <c r="S59" s="12" t="n">
        <f aca="false">IF(AND(ISNUMBER(R59),R59&gt;1,P59&gt;0),R59/P59-1,"")</f>
        <v>-0.444434850077638</v>
      </c>
    </row>
    <row r="60" customFormat="false" ht="15" hidden="false" customHeight="false" outlineLevel="0" collapsed="false">
      <c r="A60" s="10" t="s">
        <v>199</v>
      </c>
      <c r="B60" s="10" t="s">
        <v>70</v>
      </c>
      <c r="C60" s="10" t="s">
        <v>200</v>
      </c>
      <c r="D60" s="10" t="s">
        <v>290</v>
      </c>
      <c r="E60" s="11" t="n">
        <v>14.5</v>
      </c>
      <c r="F60" s="10" t="s">
        <v>408</v>
      </c>
      <c r="G60" s="7" t="n">
        <v>13</v>
      </c>
      <c r="H60" s="10" t="s">
        <v>910</v>
      </c>
      <c r="I60" s="10" t="s">
        <v>95</v>
      </c>
      <c r="J60" s="10" t="s">
        <v>911</v>
      </c>
      <c r="K60" s="7" t="n">
        <v>4</v>
      </c>
      <c r="L60" s="7" t="n">
        <v>62</v>
      </c>
      <c r="M60" s="7" t="n">
        <v>7</v>
      </c>
      <c r="N60" s="7" t="n">
        <v>28</v>
      </c>
      <c r="O60" s="7" t="n">
        <v>8</v>
      </c>
      <c r="P60" s="8" t="n">
        <v>22.1895027928334</v>
      </c>
      <c r="Q60" s="9" t="n">
        <v>0.045066354543238</v>
      </c>
      <c r="R60" s="8" t="n">
        <v>13</v>
      </c>
      <c r="S60" s="12" t="n">
        <f aca="false">IF(AND(ISNUMBER(R60),R60&gt;1,P60&gt;0),R60/P60-1,"")</f>
        <v>-0.414137390937905</v>
      </c>
    </row>
    <row r="61" customFormat="false" ht="15" hidden="false" customHeight="false" outlineLevel="0" collapsed="false">
      <c r="A61" s="10" t="s">
        <v>199</v>
      </c>
      <c r="B61" s="10" t="s">
        <v>70</v>
      </c>
      <c r="C61" s="10" t="s">
        <v>200</v>
      </c>
      <c r="D61" s="10" t="s">
        <v>290</v>
      </c>
      <c r="E61" s="11" t="n">
        <v>14.5</v>
      </c>
      <c r="F61" s="10" t="s">
        <v>408</v>
      </c>
      <c r="G61" s="7" t="n">
        <v>13</v>
      </c>
      <c r="H61" s="10" t="s">
        <v>912</v>
      </c>
      <c r="I61" s="10" t="s">
        <v>913</v>
      </c>
      <c r="J61" s="10" t="s">
        <v>305</v>
      </c>
      <c r="K61" s="7" t="n">
        <v>9</v>
      </c>
      <c r="L61" s="7" t="n">
        <v>61</v>
      </c>
      <c r="M61" s="7" t="n">
        <v>4</v>
      </c>
      <c r="N61" s="7" t="n">
        <v>24</v>
      </c>
      <c r="O61" s="7" t="n">
        <v>9</v>
      </c>
      <c r="P61" s="8" t="n">
        <v>26.3714989247339</v>
      </c>
      <c r="Q61" s="9" t="n">
        <v>0.0379197254905406</v>
      </c>
      <c r="R61" s="8" t="n">
        <v>15</v>
      </c>
      <c r="S61" s="12" t="n">
        <f aca="false">IF(AND(ISNUMBER(R61),R61&gt;1,P61&gt;0),R61/P61-1,"")</f>
        <v>-0.43120411764189</v>
      </c>
    </row>
    <row r="62" customFormat="false" ht="15" hidden="false" customHeight="false" outlineLevel="0" collapsed="false">
      <c r="A62" s="10" t="s">
        <v>199</v>
      </c>
      <c r="B62" s="10" t="s">
        <v>70</v>
      </c>
      <c r="C62" s="10" t="s">
        <v>200</v>
      </c>
      <c r="D62" s="10" t="s">
        <v>290</v>
      </c>
      <c r="E62" s="11" t="n">
        <v>14.5</v>
      </c>
      <c r="F62" s="10" t="s">
        <v>408</v>
      </c>
      <c r="G62" s="7" t="n">
        <v>13</v>
      </c>
      <c r="H62" s="10" t="s">
        <v>914</v>
      </c>
      <c r="I62" s="10" t="s">
        <v>915</v>
      </c>
      <c r="J62" s="10" t="s">
        <v>275</v>
      </c>
      <c r="K62" s="7" t="n">
        <v>11</v>
      </c>
      <c r="L62" s="7" t="n">
        <v>55</v>
      </c>
      <c r="M62" s="7" t="n">
        <v>10</v>
      </c>
      <c r="N62" s="7" t="n">
        <v>23</v>
      </c>
      <c r="O62" s="7" t="n">
        <v>10</v>
      </c>
      <c r="P62" s="8" t="n">
        <v>27.3564040383754</v>
      </c>
      <c r="Q62" s="9" t="n">
        <v>0.0365545120110525</v>
      </c>
      <c r="R62" s="8" t="n">
        <v>13</v>
      </c>
      <c r="S62" s="12" t="n">
        <f aca="false">IF(AND(ISNUMBER(R62),R62&gt;1,P62&gt;0),R62/P62-1,"")</f>
        <v>-0.524791343856317</v>
      </c>
    </row>
    <row r="63" customFormat="false" ht="15" hidden="false" customHeight="false" outlineLevel="0" collapsed="false">
      <c r="A63" s="10" t="s">
        <v>199</v>
      </c>
      <c r="B63" s="10" t="s">
        <v>70</v>
      </c>
      <c r="C63" s="10" t="s">
        <v>200</v>
      </c>
      <c r="D63" s="10" t="s">
        <v>290</v>
      </c>
      <c r="E63" s="11" t="n">
        <v>14.5</v>
      </c>
      <c r="F63" s="10" t="s">
        <v>408</v>
      </c>
      <c r="G63" s="7" t="n">
        <v>13</v>
      </c>
      <c r="H63" s="10" t="s">
        <v>916</v>
      </c>
      <c r="I63" s="10" t="s">
        <v>917</v>
      </c>
      <c r="J63" s="10" t="s">
        <v>918</v>
      </c>
      <c r="K63" s="7" t="n">
        <v>14</v>
      </c>
      <c r="L63" s="7" t="n">
        <v>62</v>
      </c>
      <c r="M63" s="7" t="n">
        <v>4</v>
      </c>
      <c r="N63" s="7" t="n">
        <v>17</v>
      </c>
      <c r="O63" s="7" t="n">
        <v>11</v>
      </c>
      <c r="P63" s="8" t="n">
        <v>27.6445150468332</v>
      </c>
      <c r="Q63" s="9" t="n">
        <v>0.0361735410552826</v>
      </c>
      <c r="R63" s="8" t="n">
        <v>21</v>
      </c>
      <c r="S63" s="12" t="n">
        <f aca="false">IF(AND(ISNUMBER(R63),R63&gt;1,P63&gt;0),R63/P63-1,"")</f>
        <v>-0.240355637839064</v>
      </c>
    </row>
    <row r="64" customFormat="false" ht="15" hidden="false" customHeight="false" outlineLevel="0" collapsed="false">
      <c r="A64" s="10" t="s">
        <v>199</v>
      </c>
      <c r="B64" s="10" t="s">
        <v>70</v>
      </c>
      <c r="C64" s="10" t="s">
        <v>200</v>
      </c>
      <c r="D64" s="10" t="s">
        <v>290</v>
      </c>
      <c r="E64" s="11" t="n">
        <v>14.5</v>
      </c>
      <c r="F64" s="10" t="s">
        <v>408</v>
      </c>
      <c r="G64" s="7" t="n">
        <v>13</v>
      </c>
      <c r="H64" s="10" t="s">
        <v>919</v>
      </c>
      <c r="I64" s="10" t="s">
        <v>739</v>
      </c>
      <c r="J64" s="10" t="s">
        <v>74</v>
      </c>
      <c r="K64" s="7" t="n">
        <v>1</v>
      </c>
      <c r="L64" s="7" t="n">
        <v>69</v>
      </c>
      <c r="M64" s="7" t="n">
        <v>7</v>
      </c>
      <c r="N64" s="7" t="n">
        <v>19</v>
      </c>
      <c r="O64" s="7" t="n">
        <v>12</v>
      </c>
      <c r="P64" s="8" t="n">
        <v>27.8996919130359</v>
      </c>
      <c r="Q64" s="9" t="n">
        <v>0.0358426897012707</v>
      </c>
      <c r="R64" s="8" t="n">
        <v>17</v>
      </c>
      <c r="S64" s="12" t="n">
        <f aca="false">IF(AND(ISNUMBER(R64),R64&gt;1,P64&gt;0),R64/P64-1,"")</f>
        <v>-0.390674275078397</v>
      </c>
    </row>
    <row r="65" customFormat="false" ht="15" hidden="false" customHeight="false" outlineLevel="0" collapsed="false">
      <c r="A65" s="10" t="s">
        <v>199</v>
      </c>
      <c r="B65" s="10" t="s">
        <v>70</v>
      </c>
      <c r="C65" s="10" t="s">
        <v>200</v>
      </c>
      <c r="D65" s="10" t="s">
        <v>290</v>
      </c>
      <c r="E65" s="11" t="n">
        <v>14.5</v>
      </c>
      <c r="F65" s="10" t="s">
        <v>408</v>
      </c>
      <c r="G65" s="7" t="n">
        <v>13</v>
      </c>
      <c r="H65" s="10" t="s">
        <v>920</v>
      </c>
      <c r="I65" s="10" t="s">
        <v>921</v>
      </c>
      <c r="J65" s="10" t="s">
        <v>818</v>
      </c>
      <c r="K65" s="7" t="n">
        <v>3</v>
      </c>
      <c r="L65" s="7" t="n">
        <v>55</v>
      </c>
      <c r="M65" s="7" t="n">
        <v>4</v>
      </c>
      <c r="N65" s="7" t="n">
        <v>16</v>
      </c>
      <c r="O65" s="7" t="n">
        <v>13</v>
      </c>
      <c r="P65" s="8" t="n">
        <v>138.230244961784</v>
      </c>
      <c r="Q65" s="9" t="n">
        <v>0.007234306792095</v>
      </c>
      <c r="R65" s="8" t="n">
        <v>41</v>
      </c>
      <c r="S65" s="12" t="n">
        <f aca="false">IF(AND(ISNUMBER(R65),R65&gt;1,P65&gt;0),R65/P65-1,"")</f>
        <v>-0.703393421524101</v>
      </c>
    </row>
  </sheetData>
  <autoFilter ref="A1:S65"/>
  <conditionalFormatting sqref="A2:S65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5" t="s">
        <v>26</v>
      </c>
      <c r="B1" s="5" t="s">
        <v>27</v>
      </c>
      <c r="C1" s="5" t="s">
        <v>28</v>
      </c>
      <c r="D1" s="5" t="s">
        <v>282</v>
      </c>
      <c r="E1" s="5" t="s">
        <v>283</v>
      </c>
      <c r="F1" s="5" t="s">
        <v>284</v>
      </c>
      <c r="G1" s="5" t="s">
        <v>1</v>
      </c>
      <c r="H1" s="5" t="s">
        <v>285</v>
      </c>
      <c r="I1" s="5" t="s">
        <v>30</v>
      </c>
      <c r="J1" s="5" t="s">
        <v>31</v>
      </c>
      <c r="K1" s="5" t="s">
        <v>286</v>
      </c>
      <c r="L1" s="5" t="s">
        <v>287</v>
      </c>
      <c r="M1" s="5" t="s">
        <v>288</v>
      </c>
      <c r="N1" s="5" t="s">
        <v>289</v>
      </c>
      <c r="O1" s="5" t="s">
        <v>18</v>
      </c>
      <c r="P1" s="5" t="s">
        <v>14</v>
      </c>
      <c r="Q1" s="5" t="s">
        <v>16</v>
      </c>
      <c r="R1" s="5" t="s">
        <v>20</v>
      </c>
      <c r="S1" s="5" t="s">
        <v>22</v>
      </c>
    </row>
    <row r="2" customFormat="false" ht="15" hidden="false" customHeight="false" outlineLevel="0" collapsed="false">
      <c r="A2" s="10" t="s">
        <v>171</v>
      </c>
      <c r="B2" s="10" t="s">
        <v>172</v>
      </c>
      <c r="C2" s="10" t="s">
        <v>173</v>
      </c>
      <c r="D2" s="10" t="s">
        <v>795</v>
      </c>
      <c r="E2" s="11" t="n">
        <v>12.5</v>
      </c>
      <c r="F2" s="10" t="s">
        <v>796</v>
      </c>
      <c r="G2" s="7" t="n">
        <v>13</v>
      </c>
      <c r="H2" s="10" t="s">
        <v>174</v>
      </c>
      <c r="I2" s="10" t="s">
        <v>175</v>
      </c>
      <c r="J2" s="10" t="s">
        <v>176</v>
      </c>
      <c r="K2" s="7" t="n">
        <v>9</v>
      </c>
      <c r="L2" s="7" t="n">
        <v>64</v>
      </c>
      <c r="M2" s="7" t="n">
        <v>6</v>
      </c>
      <c r="N2" s="7" t="n">
        <v>20</v>
      </c>
      <c r="O2" s="7" t="n">
        <v>1</v>
      </c>
      <c r="P2" s="8" t="n">
        <v>3.87874785734754</v>
      </c>
      <c r="Q2" s="9" t="n">
        <v>0.257815160143935</v>
      </c>
      <c r="R2" s="8" t="n">
        <v>3.5</v>
      </c>
      <c r="S2" s="12" t="n">
        <f aca="false">IF(AND(ISNUMBER(R2),R2&gt;1,P2&gt;0),R2/P2-1,"")</f>
        <v>-0.0976469394962271</v>
      </c>
    </row>
    <row r="3" customFormat="false" ht="15" hidden="false" customHeight="false" outlineLevel="0" collapsed="false">
      <c r="A3" s="10" t="s">
        <v>171</v>
      </c>
      <c r="B3" s="10" t="s">
        <v>172</v>
      </c>
      <c r="C3" s="10" t="s">
        <v>173</v>
      </c>
      <c r="D3" s="10" t="s">
        <v>795</v>
      </c>
      <c r="E3" s="11" t="n">
        <v>12.5</v>
      </c>
      <c r="F3" s="10" t="s">
        <v>796</v>
      </c>
      <c r="G3" s="7" t="n">
        <v>13</v>
      </c>
      <c r="H3" s="10" t="s">
        <v>177</v>
      </c>
      <c r="I3" s="10" t="s">
        <v>797</v>
      </c>
      <c r="J3" s="10" t="s">
        <v>798</v>
      </c>
      <c r="K3" s="7" t="n">
        <v>4</v>
      </c>
      <c r="L3" s="7" t="n">
        <v>62</v>
      </c>
      <c r="M3" s="7" t="n">
        <v>3</v>
      </c>
      <c r="N3" s="7" t="n">
        <v>29</v>
      </c>
      <c r="O3" s="7" t="n">
        <v>2</v>
      </c>
      <c r="P3" s="8" t="n">
        <v>5.38082621076101</v>
      </c>
      <c r="Q3" s="9" t="n">
        <v>0.185845065577498</v>
      </c>
      <c r="R3" s="8" t="n">
        <v>3.75</v>
      </c>
      <c r="S3" s="12" t="n">
        <f aca="false">IF(AND(ISNUMBER(R3),R3&gt;1,P3&gt;0),R3/P3-1,"")</f>
        <v>-0.303081004084382</v>
      </c>
    </row>
    <row r="4" customFormat="false" ht="15" hidden="false" customHeight="false" outlineLevel="0" collapsed="false">
      <c r="A4" s="10" t="s">
        <v>171</v>
      </c>
      <c r="B4" s="10" t="s">
        <v>172</v>
      </c>
      <c r="C4" s="10" t="s">
        <v>173</v>
      </c>
      <c r="D4" s="10" t="s">
        <v>795</v>
      </c>
      <c r="E4" s="11" t="n">
        <v>12.5</v>
      </c>
      <c r="F4" s="10" t="s">
        <v>796</v>
      </c>
      <c r="G4" s="7" t="n">
        <v>13</v>
      </c>
      <c r="H4" s="10" t="s">
        <v>799</v>
      </c>
      <c r="I4" s="10" t="s">
        <v>800</v>
      </c>
      <c r="J4" s="10" t="s">
        <v>412</v>
      </c>
      <c r="K4" s="7" t="n">
        <v>10</v>
      </c>
      <c r="L4" s="7" t="n">
        <v>65</v>
      </c>
      <c r="M4" s="7" t="n">
        <v>6</v>
      </c>
      <c r="N4" s="7" t="n">
        <v>19</v>
      </c>
      <c r="O4" s="7" t="n">
        <v>3</v>
      </c>
      <c r="P4" s="8" t="n">
        <v>9.38338350989808</v>
      </c>
      <c r="Q4" s="9" t="n">
        <v>0.10657136617566</v>
      </c>
      <c r="R4" s="8" t="n">
        <v>7</v>
      </c>
      <c r="S4" s="12" t="n">
        <f aca="false">IF(AND(ISNUMBER(R4),R4&gt;1,P4&gt;0),R4/P4-1,"")</f>
        <v>-0.254000436770379</v>
      </c>
    </row>
    <row r="5" customFormat="false" ht="15" hidden="false" customHeight="false" outlineLevel="0" collapsed="false">
      <c r="A5" s="10" t="s">
        <v>171</v>
      </c>
      <c r="B5" s="10" t="s">
        <v>172</v>
      </c>
      <c r="C5" s="10" t="s">
        <v>173</v>
      </c>
      <c r="D5" s="10" t="s">
        <v>795</v>
      </c>
      <c r="E5" s="11" t="n">
        <v>12.5</v>
      </c>
      <c r="F5" s="10" t="s">
        <v>796</v>
      </c>
      <c r="G5" s="7" t="n">
        <v>13</v>
      </c>
      <c r="H5" s="10" t="s">
        <v>801</v>
      </c>
      <c r="I5" s="10" t="s">
        <v>231</v>
      </c>
      <c r="J5" s="10" t="s">
        <v>802</v>
      </c>
      <c r="K5" s="7" t="n">
        <v>13</v>
      </c>
      <c r="L5" s="7" t="n">
        <v>57</v>
      </c>
      <c r="M5" s="7" t="n">
        <v>3</v>
      </c>
      <c r="N5" s="7" t="n">
        <v>16</v>
      </c>
      <c r="O5" s="7" t="n">
        <v>4</v>
      </c>
      <c r="P5" s="8" t="n">
        <v>10.3425123960809</v>
      </c>
      <c r="Q5" s="9" t="n">
        <v>0.0966883056750247</v>
      </c>
      <c r="R5" s="8" t="n">
        <v>8</v>
      </c>
      <c r="S5" s="12" t="n">
        <f aca="false">IF(AND(ISNUMBER(R5),R5&gt;1,P5&gt;0),R5/P5-1,"")</f>
        <v>-0.226493554599803</v>
      </c>
    </row>
    <row r="6" customFormat="false" ht="15" hidden="false" customHeight="false" outlineLevel="0" collapsed="false">
      <c r="A6" s="10" t="s">
        <v>171</v>
      </c>
      <c r="B6" s="10" t="s">
        <v>172</v>
      </c>
      <c r="C6" s="10" t="s">
        <v>173</v>
      </c>
      <c r="D6" s="10" t="s">
        <v>795</v>
      </c>
      <c r="E6" s="11" t="n">
        <v>12.5</v>
      </c>
      <c r="F6" s="10" t="s">
        <v>796</v>
      </c>
      <c r="G6" s="7" t="n">
        <v>13</v>
      </c>
      <c r="H6" s="10" t="s">
        <v>803</v>
      </c>
      <c r="I6" s="10" t="s">
        <v>804</v>
      </c>
      <c r="J6" s="10" t="s">
        <v>805</v>
      </c>
      <c r="K6" s="7" t="n">
        <v>11</v>
      </c>
      <c r="L6" s="7" t="n">
        <v>65</v>
      </c>
      <c r="M6" s="7" t="n">
        <v>3</v>
      </c>
      <c r="N6" s="7" t="n">
        <v>43</v>
      </c>
      <c r="O6" s="7" t="n">
        <v>5</v>
      </c>
      <c r="P6" s="8" t="n">
        <v>11.932604967272</v>
      </c>
      <c r="Q6" s="9" t="n">
        <v>0.0838039977643385</v>
      </c>
      <c r="R6" s="8" t="n">
        <v>8.5</v>
      </c>
      <c r="S6" s="12" t="n">
        <f aca="false">IF(AND(ISNUMBER(R6),R6&gt;1,P6&gt;0),R6/P6-1,"")</f>
        <v>-0.287666019003123</v>
      </c>
    </row>
    <row r="7" customFormat="false" ht="15" hidden="false" customHeight="false" outlineLevel="0" collapsed="false">
      <c r="A7" s="10" t="s">
        <v>171</v>
      </c>
      <c r="B7" s="10" t="s">
        <v>172</v>
      </c>
      <c r="C7" s="10" t="s">
        <v>173</v>
      </c>
      <c r="D7" s="10" t="s">
        <v>795</v>
      </c>
      <c r="E7" s="11" t="n">
        <v>12.5</v>
      </c>
      <c r="F7" s="10" t="s">
        <v>796</v>
      </c>
      <c r="G7" s="7" t="n">
        <v>13</v>
      </c>
      <c r="H7" s="10" t="s">
        <v>806</v>
      </c>
      <c r="I7" s="10" t="s">
        <v>219</v>
      </c>
      <c r="J7" s="10" t="s">
        <v>807</v>
      </c>
      <c r="K7" s="7" t="n">
        <v>1</v>
      </c>
      <c r="L7" s="7" t="n">
        <v>54</v>
      </c>
      <c r="M7" s="7" t="n">
        <v>4</v>
      </c>
      <c r="N7" s="7" t="n">
        <v>14</v>
      </c>
      <c r="O7" s="7" t="n">
        <v>6</v>
      </c>
      <c r="P7" s="8" t="n">
        <v>15.6765016396019</v>
      </c>
      <c r="Q7" s="9" t="n">
        <v>0.0637897423155819</v>
      </c>
      <c r="R7" s="8" t="n">
        <v>8</v>
      </c>
      <c r="S7" s="12" t="n">
        <f aca="false">IF(AND(ISNUMBER(R7),R7&gt;1,P7&gt;0),R7/P7-1,"")</f>
        <v>-0.489682061475344</v>
      </c>
    </row>
    <row r="8" customFormat="false" ht="15" hidden="false" customHeight="false" outlineLevel="0" collapsed="false">
      <c r="A8" s="10" t="s">
        <v>171</v>
      </c>
      <c r="B8" s="10" t="s">
        <v>172</v>
      </c>
      <c r="C8" s="10" t="s">
        <v>173</v>
      </c>
      <c r="D8" s="10" t="s">
        <v>795</v>
      </c>
      <c r="E8" s="11" t="n">
        <v>12.5</v>
      </c>
      <c r="F8" s="10" t="s">
        <v>796</v>
      </c>
      <c r="G8" s="7" t="n">
        <v>13</v>
      </c>
      <c r="H8" s="10" t="s">
        <v>808</v>
      </c>
      <c r="I8" s="10" t="s">
        <v>809</v>
      </c>
      <c r="J8" s="10" t="s">
        <v>412</v>
      </c>
      <c r="K8" s="7" t="n">
        <v>12</v>
      </c>
      <c r="L8" s="7" t="n">
        <v>61</v>
      </c>
      <c r="M8" s="7" t="n">
        <v>5</v>
      </c>
      <c r="N8" s="7" t="n">
        <v>23</v>
      </c>
      <c r="O8" s="7" t="n">
        <v>7</v>
      </c>
      <c r="P8" s="8" t="n">
        <v>17.2329793558282</v>
      </c>
      <c r="Q8" s="9" t="n">
        <v>0.0580282712206581</v>
      </c>
      <c r="R8" s="8" t="n">
        <v>13</v>
      </c>
      <c r="S8" s="12" t="n">
        <f aca="false">IF(AND(ISNUMBER(R8),R8&gt;1,P8&gt;0),R8/P8-1,"")</f>
        <v>-0.245632474131444</v>
      </c>
    </row>
    <row r="9" customFormat="false" ht="15" hidden="false" customHeight="false" outlineLevel="0" collapsed="false">
      <c r="A9" s="10" t="s">
        <v>171</v>
      </c>
      <c r="B9" s="10" t="s">
        <v>172</v>
      </c>
      <c r="C9" s="10" t="s">
        <v>173</v>
      </c>
      <c r="D9" s="10" t="s">
        <v>795</v>
      </c>
      <c r="E9" s="11" t="n">
        <v>12.5</v>
      </c>
      <c r="F9" s="10" t="s">
        <v>796</v>
      </c>
      <c r="G9" s="7" t="n">
        <v>13</v>
      </c>
      <c r="H9" s="10" t="s">
        <v>810</v>
      </c>
      <c r="I9" s="10" t="s">
        <v>811</v>
      </c>
      <c r="J9" s="10" t="s">
        <v>812</v>
      </c>
      <c r="K9" s="7" t="n">
        <v>2</v>
      </c>
      <c r="L9" s="7" t="n">
        <v>61</v>
      </c>
      <c r="M9" s="7" t="n">
        <v>8</v>
      </c>
      <c r="N9" s="7" t="n">
        <v>115</v>
      </c>
      <c r="O9" s="7" t="n">
        <v>8</v>
      </c>
      <c r="P9" s="8" t="n">
        <v>29.0642938255335</v>
      </c>
      <c r="Q9" s="9" t="n">
        <v>0.0344064784784649</v>
      </c>
      <c r="R9" s="8" t="n">
        <v>29</v>
      </c>
      <c r="S9" s="12" t="n">
        <f aca="false">IF(AND(ISNUMBER(R9),R9&gt;1,P9&gt;0),R9/P9-1,"")</f>
        <v>-0.00221212412451655</v>
      </c>
    </row>
    <row r="10" customFormat="false" ht="15" hidden="false" customHeight="false" outlineLevel="0" collapsed="false">
      <c r="A10" s="10" t="s">
        <v>171</v>
      </c>
      <c r="B10" s="10" t="s">
        <v>172</v>
      </c>
      <c r="C10" s="10" t="s">
        <v>173</v>
      </c>
      <c r="D10" s="10" t="s">
        <v>795</v>
      </c>
      <c r="E10" s="11" t="n">
        <v>12.5</v>
      </c>
      <c r="F10" s="10" t="s">
        <v>796</v>
      </c>
      <c r="G10" s="7" t="n">
        <v>13</v>
      </c>
      <c r="H10" s="10" t="s">
        <v>813</v>
      </c>
      <c r="I10" s="10" t="s">
        <v>265</v>
      </c>
      <c r="J10" s="10" t="s">
        <v>807</v>
      </c>
      <c r="K10" s="7" t="n">
        <v>8</v>
      </c>
      <c r="L10" s="7" t="n">
        <v>62</v>
      </c>
      <c r="M10" s="7" t="n">
        <v>4</v>
      </c>
      <c r="N10" s="7" t="n">
        <v>47</v>
      </c>
      <c r="O10" s="7" t="n">
        <v>9</v>
      </c>
      <c r="P10" s="8" t="n">
        <v>32.0438154116339</v>
      </c>
      <c r="Q10" s="9" t="n">
        <v>0.0312072700193167</v>
      </c>
      <c r="R10" s="8" t="n">
        <v>17</v>
      </c>
      <c r="S10" s="12" t="n">
        <f aca="false">IF(AND(ISNUMBER(R10),R10&gt;1,P10&gt;0),R10/P10-1,"")</f>
        <v>-0.469476409671616</v>
      </c>
    </row>
    <row r="11" customFormat="false" ht="15" hidden="false" customHeight="false" outlineLevel="0" collapsed="false">
      <c r="A11" s="10" t="s">
        <v>171</v>
      </c>
      <c r="B11" s="10" t="s">
        <v>172</v>
      </c>
      <c r="C11" s="10" t="s">
        <v>173</v>
      </c>
      <c r="D11" s="10" t="s">
        <v>795</v>
      </c>
      <c r="E11" s="11" t="n">
        <v>12.5</v>
      </c>
      <c r="F11" s="10" t="s">
        <v>796</v>
      </c>
      <c r="G11" s="7" t="n">
        <v>13</v>
      </c>
      <c r="H11" s="10" t="s">
        <v>814</v>
      </c>
      <c r="I11" s="10" t="s">
        <v>815</v>
      </c>
      <c r="J11" s="10" t="s">
        <v>816</v>
      </c>
      <c r="K11" s="7" t="n">
        <v>7</v>
      </c>
      <c r="L11" s="7" t="n">
        <v>61</v>
      </c>
      <c r="M11" s="7" t="n">
        <v>3</v>
      </c>
      <c r="N11" s="7" t="n">
        <v>16</v>
      </c>
      <c r="O11" s="7" t="n">
        <v>10</v>
      </c>
      <c r="P11" s="8" t="n">
        <v>41.1215422052516</v>
      </c>
      <c r="Q11" s="9" t="n">
        <v>0.0243181540956966</v>
      </c>
      <c r="R11" s="8" t="n">
        <v>26</v>
      </c>
      <c r="S11" s="12" t="n">
        <f aca="false">IF(AND(ISNUMBER(R11),R11&gt;1,P11&gt;0),R11/P11-1,"")</f>
        <v>-0.367727993511888</v>
      </c>
    </row>
    <row r="12" customFormat="false" ht="15" hidden="false" customHeight="false" outlineLevel="0" collapsed="false">
      <c r="A12" s="10" t="s">
        <v>171</v>
      </c>
      <c r="B12" s="10" t="s">
        <v>172</v>
      </c>
      <c r="C12" s="10" t="s">
        <v>173</v>
      </c>
      <c r="D12" s="10" t="s">
        <v>795</v>
      </c>
      <c r="E12" s="11" t="n">
        <v>12.5</v>
      </c>
      <c r="F12" s="10" t="s">
        <v>796</v>
      </c>
      <c r="G12" s="7" t="n">
        <v>13</v>
      </c>
      <c r="H12" s="10" t="s">
        <v>817</v>
      </c>
      <c r="I12" s="10" t="s">
        <v>196</v>
      </c>
      <c r="J12" s="10" t="s">
        <v>818</v>
      </c>
      <c r="K12" s="7" t="n">
        <v>3</v>
      </c>
      <c r="L12" s="7" t="n">
        <v>46</v>
      </c>
      <c r="M12" s="7" t="n">
        <v>4</v>
      </c>
      <c r="N12" s="7" t="n">
        <v>23</v>
      </c>
      <c r="O12" s="7" t="n">
        <v>11</v>
      </c>
      <c r="P12" s="8" t="n">
        <v>44.7327410892244</v>
      </c>
      <c r="Q12" s="9" t="n">
        <v>0.0223549904533099</v>
      </c>
      <c r="R12" s="8" t="n">
        <v>26</v>
      </c>
      <c r="S12" s="12" t="n">
        <f aca="false">IF(AND(ISNUMBER(R12),R12&gt;1,P12&gt;0),R12/P12-1,"")</f>
        <v>-0.41877024821394</v>
      </c>
    </row>
    <row r="13" customFormat="false" ht="15" hidden="false" customHeight="false" outlineLevel="0" collapsed="false">
      <c r="A13" s="10" t="s">
        <v>171</v>
      </c>
      <c r="B13" s="10" t="s">
        <v>172</v>
      </c>
      <c r="C13" s="10" t="s">
        <v>173</v>
      </c>
      <c r="D13" s="10" t="s">
        <v>795</v>
      </c>
      <c r="E13" s="11" t="n">
        <v>12.5</v>
      </c>
      <c r="F13" s="10" t="s">
        <v>796</v>
      </c>
      <c r="G13" s="7" t="n">
        <v>13</v>
      </c>
      <c r="H13" s="10" t="s">
        <v>819</v>
      </c>
      <c r="I13" s="10" t="s">
        <v>820</v>
      </c>
      <c r="J13" s="10" t="s">
        <v>176</v>
      </c>
      <c r="K13" s="7" t="n">
        <v>6</v>
      </c>
      <c r="L13" s="7" t="n">
        <v>64</v>
      </c>
      <c r="M13" s="7" t="n">
        <v>3</v>
      </c>
      <c r="N13" s="7" t="n">
        <v>16</v>
      </c>
      <c r="O13" s="7" t="n">
        <v>12</v>
      </c>
      <c r="P13" s="8" t="n">
        <v>48.0010045501682</v>
      </c>
      <c r="Q13" s="9" t="n">
        <v>0.0208328973397806</v>
      </c>
      <c r="R13" s="8" t="n">
        <v>26</v>
      </c>
      <c r="S13" s="12" t="n">
        <f aca="false">IF(AND(ISNUMBER(R13),R13&gt;1,P13&gt;0),R13/P13-1,"")</f>
        <v>-0.458344669165702</v>
      </c>
    </row>
    <row r="14" customFormat="false" ht="15" hidden="false" customHeight="false" outlineLevel="0" collapsed="false">
      <c r="A14" s="10" t="s">
        <v>171</v>
      </c>
      <c r="B14" s="10" t="s">
        <v>172</v>
      </c>
      <c r="C14" s="10" t="s">
        <v>173</v>
      </c>
      <c r="D14" s="10" t="s">
        <v>795</v>
      </c>
      <c r="E14" s="11" t="n">
        <v>12.5</v>
      </c>
      <c r="F14" s="10" t="s">
        <v>796</v>
      </c>
      <c r="G14" s="7" t="n">
        <v>13</v>
      </c>
      <c r="H14" s="10" t="s">
        <v>821</v>
      </c>
      <c r="I14" s="10" t="s">
        <v>822</v>
      </c>
      <c r="J14" s="10" t="s">
        <v>823</v>
      </c>
      <c r="K14" s="7" t="n">
        <v>5</v>
      </c>
      <c r="L14" s="7" t="n">
        <v>46</v>
      </c>
      <c r="M14" s="7" t="n">
        <v>4</v>
      </c>
      <c r="N14" s="7" t="n">
        <v>30</v>
      </c>
      <c r="O14" s="7" t="n">
        <v>13</v>
      </c>
      <c r="P14" s="8" t="n">
        <v>69.7432714016841</v>
      </c>
      <c r="Q14" s="9" t="n">
        <v>0.0143383007407342</v>
      </c>
      <c r="R14" s="8" t="n">
        <v>51</v>
      </c>
      <c r="S14" s="12" t="n">
        <f aca="false">IF(AND(ISNUMBER(R14),R14&gt;1,P14&gt;0),R14/P14-1,"")</f>
        <v>-0.268746662222551</v>
      </c>
    </row>
    <row r="15" customFormat="false" ht="15" hidden="false" customHeight="false" outlineLevel="0" collapsed="false">
      <c r="A15" s="10" t="s">
        <v>193</v>
      </c>
      <c r="B15" s="10" t="s">
        <v>172</v>
      </c>
      <c r="C15" s="10" t="s">
        <v>194</v>
      </c>
      <c r="D15" s="10" t="s">
        <v>795</v>
      </c>
      <c r="E15" s="11" t="n">
        <v>10</v>
      </c>
      <c r="F15" s="10" t="s">
        <v>796</v>
      </c>
      <c r="G15" s="7" t="n">
        <v>14</v>
      </c>
      <c r="H15" s="10" t="s">
        <v>195</v>
      </c>
      <c r="I15" s="10" t="s">
        <v>196</v>
      </c>
      <c r="J15" s="10" t="s">
        <v>197</v>
      </c>
      <c r="K15" s="7" t="n">
        <v>5</v>
      </c>
      <c r="L15" s="7" t="n">
        <v>57</v>
      </c>
      <c r="M15" s="7" t="n">
        <v>3</v>
      </c>
      <c r="N15" s="7" t="n">
        <v>23</v>
      </c>
      <c r="O15" s="7" t="n">
        <v>1</v>
      </c>
      <c r="P15" s="8" t="n">
        <v>6.10491311564324</v>
      </c>
      <c r="Q15" s="9" t="n">
        <v>0.163802494983524</v>
      </c>
      <c r="R15" s="8" t="n">
        <v>2.25</v>
      </c>
      <c r="S15" s="12" t="n">
        <f aca="false">IF(AND(ISNUMBER(R15),R15&gt;1,P15&gt;0),R15/P15-1,"")</f>
        <v>-0.631444386287072</v>
      </c>
    </row>
    <row r="16" customFormat="false" ht="15" hidden="false" customHeight="false" outlineLevel="0" collapsed="false">
      <c r="A16" s="10" t="s">
        <v>193</v>
      </c>
      <c r="B16" s="10" t="s">
        <v>172</v>
      </c>
      <c r="C16" s="10" t="s">
        <v>194</v>
      </c>
      <c r="D16" s="10" t="s">
        <v>795</v>
      </c>
      <c r="E16" s="11" t="n">
        <v>10</v>
      </c>
      <c r="F16" s="10" t="s">
        <v>796</v>
      </c>
      <c r="G16" s="7" t="n">
        <v>14</v>
      </c>
      <c r="H16" s="10" t="s">
        <v>198</v>
      </c>
      <c r="I16" s="10" t="s">
        <v>875</v>
      </c>
      <c r="J16" s="10" t="s">
        <v>876</v>
      </c>
      <c r="K16" s="7" t="n">
        <v>8</v>
      </c>
      <c r="L16" s="7" t="n">
        <v>57</v>
      </c>
      <c r="M16" s="7" t="n">
        <v>4</v>
      </c>
      <c r="N16" s="7" t="n">
        <v>62</v>
      </c>
      <c r="O16" s="7" t="n">
        <v>2</v>
      </c>
      <c r="P16" s="8" t="n">
        <v>6.2754152913895</v>
      </c>
      <c r="Q16" s="9" t="n">
        <v>0.159352003583269</v>
      </c>
      <c r="R16" s="8" t="n">
        <v>5.5</v>
      </c>
      <c r="S16" s="12" t="n">
        <f aca="false">IF(AND(ISNUMBER(R16),R16&gt;1,P16&gt;0),R16/P16-1,"")</f>
        <v>-0.123563980292021</v>
      </c>
    </row>
    <row r="17" customFormat="false" ht="15" hidden="false" customHeight="false" outlineLevel="0" collapsed="false">
      <c r="A17" s="10" t="s">
        <v>193</v>
      </c>
      <c r="B17" s="10" t="s">
        <v>172</v>
      </c>
      <c r="C17" s="10" t="s">
        <v>194</v>
      </c>
      <c r="D17" s="10" t="s">
        <v>795</v>
      </c>
      <c r="E17" s="11" t="n">
        <v>10</v>
      </c>
      <c r="F17" s="10" t="s">
        <v>796</v>
      </c>
      <c r="G17" s="7" t="n">
        <v>14</v>
      </c>
      <c r="H17" s="10" t="s">
        <v>877</v>
      </c>
      <c r="I17" s="10" t="s">
        <v>809</v>
      </c>
      <c r="J17" s="10" t="s">
        <v>412</v>
      </c>
      <c r="K17" s="7" t="n">
        <v>6</v>
      </c>
      <c r="L17" s="7" t="n">
        <v>55</v>
      </c>
      <c r="M17" s="7" t="n">
        <v>8</v>
      </c>
      <c r="N17" s="7" t="n">
        <v>6</v>
      </c>
      <c r="O17" s="7" t="n">
        <v>3</v>
      </c>
      <c r="P17" s="8" t="n">
        <v>7.71998187250096</v>
      </c>
      <c r="Q17" s="9" t="n">
        <v>0.129533982918025</v>
      </c>
      <c r="R17" s="8" t="n">
        <v>8</v>
      </c>
      <c r="S17" s="12" t="n">
        <f aca="false">IF(AND(ISNUMBER(R17),R17&gt;1,P17&gt;0),R17/P17-1,"")</f>
        <v>0.0362718633441974</v>
      </c>
    </row>
    <row r="18" customFormat="false" ht="15" hidden="false" customHeight="false" outlineLevel="0" collapsed="false">
      <c r="A18" s="10" t="s">
        <v>193</v>
      </c>
      <c r="B18" s="10" t="s">
        <v>172</v>
      </c>
      <c r="C18" s="10" t="s">
        <v>194</v>
      </c>
      <c r="D18" s="10" t="s">
        <v>795</v>
      </c>
      <c r="E18" s="11" t="n">
        <v>10</v>
      </c>
      <c r="F18" s="10" t="s">
        <v>796</v>
      </c>
      <c r="G18" s="7" t="n">
        <v>14</v>
      </c>
      <c r="H18" s="10" t="s">
        <v>878</v>
      </c>
      <c r="I18" s="10" t="s">
        <v>879</v>
      </c>
      <c r="J18" s="10" t="s">
        <v>880</v>
      </c>
      <c r="K18" s="7" t="n">
        <v>14</v>
      </c>
      <c r="L18" s="7" t="n">
        <v>58</v>
      </c>
      <c r="M18" s="7" t="n">
        <v>3</v>
      </c>
      <c r="N18" s="7" t="n">
        <v>16</v>
      </c>
      <c r="O18" s="7" t="n">
        <v>4</v>
      </c>
      <c r="P18" s="8" t="n">
        <v>9.18786068240061</v>
      </c>
      <c r="Q18" s="9" t="n">
        <v>0.108839264608736</v>
      </c>
      <c r="R18" s="8" t="n">
        <v>8</v>
      </c>
      <c r="S18" s="12" t="n">
        <f aca="false">IF(AND(ISNUMBER(R18),R18&gt;1,P18&gt;0),R18/P18-1,"")</f>
        <v>-0.129285883130113</v>
      </c>
    </row>
    <row r="19" customFormat="false" ht="15" hidden="false" customHeight="false" outlineLevel="0" collapsed="false">
      <c r="A19" s="10" t="s">
        <v>193</v>
      </c>
      <c r="B19" s="10" t="s">
        <v>172</v>
      </c>
      <c r="C19" s="10" t="s">
        <v>194</v>
      </c>
      <c r="D19" s="10" t="s">
        <v>795</v>
      </c>
      <c r="E19" s="11" t="n">
        <v>10</v>
      </c>
      <c r="F19" s="10" t="s">
        <v>796</v>
      </c>
      <c r="G19" s="7" t="n">
        <v>14</v>
      </c>
      <c r="H19" s="10" t="s">
        <v>881</v>
      </c>
      <c r="I19" s="10" t="s">
        <v>804</v>
      </c>
      <c r="J19" s="10" t="s">
        <v>882</v>
      </c>
      <c r="K19" s="7" t="n">
        <v>12</v>
      </c>
      <c r="L19" s="7" t="n">
        <v>55</v>
      </c>
      <c r="M19" s="7" t="n">
        <v>4</v>
      </c>
      <c r="N19" s="7" t="n">
        <v>29</v>
      </c>
      <c r="O19" s="7" t="n">
        <v>5</v>
      </c>
      <c r="P19" s="8" t="n">
        <v>14.7294057410548</v>
      </c>
      <c r="Q19" s="9" t="n">
        <v>0.0678914015663735</v>
      </c>
      <c r="R19" s="8" t="n">
        <v>19</v>
      </c>
      <c r="S19" s="12" t="n">
        <f aca="false">IF(AND(ISNUMBER(R19),R19&gt;1,P19&gt;0),R19/P19-1,"")</f>
        <v>0.289936629761097</v>
      </c>
    </row>
    <row r="20" customFormat="false" ht="15" hidden="false" customHeight="false" outlineLevel="0" collapsed="false">
      <c r="A20" s="10" t="s">
        <v>193</v>
      </c>
      <c r="B20" s="10" t="s">
        <v>172</v>
      </c>
      <c r="C20" s="10" t="s">
        <v>194</v>
      </c>
      <c r="D20" s="10" t="s">
        <v>795</v>
      </c>
      <c r="E20" s="11" t="n">
        <v>10</v>
      </c>
      <c r="F20" s="10" t="s">
        <v>796</v>
      </c>
      <c r="G20" s="7" t="n">
        <v>14</v>
      </c>
      <c r="H20" s="10" t="s">
        <v>883</v>
      </c>
      <c r="I20" s="10" t="s">
        <v>243</v>
      </c>
      <c r="J20" s="10" t="s">
        <v>244</v>
      </c>
      <c r="K20" s="7" t="n">
        <v>7</v>
      </c>
      <c r="L20" s="7" t="n">
        <v>57</v>
      </c>
      <c r="M20" s="7" t="n">
        <v>4</v>
      </c>
      <c r="N20" s="7" t="n">
        <v>41</v>
      </c>
      <c r="O20" s="7" t="n">
        <v>6</v>
      </c>
      <c r="P20" s="8" t="n">
        <v>14.9770819721362</v>
      </c>
      <c r="Q20" s="9" t="n">
        <v>0.0667686804319043</v>
      </c>
      <c r="R20" s="8" t="n">
        <v>10</v>
      </c>
      <c r="S20" s="12" t="n">
        <f aca="false">IF(AND(ISNUMBER(R20),R20&gt;1,P20&gt;0),R20/P20-1,"")</f>
        <v>-0.332313195680956</v>
      </c>
    </row>
    <row r="21" customFormat="false" ht="15" hidden="false" customHeight="false" outlineLevel="0" collapsed="false">
      <c r="A21" s="10" t="s">
        <v>193</v>
      </c>
      <c r="B21" s="10" t="s">
        <v>172</v>
      </c>
      <c r="C21" s="10" t="s">
        <v>194</v>
      </c>
      <c r="D21" s="10" t="s">
        <v>795</v>
      </c>
      <c r="E21" s="11" t="n">
        <v>10</v>
      </c>
      <c r="F21" s="10" t="s">
        <v>796</v>
      </c>
      <c r="G21" s="7" t="n">
        <v>14</v>
      </c>
      <c r="H21" s="10" t="s">
        <v>884</v>
      </c>
      <c r="I21" s="10" t="s">
        <v>885</v>
      </c>
      <c r="J21" s="10" t="s">
        <v>886</v>
      </c>
      <c r="K21" s="7" t="n">
        <v>10</v>
      </c>
      <c r="L21" s="7" t="n">
        <v>56</v>
      </c>
      <c r="M21" s="7" t="n">
        <v>4</v>
      </c>
      <c r="N21" s="7" t="n">
        <v>8</v>
      </c>
      <c r="O21" s="7" t="n">
        <v>7</v>
      </c>
      <c r="P21" s="8" t="n">
        <v>16.7149907033675</v>
      </c>
      <c r="Q21" s="9" t="n">
        <v>0.0598265364155145</v>
      </c>
      <c r="R21" s="8" t="n">
        <v>17</v>
      </c>
      <c r="S21" s="12" t="n">
        <f aca="false">IF(AND(ISNUMBER(R21),R21&gt;1,P21&gt;0),R21/P21-1,"")</f>
        <v>0.0170511190637472</v>
      </c>
    </row>
    <row r="22" customFormat="false" ht="15" hidden="false" customHeight="false" outlineLevel="0" collapsed="false">
      <c r="A22" s="10" t="s">
        <v>193</v>
      </c>
      <c r="B22" s="10" t="s">
        <v>172</v>
      </c>
      <c r="C22" s="10" t="s">
        <v>194</v>
      </c>
      <c r="D22" s="10" t="s">
        <v>795</v>
      </c>
      <c r="E22" s="11" t="n">
        <v>10</v>
      </c>
      <c r="F22" s="10" t="s">
        <v>796</v>
      </c>
      <c r="G22" s="7" t="n">
        <v>14</v>
      </c>
      <c r="H22" s="10" t="s">
        <v>887</v>
      </c>
      <c r="I22" s="10" t="s">
        <v>888</v>
      </c>
      <c r="J22" s="10" t="s">
        <v>889</v>
      </c>
      <c r="K22" s="7" t="n">
        <v>9</v>
      </c>
      <c r="L22" s="7" t="n">
        <v>46</v>
      </c>
      <c r="M22" s="7" t="n">
        <v>4</v>
      </c>
      <c r="N22" s="7" t="n">
        <v>23</v>
      </c>
      <c r="O22" s="7" t="n">
        <v>8</v>
      </c>
      <c r="P22" s="8" t="n">
        <v>18.633352685774</v>
      </c>
      <c r="Q22" s="9" t="n">
        <v>0.0536672072312284</v>
      </c>
      <c r="R22" s="8" t="n">
        <v>17</v>
      </c>
      <c r="S22" s="12" t="n">
        <f aca="false">IF(AND(ISNUMBER(R22),R22&gt;1,P22&gt;0),R22/P22-1,"")</f>
        <v>-0.0876574770691162</v>
      </c>
    </row>
    <row r="23" customFormat="false" ht="15" hidden="false" customHeight="false" outlineLevel="0" collapsed="false">
      <c r="A23" s="10" t="s">
        <v>193</v>
      </c>
      <c r="B23" s="10" t="s">
        <v>172</v>
      </c>
      <c r="C23" s="10" t="s">
        <v>194</v>
      </c>
      <c r="D23" s="10" t="s">
        <v>795</v>
      </c>
      <c r="E23" s="11" t="n">
        <v>10</v>
      </c>
      <c r="F23" s="10" t="s">
        <v>796</v>
      </c>
      <c r="G23" s="7" t="n">
        <v>14</v>
      </c>
      <c r="H23" s="10" t="s">
        <v>890</v>
      </c>
      <c r="I23" s="10" t="s">
        <v>891</v>
      </c>
      <c r="J23" s="10" t="s">
        <v>892</v>
      </c>
      <c r="K23" s="7" t="n">
        <v>11</v>
      </c>
      <c r="L23" s="7" t="n">
        <v>48</v>
      </c>
      <c r="M23" s="7" t="n">
        <v>5</v>
      </c>
      <c r="N23" s="7" t="n">
        <v>23</v>
      </c>
      <c r="O23" s="7" t="n">
        <v>9</v>
      </c>
      <c r="P23" s="8" t="n">
        <v>19.7093388020913</v>
      </c>
      <c r="Q23" s="9" t="n">
        <v>0.0507373692258966</v>
      </c>
      <c r="R23" s="8" t="n">
        <v>17</v>
      </c>
      <c r="S23" s="12" t="n">
        <f aca="false">IF(AND(ISNUMBER(R23),R23&gt;1,P23&gt;0),R23/P23-1,"")</f>
        <v>-0.137464723159756</v>
      </c>
    </row>
    <row r="24" customFormat="false" ht="15" hidden="false" customHeight="false" outlineLevel="0" collapsed="false">
      <c r="A24" s="10" t="s">
        <v>193</v>
      </c>
      <c r="B24" s="10" t="s">
        <v>172</v>
      </c>
      <c r="C24" s="10" t="s">
        <v>194</v>
      </c>
      <c r="D24" s="10" t="s">
        <v>795</v>
      </c>
      <c r="E24" s="11" t="n">
        <v>10</v>
      </c>
      <c r="F24" s="10" t="s">
        <v>796</v>
      </c>
      <c r="G24" s="7" t="n">
        <v>14</v>
      </c>
      <c r="H24" s="10" t="s">
        <v>893</v>
      </c>
      <c r="I24" s="10" t="s">
        <v>797</v>
      </c>
      <c r="J24" s="10" t="s">
        <v>818</v>
      </c>
      <c r="K24" s="7" t="n">
        <v>1</v>
      </c>
      <c r="L24" s="7" t="n">
        <v>55</v>
      </c>
      <c r="M24" s="7" t="n">
        <v>8</v>
      </c>
      <c r="N24" s="7" t="n">
        <v>7</v>
      </c>
      <c r="O24" s="7" t="n">
        <v>10</v>
      </c>
      <c r="P24" s="8" t="n">
        <v>21.1478758878891</v>
      </c>
      <c r="Q24" s="9" t="n">
        <v>0.0472860728567392</v>
      </c>
      <c r="R24" s="8" t="n">
        <v>13</v>
      </c>
      <c r="S24" s="12" t="n">
        <f aca="false">IF(AND(ISNUMBER(R24),R24&gt;1,P24&gt;0),R24/P24-1,"")</f>
        <v>-0.38528105286239</v>
      </c>
    </row>
    <row r="25" customFormat="false" ht="15" hidden="false" customHeight="false" outlineLevel="0" collapsed="false">
      <c r="A25" s="10" t="s">
        <v>193</v>
      </c>
      <c r="B25" s="10" t="s">
        <v>172</v>
      </c>
      <c r="C25" s="10" t="s">
        <v>194</v>
      </c>
      <c r="D25" s="10" t="s">
        <v>795</v>
      </c>
      <c r="E25" s="11" t="n">
        <v>10</v>
      </c>
      <c r="F25" s="10" t="s">
        <v>796</v>
      </c>
      <c r="G25" s="7" t="n">
        <v>14</v>
      </c>
      <c r="H25" s="10" t="s">
        <v>894</v>
      </c>
      <c r="I25" s="10" t="s">
        <v>895</v>
      </c>
      <c r="J25" s="10" t="s">
        <v>896</v>
      </c>
      <c r="K25" s="7" t="n">
        <v>2</v>
      </c>
      <c r="L25" s="7" t="n">
        <v>60</v>
      </c>
      <c r="M25" s="7" t="n">
        <v>7</v>
      </c>
      <c r="N25" s="7" t="n">
        <v>42</v>
      </c>
      <c r="O25" s="7" t="n">
        <v>11</v>
      </c>
      <c r="P25" s="8" t="n">
        <v>23.879597025944</v>
      </c>
      <c r="Q25" s="9" t="n">
        <v>0.0418767535697336</v>
      </c>
      <c r="R25" s="8" t="n">
        <v>17</v>
      </c>
      <c r="S25" s="12" t="n">
        <f aca="false">IF(AND(ISNUMBER(R25),R25&gt;1,P25&gt;0),R25/P25-1,"")</f>
        <v>-0.288095189314528</v>
      </c>
    </row>
    <row r="26" customFormat="false" ht="15" hidden="false" customHeight="false" outlineLevel="0" collapsed="false">
      <c r="A26" s="10" t="s">
        <v>193</v>
      </c>
      <c r="B26" s="10" t="s">
        <v>172</v>
      </c>
      <c r="C26" s="10" t="s">
        <v>194</v>
      </c>
      <c r="D26" s="10" t="s">
        <v>795</v>
      </c>
      <c r="E26" s="11" t="n">
        <v>10</v>
      </c>
      <c r="F26" s="10" t="s">
        <v>796</v>
      </c>
      <c r="G26" s="7" t="n">
        <v>14</v>
      </c>
      <c r="H26" s="10" t="s">
        <v>897</v>
      </c>
      <c r="I26" s="10" t="s">
        <v>815</v>
      </c>
      <c r="J26" s="10" t="s">
        <v>427</v>
      </c>
      <c r="K26" s="7" t="n">
        <v>3</v>
      </c>
      <c r="L26" s="7" t="n">
        <v>59</v>
      </c>
      <c r="M26" s="7" t="n">
        <v>4</v>
      </c>
      <c r="N26" s="7" t="n">
        <v>24</v>
      </c>
      <c r="O26" s="7" t="n">
        <v>12</v>
      </c>
      <c r="P26" s="8" t="n">
        <v>30.5211820257127</v>
      </c>
      <c r="Q26" s="9" t="n">
        <v>0.0327641307979993</v>
      </c>
      <c r="R26" s="8" t="n">
        <v>21</v>
      </c>
      <c r="S26" s="12" t="n">
        <f aca="false">IF(AND(ISNUMBER(R26),R26&gt;1,P26&gt;0),R26/P26-1,"")</f>
        <v>-0.311953253242013</v>
      </c>
    </row>
    <row r="27" customFormat="false" ht="15" hidden="false" customHeight="false" outlineLevel="0" collapsed="false">
      <c r="A27" s="10" t="s">
        <v>193</v>
      </c>
      <c r="B27" s="10" t="s">
        <v>172</v>
      </c>
      <c r="C27" s="10" t="s">
        <v>194</v>
      </c>
      <c r="D27" s="10" t="s">
        <v>795</v>
      </c>
      <c r="E27" s="11" t="n">
        <v>10</v>
      </c>
      <c r="F27" s="10" t="s">
        <v>796</v>
      </c>
      <c r="G27" s="7" t="n">
        <v>14</v>
      </c>
      <c r="H27" s="10" t="s">
        <v>898</v>
      </c>
      <c r="I27" s="10" t="s">
        <v>219</v>
      </c>
      <c r="J27" s="10" t="s">
        <v>807</v>
      </c>
      <c r="K27" s="7" t="n">
        <v>13</v>
      </c>
      <c r="L27" s="7" t="n">
        <v>57</v>
      </c>
      <c r="M27" s="7" t="n">
        <v>3</v>
      </c>
      <c r="N27" s="7" t="n">
        <v>25</v>
      </c>
      <c r="O27" s="7" t="n">
        <v>13</v>
      </c>
      <c r="P27" s="8" t="n">
        <v>64.2328944068243</v>
      </c>
      <c r="Q27" s="9" t="n">
        <v>0.015568347172189</v>
      </c>
      <c r="R27" s="8" t="n">
        <v>67</v>
      </c>
      <c r="S27" s="12" t="n">
        <f aca="false">IF(AND(ISNUMBER(R27),R27&gt;1,P27&gt;0),R27/P27-1,"")</f>
        <v>0.0430792605366659</v>
      </c>
    </row>
    <row r="28" customFormat="false" ht="15" hidden="false" customHeight="false" outlineLevel="0" collapsed="false">
      <c r="A28" s="10" t="s">
        <v>193</v>
      </c>
      <c r="B28" s="10" t="s">
        <v>172</v>
      </c>
      <c r="C28" s="10" t="s">
        <v>194</v>
      </c>
      <c r="D28" s="10" t="s">
        <v>795</v>
      </c>
      <c r="E28" s="11" t="n">
        <v>10</v>
      </c>
      <c r="F28" s="10" t="s">
        <v>796</v>
      </c>
      <c r="G28" s="7" t="n">
        <v>14</v>
      </c>
      <c r="H28" s="10" t="s">
        <v>899</v>
      </c>
      <c r="I28" s="10" t="s">
        <v>900</v>
      </c>
      <c r="J28" s="10" t="s">
        <v>901</v>
      </c>
      <c r="K28" s="7" t="n">
        <v>4</v>
      </c>
      <c r="L28" s="7" t="n">
        <v>46</v>
      </c>
      <c r="M28" s="7" t="n">
        <v>6</v>
      </c>
      <c r="N28" s="7" t="n">
        <v>37</v>
      </c>
      <c r="O28" s="7" t="n">
        <v>14</v>
      </c>
      <c r="P28" s="8" t="n">
        <v>479.442778822122</v>
      </c>
      <c r="Q28" s="9" t="n">
        <v>0.0020857546388679</v>
      </c>
      <c r="R28" s="8" t="n">
        <v>101</v>
      </c>
      <c r="S28" s="12" t="n">
        <f aca="false">IF(AND(ISNUMBER(R28),R28&gt;1,P28&gt;0),R28/P28-1,"")</f>
        <v>-0.789338781474333</v>
      </c>
    </row>
    <row r="29" customFormat="false" ht="15" hidden="false" customHeight="false" outlineLevel="0" collapsed="false">
      <c r="A29" s="10" t="s">
        <v>216</v>
      </c>
      <c r="B29" s="10" t="s">
        <v>172</v>
      </c>
      <c r="C29" s="10" t="s">
        <v>217</v>
      </c>
      <c r="D29" s="10" t="s">
        <v>508</v>
      </c>
      <c r="E29" s="11" t="n">
        <v>6</v>
      </c>
      <c r="F29" s="10" t="s">
        <v>796</v>
      </c>
      <c r="G29" s="7" t="n">
        <v>5</v>
      </c>
      <c r="H29" s="10" t="s">
        <v>218</v>
      </c>
      <c r="I29" s="10" t="s">
        <v>219</v>
      </c>
      <c r="J29" s="10" t="s">
        <v>220</v>
      </c>
      <c r="K29" s="7" t="n">
        <v>3</v>
      </c>
      <c r="L29" s="7" t="n">
        <v>64</v>
      </c>
      <c r="M29" s="7" t="n">
        <v>3</v>
      </c>
      <c r="N29" s="7" t="n">
        <v>23</v>
      </c>
      <c r="O29" s="7" t="n">
        <v>1</v>
      </c>
      <c r="P29" s="8" t="n">
        <v>2.69774848738914</v>
      </c>
      <c r="Q29" s="9" t="n">
        <v>0.370679477599408</v>
      </c>
      <c r="R29" s="8" t="n">
        <v>4.33333333333333</v>
      </c>
      <c r="S29" s="12" t="n">
        <f aca="false">IF(AND(ISNUMBER(R29),R29&gt;1,P29&gt;0),R29/P29-1,"")</f>
        <v>0.606277736264103</v>
      </c>
    </row>
    <row r="30" customFormat="false" ht="15" hidden="false" customHeight="false" outlineLevel="0" collapsed="false">
      <c r="A30" s="10" t="s">
        <v>216</v>
      </c>
      <c r="B30" s="10" t="s">
        <v>172</v>
      </c>
      <c r="C30" s="10" t="s">
        <v>217</v>
      </c>
      <c r="D30" s="10" t="s">
        <v>508</v>
      </c>
      <c r="E30" s="11" t="n">
        <v>6</v>
      </c>
      <c r="F30" s="10" t="s">
        <v>796</v>
      </c>
      <c r="G30" s="7" t="n">
        <v>5</v>
      </c>
      <c r="H30" s="10" t="s">
        <v>221</v>
      </c>
      <c r="I30" s="10" t="s">
        <v>265</v>
      </c>
      <c r="J30" s="10" t="s">
        <v>918</v>
      </c>
      <c r="K30" s="7" t="n">
        <v>2</v>
      </c>
      <c r="L30" s="7" t="n">
        <v>77</v>
      </c>
      <c r="M30" s="7" t="n">
        <v>3</v>
      </c>
      <c r="N30" s="7" t="n">
        <v>41</v>
      </c>
      <c r="O30" s="7" t="n">
        <v>2</v>
      </c>
      <c r="P30" s="8" t="n">
        <v>3.20752358233918</v>
      </c>
      <c r="Q30" s="9" t="n">
        <v>0.311766998536211</v>
      </c>
      <c r="R30" s="8" t="n">
        <v>2.25</v>
      </c>
      <c r="S30" s="12" t="n">
        <f aca="false">IF(AND(ISNUMBER(R30),R30&gt;1,P30&gt;0),R30/P30-1,"")</f>
        <v>-0.298524253293526</v>
      </c>
    </row>
    <row r="31" customFormat="false" ht="15" hidden="false" customHeight="false" outlineLevel="0" collapsed="false">
      <c r="A31" s="10" t="s">
        <v>216</v>
      </c>
      <c r="B31" s="10" t="s">
        <v>172</v>
      </c>
      <c r="C31" s="10" t="s">
        <v>217</v>
      </c>
      <c r="D31" s="10" t="s">
        <v>508</v>
      </c>
      <c r="E31" s="11" t="n">
        <v>6</v>
      </c>
      <c r="F31" s="10" t="s">
        <v>796</v>
      </c>
      <c r="G31" s="7" t="n">
        <v>5</v>
      </c>
      <c r="H31" s="10" t="s">
        <v>992</v>
      </c>
      <c r="I31" s="10" t="s">
        <v>993</v>
      </c>
      <c r="J31" s="10" t="s">
        <v>748</v>
      </c>
      <c r="K31" s="7" t="n">
        <v>1</v>
      </c>
      <c r="L31" s="7" t="n">
        <v>0</v>
      </c>
      <c r="M31" s="7" t="n">
        <v>3</v>
      </c>
      <c r="N31" s="7" t="n">
        <v>20</v>
      </c>
      <c r="O31" s="7" t="n">
        <v>3</v>
      </c>
      <c r="P31" s="8" t="n">
        <v>8.45160545567705</v>
      </c>
      <c r="Q31" s="9" t="n">
        <v>0.118320714951062</v>
      </c>
      <c r="R31" s="8" t="n">
        <v>4.33333333333333</v>
      </c>
      <c r="S31" s="12" t="n">
        <f aca="false">IF(AND(ISNUMBER(R31),R31&gt;1,P31&gt;0),R31/P31-1,"")</f>
        <v>-0.487276901878733</v>
      </c>
    </row>
    <row r="32" customFormat="false" ht="15" hidden="false" customHeight="false" outlineLevel="0" collapsed="false">
      <c r="A32" s="10" t="s">
        <v>216</v>
      </c>
      <c r="B32" s="10" t="s">
        <v>172</v>
      </c>
      <c r="C32" s="10" t="s">
        <v>217</v>
      </c>
      <c r="D32" s="10" t="s">
        <v>508</v>
      </c>
      <c r="E32" s="11" t="n">
        <v>6</v>
      </c>
      <c r="F32" s="10" t="s">
        <v>796</v>
      </c>
      <c r="G32" s="7" t="n">
        <v>5</v>
      </c>
      <c r="H32" s="10" t="s">
        <v>994</v>
      </c>
      <c r="I32" s="10" t="s">
        <v>815</v>
      </c>
      <c r="J32" s="10" t="s">
        <v>427</v>
      </c>
      <c r="K32" s="7" t="n">
        <v>5</v>
      </c>
      <c r="L32" s="7" t="n">
        <v>0</v>
      </c>
      <c r="M32" s="7" t="n">
        <v>3</v>
      </c>
      <c r="N32" s="7" t="n">
        <v>40</v>
      </c>
      <c r="O32" s="7" t="n">
        <v>4</v>
      </c>
      <c r="P32" s="8" t="n">
        <v>9.24292737564005</v>
      </c>
      <c r="Q32" s="9" t="n">
        <v>0.108190831687753</v>
      </c>
      <c r="R32" s="8" t="n">
        <v>6.5</v>
      </c>
      <c r="S32" s="12" t="n">
        <f aca="false">IF(AND(ISNUMBER(R32),R32&gt;1,P32&gt;0),R32/P32-1,"")</f>
        <v>-0.296759594029603</v>
      </c>
    </row>
    <row r="33" customFormat="false" ht="15" hidden="false" customHeight="false" outlineLevel="0" collapsed="false">
      <c r="A33" s="10" t="s">
        <v>216</v>
      </c>
      <c r="B33" s="10" t="s">
        <v>172</v>
      </c>
      <c r="C33" s="10" t="s">
        <v>217</v>
      </c>
      <c r="D33" s="10" t="s">
        <v>508</v>
      </c>
      <c r="E33" s="11" t="n">
        <v>6</v>
      </c>
      <c r="F33" s="10" t="s">
        <v>796</v>
      </c>
      <c r="G33" s="7" t="n">
        <v>5</v>
      </c>
      <c r="H33" s="10" t="s">
        <v>995</v>
      </c>
      <c r="I33" s="10" t="s">
        <v>196</v>
      </c>
      <c r="J33" s="10" t="s">
        <v>197</v>
      </c>
      <c r="K33" s="7" t="n">
        <v>4</v>
      </c>
      <c r="L33" s="7" t="n">
        <v>0</v>
      </c>
      <c r="M33" s="7" t="n">
        <v>3</v>
      </c>
      <c r="N33" s="7" t="n">
        <v>20</v>
      </c>
      <c r="O33" s="7" t="n">
        <v>5</v>
      </c>
      <c r="P33" s="8" t="n">
        <v>10.983944225227</v>
      </c>
      <c r="Q33" s="9" t="n">
        <v>0.0910419772255661</v>
      </c>
      <c r="R33" s="8" t="n">
        <v>13</v>
      </c>
      <c r="S33" s="12" t="n">
        <f aca="false">IF(AND(ISNUMBER(R33),R33&gt;1,P33&gt;0),R33/P33-1,"")</f>
        <v>0.183545703932359</v>
      </c>
    </row>
    <row r="34" customFormat="false" ht="15" hidden="false" customHeight="false" outlineLevel="0" collapsed="false">
      <c r="A34" s="10" t="s">
        <v>228</v>
      </c>
      <c r="B34" s="10" t="s">
        <v>172</v>
      </c>
      <c r="C34" s="10" t="s">
        <v>229</v>
      </c>
      <c r="D34" s="10" t="s">
        <v>508</v>
      </c>
      <c r="E34" s="11" t="n">
        <v>7</v>
      </c>
      <c r="F34" s="10" t="s">
        <v>796</v>
      </c>
      <c r="G34" s="7" t="n">
        <v>13</v>
      </c>
      <c r="H34" s="10" t="s">
        <v>230</v>
      </c>
      <c r="I34" s="10" t="s">
        <v>231</v>
      </c>
      <c r="J34" s="10" t="s">
        <v>232</v>
      </c>
      <c r="K34" s="7" t="n">
        <v>8</v>
      </c>
      <c r="L34" s="7" t="n">
        <v>0</v>
      </c>
      <c r="M34" s="7" t="n">
        <v>2</v>
      </c>
      <c r="N34" s="7" t="n">
        <v>46</v>
      </c>
      <c r="O34" s="7" t="n">
        <v>1</v>
      </c>
      <c r="P34" s="8" t="n">
        <v>3.03162878460332</v>
      </c>
      <c r="Q34" s="9" t="n">
        <v>0.329855688492827</v>
      </c>
      <c r="R34" s="8" t="n">
        <v>4.33333333333333</v>
      </c>
      <c r="S34" s="12" t="n">
        <f aca="false">IF(AND(ISNUMBER(R34),R34&gt;1,P34&gt;0),R34/P34-1,"")</f>
        <v>0.429374650135583</v>
      </c>
    </row>
    <row r="35" customFormat="false" ht="15" hidden="false" customHeight="false" outlineLevel="0" collapsed="false">
      <c r="A35" s="10" t="s">
        <v>228</v>
      </c>
      <c r="B35" s="10" t="s">
        <v>172</v>
      </c>
      <c r="C35" s="10" t="s">
        <v>229</v>
      </c>
      <c r="D35" s="10" t="s">
        <v>508</v>
      </c>
      <c r="E35" s="11" t="n">
        <v>7</v>
      </c>
      <c r="F35" s="10" t="s">
        <v>796</v>
      </c>
      <c r="G35" s="7" t="n">
        <v>13</v>
      </c>
      <c r="H35" s="10" t="s">
        <v>233</v>
      </c>
      <c r="I35" s="10" t="s">
        <v>274</v>
      </c>
      <c r="J35" s="10" t="s">
        <v>275</v>
      </c>
      <c r="K35" s="7" t="n">
        <v>7</v>
      </c>
      <c r="L35" s="7" t="n">
        <v>69</v>
      </c>
      <c r="M35" s="7" t="n">
        <v>2</v>
      </c>
      <c r="N35" s="7" t="n">
        <v>25</v>
      </c>
      <c r="O35" s="7" t="n">
        <v>2</v>
      </c>
      <c r="P35" s="8" t="n">
        <v>5.90139759197202</v>
      </c>
      <c r="Q35" s="9" t="n">
        <v>0.169451385780269</v>
      </c>
      <c r="R35" s="8" t="n">
        <v>3.5</v>
      </c>
      <c r="S35" s="12" t="n">
        <f aca="false">IF(AND(ISNUMBER(R35),R35&gt;1,P35&gt;0),R35/P35-1,"")</f>
        <v>-0.406920149769059</v>
      </c>
    </row>
    <row r="36" customFormat="false" ht="15" hidden="false" customHeight="false" outlineLevel="0" collapsed="false">
      <c r="A36" s="10" t="s">
        <v>228</v>
      </c>
      <c r="B36" s="10" t="s">
        <v>172</v>
      </c>
      <c r="C36" s="10" t="s">
        <v>229</v>
      </c>
      <c r="D36" s="10" t="s">
        <v>508</v>
      </c>
      <c r="E36" s="11" t="n">
        <v>7</v>
      </c>
      <c r="F36" s="10" t="s">
        <v>796</v>
      </c>
      <c r="G36" s="7" t="n">
        <v>13</v>
      </c>
      <c r="H36" s="10" t="s">
        <v>1025</v>
      </c>
      <c r="I36" s="10" t="s">
        <v>809</v>
      </c>
      <c r="J36" s="10" t="s">
        <v>1026</v>
      </c>
      <c r="K36" s="7" t="n">
        <v>5</v>
      </c>
      <c r="L36" s="7" t="n">
        <v>68</v>
      </c>
      <c r="M36" s="7" t="n">
        <v>2</v>
      </c>
      <c r="N36" s="7" t="n">
        <v>26</v>
      </c>
      <c r="O36" s="7" t="n">
        <v>3</v>
      </c>
      <c r="P36" s="8" t="n">
        <v>7.14089700191508</v>
      </c>
      <c r="Q36" s="9" t="n">
        <v>0.140038429308225</v>
      </c>
      <c r="R36" s="8" t="n">
        <v>6.5</v>
      </c>
      <c r="S36" s="12" t="n">
        <f aca="false">IF(AND(ISNUMBER(R36),R36&gt;1,P36&gt;0),R36/P36-1,"")</f>
        <v>-0.0897502094965382</v>
      </c>
    </row>
    <row r="37" customFormat="false" ht="15" hidden="false" customHeight="false" outlineLevel="0" collapsed="false">
      <c r="A37" s="10" t="s">
        <v>228</v>
      </c>
      <c r="B37" s="10" t="s">
        <v>172</v>
      </c>
      <c r="C37" s="10" t="s">
        <v>229</v>
      </c>
      <c r="D37" s="10" t="s">
        <v>508</v>
      </c>
      <c r="E37" s="11" t="n">
        <v>7</v>
      </c>
      <c r="F37" s="10" t="s">
        <v>796</v>
      </c>
      <c r="G37" s="7" t="n">
        <v>13</v>
      </c>
      <c r="H37" s="10" t="s">
        <v>1027</v>
      </c>
      <c r="I37" s="10" t="s">
        <v>804</v>
      </c>
      <c r="J37" s="10" t="s">
        <v>327</v>
      </c>
      <c r="K37" s="7" t="n">
        <v>11</v>
      </c>
      <c r="L37" s="7" t="n">
        <v>0</v>
      </c>
      <c r="M37" s="7" t="n">
        <v>2</v>
      </c>
      <c r="N37" s="7" t="n">
        <v>13</v>
      </c>
      <c r="O37" s="7" t="n">
        <v>4</v>
      </c>
      <c r="P37" s="8" t="n">
        <v>14.0024982585307</v>
      </c>
      <c r="Q37" s="9" t="n">
        <v>0.0714158274856971</v>
      </c>
      <c r="R37" s="8" t="n">
        <v>5.5</v>
      </c>
      <c r="S37" s="12" t="n">
        <f aca="false">IF(AND(ISNUMBER(R37),R37&gt;1,P37&gt;0),R37/P37-1,"")</f>
        <v>-0.607212948828666</v>
      </c>
    </row>
    <row r="38" customFormat="false" ht="15" hidden="false" customHeight="false" outlineLevel="0" collapsed="false">
      <c r="A38" s="10" t="s">
        <v>228</v>
      </c>
      <c r="B38" s="10" t="s">
        <v>172</v>
      </c>
      <c r="C38" s="10" t="s">
        <v>229</v>
      </c>
      <c r="D38" s="10" t="s">
        <v>508</v>
      </c>
      <c r="E38" s="11" t="n">
        <v>7</v>
      </c>
      <c r="F38" s="10" t="s">
        <v>796</v>
      </c>
      <c r="G38" s="7" t="n">
        <v>13</v>
      </c>
      <c r="H38" s="10" t="s">
        <v>1028</v>
      </c>
      <c r="I38" s="10" t="s">
        <v>1029</v>
      </c>
      <c r="J38" s="10" t="s">
        <v>1030</v>
      </c>
      <c r="K38" s="7" t="n">
        <v>10</v>
      </c>
      <c r="L38" s="7" t="n">
        <v>0</v>
      </c>
      <c r="M38" s="7" t="n">
        <v>2</v>
      </c>
      <c r="N38" s="7" t="n">
        <v>34</v>
      </c>
      <c r="O38" s="7" t="n">
        <v>5</v>
      </c>
      <c r="P38" s="8" t="n">
        <v>15.1545653451321</v>
      </c>
      <c r="Q38" s="9" t="n">
        <v>0.0659867160308372</v>
      </c>
      <c r="R38" s="8" t="n">
        <v>11</v>
      </c>
      <c r="S38" s="12" t="n">
        <f aca="false">IF(AND(ISNUMBER(R38),R38&gt;1,P38&gt;0),R38/P38-1,"")</f>
        <v>-0.274146123660791</v>
      </c>
    </row>
    <row r="39" customFormat="false" ht="15" hidden="false" customHeight="false" outlineLevel="0" collapsed="false">
      <c r="A39" s="10" t="s">
        <v>228</v>
      </c>
      <c r="B39" s="10" t="s">
        <v>172</v>
      </c>
      <c r="C39" s="10" t="s">
        <v>229</v>
      </c>
      <c r="D39" s="10" t="s">
        <v>508</v>
      </c>
      <c r="E39" s="11" t="n">
        <v>7</v>
      </c>
      <c r="F39" s="10" t="s">
        <v>796</v>
      </c>
      <c r="G39" s="7" t="n">
        <v>13</v>
      </c>
      <c r="H39" s="10" t="s">
        <v>1031</v>
      </c>
      <c r="I39" s="10" t="s">
        <v>265</v>
      </c>
      <c r="J39" s="10" t="s">
        <v>723</v>
      </c>
      <c r="K39" s="7" t="n">
        <v>2</v>
      </c>
      <c r="L39" s="7" t="n">
        <v>0</v>
      </c>
      <c r="M39" s="7" t="n">
        <v>2</v>
      </c>
      <c r="N39" s="7"/>
      <c r="O39" s="7" t="n">
        <v>6</v>
      </c>
      <c r="P39" s="8" t="n">
        <v>15.2166016771327</v>
      </c>
      <c r="Q39" s="9" t="n">
        <v>0.0657176957916159</v>
      </c>
      <c r="R39" s="8" t="n">
        <v>7.5</v>
      </c>
      <c r="S39" s="12" t="n">
        <f aca="false">IF(AND(ISNUMBER(R39),R39&gt;1,P39&gt;0),R39/P39-1,"")</f>
        <v>-0.507117281562881</v>
      </c>
    </row>
    <row r="40" customFormat="false" ht="15" hidden="false" customHeight="false" outlineLevel="0" collapsed="false">
      <c r="A40" s="10" t="s">
        <v>228</v>
      </c>
      <c r="B40" s="10" t="s">
        <v>172</v>
      </c>
      <c r="C40" s="10" t="s">
        <v>229</v>
      </c>
      <c r="D40" s="10" t="s">
        <v>508</v>
      </c>
      <c r="E40" s="11" t="n">
        <v>7</v>
      </c>
      <c r="F40" s="10" t="s">
        <v>796</v>
      </c>
      <c r="G40" s="7" t="n">
        <v>13</v>
      </c>
      <c r="H40" s="10" t="s">
        <v>1032</v>
      </c>
      <c r="I40" s="10" t="s">
        <v>815</v>
      </c>
      <c r="J40" s="10" t="s">
        <v>723</v>
      </c>
      <c r="K40" s="7" t="n">
        <v>3</v>
      </c>
      <c r="L40" s="7" t="n">
        <v>0</v>
      </c>
      <c r="M40" s="7" t="n">
        <v>2</v>
      </c>
      <c r="N40" s="7" t="n">
        <v>101</v>
      </c>
      <c r="O40" s="7" t="n">
        <v>7</v>
      </c>
      <c r="P40" s="8" t="n">
        <v>22.4464316530451</v>
      </c>
      <c r="Q40" s="9" t="n">
        <v>0.0445505109879832</v>
      </c>
      <c r="R40" s="8" t="n">
        <v>29</v>
      </c>
      <c r="S40" s="12" t="n">
        <f aca="false">IF(AND(ISNUMBER(R40),R40&gt;1,P40&gt;0),R40/P40-1,"")</f>
        <v>0.291964818651515</v>
      </c>
    </row>
    <row r="41" customFormat="false" ht="15" hidden="false" customHeight="false" outlineLevel="0" collapsed="false">
      <c r="A41" s="10" t="s">
        <v>228</v>
      </c>
      <c r="B41" s="10" t="s">
        <v>172</v>
      </c>
      <c r="C41" s="10" t="s">
        <v>229</v>
      </c>
      <c r="D41" s="10" t="s">
        <v>508</v>
      </c>
      <c r="E41" s="11" t="n">
        <v>7</v>
      </c>
      <c r="F41" s="10" t="s">
        <v>796</v>
      </c>
      <c r="G41" s="7" t="n">
        <v>13</v>
      </c>
      <c r="H41" s="10" t="s">
        <v>1033</v>
      </c>
      <c r="I41" s="10" t="s">
        <v>1034</v>
      </c>
      <c r="J41" s="10" t="s">
        <v>275</v>
      </c>
      <c r="K41" s="7" t="n">
        <v>4</v>
      </c>
      <c r="L41" s="7" t="n">
        <v>0</v>
      </c>
      <c r="M41" s="7" t="n">
        <v>2</v>
      </c>
      <c r="N41" s="7"/>
      <c r="O41" s="7" t="n">
        <v>8</v>
      </c>
      <c r="P41" s="8" t="n">
        <v>29.7369497600885</v>
      </c>
      <c r="Q41" s="9" t="n">
        <v>0.0336281968415654</v>
      </c>
      <c r="R41" s="8" t="n">
        <v>12</v>
      </c>
      <c r="S41" s="12" t="n">
        <f aca="false">IF(AND(ISNUMBER(R41),R41&gt;1,P41&gt;0),R41/P41-1,"")</f>
        <v>-0.596461637901214</v>
      </c>
    </row>
    <row r="42" customFormat="false" ht="15" hidden="false" customHeight="false" outlineLevel="0" collapsed="false">
      <c r="A42" s="10" t="s">
        <v>228</v>
      </c>
      <c r="B42" s="10" t="s">
        <v>172</v>
      </c>
      <c r="C42" s="10" t="s">
        <v>229</v>
      </c>
      <c r="D42" s="10" t="s">
        <v>508</v>
      </c>
      <c r="E42" s="11" t="n">
        <v>7</v>
      </c>
      <c r="F42" s="10" t="s">
        <v>796</v>
      </c>
      <c r="G42" s="7" t="n">
        <v>13</v>
      </c>
      <c r="H42" s="10" t="s">
        <v>1035</v>
      </c>
      <c r="I42" s="10" t="s">
        <v>797</v>
      </c>
      <c r="J42" s="10" t="s">
        <v>798</v>
      </c>
      <c r="K42" s="7" t="n">
        <v>9</v>
      </c>
      <c r="L42" s="7" t="n">
        <v>0</v>
      </c>
      <c r="M42" s="7" t="n">
        <v>2</v>
      </c>
      <c r="N42" s="7"/>
      <c r="O42" s="7" t="n">
        <v>9</v>
      </c>
      <c r="P42" s="8" t="n">
        <v>42.1918531583583</v>
      </c>
      <c r="Q42" s="9" t="n">
        <v>0.02370125806626</v>
      </c>
      <c r="R42" s="8" t="n">
        <v>15</v>
      </c>
      <c r="S42" s="12" t="n">
        <f aca="false">IF(AND(ISNUMBER(R42),R42&gt;1,P42&gt;0),R42/P42-1,"")</f>
        <v>-0.644481129006099</v>
      </c>
    </row>
    <row r="43" customFormat="false" ht="15" hidden="false" customHeight="false" outlineLevel="0" collapsed="false">
      <c r="A43" s="10" t="s">
        <v>228</v>
      </c>
      <c r="B43" s="10" t="s">
        <v>172</v>
      </c>
      <c r="C43" s="10" t="s">
        <v>229</v>
      </c>
      <c r="D43" s="10" t="s">
        <v>508</v>
      </c>
      <c r="E43" s="11" t="n">
        <v>7</v>
      </c>
      <c r="F43" s="10" t="s">
        <v>796</v>
      </c>
      <c r="G43" s="7" t="n">
        <v>13</v>
      </c>
      <c r="H43" s="10" t="s">
        <v>1036</v>
      </c>
      <c r="I43" s="10" t="s">
        <v>175</v>
      </c>
      <c r="J43" s="10" t="s">
        <v>176</v>
      </c>
      <c r="K43" s="7" t="n">
        <v>13</v>
      </c>
      <c r="L43" s="7" t="n">
        <v>0</v>
      </c>
      <c r="M43" s="7" t="n">
        <v>2</v>
      </c>
      <c r="N43" s="7"/>
      <c r="O43" s="7" t="n">
        <v>10</v>
      </c>
      <c r="P43" s="8" t="n">
        <v>50.819509901097</v>
      </c>
      <c r="Q43" s="9" t="n">
        <v>0.0196774821706498</v>
      </c>
      <c r="R43" s="8" t="n">
        <v>51</v>
      </c>
      <c r="S43" s="12" t="n">
        <f aca="false">IF(AND(ISNUMBER(R43),R43&gt;1,P43&gt;0),R43/P43-1,"")</f>
        <v>0.00355159070314248</v>
      </c>
    </row>
    <row r="44" customFormat="false" ht="15" hidden="false" customHeight="false" outlineLevel="0" collapsed="false">
      <c r="A44" s="10" t="s">
        <v>228</v>
      </c>
      <c r="B44" s="10" t="s">
        <v>172</v>
      </c>
      <c r="C44" s="10" t="s">
        <v>229</v>
      </c>
      <c r="D44" s="10" t="s">
        <v>508</v>
      </c>
      <c r="E44" s="11" t="n">
        <v>7</v>
      </c>
      <c r="F44" s="10" t="s">
        <v>796</v>
      </c>
      <c r="G44" s="7" t="n">
        <v>13</v>
      </c>
      <c r="H44" s="10" t="s">
        <v>1037</v>
      </c>
      <c r="I44" s="10" t="s">
        <v>1038</v>
      </c>
      <c r="J44" s="10" t="s">
        <v>1039</v>
      </c>
      <c r="K44" s="7" t="n">
        <v>6</v>
      </c>
      <c r="L44" s="7" t="n">
        <v>0</v>
      </c>
      <c r="M44" s="7" t="n">
        <v>2</v>
      </c>
      <c r="N44" s="7" t="n">
        <v>13</v>
      </c>
      <c r="O44" s="7" t="n">
        <v>11</v>
      </c>
      <c r="P44" s="8" t="n">
        <v>52.4475783007505</v>
      </c>
      <c r="Q44" s="9" t="n">
        <v>0.0190666572680571</v>
      </c>
      <c r="R44" s="8" t="n">
        <v>101</v>
      </c>
      <c r="S44" s="12" t="n">
        <f aca="false">IF(AND(ISNUMBER(R44),R44&gt;1,P44&gt;0),R44/P44-1,"")</f>
        <v>0.925732384073771</v>
      </c>
    </row>
    <row r="45" customFormat="false" ht="15" hidden="false" customHeight="false" outlineLevel="0" collapsed="false">
      <c r="A45" s="10" t="s">
        <v>228</v>
      </c>
      <c r="B45" s="10" t="s">
        <v>172</v>
      </c>
      <c r="C45" s="10" t="s">
        <v>229</v>
      </c>
      <c r="D45" s="10" t="s">
        <v>508</v>
      </c>
      <c r="E45" s="11" t="n">
        <v>7</v>
      </c>
      <c r="F45" s="10" t="s">
        <v>796</v>
      </c>
      <c r="G45" s="7" t="n">
        <v>13</v>
      </c>
      <c r="H45" s="10" t="s">
        <v>1040</v>
      </c>
      <c r="I45" s="10" t="s">
        <v>1041</v>
      </c>
      <c r="J45" s="10" t="s">
        <v>74</v>
      </c>
      <c r="K45" s="7" t="n">
        <v>1</v>
      </c>
      <c r="L45" s="7" t="n">
        <v>0</v>
      </c>
      <c r="M45" s="7" t="n">
        <v>2</v>
      </c>
      <c r="N45" s="7" t="n">
        <v>13</v>
      </c>
      <c r="O45" s="7" t="n">
        <v>12</v>
      </c>
      <c r="P45" s="8" t="n">
        <v>86.5561352517557</v>
      </c>
      <c r="Q45" s="9" t="n">
        <v>0.0115531960512263</v>
      </c>
      <c r="R45" s="8" t="n">
        <v>21</v>
      </c>
      <c r="S45" s="12" t="n">
        <f aca="false">IF(AND(ISNUMBER(R45),R45&gt;1,P45&gt;0),R45/P45-1,"")</f>
        <v>-0.757382882924246</v>
      </c>
    </row>
    <row r="46" customFormat="false" ht="15" hidden="false" customHeight="false" outlineLevel="0" collapsed="false">
      <c r="A46" s="10" t="s">
        <v>228</v>
      </c>
      <c r="B46" s="10" t="s">
        <v>172</v>
      </c>
      <c r="C46" s="10" t="s">
        <v>229</v>
      </c>
      <c r="D46" s="10" t="s">
        <v>508</v>
      </c>
      <c r="E46" s="11" t="n">
        <v>7</v>
      </c>
      <c r="F46" s="10" t="s">
        <v>796</v>
      </c>
      <c r="G46" s="7" t="n">
        <v>13</v>
      </c>
      <c r="H46" s="10" t="s">
        <v>1042</v>
      </c>
      <c r="I46" s="10" t="s">
        <v>822</v>
      </c>
      <c r="J46" s="10" t="s">
        <v>506</v>
      </c>
      <c r="K46" s="7" t="n">
        <v>12</v>
      </c>
      <c r="L46" s="7" t="n">
        <v>0</v>
      </c>
      <c r="M46" s="7" t="n">
        <v>2</v>
      </c>
      <c r="N46" s="7" t="n">
        <v>10</v>
      </c>
      <c r="O46" s="7" t="n">
        <v>13</v>
      </c>
      <c r="P46" s="8" t="n">
        <v>186.673187417427</v>
      </c>
      <c r="Q46" s="9" t="n">
        <v>0.0053569557247868</v>
      </c>
      <c r="R46" s="8" t="n">
        <v>41</v>
      </c>
      <c r="S46" s="12" t="n">
        <f aca="false">IF(AND(ISNUMBER(R46),R46&gt;1,P46&gt;0),R46/P46-1,"")</f>
        <v>-0.780364815283738</v>
      </c>
    </row>
    <row r="47" customFormat="false" ht="15" hidden="false" customHeight="false" outlineLevel="0" collapsed="false">
      <c r="A47" s="10" t="s">
        <v>240</v>
      </c>
      <c r="B47" s="10" t="s">
        <v>172</v>
      </c>
      <c r="C47" s="10" t="s">
        <v>241</v>
      </c>
      <c r="D47" s="10" t="s">
        <v>795</v>
      </c>
      <c r="E47" s="11" t="n">
        <v>5</v>
      </c>
      <c r="F47" s="10" t="s">
        <v>796</v>
      </c>
      <c r="G47" s="7" t="n">
        <v>8</v>
      </c>
      <c r="H47" s="10" t="s">
        <v>242</v>
      </c>
      <c r="I47" s="10" t="s">
        <v>243</v>
      </c>
      <c r="J47" s="10" t="s">
        <v>244</v>
      </c>
      <c r="K47" s="7" t="n">
        <v>1</v>
      </c>
      <c r="L47" s="7" t="n">
        <v>59</v>
      </c>
      <c r="M47" s="7" t="n">
        <v>4</v>
      </c>
      <c r="N47" s="7" t="n">
        <v>6</v>
      </c>
      <c r="O47" s="7" t="n">
        <v>1</v>
      </c>
      <c r="P47" s="8" t="n">
        <v>2.50566227645941</v>
      </c>
      <c r="Q47" s="9" t="n">
        <v>0.399096083057544</v>
      </c>
      <c r="R47" s="8" t="n">
        <v>2.625</v>
      </c>
      <c r="S47" s="12" t="n">
        <f aca="false">IF(AND(ISNUMBER(R47),R47&gt;1,P47&gt;0),R47/P47-1,"")</f>
        <v>0.047627218026054</v>
      </c>
    </row>
    <row r="48" customFormat="false" ht="15" hidden="false" customHeight="false" outlineLevel="0" collapsed="false">
      <c r="A48" s="10" t="s">
        <v>240</v>
      </c>
      <c r="B48" s="10" t="s">
        <v>172</v>
      </c>
      <c r="C48" s="10" t="s">
        <v>241</v>
      </c>
      <c r="D48" s="10" t="s">
        <v>795</v>
      </c>
      <c r="E48" s="11" t="n">
        <v>5</v>
      </c>
      <c r="F48" s="10" t="s">
        <v>796</v>
      </c>
      <c r="G48" s="7" t="n">
        <v>8</v>
      </c>
      <c r="H48" s="10" t="s">
        <v>245</v>
      </c>
      <c r="I48" s="10" t="s">
        <v>1066</v>
      </c>
      <c r="J48" s="10" t="s">
        <v>1067</v>
      </c>
      <c r="K48" s="7" t="n">
        <v>3</v>
      </c>
      <c r="L48" s="7" t="n">
        <v>54</v>
      </c>
      <c r="M48" s="7" t="n">
        <v>8</v>
      </c>
      <c r="N48" s="7" t="n">
        <v>6</v>
      </c>
      <c r="O48" s="7" t="n">
        <v>2</v>
      </c>
      <c r="P48" s="8" t="n">
        <v>6.11620312030129</v>
      </c>
      <c r="Q48" s="9" t="n">
        <v>0.163500129137428</v>
      </c>
      <c r="R48" s="8" t="n">
        <v>3.5</v>
      </c>
      <c r="S48" s="12" t="n">
        <f aca="false">IF(AND(ISNUMBER(R48),R48&gt;1,P48&gt;0),R48/P48-1,"")</f>
        <v>-0.427749548019003</v>
      </c>
    </row>
    <row r="49" customFormat="false" ht="15" hidden="false" customHeight="false" outlineLevel="0" collapsed="false">
      <c r="A49" s="10" t="s">
        <v>240</v>
      </c>
      <c r="B49" s="10" t="s">
        <v>172</v>
      </c>
      <c r="C49" s="10" t="s">
        <v>241</v>
      </c>
      <c r="D49" s="10" t="s">
        <v>795</v>
      </c>
      <c r="E49" s="11" t="n">
        <v>5</v>
      </c>
      <c r="F49" s="10" t="s">
        <v>796</v>
      </c>
      <c r="G49" s="7" t="n">
        <v>8</v>
      </c>
      <c r="H49" s="10" t="s">
        <v>1068</v>
      </c>
      <c r="I49" s="10" t="s">
        <v>800</v>
      </c>
      <c r="J49" s="10" t="s">
        <v>430</v>
      </c>
      <c r="K49" s="7" t="n">
        <v>7</v>
      </c>
      <c r="L49" s="7" t="n">
        <v>51</v>
      </c>
      <c r="M49" s="7" t="n">
        <v>3</v>
      </c>
      <c r="N49" s="7" t="n">
        <v>8</v>
      </c>
      <c r="O49" s="7" t="n">
        <v>3</v>
      </c>
      <c r="P49" s="8" t="n">
        <v>8.25688801632778</v>
      </c>
      <c r="Q49" s="9" t="n">
        <v>0.121111004293933</v>
      </c>
      <c r="R49" s="8" t="n">
        <v>8</v>
      </c>
      <c r="S49" s="12" t="n">
        <f aca="false">IF(AND(ISNUMBER(R49),R49&gt;1,P49&gt;0),R49/P49-1,"")</f>
        <v>-0.0311119656485331</v>
      </c>
    </row>
    <row r="50" customFormat="false" ht="15" hidden="false" customHeight="false" outlineLevel="0" collapsed="false">
      <c r="A50" s="10" t="s">
        <v>240</v>
      </c>
      <c r="B50" s="10" t="s">
        <v>172</v>
      </c>
      <c r="C50" s="10" t="s">
        <v>241</v>
      </c>
      <c r="D50" s="10" t="s">
        <v>795</v>
      </c>
      <c r="E50" s="11" t="n">
        <v>5</v>
      </c>
      <c r="F50" s="10" t="s">
        <v>796</v>
      </c>
      <c r="G50" s="7" t="n">
        <v>8</v>
      </c>
      <c r="H50" s="10" t="s">
        <v>1069</v>
      </c>
      <c r="I50" s="10" t="s">
        <v>822</v>
      </c>
      <c r="J50" s="10" t="s">
        <v>1070</v>
      </c>
      <c r="K50" s="7" t="n">
        <v>2</v>
      </c>
      <c r="L50" s="7" t="n">
        <v>51</v>
      </c>
      <c r="M50" s="7" t="n">
        <v>7</v>
      </c>
      <c r="N50" s="7" t="n">
        <v>8</v>
      </c>
      <c r="O50" s="7" t="n">
        <v>4</v>
      </c>
      <c r="P50" s="8" t="n">
        <v>11.0093936459094</v>
      </c>
      <c r="Q50" s="9" t="n">
        <v>0.0908315237117132</v>
      </c>
      <c r="R50" s="8" t="n">
        <v>7</v>
      </c>
      <c r="S50" s="12" t="n">
        <f aca="false">IF(AND(ISNUMBER(R50),R50&gt;1,P50&gt;0),R50/P50-1,"")</f>
        <v>-0.364179334018008</v>
      </c>
    </row>
    <row r="51" customFormat="false" ht="15" hidden="false" customHeight="false" outlineLevel="0" collapsed="false">
      <c r="A51" s="10" t="s">
        <v>240</v>
      </c>
      <c r="B51" s="10" t="s">
        <v>172</v>
      </c>
      <c r="C51" s="10" t="s">
        <v>241</v>
      </c>
      <c r="D51" s="10" t="s">
        <v>795</v>
      </c>
      <c r="E51" s="11" t="n">
        <v>5</v>
      </c>
      <c r="F51" s="10" t="s">
        <v>796</v>
      </c>
      <c r="G51" s="7" t="n">
        <v>8</v>
      </c>
      <c r="H51" s="10" t="s">
        <v>1071</v>
      </c>
      <c r="I51" s="10" t="s">
        <v>797</v>
      </c>
      <c r="J51" s="10" t="s">
        <v>1072</v>
      </c>
      <c r="K51" s="7" t="n">
        <v>4</v>
      </c>
      <c r="L51" s="7" t="n">
        <v>50</v>
      </c>
      <c r="M51" s="7" t="n">
        <v>8</v>
      </c>
      <c r="N51" s="7" t="n">
        <v>13</v>
      </c>
      <c r="O51" s="7" t="n">
        <v>5</v>
      </c>
      <c r="P51" s="8" t="n">
        <v>11.3129231476407</v>
      </c>
      <c r="Q51" s="9" t="n">
        <v>0.0883944836316286</v>
      </c>
      <c r="R51" s="8" t="n">
        <v>8</v>
      </c>
      <c r="S51" s="12" t="n">
        <f aca="false">IF(AND(ISNUMBER(R51),R51&gt;1,P51&gt;0),R51/P51-1,"")</f>
        <v>-0.292844130946971</v>
      </c>
    </row>
    <row r="52" customFormat="false" ht="15" hidden="false" customHeight="false" outlineLevel="0" collapsed="false">
      <c r="A52" s="10" t="s">
        <v>240</v>
      </c>
      <c r="B52" s="10" t="s">
        <v>172</v>
      </c>
      <c r="C52" s="10" t="s">
        <v>241</v>
      </c>
      <c r="D52" s="10" t="s">
        <v>795</v>
      </c>
      <c r="E52" s="11" t="n">
        <v>5</v>
      </c>
      <c r="F52" s="10" t="s">
        <v>796</v>
      </c>
      <c r="G52" s="7" t="n">
        <v>8</v>
      </c>
      <c r="H52" s="10" t="s">
        <v>1073</v>
      </c>
      <c r="I52" s="10" t="s">
        <v>219</v>
      </c>
      <c r="J52" s="10" t="s">
        <v>220</v>
      </c>
      <c r="K52" s="7" t="n">
        <v>8</v>
      </c>
      <c r="L52" s="7" t="n">
        <v>51</v>
      </c>
      <c r="M52" s="7" t="n">
        <v>5</v>
      </c>
      <c r="N52" s="7" t="n">
        <v>13</v>
      </c>
      <c r="O52" s="7" t="n">
        <v>6</v>
      </c>
      <c r="P52" s="8" t="n">
        <v>12.6423083889074</v>
      </c>
      <c r="Q52" s="9" t="n">
        <v>0.0790994784526394</v>
      </c>
      <c r="R52" s="8" t="n">
        <v>17</v>
      </c>
      <c r="S52" s="12" t="n">
        <f aca="false">IF(AND(ISNUMBER(R52),R52&gt;1,P52&gt;0),R52/P52-1,"")</f>
        <v>0.344691133694871</v>
      </c>
    </row>
    <row r="53" customFormat="false" ht="15" hidden="false" customHeight="false" outlineLevel="0" collapsed="false">
      <c r="A53" s="10" t="s">
        <v>240</v>
      </c>
      <c r="B53" s="10" t="s">
        <v>172</v>
      </c>
      <c r="C53" s="10" t="s">
        <v>241</v>
      </c>
      <c r="D53" s="10" t="s">
        <v>795</v>
      </c>
      <c r="E53" s="11" t="n">
        <v>5</v>
      </c>
      <c r="F53" s="10" t="s">
        <v>796</v>
      </c>
      <c r="G53" s="7" t="n">
        <v>8</v>
      </c>
      <c r="H53" s="10" t="s">
        <v>1074</v>
      </c>
      <c r="I53" s="10" t="s">
        <v>265</v>
      </c>
      <c r="J53" s="10" t="s">
        <v>1072</v>
      </c>
      <c r="K53" s="7" t="n">
        <v>6</v>
      </c>
      <c r="L53" s="7" t="n">
        <v>45</v>
      </c>
      <c r="M53" s="7" t="n">
        <v>5</v>
      </c>
      <c r="N53" s="7" t="n">
        <v>23</v>
      </c>
      <c r="O53" s="7" t="n">
        <v>7</v>
      </c>
      <c r="P53" s="8" t="n">
        <v>21.7732434000724</v>
      </c>
      <c r="Q53" s="9" t="n">
        <v>0.0459279300573415</v>
      </c>
      <c r="R53" s="8" t="n">
        <v>13</v>
      </c>
      <c r="S53" s="12" t="n">
        <f aca="false">IF(AND(ISNUMBER(R53),R53&gt;1,P53&gt;0),R53/P53-1,"")</f>
        <v>-0.40293690925456</v>
      </c>
    </row>
    <row r="54" customFormat="false" ht="15" hidden="false" customHeight="false" outlineLevel="0" collapsed="false">
      <c r="A54" s="10" t="s">
        <v>240</v>
      </c>
      <c r="B54" s="10" t="s">
        <v>172</v>
      </c>
      <c r="C54" s="10" t="s">
        <v>241</v>
      </c>
      <c r="D54" s="10" t="s">
        <v>795</v>
      </c>
      <c r="E54" s="11" t="n">
        <v>5</v>
      </c>
      <c r="F54" s="10" t="s">
        <v>796</v>
      </c>
      <c r="G54" s="7" t="n">
        <v>8</v>
      </c>
      <c r="H54" s="10" t="s">
        <v>1075</v>
      </c>
      <c r="I54" s="10" t="s">
        <v>885</v>
      </c>
      <c r="J54" s="10" t="s">
        <v>886</v>
      </c>
      <c r="K54" s="7" t="n">
        <v>5</v>
      </c>
      <c r="L54" s="7" t="n">
        <v>46</v>
      </c>
      <c r="M54" s="7" t="n">
        <v>3</v>
      </c>
      <c r="N54" s="7" t="n">
        <v>13</v>
      </c>
      <c r="O54" s="7" t="n">
        <v>8</v>
      </c>
      <c r="P54" s="8" t="n">
        <v>83.0608407705269</v>
      </c>
      <c r="Q54" s="9" t="n">
        <v>0.0120393676577716</v>
      </c>
      <c r="R54" s="8" t="n">
        <v>34</v>
      </c>
      <c r="S54" s="12" t="n">
        <f aca="false">IF(AND(ISNUMBER(R54),R54&gt;1,P54&gt;0),R54/P54-1,"")</f>
        <v>-0.590661499635765</v>
      </c>
    </row>
    <row r="55" customFormat="false" ht="15" hidden="false" customHeight="false" outlineLevel="0" collapsed="false">
      <c r="A55" s="10" t="s">
        <v>252</v>
      </c>
      <c r="B55" s="10" t="s">
        <v>172</v>
      </c>
      <c r="C55" s="10" t="s">
        <v>253</v>
      </c>
      <c r="D55" s="10" t="s">
        <v>795</v>
      </c>
      <c r="E55" s="11" t="n">
        <v>8</v>
      </c>
      <c r="F55" s="10" t="s">
        <v>796</v>
      </c>
      <c r="G55" s="7" t="n">
        <v>11</v>
      </c>
      <c r="H55" s="10" t="s">
        <v>254</v>
      </c>
      <c r="I55" s="10" t="s">
        <v>196</v>
      </c>
      <c r="J55" s="10" t="s">
        <v>244</v>
      </c>
      <c r="K55" s="7" t="n">
        <v>3</v>
      </c>
      <c r="L55" s="7" t="n">
        <v>54</v>
      </c>
      <c r="M55" s="7" t="n">
        <v>6</v>
      </c>
      <c r="N55" s="7" t="n">
        <v>6</v>
      </c>
      <c r="O55" s="7" t="n">
        <v>1</v>
      </c>
      <c r="P55" s="8" t="n">
        <v>4.16021458017883</v>
      </c>
      <c r="Q55" s="9" t="n">
        <v>0.240372216559323</v>
      </c>
      <c r="R55" s="8" t="n">
        <v>4.33333333333333</v>
      </c>
      <c r="S55" s="12" t="n">
        <f aca="false">IF(AND(ISNUMBER(R55),R55&gt;1,P55&gt;0),R55/P55-1,"")</f>
        <v>0.041612938423734</v>
      </c>
    </row>
    <row r="56" customFormat="false" ht="15" hidden="false" customHeight="false" outlineLevel="0" collapsed="false">
      <c r="A56" s="10" t="s">
        <v>252</v>
      </c>
      <c r="B56" s="10" t="s">
        <v>172</v>
      </c>
      <c r="C56" s="10" t="s">
        <v>253</v>
      </c>
      <c r="D56" s="10" t="s">
        <v>795</v>
      </c>
      <c r="E56" s="11" t="n">
        <v>8</v>
      </c>
      <c r="F56" s="10" t="s">
        <v>796</v>
      </c>
      <c r="G56" s="7" t="n">
        <v>11</v>
      </c>
      <c r="H56" s="10" t="s">
        <v>255</v>
      </c>
      <c r="I56" s="10" t="s">
        <v>231</v>
      </c>
      <c r="J56" s="10" t="s">
        <v>1105</v>
      </c>
      <c r="K56" s="7" t="n">
        <v>6</v>
      </c>
      <c r="L56" s="7" t="n">
        <v>60</v>
      </c>
      <c r="M56" s="7" t="n">
        <v>6</v>
      </c>
      <c r="N56" s="7" t="n">
        <v>56</v>
      </c>
      <c r="O56" s="7" t="n">
        <v>2</v>
      </c>
      <c r="P56" s="8" t="n">
        <v>5.171976351087</v>
      </c>
      <c r="Q56" s="9" t="n">
        <v>0.193349685326738</v>
      </c>
      <c r="R56" s="8" t="n">
        <v>5.5</v>
      </c>
      <c r="S56" s="12" t="n">
        <f aca="false">IF(AND(ISNUMBER(R56),R56&gt;1,P56&gt;0),R56/P56-1,"")</f>
        <v>0.0634232692970567</v>
      </c>
    </row>
    <row r="57" customFormat="false" ht="15" hidden="false" customHeight="false" outlineLevel="0" collapsed="false">
      <c r="A57" s="10" t="s">
        <v>252</v>
      </c>
      <c r="B57" s="10" t="s">
        <v>172</v>
      </c>
      <c r="C57" s="10" t="s">
        <v>253</v>
      </c>
      <c r="D57" s="10" t="s">
        <v>795</v>
      </c>
      <c r="E57" s="11" t="n">
        <v>8</v>
      </c>
      <c r="F57" s="10" t="s">
        <v>796</v>
      </c>
      <c r="G57" s="7" t="n">
        <v>11</v>
      </c>
      <c r="H57" s="10" t="s">
        <v>1106</v>
      </c>
      <c r="I57" s="10" t="s">
        <v>219</v>
      </c>
      <c r="J57" s="10" t="s">
        <v>807</v>
      </c>
      <c r="K57" s="7" t="n">
        <v>1</v>
      </c>
      <c r="L57" s="7" t="n">
        <v>59</v>
      </c>
      <c r="M57" s="7" t="n">
        <v>6</v>
      </c>
      <c r="N57" s="7" t="n">
        <v>6</v>
      </c>
      <c r="O57" s="7" t="n">
        <v>3</v>
      </c>
      <c r="P57" s="8" t="n">
        <v>7.30370288781207</v>
      </c>
      <c r="Q57" s="9" t="n">
        <v>0.136916850994683</v>
      </c>
      <c r="R57" s="8" t="n">
        <v>5</v>
      </c>
      <c r="S57" s="12" t="n">
        <f aca="false">IF(AND(ISNUMBER(R57),R57&gt;1,P57&gt;0),R57/P57-1,"")</f>
        <v>-0.315415745026585</v>
      </c>
    </row>
    <row r="58" customFormat="false" ht="15" hidden="false" customHeight="false" outlineLevel="0" collapsed="false">
      <c r="A58" s="10" t="s">
        <v>252</v>
      </c>
      <c r="B58" s="10" t="s">
        <v>172</v>
      </c>
      <c r="C58" s="10" t="s">
        <v>253</v>
      </c>
      <c r="D58" s="10" t="s">
        <v>795</v>
      </c>
      <c r="E58" s="11" t="n">
        <v>8</v>
      </c>
      <c r="F58" s="10" t="s">
        <v>796</v>
      </c>
      <c r="G58" s="7" t="n">
        <v>11</v>
      </c>
      <c r="H58" s="10" t="s">
        <v>1107</v>
      </c>
      <c r="I58" s="10" t="s">
        <v>175</v>
      </c>
      <c r="J58" s="10" t="s">
        <v>1108</v>
      </c>
      <c r="K58" s="7" t="n">
        <v>7</v>
      </c>
      <c r="L58" s="7" t="n">
        <v>54</v>
      </c>
      <c r="M58" s="7" t="n">
        <v>5</v>
      </c>
      <c r="N58" s="7" t="n">
        <v>23</v>
      </c>
      <c r="O58" s="7" t="n">
        <v>4</v>
      </c>
      <c r="P58" s="8" t="n">
        <v>11.3127486586812</v>
      </c>
      <c r="Q58" s="9" t="n">
        <v>0.0883958470369287</v>
      </c>
      <c r="R58" s="8" t="n">
        <v>8.5</v>
      </c>
      <c r="S58" s="12" t="n">
        <f aca="false">IF(AND(ISNUMBER(R58),R58&gt;1,P58&gt;0),R58/P58-1,"")</f>
        <v>-0.248635300186105</v>
      </c>
    </row>
    <row r="59" customFormat="false" ht="15" hidden="false" customHeight="false" outlineLevel="0" collapsed="false">
      <c r="A59" s="10" t="s">
        <v>252</v>
      </c>
      <c r="B59" s="10" t="s">
        <v>172</v>
      </c>
      <c r="C59" s="10" t="s">
        <v>253</v>
      </c>
      <c r="D59" s="10" t="s">
        <v>795</v>
      </c>
      <c r="E59" s="11" t="n">
        <v>8</v>
      </c>
      <c r="F59" s="10" t="s">
        <v>796</v>
      </c>
      <c r="G59" s="7" t="n">
        <v>11</v>
      </c>
      <c r="H59" s="10" t="s">
        <v>1109</v>
      </c>
      <c r="I59" s="10" t="s">
        <v>804</v>
      </c>
      <c r="J59" s="10" t="s">
        <v>1110</v>
      </c>
      <c r="K59" s="7" t="n">
        <v>2</v>
      </c>
      <c r="L59" s="7" t="n">
        <v>48</v>
      </c>
      <c r="M59" s="7" t="n">
        <v>7</v>
      </c>
      <c r="N59" s="7" t="n">
        <v>6</v>
      </c>
      <c r="O59" s="7" t="n">
        <v>5</v>
      </c>
      <c r="P59" s="8" t="n">
        <v>12.0482599274708</v>
      </c>
      <c r="Q59" s="9" t="n">
        <v>0.0829995373622323</v>
      </c>
      <c r="R59" s="8" t="n">
        <v>7.5</v>
      </c>
      <c r="S59" s="12" t="n">
        <f aca="false">IF(AND(ISNUMBER(R59),R59&gt;1,P59&gt;0),R59/P59-1,"")</f>
        <v>-0.377503469783258</v>
      </c>
    </row>
    <row r="60" customFormat="false" ht="15" hidden="false" customHeight="false" outlineLevel="0" collapsed="false">
      <c r="A60" s="10" t="s">
        <v>252</v>
      </c>
      <c r="B60" s="10" t="s">
        <v>172</v>
      </c>
      <c r="C60" s="10" t="s">
        <v>253</v>
      </c>
      <c r="D60" s="10" t="s">
        <v>795</v>
      </c>
      <c r="E60" s="11" t="n">
        <v>8</v>
      </c>
      <c r="F60" s="10" t="s">
        <v>796</v>
      </c>
      <c r="G60" s="7" t="n">
        <v>11</v>
      </c>
      <c r="H60" s="10" t="s">
        <v>1111</v>
      </c>
      <c r="I60" s="10" t="s">
        <v>891</v>
      </c>
      <c r="J60" s="10" t="s">
        <v>1112</v>
      </c>
      <c r="K60" s="7" t="n">
        <v>5</v>
      </c>
      <c r="L60" s="7" t="n">
        <v>54</v>
      </c>
      <c r="M60" s="7" t="n">
        <v>4</v>
      </c>
      <c r="N60" s="7" t="n">
        <v>29</v>
      </c>
      <c r="O60" s="7" t="n">
        <v>6</v>
      </c>
      <c r="P60" s="8" t="n">
        <v>12.7657514877221</v>
      </c>
      <c r="Q60" s="9" t="n">
        <v>0.0783345971415617</v>
      </c>
      <c r="R60" s="8" t="n">
        <v>7.5</v>
      </c>
      <c r="S60" s="12" t="n">
        <f aca="false">IF(AND(ISNUMBER(R60),R60&gt;1,P60&gt;0),R60/P60-1,"")</f>
        <v>-0.412490521438287</v>
      </c>
    </row>
    <row r="61" customFormat="false" ht="15" hidden="false" customHeight="false" outlineLevel="0" collapsed="false">
      <c r="A61" s="10" t="s">
        <v>252</v>
      </c>
      <c r="B61" s="10" t="s">
        <v>172</v>
      </c>
      <c r="C61" s="10" t="s">
        <v>253</v>
      </c>
      <c r="D61" s="10" t="s">
        <v>795</v>
      </c>
      <c r="E61" s="11" t="n">
        <v>8</v>
      </c>
      <c r="F61" s="10" t="s">
        <v>796</v>
      </c>
      <c r="G61" s="7" t="n">
        <v>11</v>
      </c>
      <c r="H61" s="10" t="s">
        <v>1113</v>
      </c>
      <c r="I61" s="10" t="s">
        <v>265</v>
      </c>
      <c r="J61" s="10" t="s">
        <v>424</v>
      </c>
      <c r="K61" s="7" t="n">
        <v>4</v>
      </c>
      <c r="L61" s="7" t="n">
        <v>59</v>
      </c>
      <c r="M61" s="7" t="n">
        <v>5</v>
      </c>
      <c r="N61" s="7" t="n">
        <v>21</v>
      </c>
      <c r="O61" s="7" t="n">
        <v>7</v>
      </c>
      <c r="P61" s="8" t="n">
        <v>14.2918537069413</v>
      </c>
      <c r="Q61" s="9" t="n">
        <v>0.0699699297589589</v>
      </c>
      <c r="R61" s="8" t="n">
        <v>10</v>
      </c>
      <c r="S61" s="12" t="n">
        <f aca="false">IF(AND(ISNUMBER(R61),R61&gt;1,P61&gt;0),R61/P61-1,"")</f>
        <v>-0.30030070241041</v>
      </c>
    </row>
    <row r="62" customFormat="false" ht="15" hidden="false" customHeight="false" outlineLevel="0" collapsed="false">
      <c r="A62" s="10" t="s">
        <v>252</v>
      </c>
      <c r="B62" s="10" t="s">
        <v>172</v>
      </c>
      <c r="C62" s="10" t="s">
        <v>253</v>
      </c>
      <c r="D62" s="10" t="s">
        <v>795</v>
      </c>
      <c r="E62" s="11" t="n">
        <v>8</v>
      </c>
      <c r="F62" s="10" t="s">
        <v>796</v>
      </c>
      <c r="G62" s="7" t="n">
        <v>11</v>
      </c>
      <c r="H62" s="10" t="s">
        <v>1114</v>
      </c>
      <c r="I62" s="10" t="s">
        <v>274</v>
      </c>
      <c r="J62" s="10" t="s">
        <v>802</v>
      </c>
      <c r="K62" s="7" t="n">
        <v>10</v>
      </c>
      <c r="L62" s="7" t="n">
        <v>60</v>
      </c>
      <c r="M62" s="7" t="n">
        <v>5</v>
      </c>
      <c r="N62" s="7" t="n">
        <v>16</v>
      </c>
      <c r="O62" s="7" t="n">
        <v>8</v>
      </c>
      <c r="P62" s="8" t="n">
        <v>15.1733303608454</v>
      </c>
      <c r="Q62" s="9" t="n">
        <v>0.065905109571758</v>
      </c>
      <c r="R62" s="8" t="n">
        <v>8.5</v>
      </c>
      <c r="S62" s="12" t="n">
        <f aca="false">IF(AND(ISNUMBER(R62),R62&gt;1,P62&gt;0),R62/P62-1,"")</f>
        <v>-0.439806568640057</v>
      </c>
    </row>
    <row r="63" customFormat="false" ht="15" hidden="false" customHeight="false" outlineLevel="0" collapsed="false">
      <c r="A63" s="10" t="s">
        <v>252</v>
      </c>
      <c r="B63" s="10" t="s">
        <v>172</v>
      </c>
      <c r="C63" s="10" t="s">
        <v>253</v>
      </c>
      <c r="D63" s="10" t="s">
        <v>795</v>
      </c>
      <c r="E63" s="11" t="n">
        <v>8</v>
      </c>
      <c r="F63" s="10" t="s">
        <v>796</v>
      </c>
      <c r="G63" s="7" t="n">
        <v>11</v>
      </c>
      <c r="H63" s="10" t="s">
        <v>1115</v>
      </c>
      <c r="I63" s="10" t="s">
        <v>797</v>
      </c>
      <c r="J63" s="10" t="s">
        <v>1072</v>
      </c>
      <c r="K63" s="7" t="n">
        <v>9</v>
      </c>
      <c r="L63" s="7" t="n">
        <v>52</v>
      </c>
      <c r="M63" s="7" t="n">
        <v>12</v>
      </c>
      <c r="N63" s="7" t="n">
        <v>62</v>
      </c>
      <c r="O63" s="7" t="n">
        <v>9</v>
      </c>
      <c r="P63" s="8" t="n">
        <v>38.6582715848556</v>
      </c>
      <c r="Q63" s="9" t="n">
        <v>0.0258676852069028</v>
      </c>
      <c r="R63" s="8" t="n">
        <v>23</v>
      </c>
      <c r="S63" s="12" t="n">
        <f aca="false">IF(AND(ISNUMBER(R63),R63&gt;1,P63&gt;0),R63/P63-1,"")</f>
        <v>-0.405043240241235</v>
      </c>
    </row>
    <row r="64" customFormat="false" ht="15" hidden="false" customHeight="false" outlineLevel="0" collapsed="false">
      <c r="A64" s="10" t="s">
        <v>252</v>
      </c>
      <c r="B64" s="10" t="s">
        <v>172</v>
      </c>
      <c r="C64" s="10" t="s">
        <v>253</v>
      </c>
      <c r="D64" s="10" t="s">
        <v>795</v>
      </c>
      <c r="E64" s="11" t="n">
        <v>8</v>
      </c>
      <c r="F64" s="10" t="s">
        <v>796</v>
      </c>
      <c r="G64" s="7" t="n">
        <v>11</v>
      </c>
      <c r="H64" s="10" t="s">
        <v>1116</v>
      </c>
      <c r="I64" s="10" t="s">
        <v>875</v>
      </c>
      <c r="J64" s="10" t="s">
        <v>892</v>
      </c>
      <c r="K64" s="7" t="n">
        <v>11</v>
      </c>
      <c r="L64" s="7" t="n">
        <v>46</v>
      </c>
      <c r="M64" s="7" t="n">
        <v>5</v>
      </c>
      <c r="N64" s="7" t="n">
        <v>23</v>
      </c>
      <c r="O64" s="7" t="n">
        <v>10</v>
      </c>
      <c r="P64" s="8" t="n">
        <v>63.4124230396106</v>
      </c>
      <c r="Q64" s="9" t="n">
        <v>0.0157697806213042</v>
      </c>
      <c r="R64" s="8" t="n">
        <v>34</v>
      </c>
      <c r="S64" s="12" t="n">
        <f aca="false">IF(AND(ISNUMBER(R64),R64&gt;1,P64&gt;0),R64/P64-1,"")</f>
        <v>-0.463827458875654</v>
      </c>
    </row>
    <row r="65" customFormat="false" ht="15" hidden="false" customHeight="false" outlineLevel="0" collapsed="false">
      <c r="A65" s="10" t="s">
        <v>252</v>
      </c>
      <c r="B65" s="10" t="s">
        <v>172</v>
      </c>
      <c r="C65" s="10" t="s">
        <v>253</v>
      </c>
      <c r="D65" s="10" t="s">
        <v>795</v>
      </c>
      <c r="E65" s="11" t="n">
        <v>8</v>
      </c>
      <c r="F65" s="10" t="s">
        <v>796</v>
      </c>
      <c r="G65" s="7" t="n">
        <v>11</v>
      </c>
      <c r="H65" s="10" t="s">
        <v>1117</v>
      </c>
      <c r="I65" s="10" t="s">
        <v>900</v>
      </c>
      <c r="J65" s="10" t="s">
        <v>901</v>
      </c>
      <c r="K65" s="7" t="n">
        <v>8</v>
      </c>
      <c r="L65" s="7" t="n">
        <v>46</v>
      </c>
      <c r="M65" s="7" t="n">
        <v>4</v>
      </c>
      <c r="N65" s="7" t="n">
        <v>17</v>
      </c>
      <c r="O65" s="7" t="n">
        <v>11</v>
      </c>
      <c r="P65" s="8" t="n">
        <v>471.974080101232</v>
      </c>
      <c r="Q65" s="9" t="n">
        <v>0.0021187604196093</v>
      </c>
      <c r="R65" s="8" t="n">
        <v>81</v>
      </c>
      <c r="S65" s="12" t="n">
        <f aca="false">IF(AND(ISNUMBER(R65),R65&gt;1,P65&gt;0),R65/P65-1,"")</f>
        <v>-0.828380406011647</v>
      </c>
    </row>
    <row r="66" customFormat="false" ht="15" hidden="false" customHeight="false" outlineLevel="0" collapsed="false">
      <c r="A66" s="10" t="s">
        <v>262</v>
      </c>
      <c r="B66" s="10" t="s">
        <v>172</v>
      </c>
      <c r="C66" s="10" t="s">
        <v>263</v>
      </c>
      <c r="D66" s="10" t="s">
        <v>290</v>
      </c>
      <c r="E66" s="11" t="n">
        <v>7</v>
      </c>
      <c r="F66" s="10" t="s">
        <v>796</v>
      </c>
      <c r="G66" s="7" t="n">
        <v>11</v>
      </c>
      <c r="H66" s="10" t="s">
        <v>264</v>
      </c>
      <c r="I66" s="10" t="s">
        <v>265</v>
      </c>
      <c r="J66" s="10" t="s">
        <v>266</v>
      </c>
      <c r="K66" s="7" t="n">
        <v>7</v>
      </c>
      <c r="L66" s="7" t="n">
        <v>75</v>
      </c>
      <c r="M66" s="7" t="n">
        <v>4</v>
      </c>
      <c r="N66" s="7" t="n">
        <v>20</v>
      </c>
      <c r="O66" s="7" t="n">
        <v>1</v>
      </c>
      <c r="P66" s="8" t="n">
        <v>5.83284454604228</v>
      </c>
      <c r="Q66" s="9" t="n">
        <v>0.171442936993499</v>
      </c>
      <c r="R66" s="8" t="n">
        <v>2.75</v>
      </c>
      <c r="S66" s="12" t="n">
        <f aca="false">IF(AND(ISNUMBER(R66),R66&gt;1,P66&gt;0),R66/P66-1,"")</f>
        <v>-0.528531923267878</v>
      </c>
    </row>
    <row r="67" customFormat="false" ht="15" hidden="false" customHeight="false" outlineLevel="0" collapsed="false">
      <c r="A67" s="10" t="s">
        <v>262</v>
      </c>
      <c r="B67" s="10" t="s">
        <v>172</v>
      </c>
      <c r="C67" s="10" t="s">
        <v>263</v>
      </c>
      <c r="D67" s="10" t="s">
        <v>290</v>
      </c>
      <c r="E67" s="11" t="n">
        <v>7</v>
      </c>
      <c r="F67" s="10" t="s">
        <v>796</v>
      </c>
      <c r="G67" s="7" t="n">
        <v>11</v>
      </c>
      <c r="H67" s="10" t="s">
        <v>267</v>
      </c>
      <c r="I67" s="10" t="s">
        <v>231</v>
      </c>
      <c r="J67" s="10" t="s">
        <v>1105</v>
      </c>
      <c r="K67" s="7" t="n">
        <v>6</v>
      </c>
      <c r="L67" s="7" t="n">
        <v>72</v>
      </c>
      <c r="M67" s="7" t="n">
        <v>4</v>
      </c>
      <c r="N67" s="7" t="n">
        <v>63</v>
      </c>
      <c r="O67" s="7" t="n">
        <v>2</v>
      </c>
      <c r="P67" s="8" t="n">
        <v>8.94220490837452</v>
      </c>
      <c r="Q67" s="9" t="n">
        <v>0.111829242367672</v>
      </c>
      <c r="R67" s="8" t="n">
        <v>7.5</v>
      </c>
      <c r="S67" s="12" t="n">
        <f aca="false">IF(AND(ISNUMBER(R67),R67&gt;1,P67&gt;0),R67/P67-1,"")</f>
        <v>-0.16128068224246</v>
      </c>
    </row>
    <row r="68" customFormat="false" ht="15" hidden="false" customHeight="false" outlineLevel="0" collapsed="false">
      <c r="A68" s="10" t="s">
        <v>262</v>
      </c>
      <c r="B68" s="10" t="s">
        <v>172</v>
      </c>
      <c r="C68" s="10" t="s">
        <v>263</v>
      </c>
      <c r="D68" s="10" t="s">
        <v>290</v>
      </c>
      <c r="E68" s="11" t="n">
        <v>7</v>
      </c>
      <c r="F68" s="10" t="s">
        <v>796</v>
      </c>
      <c r="G68" s="7" t="n">
        <v>11</v>
      </c>
      <c r="H68" s="10" t="s">
        <v>1126</v>
      </c>
      <c r="I68" s="10" t="s">
        <v>175</v>
      </c>
      <c r="J68" s="10" t="s">
        <v>407</v>
      </c>
      <c r="K68" s="7" t="n">
        <v>4</v>
      </c>
      <c r="L68" s="7" t="n">
        <v>75</v>
      </c>
      <c r="M68" s="7" t="n">
        <v>5</v>
      </c>
      <c r="N68" s="7" t="n">
        <v>22</v>
      </c>
      <c r="O68" s="7" t="n">
        <v>3</v>
      </c>
      <c r="P68" s="8" t="n">
        <v>9.00869784136447</v>
      </c>
      <c r="Q68" s="9" t="n">
        <v>0.111003834028974</v>
      </c>
      <c r="R68" s="8" t="n">
        <v>8.5</v>
      </c>
      <c r="S68" s="12" t="n">
        <f aca="false">IF(AND(ISNUMBER(R68),R68&gt;1,P68&gt;0),R68/P68-1,"")</f>
        <v>-0.0564674107537192</v>
      </c>
    </row>
    <row r="69" customFormat="false" ht="15" hidden="false" customHeight="false" outlineLevel="0" collapsed="false">
      <c r="A69" s="10" t="s">
        <v>262</v>
      </c>
      <c r="B69" s="10" t="s">
        <v>172</v>
      </c>
      <c r="C69" s="10" t="s">
        <v>263</v>
      </c>
      <c r="D69" s="10" t="s">
        <v>290</v>
      </c>
      <c r="E69" s="11" t="n">
        <v>7</v>
      </c>
      <c r="F69" s="10" t="s">
        <v>796</v>
      </c>
      <c r="G69" s="7" t="n">
        <v>11</v>
      </c>
      <c r="H69" s="10" t="s">
        <v>1127</v>
      </c>
      <c r="I69" s="10" t="s">
        <v>1128</v>
      </c>
      <c r="J69" s="10" t="s">
        <v>506</v>
      </c>
      <c r="K69" s="7" t="n">
        <v>1</v>
      </c>
      <c r="L69" s="7" t="n">
        <v>75</v>
      </c>
      <c r="M69" s="7" t="n">
        <v>7</v>
      </c>
      <c r="N69" s="7" t="n">
        <v>23</v>
      </c>
      <c r="O69" s="7" t="n">
        <v>4</v>
      </c>
      <c r="P69" s="8" t="n">
        <v>9.32885948031589</v>
      </c>
      <c r="Q69" s="9" t="n">
        <v>0.10719423977926</v>
      </c>
      <c r="R69" s="8" t="n">
        <v>9</v>
      </c>
      <c r="S69" s="12" t="n">
        <f aca="false">IF(AND(ISNUMBER(R69),R69&gt;1,P69&gt;0),R69/P69-1,"")</f>
        <v>-0.0352518419866642</v>
      </c>
    </row>
    <row r="70" customFormat="false" ht="15" hidden="false" customHeight="false" outlineLevel="0" collapsed="false">
      <c r="A70" s="10" t="s">
        <v>262</v>
      </c>
      <c r="B70" s="10" t="s">
        <v>172</v>
      </c>
      <c r="C70" s="10" t="s">
        <v>263</v>
      </c>
      <c r="D70" s="10" t="s">
        <v>290</v>
      </c>
      <c r="E70" s="11" t="n">
        <v>7</v>
      </c>
      <c r="F70" s="10" t="s">
        <v>796</v>
      </c>
      <c r="G70" s="7" t="n">
        <v>11</v>
      </c>
      <c r="H70" s="10" t="s">
        <v>1129</v>
      </c>
      <c r="I70" s="10" t="s">
        <v>219</v>
      </c>
      <c r="J70" s="10" t="s">
        <v>1130</v>
      </c>
      <c r="K70" s="7" t="n">
        <v>11</v>
      </c>
      <c r="L70" s="7" t="n">
        <v>73</v>
      </c>
      <c r="M70" s="7" t="n">
        <v>5</v>
      </c>
      <c r="N70" s="7" t="n">
        <v>23</v>
      </c>
      <c r="O70" s="7" t="n">
        <v>5</v>
      </c>
      <c r="P70" s="8" t="n">
        <v>9.96452875448875</v>
      </c>
      <c r="Q70" s="9" t="n">
        <v>0.100355975143283</v>
      </c>
      <c r="R70" s="8" t="n">
        <v>13</v>
      </c>
      <c r="S70" s="12" t="n">
        <f aca="false">IF(AND(ISNUMBER(R70),R70&gt;1,P70&gt;0),R70/P70-1,"")</f>
        <v>0.304627676862677</v>
      </c>
    </row>
    <row r="71" customFormat="false" ht="15" hidden="false" customHeight="false" outlineLevel="0" collapsed="false">
      <c r="A71" s="10" t="s">
        <v>262</v>
      </c>
      <c r="B71" s="10" t="s">
        <v>172</v>
      </c>
      <c r="C71" s="10" t="s">
        <v>263</v>
      </c>
      <c r="D71" s="10" t="s">
        <v>290</v>
      </c>
      <c r="E71" s="11" t="n">
        <v>7</v>
      </c>
      <c r="F71" s="10" t="s">
        <v>796</v>
      </c>
      <c r="G71" s="7" t="n">
        <v>11</v>
      </c>
      <c r="H71" s="10" t="s">
        <v>1131</v>
      </c>
      <c r="I71" s="10" t="s">
        <v>891</v>
      </c>
      <c r="J71" s="10" t="s">
        <v>596</v>
      </c>
      <c r="K71" s="7" t="n">
        <v>5</v>
      </c>
      <c r="L71" s="7" t="n">
        <v>75</v>
      </c>
      <c r="M71" s="7" t="n">
        <v>4</v>
      </c>
      <c r="N71" s="7" t="n">
        <v>37</v>
      </c>
      <c r="O71" s="7" t="n">
        <v>6</v>
      </c>
      <c r="P71" s="8" t="n">
        <v>10.3910254962491</v>
      </c>
      <c r="Q71" s="9" t="n">
        <v>0.0962368921489966</v>
      </c>
      <c r="R71" s="8" t="n">
        <v>6.5</v>
      </c>
      <c r="S71" s="12" t="n">
        <f aca="false">IF(AND(ISNUMBER(R71),R71&gt;1,P71&gt;0),R71/P71-1,"")</f>
        <v>-0.374460201031522</v>
      </c>
    </row>
    <row r="72" customFormat="false" ht="15" hidden="false" customHeight="false" outlineLevel="0" collapsed="false">
      <c r="A72" s="10" t="s">
        <v>262</v>
      </c>
      <c r="B72" s="10" t="s">
        <v>172</v>
      </c>
      <c r="C72" s="10" t="s">
        <v>263</v>
      </c>
      <c r="D72" s="10" t="s">
        <v>290</v>
      </c>
      <c r="E72" s="11" t="n">
        <v>7</v>
      </c>
      <c r="F72" s="10" t="s">
        <v>796</v>
      </c>
      <c r="G72" s="7" t="n">
        <v>11</v>
      </c>
      <c r="H72" s="10" t="s">
        <v>1132</v>
      </c>
      <c r="I72" s="10" t="s">
        <v>1034</v>
      </c>
      <c r="J72" s="10" t="s">
        <v>407</v>
      </c>
      <c r="K72" s="7" t="n">
        <v>9</v>
      </c>
      <c r="L72" s="7" t="n">
        <v>69</v>
      </c>
      <c r="M72" s="7" t="n">
        <v>4</v>
      </c>
      <c r="N72" s="7" t="n">
        <v>20</v>
      </c>
      <c r="O72" s="7" t="n">
        <v>7</v>
      </c>
      <c r="P72" s="8" t="n">
        <v>10.5185513665091</v>
      </c>
      <c r="Q72" s="9" t="n">
        <v>0.0950701256433452</v>
      </c>
      <c r="R72" s="8" t="n">
        <v>15</v>
      </c>
      <c r="S72" s="12" t="n">
        <f aca="false">IF(AND(ISNUMBER(R72),R72&gt;1,P72&gt;0),R72/P72-1,"")</f>
        <v>0.426051884650179</v>
      </c>
    </row>
    <row r="73" customFormat="false" ht="15" hidden="false" customHeight="false" outlineLevel="0" collapsed="false">
      <c r="A73" s="10" t="s">
        <v>262</v>
      </c>
      <c r="B73" s="10" t="s">
        <v>172</v>
      </c>
      <c r="C73" s="10" t="s">
        <v>263</v>
      </c>
      <c r="D73" s="10" t="s">
        <v>290</v>
      </c>
      <c r="E73" s="11" t="n">
        <v>7</v>
      </c>
      <c r="F73" s="10" t="s">
        <v>796</v>
      </c>
      <c r="G73" s="7" t="n">
        <v>11</v>
      </c>
      <c r="H73" s="10" t="s">
        <v>1133</v>
      </c>
      <c r="I73" s="10" t="s">
        <v>797</v>
      </c>
      <c r="J73" s="10" t="s">
        <v>1134</v>
      </c>
      <c r="K73" s="7" t="n">
        <v>3</v>
      </c>
      <c r="L73" s="7" t="n">
        <v>70</v>
      </c>
      <c r="M73" s="7" t="n">
        <v>4</v>
      </c>
      <c r="N73" s="7" t="n">
        <v>14</v>
      </c>
      <c r="O73" s="7" t="n">
        <v>8</v>
      </c>
      <c r="P73" s="8" t="n">
        <v>13.7730753012354</v>
      </c>
      <c r="Q73" s="9" t="n">
        <v>0.0726054260307648</v>
      </c>
      <c r="R73" s="8" t="n">
        <v>7.5</v>
      </c>
      <c r="S73" s="12" t="n">
        <f aca="false">IF(AND(ISNUMBER(R73),R73&gt;1,P73&gt;0),R73/P73-1,"")</f>
        <v>-0.455459304769263</v>
      </c>
    </row>
    <row r="74" customFormat="false" ht="15" hidden="false" customHeight="false" outlineLevel="0" collapsed="false">
      <c r="A74" s="10" t="s">
        <v>262</v>
      </c>
      <c r="B74" s="10" t="s">
        <v>172</v>
      </c>
      <c r="C74" s="10" t="s">
        <v>263</v>
      </c>
      <c r="D74" s="10" t="s">
        <v>290</v>
      </c>
      <c r="E74" s="11" t="n">
        <v>7</v>
      </c>
      <c r="F74" s="10" t="s">
        <v>796</v>
      </c>
      <c r="G74" s="7" t="n">
        <v>11</v>
      </c>
      <c r="H74" s="10" t="s">
        <v>1135</v>
      </c>
      <c r="I74" s="10" t="s">
        <v>196</v>
      </c>
      <c r="J74" s="10" t="s">
        <v>1136</v>
      </c>
      <c r="K74" s="7" t="n">
        <v>8</v>
      </c>
      <c r="L74" s="7" t="n">
        <v>70</v>
      </c>
      <c r="M74" s="7" t="n">
        <v>4</v>
      </c>
      <c r="N74" s="7" t="n">
        <v>20</v>
      </c>
      <c r="O74" s="7" t="n">
        <v>9</v>
      </c>
      <c r="P74" s="8" t="n">
        <v>14.5754540572465</v>
      </c>
      <c r="Q74" s="9" t="n">
        <v>0.0686084972771623</v>
      </c>
      <c r="R74" s="8" t="n">
        <v>17</v>
      </c>
      <c r="S74" s="12" t="n">
        <f aca="false">IF(AND(ISNUMBER(R74),R74&gt;1,P74&gt;0),R74/P74-1,"")</f>
        <v>0.16634445371176</v>
      </c>
    </row>
    <row r="75" customFormat="false" ht="15" hidden="false" customHeight="false" outlineLevel="0" collapsed="false">
      <c r="A75" s="10" t="s">
        <v>262</v>
      </c>
      <c r="B75" s="10" t="s">
        <v>172</v>
      </c>
      <c r="C75" s="10" t="s">
        <v>263</v>
      </c>
      <c r="D75" s="10" t="s">
        <v>290</v>
      </c>
      <c r="E75" s="11" t="n">
        <v>7</v>
      </c>
      <c r="F75" s="10" t="s">
        <v>796</v>
      </c>
      <c r="G75" s="7" t="n">
        <v>11</v>
      </c>
      <c r="H75" s="10" t="s">
        <v>1137</v>
      </c>
      <c r="I75" s="10" t="s">
        <v>800</v>
      </c>
      <c r="J75" s="10" t="s">
        <v>807</v>
      </c>
      <c r="K75" s="7" t="n">
        <v>10</v>
      </c>
      <c r="L75" s="7" t="n">
        <v>64</v>
      </c>
      <c r="M75" s="7" t="n">
        <v>6</v>
      </c>
      <c r="N75" s="7" t="n">
        <v>23</v>
      </c>
      <c r="O75" s="7" t="n">
        <v>10</v>
      </c>
      <c r="P75" s="8" t="n">
        <v>26.1294480803055</v>
      </c>
      <c r="Q75" s="9" t="n">
        <v>0.0382709958865809</v>
      </c>
      <c r="R75" s="8" t="n">
        <v>29</v>
      </c>
      <c r="S75" s="12" t="n">
        <f aca="false">IF(AND(ISNUMBER(R75),R75&gt;1,P75&gt;0),R75/P75-1,"")</f>
        <v>0.109858880710846</v>
      </c>
    </row>
    <row r="76" customFormat="false" ht="15" hidden="false" customHeight="false" outlineLevel="0" collapsed="false">
      <c r="A76" s="10" t="s">
        <v>262</v>
      </c>
      <c r="B76" s="10" t="s">
        <v>172</v>
      </c>
      <c r="C76" s="10" t="s">
        <v>263</v>
      </c>
      <c r="D76" s="10" t="s">
        <v>290</v>
      </c>
      <c r="E76" s="11" t="n">
        <v>7</v>
      </c>
      <c r="F76" s="10" t="s">
        <v>796</v>
      </c>
      <c r="G76" s="7" t="n">
        <v>11</v>
      </c>
      <c r="H76" s="10" t="s">
        <v>1138</v>
      </c>
      <c r="I76" s="10" t="s">
        <v>1066</v>
      </c>
      <c r="J76" s="10" t="s">
        <v>807</v>
      </c>
      <c r="K76" s="7" t="n">
        <v>2</v>
      </c>
      <c r="L76" s="7" t="n">
        <v>61</v>
      </c>
      <c r="M76" s="7" t="n">
        <v>5</v>
      </c>
      <c r="N76" s="7" t="n">
        <v>23</v>
      </c>
      <c r="O76" s="7" t="n">
        <v>11</v>
      </c>
      <c r="P76" s="8" t="n">
        <v>36.5205622975696</v>
      </c>
      <c r="Q76" s="9" t="n">
        <v>0.0273818347004626</v>
      </c>
      <c r="R76" s="8" t="n">
        <v>23</v>
      </c>
      <c r="S76" s="12" t="n">
        <f aca="false">IF(AND(ISNUMBER(R76),R76&gt;1,P76&gt;0),R76/P76-1,"")</f>
        <v>-0.370217801889358</v>
      </c>
    </row>
    <row r="77" customFormat="false" ht="15" hidden="false" customHeight="false" outlineLevel="0" collapsed="false">
      <c r="A77" s="10" t="s">
        <v>272</v>
      </c>
      <c r="B77" s="10" t="s">
        <v>172</v>
      </c>
      <c r="C77" s="10" t="s">
        <v>173</v>
      </c>
      <c r="D77" s="10" t="s">
        <v>795</v>
      </c>
      <c r="E77" s="11" t="n">
        <v>6</v>
      </c>
      <c r="F77" s="10" t="s">
        <v>796</v>
      </c>
      <c r="G77" s="7" t="n">
        <v>13</v>
      </c>
      <c r="H77" s="10" t="s">
        <v>273</v>
      </c>
      <c r="I77" s="10" t="s">
        <v>274</v>
      </c>
      <c r="J77" s="10" t="s">
        <v>275</v>
      </c>
      <c r="K77" s="7" t="n">
        <v>11</v>
      </c>
      <c r="L77" s="7" t="n">
        <v>50</v>
      </c>
      <c r="M77" s="7" t="n">
        <v>7</v>
      </c>
      <c r="N77" s="7" t="n">
        <v>6</v>
      </c>
      <c r="O77" s="7" t="n">
        <v>1</v>
      </c>
      <c r="P77" s="8" t="n">
        <v>5.25658255423605</v>
      </c>
      <c r="Q77" s="9" t="n">
        <v>0.190237666712595</v>
      </c>
      <c r="R77" s="8" t="n">
        <v>4.33333333333333</v>
      </c>
      <c r="S77" s="12" t="n">
        <f aca="false">IF(AND(ISNUMBER(R77),R77&gt;1,P77&gt;0),R77/P77-1,"")</f>
        <v>-0.175636777578754</v>
      </c>
    </row>
    <row r="78" customFormat="false" ht="15" hidden="false" customHeight="false" outlineLevel="0" collapsed="false">
      <c r="A78" s="10" t="s">
        <v>272</v>
      </c>
      <c r="B78" s="10" t="s">
        <v>172</v>
      </c>
      <c r="C78" s="10" t="s">
        <v>173</v>
      </c>
      <c r="D78" s="10" t="s">
        <v>795</v>
      </c>
      <c r="E78" s="11" t="n">
        <v>6</v>
      </c>
      <c r="F78" s="10" t="s">
        <v>796</v>
      </c>
      <c r="G78" s="7" t="n">
        <v>13</v>
      </c>
      <c r="H78" s="10" t="s">
        <v>276</v>
      </c>
      <c r="I78" s="10" t="s">
        <v>885</v>
      </c>
      <c r="J78" s="10" t="s">
        <v>886</v>
      </c>
      <c r="K78" s="7" t="n">
        <v>13</v>
      </c>
      <c r="L78" s="7" t="n">
        <v>50</v>
      </c>
      <c r="M78" s="7" t="n">
        <v>4</v>
      </c>
      <c r="N78" s="7" t="n">
        <v>16</v>
      </c>
      <c r="O78" s="7" t="n">
        <v>2</v>
      </c>
      <c r="P78" s="8" t="n">
        <v>5.71545265396597</v>
      </c>
      <c r="Q78" s="9" t="n">
        <v>0.174964269768921</v>
      </c>
      <c r="R78" s="8" t="n">
        <v>4.33333333333333</v>
      </c>
      <c r="S78" s="12" t="n">
        <f aca="false">IF(AND(ISNUMBER(R78),R78&gt;1,P78&gt;0),R78/P78-1,"")</f>
        <v>-0.241821497668007</v>
      </c>
    </row>
    <row r="79" customFormat="false" ht="15" hidden="false" customHeight="false" outlineLevel="0" collapsed="false">
      <c r="A79" s="10" t="s">
        <v>272</v>
      </c>
      <c r="B79" s="10" t="s">
        <v>172</v>
      </c>
      <c r="C79" s="10" t="s">
        <v>173</v>
      </c>
      <c r="D79" s="10" t="s">
        <v>795</v>
      </c>
      <c r="E79" s="11" t="n">
        <v>6</v>
      </c>
      <c r="F79" s="10" t="s">
        <v>796</v>
      </c>
      <c r="G79" s="7" t="n">
        <v>13</v>
      </c>
      <c r="H79" s="10" t="s">
        <v>1161</v>
      </c>
      <c r="I79" s="10" t="s">
        <v>1162</v>
      </c>
      <c r="J79" s="10" t="s">
        <v>823</v>
      </c>
      <c r="K79" s="7" t="n">
        <v>9</v>
      </c>
      <c r="L79" s="7" t="n">
        <v>49</v>
      </c>
      <c r="M79" s="7" t="n">
        <v>7</v>
      </c>
      <c r="N79" s="7" t="n">
        <v>6</v>
      </c>
      <c r="O79" s="7" t="n">
        <v>3</v>
      </c>
      <c r="P79" s="8" t="n">
        <v>7.77728569172884</v>
      </c>
      <c r="Q79" s="9" t="n">
        <v>0.128579563569782</v>
      </c>
      <c r="R79" s="8" t="n">
        <v>7</v>
      </c>
      <c r="S79" s="12" t="n">
        <f aca="false">IF(AND(ISNUMBER(R79),R79&gt;1,P79&gt;0),R79/P79-1,"")</f>
        <v>-0.0999430550115295</v>
      </c>
    </row>
    <row r="80" customFormat="false" ht="15" hidden="false" customHeight="false" outlineLevel="0" collapsed="false">
      <c r="A80" s="10" t="s">
        <v>272</v>
      </c>
      <c r="B80" s="10" t="s">
        <v>172</v>
      </c>
      <c r="C80" s="10" t="s">
        <v>173</v>
      </c>
      <c r="D80" s="10" t="s">
        <v>795</v>
      </c>
      <c r="E80" s="11" t="n">
        <v>6</v>
      </c>
      <c r="F80" s="10" t="s">
        <v>796</v>
      </c>
      <c r="G80" s="7" t="n">
        <v>13</v>
      </c>
      <c r="H80" s="10" t="s">
        <v>1163</v>
      </c>
      <c r="I80" s="10" t="s">
        <v>1066</v>
      </c>
      <c r="J80" s="10" t="s">
        <v>1067</v>
      </c>
      <c r="K80" s="7" t="n">
        <v>6</v>
      </c>
      <c r="L80" s="7" t="n">
        <v>48</v>
      </c>
      <c r="M80" s="7" t="n">
        <v>4</v>
      </c>
      <c r="N80" s="7" t="n">
        <v>22</v>
      </c>
      <c r="O80" s="7" t="n">
        <v>4</v>
      </c>
      <c r="P80" s="8" t="n">
        <v>7.90758696198435</v>
      </c>
      <c r="Q80" s="9" t="n">
        <v>0.126460828670932</v>
      </c>
      <c r="R80" s="8" t="n">
        <v>5.5</v>
      </c>
      <c r="S80" s="12" t="n">
        <f aca="false">IF(AND(ISNUMBER(R80),R80&gt;1,P80&gt;0),R80/P80-1,"")</f>
        <v>-0.304465442309873</v>
      </c>
    </row>
    <row r="81" customFormat="false" ht="15" hidden="false" customHeight="false" outlineLevel="0" collapsed="false">
      <c r="A81" s="10" t="s">
        <v>272</v>
      </c>
      <c r="B81" s="10" t="s">
        <v>172</v>
      </c>
      <c r="C81" s="10" t="s">
        <v>173</v>
      </c>
      <c r="D81" s="10" t="s">
        <v>795</v>
      </c>
      <c r="E81" s="11" t="n">
        <v>6</v>
      </c>
      <c r="F81" s="10" t="s">
        <v>796</v>
      </c>
      <c r="G81" s="7" t="n">
        <v>13</v>
      </c>
      <c r="H81" s="10" t="s">
        <v>1164</v>
      </c>
      <c r="I81" s="10" t="s">
        <v>1128</v>
      </c>
      <c r="J81" s="10" t="s">
        <v>1165</v>
      </c>
      <c r="K81" s="7" t="n">
        <v>8</v>
      </c>
      <c r="L81" s="7" t="n">
        <v>52</v>
      </c>
      <c r="M81" s="7" t="n">
        <v>5</v>
      </c>
      <c r="N81" s="7" t="n">
        <v>29</v>
      </c>
      <c r="O81" s="7" t="n">
        <v>5</v>
      </c>
      <c r="P81" s="8" t="n">
        <v>8.20495900584832</v>
      </c>
      <c r="Q81" s="9" t="n">
        <v>0.121877513255974</v>
      </c>
      <c r="R81" s="8" t="n">
        <v>11</v>
      </c>
      <c r="S81" s="12" t="n">
        <f aca="false">IF(AND(ISNUMBER(R81),R81&gt;1,P81&gt;0),R81/P81-1,"")</f>
        <v>0.340652645815711</v>
      </c>
    </row>
    <row r="82" customFormat="false" ht="15" hidden="false" customHeight="false" outlineLevel="0" collapsed="false">
      <c r="A82" s="10" t="s">
        <v>272</v>
      </c>
      <c r="B82" s="10" t="s">
        <v>172</v>
      </c>
      <c r="C82" s="10" t="s">
        <v>173</v>
      </c>
      <c r="D82" s="10" t="s">
        <v>795</v>
      </c>
      <c r="E82" s="11" t="n">
        <v>6</v>
      </c>
      <c r="F82" s="10" t="s">
        <v>796</v>
      </c>
      <c r="G82" s="7" t="n">
        <v>13</v>
      </c>
      <c r="H82" s="10" t="s">
        <v>1166</v>
      </c>
      <c r="I82" s="10" t="s">
        <v>797</v>
      </c>
      <c r="J82" s="10" t="s">
        <v>1167</v>
      </c>
      <c r="K82" s="7" t="n">
        <v>7</v>
      </c>
      <c r="L82" s="7" t="n">
        <v>51</v>
      </c>
      <c r="M82" s="7" t="n">
        <v>4</v>
      </c>
      <c r="N82" s="7" t="n">
        <v>22</v>
      </c>
      <c r="O82" s="7" t="n">
        <v>6</v>
      </c>
      <c r="P82" s="8" t="n">
        <v>13.8472783821533</v>
      </c>
      <c r="Q82" s="9" t="n">
        <v>0.0722163570632641</v>
      </c>
      <c r="R82" s="8" t="n">
        <v>10</v>
      </c>
      <c r="S82" s="12" t="n">
        <f aca="false">IF(AND(ISNUMBER(R82),R82&gt;1,P82&gt;0),R82/P82-1,"")</f>
        <v>-0.277836429367359</v>
      </c>
    </row>
    <row r="83" customFormat="false" ht="15" hidden="false" customHeight="false" outlineLevel="0" collapsed="false">
      <c r="A83" s="10" t="s">
        <v>272</v>
      </c>
      <c r="B83" s="10" t="s">
        <v>172</v>
      </c>
      <c r="C83" s="10" t="s">
        <v>173</v>
      </c>
      <c r="D83" s="10" t="s">
        <v>795</v>
      </c>
      <c r="E83" s="11" t="n">
        <v>6</v>
      </c>
      <c r="F83" s="10" t="s">
        <v>796</v>
      </c>
      <c r="G83" s="7" t="n">
        <v>13</v>
      </c>
      <c r="H83" s="10" t="s">
        <v>1168</v>
      </c>
      <c r="I83" s="10" t="s">
        <v>219</v>
      </c>
      <c r="J83" s="10" t="s">
        <v>1169</v>
      </c>
      <c r="K83" s="7" t="n">
        <v>1</v>
      </c>
      <c r="L83" s="7" t="n">
        <v>50</v>
      </c>
      <c r="M83" s="7" t="n">
        <v>9</v>
      </c>
      <c r="N83" s="7" t="n">
        <v>22</v>
      </c>
      <c r="O83" s="7" t="n">
        <v>7</v>
      </c>
      <c r="P83" s="8" t="n">
        <v>20.4511536086271</v>
      </c>
      <c r="Q83" s="9" t="n">
        <v>0.0488969971639233</v>
      </c>
      <c r="R83" s="8" t="n">
        <v>12</v>
      </c>
      <c r="S83" s="12" t="n">
        <f aca="false">IF(AND(ISNUMBER(R83),R83&gt;1,P83&gt;0),R83/P83-1,"")</f>
        <v>-0.413236034032919</v>
      </c>
    </row>
    <row r="84" customFormat="false" ht="15" hidden="false" customHeight="false" outlineLevel="0" collapsed="false">
      <c r="A84" s="10" t="s">
        <v>272</v>
      </c>
      <c r="B84" s="10" t="s">
        <v>172</v>
      </c>
      <c r="C84" s="10" t="s">
        <v>173</v>
      </c>
      <c r="D84" s="10" t="s">
        <v>795</v>
      </c>
      <c r="E84" s="11" t="n">
        <v>6</v>
      </c>
      <c r="F84" s="10" t="s">
        <v>796</v>
      </c>
      <c r="G84" s="7" t="n">
        <v>13</v>
      </c>
      <c r="H84" s="10" t="s">
        <v>1170</v>
      </c>
      <c r="I84" s="10" t="s">
        <v>822</v>
      </c>
      <c r="J84" s="10" t="s">
        <v>823</v>
      </c>
      <c r="K84" s="7" t="n">
        <v>12</v>
      </c>
      <c r="L84" s="7" t="n">
        <v>46</v>
      </c>
      <c r="M84" s="7" t="n">
        <v>5</v>
      </c>
      <c r="N84" s="7" t="n">
        <v>22</v>
      </c>
      <c r="O84" s="7" t="n">
        <v>8</v>
      </c>
      <c r="P84" s="8" t="n">
        <v>20.6266046926377</v>
      </c>
      <c r="Q84" s="9" t="n">
        <v>0.0484810764981078</v>
      </c>
      <c r="R84" s="8" t="n">
        <v>12</v>
      </c>
      <c r="S84" s="12" t="n">
        <f aca="false">IF(AND(ISNUMBER(R84),R84&gt;1,P84&gt;0),R84/P84-1,"")</f>
        <v>-0.418227082022706</v>
      </c>
    </row>
    <row r="85" customFormat="false" ht="15" hidden="false" customHeight="false" outlineLevel="0" collapsed="false">
      <c r="A85" s="10" t="s">
        <v>272</v>
      </c>
      <c r="B85" s="10" t="s">
        <v>172</v>
      </c>
      <c r="C85" s="10" t="s">
        <v>173</v>
      </c>
      <c r="D85" s="10" t="s">
        <v>795</v>
      </c>
      <c r="E85" s="11" t="n">
        <v>6</v>
      </c>
      <c r="F85" s="10" t="s">
        <v>796</v>
      </c>
      <c r="G85" s="7" t="n">
        <v>13</v>
      </c>
      <c r="H85" s="10" t="s">
        <v>1171</v>
      </c>
      <c r="I85" s="10" t="s">
        <v>800</v>
      </c>
      <c r="J85" s="10" t="s">
        <v>1172</v>
      </c>
      <c r="K85" s="7" t="n">
        <v>10</v>
      </c>
      <c r="L85" s="7" t="n">
        <v>55</v>
      </c>
      <c r="M85" s="7" t="n">
        <v>4</v>
      </c>
      <c r="N85" s="7" t="n">
        <v>6</v>
      </c>
      <c r="O85" s="7" t="n">
        <v>9</v>
      </c>
      <c r="P85" s="8" t="n">
        <v>44.4068096773191</v>
      </c>
      <c r="Q85" s="9" t="n">
        <v>0.0225190687479346</v>
      </c>
      <c r="R85" s="8" t="n">
        <v>34</v>
      </c>
      <c r="S85" s="12" t="n">
        <f aca="false">IF(AND(ISNUMBER(R85),R85&gt;1,P85&gt;0),R85/P85-1,"")</f>
        <v>-0.234351662570221</v>
      </c>
    </row>
    <row r="86" customFormat="false" ht="15" hidden="false" customHeight="false" outlineLevel="0" collapsed="false">
      <c r="A86" s="10" t="s">
        <v>272</v>
      </c>
      <c r="B86" s="10" t="s">
        <v>172</v>
      </c>
      <c r="C86" s="10" t="s">
        <v>173</v>
      </c>
      <c r="D86" s="10" t="s">
        <v>795</v>
      </c>
      <c r="E86" s="11" t="n">
        <v>6</v>
      </c>
      <c r="F86" s="10" t="s">
        <v>796</v>
      </c>
      <c r="G86" s="7" t="n">
        <v>13</v>
      </c>
      <c r="H86" s="10" t="s">
        <v>1173</v>
      </c>
      <c r="I86" s="10" t="s">
        <v>811</v>
      </c>
      <c r="J86" s="10" t="s">
        <v>1130</v>
      </c>
      <c r="K86" s="7" t="n">
        <v>2</v>
      </c>
      <c r="L86" s="7" t="n">
        <v>50</v>
      </c>
      <c r="M86" s="7" t="n">
        <v>4</v>
      </c>
      <c r="N86" s="7" t="n">
        <v>28</v>
      </c>
      <c r="O86" s="7" t="n">
        <v>10</v>
      </c>
      <c r="P86" s="8" t="n">
        <v>50.8789434381117</v>
      </c>
      <c r="Q86" s="9" t="n">
        <v>0.0196544961908728</v>
      </c>
      <c r="R86" s="8" t="n">
        <v>26</v>
      </c>
      <c r="S86" s="12" t="n">
        <f aca="false">IF(AND(ISNUMBER(R86),R86&gt;1,P86&gt;0),R86/P86-1,"")</f>
        <v>-0.488983099037307</v>
      </c>
    </row>
    <row r="87" customFormat="false" ht="15" hidden="false" customHeight="false" outlineLevel="0" collapsed="false">
      <c r="A87" s="10" t="s">
        <v>272</v>
      </c>
      <c r="B87" s="10" t="s">
        <v>172</v>
      </c>
      <c r="C87" s="10" t="s">
        <v>173</v>
      </c>
      <c r="D87" s="10" t="s">
        <v>795</v>
      </c>
      <c r="E87" s="11" t="n">
        <v>6</v>
      </c>
      <c r="F87" s="10" t="s">
        <v>796</v>
      </c>
      <c r="G87" s="7" t="n">
        <v>13</v>
      </c>
      <c r="H87" s="10" t="s">
        <v>1174</v>
      </c>
      <c r="I87" s="10" t="s">
        <v>265</v>
      </c>
      <c r="J87" s="10" t="s">
        <v>1072</v>
      </c>
      <c r="K87" s="7" t="n">
        <v>5</v>
      </c>
      <c r="L87" s="7" t="n">
        <v>46</v>
      </c>
      <c r="M87" s="7" t="n">
        <v>3</v>
      </c>
      <c r="N87" s="7" t="n">
        <v>16</v>
      </c>
      <c r="O87" s="7" t="n">
        <v>11</v>
      </c>
      <c r="P87" s="8" t="n">
        <v>50.9497058072098</v>
      </c>
      <c r="Q87" s="9" t="n">
        <v>0.0196271987081521</v>
      </c>
      <c r="R87" s="8" t="n">
        <v>19</v>
      </c>
      <c r="S87" s="12" t="n">
        <f aca="false">IF(AND(ISNUMBER(R87),R87&gt;1,P87&gt;0),R87/P87-1,"")</f>
        <v>-0.62708322454511</v>
      </c>
    </row>
    <row r="88" customFormat="false" ht="15" hidden="false" customHeight="false" outlineLevel="0" collapsed="false">
      <c r="A88" s="10" t="s">
        <v>272</v>
      </c>
      <c r="B88" s="10" t="s">
        <v>172</v>
      </c>
      <c r="C88" s="10" t="s">
        <v>173</v>
      </c>
      <c r="D88" s="10" t="s">
        <v>795</v>
      </c>
      <c r="E88" s="11" t="n">
        <v>6</v>
      </c>
      <c r="F88" s="10" t="s">
        <v>796</v>
      </c>
      <c r="G88" s="7" t="n">
        <v>13</v>
      </c>
      <c r="H88" s="10" t="s">
        <v>1175</v>
      </c>
      <c r="I88" s="10" t="s">
        <v>888</v>
      </c>
      <c r="J88" s="10" t="s">
        <v>889</v>
      </c>
      <c r="K88" s="7" t="n">
        <v>4</v>
      </c>
      <c r="L88" s="7" t="n">
        <v>48</v>
      </c>
      <c r="M88" s="7" t="n">
        <v>3</v>
      </c>
      <c r="N88" s="7" t="n">
        <v>16</v>
      </c>
      <c r="O88" s="7" t="n">
        <v>12</v>
      </c>
      <c r="P88" s="8" t="n">
        <v>54.4618548758675</v>
      </c>
      <c r="Q88" s="9" t="n">
        <v>0.0183614752431634</v>
      </c>
      <c r="R88" s="8" t="n">
        <v>23</v>
      </c>
      <c r="S88" s="12" t="n">
        <f aca="false">IF(AND(ISNUMBER(R88),R88&gt;1,P88&gt;0),R88/P88-1,"")</f>
        <v>-0.577686069407241</v>
      </c>
    </row>
    <row r="89" customFormat="false" ht="15" hidden="false" customHeight="false" outlineLevel="0" collapsed="false">
      <c r="A89" s="10" t="s">
        <v>272</v>
      </c>
      <c r="B89" s="10" t="s">
        <v>172</v>
      </c>
      <c r="C89" s="10" t="s">
        <v>173</v>
      </c>
      <c r="D89" s="10" t="s">
        <v>795</v>
      </c>
      <c r="E89" s="11" t="n">
        <v>6</v>
      </c>
      <c r="F89" s="10" t="s">
        <v>796</v>
      </c>
      <c r="G89" s="7" t="n">
        <v>13</v>
      </c>
      <c r="H89" s="10" t="s">
        <v>1176</v>
      </c>
      <c r="I89" s="10" t="s">
        <v>809</v>
      </c>
      <c r="J89" s="10" t="s">
        <v>1177</v>
      </c>
      <c r="K89" s="7" t="n">
        <v>3</v>
      </c>
      <c r="L89" s="7" t="n">
        <v>50</v>
      </c>
      <c r="M89" s="7" t="n">
        <v>4</v>
      </c>
      <c r="N89" s="7" t="n">
        <v>22</v>
      </c>
      <c r="O89" s="7" t="n">
        <v>13</v>
      </c>
      <c r="P89" s="8" t="n">
        <v>123.099824850481</v>
      </c>
      <c r="Q89" s="9" t="n">
        <v>0.0081234884063776</v>
      </c>
      <c r="R89" s="8" t="n">
        <v>23</v>
      </c>
      <c r="S89" s="12" t="n">
        <f aca="false">IF(AND(ISNUMBER(R89),R89&gt;1,P89&gt;0),R89/P89-1,"")</f>
        <v>-0.813159766653315</v>
      </c>
    </row>
  </sheetData>
  <autoFilter ref="A1:S89"/>
  <conditionalFormatting sqref="A2:S89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5" t="s">
        <v>26</v>
      </c>
      <c r="B1" s="5" t="s">
        <v>27</v>
      </c>
      <c r="C1" s="5" t="s">
        <v>28</v>
      </c>
      <c r="D1" s="5" t="s">
        <v>282</v>
      </c>
      <c r="E1" s="5" t="s">
        <v>283</v>
      </c>
      <c r="F1" s="5" t="s">
        <v>284</v>
      </c>
      <c r="G1" s="5" t="s">
        <v>1</v>
      </c>
      <c r="H1" s="5" t="s">
        <v>285</v>
      </c>
      <c r="I1" s="5" t="s">
        <v>30</v>
      </c>
      <c r="J1" s="5" t="s">
        <v>31</v>
      </c>
      <c r="K1" s="5" t="s">
        <v>286</v>
      </c>
      <c r="L1" s="5" t="s">
        <v>287</v>
      </c>
      <c r="M1" s="5" t="s">
        <v>288</v>
      </c>
      <c r="N1" s="5" t="s">
        <v>289</v>
      </c>
      <c r="O1" s="5" t="s">
        <v>18</v>
      </c>
      <c r="P1" s="5" t="s">
        <v>14</v>
      </c>
      <c r="Q1" s="5" t="s">
        <v>16</v>
      </c>
      <c r="R1" s="5" t="s">
        <v>20</v>
      </c>
      <c r="S1" s="5" t="s">
        <v>22</v>
      </c>
    </row>
    <row r="2" customFormat="false" ht="15" hidden="false" customHeight="false" outlineLevel="0" collapsed="false">
      <c r="A2" s="10" t="s">
        <v>204</v>
      </c>
      <c r="B2" s="10" t="s">
        <v>205</v>
      </c>
      <c r="C2" s="10" t="s">
        <v>206</v>
      </c>
      <c r="D2" s="10"/>
      <c r="E2" s="11" t="n">
        <v>6</v>
      </c>
      <c r="F2" s="10" t="s">
        <v>796</v>
      </c>
      <c r="G2" s="7" t="n">
        <v>17</v>
      </c>
      <c r="H2" s="10" t="s">
        <v>207</v>
      </c>
      <c r="I2" s="10" t="s">
        <v>208</v>
      </c>
      <c r="J2" s="10" t="s">
        <v>209</v>
      </c>
      <c r="K2" s="7" t="n">
        <v>6</v>
      </c>
      <c r="L2" s="7" t="n">
        <v>0</v>
      </c>
      <c r="M2" s="7" t="n">
        <v>3</v>
      </c>
      <c r="N2" s="7" t="n">
        <v>90</v>
      </c>
      <c r="O2" s="7" t="n">
        <v>1</v>
      </c>
      <c r="P2" s="8" t="n">
        <v>4.1024736814852</v>
      </c>
      <c r="Q2" s="9" t="n">
        <v>0.243755372402042</v>
      </c>
      <c r="R2" s="8" t="n">
        <v>6.5</v>
      </c>
      <c r="S2" s="12" t="n">
        <f aca="false">IF(AND(ISNUMBER(R2),R2&gt;1,P2&gt;0),R2/P2-1,"")</f>
        <v>0.584409920613271</v>
      </c>
    </row>
    <row r="3" customFormat="false" ht="15" hidden="false" customHeight="false" outlineLevel="0" collapsed="false">
      <c r="A3" s="10" t="s">
        <v>204</v>
      </c>
      <c r="B3" s="10" t="s">
        <v>205</v>
      </c>
      <c r="C3" s="10" t="s">
        <v>206</v>
      </c>
      <c r="D3" s="10"/>
      <c r="E3" s="11" t="n">
        <v>6</v>
      </c>
      <c r="F3" s="10" t="s">
        <v>796</v>
      </c>
      <c r="G3" s="7" t="n">
        <v>17</v>
      </c>
      <c r="H3" s="10" t="s">
        <v>210</v>
      </c>
      <c r="I3" s="10" t="s">
        <v>922</v>
      </c>
      <c r="J3" s="10" t="s">
        <v>260</v>
      </c>
      <c r="K3" s="7" t="n">
        <v>11</v>
      </c>
      <c r="L3" s="7" t="n">
        <v>66</v>
      </c>
      <c r="M3" s="7" t="n">
        <v>3</v>
      </c>
      <c r="N3" s="7" t="n">
        <v>31</v>
      </c>
      <c r="O3" s="7" t="n">
        <v>2</v>
      </c>
      <c r="P3" s="8" t="n">
        <v>4.94882469923912</v>
      </c>
      <c r="Q3" s="9" t="n">
        <v>0.202068179976904</v>
      </c>
      <c r="R3" s="8" t="n">
        <v>5</v>
      </c>
      <c r="S3" s="12" t="n">
        <f aca="false">IF(AND(ISNUMBER(R3),R3&gt;1,P3&gt;0),R3/P3-1,"")</f>
        <v>0.010340899884522</v>
      </c>
    </row>
    <row r="4" customFormat="false" ht="15" hidden="false" customHeight="false" outlineLevel="0" collapsed="false">
      <c r="A4" s="10" t="s">
        <v>204</v>
      </c>
      <c r="B4" s="10" t="s">
        <v>205</v>
      </c>
      <c r="C4" s="10" t="s">
        <v>206</v>
      </c>
      <c r="D4" s="10"/>
      <c r="E4" s="11" t="n">
        <v>6</v>
      </c>
      <c r="F4" s="10" t="s">
        <v>796</v>
      </c>
      <c r="G4" s="7" t="n">
        <v>17</v>
      </c>
      <c r="H4" s="10" t="s">
        <v>923</v>
      </c>
      <c r="I4" s="10" t="s">
        <v>249</v>
      </c>
      <c r="J4" s="10" t="s">
        <v>924</v>
      </c>
      <c r="K4" s="7" t="n">
        <v>12</v>
      </c>
      <c r="L4" s="7" t="n">
        <v>57</v>
      </c>
      <c r="M4" s="7" t="n">
        <v>3</v>
      </c>
      <c r="N4" s="7" t="n">
        <v>41</v>
      </c>
      <c r="O4" s="7" t="n">
        <v>3</v>
      </c>
      <c r="P4" s="8" t="n">
        <v>6.70278437877524</v>
      </c>
      <c r="Q4" s="9" t="n">
        <v>0.149191730404839</v>
      </c>
      <c r="R4" s="8" t="n">
        <v>12</v>
      </c>
      <c r="S4" s="12" t="n">
        <f aca="false">IF(AND(ISNUMBER(R4),R4&gt;1,P4&gt;0),R4/P4-1,"")</f>
        <v>0.790300764858066</v>
      </c>
    </row>
    <row r="5" customFormat="false" ht="15" hidden="false" customHeight="false" outlineLevel="0" collapsed="false">
      <c r="A5" s="10" t="s">
        <v>204</v>
      </c>
      <c r="B5" s="10" t="s">
        <v>205</v>
      </c>
      <c r="C5" s="10" t="s">
        <v>206</v>
      </c>
      <c r="D5" s="10"/>
      <c r="E5" s="11" t="n">
        <v>6</v>
      </c>
      <c r="F5" s="10" t="s">
        <v>796</v>
      </c>
      <c r="G5" s="7" t="n">
        <v>17</v>
      </c>
      <c r="H5" s="10" t="s">
        <v>925</v>
      </c>
      <c r="I5" s="10" t="s">
        <v>926</v>
      </c>
      <c r="J5" s="10" t="s">
        <v>280</v>
      </c>
      <c r="K5" s="7" t="n">
        <v>10</v>
      </c>
      <c r="L5" s="7" t="n">
        <v>62</v>
      </c>
      <c r="M5" s="7" t="n">
        <v>3</v>
      </c>
      <c r="N5" s="7" t="n">
        <v>16</v>
      </c>
      <c r="O5" s="7" t="n">
        <v>4</v>
      </c>
      <c r="P5" s="8" t="n">
        <v>10.9220363029669</v>
      </c>
      <c r="Q5" s="9" t="n">
        <v>0.0915580183274392</v>
      </c>
      <c r="R5" s="8" t="n">
        <v>11</v>
      </c>
      <c r="S5" s="12" t="n">
        <f aca="false">IF(AND(ISNUMBER(R5),R5&gt;1,P5&gt;0),R5/P5-1,"")</f>
        <v>0.00713820160183154</v>
      </c>
    </row>
    <row r="6" customFormat="false" ht="15" hidden="false" customHeight="false" outlineLevel="0" collapsed="false">
      <c r="A6" s="10" t="s">
        <v>204</v>
      </c>
      <c r="B6" s="10" t="s">
        <v>205</v>
      </c>
      <c r="C6" s="10" t="s">
        <v>206</v>
      </c>
      <c r="D6" s="10"/>
      <c r="E6" s="11" t="n">
        <v>6</v>
      </c>
      <c r="F6" s="10" t="s">
        <v>796</v>
      </c>
      <c r="G6" s="7" t="n">
        <v>17</v>
      </c>
      <c r="H6" s="10" t="s">
        <v>927</v>
      </c>
      <c r="I6" s="10" t="s">
        <v>928</v>
      </c>
      <c r="J6" s="10" t="s">
        <v>929</v>
      </c>
      <c r="K6" s="7" t="n">
        <v>8</v>
      </c>
      <c r="L6" s="7" t="n">
        <v>61</v>
      </c>
      <c r="M6" s="7" t="n">
        <v>4</v>
      </c>
      <c r="N6" s="7" t="n">
        <v>23</v>
      </c>
      <c r="O6" s="7" t="n">
        <v>5</v>
      </c>
      <c r="P6" s="8" t="n">
        <v>13.8658252047748</v>
      </c>
      <c r="Q6" s="9" t="n">
        <v>0.0721197610118182</v>
      </c>
      <c r="R6" s="8" t="n">
        <v>4</v>
      </c>
      <c r="S6" s="12" t="n">
        <f aca="false">IF(AND(ISNUMBER(R6),R6&gt;1,P6&gt;0),R6/P6-1,"")</f>
        <v>-0.711520955952727</v>
      </c>
    </row>
    <row r="7" customFormat="false" ht="15" hidden="false" customHeight="false" outlineLevel="0" collapsed="false">
      <c r="A7" s="10" t="s">
        <v>204</v>
      </c>
      <c r="B7" s="10" t="s">
        <v>205</v>
      </c>
      <c r="C7" s="10" t="s">
        <v>206</v>
      </c>
      <c r="D7" s="10"/>
      <c r="E7" s="11" t="n">
        <v>6</v>
      </c>
      <c r="F7" s="10" t="s">
        <v>796</v>
      </c>
      <c r="G7" s="7" t="n">
        <v>17</v>
      </c>
      <c r="H7" s="10" t="s">
        <v>930</v>
      </c>
      <c r="I7" s="10" t="s">
        <v>931</v>
      </c>
      <c r="J7" s="10" t="s">
        <v>280</v>
      </c>
      <c r="K7" s="7" t="n">
        <v>5</v>
      </c>
      <c r="L7" s="7" t="n">
        <v>63</v>
      </c>
      <c r="M7" s="7" t="n">
        <v>3</v>
      </c>
      <c r="N7" s="7" t="n">
        <v>21</v>
      </c>
      <c r="O7" s="7" t="n">
        <v>6</v>
      </c>
      <c r="P7" s="8" t="n">
        <v>16.4733908812637</v>
      </c>
      <c r="Q7" s="9" t="n">
        <v>0.0607039562897379</v>
      </c>
      <c r="R7" s="8" t="n">
        <v>7.5</v>
      </c>
      <c r="S7" s="12" t="n">
        <f aca="false">IF(AND(ISNUMBER(R7),R7&gt;1,P7&gt;0),R7/P7-1,"")</f>
        <v>-0.544720327826965</v>
      </c>
    </row>
    <row r="8" customFormat="false" ht="15" hidden="false" customHeight="false" outlineLevel="0" collapsed="false">
      <c r="A8" s="10" t="s">
        <v>204</v>
      </c>
      <c r="B8" s="10" t="s">
        <v>205</v>
      </c>
      <c r="C8" s="10" t="s">
        <v>206</v>
      </c>
      <c r="D8" s="10"/>
      <c r="E8" s="11" t="n">
        <v>6</v>
      </c>
      <c r="F8" s="10" t="s">
        <v>796</v>
      </c>
      <c r="G8" s="7" t="n">
        <v>17</v>
      </c>
      <c r="H8" s="10" t="s">
        <v>932</v>
      </c>
      <c r="I8" s="10" t="s">
        <v>933</v>
      </c>
      <c r="J8" s="10" t="s">
        <v>934</v>
      </c>
      <c r="K8" s="7" t="n">
        <v>2</v>
      </c>
      <c r="L8" s="7" t="n">
        <v>66</v>
      </c>
      <c r="M8" s="7" t="n">
        <v>4</v>
      </c>
      <c r="N8" s="7" t="n">
        <v>317</v>
      </c>
      <c r="O8" s="7" t="n">
        <v>7</v>
      </c>
      <c r="P8" s="8" t="n">
        <v>19.164329212071</v>
      </c>
      <c r="Q8" s="9" t="n">
        <v>0.0521802766449103</v>
      </c>
      <c r="R8" s="8" t="n">
        <v>15</v>
      </c>
      <c r="S8" s="12" t="n">
        <f aca="false">IF(AND(ISNUMBER(R8),R8&gt;1,P8&gt;0),R8/P8-1,"")</f>
        <v>-0.217295850326345</v>
      </c>
    </row>
    <row r="9" customFormat="false" ht="15" hidden="false" customHeight="false" outlineLevel="0" collapsed="false">
      <c r="A9" s="10" t="s">
        <v>204</v>
      </c>
      <c r="B9" s="10" t="s">
        <v>205</v>
      </c>
      <c r="C9" s="10" t="s">
        <v>206</v>
      </c>
      <c r="D9" s="10"/>
      <c r="E9" s="11" t="n">
        <v>6</v>
      </c>
      <c r="F9" s="10" t="s">
        <v>796</v>
      </c>
      <c r="G9" s="7" t="n">
        <v>17</v>
      </c>
      <c r="H9" s="10" t="s">
        <v>935</v>
      </c>
      <c r="I9" s="10" t="s">
        <v>936</v>
      </c>
      <c r="J9" s="10" t="s">
        <v>937</v>
      </c>
      <c r="K9" s="7" t="n">
        <v>16</v>
      </c>
      <c r="L9" s="7" t="n">
        <v>65</v>
      </c>
      <c r="M9" s="7" t="n">
        <v>3</v>
      </c>
      <c r="N9" s="7" t="n">
        <v>98</v>
      </c>
      <c r="O9" s="7" t="n">
        <v>8</v>
      </c>
      <c r="P9" s="8" t="n">
        <v>20.4251160789907</v>
      </c>
      <c r="Q9" s="9" t="n">
        <v>0.0489593300783539</v>
      </c>
      <c r="R9" s="8" t="n">
        <v>5</v>
      </c>
      <c r="S9" s="12" t="n">
        <f aca="false">IF(AND(ISNUMBER(R9),R9&gt;1,P9&gt;0),R9/P9-1,"")</f>
        <v>-0.75520334960823</v>
      </c>
    </row>
    <row r="10" customFormat="false" ht="15" hidden="false" customHeight="false" outlineLevel="0" collapsed="false">
      <c r="A10" s="10" t="s">
        <v>204</v>
      </c>
      <c r="B10" s="10" t="s">
        <v>205</v>
      </c>
      <c r="C10" s="10" t="s">
        <v>206</v>
      </c>
      <c r="D10" s="10"/>
      <c r="E10" s="11" t="n">
        <v>6</v>
      </c>
      <c r="F10" s="10" t="s">
        <v>796</v>
      </c>
      <c r="G10" s="7" t="n">
        <v>17</v>
      </c>
      <c r="H10" s="10" t="s">
        <v>938</v>
      </c>
      <c r="I10" s="10" t="s">
        <v>939</v>
      </c>
      <c r="J10" s="10" t="s">
        <v>934</v>
      </c>
      <c r="K10" s="7" t="n">
        <v>3</v>
      </c>
      <c r="L10" s="7" t="n">
        <v>0</v>
      </c>
      <c r="M10" s="7" t="n">
        <v>3</v>
      </c>
      <c r="N10" s="7"/>
      <c r="O10" s="7" t="n">
        <v>9</v>
      </c>
      <c r="P10" s="8" t="n">
        <v>47.0623078457914</v>
      </c>
      <c r="Q10" s="9" t="n">
        <v>0.0212484267298724</v>
      </c>
      <c r="R10" s="8" t="n">
        <v>26</v>
      </c>
      <c r="S10" s="12" t="n">
        <f aca="false">IF(AND(ISNUMBER(R10),R10&gt;1,P10&gt;0),R10/P10-1,"")</f>
        <v>-0.447540905023317</v>
      </c>
    </row>
    <row r="11" customFormat="false" ht="15" hidden="false" customHeight="false" outlineLevel="0" collapsed="false">
      <c r="A11" s="10" t="s">
        <v>204</v>
      </c>
      <c r="B11" s="10" t="s">
        <v>205</v>
      </c>
      <c r="C11" s="10" t="s">
        <v>206</v>
      </c>
      <c r="D11" s="10"/>
      <c r="E11" s="11" t="n">
        <v>6</v>
      </c>
      <c r="F11" s="10" t="s">
        <v>796</v>
      </c>
      <c r="G11" s="7" t="n">
        <v>17</v>
      </c>
      <c r="H11" s="10" t="s">
        <v>940</v>
      </c>
      <c r="I11" s="10" t="s">
        <v>358</v>
      </c>
      <c r="J11" s="10" t="s">
        <v>941</v>
      </c>
      <c r="K11" s="7" t="n">
        <v>1</v>
      </c>
      <c r="L11" s="7" t="n">
        <v>46</v>
      </c>
      <c r="M11" s="7" t="n">
        <v>3</v>
      </c>
      <c r="N11" s="7" t="n">
        <v>20</v>
      </c>
      <c r="O11" s="7" t="n">
        <v>10</v>
      </c>
      <c r="P11" s="8" t="n">
        <v>72.0961282991538</v>
      </c>
      <c r="Q11" s="9" t="n">
        <v>0.0138703703456949</v>
      </c>
      <c r="R11" s="8" t="n">
        <v>26</v>
      </c>
      <c r="S11" s="12" t="n">
        <f aca="false">IF(AND(ISNUMBER(R11),R11&gt;1,P11&gt;0),R11/P11-1,"")</f>
        <v>-0.639370371011932</v>
      </c>
    </row>
    <row r="12" customFormat="false" ht="15" hidden="false" customHeight="false" outlineLevel="0" collapsed="false">
      <c r="A12" s="10" t="s">
        <v>204</v>
      </c>
      <c r="B12" s="10" t="s">
        <v>205</v>
      </c>
      <c r="C12" s="10" t="s">
        <v>206</v>
      </c>
      <c r="D12" s="10"/>
      <c r="E12" s="11" t="n">
        <v>6</v>
      </c>
      <c r="F12" s="10" t="s">
        <v>796</v>
      </c>
      <c r="G12" s="7" t="n">
        <v>17</v>
      </c>
      <c r="H12" s="10" t="s">
        <v>942</v>
      </c>
      <c r="I12" s="10" t="s">
        <v>943</v>
      </c>
      <c r="J12" s="10" t="s">
        <v>944</v>
      </c>
      <c r="K12" s="7" t="n">
        <v>9</v>
      </c>
      <c r="L12" s="7" t="n">
        <v>0</v>
      </c>
      <c r="M12" s="7" t="n">
        <v>3</v>
      </c>
      <c r="N12" s="7" t="n">
        <v>16</v>
      </c>
      <c r="O12" s="7" t="n">
        <v>11</v>
      </c>
      <c r="P12" s="8" t="n">
        <v>92.0682386989875</v>
      </c>
      <c r="Q12" s="9" t="n">
        <v>0.0108615089647739</v>
      </c>
      <c r="R12" s="8" t="n">
        <v>34</v>
      </c>
      <c r="S12" s="12" t="n">
        <f aca="false">IF(AND(ISNUMBER(R12),R12&gt;1,P12&gt;0),R12/P12-1,"")</f>
        <v>-0.630708695197686</v>
      </c>
    </row>
    <row r="13" customFormat="false" ht="15" hidden="false" customHeight="false" outlineLevel="0" collapsed="false">
      <c r="A13" s="10" t="s">
        <v>204</v>
      </c>
      <c r="B13" s="10" t="s">
        <v>205</v>
      </c>
      <c r="C13" s="10" t="s">
        <v>206</v>
      </c>
      <c r="D13" s="10"/>
      <c r="E13" s="11" t="n">
        <v>6</v>
      </c>
      <c r="F13" s="10" t="s">
        <v>796</v>
      </c>
      <c r="G13" s="7" t="n">
        <v>17</v>
      </c>
      <c r="H13" s="10" t="s">
        <v>945</v>
      </c>
      <c r="I13" s="10" t="s">
        <v>358</v>
      </c>
      <c r="J13" s="10" t="s">
        <v>946</v>
      </c>
      <c r="K13" s="7" t="n">
        <v>14</v>
      </c>
      <c r="L13" s="7" t="n">
        <v>55</v>
      </c>
      <c r="M13" s="7" t="n">
        <v>3</v>
      </c>
      <c r="N13" s="7" t="n">
        <v>26</v>
      </c>
      <c r="O13" s="7" t="n">
        <v>12</v>
      </c>
      <c r="P13" s="8" t="n">
        <v>94.7468327691515</v>
      </c>
      <c r="Q13" s="9" t="n">
        <v>0.0105544425156298</v>
      </c>
      <c r="R13" s="8" t="n">
        <v>21</v>
      </c>
      <c r="S13" s="12" t="n">
        <f aca="false">IF(AND(ISNUMBER(R13),R13&gt;1,P13&gt;0),R13/P13-1,"")</f>
        <v>-0.778356707171774</v>
      </c>
    </row>
    <row r="14" customFormat="false" ht="15" hidden="false" customHeight="false" outlineLevel="0" collapsed="false">
      <c r="A14" s="10" t="s">
        <v>204</v>
      </c>
      <c r="B14" s="10" t="s">
        <v>205</v>
      </c>
      <c r="C14" s="10" t="s">
        <v>206</v>
      </c>
      <c r="D14" s="10"/>
      <c r="E14" s="11" t="n">
        <v>6</v>
      </c>
      <c r="F14" s="10" t="s">
        <v>796</v>
      </c>
      <c r="G14" s="7" t="n">
        <v>17</v>
      </c>
      <c r="H14" s="10" t="s">
        <v>947</v>
      </c>
      <c r="I14" s="10" t="s">
        <v>358</v>
      </c>
      <c r="J14" s="10" t="s">
        <v>929</v>
      </c>
      <c r="K14" s="7" t="n">
        <v>13</v>
      </c>
      <c r="L14" s="7" t="n">
        <v>54</v>
      </c>
      <c r="M14" s="7" t="n">
        <v>3</v>
      </c>
      <c r="N14" s="7" t="n">
        <v>70</v>
      </c>
      <c r="O14" s="7" t="n">
        <v>13</v>
      </c>
      <c r="P14" s="8" t="n">
        <v>102.270176595885</v>
      </c>
      <c r="Q14" s="9" t="n">
        <v>0.0097780216411617</v>
      </c>
      <c r="R14" s="8" t="n">
        <v>26</v>
      </c>
      <c r="S14" s="12" t="n">
        <f aca="false">IF(AND(ISNUMBER(R14),R14&gt;1,P14&gt;0),R14/P14-1,"")</f>
        <v>-0.745771437329794</v>
      </c>
    </row>
    <row r="15" customFormat="false" ht="15" hidden="false" customHeight="false" outlineLevel="0" collapsed="false">
      <c r="A15" s="10" t="s">
        <v>204</v>
      </c>
      <c r="B15" s="10" t="s">
        <v>205</v>
      </c>
      <c r="C15" s="10" t="s">
        <v>206</v>
      </c>
      <c r="D15" s="10"/>
      <c r="E15" s="11" t="n">
        <v>6</v>
      </c>
      <c r="F15" s="10" t="s">
        <v>796</v>
      </c>
      <c r="G15" s="7" t="n">
        <v>17</v>
      </c>
      <c r="H15" s="10" t="s">
        <v>948</v>
      </c>
      <c r="I15" s="10" t="s">
        <v>949</v>
      </c>
      <c r="J15" s="10" t="s">
        <v>950</v>
      </c>
      <c r="K15" s="7" t="n">
        <v>7</v>
      </c>
      <c r="L15" s="7" t="n">
        <v>0</v>
      </c>
      <c r="M15" s="7" t="n">
        <v>3</v>
      </c>
      <c r="N15" s="7" t="n">
        <v>21</v>
      </c>
      <c r="O15" s="7" t="n">
        <v>14</v>
      </c>
      <c r="P15" s="8" t="n">
        <v>194.30597121198</v>
      </c>
      <c r="Q15" s="9" t="n">
        <v>0.0051465222286403</v>
      </c>
      <c r="R15" s="8" t="n">
        <v>26</v>
      </c>
      <c r="S15" s="12" t="n">
        <f aca="false">IF(AND(ISNUMBER(R15),R15&gt;1,P15&gt;0),R15/P15-1,"")</f>
        <v>-0.866190422055352</v>
      </c>
    </row>
    <row r="16" customFormat="false" ht="15" hidden="false" customHeight="false" outlineLevel="0" collapsed="false">
      <c r="A16" s="10" t="s">
        <v>204</v>
      </c>
      <c r="B16" s="10" t="s">
        <v>205</v>
      </c>
      <c r="C16" s="10" t="s">
        <v>206</v>
      </c>
      <c r="D16" s="10"/>
      <c r="E16" s="11" t="n">
        <v>6</v>
      </c>
      <c r="F16" s="10" t="s">
        <v>796</v>
      </c>
      <c r="G16" s="7" t="n">
        <v>17</v>
      </c>
      <c r="H16" s="10" t="s">
        <v>951</v>
      </c>
      <c r="I16" s="10" t="s">
        <v>952</v>
      </c>
      <c r="J16" s="10" t="s">
        <v>953</v>
      </c>
      <c r="K16" s="7" t="n">
        <v>15</v>
      </c>
      <c r="L16" s="7" t="n">
        <v>0</v>
      </c>
      <c r="M16" s="7" t="n">
        <v>3</v>
      </c>
      <c r="N16" s="7" t="n">
        <v>21</v>
      </c>
      <c r="O16" s="7" t="n">
        <v>15</v>
      </c>
      <c r="P16" s="8" t="n">
        <v>339.589360769011</v>
      </c>
      <c r="Q16" s="9" t="n">
        <v>0.0029447330085237</v>
      </c>
      <c r="R16" s="8" t="n">
        <v>51</v>
      </c>
      <c r="S16" s="12" t="n">
        <f aca="false">IF(AND(ISNUMBER(R16),R16&gt;1,P16&gt;0),R16/P16-1,"")</f>
        <v>-0.849818616565287</v>
      </c>
    </row>
    <row r="17" customFormat="false" ht="15" hidden="false" customHeight="false" outlineLevel="0" collapsed="false">
      <c r="A17" s="10" t="s">
        <v>204</v>
      </c>
      <c r="B17" s="10" t="s">
        <v>205</v>
      </c>
      <c r="C17" s="10" t="s">
        <v>206</v>
      </c>
      <c r="D17" s="10"/>
      <c r="E17" s="11" t="n">
        <v>6</v>
      </c>
      <c r="F17" s="10" t="s">
        <v>796</v>
      </c>
      <c r="G17" s="7" t="n">
        <v>17</v>
      </c>
      <c r="H17" s="10" t="s">
        <v>954</v>
      </c>
      <c r="I17" s="10" t="s">
        <v>955</v>
      </c>
      <c r="J17" s="10" t="s">
        <v>956</v>
      </c>
      <c r="K17" s="7" t="n">
        <v>17</v>
      </c>
      <c r="L17" s="7" t="n">
        <v>0</v>
      </c>
      <c r="M17" s="7" t="n">
        <v>3</v>
      </c>
      <c r="N17" s="7" t="n">
        <v>23</v>
      </c>
      <c r="O17" s="7" t="n">
        <v>16</v>
      </c>
      <c r="P17" s="8" t="n">
        <v>350.618585813771</v>
      </c>
      <c r="Q17" s="9" t="n">
        <v>0.002852102086029</v>
      </c>
      <c r="R17" s="8" t="n">
        <v>126</v>
      </c>
      <c r="S17" s="12" t="n">
        <f aca="false">IF(AND(ISNUMBER(R17),R17&gt;1,P17&gt;0),R17/P17-1,"")</f>
        <v>-0.640635137160344</v>
      </c>
    </row>
    <row r="18" customFormat="false" ht="15" hidden="false" customHeight="false" outlineLevel="0" collapsed="false">
      <c r="A18" s="10" t="s">
        <v>204</v>
      </c>
      <c r="B18" s="10" t="s">
        <v>205</v>
      </c>
      <c r="C18" s="10" t="s">
        <v>206</v>
      </c>
      <c r="D18" s="10"/>
      <c r="E18" s="11" t="n">
        <v>6</v>
      </c>
      <c r="F18" s="10" t="s">
        <v>796</v>
      </c>
      <c r="G18" s="7" t="n">
        <v>17</v>
      </c>
      <c r="H18" s="10" t="s">
        <v>957</v>
      </c>
      <c r="I18" s="10" t="s">
        <v>958</v>
      </c>
      <c r="J18" s="10" t="s">
        <v>959</v>
      </c>
      <c r="K18" s="7" t="n">
        <v>4</v>
      </c>
      <c r="L18" s="7" t="n">
        <v>0</v>
      </c>
      <c r="M18" s="7" t="n">
        <v>3</v>
      </c>
      <c r="N18" s="7" t="n">
        <v>97</v>
      </c>
      <c r="O18" s="7" t="n">
        <v>17</v>
      </c>
      <c r="P18" s="8" t="n">
        <v>453.052986058048</v>
      </c>
      <c r="Q18" s="9" t="n">
        <v>0.0022072473436294</v>
      </c>
      <c r="R18" s="8" t="n">
        <v>126</v>
      </c>
      <c r="S18" s="12" t="n">
        <f aca="false">IF(AND(ISNUMBER(R18),R18&gt;1,P18&gt;0),R18/P18-1,"")</f>
        <v>-0.721886834702694</v>
      </c>
    </row>
    <row r="19" customFormat="false" ht="15" hidden="false" customHeight="false" outlineLevel="0" collapsed="false">
      <c r="A19" s="10" t="s">
        <v>222</v>
      </c>
      <c r="B19" s="10" t="s">
        <v>205</v>
      </c>
      <c r="C19" s="10" t="s">
        <v>223</v>
      </c>
      <c r="D19" s="10"/>
      <c r="E19" s="11" t="n">
        <v>6</v>
      </c>
      <c r="F19" s="10" t="s">
        <v>796</v>
      </c>
      <c r="G19" s="7" t="n">
        <v>13</v>
      </c>
      <c r="H19" s="10" t="s">
        <v>224</v>
      </c>
      <c r="I19" s="10" t="s">
        <v>225</v>
      </c>
      <c r="J19" s="10" t="s">
        <v>226</v>
      </c>
      <c r="K19" s="7" t="n">
        <v>12</v>
      </c>
      <c r="L19" s="7" t="n">
        <v>72</v>
      </c>
      <c r="M19" s="7" t="n">
        <v>3</v>
      </c>
      <c r="N19" s="7" t="n">
        <v>4</v>
      </c>
      <c r="O19" s="7" t="n">
        <v>1</v>
      </c>
      <c r="P19" s="8" t="n">
        <v>5.06011716973023</v>
      </c>
      <c r="Q19" s="9" t="n">
        <v>0.197623882304945</v>
      </c>
      <c r="R19" s="8" t="n">
        <v>7</v>
      </c>
      <c r="S19" s="12" t="n">
        <f aca="false">IF(AND(ISNUMBER(R19),R19&gt;1,P19&gt;0),R19/P19-1,"")</f>
        <v>0.383367176134617</v>
      </c>
    </row>
    <row r="20" customFormat="false" ht="15" hidden="false" customHeight="false" outlineLevel="0" collapsed="false">
      <c r="A20" s="10" t="s">
        <v>222</v>
      </c>
      <c r="B20" s="10" t="s">
        <v>205</v>
      </c>
      <c r="C20" s="10" t="s">
        <v>223</v>
      </c>
      <c r="D20" s="10"/>
      <c r="E20" s="11" t="n">
        <v>6</v>
      </c>
      <c r="F20" s="10" t="s">
        <v>796</v>
      </c>
      <c r="G20" s="7" t="n">
        <v>13</v>
      </c>
      <c r="H20" s="10" t="s">
        <v>227</v>
      </c>
      <c r="I20" s="10" t="s">
        <v>996</v>
      </c>
      <c r="J20" s="10" t="s">
        <v>997</v>
      </c>
      <c r="K20" s="7" t="n">
        <v>4</v>
      </c>
      <c r="L20" s="7" t="n">
        <v>74</v>
      </c>
      <c r="M20" s="7" t="n">
        <v>4</v>
      </c>
      <c r="N20" s="7" t="n">
        <v>15</v>
      </c>
      <c r="O20" s="7" t="n">
        <v>2</v>
      </c>
      <c r="P20" s="8" t="n">
        <v>6.33827476259276</v>
      </c>
      <c r="Q20" s="9" t="n">
        <v>0.157771639358679</v>
      </c>
      <c r="R20" s="8" t="n">
        <v>4.5</v>
      </c>
      <c r="S20" s="12" t="n">
        <f aca="false">IF(AND(ISNUMBER(R20),R20&gt;1,P20&gt;0),R20/P20-1,"")</f>
        <v>-0.290027622885945</v>
      </c>
    </row>
    <row r="21" customFormat="false" ht="15" hidden="false" customHeight="false" outlineLevel="0" collapsed="false">
      <c r="A21" s="10" t="s">
        <v>222</v>
      </c>
      <c r="B21" s="10" t="s">
        <v>205</v>
      </c>
      <c r="C21" s="10" t="s">
        <v>223</v>
      </c>
      <c r="D21" s="10"/>
      <c r="E21" s="11" t="n">
        <v>6</v>
      </c>
      <c r="F21" s="10" t="s">
        <v>796</v>
      </c>
      <c r="G21" s="7" t="n">
        <v>13</v>
      </c>
      <c r="H21" s="10" t="s">
        <v>998</v>
      </c>
      <c r="I21" s="10" t="s">
        <v>955</v>
      </c>
      <c r="J21" s="10" t="s">
        <v>956</v>
      </c>
      <c r="K21" s="7" t="n">
        <v>5</v>
      </c>
      <c r="L21" s="7" t="n">
        <v>62</v>
      </c>
      <c r="M21" s="7" t="n">
        <v>5</v>
      </c>
      <c r="N21" s="7" t="n">
        <v>4</v>
      </c>
      <c r="O21" s="7" t="n">
        <v>3</v>
      </c>
      <c r="P21" s="8" t="n">
        <v>7.12121427627277</v>
      </c>
      <c r="Q21" s="9" t="n">
        <v>0.140425489418554</v>
      </c>
      <c r="R21" s="8" t="n">
        <v>4.5</v>
      </c>
      <c r="S21" s="12" t="n">
        <f aca="false">IF(AND(ISNUMBER(R21),R21&gt;1,P21&gt;0),R21/P21-1,"")</f>
        <v>-0.368085297616506</v>
      </c>
    </row>
    <row r="22" customFormat="false" ht="15" hidden="false" customHeight="false" outlineLevel="0" collapsed="false">
      <c r="A22" s="10" t="s">
        <v>222</v>
      </c>
      <c r="B22" s="10" t="s">
        <v>205</v>
      </c>
      <c r="C22" s="10" t="s">
        <v>223</v>
      </c>
      <c r="D22" s="10"/>
      <c r="E22" s="11" t="n">
        <v>6</v>
      </c>
      <c r="F22" s="10" t="s">
        <v>796</v>
      </c>
      <c r="G22" s="7" t="n">
        <v>13</v>
      </c>
      <c r="H22" s="10" t="s">
        <v>999</v>
      </c>
      <c r="I22" s="10" t="s">
        <v>1000</v>
      </c>
      <c r="J22" s="10" t="s">
        <v>1001</v>
      </c>
      <c r="K22" s="7" t="n">
        <v>2</v>
      </c>
      <c r="L22" s="7" t="n">
        <v>68</v>
      </c>
      <c r="M22" s="7" t="n">
        <v>7</v>
      </c>
      <c r="N22" s="7" t="n">
        <v>16</v>
      </c>
      <c r="O22" s="7" t="n">
        <v>4</v>
      </c>
      <c r="P22" s="8" t="n">
        <v>9.46013111232125</v>
      </c>
      <c r="Q22" s="9" t="n">
        <v>0.105706780183793</v>
      </c>
      <c r="R22" s="8" t="n">
        <v>6.5</v>
      </c>
      <c r="S22" s="12" t="n">
        <f aca="false">IF(AND(ISNUMBER(R22),R22&gt;1,P22&gt;0),R22/P22-1,"")</f>
        <v>-0.312905928805348</v>
      </c>
    </row>
    <row r="23" customFormat="false" ht="15" hidden="false" customHeight="false" outlineLevel="0" collapsed="false">
      <c r="A23" s="10" t="s">
        <v>222</v>
      </c>
      <c r="B23" s="10" t="s">
        <v>205</v>
      </c>
      <c r="C23" s="10" t="s">
        <v>223</v>
      </c>
      <c r="D23" s="10"/>
      <c r="E23" s="11" t="n">
        <v>6</v>
      </c>
      <c r="F23" s="10" t="s">
        <v>796</v>
      </c>
      <c r="G23" s="7" t="n">
        <v>13</v>
      </c>
      <c r="H23" s="10" t="s">
        <v>1002</v>
      </c>
      <c r="I23" s="10" t="s">
        <v>1003</v>
      </c>
      <c r="J23" s="10" t="s">
        <v>1004</v>
      </c>
      <c r="K23" s="7" t="n">
        <v>3</v>
      </c>
      <c r="L23" s="7" t="n">
        <v>74</v>
      </c>
      <c r="M23" s="7" t="n">
        <v>3</v>
      </c>
      <c r="N23" s="7" t="n">
        <v>125</v>
      </c>
      <c r="O23" s="7" t="n">
        <v>5</v>
      </c>
      <c r="P23" s="8" t="n">
        <v>11.8637183255989</v>
      </c>
      <c r="Q23" s="9" t="n">
        <v>0.0842906054033878</v>
      </c>
      <c r="R23" s="8" t="n">
        <v>11</v>
      </c>
      <c r="S23" s="12" t="n">
        <f aca="false">IF(AND(ISNUMBER(R23),R23&gt;1,P23&gt;0),R23/P23-1,"")</f>
        <v>-0.0728033405627335</v>
      </c>
    </row>
    <row r="24" customFormat="false" ht="15" hidden="false" customHeight="false" outlineLevel="0" collapsed="false">
      <c r="A24" s="10" t="s">
        <v>222</v>
      </c>
      <c r="B24" s="10" t="s">
        <v>205</v>
      </c>
      <c r="C24" s="10" t="s">
        <v>223</v>
      </c>
      <c r="D24" s="10"/>
      <c r="E24" s="11" t="n">
        <v>6</v>
      </c>
      <c r="F24" s="10" t="s">
        <v>796</v>
      </c>
      <c r="G24" s="7" t="n">
        <v>13</v>
      </c>
      <c r="H24" s="10" t="s">
        <v>1005</v>
      </c>
      <c r="I24" s="10" t="s">
        <v>1006</v>
      </c>
      <c r="J24" s="10" t="s">
        <v>647</v>
      </c>
      <c r="K24" s="7" t="n">
        <v>10</v>
      </c>
      <c r="L24" s="7" t="n">
        <v>60</v>
      </c>
      <c r="M24" s="7" t="n">
        <v>3</v>
      </c>
      <c r="N24" s="7" t="n">
        <v>7</v>
      </c>
      <c r="O24" s="7" t="n">
        <v>6</v>
      </c>
      <c r="P24" s="8" t="n">
        <v>11.9129038961359</v>
      </c>
      <c r="Q24" s="9" t="n">
        <v>0.0839425893735586</v>
      </c>
      <c r="R24" s="8" t="n">
        <v>9</v>
      </c>
      <c r="S24" s="12" t="n">
        <f aca="false">IF(AND(ISNUMBER(R24),R24&gt;1,P24&gt;0),R24/P24-1,"")</f>
        <v>-0.244516695637972</v>
      </c>
    </row>
    <row r="25" customFormat="false" ht="15" hidden="false" customHeight="false" outlineLevel="0" collapsed="false">
      <c r="A25" s="10" t="s">
        <v>222</v>
      </c>
      <c r="B25" s="10" t="s">
        <v>205</v>
      </c>
      <c r="C25" s="10" t="s">
        <v>223</v>
      </c>
      <c r="D25" s="10"/>
      <c r="E25" s="11" t="n">
        <v>6</v>
      </c>
      <c r="F25" s="10" t="s">
        <v>796</v>
      </c>
      <c r="G25" s="7" t="n">
        <v>13</v>
      </c>
      <c r="H25" s="10" t="s">
        <v>1007</v>
      </c>
      <c r="I25" s="10" t="s">
        <v>1008</v>
      </c>
      <c r="J25" s="10" t="s">
        <v>944</v>
      </c>
      <c r="K25" s="7" t="n">
        <v>9</v>
      </c>
      <c r="L25" s="7" t="n">
        <v>69</v>
      </c>
      <c r="M25" s="7" t="n">
        <v>3</v>
      </c>
      <c r="N25" s="7" t="n">
        <v>16</v>
      </c>
      <c r="O25" s="7" t="n">
        <v>7</v>
      </c>
      <c r="P25" s="8" t="n">
        <v>15.0317111400452</v>
      </c>
      <c r="Q25" s="9" t="n">
        <v>0.0665260255923859</v>
      </c>
      <c r="R25" s="8" t="n">
        <v>12</v>
      </c>
      <c r="S25" s="12" t="n">
        <f aca="false">IF(AND(ISNUMBER(R25),R25&gt;1,P25&gt;0),R25/P25-1,"")</f>
        <v>-0.201687692891369</v>
      </c>
    </row>
    <row r="26" customFormat="false" ht="15" hidden="false" customHeight="false" outlineLevel="0" collapsed="false">
      <c r="A26" s="10" t="s">
        <v>222</v>
      </c>
      <c r="B26" s="10" t="s">
        <v>205</v>
      </c>
      <c r="C26" s="10" t="s">
        <v>223</v>
      </c>
      <c r="D26" s="10"/>
      <c r="E26" s="11" t="n">
        <v>6</v>
      </c>
      <c r="F26" s="10" t="s">
        <v>796</v>
      </c>
      <c r="G26" s="7" t="n">
        <v>13</v>
      </c>
      <c r="H26" s="10" t="s">
        <v>1009</v>
      </c>
      <c r="I26" s="10" t="s">
        <v>1010</v>
      </c>
      <c r="J26" s="10" t="s">
        <v>1011</v>
      </c>
      <c r="K26" s="7" t="n">
        <v>6</v>
      </c>
      <c r="L26" s="7" t="n">
        <v>72</v>
      </c>
      <c r="M26" s="7" t="n">
        <v>3</v>
      </c>
      <c r="N26" s="7" t="n">
        <v>16</v>
      </c>
      <c r="O26" s="7" t="n">
        <v>8</v>
      </c>
      <c r="P26" s="8" t="n">
        <v>18.5350037176252</v>
      </c>
      <c r="Q26" s="9" t="n">
        <v>0.0539519719140432</v>
      </c>
      <c r="R26" s="8" t="n">
        <v>26</v>
      </c>
      <c r="S26" s="12" t="n">
        <f aca="false">IF(AND(ISNUMBER(R26),R26&gt;1,P26&gt;0),R26/P26-1,"")</f>
        <v>0.402751269765125</v>
      </c>
    </row>
    <row r="27" customFormat="false" ht="15" hidden="false" customHeight="false" outlineLevel="0" collapsed="false">
      <c r="A27" s="10" t="s">
        <v>222</v>
      </c>
      <c r="B27" s="10" t="s">
        <v>205</v>
      </c>
      <c r="C27" s="10" t="s">
        <v>223</v>
      </c>
      <c r="D27" s="10"/>
      <c r="E27" s="11" t="n">
        <v>6</v>
      </c>
      <c r="F27" s="10" t="s">
        <v>796</v>
      </c>
      <c r="G27" s="7" t="n">
        <v>13</v>
      </c>
      <c r="H27" s="10" t="s">
        <v>1012</v>
      </c>
      <c r="I27" s="10" t="s">
        <v>1013</v>
      </c>
      <c r="J27" s="10" t="s">
        <v>1014</v>
      </c>
      <c r="K27" s="7" t="n">
        <v>1</v>
      </c>
      <c r="L27" s="7" t="n">
        <v>53</v>
      </c>
      <c r="M27" s="7" t="n">
        <v>3</v>
      </c>
      <c r="N27" s="7" t="n">
        <v>16</v>
      </c>
      <c r="O27" s="7" t="n">
        <v>9</v>
      </c>
      <c r="P27" s="8" t="n">
        <v>30.6616399986626</v>
      </c>
      <c r="Q27" s="9" t="n">
        <v>0.032614041520402</v>
      </c>
      <c r="R27" s="8" t="n">
        <v>19</v>
      </c>
      <c r="S27" s="12" t="n">
        <f aca="false">IF(AND(ISNUMBER(R27),R27&gt;1,P27&gt;0),R27/P27-1,"")</f>
        <v>-0.380333211112362</v>
      </c>
    </row>
    <row r="28" customFormat="false" ht="15" hidden="false" customHeight="false" outlineLevel="0" collapsed="false">
      <c r="A28" s="10" t="s">
        <v>222</v>
      </c>
      <c r="B28" s="10" t="s">
        <v>205</v>
      </c>
      <c r="C28" s="10" t="s">
        <v>223</v>
      </c>
      <c r="D28" s="10"/>
      <c r="E28" s="11" t="n">
        <v>6</v>
      </c>
      <c r="F28" s="10" t="s">
        <v>796</v>
      </c>
      <c r="G28" s="7" t="n">
        <v>13</v>
      </c>
      <c r="H28" s="10" t="s">
        <v>1015</v>
      </c>
      <c r="I28" s="10" t="s">
        <v>1016</v>
      </c>
      <c r="J28" s="10" t="s">
        <v>635</v>
      </c>
      <c r="K28" s="7" t="n">
        <v>13</v>
      </c>
      <c r="L28" s="7" t="n">
        <v>60</v>
      </c>
      <c r="M28" s="7" t="n">
        <v>3</v>
      </c>
      <c r="N28" s="7" t="n">
        <v>76</v>
      </c>
      <c r="O28" s="7" t="n">
        <v>10</v>
      </c>
      <c r="P28" s="8" t="n">
        <v>31.5606577932941</v>
      </c>
      <c r="Q28" s="9" t="n">
        <v>0.03168501767452</v>
      </c>
      <c r="R28" s="8" t="n">
        <v>8.5</v>
      </c>
      <c r="S28" s="12" t="n">
        <f aca="false">IF(AND(ISNUMBER(R28),R28&gt;1,P28&gt;0),R28/P28-1,"")</f>
        <v>-0.73067734976658</v>
      </c>
    </row>
    <row r="29" customFormat="false" ht="15" hidden="false" customHeight="false" outlineLevel="0" collapsed="false">
      <c r="A29" s="10" t="s">
        <v>222</v>
      </c>
      <c r="B29" s="10" t="s">
        <v>205</v>
      </c>
      <c r="C29" s="10" t="s">
        <v>223</v>
      </c>
      <c r="D29" s="10"/>
      <c r="E29" s="11" t="n">
        <v>6</v>
      </c>
      <c r="F29" s="10" t="s">
        <v>796</v>
      </c>
      <c r="G29" s="7" t="n">
        <v>13</v>
      </c>
      <c r="H29" s="10" t="s">
        <v>1017</v>
      </c>
      <c r="I29" s="10" t="s">
        <v>1018</v>
      </c>
      <c r="J29" s="10" t="s">
        <v>1019</v>
      </c>
      <c r="K29" s="7" t="n">
        <v>7</v>
      </c>
      <c r="L29" s="7" t="n">
        <v>65</v>
      </c>
      <c r="M29" s="7" t="n">
        <v>5</v>
      </c>
      <c r="N29" s="7" t="n">
        <v>15</v>
      </c>
      <c r="O29" s="7" t="n">
        <v>11</v>
      </c>
      <c r="P29" s="8" t="n">
        <v>40.0747231031738</v>
      </c>
      <c r="Q29" s="9" t="n">
        <v>0.0249533851406899</v>
      </c>
      <c r="R29" s="8" t="n">
        <v>21</v>
      </c>
      <c r="S29" s="12" t="n">
        <f aca="false">IF(AND(ISNUMBER(R29),R29&gt;1,P29&gt;0),R29/P29-1,"")</f>
        <v>-0.475978912045512</v>
      </c>
    </row>
    <row r="30" customFormat="false" ht="15" hidden="false" customHeight="false" outlineLevel="0" collapsed="false">
      <c r="A30" s="10" t="s">
        <v>222</v>
      </c>
      <c r="B30" s="10" t="s">
        <v>205</v>
      </c>
      <c r="C30" s="10" t="s">
        <v>223</v>
      </c>
      <c r="D30" s="10"/>
      <c r="E30" s="11" t="n">
        <v>6</v>
      </c>
      <c r="F30" s="10" t="s">
        <v>796</v>
      </c>
      <c r="G30" s="7" t="n">
        <v>13</v>
      </c>
      <c r="H30" s="10" t="s">
        <v>1020</v>
      </c>
      <c r="I30" s="10" t="s">
        <v>1021</v>
      </c>
      <c r="J30" s="10" t="s">
        <v>1022</v>
      </c>
      <c r="K30" s="7" t="n">
        <v>11</v>
      </c>
      <c r="L30" s="7" t="n">
        <v>52</v>
      </c>
      <c r="M30" s="7" t="n">
        <v>3</v>
      </c>
      <c r="N30" s="7" t="n">
        <v>76</v>
      </c>
      <c r="O30" s="7" t="n">
        <v>12</v>
      </c>
      <c r="P30" s="8" t="n">
        <v>60.4880091838246</v>
      </c>
      <c r="Q30" s="9" t="n">
        <v>0.0165322022247578</v>
      </c>
      <c r="R30" s="8" t="n">
        <v>26</v>
      </c>
      <c r="S30" s="12" t="n">
        <f aca="false">IF(AND(ISNUMBER(R30),R30&gt;1,P30&gt;0),R30/P30-1,"")</f>
        <v>-0.570162742156295</v>
      </c>
    </row>
    <row r="31" customFormat="false" ht="15" hidden="false" customHeight="false" outlineLevel="0" collapsed="false">
      <c r="A31" s="10" t="s">
        <v>222</v>
      </c>
      <c r="B31" s="10" t="s">
        <v>205</v>
      </c>
      <c r="C31" s="10" t="s">
        <v>223</v>
      </c>
      <c r="D31" s="10"/>
      <c r="E31" s="11" t="n">
        <v>6</v>
      </c>
      <c r="F31" s="10" t="s">
        <v>796</v>
      </c>
      <c r="G31" s="7" t="n">
        <v>13</v>
      </c>
      <c r="H31" s="10" t="s">
        <v>1023</v>
      </c>
      <c r="I31" s="10" t="s">
        <v>1024</v>
      </c>
      <c r="J31" s="10" t="s">
        <v>937</v>
      </c>
      <c r="K31" s="7" t="n">
        <v>8</v>
      </c>
      <c r="L31" s="7" t="n">
        <v>59</v>
      </c>
      <c r="M31" s="7" t="n">
        <v>3</v>
      </c>
      <c r="N31" s="7" t="n">
        <v>4</v>
      </c>
      <c r="O31" s="7" t="n">
        <v>13</v>
      </c>
      <c r="P31" s="8" t="n">
        <v>251.485658425186</v>
      </c>
      <c r="Q31" s="9" t="n">
        <v>0.0039763698902833</v>
      </c>
      <c r="R31" s="8" t="n">
        <v>51</v>
      </c>
      <c r="S31" s="12" t="n">
        <f aca="false">IF(AND(ISNUMBER(R31),R31&gt;1,P31&gt;0),R31/P31-1,"")</f>
        <v>-0.797205135595547</v>
      </c>
    </row>
    <row r="32" customFormat="false" ht="15" hidden="false" customHeight="false" outlineLevel="0" collapsed="false">
      <c r="A32" s="10" t="s">
        <v>234</v>
      </c>
      <c r="B32" s="10" t="s">
        <v>205</v>
      </c>
      <c r="C32" s="10" t="s">
        <v>235</v>
      </c>
      <c r="D32" s="10"/>
      <c r="E32" s="11" t="n">
        <v>7</v>
      </c>
      <c r="F32" s="10" t="s">
        <v>796</v>
      </c>
      <c r="G32" s="7" t="n">
        <v>15</v>
      </c>
      <c r="H32" s="10" t="s">
        <v>236</v>
      </c>
      <c r="I32" s="10" t="s">
        <v>237</v>
      </c>
      <c r="J32" s="10" t="s">
        <v>238</v>
      </c>
      <c r="K32" s="7" t="n">
        <v>10</v>
      </c>
      <c r="L32" s="7" t="n">
        <v>90</v>
      </c>
      <c r="M32" s="7" t="n">
        <v>2</v>
      </c>
      <c r="N32" s="7" t="n">
        <v>41</v>
      </c>
      <c r="O32" s="7" t="n">
        <v>1</v>
      </c>
      <c r="P32" s="8" t="n">
        <v>3.23558516391732</v>
      </c>
      <c r="Q32" s="9" t="n">
        <v>0.309063105849237</v>
      </c>
      <c r="R32" s="8" t="n">
        <v>6</v>
      </c>
      <c r="S32" s="12" t="n">
        <f aca="false">IF(AND(ISNUMBER(R32),R32&gt;1,P32&gt;0),R32/P32-1,"")</f>
        <v>0.854378635095424</v>
      </c>
    </row>
    <row r="33" customFormat="false" ht="15" hidden="false" customHeight="false" outlineLevel="0" collapsed="false">
      <c r="A33" s="10" t="s">
        <v>234</v>
      </c>
      <c r="B33" s="10" t="s">
        <v>205</v>
      </c>
      <c r="C33" s="10" t="s">
        <v>235</v>
      </c>
      <c r="D33" s="10"/>
      <c r="E33" s="11" t="n">
        <v>7</v>
      </c>
      <c r="F33" s="10" t="s">
        <v>796</v>
      </c>
      <c r="G33" s="7" t="n">
        <v>15</v>
      </c>
      <c r="H33" s="10" t="s">
        <v>239</v>
      </c>
      <c r="I33" s="10" t="s">
        <v>259</v>
      </c>
      <c r="J33" s="10" t="s">
        <v>260</v>
      </c>
      <c r="K33" s="7" t="n">
        <v>8</v>
      </c>
      <c r="L33" s="7" t="n">
        <v>0</v>
      </c>
      <c r="M33" s="7" t="n">
        <v>2</v>
      </c>
      <c r="N33" s="7" t="n">
        <v>16</v>
      </c>
      <c r="O33" s="7" t="n">
        <v>2</v>
      </c>
      <c r="P33" s="8" t="n">
        <v>4.1675035218477</v>
      </c>
      <c r="Q33" s="9" t="n">
        <v>0.239951806820943</v>
      </c>
      <c r="R33" s="8" t="n">
        <v>4.33333333333333</v>
      </c>
      <c r="S33" s="12" t="n">
        <f aca="false">IF(AND(ISNUMBER(R33),R33&gt;1,P33&gt;0),R33/P33-1,"")</f>
        <v>0.039791162890755</v>
      </c>
    </row>
    <row r="34" customFormat="false" ht="15" hidden="false" customHeight="false" outlineLevel="0" collapsed="false">
      <c r="A34" s="10" t="s">
        <v>234</v>
      </c>
      <c r="B34" s="10" t="s">
        <v>205</v>
      </c>
      <c r="C34" s="10" t="s">
        <v>235</v>
      </c>
      <c r="D34" s="10"/>
      <c r="E34" s="11" t="n">
        <v>7</v>
      </c>
      <c r="F34" s="10" t="s">
        <v>796</v>
      </c>
      <c r="G34" s="7" t="n">
        <v>15</v>
      </c>
      <c r="H34" s="10" t="s">
        <v>1043</v>
      </c>
      <c r="I34" s="10" t="s">
        <v>1044</v>
      </c>
      <c r="J34" s="10" t="s">
        <v>1045</v>
      </c>
      <c r="K34" s="7" t="n">
        <v>5</v>
      </c>
      <c r="L34" s="7" t="n">
        <v>0</v>
      </c>
      <c r="M34" s="7" t="n">
        <v>2</v>
      </c>
      <c r="N34" s="7" t="n">
        <v>16</v>
      </c>
      <c r="O34" s="7" t="n">
        <v>3</v>
      </c>
      <c r="P34" s="8" t="n">
        <v>6.12106924673068</v>
      </c>
      <c r="Q34" s="9" t="n">
        <v>0.16337014983683</v>
      </c>
      <c r="R34" s="8" t="n">
        <v>2.875</v>
      </c>
      <c r="S34" s="12" t="n">
        <f aca="false">IF(AND(ISNUMBER(R34),R34&gt;1,P34&gt;0),R34/P34-1,"")</f>
        <v>-0.530310819219115</v>
      </c>
    </row>
    <row r="35" customFormat="false" ht="15" hidden="false" customHeight="false" outlineLevel="0" collapsed="false">
      <c r="A35" s="10" t="s">
        <v>234</v>
      </c>
      <c r="B35" s="10" t="s">
        <v>205</v>
      </c>
      <c r="C35" s="10" t="s">
        <v>235</v>
      </c>
      <c r="D35" s="10"/>
      <c r="E35" s="11" t="n">
        <v>7</v>
      </c>
      <c r="F35" s="10" t="s">
        <v>796</v>
      </c>
      <c r="G35" s="7" t="n">
        <v>15</v>
      </c>
      <c r="H35" s="10" t="s">
        <v>1046</v>
      </c>
      <c r="I35" s="10" t="s">
        <v>249</v>
      </c>
      <c r="J35" s="10" t="s">
        <v>1047</v>
      </c>
      <c r="K35" s="7" t="n">
        <v>12</v>
      </c>
      <c r="L35" s="7" t="n">
        <v>0</v>
      </c>
      <c r="M35" s="7" t="n">
        <v>2</v>
      </c>
      <c r="N35" s="7"/>
      <c r="O35" s="7" t="n">
        <v>4</v>
      </c>
      <c r="P35" s="8" t="n">
        <v>6.88457174598761</v>
      </c>
      <c r="Q35" s="9" t="n">
        <v>0.145252317340263</v>
      </c>
      <c r="R35" s="8" t="n">
        <v>3.5</v>
      </c>
      <c r="S35" s="12" t="n">
        <f aca="false">IF(AND(ISNUMBER(R35),R35&gt;1,P35&gt;0),R35/P35-1,"")</f>
        <v>-0.49161688930908</v>
      </c>
    </row>
    <row r="36" customFormat="false" ht="15" hidden="false" customHeight="false" outlineLevel="0" collapsed="false">
      <c r="A36" s="10" t="s">
        <v>234</v>
      </c>
      <c r="B36" s="10" t="s">
        <v>205</v>
      </c>
      <c r="C36" s="10" t="s">
        <v>235</v>
      </c>
      <c r="D36" s="10"/>
      <c r="E36" s="11" t="n">
        <v>7</v>
      </c>
      <c r="F36" s="10" t="s">
        <v>796</v>
      </c>
      <c r="G36" s="7" t="n">
        <v>15</v>
      </c>
      <c r="H36" s="10" t="s">
        <v>1048</v>
      </c>
      <c r="I36" s="10" t="s">
        <v>926</v>
      </c>
      <c r="J36" s="10" t="s">
        <v>1049</v>
      </c>
      <c r="K36" s="7" t="n">
        <v>4</v>
      </c>
      <c r="L36" s="7" t="n">
        <v>0</v>
      </c>
      <c r="M36" s="7" t="n">
        <v>2</v>
      </c>
      <c r="N36" s="7"/>
      <c r="O36" s="7" t="n">
        <v>5</v>
      </c>
      <c r="P36" s="8" t="n">
        <v>25.1357440126094</v>
      </c>
      <c r="Q36" s="9" t="n">
        <v>0.0397839825030979</v>
      </c>
      <c r="R36" s="8" t="n">
        <v>17</v>
      </c>
      <c r="S36" s="12" t="n">
        <f aca="false">IF(AND(ISNUMBER(R36),R36&gt;1,P36&gt;0),R36/P36-1,"")</f>
        <v>-0.323672297447335</v>
      </c>
    </row>
    <row r="37" customFormat="false" ht="15" hidden="false" customHeight="false" outlineLevel="0" collapsed="false">
      <c r="A37" s="10" t="s">
        <v>234</v>
      </c>
      <c r="B37" s="10" t="s">
        <v>205</v>
      </c>
      <c r="C37" s="10" t="s">
        <v>235</v>
      </c>
      <c r="D37" s="10"/>
      <c r="E37" s="11" t="n">
        <v>7</v>
      </c>
      <c r="F37" s="10" t="s">
        <v>796</v>
      </c>
      <c r="G37" s="7" t="n">
        <v>15</v>
      </c>
      <c r="H37" s="10" t="s">
        <v>1050</v>
      </c>
      <c r="I37" s="10" t="s">
        <v>939</v>
      </c>
      <c r="J37" s="10" t="s">
        <v>1049</v>
      </c>
      <c r="K37" s="7" t="n">
        <v>9</v>
      </c>
      <c r="L37" s="7" t="n">
        <v>0</v>
      </c>
      <c r="M37" s="7" t="n">
        <v>2</v>
      </c>
      <c r="N37" s="7" t="n">
        <v>16</v>
      </c>
      <c r="O37" s="7" t="n">
        <v>6</v>
      </c>
      <c r="P37" s="8" t="n">
        <v>43.6259173213843</v>
      </c>
      <c r="Q37" s="9" t="n">
        <v>0.0229221541092919</v>
      </c>
      <c r="R37" s="8" t="n">
        <v>21</v>
      </c>
      <c r="S37" s="12" t="n">
        <f aca="false">IF(AND(ISNUMBER(R37),R37&gt;1,P37&gt;0),R37/P37-1,"")</f>
        <v>-0.518634763704869</v>
      </c>
    </row>
    <row r="38" customFormat="false" ht="15" hidden="false" customHeight="false" outlineLevel="0" collapsed="false">
      <c r="A38" s="10" t="s">
        <v>234</v>
      </c>
      <c r="B38" s="10" t="s">
        <v>205</v>
      </c>
      <c r="C38" s="10" t="s">
        <v>235</v>
      </c>
      <c r="D38" s="10"/>
      <c r="E38" s="11" t="n">
        <v>7</v>
      </c>
      <c r="F38" s="10" t="s">
        <v>796</v>
      </c>
      <c r="G38" s="7" t="n">
        <v>15</v>
      </c>
      <c r="H38" s="10" t="s">
        <v>1051</v>
      </c>
      <c r="I38" s="10" t="s">
        <v>936</v>
      </c>
      <c r="J38" s="10" t="s">
        <v>635</v>
      </c>
      <c r="K38" s="7" t="n">
        <v>13</v>
      </c>
      <c r="L38" s="7" t="n">
        <v>0</v>
      </c>
      <c r="M38" s="7" t="n">
        <v>2</v>
      </c>
      <c r="N38" s="7"/>
      <c r="O38" s="7" t="n">
        <v>7</v>
      </c>
      <c r="P38" s="8" t="n">
        <v>49.8521814126451</v>
      </c>
      <c r="Q38" s="9" t="n">
        <v>0.0200593027559341</v>
      </c>
      <c r="R38" s="8" t="n">
        <v>67</v>
      </c>
      <c r="S38" s="12" t="n">
        <f aca="false">IF(AND(ISNUMBER(R38),R38&gt;1,P38&gt;0),R38/P38-1,"")</f>
        <v>0.343973284647587</v>
      </c>
    </row>
    <row r="39" customFormat="false" ht="15" hidden="false" customHeight="false" outlineLevel="0" collapsed="false">
      <c r="A39" s="10" t="s">
        <v>234</v>
      </c>
      <c r="B39" s="10" t="s">
        <v>205</v>
      </c>
      <c r="C39" s="10" t="s">
        <v>235</v>
      </c>
      <c r="D39" s="10"/>
      <c r="E39" s="11" t="n">
        <v>7</v>
      </c>
      <c r="F39" s="10" t="s">
        <v>796</v>
      </c>
      <c r="G39" s="7" t="n">
        <v>15</v>
      </c>
      <c r="H39" s="10" t="s">
        <v>1052</v>
      </c>
      <c r="I39" s="10" t="s">
        <v>922</v>
      </c>
      <c r="J39" s="10" t="s">
        <v>1053</v>
      </c>
      <c r="K39" s="7" t="n">
        <v>1</v>
      </c>
      <c r="L39" s="7" t="n">
        <v>0</v>
      </c>
      <c r="M39" s="7" t="n">
        <v>2</v>
      </c>
      <c r="N39" s="7"/>
      <c r="O39" s="7" t="n">
        <v>8</v>
      </c>
      <c r="P39" s="8" t="n">
        <v>61.0930250288463</v>
      </c>
      <c r="Q39" s="9" t="n">
        <v>0.01636848068217</v>
      </c>
      <c r="R39" s="8" t="n">
        <v>29</v>
      </c>
      <c r="S39" s="12" t="n">
        <f aca="false">IF(AND(ISNUMBER(R39),R39&gt;1,P39&gt;0),R39/P39-1,"")</f>
        <v>-0.52531406021707</v>
      </c>
    </row>
    <row r="40" customFormat="false" ht="15" hidden="false" customHeight="false" outlineLevel="0" collapsed="false">
      <c r="A40" s="10" t="s">
        <v>234</v>
      </c>
      <c r="B40" s="10" t="s">
        <v>205</v>
      </c>
      <c r="C40" s="10" t="s">
        <v>235</v>
      </c>
      <c r="D40" s="10"/>
      <c r="E40" s="11" t="n">
        <v>7</v>
      </c>
      <c r="F40" s="10" t="s">
        <v>796</v>
      </c>
      <c r="G40" s="7" t="n">
        <v>15</v>
      </c>
      <c r="H40" s="10" t="s">
        <v>1054</v>
      </c>
      <c r="I40" s="10" t="s">
        <v>1055</v>
      </c>
      <c r="J40" s="10" t="s">
        <v>1004</v>
      </c>
      <c r="K40" s="7" t="n">
        <v>6</v>
      </c>
      <c r="L40" s="7" t="n">
        <v>0</v>
      </c>
      <c r="M40" s="7" t="n">
        <v>2</v>
      </c>
      <c r="N40" s="7"/>
      <c r="O40" s="7" t="n">
        <v>9</v>
      </c>
      <c r="P40" s="8" t="n">
        <v>72.3514809000069</v>
      </c>
      <c r="Q40" s="9" t="n">
        <v>0.013821417164661</v>
      </c>
      <c r="R40" s="8" t="n">
        <v>17</v>
      </c>
      <c r="S40" s="12" t="n">
        <f aca="false">IF(AND(ISNUMBER(R40),R40&gt;1,P40&gt;0),R40/P40-1,"")</f>
        <v>-0.765035908200763</v>
      </c>
    </row>
    <row r="41" customFormat="false" ht="15" hidden="false" customHeight="false" outlineLevel="0" collapsed="false">
      <c r="A41" s="10" t="s">
        <v>234</v>
      </c>
      <c r="B41" s="10" t="s">
        <v>205</v>
      </c>
      <c r="C41" s="10" t="s">
        <v>235</v>
      </c>
      <c r="D41" s="10"/>
      <c r="E41" s="11" t="n">
        <v>7</v>
      </c>
      <c r="F41" s="10" t="s">
        <v>796</v>
      </c>
      <c r="G41" s="7" t="n">
        <v>15</v>
      </c>
      <c r="H41" s="10" t="s">
        <v>1056</v>
      </c>
      <c r="I41" s="10" t="s">
        <v>208</v>
      </c>
      <c r="J41" s="10" t="s">
        <v>209</v>
      </c>
      <c r="K41" s="7" t="n">
        <v>3</v>
      </c>
      <c r="L41" s="7" t="n">
        <v>0</v>
      </c>
      <c r="M41" s="7" t="n">
        <v>2</v>
      </c>
      <c r="N41" s="7" t="n">
        <v>33</v>
      </c>
      <c r="O41" s="7" t="n">
        <v>10</v>
      </c>
      <c r="P41" s="8" t="n">
        <v>100.218095292083</v>
      </c>
      <c r="Q41" s="9" t="n">
        <v>0.0099782379328356</v>
      </c>
      <c r="R41" s="8" t="n">
        <v>26</v>
      </c>
      <c r="S41" s="12" t="n">
        <f aca="false">IF(AND(ISNUMBER(R41),R41&gt;1,P41&gt;0),R41/P41-1,"")</f>
        <v>-0.740565813746273</v>
      </c>
    </row>
    <row r="42" customFormat="false" ht="15" hidden="false" customHeight="false" outlineLevel="0" collapsed="false">
      <c r="A42" s="10" t="s">
        <v>234</v>
      </c>
      <c r="B42" s="10" t="s">
        <v>205</v>
      </c>
      <c r="C42" s="10" t="s">
        <v>235</v>
      </c>
      <c r="D42" s="10"/>
      <c r="E42" s="11" t="n">
        <v>7</v>
      </c>
      <c r="F42" s="10" t="s">
        <v>796</v>
      </c>
      <c r="G42" s="7" t="n">
        <v>15</v>
      </c>
      <c r="H42" s="10" t="s">
        <v>1057</v>
      </c>
      <c r="I42" s="10" t="s">
        <v>931</v>
      </c>
      <c r="J42" s="10" t="s">
        <v>635</v>
      </c>
      <c r="K42" s="7" t="n">
        <v>14</v>
      </c>
      <c r="L42" s="7" t="n">
        <v>0</v>
      </c>
      <c r="M42" s="7" t="n">
        <v>2</v>
      </c>
      <c r="N42" s="7"/>
      <c r="O42" s="7" t="n">
        <v>11</v>
      </c>
      <c r="P42" s="8" t="n">
        <v>118.543496082766</v>
      </c>
      <c r="Q42" s="9" t="n">
        <v>0.0084357221867474</v>
      </c>
      <c r="R42" s="8" t="n">
        <v>67</v>
      </c>
      <c r="S42" s="12" t="n">
        <f aca="false">IF(AND(ISNUMBER(R42),R42&gt;1,P42&gt;0),R42/P42-1,"")</f>
        <v>-0.434806613487919</v>
      </c>
    </row>
    <row r="43" customFormat="false" ht="15" hidden="false" customHeight="false" outlineLevel="0" collapsed="false">
      <c r="A43" s="10" t="s">
        <v>234</v>
      </c>
      <c r="B43" s="10" t="s">
        <v>205</v>
      </c>
      <c r="C43" s="10" t="s">
        <v>235</v>
      </c>
      <c r="D43" s="10"/>
      <c r="E43" s="11" t="n">
        <v>7</v>
      </c>
      <c r="F43" s="10" t="s">
        <v>796</v>
      </c>
      <c r="G43" s="7" t="n">
        <v>15</v>
      </c>
      <c r="H43" s="10" t="s">
        <v>1058</v>
      </c>
      <c r="I43" s="10" t="s">
        <v>1059</v>
      </c>
      <c r="J43" s="10" t="s">
        <v>1060</v>
      </c>
      <c r="K43" s="7" t="n">
        <v>11</v>
      </c>
      <c r="L43" s="7" t="n">
        <v>0</v>
      </c>
      <c r="M43" s="7" t="n">
        <v>2</v>
      </c>
      <c r="N43" s="7" t="n">
        <v>33</v>
      </c>
      <c r="O43" s="7" t="n">
        <v>12</v>
      </c>
      <c r="P43" s="8" t="n">
        <v>220.081574740419</v>
      </c>
      <c r="Q43" s="9" t="n">
        <v>0.0045437697416491</v>
      </c>
      <c r="R43" s="8" t="n">
        <v>41</v>
      </c>
      <c r="S43" s="12" t="n">
        <f aca="false">IF(AND(ISNUMBER(R43),R43&gt;1,P43&gt;0),R43/P43-1,"")</f>
        <v>-0.813705440592387</v>
      </c>
    </row>
    <row r="44" customFormat="false" ht="15" hidden="false" customHeight="false" outlineLevel="0" collapsed="false">
      <c r="A44" s="10" t="s">
        <v>234</v>
      </c>
      <c r="B44" s="10" t="s">
        <v>205</v>
      </c>
      <c r="C44" s="10" t="s">
        <v>235</v>
      </c>
      <c r="D44" s="10"/>
      <c r="E44" s="11" t="n">
        <v>7</v>
      </c>
      <c r="F44" s="10" t="s">
        <v>796</v>
      </c>
      <c r="G44" s="7" t="n">
        <v>15</v>
      </c>
      <c r="H44" s="10" t="s">
        <v>1061</v>
      </c>
      <c r="I44" s="10" t="s">
        <v>1062</v>
      </c>
      <c r="J44" s="10" t="s">
        <v>1011</v>
      </c>
      <c r="K44" s="7" t="n">
        <v>15</v>
      </c>
      <c r="L44" s="7" t="n">
        <v>0</v>
      </c>
      <c r="M44" s="7" t="n">
        <v>2</v>
      </c>
      <c r="N44" s="7" t="n">
        <v>34</v>
      </c>
      <c r="O44" s="7" t="n">
        <v>13</v>
      </c>
      <c r="P44" s="8" t="n">
        <v>355.348019109158</v>
      </c>
      <c r="Q44" s="9" t="n">
        <v>0.0028141426045006</v>
      </c>
      <c r="R44" s="8" t="n">
        <v>81</v>
      </c>
      <c r="S44" s="12" t="n">
        <f aca="false">IF(AND(ISNUMBER(R44),R44&gt;1,P44&gt;0),R44/P44-1,"")</f>
        <v>-0.772054449035446</v>
      </c>
    </row>
    <row r="45" customFormat="false" ht="15" hidden="false" customHeight="false" outlineLevel="0" collapsed="false">
      <c r="A45" s="10" t="s">
        <v>234</v>
      </c>
      <c r="B45" s="10" t="s">
        <v>205</v>
      </c>
      <c r="C45" s="10" t="s">
        <v>235</v>
      </c>
      <c r="D45" s="10"/>
      <c r="E45" s="11" t="n">
        <v>7</v>
      </c>
      <c r="F45" s="10" t="s">
        <v>796</v>
      </c>
      <c r="G45" s="7" t="n">
        <v>15</v>
      </c>
      <c r="H45" s="10" t="s">
        <v>1063</v>
      </c>
      <c r="I45" s="10" t="s">
        <v>358</v>
      </c>
      <c r="J45" s="10" t="s">
        <v>128</v>
      </c>
      <c r="K45" s="7" t="n">
        <v>7</v>
      </c>
      <c r="L45" s="7" t="n">
        <v>0</v>
      </c>
      <c r="M45" s="7" t="n">
        <v>2</v>
      </c>
      <c r="N45" s="7" t="n">
        <v>8</v>
      </c>
      <c r="O45" s="7" t="n">
        <v>14</v>
      </c>
      <c r="P45" s="8" t="n">
        <v>371.863027880895</v>
      </c>
      <c r="Q45" s="9" t="n">
        <v>0.0026891622049619</v>
      </c>
      <c r="R45" s="8" t="n">
        <v>81</v>
      </c>
      <c r="S45" s="12" t="n">
        <f aca="false">IF(AND(ISNUMBER(R45),R45&gt;1,P45&gt;0),R45/P45-1,"")</f>
        <v>-0.782177861398085</v>
      </c>
    </row>
    <row r="46" customFormat="false" ht="15" hidden="false" customHeight="false" outlineLevel="0" collapsed="false">
      <c r="A46" s="10" t="s">
        <v>234</v>
      </c>
      <c r="B46" s="10" t="s">
        <v>205</v>
      </c>
      <c r="C46" s="10" t="s">
        <v>235</v>
      </c>
      <c r="D46" s="10"/>
      <c r="E46" s="11" t="n">
        <v>7</v>
      </c>
      <c r="F46" s="10" t="s">
        <v>796</v>
      </c>
      <c r="G46" s="7" t="n">
        <v>15</v>
      </c>
      <c r="H46" s="10" t="s">
        <v>1064</v>
      </c>
      <c r="I46" s="10" t="s">
        <v>943</v>
      </c>
      <c r="J46" s="10" t="s">
        <v>1065</v>
      </c>
      <c r="K46" s="7" t="n">
        <v>2</v>
      </c>
      <c r="L46" s="7" t="n">
        <v>0</v>
      </c>
      <c r="M46" s="7" t="n">
        <v>2</v>
      </c>
      <c r="N46" s="7" t="n">
        <v>41</v>
      </c>
      <c r="O46" s="7" t="n">
        <v>15</v>
      </c>
      <c r="P46" s="8" t="n">
        <v>1056.80510602191</v>
      </c>
      <c r="Q46" s="9" t="n">
        <v>0.000946248266877</v>
      </c>
      <c r="R46" s="8" t="n">
        <v>201</v>
      </c>
      <c r="S46" s="12" t="n">
        <f aca="false">IF(AND(ISNUMBER(R46),R46&gt;1,P46&gt;0),R46/P46-1,"")</f>
        <v>-0.809804098357723</v>
      </c>
    </row>
    <row r="47" customFormat="false" ht="15" hidden="false" customHeight="false" outlineLevel="0" collapsed="false">
      <c r="A47" s="10" t="s">
        <v>246</v>
      </c>
      <c r="B47" s="10" t="s">
        <v>205</v>
      </c>
      <c r="C47" s="10" t="s">
        <v>247</v>
      </c>
      <c r="D47" s="10"/>
      <c r="E47" s="11" t="n">
        <v>8</v>
      </c>
      <c r="F47" s="10" t="s">
        <v>796</v>
      </c>
      <c r="G47" s="7" t="n">
        <v>17</v>
      </c>
      <c r="H47" s="10" t="s">
        <v>248</v>
      </c>
      <c r="I47" s="10" t="s">
        <v>249</v>
      </c>
      <c r="J47" s="10" t="s">
        <v>250</v>
      </c>
      <c r="K47" s="7" t="n">
        <v>4</v>
      </c>
      <c r="L47" s="7" t="n">
        <v>58</v>
      </c>
      <c r="M47" s="7" t="n">
        <v>5</v>
      </c>
      <c r="N47" s="7" t="n">
        <v>7</v>
      </c>
      <c r="O47" s="7" t="n">
        <v>1</v>
      </c>
      <c r="P47" s="8" t="n">
        <v>5.29172363664834</v>
      </c>
      <c r="Q47" s="9" t="n">
        <v>0.188974343458605</v>
      </c>
      <c r="R47" s="8" t="n">
        <v>5</v>
      </c>
      <c r="S47" s="12" t="n">
        <f aca="false">IF(AND(ISNUMBER(R47),R47&gt;1,P47&gt;0),R47/P47-1,"")</f>
        <v>-0.055128282706976</v>
      </c>
    </row>
    <row r="48" customFormat="false" ht="15" hidden="false" customHeight="false" outlineLevel="0" collapsed="false">
      <c r="A48" s="10" t="s">
        <v>246</v>
      </c>
      <c r="B48" s="10" t="s">
        <v>205</v>
      </c>
      <c r="C48" s="10" t="s">
        <v>247</v>
      </c>
      <c r="D48" s="10"/>
      <c r="E48" s="11" t="n">
        <v>8</v>
      </c>
      <c r="F48" s="10" t="s">
        <v>796</v>
      </c>
      <c r="G48" s="7" t="n">
        <v>17</v>
      </c>
      <c r="H48" s="10" t="s">
        <v>251</v>
      </c>
      <c r="I48" s="10" t="s">
        <v>259</v>
      </c>
      <c r="J48" s="10" t="s">
        <v>1076</v>
      </c>
      <c r="K48" s="7" t="n">
        <v>15</v>
      </c>
      <c r="L48" s="7" t="n">
        <v>56</v>
      </c>
      <c r="M48" s="7" t="n">
        <v>4</v>
      </c>
      <c r="N48" s="7" t="n">
        <v>7</v>
      </c>
      <c r="O48" s="7" t="n">
        <v>2</v>
      </c>
      <c r="P48" s="8" t="n">
        <v>5.74481619239169</v>
      </c>
      <c r="Q48" s="9" t="n">
        <v>0.174069973087107</v>
      </c>
      <c r="R48" s="8" t="n">
        <v>5.5</v>
      </c>
      <c r="S48" s="12" t="n">
        <f aca="false">IF(AND(ISNUMBER(R48),R48&gt;1,P48&gt;0),R48/P48-1,"")</f>
        <v>-0.0426151480209096</v>
      </c>
    </row>
    <row r="49" customFormat="false" ht="15" hidden="false" customHeight="false" outlineLevel="0" collapsed="false">
      <c r="A49" s="10" t="s">
        <v>246</v>
      </c>
      <c r="B49" s="10" t="s">
        <v>205</v>
      </c>
      <c r="C49" s="10" t="s">
        <v>247</v>
      </c>
      <c r="D49" s="10"/>
      <c r="E49" s="11" t="n">
        <v>8</v>
      </c>
      <c r="F49" s="10" t="s">
        <v>796</v>
      </c>
      <c r="G49" s="7" t="n">
        <v>17</v>
      </c>
      <c r="H49" s="10" t="s">
        <v>1077</v>
      </c>
      <c r="I49" s="10" t="s">
        <v>952</v>
      </c>
      <c r="J49" s="10" t="s">
        <v>929</v>
      </c>
      <c r="K49" s="7" t="n">
        <v>9</v>
      </c>
      <c r="L49" s="7" t="n">
        <v>42</v>
      </c>
      <c r="M49" s="7" t="n">
        <v>3</v>
      </c>
      <c r="N49" s="7" t="n">
        <v>7</v>
      </c>
      <c r="O49" s="7" t="n">
        <v>3</v>
      </c>
      <c r="P49" s="8" t="n">
        <v>6.69666736818469</v>
      </c>
      <c r="Q49" s="9" t="n">
        <v>0.149328008249434</v>
      </c>
      <c r="R49" s="8" t="n">
        <v>4</v>
      </c>
      <c r="S49" s="12" t="n">
        <f aca="false">IF(AND(ISNUMBER(R49),R49&gt;1,P49&gt;0),R49/P49-1,"")</f>
        <v>-0.402687967002263</v>
      </c>
    </row>
    <row r="50" customFormat="false" ht="15" hidden="false" customHeight="false" outlineLevel="0" collapsed="false">
      <c r="A50" s="10" t="s">
        <v>246</v>
      </c>
      <c r="B50" s="10" t="s">
        <v>205</v>
      </c>
      <c r="C50" s="10" t="s">
        <v>247</v>
      </c>
      <c r="D50" s="10"/>
      <c r="E50" s="11" t="n">
        <v>8</v>
      </c>
      <c r="F50" s="10" t="s">
        <v>796</v>
      </c>
      <c r="G50" s="7" t="n">
        <v>17</v>
      </c>
      <c r="H50" s="10" t="s">
        <v>1078</v>
      </c>
      <c r="I50" s="10" t="s">
        <v>1079</v>
      </c>
      <c r="J50" s="10" t="s">
        <v>1080</v>
      </c>
      <c r="K50" s="7" t="n">
        <v>3</v>
      </c>
      <c r="L50" s="7" t="n">
        <v>53</v>
      </c>
      <c r="M50" s="7" t="n">
        <v>7</v>
      </c>
      <c r="N50" s="7" t="n">
        <v>7</v>
      </c>
      <c r="O50" s="7" t="n">
        <v>4</v>
      </c>
      <c r="P50" s="8" t="n">
        <v>8.83376939552474</v>
      </c>
      <c r="Q50" s="9" t="n">
        <v>0.113201958894989</v>
      </c>
      <c r="R50" s="8" t="n">
        <v>6.5</v>
      </c>
      <c r="S50" s="12" t="n">
        <f aca="false">IF(AND(ISNUMBER(R50),R50&gt;1,P50&gt;0),R50/P50-1,"")</f>
        <v>-0.264187267182574</v>
      </c>
    </row>
    <row r="51" customFormat="false" ht="15" hidden="false" customHeight="false" outlineLevel="0" collapsed="false">
      <c r="A51" s="10" t="s">
        <v>246</v>
      </c>
      <c r="B51" s="10" t="s">
        <v>205</v>
      </c>
      <c r="C51" s="10" t="s">
        <v>247</v>
      </c>
      <c r="D51" s="10"/>
      <c r="E51" s="11" t="n">
        <v>8</v>
      </c>
      <c r="F51" s="10" t="s">
        <v>796</v>
      </c>
      <c r="G51" s="7" t="n">
        <v>17</v>
      </c>
      <c r="H51" s="10" t="s">
        <v>1081</v>
      </c>
      <c r="I51" s="10" t="s">
        <v>358</v>
      </c>
      <c r="J51" s="10" t="s">
        <v>944</v>
      </c>
      <c r="K51" s="7" t="n">
        <v>6</v>
      </c>
      <c r="L51" s="7" t="n">
        <v>52</v>
      </c>
      <c r="M51" s="7" t="n">
        <v>4</v>
      </c>
      <c r="N51" s="7" t="n">
        <v>15</v>
      </c>
      <c r="O51" s="7" t="n">
        <v>5</v>
      </c>
      <c r="P51" s="8" t="n">
        <v>10.5922645918958</v>
      </c>
      <c r="Q51" s="9" t="n">
        <v>0.0944085177748583</v>
      </c>
      <c r="R51" s="8" t="n">
        <v>8</v>
      </c>
      <c r="S51" s="12" t="n">
        <f aca="false">IF(AND(ISNUMBER(R51),R51&gt;1,P51&gt;0),R51/P51-1,"")</f>
        <v>-0.244731857801133</v>
      </c>
    </row>
    <row r="52" customFormat="false" ht="15" hidden="false" customHeight="false" outlineLevel="0" collapsed="false">
      <c r="A52" s="10" t="s">
        <v>246</v>
      </c>
      <c r="B52" s="10" t="s">
        <v>205</v>
      </c>
      <c r="C52" s="10" t="s">
        <v>247</v>
      </c>
      <c r="D52" s="10"/>
      <c r="E52" s="11" t="n">
        <v>8</v>
      </c>
      <c r="F52" s="10" t="s">
        <v>796</v>
      </c>
      <c r="G52" s="7" t="n">
        <v>17</v>
      </c>
      <c r="H52" s="10" t="s">
        <v>1082</v>
      </c>
      <c r="I52" s="10" t="s">
        <v>926</v>
      </c>
      <c r="J52" s="10" t="s">
        <v>1076</v>
      </c>
      <c r="K52" s="7" t="n">
        <v>10</v>
      </c>
      <c r="L52" s="7" t="n">
        <v>49</v>
      </c>
      <c r="M52" s="7" t="n">
        <v>3</v>
      </c>
      <c r="N52" s="7" t="n">
        <v>20</v>
      </c>
      <c r="O52" s="7" t="n">
        <v>6</v>
      </c>
      <c r="P52" s="8" t="n">
        <v>21.7401939763792</v>
      </c>
      <c r="Q52" s="9" t="n">
        <v>0.045997749656075</v>
      </c>
      <c r="R52" s="8" t="n">
        <v>13</v>
      </c>
      <c r="S52" s="12" t="n">
        <f aca="false">IF(AND(ISNUMBER(R52),R52&gt;1,P52&gt;0),R52/P52-1,"")</f>
        <v>-0.402029254471024</v>
      </c>
    </row>
    <row r="53" customFormat="false" ht="15" hidden="false" customHeight="false" outlineLevel="0" collapsed="false">
      <c r="A53" s="10" t="s">
        <v>246</v>
      </c>
      <c r="B53" s="10" t="s">
        <v>205</v>
      </c>
      <c r="C53" s="10" t="s">
        <v>247</v>
      </c>
      <c r="D53" s="10"/>
      <c r="E53" s="11" t="n">
        <v>8</v>
      </c>
      <c r="F53" s="10" t="s">
        <v>796</v>
      </c>
      <c r="G53" s="7" t="n">
        <v>17</v>
      </c>
      <c r="H53" s="10" t="s">
        <v>1083</v>
      </c>
      <c r="I53" s="10" t="s">
        <v>208</v>
      </c>
      <c r="J53" s="10" t="s">
        <v>1014</v>
      </c>
      <c r="K53" s="7" t="n">
        <v>5</v>
      </c>
      <c r="L53" s="7" t="n">
        <v>45</v>
      </c>
      <c r="M53" s="7" t="n">
        <v>3</v>
      </c>
      <c r="N53" s="7" t="n">
        <v>16</v>
      </c>
      <c r="O53" s="7" t="n">
        <v>7</v>
      </c>
      <c r="P53" s="8" t="n">
        <v>24.6541856673044</v>
      </c>
      <c r="Q53" s="9" t="n">
        <v>0.0405610638896975</v>
      </c>
      <c r="R53" s="8" t="n">
        <v>13</v>
      </c>
      <c r="S53" s="12" t="n">
        <f aca="false">IF(AND(ISNUMBER(R53),R53&gt;1,P53&gt;0),R53/P53-1,"")</f>
        <v>-0.472706169433932</v>
      </c>
    </row>
    <row r="54" customFormat="false" ht="15" hidden="false" customHeight="false" outlineLevel="0" collapsed="false">
      <c r="A54" s="10" t="s">
        <v>246</v>
      </c>
      <c r="B54" s="10" t="s">
        <v>205</v>
      </c>
      <c r="C54" s="10" t="s">
        <v>247</v>
      </c>
      <c r="D54" s="10"/>
      <c r="E54" s="11" t="n">
        <v>8</v>
      </c>
      <c r="F54" s="10" t="s">
        <v>796</v>
      </c>
      <c r="G54" s="7" t="n">
        <v>17</v>
      </c>
      <c r="H54" s="10" t="s">
        <v>1084</v>
      </c>
      <c r="I54" s="10" t="s">
        <v>1085</v>
      </c>
      <c r="J54" s="10" t="s">
        <v>1086</v>
      </c>
      <c r="K54" s="7" t="n">
        <v>8</v>
      </c>
      <c r="L54" s="7" t="n">
        <v>43</v>
      </c>
      <c r="M54" s="7" t="n">
        <v>4</v>
      </c>
      <c r="N54" s="7" t="n">
        <v>16</v>
      </c>
      <c r="O54" s="7" t="n">
        <v>8</v>
      </c>
      <c r="P54" s="8" t="n">
        <v>28.6658866471036</v>
      </c>
      <c r="Q54" s="9" t="n">
        <v>0.0348846701415753</v>
      </c>
      <c r="R54" s="8" t="n">
        <v>12</v>
      </c>
      <c r="S54" s="12" t="n">
        <f aca="false">IF(AND(ISNUMBER(R54),R54&gt;1,P54&gt;0),R54/P54-1,"")</f>
        <v>-0.581383958301095</v>
      </c>
    </row>
    <row r="55" customFormat="false" ht="15" hidden="false" customHeight="false" outlineLevel="0" collapsed="false">
      <c r="A55" s="10" t="s">
        <v>246</v>
      </c>
      <c r="B55" s="10" t="s">
        <v>205</v>
      </c>
      <c r="C55" s="10" t="s">
        <v>247</v>
      </c>
      <c r="D55" s="10"/>
      <c r="E55" s="11" t="n">
        <v>8</v>
      </c>
      <c r="F55" s="10" t="s">
        <v>796</v>
      </c>
      <c r="G55" s="7" t="n">
        <v>17</v>
      </c>
      <c r="H55" s="10" t="s">
        <v>1087</v>
      </c>
      <c r="I55" s="10" t="s">
        <v>933</v>
      </c>
      <c r="J55" s="10" t="s">
        <v>1088</v>
      </c>
      <c r="K55" s="7" t="n">
        <v>17</v>
      </c>
      <c r="L55" s="7" t="n">
        <v>47</v>
      </c>
      <c r="M55" s="7" t="n">
        <v>3</v>
      </c>
      <c r="N55" s="7" t="n">
        <v>51</v>
      </c>
      <c r="O55" s="7" t="n">
        <v>9</v>
      </c>
      <c r="P55" s="8" t="n">
        <v>28.8998211975655</v>
      </c>
      <c r="Q55" s="9" t="n">
        <v>0.0346022902067034</v>
      </c>
      <c r="R55" s="8" t="n">
        <v>9</v>
      </c>
      <c r="S55" s="12" t="n">
        <f aca="false">IF(AND(ISNUMBER(R55),R55&gt;1,P55&gt;0),R55/P55-1,"")</f>
        <v>-0.688579388139669</v>
      </c>
    </row>
    <row r="56" customFormat="false" ht="15" hidden="false" customHeight="false" outlineLevel="0" collapsed="false">
      <c r="A56" s="10" t="s">
        <v>246</v>
      </c>
      <c r="B56" s="10" t="s">
        <v>205</v>
      </c>
      <c r="C56" s="10" t="s">
        <v>247</v>
      </c>
      <c r="D56" s="10"/>
      <c r="E56" s="11" t="n">
        <v>8</v>
      </c>
      <c r="F56" s="10" t="s">
        <v>796</v>
      </c>
      <c r="G56" s="7" t="n">
        <v>17</v>
      </c>
      <c r="H56" s="10" t="s">
        <v>1089</v>
      </c>
      <c r="I56" s="10" t="s">
        <v>1062</v>
      </c>
      <c r="J56" s="10" t="s">
        <v>1090</v>
      </c>
      <c r="K56" s="7" t="n">
        <v>14</v>
      </c>
      <c r="L56" s="7" t="n">
        <v>54</v>
      </c>
      <c r="M56" s="7" t="n">
        <v>6</v>
      </c>
      <c r="N56" s="7" t="n">
        <v>24</v>
      </c>
      <c r="O56" s="7" t="n">
        <v>10</v>
      </c>
      <c r="P56" s="8" t="n">
        <v>33.6529068887946</v>
      </c>
      <c r="Q56" s="9" t="n">
        <v>0.0297151150509666</v>
      </c>
      <c r="R56" s="8" t="n">
        <v>26</v>
      </c>
      <c r="S56" s="12" t="n">
        <f aca="false">IF(AND(ISNUMBER(R56),R56&gt;1,P56&gt;0),R56/P56-1,"")</f>
        <v>-0.227407008674866</v>
      </c>
    </row>
    <row r="57" customFormat="false" ht="15" hidden="false" customHeight="false" outlineLevel="0" collapsed="false">
      <c r="A57" s="10" t="s">
        <v>246</v>
      </c>
      <c r="B57" s="10" t="s">
        <v>205</v>
      </c>
      <c r="C57" s="10" t="s">
        <v>247</v>
      </c>
      <c r="D57" s="10"/>
      <c r="E57" s="11" t="n">
        <v>8</v>
      </c>
      <c r="F57" s="10" t="s">
        <v>796</v>
      </c>
      <c r="G57" s="7" t="n">
        <v>17</v>
      </c>
      <c r="H57" s="10" t="s">
        <v>1091</v>
      </c>
      <c r="I57" s="10" t="s">
        <v>1092</v>
      </c>
      <c r="J57" s="10" t="s">
        <v>1019</v>
      </c>
      <c r="K57" s="7" t="n">
        <v>12</v>
      </c>
      <c r="L57" s="7" t="n">
        <v>51</v>
      </c>
      <c r="M57" s="7" t="n">
        <v>5</v>
      </c>
      <c r="N57" s="7" t="n">
        <v>15</v>
      </c>
      <c r="O57" s="7" t="n">
        <v>11</v>
      </c>
      <c r="P57" s="8" t="n">
        <v>42.301185786673</v>
      </c>
      <c r="Q57" s="9" t="n">
        <v>0.0236399992435921</v>
      </c>
      <c r="R57" s="8" t="n">
        <v>41</v>
      </c>
      <c r="S57" s="12" t="n">
        <f aca="false">IF(AND(ISNUMBER(R57),R57&gt;1,P57&gt;0),R57/P57-1,"")</f>
        <v>-0.0307600310127226</v>
      </c>
    </row>
    <row r="58" customFormat="false" ht="15" hidden="false" customHeight="false" outlineLevel="0" collapsed="false">
      <c r="A58" s="10" t="s">
        <v>246</v>
      </c>
      <c r="B58" s="10" t="s">
        <v>205</v>
      </c>
      <c r="C58" s="10" t="s">
        <v>247</v>
      </c>
      <c r="D58" s="10"/>
      <c r="E58" s="11" t="n">
        <v>8</v>
      </c>
      <c r="F58" s="10" t="s">
        <v>796</v>
      </c>
      <c r="G58" s="7" t="n">
        <v>17</v>
      </c>
      <c r="H58" s="10" t="s">
        <v>1093</v>
      </c>
      <c r="I58" s="10" t="s">
        <v>1055</v>
      </c>
      <c r="J58" s="10" t="s">
        <v>768</v>
      </c>
      <c r="K58" s="7" t="n">
        <v>1</v>
      </c>
      <c r="L58" s="7" t="n">
        <v>46</v>
      </c>
      <c r="M58" s="7" t="n">
        <v>4</v>
      </c>
      <c r="N58" s="7" t="n">
        <v>6</v>
      </c>
      <c r="O58" s="7" t="n">
        <v>12</v>
      </c>
      <c r="P58" s="8" t="n">
        <v>48.5220894394195</v>
      </c>
      <c r="Q58" s="9" t="n">
        <v>0.0206091702058402</v>
      </c>
      <c r="R58" s="8" t="n">
        <v>21</v>
      </c>
      <c r="S58" s="12" t="n">
        <f aca="false">IF(AND(ISNUMBER(R58),R58&gt;1,P58&gt;0),R58/P58-1,"")</f>
        <v>-0.567207425677355</v>
      </c>
    </row>
    <row r="59" customFormat="false" ht="15" hidden="false" customHeight="false" outlineLevel="0" collapsed="false">
      <c r="A59" s="10" t="s">
        <v>246</v>
      </c>
      <c r="B59" s="10" t="s">
        <v>205</v>
      </c>
      <c r="C59" s="10" t="s">
        <v>247</v>
      </c>
      <c r="D59" s="10"/>
      <c r="E59" s="11" t="n">
        <v>8</v>
      </c>
      <c r="F59" s="10" t="s">
        <v>796</v>
      </c>
      <c r="G59" s="7" t="n">
        <v>17</v>
      </c>
      <c r="H59" s="10" t="s">
        <v>1094</v>
      </c>
      <c r="I59" s="10" t="s">
        <v>1095</v>
      </c>
      <c r="J59" s="10" t="s">
        <v>1096</v>
      </c>
      <c r="K59" s="7" t="n">
        <v>13</v>
      </c>
      <c r="L59" s="7" t="n">
        <v>52</v>
      </c>
      <c r="M59" s="7" t="n">
        <v>3</v>
      </c>
      <c r="N59" s="7" t="n">
        <v>20</v>
      </c>
      <c r="O59" s="7" t="n">
        <v>13</v>
      </c>
      <c r="P59" s="8" t="n">
        <v>59.6129473563128</v>
      </c>
      <c r="Q59" s="9" t="n">
        <v>0.0167748793567091</v>
      </c>
      <c r="R59" s="8" t="n">
        <v>29</v>
      </c>
      <c r="S59" s="12" t="n">
        <f aca="false">IF(AND(ISNUMBER(R59),R59&gt;1,P59&gt;0),R59/P59-1,"")</f>
        <v>-0.513528498655435</v>
      </c>
    </row>
    <row r="60" customFormat="false" ht="15" hidden="false" customHeight="false" outlineLevel="0" collapsed="false">
      <c r="A60" s="10" t="s">
        <v>246</v>
      </c>
      <c r="B60" s="10" t="s">
        <v>205</v>
      </c>
      <c r="C60" s="10" t="s">
        <v>247</v>
      </c>
      <c r="D60" s="10"/>
      <c r="E60" s="11" t="n">
        <v>8</v>
      </c>
      <c r="F60" s="10" t="s">
        <v>796</v>
      </c>
      <c r="G60" s="7" t="n">
        <v>17</v>
      </c>
      <c r="H60" s="10" t="s">
        <v>1097</v>
      </c>
      <c r="I60" s="10" t="s">
        <v>358</v>
      </c>
      <c r="J60" s="10" t="s">
        <v>953</v>
      </c>
      <c r="K60" s="7" t="n">
        <v>11</v>
      </c>
      <c r="L60" s="7" t="n">
        <v>40</v>
      </c>
      <c r="M60" s="7" t="n">
        <v>8</v>
      </c>
      <c r="N60" s="7" t="n">
        <v>128</v>
      </c>
      <c r="O60" s="7" t="n">
        <v>14</v>
      </c>
      <c r="P60" s="8" t="n">
        <v>87.4179960340264</v>
      </c>
      <c r="Q60" s="9" t="n">
        <v>0.0114392921980362</v>
      </c>
      <c r="R60" s="8" t="n">
        <v>41</v>
      </c>
      <c r="S60" s="12" t="n">
        <f aca="false">IF(AND(ISNUMBER(R60),R60&gt;1,P60&gt;0),R60/P60-1,"")</f>
        <v>-0.530989019880515</v>
      </c>
    </row>
    <row r="61" customFormat="false" ht="15" hidden="false" customHeight="false" outlineLevel="0" collapsed="false">
      <c r="A61" s="10" t="s">
        <v>246</v>
      </c>
      <c r="B61" s="10" t="s">
        <v>205</v>
      </c>
      <c r="C61" s="10" t="s">
        <v>247</v>
      </c>
      <c r="D61" s="10"/>
      <c r="E61" s="11" t="n">
        <v>8</v>
      </c>
      <c r="F61" s="10" t="s">
        <v>796</v>
      </c>
      <c r="G61" s="7" t="n">
        <v>17</v>
      </c>
      <c r="H61" s="10" t="s">
        <v>1098</v>
      </c>
      <c r="I61" s="10" t="s">
        <v>1099</v>
      </c>
      <c r="J61" s="10" t="s">
        <v>1100</v>
      </c>
      <c r="K61" s="7" t="n">
        <v>2</v>
      </c>
      <c r="L61" s="7" t="n">
        <v>51</v>
      </c>
      <c r="M61" s="7" t="n">
        <v>5</v>
      </c>
      <c r="N61" s="7" t="n">
        <v>41</v>
      </c>
      <c r="O61" s="7" t="n">
        <v>15</v>
      </c>
      <c r="P61" s="8" t="n">
        <v>117.051947471832</v>
      </c>
      <c r="Q61" s="9" t="n">
        <v>0.0085432153979381</v>
      </c>
      <c r="R61" s="8" t="n">
        <v>51</v>
      </c>
      <c r="S61" s="12" t="n">
        <f aca="false">IF(AND(ISNUMBER(R61),R61&gt;1,P61&gt;0),R61/P61-1,"")</f>
        <v>-0.564296014705157</v>
      </c>
    </row>
    <row r="62" customFormat="false" ht="15" hidden="false" customHeight="false" outlineLevel="0" collapsed="false">
      <c r="A62" s="10" t="s">
        <v>246</v>
      </c>
      <c r="B62" s="10" t="s">
        <v>205</v>
      </c>
      <c r="C62" s="10" t="s">
        <v>247</v>
      </c>
      <c r="D62" s="10"/>
      <c r="E62" s="11" t="n">
        <v>8</v>
      </c>
      <c r="F62" s="10" t="s">
        <v>796</v>
      </c>
      <c r="G62" s="7" t="n">
        <v>17</v>
      </c>
      <c r="H62" s="10" t="s">
        <v>1101</v>
      </c>
      <c r="I62" s="10" t="s">
        <v>358</v>
      </c>
      <c r="J62" s="10" t="s">
        <v>1001</v>
      </c>
      <c r="K62" s="7" t="n">
        <v>7</v>
      </c>
      <c r="L62" s="7" t="n">
        <v>46</v>
      </c>
      <c r="M62" s="7" t="n">
        <v>3</v>
      </c>
      <c r="N62" s="7" t="n">
        <v>10</v>
      </c>
      <c r="O62" s="7" t="n">
        <v>16</v>
      </c>
      <c r="P62" s="8" t="n">
        <v>136.900591426569</v>
      </c>
      <c r="Q62" s="9" t="n">
        <v>0.0073045703424618</v>
      </c>
      <c r="R62" s="8" t="n">
        <v>21</v>
      </c>
      <c r="S62" s="12" t="n">
        <f aca="false">IF(AND(ISNUMBER(R62),R62&gt;1,P62&gt;0),R62/P62-1,"")</f>
        <v>-0.846604022808301</v>
      </c>
    </row>
    <row r="63" customFormat="false" ht="15" hidden="false" customHeight="false" outlineLevel="0" collapsed="false">
      <c r="A63" s="10" t="s">
        <v>246</v>
      </c>
      <c r="B63" s="10" t="s">
        <v>205</v>
      </c>
      <c r="C63" s="10" t="s">
        <v>247</v>
      </c>
      <c r="D63" s="10"/>
      <c r="E63" s="11" t="n">
        <v>8</v>
      </c>
      <c r="F63" s="10" t="s">
        <v>796</v>
      </c>
      <c r="G63" s="7" t="n">
        <v>17</v>
      </c>
      <c r="H63" s="10" t="s">
        <v>1102</v>
      </c>
      <c r="I63" s="10" t="s">
        <v>1103</v>
      </c>
      <c r="J63" s="10" t="s">
        <v>1104</v>
      </c>
      <c r="K63" s="7" t="n">
        <v>16</v>
      </c>
      <c r="L63" s="7" t="n">
        <v>49</v>
      </c>
      <c r="M63" s="7" t="n">
        <v>8</v>
      </c>
      <c r="N63" s="7" t="n">
        <v>44</v>
      </c>
      <c r="O63" s="7" t="n">
        <v>17</v>
      </c>
      <c r="P63" s="8" t="n">
        <v>168.203405345543</v>
      </c>
      <c r="Q63" s="9" t="n">
        <v>0.0059451828454107</v>
      </c>
      <c r="R63" s="8" t="n">
        <v>51</v>
      </c>
      <c r="S63" s="12" t="n">
        <f aca="false">IF(AND(ISNUMBER(R63),R63&gt;1,P63&gt;0),R63/P63-1,"")</f>
        <v>-0.69679567488405</v>
      </c>
    </row>
    <row r="64" customFormat="false" ht="15" hidden="false" customHeight="false" outlineLevel="0" collapsed="false">
      <c r="A64" s="10" t="s">
        <v>256</v>
      </c>
      <c r="B64" s="10" t="s">
        <v>205</v>
      </c>
      <c r="C64" s="10" t="s">
        <v>257</v>
      </c>
      <c r="D64" s="10"/>
      <c r="E64" s="11" t="n">
        <v>10.5</v>
      </c>
      <c r="F64" s="10" t="s">
        <v>796</v>
      </c>
      <c r="G64" s="7" t="n">
        <v>7</v>
      </c>
      <c r="H64" s="10" t="s">
        <v>258</v>
      </c>
      <c r="I64" s="10" t="s">
        <v>259</v>
      </c>
      <c r="J64" s="10" t="s">
        <v>260</v>
      </c>
      <c r="K64" s="7" t="n">
        <v>4</v>
      </c>
      <c r="L64" s="7" t="n">
        <v>112</v>
      </c>
      <c r="M64" s="7" t="n">
        <v>3</v>
      </c>
      <c r="N64" s="7" t="n">
        <v>34</v>
      </c>
      <c r="O64" s="7" t="n">
        <v>1</v>
      </c>
      <c r="P64" s="8" t="n">
        <v>2.7029906238106</v>
      </c>
      <c r="Q64" s="9" t="n">
        <v>0.369960587798942</v>
      </c>
      <c r="R64" s="8" t="n">
        <v>2.5</v>
      </c>
      <c r="S64" s="12" t="n">
        <f aca="false">IF(AND(ISNUMBER(R64),R64&gt;1,P64&gt;0),R64/P64-1,"")</f>
        <v>-0.0750985305026446</v>
      </c>
    </row>
    <row r="65" customFormat="false" ht="15" hidden="false" customHeight="false" outlineLevel="0" collapsed="false">
      <c r="A65" s="10" t="s">
        <v>256</v>
      </c>
      <c r="B65" s="10" t="s">
        <v>205</v>
      </c>
      <c r="C65" s="10" t="s">
        <v>257</v>
      </c>
      <c r="D65" s="10"/>
      <c r="E65" s="11" t="n">
        <v>10.5</v>
      </c>
      <c r="F65" s="10" t="s">
        <v>796</v>
      </c>
      <c r="G65" s="7" t="n">
        <v>7</v>
      </c>
      <c r="H65" s="10" t="s">
        <v>261</v>
      </c>
      <c r="I65" s="10" t="s">
        <v>249</v>
      </c>
      <c r="J65" s="10" t="s">
        <v>96</v>
      </c>
      <c r="K65" s="7" t="n">
        <v>2</v>
      </c>
      <c r="L65" s="7" t="n">
        <v>111</v>
      </c>
      <c r="M65" s="7" t="n">
        <v>6</v>
      </c>
      <c r="N65" s="7" t="n">
        <v>398</v>
      </c>
      <c r="O65" s="7" t="n">
        <v>2</v>
      </c>
      <c r="P65" s="8" t="n">
        <v>3.23053855962163</v>
      </c>
      <c r="Q65" s="9" t="n">
        <v>0.309545910548463</v>
      </c>
      <c r="R65" s="8" t="n">
        <v>1.90909090909091</v>
      </c>
      <c r="S65" s="12" t="n">
        <f aca="false">IF(AND(ISNUMBER(R65),R65&gt;1,P65&gt;0),R65/P65-1,"")</f>
        <v>-0.409048716225661</v>
      </c>
    </row>
    <row r="66" customFormat="false" ht="15" hidden="false" customHeight="false" outlineLevel="0" collapsed="false">
      <c r="A66" s="10" t="s">
        <v>256</v>
      </c>
      <c r="B66" s="10" t="s">
        <v>205</v>
      </c>
      <c r="C66" s="10" t="s">
        <v>257</v>
      </c>
      <c r="D66" s="10"/>
      <c r="E66" s="11" t="n">
        <v>10.5</v>
      </c>
      <c r="F66" s="10" t="s">
        <v>796</v>
      </c>
      <c r="G66" s="7" t="n">
        <v>7</v>
      </c>
      <c r="H66" s="10" t="s">
        <v>1118</v>
      </c>
      <c r="I66" s="10" t="s">
        <v>1044</v>
      </c>
      <c r="J66" s="10" t="s">
        <v>1045</v>
      </c>
      <c r="K66" s="7" t="n">
        <v>5</v>
      </c>
      <c r="L66" s="7" t="n">
        <v>103</v>
      </c>
      <c r="M66" s="7" t="n">
        <v>3</v>
      </c>
      <c r="N66" s="7" t="n">
        <v>13</v>
      </c>
      <c r="O66" s="7" t="n">
        <v>3</v>
      </c>
      <c r="P66" s="8" t="n">
        <v>8.09061024013682</v>
      </c>
      <c r="Q66" s="9" t="n">
        <v>0.12360007098588</v>
      </c>
      <c r="R66" s="8" t="n">
        <v>7.5</v>
      </c>
      <c r="S66" s="12" t="n">
        <f aca="false">IF(AND(ISNUMBER(R66),R66&gt;1,P66&gt;0),R66/P66-1,"")</f>
        <v>-0.0729994676058992</v>
      </c>
    </row>
    <row r="67" customFormat="false" ht="15" hidden="false" customHeight="false" outlineLevel="0" collapsed="false">
      <c r="A67" s="10" t="s">
        <v>256</v>
      </c>
      <c r="B67" s="10" t="s">
        <v>205</v>
      </c>
      <c r="C67" s="10" t="s">
        <v>257</v>
      </c>
      <c r="D67" s="10"/>
      <c r="E67" s="11" t="n">
        <v>10.5</v>
      </c>
      <c r="F67" s="10" t="s">
        <v>796</v>
      </c>
      <c r="G67" s="7" t="n">
        <v>7</v>
      </c>
      <c r="H67" s="10" t="s">
        <v>1119</v>
      </c>
      <c r="I67" s="10" t="s">
        <v>1120</v>
      </c>
      <c r="J67" s="10" t="s">
        <v>964</v>
      </c>
      <c r="K67" s="7" t="n">
        <v>3</v>
      </c>
      <c r="L67" s="7" t="n">
        <v>89</v>
      </c>
      <c r="M67" s="7" t="n">
        <v>4</v>
      </c>
      <c r="N67" s="7" t="n">
        <v>7</v>
      </c>
      <c r="O67" s="7" t="n">
        <v>4</v>
      </c>
      <c r="P67" s="8" t="n">
        <v>10.2095966868486</v>
      </c>
      <c r="Q67" s="9" t="n">
        <v>0.0979470620311713</v>
      </c>
      <c r="R67" s="8" t="n">
        <v>26</v>
      </c>
      <c r="S67" s="12" t="n">
        <f aca="false">IF(AND(ISNUMBER(R67),R67&gt;1,P67&gt;0),R67/P67-1,"")</f>
        <v>1.54662361281045</v>
      </c>
    </row>
    <row r="68" customFormat="false" ht="15" hidden="false" customHeight="false" outlineLevel="0" collapsed="false">
      <c r="A68" s="10" t="s">
        <v>256</v>
      </c>
      <c r="B68" s="10" t="s">
        <v>205</v>
      </c>
      <c r="C68" s="10" t="s">
        <v>257</v>
      </c>
      <c r="D68" s="10"/>
      <c r="E68" s="11" t="n">
        <v>10.5</v>
      </c>
      <c r="F68" s="10" t="s">
        <v>796</v>
      </c>
      <c r="G68" s="7" t="n">
        <v>7</v>
      </c>
      <c r="H68" s="10" t="s">
        <v>1121</v>
      </c>
      <c r="I68" s="10" t="s">
        <v>1099</v>
      </c>
      <c r="J68" s="10" t="s">
        <v>1122</v>
      </c>
      <c r="K68" s="7" t="n">
        <v>6</v>
      </c>
      <c r="L68" s="7" t="n">
        <v>99</v>
      </c>
      <c r="M68" s="7" t="n">
        <v>4</v>
      </c>
      <c r="N68" s="7" t="n">
        <v>44</v>
      </c>
      <c r="O68" s="7" t="n">
        <v>5</v>
      </c>
      <c r="P68" s="8" t="n">
        <v>15.9534981029401</v>
      </c>
      <c r="Q68" s="9" t="n">
        <v>0.06268217751038</v>
      </c>
      <c r="R68" s="8" t="n">
        <v>17</v>
      </c>
      <c r="S68" s="12" t="n">
        <f aca="false">IF(AND(ISNUMBER(R68),R68&gt;1,P68&gt;0),R68/P68-1,"")</f>
        <v>0.0655970176764606</v>
      </c>
    </row>
    <row r="69" customFormat="false" ht="15" hidden="false" customHeight="false" outlineLevel="0" collapsed="false">
      <c r="A69" s="10" t="s">
        <v>256</v>
      </c>
      <c r="B69" s="10" t="s">
        <v>205</v>
      </c>
      <c r="C69" s="10" t="s">
        <v>257</v>
      </c>
      <c r="D69" s="10"/>
      <c r="E69" s="11" t="n">
        <v>10.5</v>
      </c>
      <c r="F69" s="10" t="s">
        <v>796</v>
      </c>
      <c r="G69" s="7" t="n">
        <v>7</v>
      </c>
      <c r="H69" s="10" t="s">
        <v>1123</v>
      </c>
      <c r="I69" s="10" t="s">
        <v>1124</v>
      </c>
      <c r="J69" s="10" t="s">
        <v>128</v>
      </c>
      <c r="K69" s="7" t="n">
        <v>7</v>
      </c>
      <c r="L69" s="7" t="n">
        <v>88</v>
      </c>
      <c r="M69" s="7" t="n">
        <v>4</v>
      </c>
      <c r="N69" s="7" t="n">
        <v>17</v>
      </c>
      <c r="O69" s="7" t="n">
        <v>6</v>
      </c>
      <c r="P69" s="8" t="n">
        <v>34.1900412501818</v>
      </c>
      <c r="Q69" s="9" t="n">
        <v>0.0292482829336944</v>
      </c>
      <c r="R69" s="8" t="n">
        <v>34</v>
      </c>
      <c r="S69" s="12" t="n">
        <f aca="false">IF(AND(ISNUMBER(R69),R69&gt;1,P69&gt;0),R69/P69-1,"")</f>
        <v>-0.00555838025439004</v>
      </c>
    </row>
    <row r="70" customFormat="false" ht="15" hidden="false" customHeight="false" outlineLevel="0" collapsed="false">
      <c r="A70" s="10" t="s">
        <v>256</v>
      </c>
      <c r="B70" s="10" t="s">
        <v>205</v>
      </c>
      <c r="C70" s="10" t="s">
        <v>257</v>
      </c>
      <c r="D70" s="10"/>
      <c r="E70" s="11" t="n">
        <v>10.5</v>
      </c>
      <c r="F70" s="10" t="s">
        <v>796</v>
      </c>
      <c r="G70" s="7" t="n">
        <v>7</v>
      </c>
      <c r="H70" s="10" t="s">
        <v>1125</v>
      </c>
      <c r="I70" s="10" t="s">
        <v>1055</v>
      </c>
      <c r="J70" s="10" t="s">
        <v>1004</v>
      </c>
      <c r="K70" s="7" t="n">
        <v>1</v>
      </c>
      <c r="L70" s="7" t="n">
        <v>91</v>
      </c>
      <c r="M70" s="7" t="n">
        <v>4</v>
      </c>
      <c r="N70" s="7" t="n">
        <v>12</v>
      </c>
      <c r="O70" s="7" t="n">
        <v>7</v>
      </c>
      <c r="P70" s="8" t="n">
        <v>142.533222030472</v>
      </c>
      <c r="Q70" s="9" t="n">
        <v>0.0070159081914686</v>
      </c>
      <c r="R70" s="8" t="n">
        <v>81</v>
      </c>
      <c r="S70" s="12" t="n">
        <f aca="false">IF(AND(ISNUMBER(R70),R70&gt;1,P70&gt;0),R70/P70-1,"")</f>
        <v>-0.431711436491043</v>
      </c>
    </row>
    <row r="71" customFormat="false" ht="15" hidden="false" customHeight="false" outlineLevel="0" collapsed="false">
      <c r="A71" s="10" t="s">
        <v>268</v>
      </c>
      <c r="B71" s="10" t="s">
        <v>205</v>
      </c>
      <c r="C71" s="10" t="s">
        <v>269</v>
      </c>
      <c r="D71" s="10"/>
      <c r="E71" s="11" t="n">
        <v>10.5</v>
      </c>
      <c r="F71" s="10" t="s">
        <v>796</v>
      </c>
      <c r="G71" s="7" t="n">
        <v>17</v>
      </c>
      <c r="H71" s="10" t="s">
        <v>270</v>
      </c>
      <c r="I71" s="10" t="s">
        <v>259</v>
      </c>
      <c r="J71" s="10" t="s">
        <v>260</v>
      </c>
      <c r="K71" s="7" t="n">
        <v>1</v>
      </c>
      <c r="L71" s="7" t="n">
        <v>78</v>
      </c>
      <c r="M71" s="7" t="n">
        <v>3</v>
      </c>
      <c r="N71" s="7" t="n">
        <v>31</v>
      </c>
      <c r="O71" s="7" t="n">
        <v>1</v>
      </c>
      <c r="P71" s="8" t="n">
        <v>6.65045822809723</v>
      </c>
      <c r="Q71" s="9" t="n">
        <v>0.150365578686765</v>
      </c>
      <c r="R71" s="8" t="n">
        <v>4.33333333333333</v>
      </c>
      <c r="S71" s="12" t="n">
        <f aca="false">IF(AND(ISNUMBER(R71),R71&gt;1,P71&gt;0),R71/P71-1,"")</f>
        <v>-0.348415825690683</v>
      </c>
    </row>
    <row r="72" customFormat="false" ht="15" hidden="false" customHeight="false" outlineLevel="0" collapsed="false">
      <c r="A72" s="10" t="s">
        <v>268</v>
      </c>
      <c r="B72" s="10" t="s">
        <v>205</v>
      </c>
      <c r="C72" s="10" t="s">
        <v>269</v>
      </c>
      <c r="D72" s="10"/>
      <c r="E72" s="11" t="n">
        <v>10.5</v>
      </c>
      <c r="F72" s="10" t="s">
        <v>796</v>
      </c>
      <c r="G72" s="7" t="n">
        <v>17</v>
      </c>
      <c r="H72" s="10" t="s">
        <v>271</v>
      </c>
      <c r="I72" s="10" t="s">
        <v>249</v>
      </c>
      <c r="J72" s="10" t="s">
        <v>250</v>
      </c>
      <c r="K72" s="7" t="n">
        <v>10</v>
      </c>
      <c r="L72" s="7" t="n">
        <v>69</v>
      </c>
      <c r="M72" s="7" t="n">
        <v>5</v>
      </c>
      <c r="N72" s="7" t="n">
        <v>9</v>
      </c>
      <c r="O72" s="7" t="n">
        <v>2</v>
      </c>
      <c r="P72" s="8" t="n">
        <v>7.16139590550262</v>
      </c>
      <c r="Q72" s="9" t="n">
        <v>0.139637580884423</v>
      </c>
      <c r="R72" s="8" t="n">
        <v>8.5</v>
      </c>
      <c r="S72" s="12" t="n">
        <f aca="false">IF(AND(ISNUMBER(R72),R72&gt;1,P72&gt;0),R72/P72-1,"")</f>
        <v>0.186919437517598</v>
      </c>
    </row>
    <row r="73" customFormat="false" ht="15" hidden="false" customHeight="false" outlineLevel="0" collapsed="false">
      <c r="A73" s="10" t="s">
        <v>268</v>
      </c>
      <c r="B73" s="10" t="s">
        <v>205</v>
      </c>
      <c r="C73" s="10" t="s">
        <v>269</v>
      </c>
      <c r="D73" s="10"/>
      <c r="E73" s="11" t="n">
        <v>10.5</v>
      </c>
      <c r="F73" s="10" t="s">
        <v>796</v>
      </c>
      <c r="G73" s="7" t="n">
        <v>17</v>
      </c>
      <c r="H73" s="10" t="s">
        <v>1139</v>
      </c>
      <c r="I73" s="10" t="s">
        <v>943</v>
      </c>
      <c r="J73" s="10" t="s">
        <v>944</v>
      </c>
      <c r="K73" s="7" t="n">
        <v>2</v>
      </c>
      <c r="L73" s="7" t="n">
        <v>81</v>
      </c>
      <c r="M73" s="7" t="n">
        <v>6</v>
      </c>
      <c r="N73" s="7" t="n">
        <v>27</v>
      </c>
      <c r="O73" s="7" t="n">
        <v>3</v>
      </c>
      <c r="P73" s="8" t="n">
        <v>10.6647703783567</v>
      </c>
      <c r="Q73" s="9" t="n">
        <v>0.0937666695599394</v>
      </c>
      <c r="R73" s="8" t="n">
        <v>6.5</v>
      </c>
      <c r="S73" s="12" t="n">
        <f aca="false">IF(AND(ISNUMBER(R73),R73&gt;1,P73&gt;0),R73/P73-1,"")</f>
        <v>-0.390516647860394</v>
      </c>
    </row>
    <row r="74" customFormat="false" ht="15" hidden="false" customHeight="false" outlineLevel="0" collapsed="false">
      <c r="A74" s="10" t="s">
        <v>268</v>
      </c>
      <c r="B74" s="10" t="s">
        <v>205</v>
      </c>
      <c r="C74" s="10" t="s">
        <v>269</v>
      </c>
      <c r="D74" s="10"/>
      <c r="E74" s="11" t="n">
        <v>10.5</v>
      </c>
      <c r="F74" s="10" t="s">
        <v>796</v>
      </c>
      <c r="G74" s="7" t="n">
        <v>17</v>
      </c>
      <c r="H74" s="10" t="s">
        <v>1140</v>
      </c>
      <c r="I74" s="10" t="s">
        <v>1079</v>
      </c>
      <c r="J74" s="10" t="s">
        <v>128</v>
      </c>
      <c r="K74" s="7" t="n">
        <v>12</v>
      </c>
      <c r="L74" s="7" t="n">
        <v>77</v>
      </c>
      <c r="M74" s="7" t="n">
        <v>5</v>
      </c>
      <c r="N74" s="7" t="n">
        <v>7</v>
      </c>
      <c r="O74" s="7" t="n">
        <v>4</v>
      </c>
      <c r="P74" s="8" t="n">
        <v>10.9381394555401</v>
      </c>
      <c r="Q74" s="9" t="n">
        <v>0.091423226414754</v>
      </c>
      <c r="R74" s="8" t="n">
        <v>9</v>
      </c>
      <c r="S74" s="12" t="n">
        <f aca="false">IF(AND(ISNUMBER(R74),R74&gt;1,P74&gt;0),R74/P74-1,"")</f>
        <v>-0.177190962267213</v>
      </c>
    </row>
    <row r="75" customFormat="false" ht="15" hidden="false" customHeight="false" outlineLevel="0" collapsed="false">
      <c r="A75" s="10" t="s">
        <v>268</v>
      </c>
      <c r="B75" s="10" t="s">
        <v>205</v>
      </c>
      <c r="C75" s="10" t="s">
        <v>269</v>
      </c>
      <c r="D75" s="10"/>
      <c r="E75" s="11" t="n">
        <v>10.5</v>
      </c>
      <c r="F75" s="10" t="s">
        <v>796</v>
      </c>
      <c r="G75" s="7" t="n">
        <v>17</v>
      </c>
      <c r="H75" s="10" t="s">
        <v>1141</v>
      </c>
      <c r="I75" s="10" t="s">
        <v>208</v>
      </c>
      <c r="J75" s="10" t="s">
        <v>209</v>
      </c>
      <c r="K75" s="7" t="n">
        <v>11</v>
      </c>
      <c r="L75" s="7" t="n">
        <v>75</v>
      </c>
      <c r="M75" s="7" t="n">
        <v>3</v>
      </c>
      <c r="N75" s="7" t="n">
        <v>20</v>
      </c>
      <c r="O75" s="7" t="n">
        <v>5</v>
      </c>
      <c r="P75" s="8" t="n">
        <v>11.0706522043733</v>
      </c>
      <c r="Q75" s="9" t="n">
        <v>0.090328914822648</v>
      </c>
      <c r="R75" s="8" t="n">
        <v>7.5</v>
      </c>
      <c r="S75" s="12" t="n">
        <f aca="false">IF(AND(ISNUMBER(R75),R75&gt;1,P75&gt;0),R75/P75-1,"")</f>
        <v>-0.32253313883014</v>
      </c>
    </row>
    <row r="76" customFormat="false" ht="15" hidden="false" customHeight="false" outlineLevel="0" collapsed="false">
      <c r="A76" s="10" t="s">
        <v>268</v>
      </c>
      <c r="B76" s="10" t="s">
        <v>205</v>
      </c>
      <c r="C76" s="10" t="s">
        <v>269</v>
      </c>
      <c r="D76" s="10"/>
      <c r="E76" s="11" t="n">
        <v>10.5</v>
      </c>
      <c r="F76" s="10" t="s">
        <v>796</v>
      </c>
      <c r="G76" s="7" t="n">
        <v>17</v>
      </c>
      <c r="H76" s="10" t="s">
        <v>1142</v>
      </c>
      <c r="I76" s="10" t="s">
        <v>926</v>
      </c>
      <c r="J76" s="10" t="s">
        <v>1143</v>
      </c>
      <c r="K76" s="7" t="n">
        <v>9</v>
      </c>
      <c r="L76" s="7" t="n">
        <v>75</v>
      </c>
      <c r="M76" s="7" t="n">
        <v>3</v>
      </c>
      <c r="N76" s="7" t="n">
        <v>53</v>
      </c>
      <c r="O76" s="7" t="n">
        <v>6</v>
      </c>
      <c r="P76" s="8" t="n">
        <v>15.2571619401021</v>
      </c>
      <c r="Q76" s="9" t="n">
        <v>0.0655429891827777</v>
      </c>
      <c r="R76" s="8" t="n">
        <v>8</v>
      </c>
      <c r="S76" s="12" t="n">
        <f aca="false">IF(AND(ISNUMBER(R76),R76&gt;1,P76&gt;0),R76/P76-1,"")</f>
        <v>-0.475656086537778</v>
      </c>
    </row>
    <row r="77" customFormat="false" ht="15" hidden="false" customHeight="false" outlineLevel="0" collapsed="false">
      <c r="A77" s="10" t="s">
        <v>268</v>
      </c>
      <c r="B77" s="10" t="s">
        <v>205</v>
      </c>
      <c r="C77" s="10" t="s">
        <v>269</v>
      </c>
      <c r="D77" s="10"/>
      <c r="E77" s="11" t="n">
        <v>10.5</v>
      </c>
      <c r="F77" s="10" t="s">
        <v>796</v>
      </c>
      <c r="G77" s="7" t="n">
        <v>17</v>
      </c>
      <c r="H77" s="10" t="s">
        <v>1144</v>
      </c>
      <c r="I77" s="10" t="s">
        <v>358</v>
      </c>
      <c r="J77" s="10" t="s">
        <v>280</v>
      </c>
      <c r="K77" s="7" t="n">
        <v>17</v>
      </c>
      <c r="L77" s="7" t="n">
        <v>83</v>
      </c>
      <c r="M77" s="7" t="n">
        <v>3</v>
      </c>
      <c r="N77" s="7" t="n">
        <v>44</v>
      </c>
      <c r="O77" s="7" t="n">
        <v>7</v>
      </c>
      <c r="P77" s="8" t="n">
        <v>15.4307963022338</v>
      </c>
      <c r="Q77" s="9" t="n">
        <v>0.0648054695566967</v>
      </c>
      <c r="R77" s="8" t="n">
        <v>10</v>
      </c>
      <c r="S77" s="12" t="n">
        <f aca="false">IF(AND(ISNUMBER(R77),R77&gt;1,P77&gt;0),R77/P77-1,"")</f>
        <v>-0.351945304433033</v>
      </c>
    </row>
    <row r="78" customFormat="false" ht="15" hidden="false" customHeight="false" outlineLevel="0" collapsed="false">
      <c r="A78" s="10" t="s">
        <v>268</v>
      </c>
      <c r="B78" s="10" t="s">
        <v>205</v>
      </c>
      <c r="C78" s="10" t="s">
        <v>269</v>
      </c>
      <c r="D78" s="10"/>
      <c r="E78" s="11" t="n">
        <v>10.5</v>
      </c>
      <c r="F78" s="10" t="s">
        <v>796</v>
      </c>
      <c r="G78" s="7" t="n">
        <v>17</v>
      </c>
      <c r="H78" s="10" t="s">
        <v>1145</v>
      </c>
      <c r="I78" s="10" t="s">
        <v>939</v>
      </c>
      <c r="J78" s="10" t="s">
        <v>1049</v>
      </c>
      <c r="K78" s="7" t="n">
        <v>4</v>
      </c>
      <c r="L78" s="7" t="n">
        <v>68</v>
      </c>
      <c r="M78" s="7" t="n">
        <v>3</v>
      </c>
      <c r="N78" s="7" t="n">
        <v>21</v>
      </c>
      <c r="O78" s="7" t="n">
        <v>8</v>
      </c>
      <c r="P78" s="8" t="n">
        <v>16.1033497402822</v>
      </c>
      <c r="Q78" s="9" t="n">
        <v>0.0620988810482404</v>
      </c>
      <c r="R78" s="8" t="n">
        <v>15</v>
      </c>
      <c r="S78" s="12" t="n">
        <f aca="false">IF(AND(ISNUMBER(R78),R78&gt;1,P78&gt;0),R78/P78-1,"")</f>
        <v>-0.0685167842763926</v>
      </c>
    </row>
    <row r="79" customFormat="false" ht="15" hidden="false" customHeight="false" outlineLevel="0" collapsed="false">
      <c r="A79" s="10" t="s">
        <v>268</v>
      </c>
      <c r="B79" s="10" t="s">
        <v>205</v>
      </c>
      <c r="C79" s="10" t="s">
        <v>269</v>
      </c>
      <c r="D79" s="10"/>
      <c r="E79" s="11" t="n">
        <v>10.5</v>
      </c>
      <c r="F79" s="10" t="s">
        <v>796</v>
      </c>
      <c r="G79" s="7" t="n">
        <v>17</v>
      </c>
      <c r="H79" s="10" t="s">
        <v>1146</v>
      </c>
      <c r="I79" s="10" t="s">
        <v>952</v>
      </c>
      <c r="J79" s="10" t="s">
        <v>1147</v>
      </c>
      <c r="K79" s="7" t="n">
        <v>5</v>
      </c>
      <c r="L79" s="7" t="n">
        <v>76</v>
      </c>
      <c r="M79" s="7" t="n">
        <v>6</v>
      </c>
      <c r="N79" s="7" t="n">
        <v>9</v>
      </c>
      <c r="O79" s="7" t="n">
        <v>9</v>
      </c>
      <c r="P79" s="8" t="n">
        <v>17.1448350644832</v>
      </c>
      <c r="Q79" s="9" t="n">
        <v>0.0583266036820369</v>
      </c>
      <c r="R79" s="8" t="n">
        <v>9</v>
      </c>
      <c r="S79" s="12" t="n">
        <f aca="false">IF(AND(ISNUMBER(R79),R79&gt;1,P79&gt;0),R79/P79-1,"")</f>
        <v>-0.475060566861668</v>
      </c>
    </row>
    <row r="80" customFormat="false" ht="15" hidden="false" customHeight="false" outlineLevel="0" collapsed="false">
      <c r="A80" s="10" t="s">
        <v>268</v>
      </c>
      <c r="B80" s="10" t="s">
        <v>205</v>
      </c>
      <c r="C80" s="10" t="s">
        <v>269</v>
      </c>
      <c r="D80" s="10"/>
      <c r="E80" s="11" t="n">
        <v>10.5</v>
      </c>
      <c r="F80" s="10" t="s">
        <v>796</v>
      </c>
      <c r="G80" s="7" t="n">
        <v>17</v>
      </c>
      <c r="H80" s="10" t="s">
        <v>1148</v>
      </c>
      <c r="I80" s="10" t="s">
        <v>922</v>
      </c>
      <c r="J80" s="10" t="s">
        <v>280</v>
      </c>
      <c r="K80" s="7" t="n">
        <v>16</v>
      </c>
      <c r="L80" s="7" t="n">
        <v>76</v>
      </c>
      <c r="M80" s="7" t="n">
        <v>4</v>
      </c>
      <c r="N80" s="7" t="n">
        <v>41</v>
      </c>
      <c r="O80" s="7" t="n">
        <v>10</v>
      </c>
      <c r="P80" s="8" t="n">
        <v>20.8189348616007</v>
      </c>
      <c r="Q80" s="9" t="n">
        <v>0.0480331970222184</v>
      </c>
      <c r="R80" s="8" t="n">
        <v>21</v>
      </c>
      <c r="S80" s="12" t="n">
        <f aca="false">IF(AND(ISNUMBER(R80),R80&gt;1,P80&gt;0),R80/P80-1,"")</f>
        <v>0.0086971374665874</v>
      </c>
    </row>
    <row r="81" customFormat="false" ht="15" hidden="false" customHeight="false" outlineLevel="0" collapsed="false">
      <c r="A81" s="10" t="s">
        <v>268</v>
      </c>
      <c r="B81" s="10" t="s">
        <v>205</v>
      </c>
      <c r="C81" s="10" t="s">
        <v>269</v>
      </c>
      <c r="D81" s="10"/>
      <c r="E81" s="11" t="n">
        <v>10.5</v>
      </c>
      <c r="F81" s="10" t="s">
        <v>796</v>
      </c>
      <c r="G81" s="7" t="n">
        <v>17</v>
      </c>
      <c r="H81" s="10" t="s">
        <v>1149</v>
      </c>
      <c r="I81" s="10" t="s">
        <v>1150</v>
      </c>
      <c r="J81" s="10" t="s">
        <v>964</v>
      </c>
      <c r="K81" s="7" t="n">
        <v>7</v>
      </c>
      <c r="L81" s="7" t="n">
        <v>75</v>
      </c>
      <c r="M81" s="7" t="n">
        <v>3</v>
      </c>
      <c r="N81" s="7" t="n">
        <v>25</v>
      </c>
      <c r="O81" s="7" t="n">
        <v>11</v>
      </c>
      <c r="P81" s="8" t="n">
        <v>25.5517351246795</v>
      </c>
      <c r="Q81" s="9" t="n">
        <v>0.0391362854663493</v>
      </c>
      <c r="R81" s="8" t="n">
        <v>13</v>
      </c>
      <c r="S81" s="12" t="n">
        <f aca="false">IF(AND(ISNUMBER(R81),R81&gt;1,P81&gt;0),R81/P81-1,"")</f>
        <v>-0.491228288937459</v>
      </c>
    </row>
    <row r="82" customFormat="false" ht="15" hidden="false" customHeight="false" outlineLevel="0" collapsed="false">
      <c r="A82" s="10" t="s">
        <v>268</v>
      </c>
      <c r="B82" s="10" t="s">
        <v>205</v>
      </c>
      <c r="C82" s="10" t="s">
        <v>269</v>
      </c>
      <c r="D82" s="10"/>
      <c r="E82" s="11" t="n">
        <v>10.5</v>
      </c>
      <c r="F82" s="10" t="s">
        <v>796</v>
      </c>
      <c r="G82" s="7" t="n">
        <v>17</v>
      </c>
      <c r="H82" s="10" t="s">
        <v>1151</v>
      </c>
      <c r="I82" s="10" t="s">
        <v>1044</v>
      </c>
      <c r="J82" s="10" t="s">
        <v>1152</v>
      </c>
      <c r="K82" s="7" t="n">
        <v>15</v>
      </c>
      <c r="L82" s="7" t="n">
        <v>80</v>
      </c>
      <c r="M82" s="7" t="n">
        <v>4</v>
      </c>
      <c r="N82" s="7" t="n">
        <v>107</v>
      </c>
      <c r="O82" s="7" t="n">
        <v>12</v>
      </c>
      <c r="P82" s="8" t="n">
        <v>26.7031185155874</v>
      </c>
      <c r="Q82" s="9" t="n">
        <v>0.0374488095619345</v>
      </c>
      <c r="R82" s="8" t="n">
        <v>21</v>
      </c>
      <c r="S82" s="12" t="n">
        <f aca="false">IF(AND(ISNUMBER(R82),R82&gt;1,P82&gt;0),R82/P82-1,"")</f>
        <v>-0.213574999199375</v>
      </c>
    </row>
    <row r="83" customFormat="false" ht="15" hidden="false" customHeight="false" outlineLevel="0" collapsed="false">
      <c r="A83" s="10" t="s">
        <v>268</v>
      </c>
      <c r="B83" s="10" t="s">
        <v>205</v>
      </c>
      <c r="C83" s="10" t="s">
        <v>269</v>
      </c>
      <c r="D83" s="10"/>
      <c r="E83" s="11" t="n">
        <v>10.5</v>
      </c>
      <c r="F83" s="10" t="s">
        <v>796</v>
      </c>
      <c r="G83" s="7" t="n">
        <v>17</v>
      </c>
      <c r="H83" s="10" t="s">
        <v>1153</v>
      </c>
      <c r="I83" s="10" t="s">
        <v>1154</v>
      </c>
      <c r="J83" s="10" t="s">
        <v>1155</v>
      </c>
      <c r="K83" s="7" t="n">
        <v>8</v>
      </c>
      <c r="L83" s="7" t="n">
        <v>73</v>
      </c>
      <c r="M83" s="7" t="n">
        <v>10</v>
      </c>
      <c r="N83" s="7" t="n">
        <v>113</v>
      </c>
      <c r="O83" s="7" t="n">
        <v>13</v>
      </c>
      <c r="P83" s="8" t="n">
        <v>55.2213482209231</v>
      </c>
      <c r="Q83" s="9" t="n">
        <v>0.0181089385213725</v>
      </c>
      <c r="R83" s="8" t="n">
        <v>41</v>
      </c>
      <c r="S83" s="12" t="n">
        <f aca="false">IF(AND(ISNUMBER(R83),R83&gt;1,P83&gt;0),R83/P83-1,"")</f>
        <v>-0.257533520623726</v>
      </c>
    </row>
    <row r="84" customFormat="false" ht="15" hidden="false" customHeight="false" outlineLevel="0" collapsed="false">
      <c r="A84" s="10" t="s">
        <v>268</v>
      </c>
      <c r="B84" s="10" t="s">
        <v>205</v>
      </c>
      <c r="C84" s="10" t="s">
        <v>269</v>
      </c>
      <c r="D84" s="10"/>
      <c r="E84" s="11" t="n">
        <v>10.5</v>
      </c>
      <c r="F84" s="10" t="s">
        <v>796</v>
      </c>
      <c r="G84" s="7" t="n">
        <v>17</v>
      </c>
      <c r="H84" s="10" t="s">
        <v>1156</v>
      </c>
      <c r="I84" s="10" t="s">
        <v>358</v>
      </c>
      <c r="J84" s="10" t="s">
        <v>191</v>
      </c>
      <c r="K84" s="7" t="n">
        <v>6</v>
      </c>
      <c r="L84" s="7" t="n">
        <v>64</v>
      </c>
      <c r="M84" s="7" t="n">
        <v>4</v>
      </c>
      <c r="N84" s="7" t="n">
        <v>15</v>
      </c>
      <c r="O84" s="7" t="n">
        <v>14</v>
      </c>
      <c r="P84" s="8" t="n">
        <v>75.3343953374469</v>
      </c>
      <c r="Q84" s="9" t="n">
        <v>0.013274149152199</v>
      </c>
      <c r="R84" s="8" t="n">
        <v>34</v>
      </c>
      <c r="S84" s="12" t="n">
        <f aca="false">IF(AND(ISNUMBER(R84),R84&gt;1,P84&gt;0),R84/P84-1,"")</f>
        <v>-0.548678928825232</v>
      </c>
    </row>
    <row r="85" customFormat="false" ht="15" hidden="false" customHeight="false" outlineLevel="0" collapsed="false">
      <c r="A85" s="10" t="s">
        <v>268</v>
      </c>
      <c r="B85" s="10" t="s">
        <v>205</v>
      </c>
      <c r="C85" s="10" t="s">
        <v>269</v>
      </c>
      <c r="D85" s="10"/>
      <c r="E85" s="11" t="n">
        <v>10.5</v>
      </c>
      <c r="F85" s="10" t="s">
        <v>796</v>
      </c>
      <c r="G85" s="7" t="n">
        <v>17</v>
      </c>
      <c r="H85" s="10" t="s">
        <v>1157</v>
      </c>
      <c r="I85" s="10" t="s">
        <v>949</v>
      </c>
      <c r="J85" s="10" t="s">
        <v>1096</v>
      </c>
      <c r="K85" s="7" t="n">
        <v>3</v>
      </c>
      <c r="L85" s="7" t="n">
        <v>72</v>
      </c>
      <c r="M85" s="7" t="n">
        <v>5</v>
      </c>
      <c r="N85" s="7" t="n">
        <v>25</v>
      </c>
      <c r="O85" s="7" t="n">
        <v>15</v>
      </c>
      <c r="P85" s="8" t="n">
        <v>91.1627508378578</v>
      </c>
      <c r="Q85" s="9" t="n">
        <v>0.0109693925513349</v>
      </c>
      <c r="R85" s="8" t="n">
        <v>17</v>
      </c>
      <c r="S85" s="12" t="n">
        <f aca="false">IF(AND(ISNUMBER(R85),R85&gt;1,P85&gt;0),R85/P85-1,"")</f>
        <v>-0.813520326627306</v>
      </c>
    </row>
    <row r="86" customFormat="false" ht="15" hidden="false" customHeight="false" outlineLevel="0" collapsed="false">
      <c r="A86" s="10" t="s">
        <v>268</v>
      </c>
      <c r="B86" s="10" t="s">
        <v>205</v>
      </c>
      <c r="C86" s="10" t="s">
        <v>269</v>
      </c>
      <c r="D86" s="10"/>
      <c r="E86" s="11" t="n">
        <v>10.5</v>
      </c>
      <c r="F86" s="10" t="s">
        <v>796</v>
      </c>
      <c r="G86" s="7" t="n">
        <v>17</v>
      </c>
      <c r="H86" s="10" t="s">
        <v>1158</v>
      </c>
      <c r="I86" s="10" t="s">
        <v>1062</v>
      </c>
      <c r="J86" s="10" t="s">
        <v>1159</v>
      </c>
      <c r="K86" s="7" t="n">
        <v>13</v>
      </c>
      <c r="L86" s="7" t="n">
        <v>67</v>
      </c>
      <c r="M86" s="7" t="n">
        <v>9</v>
      </c>
      <c r="N86" s="7" t="n">
        <v>1</v>
      </c>
      <c r="O86" s="7" t="n">
        <v>16</v>
      </c>
      <c r="P86" s="8" t="n">
        <v>110.994751987016</v>
      </c>
      <c r="Q86" s="9" t="n">
        <v>0.0090094349696549</v>
      </c>
      <c r="R86" s="8" t="n">
        <v>51</v>
      </c>
      <c r="S86" s="12" t="n">
        <f aca="false">IF(AND(ISNUMBER(R86),R86&gt;1,P86&gt;0),R86/P86-1,"")</f>
        <v>-0.540518816547598</v>
      </c>
    </row>
    <row r="87" customFormat="false" ht="15" hidden="false" customHeight="false" outlineLevel="0" collapsed="false">
      <c r="A87" s="10" t="s">
        <v>268</v>
      </c>
      <c r="B87" s="10" t="s">
        <v>205</v>
      </c>
      <c r="C87" s="10" t="s">
        <v>269</v>
      </c>
      <c r="D87" s="10"/>
      <c r="E87" s="11" t="n">
        <v>10.5</v>
      </c>
      <c r="F87" s="10" t="s">
        <v>796</v>
      </c>
      <c r="G87" s="7" t="n">
        <v>17</v>
      </c>
      <c r="H87" s="10" t="s">
        <v>1160</v>
      </c>
      <c r="I87" s="10" t="s">
        <v>358</v>
      </c>
      <c r="J87" s="10" t="s">
        <v>960</v>
      </c>
      <c r="K87" s="7" t="n">
        <v>14</v>
      </c>
      <c r="L87" s="7" t="n">
        <v>65</v>
      </c>
      <c r="M87" s="7" t="n">
        <v>3</v>
      </c>
      <c r="N87" s="7" t="n">
        <v>16</v>
      </c>
      <c r="O87" s="7" t="n">
        <v>17</v>
      </c>
      <c r="P87" s="8" t="n">
        <v>129.468627200228</v>
      </c>
      <c r="Q87" s="9" t="n">
        <v>0.0077238789166541</v>
      </c>
      <c r="R87" s="8" t="n">
        <v>34</v>
      </c>
      <c r="S87" s="12" t="n">
        <f aca="false">IF(AND(ISNUMBER(R87),R87&gt;1,P87&gt;0),R87/P87-1,"")</f>
        <v>-0.737388116833759</v>
      </c>
    </row>
    <row r="88" customFormat="false" ht="15" hidden="false" customHeight="false" outlineLevel="0" collapsed="false">
      <c r="A88" s="10" t="s">
        <v>277</v>
      </c>
      <c r="B88" s="10" t="s">
        <v>205</v>
      </c>
      <c r="C88" s="10" t="s">
        <v>278</v>
      </c>
      <c r="D88" s="10"/>
      <c r="E88" s="11" t="n">
        <v>12</v>
      </c>
      <c r="F88" s="10" t="s">
        <v>796</v>
      </c>
      <c r="G88" s="7" t="n">
        <v>17</v>
      </c>
      <c r="H88" s="10" t="s">
        <v>279</v>
      </c>
      <c r="I88" s="10" t="s">
        <v>208</v>
      </c>
      <c r="J88" s="10" t="s">
        <v>280</v>
      </c>
      <c r="K88" s="7" t="n">
        <v>14</v>
      </c>
      <c r="L88" s="7" t="n">
        <v>58</v>
      </c>
      <c r="M88" s="7" t="n">
        <v>3</v>
      </c>
      <c r="N88" s="7" t="n">
        <v>21</v>
      </c>
      <c r="O88" s="7" t="n">
        <v>1</v>
      </c>
      <c r="P88" s="8" t="n">
        <v>6.55411877963466</v>
      </c>
      <c r="Q88" s="9" t="n">
        <v>0.152575812801449</v>
      </c>
      <c r="R88" s="8" t="n">
        <v>4.5</v>
      </c>
      <c r="S88" s="12" t="n">
        <f aca="false">IF(AND(ISNUMBER(R88),R88&gt;1,P88&gt;0),R88/P88-1,"")</f>
        <v>-0.313408842393479</v>
      </c>
    </row>
    <row r="89" customFormat="false" ht="15" hidden="false" customHeight="false" outlineLevel="0" collapsed="false">
      <c r="A89" s="10" t="s">
        <v>277</v>
      </c>
      <c r="B89" s="10" t="s">
        <v>205</v>
      </c>
      <c r="C89" s="10" t="s">
        <v>278</v>
      </c>
      <c r="D89" s="10"/>
      <c r="E89" s="11" t="n">
        <v>12</v>
      </c>
      <c r="F89" s="10" t="s">
        <v>796</v>
      </c>
      <c r="G89" s="7" t="n">
        <v>17</v>
      </c>
      <c r="H89" s="10" t="s">
        <v>281</v>
      </c>
      <c r="I89" s="10" t="s">
        <v>1178</v>
      </c>
      <c r="J89" s="10" t="s">
        <v>1011</v>
      </c>
      <c r="K89" s="7" t="n">
        <v>1</v>
      </c>
      <c r="L89" s="7" t="n">
        <v>47</v>
      </c>
      <c r="M89" s="7" t="n">
        <v>3</v>
      </c>
      <c r="N89" s="7" t="n">
        <v>20</v>
      </c>
      <c r="O89" s="7" t="n">
        <v>2</v>
      </c>
      <c r="P89" s="8" t="n">
        <v>7.43591880067708</v>
      </c>
      <c r="Q89" s="9" t="n">
        <v>0.134482372226677</v>
      </c>
      <c r="R89" s="8" t="n">
        <v>4</v>
      </c>
      <c r="S89" s="12" t="n">
        <f aca="false">IF(AND(ISNUMBER(R89),R89&gt;1,P89&gt;0),R89/P89-1,"")</f>
        <v>-0.462070511093292</v>
      </c>
    </row>
    <row r="90" customFormat="false" ht="15" hidden="false" customHeight="false" outlineLevel="0" collapsed="false">
      <c r="A90" s="10" t="s">
        <v>277</v>
      </c>
      <c r="B90" s="10" t="s">
        <v>205</v>
      </c>
      <c r="C90" s="10" t="s">
        <v>278</v>
      </c>
      <c r="D90" s="10"/>
      <c r="E90" s="11" t="n">
        <v>12</v>
      </c>
      <c r="F90" s="10" t="s">
        <v>796</v>
      </c>
      <c r="G90" s="7" t="n">
        <v>17</v>
      </c>
      <c r="H90" s="10" t="s">
        <v>1179</v>
      </c>
      <c r="I90" s="10" t="s">
        <v>952</v>
      </c>
      <c r="J90" s="10" t="s">
        <v>772</v>
      </c>
      <c r="K90" s="7" t="n">
        <v>11</v>
      </c>
      <c r="L90" s="7" t="n">
        <v>64</v>
      </c>
      <c r="M90" s="7" t="n">
        <v>3</v>
      </c>
      <c r="N90" s="7" t="n">
        <v>7</v>
      </c>
      <c r="O90" s="7" t="n">
        <v>3</v>
      </c>
      <c r="P90" s="8" t="n">
        <v>9.49280531298315</v>
      </c>
      <c r="Q90" s="9" t="n">
        <v>0.105342937838651</v>
      </c>
      <c r="R90" s="8" t="n">
        <v>5.5</v>
      </c>
      <c r="S90" s="12" t="n">
        <f aca="false">IF(AND(ISNUMBER(R90),R90&gt;1,P90&gt;0),R90/P90-1,"")</f>
        <v>-0.420613841887419</v>
      </c>
    </row>
    <row r="91" customFormat="false" ht="15" hidden="false" customHeight="false" outlineLevel="0" collapsed="false">
      <c r="A91" s="10" t="s">
        <v>277</v>
      </c>
      <c r="B91" s="10" t="s">
        <v>205</v>
      </c>
      <c r="C91" s="10" t="s">
        <v>278</v>
      </c>
      <c r="D91" s="10"/>
      <c r="E91" s="11" t="n">
        <v>12</v>
      </c>
      <c r="F91" s="10" t="s">
        <v>796</v>
      </c>
      <c r="G91" s="7" t="n">
        <v>17</v>
      </c>
      <c r="H91" s="10" t="s">
        <v>1180</v>
      </c>
      <c r="I91" s="10" t="s">
        <v>949</v>
      </c>
      <c r="J91" s="10" t="s">
        <v>1086</v>
      </c>
      <c r="K91" s="7" t="n">
        <v>6</v>
      </c>
      <c r="L91" s="7" t="n">
        <v>51</v>
      </c>
      <c r="M91" s="7" t="n">
        <v>7</v>
      </c>
      <c r="N91" s="7" t="n">
        <v>29</v>
      </c>
      <c r="O91" s="7" t="n">
        <v>4</v>
      </c>
      <c r="P91" s="8" t="n">
        <v>11.4779378186621</v>
      </c>
      <c r="Q91" s="9" t="n">
        <v>0.0871236641806935</v>
      </c>
      <c r="R91" s="8" t="n">
        <v>9</v>
      </c>
      <c r="S91" s="12" t="n">
        <f aca="false">IF(AND(ISNUMBER(R91),R91&gt;1,P91&gt;0),R91/P91-1,"")</f>
        <v>-0.215887022373758</v>
      </c>
    </row>
    <row r="92" customFormat="false" ht="15" hidden="false" customHeight="false" outlineLevel="0" collapsed="false">
      <c r="A92" s="10" t="s">
        <v>277</v>
      </c>
      <c r="B92" s="10" t="s">
        <v>205</v>
      </c>
      <c r="C92" s="10" t="s">
        <v>278</v>
      </c>
      <c r="D92" s="10"/>
      <c r="E92" s="11" t="n">
        <v>12</v>
      </c>
      <c r="F92" s="10" t="s">
        <v>796</v>
      </c>
      <c r="G92" s="7" t="n">
        <v>17</v>
      </c>
      <c r="H92" s="10" t="s">
        <v>1181</v>
      </c>
      <c r="I92" s="10" t="s">
        <v>1182</v>
      </c>
      <c r="J92" s="10" t="s">
        <v>1183</v>
      </c>
      <c r="K92" s="7" t="n">
        <v>4</v>
      </c>
      <c r="L92" s="7" t="n">
        <v>49</v>
      </c>
      <c r="M92" s="7" t="n">
        <v>5</v>
      </c>
      <c r="N92" s="7" t="n">
        <v>35</v>
      </c>
      <c r="O92" s="7" t="n">
        <v>5</v>
      </c>
      <c r="P92" s="8" t="n">
        <v>13.6009267708729</v>
      </c>
      <c r="Q92" s="9" t="n">
        <v>0.0735244014504626</v>
      </c>
      <c r="R92" s="8" t="n">
        <v>7.5</v>
      </c>
      <c r="S92" s="12" t="n">
        <f aca="false">IF(AND(ISNUMBER(R92),R92&gt;1,P92&gt;0),R92/P92-1,"")</f>
        <v>-0.44856698912153</v>
      </c>
    </row>
    <row r="93" customFormat="false" ht="15" hidden="false" customHeight="false" outlineLevel="0" collapsed="false">
      <c r="A93" s="10" t="s">
        <v>277</v>
      </c>
      <c r="B93" s="10" t="s">
        <v>205</v>
      </c>
      <c r="C93" s="10" t="s">
        <v>278</v>
      </c>
      <c r="D93" s="10"/>
      <c r="E93" s="11" t="n">
        <v>12</v>
      </c>
      <c r="F93" s="10" t="s">
        <v>796</v>
      </c>
      <c r="G93" s="7" t="n">
        <v>17</v>
      </c>
      <c r="H93" s="10" t="s">
        <v>1184</v>
      </c>
      <c r="I93" s="10" t="s">
        <v>358</v>
      </c>
      <c r="J93" s="10" t="s">
        <v>1185</v>
      </c>
      <c r="K93" s="7" t="n">
        <v>7</v>
      </c>
      <c r="L93" s="7" t="n">
        <v>41</v>
      </c>
      <c r="M93" s="7" t="n">
        <v>4</v>
      </c>
      <c r="N93" s="7" t="n">
        <v>29</v>
      </c>
      <c r="O93" s="7" t="n">
        <v>6</v>
      </c>
      <c r="P93" s="8" t="n">
        <v>14.982342643494</v>
      </c>
      <c r="Q93" s="9" t="n">
        <v>0.0667452362954895</v>
      </c>
      <c r="R93" s="8" t="n">
        <v>12</v>
      </c>
      <c r="S93" s="12" t="n">
        <f aca="false">IF(AND(ISNUMBER(R93),R93&gt;1,P93&gt;0),R93/P93-1,"")</f>
        <v>-0.199057164454125</v>
      </c>
    </row>
    <row r="94" customFormat="false" ht="15" hidden="false" customHeight="false" outlineLevel="0" collapsed="false">
      <c r="A94" s="10" t="s">
        <v>277</v>
      </c>
      <c r="B94" s="10" t="s">
        <v>205</v>
      </c>
      <c r="C94" s="10" t="s">
        <v>278</v>
      </c>
      <c r="D94" s="10"/>
      <c r="E94" s="11" t="n">
        <v>12</v>
      </c>
      <c r="F94" s="10" t="s">
        <v>796</v>
      </c>
      <c r="G94" s="7" t="n">
        <v>17</v>
      </c>
      <c r="H94" s="10" t="s">
        <v>1186</v>
      </c>
      <c r="I94" s="10" t="s">
        <v>259</v>
      </c>
      <c r="J94" s="10" t="s">
        <v>1187</v>
      </c>
      <c r="K94" s="7" t="n">
        <v>9</v>
      </c>
      <c r="L94" s="7" t="n">
        <v>55</v>
      </c>
      <c r="M94" s="7" t="n">
        <v>4</v>
      </c>
      <c r="N94" s="7" t="n">
        <v>21</v>
      </c>
      <c r="O94" s="7" t="n">
        <v>7</v>
      </c>
      <c r="P94" s="8" t="n">
        <v>15.3606704030632</v>
      </c>
      <c r="Q94" s="9" t="n">
        <v>0.065101325252092</v>
      </c>
      <c r="R94" s="8" t="n">
        <v>7</v>
      </c>
      <c r="S94" s="12" t="n">
        <f aca="false">IF(AND(ISNUMBER(R94),R94&gt;1,P94&gt;0),R94/P94-1,"")</f>
        <v>-0.544290723235356</v>
      </c>
    </row>
    <row r="95" customFormat="false" ht="15" hidden="false" customHeight="false" outlineLevel="0" collapsed="false">
      <c r="A95" s="10" t="s">
        <v>277</v>
      </c>
      <c r="B95" s="10" t="s">
        <v>205</v>
      </c>
      <c r="C95" s="10" t="s">
        <v>278</v>
      </c>
      <c r="D95" s="10"/>
      <c r="E95" s="11" t="n">
        <v>12</v>
      </c>
      <c r="F95" s="10" t="s">
        <v>796</v>
      </c>
      <c r="G95" s="7" t="n">
        <v>17</v>
      </c>
      <c r="H95" s="10" t="s">
        <v>1188</v>
      </c>
      <c r="I95" s="10" t="s">
        <v>1189</v>
      </c>
      <c r="J95" s="10" t="s">
        <v>280</v>
      </c>
      <c r="K95" s="7" t="n">
        <v>8</v>
      </c>
      <c r="L95" s="7" t="n">
        <v>55</v>
      </c>
      <c r="M95" s="7" t="n">
        <v>3</v>
      </c>
      <c r="N95" s="7" t="n">
        <v>29</v>
      </c>
      <c r="O95" s="7" t="n">
        <v>8</v>
      </c>
      <c r="P95" s="8" t="n">
        <v>15.7507646288691</v>
      </c>
      <c r="Q95" s="9" t="n">
        <v>0.0634889812375922</v>
      </c>
      <c r="R95" s="8" t="n">
        <v>9</v>
      </c>
      <c r="S95" s="12" t="n">
        <f aca="false">IF(AND(ISNUMBER(R95),R95&gt;1,P95&gt;0),R95/P95-1,"")</f>
        <v>-0.42859916886167</v>
      </c>
    </row>
    <row r="96" customFormat="false" ht="15" hidden="false" customHeight="false" outlineLevel="0" collapsed="false">
      <c r="A96" s="10" t="s">
        <v>277</v>
      </c>
      <c r="B96" s="10" t="s">
        <v>205</v>
      </c>
      <c r="C96" s="10" t="s">
        <v>278</v>
      </c>
      <c r="D96" s="10"/>
      <c r="E96" s="11" t="n">
        <v>12</v>
      </c>
      <c r="F96" s="10" t="s">
        <v>796</v>
      </c>
      <c r="G96" s="7" t="n">
        <v>17</v>
      </c>
      <c r="H96" s="10" t="s">
        <v>1190</v>
      </c>
      <c r="I96" s="10" t="s">
        <v>358</v>
      </c>
      <c r="J96" s="10" t="s">
        <v>956</v>
      </c>
      <c r="K96" s="7" t="n">
        <v>13</v>
      </c>
      <c r="L96" s="7" t="n">
        <v>51</v>
      </c>
      <c r="M96" s="7" t="n">
        <v>5</v>
      </c>
      <c r="N96" s="7" t="n">
        <v>29</v>
      </c>
      <c r="O96" s="7" t="n">
        <v>9</v>
      </c>
      <c r="P96" s="8" t="n">
        <v>20.49846415003</v>
      </c>
      <c r="Q96" s="9" t="n">
        <v>0.0487841426889798</v>
      </c>
      <c r="R96" s="8" t="n">
        <v>11</v>
      </c>
      <c r="S96" s="12" t="n">
        <f aca="false">IF(AND(ISNUMBER(R96),R96&gt;1,P96&gt;0),R96/P96-1,"")</f>
        <v>-0.463374430421222</v>
      </c>
    </row>
    <row r="97" customFormat="false" ht="15" hidden="false" customHeight="false" outlineLevel="0" collapsed="false">
      <c r="A97" s="10" t="s">
        <v>277</v>
      </c>
      <c r="B97" s="10" t="s">
        <v>205</v>
      </c>
      <c r="C97" s="10" t="s">
        <v>278</v>
      </c>
      <c r="D97" s="10"/>
      <c r="E97" s="11" t="n">
        <v>12</v>
      </c>
      <c r="F97" s="10" t="s">
        <v>796</v>
      </c>
      <c r="G97" s="7" t="n">
        <v>17</v>
      </c>
      <c r="H97" s="10" t="s">
        <v>1191</v>
      </c>
      <c r="I97" s="10" t="s">
        <v>931</v>
      </c>
      <c r="J97" s="10" t="s">
        <v>1086</v>
      </c>
      <c r="K97" s="7" t="n">
        <v>16</v>
      </c>
      <c r="L97" s="7" t="n">
        <v>51</v>
      </c>
      <c r="M97" s="7" t="n">
        <v>6</v>
      </c>
      <c r="N97" s="7" t="n">
        <v>38</v>
      </c>
      <c r="O97" s="7" t="n">
        <v>10</v>
      </c>
      <c r="P97" s="8" t="n">
        <v>24.2203447644323</v>
      </c>
      <c r="Q97" s="9" t="n">
        <v>0.0412876038605571</v>
      </c>
      <c r="R97" s="8" t="n">
        <v>26</v>
      </c>
      <c r="S97" s="12" t="n">
        <f aca="false">IF(AND(ISNUMBER(R97),R97&gt;1,P97&gt;0),R97/P97-1,"")</f>
        <v>0.0734777003744862</v>
      </c>
    </row>
    <row r="98" customFormat="false" ht="15" hidden="false" customHeight="false" outlineLevel="0" collapsed="false">
      <c r="A98" s="10" t="s">
        <v>277</v>
      </c>
      <c r="B98" s="10" t="s">
        <v>205</v>
      </c>
      <c r="C98" s="10" t="s">
        <v>278</v>
      </c>
      <c r="D98" s="10"/>
      <c r="E98" s="11" t="n">
        <v>12</v>
      </c>
      <c r="F98" s="10" t="s">
        <v>796</v>
      </c>
      <c r="G98" s="7" t="n">
        <v>17</v>
      </c>
      <c r="H98" s="10" t="s">
        <v>1192</v>
      </c>
      <c r="I98" s="10" t="s">
        <v>1193</v>
      </c>
      <c r="J98" s="10" t="s">
        <v>959</v>
      </c>
      <c r="K98" s="7" t="n">
        <v>3</v>
      </c>
      <c r="L98" s="7" t="n">
        <v>41</v>
      </c>
      <c r="M98" s="7" t="n">
        <v>5</v>
      </c>
      <c r="N98" s="7" t="n">
        <v>41</v>
      </c>
      <c r="O98" s="7" t="n">
        <v>11</v>
      </c>
      <c r="P98" s="8" t="n">
        <v>24.4776298391778</v>
      </c>
      <c r="Q98" s="9" t="n">
        <v>0.0408536286629943</v>
      </c>
      <c r="R98" s="8" t="n">
        <v>26</v>
      </c>
      <c r="S98" s="12" t="n">
        <f aca="false">IF(AND(ISNUMBER(R98),R98&gt;1,P98&gt;0),R98/P98-1,"")</f>
        <v>0.0621943452378528</v>
      </c>
    </row>
    <row r="99" customFormat="false" ht="15" hidden="false" customHeight="false" outlineLevel="0" collapsed="false">
      <c r="A99" s="10" t="s">
        <v>277</v>
      </c>
      <c r="B99" s="10" t="s">
        <v>205</v>
      </c>
      <c r="C99" s="10" t="s">
        <v>278</v>
      </c>
      <c r="D99" s="10"/>
      <c r="E99" s="11" t="n">
        <v>12</v>
      </c>
      <c r="F99" s="10" t="s">
        <v>796</v>
      </c>
      <c r="G99" s="7" t="n">
        <v>17</v>
      </c>
      <c r="H99" s="10" t="s">
        <v>1194</v>
      </c>
      <c r="I99" s="10" t="s">
        <v>358</v>
      </c>
      <c r="J99" s="10" t="s">
        <v>964</v>
      </c>
      <c r="K99" s="7" t="n">
        <v>10</v>
      </c>
      <c r="L99" s="7" t="n">
        <v>51</v>
      </c>
      <c r="M99" s="7" t="n">
        <v>3</v>
      </c>
      <c r="N99" s="7" t="n">
        <v>7</v>
      </c>
      <c r="O99" s="7" t="n">
        <v>12</v>
      </c>
      <c r="P99" s="8" t="n">
        <v>26.8705551762326</v>
      </c>
      <c r="Q99" s="9" t="n">
        <v>0.037215457345091</v>
      </c>
      <c r="R99" s="8" t="n">
        <v>13</v>
      </c>
      <c r="S99" s="12" t="n">
        <f aca="false">IF(AND(ISNUMBER(R99),R99&gt;1,P99&gt;0),R99/P99-1,"")</f>
        <v>-0.516199054513816</v>
      </c>
    </row>
    <row r="100" customFormat="false" ht="15" hidden="false" customHeight="false" outlineLevel="0" collapsed="false">
      <c r="A100" s="10" t="s">
        <v>277</v>
      </c>
      <c r="B100" s="10" t="s">
        <v>205</v>
      </c>
      <c r="C100" s="10" t="s">
        <v>278</v>
      </c>
      <c r="D100" s="10"/>
      <c r="E100" s="11" t="n">
        <v>12</v>
      </c>
      <c r="F100" s="10" t="s">
        <v>796</v>
      </c>
      <c r="G100" s="7" t="n">
        <v>17</v>
      </c>
      <c r="H100" s="10" t="s">
        <v>1195</v>
      </c>
      <c r="I100" s="10" t="s">
        <v>1196</v>
      </c>
      <c r="J100" s="10" t="s">
        <v>635</v>
      </c>
      <c r="K100" s="7" t="n">
        <v>12</v>
      </c>
      <c r="L100" s="7" t="n">
        <v>59</v>
      </c>
      <c r="M100" s="7" t="n">
        <v>3</v>
      </c>
      <c r="N100" s="7" t="n">
        <v>5</v>
      </c>
      <c r="O100" s="7" t="n">
        <v>13</v>
      </c>
      <c r="P100" s="8" t="n">
        <v>38.5645559637444</v>
      </c>
      <c r="Q100" s="9" t="n">
        <v>0.0259305461973976</v>
      </c>
      <c r="R100" s="8" t="n">
        <v>34</v>
      </c>
      <c r="S100" s="12" t="n">
        <f aca="false">IF(AND(ISNUMBER(R100),R100&gt;1,P100&gt;0),R100/P100-1,"")</f>
        <v>-0.118361429288481</v>
      </c>
    </row>
    <row r="101" customFormat="false" ht="15" hidden="false" customHeight="false" outlineLevel="0" collapsed="false">
      <c r="A101" s="10" t="s">
        <v>277</v>
      </c>
      <c r="B101" s="10" t="s">
        <v>205</v>
      </c>
      <c r="C101" s="10" t="s">
        <v>278</v>
      </c>
      <c r="D101" s="10"/>
      <c r="E101" s="11" t="n">
        <v>12</v>
      </c>
      <c r="F101" s="10" t="s">
        <v>796</v>
      </c>
      <c r="G101" s="7" t="n">
        <v>17</v>
      </c>
      <c r="H101" s="10" t="s">
        <v>1197</v>
      </c>
      <c r="I101" s="10" t="s">
        <v>1198</v>
      </c>
      <c r="J101" s="10" t="s">
        <v>1199</v>
      </c>
      <c r="K101" s="7" t="n">
        <v>2</v>
      </c>
      <c r="L101" s="7" t="n">
        <v>40</v>
      </c>
      <c r="M101" s="7" t="n">
        <v>4</v>
      </c>
      <c r="N101" s="7" t="n">
        <v>29</v>
      </c>
      <c r="O101" s="7" t="n">
        <v>14</v>
      </c>
      <c r="P101" s="8" t="n">
        <v>40.8817220737847</v>
      </c>
      <c r="Q101" s="9" t="n">
        <v>0.024460809116484</v>
      </c>
      <c r="R101" s="8" t="n">
        <v>26</v>
      </c>
      <c r="S101" s="12" t="n">
        <f aca="false">IF(AND(ISNUMBER(R101),R101&gt;1,P101&gt;0),R101/P101-1,"")</f>
        <v>-0.364018962971414</v>
      </c>
    </row>
    <row r="102" customFormat="false" ht="15" hidden="false" customHeight="false" outlineLevel="0" collapsed="false">
      <c r="A102" s="10" t="s">
        <v>277</v>
      </c>
      <c r="B102" s="10" t="s">
        <v>205</v>
      </c>
      <c r="C102" s="10" t="s">
        <v>278</v>
      </c>
      <c r="D102" s="10"/>
      <c r="E102" s="11" t="n">
        <v>12</v>
      </c>
      <c r="F102" s="10" t="s">
        <v>796</v>
      </c>
      <c r="G102" s="7" t="n">
        <v>17</v>
      </c>
      <c r="H102" s="10" t="s">
        <v>1200</v>
      </c>
      <c r="I102" s="10" t="s">
        <v>1000</v>
      </c>
      <c r="J102" s="10" t="s">
        <v>1014</v>
      </c>
      <c r="K102" s="7" t="n">
        <v>17</v>
      </c>
      <c r="L102" s="7" t="n">
        <v>40</v>
      </c>
      <c r="M102" s="7" t="n">
        <v>4</v>
      </c>
      <c r="N102" s="7" t="n">
        <v>9</v>
      </c>
      <c r="O102" s="7" t="n">
        <v>15</v>
      </c>
      <c r="P102" s="8" t="n">
        <v>56.39606129184</v>
      </c>
      <c r="Q102" s="9" t="n">
        <v>0.017731734754049</v>
      </c>
      <c r="R102" s="8" t="n">
        <v>34</v>
      </c>
      <c r="S102" s="12" t="n">
        <f aca="false">IF(AND(ISNUMBER(R102),R102&gt;1,P102&gt;0),R102/P102-1,"")</f>
        <v>-0.397121018362332</v>
      </c>
    </row>
    <row r="103" customFormat="false" ht="15" hidden="false" customHeight="false" outlineLevel="0" collapsed="false">
      <c r="A103" s="10" t="s">
        <v>277</v>
      </c>
      <c r="B103" s="10" t="s">
        <v>205</v>
      </c>
      <c r="C103" s="10" t="s">
        <v>278</v>
      </c>
      <c r="D103" s="10"/>
      <c r="E103" s="11" t="n">
        <v>12</v>
      </c>
      <c r="F103" s="10" t="s">
        <v>796</v>
      </c>
      <c r="G103" s="7" t="n">
        <v>17</v>
      </c>
      <c r="H103" s="10" t="s">
        <v>1201</v>
      </c>
      <c r="I103" s="10" t="s">
        <v>1099</v>
      </c>
      <c r="J103" s="10" t="s">
        <v>1202</v>
      </c>
      <c r="K103" s="7" t="n">
        <v>5</v>
      </c>
      <c r="L103" s="7" t="n">
        <v>50</v>
      </c>
      <c r="M103" s="7" t="n">
        <v>3</v>
      </c>
      <c r="N103" s="7" t="n">
        <v>9</v>
      </c>
      <c r="O103" s="7" t="n">
        <v>16</v>
      </c>
      <c r="P103" s="8" t="n">
        <v>103.766525181143</v>
      </c>
      <c r="Q103" s="9" t="n">
        <v>0.0096370192434826</v>
      </c>
      <c r="R103" s="8" t="n">
        <v>67</v>
      </c>
      <c r="S103" s="12" t="n">
        <f aca="false">IF(AND(ISNUMBER(R103),R103&gt;1,P103&gt;0),R103/P103-1,"")</f>
        <v>-0.354319710686666</v>
      </c>
    </row>
    <row r="104" customFormat="false" ht="15" hidden="false" customHeight="false" outlineLevel="0" collapsed="false">
      <c r="A104" s="10" t="s">
        <v>277</v>
      </c>
      <c r="B104" s="10" t="s">
        <v>205</v>
      </c>
      <c r="C104" s="10" t="s">
        <v>278</v>
      </c>
      <c r="D104" s="10"/>
      <c r="E104" s="11" t="n">
        <v>12</v>
      </c>
      <c r="F104" s="10" t="s">
        <v>796</v>
      </c>
      <c r="G104" s="7" t="n">
        <v>17</v>
      </c>
      <c r="H104" s="10" t="s">
        <v>1203</v>
      </c>
      <c r="I104" s="10" t="s">
        <v>933</v>
      </c>
      <c r="J104" s="10" t="s">
        <v>1104</v>
      </c>
      <c r="K104" s="7" t="n">
        <v>15</v>
      </c>
      <c r="L104" s="7" t="n">
        <v>48</v>
      </c>
      <c r="M104" s="7" t="n">
        <v>6</v>
      </c>
      <c r="N104" s="7" t="n">
        <v>29</v>
      </c>
      <c r="O104" s="7" t="n">
        <v>17</v>
      </c>
      <c r="P104" s="8" t="n">
        <v>174.998740293446</v>
      </c>
      <c r="Q104" s="9" t="n">
        <v>0.005714326847857</v>
      </c>
      <c r="R104" s="8" t="n">
        <v>81</v>
      </c>
      <c r="S104" s="12" t="n">
        <f aca="false">IF(AND(ISNUMBER(R104),R104&gt;1,P104&gt;0),R104/P104-1,"")</f>
        <v>-0.53713952532358</v>
      </c>
    </row>
  </sheetData>
  <autoFilter ref="A1:S104"/>
  <conditionalFormatting sqref="A2:S104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2026-09-25T11:03:14Z</dcterms:created>
  <dc:creator>openpyxl</dc:creator>
  <dc:description/>
  <dc:language>en-US</dc:language>
  <cp:lastModifiedBy/>
  <dcterms:modified xsi:type="dcterms:W3CDTF">2026-09-25T11:03:14Z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