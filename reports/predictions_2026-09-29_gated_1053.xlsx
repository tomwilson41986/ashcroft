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Non-runners" sheetId="3" state="visible" r:id="rId5"/>
    <sheet name="gated 10.53 vs 09.37" sheetId="4" state="visible" r:id="rId6"/>
    <sheet name="All runners" sheetId="5" state="visible" r:id="rId7"/>
    <sheet name="Cork" sheetId="6" state="visible" r:id="rId8"/>
    <sheet name="Bath" sheetId="7" state="visible" r:id="rId9"/>
    <sheet name="Ayr" sheetId="8" state="visible" r:id="rId10"/>
    <sheet name="Sedgefield" sheetId="9" state="visible" r:id="rId11"/>
    <sheet name="Wolverhampton" sheetId="10" state="visible" r:id="rId12"/>
  </sheets>
  <definedNames>
    <definedName function="false" hidden="true" localSheetId="4" name="_xlnm._FilterDatabase" vbProcedure="false">'All runners'!$A$1:$T$365</definedName>
    <definedName function="false" hidden="true" localSheetId="7" name="_xlnm._FilterDatabase" vbProcedure="false">Ayr!$A$1:$T$60</definedName>
    <definedName function="false" hidden="true" localSheetId="6" name="_xlnm._FilterDatabase" vbProcedure="false">Bath!$A$1:$T$86</definedName>
    <definedName function="false" hidden="true" localSheetId="5" name="_xlnm._FilterDatabase" vbProcedure="false">Cork!$A$1:$T$102</definedName>
    <definedName function="false" hidden="true" localSheetId="3" name="_xlnm._FilterDatabase" vbProcedure="false">'gated 10.53 vs 09.37'!$A$1:$K$39</definedName>
    <definedName function="false" hidden="true" localSheetId="8" name="_xlnm._FilterDatabase" vbProcedure="false">Sedgefield!$A$1:$T$35</definedName>
    <definedName function="false" hidden="true" localSheetId="1" name="_xlnm._FilterDatabase" vbProcedure="false">'Top picks'!$A$1:$O$39</definedName>
    <definedName function="false" hidden="true" localSheetId="9" name="_xlnm._FilterDatabase" vbProcedure="false">Wolverhampton!$A$1:$T$86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<sst xmlns="http://schemas.openxmlformats.org/spreadsheetml/2006/main" count="6287" uniqueCount="877">
  <si>
    <t xml:space="preserve">Predictions for 2026-09-29</t>
  </si>
  <si>
    <t xml:space="preserve">Runners</t>
  </si>
  <si>
    <t xml:space="preserve">Races</t>
  </si>
  <si>
    <t xml:space="preserve">Meetings</t>
  </si>
  <si>
    <t xml:space="preserve">The model</t>
  </si>
  <si>
    <t xml:space="preserve">gated 10:53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</si>
  <si>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</si>
  <si>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</si>
  <si>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</si>
  <si>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</si>
  <si>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</si>
  <si>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</si>
  <si>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</si>
  <si>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</si>
  <si>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</si>
  <si>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</si>
  <si>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</si>
  <si>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</si>
  <si>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</si>
  <si>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</si>
  <si>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</si>
  <si>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</si>
  <si>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</si>
  <si>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</si>
  <si>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</si>
  <si>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</si>
  <si>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</si>
  <si>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</si>
  <si>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</si>
  <si>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</si>
  <si>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served model (the complete-careers pair gated with race_xent), re-run in full on horseracebase's card as it stood at 10:53 UTC (predict-now run 38): 364 runners in 38 races, every one priced, each race a book of 100%. All 11 of the day's non-runners are out (sheet Non-runners, each with its share of the book in the last run that priced it), and every price is compared with the 09:37 re-run. 11 non-runners since the prices were first made, in 9 races (sheet Non-runners). The prices here are without them, each race a book of 100%: a non-runner's share of the book goes to the rest of its race, whose prices shorten by about that share.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</si>
  <si>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</si>
  <si>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</si>
  <si>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</si>
  <si>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</si>
  <si>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</si>
  <si>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</si>
  <si>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</si>
  <si>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</si>
  <si>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</si>
  <si>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</si>
  <si>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1:55</t>
  </si>
  <si>
    <t xml:space="preserve">Cork</t>
  </si>
  <si>
    <t xml:space="preserve">Irish Stallion Farms EBF Maiden</t>
  </si>
  <si>
    <t xml:space="preserve">Bold Commander (IRE)</t>
  </si>
  <si>
    <t xml:space="preserve">Lordan, W M</t>
  </si>
  <si>
    <t xml:space="preserve">OBrien, A P</t>
  </si>
  <si>
    <t xml:space="preserve">Sonny Hayes (IRE)</t>
  </si>
  <si>
    <t xml:space="preserve">2:02</t>
  </si>
  <si>
    <t xml:space="preserve">Bath</t>
  </si>
  <si>
    <t xml:space="preserve">JDL Consultants Ltd Apprentice Handicap</t>
  </si>
  <si>
    <t xml:space="preserve">Decalogue (USA)</t>
  </si>
  <si>
    <t xml:space="preserve">Paetel, Mason</t>
  </si>
  <si>
    <t xml:space="preserve">Osborne, J A</t>
  </si>
  <si>
    <t xml:space="preserve">Pangbourne</t>
  </si>
  <si>
    <t xml:space="preserve">2:08</t>
  </si>
  <si>
    <t xml:space="preserve">Ayr</t>
  </si>
  <si>
    <t xml:space="preserve">Christmas Party Day Dancing At Ayr Racecourse Apprentice Handicap</t>
  </si>
  <si>
    <t xml:space="preserve">Empirestateofmind (IRE)</t>
  </si>
  <si>
    <t xml:space="preserve">Callan, Jack</t>
  </si>
  <si>
    <t xml:space="preserve">Quinn, J J</t>
  </si>
  <si>
    <t xml:space="preserve">Motawaared</t>
  </si>
  <si>
    <t xml:space="preserve">2:15</t>
  </si>
  <si>
    <t xml:space="preserve">Sedgefield</t>
  </si>
  <si>
    <t xml:space="preserve">Happy 96th Birthday John Conditional Jockeys Handicap Hurdle</t>
  </si>
  <si>
    <t xml:space="preserve">Spartan Times</t>
  </si>
  <si>
    <t xml:space="preserve">Scott, Luke</t>
  </si>
  <si>
    <t xml:space="preserve">Candlish, Jennie</t>
  </si>
  <si>
    <t xml:space="preserve">Jolie Coeur Allen (FR)</t>
  </si>
  <si>
    <t xml:space="preserve">2:25</t>
  </si>
  <si>
    <t xml:space="preserve">Irish Stallion Farms EBF Nursery Handicap (Birdcatcher Series)</t>
  </si>
  <si>
    <t xml:space="preserve">Pink Venom (IRE)</t>
  </si>
  <si>
    <t xml:space="preserve">Coen, Ben M</t>
  </si>
  <si>
    <t xml:space="preserve">Murtagh, J P</t>
  </si>
  <si>
    <t xml:space="preserve">Fine Line (IRE)</t>
  </si>
  <si>
    <t xml:space="preserve">2:32</t>
  </si>
  <si>
    <t xml:space="preserve">MJ Church Handicap</t>
  </si>
  <si>
    <t xml:space="preserve">Cosmo Brown (IRE)</t>
  </si>
  <si>
    <t xml:space="preserve">Edmunds, Lewis</t>
  </si>
  <si>
    <t xml:space="preserve">Muir, W R &amp; Grassick, C</t>
  </si>
  <si>
    <t xml:space="preserve">Zarco</t>
  </si>
  <si>
    <t xml:space="preserve">2:38</t>
  </si>
  <si>
    <t xml:space="preserve">Weddings At Western House Hotel Maiden Stakes (GBB Race)</t>
  </si>
  <si>
    <t xml:space="preserve">Melody Man</t>
  </si>
  <si>
    <t xml:space="preserve">Hart, Jason</t>
  </si>
  <si>
    <t xml:space="preserve">What A Girl Wants (IRE)</t>
  </si>
  <si>
    <t xml:space="preserve">2:45</t>
  </si>
  <si>
    <t xml:space="preserve">Roxyfet Sports Lounge For Private Hire Juvenile Maiden Hurdle (GBB Race)</t>
  </si>
  <si>
    <t xml:space="preserve">Steel Raven (IRE)</t>
  </si>
  <si>
    <t xml:space="preserve">Hughes, Brian</t>
  </si>
  <si>
    <t xml:space="preserve">Keatley, Adrian Paul</t>
  </si>
  <si>
    <t xml:space="preserve">Jerseygeordie</t>
  </si>
  <si>
    <t xml:space="preserve">2:55</t>
  </si>
  <si>
    <t xml:space="preserve">Irish Stallion Farms EBF Fillies Handicap</t>
  </si>
  <si>
    <t xml:space="preserve">By The Lake (IRE)</t>
  </si>
  <si>
    <t xml:space="preserve">Keane, C T</t>
  </si>
  <si>
    <t xml:space="preserve">McCormack, Derek</t>
  </si>
  <si>
    <t xml:space="preserve">Forza Magico</t>
  </si>
  <si>
    <t xml:space="preserve">3:02</t>
  </si>
  <si>
    <t xml:space="preserve">AEL Solutions Handicap</t>
  </si>
  <si>
    <t xml:space="preserve">Buckland Belle</t>
  </si>
  <si>
    <t xml:space="preserve">Marquand, Tom</t>
  </si>
  <si>
    <t xml:space="preserve">Sangster, Ollie</t>
  </si>
  <si>
    <t xml:space="preserve">Rating (IRE)</t>
  </si>
  <si>
    <t xml:space="preserve">3:08</t>
  </si>
  <si>
    <t xml:space="preserve">Nairnss Oatcakes Handicap (GBBPlus Race)</t>
  </si>
  <si>
    <t xml:space="preserve">Star Cast</t>
  </si>
  <si>
    <t xml:space="preserve">Dickson, Jake</t>
  </si>
  <si>
    <t xml:space="preserve">Tutty, Gemma</t>
  </si>
  <si>
    <t xml:space="preserve">Keep An Eye On It</t>
  </si>
  <si>
    <t xml:space="preserve">3:15</t>
  </si>
  <si>
    <t xml:space="preserve">Paxtons No1 CaseIH Dealer Handicap Chase (GBB Race)</t>
  </si>
  <si>
    <t xml:space="preserve">Passengerontheship (IRE)</t>
  </si>
  <si>
    <t xml:space="preserve">England, Jonathan</t>
  </si>
  <si>
    <t xml:space="preserve">England, Sam</t>
  </si>
  <si>
    <t xml:space="preserve">Thank You Blue</t>
  </si>
  <si>
    <t xml:space="preserve">3:25</t>
  </si>
  <si>
    <t xml:space="preserve">WTW Willis Handicap (0-60)</t>
  </si>
  <si>
    <t xml:space="preserve">Simmering Seas (IRE)</t>
  </si>
  <si>
    <t xml:space="preserve">Murphy, Daniel</t>
  </si>
  <si>
    <t xml:space="preserve">El Fontenaro (IRE)</t>
  </si>
  <si>
    <t xml:space="preserve">3:32</t>
  </si>
  <si>
    <t xml:space="preserve">British EBF Future Stayers Novice Stakes (GBB/GBBPlus Race)</t>
  </si>
  <si>
    <t xml:space="preserve">Divide And Conquer (IRE)</t>
  </si>
  <si>
    <t xml:space="preserve">Ryan, Rossa</t>
  </si>
  <si>
    <t xml:space="preserve">Beckett, R M</t>
  </si>
  <si>
    <t xml:space="preserve">Al Qayed (IRE)</t>
  </si>
  <si>
    <t xml:space="preserve">3:38</t>
  </si>
  <si>
    <t xml:space="preserve">Autumn Breaks At Western House Hotel Handicap</t>
  </si>
  <si>
    <t xml:space="preserve">Misunderstood (FR)</t>
  </si>
  <si>
    <t xml:space="preserve">Tudhope, Daniel</t>
  </si>
  <si>
    <t xml:space="preserve">OMeara, D</t>
  </si>
  <si>
    <t xml:space="preserve">Quest For Fun</t>
  </si>
  <si>
    <t xml:space="preserve">3:45</t>
  </si>
  <si>
    <t xml:space="preserve">Sedgefield Racecourse For Outdoor Events Handicap Hurdle</t>
  </si>
  <si>
    <t xml:space="preserve">Whitewinewednesday (IRE)</t>
  </si>
  <si>
    <t xml:space="preserve">Mullins, Mr P W</t>
  </si>
  <si>
    <t xml:space="preserve">Mullins, W P</t>
  </si>
  <si>
    <t xml:space="preserve">Lillistar</t>
  </si>
  <si>
    <t xml:space="preserve">3:55</t>
  </si>
  <si>
    <t xml:space="preserve">Irish Stallion Farms EBF Navigation Stakes (Listed)</t>
  </si>
  <si>
    <t xml:space="preserve">Summer Is Tomorrow (IRE)</t>
  </si>
  <si>
    <t xml:space="preserve">Sheridan, J M</t>
  </si>
  <si>
    <t xml:space="preserve">OBrien, Joseph Patrick</t>
  </si>
  <si>
    <t xml:space="preserve">Caught U Sleeping (IRE)</t>
  </si>
  <si>
    <t xml:space="preserve">4:02</t>
  </si>
  <si>
    <t xml:space="preserve">SW Hire Handicap</t>
  </si>
  <si>
    <t xml:space="preserve">Maharajas Express</t>
  </si>
  <si>
    <t xml:space="preserve">Probert, David</t>
  </si>
  <si>
    <t xml:space="preserve">Williams, Ian</t>
  </si>
  <si>
    <t xml:space="preserve">South Shore</t>
  </si>
  <si>
    <t xml:space="preserve">4:08</t>
  </si>
  <si>
    <t xml:space="preserve">Book Your Event At Ayr Racecourse Handicap</t>
  </si>
  <si>
    <t xml:space="preserve">Highfield Viking</t>
  </si>
  <si>
    <t xml:space="preserve">Milford Grange</t>
  </si>
  <si>
    <t xml:space="preserve">4:15</t>
  </si>
  <si>
    <t xml:space="preserve">Premier Road Markings Handicap Chase (GBB Race)</t>
  </si>
  <si>
    <t xml:space="preserve">Dream Diamond (IRE)</t>
  </si>
  <si>
    <t xml:space="preserve">Burke, Jonathan</t>
  </si>
  <si>
    <t xml:space="preserve">Owen, J P</t>
  </si>
  <si>
    <t xml:space="preserve">Lady Kara</t>
  </si>
  <si>
    <t xml:space="preserve">4:25</t>
  </si>
  <si>
    <t xml:space="preserve">Irish EBF Fillies Maiden (Smullen Series)</t>
  </si>
  <si>
    <t xml:space="preserve">Golden Ring (IRE)</t>
  </si>
  <si>
    <t xml:space="preserve">Duchessofaquitaine (IRE)</t>
  </si>
  <si>
    <t xml:space="preserve">4:30</t>
  </si>
  <si>
    <t xml:space="preserve">Wolverhampton</t>
  </si>
  <si>
    <t xml:space="preserve">Hotel &amp; Conferencing At Wolverhampton Handicap</t>
  </si>
  <si>
    <t xml:space="preserve">Manton Road</t>
  </si>
  <si>
    <t xml:space="preserve">Fox, Kieren</t>
  </si>
  <si>
    <t xml:space="preserve">Phillips, R T</t>
  </si>
  <si>
    <t xml:space="preserve">Love You More</t>
  </si>
  <si>
    <t xml:space="preserve">4:35</t>
  </si>
  <si>
    <t xml:space="preserve">Power Logistics Nursery</t>
  </si>
  <si>
    <t xml:space="preserve">Past Passion</t>
  </si>
  <si>
    <t xml:space="preserve">Hornby, Rob</t>
  </si>
  <si>
    <t xml:space="preserve">Portman, J G</t>
  </si>
  <si>
    <t xml:space="preserve">Devon Angel</t>
  </si>
  <si>
    <t xml:space="preserve">4:40</t>
  </si>
  <si>
    <t xml:space="preserve">Book Racing On Saturday 31 October Handicap</t>
  </si>
  <si>
    <t xml:space="preserve">Lord Bertie (FR)</t>
  </si>
  <si>
    <t xml:space="preserve">Winn, Mark</t>
  </si>
  <si>
    <t xml:space="preserve">Woven</t>
  </si>
  <si>
    <t xml:space="preserve">4:45</t>
  </si>
  <si>
    <t xml:space="preserve">Fairlight Studios Cafe At Sedgefield Racecourse Open NH Flat Race (GBB Race)</t>
  </si>
  <si>
    <t xml:space="preserve">Red Shea (IRE)</t>
  </si>
  <si>
    <t xml:space="preserve">Swan, H C</t>
  </si>
  <si>
    <t xml:space="preserve">Hughes, Cian</t>
  </si>
  <si>
    <t xml:space="preserve">Close House (IRE)</t>
  </si>
  <si>
    <t xml:space="preserve">4:55</t>
  </si>
  <si>
    <t xml:space="preserve">Follow Us On X Handicap</t>
  </si>
  <si>
    <t xml:space="preserve">Karrygrant (IRE)</t>
  </si>
  <si>
    <t xml:space="preserve">Hellorhighwater</t>
  </si>
  <si>
    <t xml:space="preserve">5:00</t>
  </si>
  <si>
    <t xml:space="preserve">Free Race Replays On attheraces.com Handicap</t>
  </si>
  <si>
    <t xml:space="preserve">Arundel (IRE)</t>
  </si>
  <si>
    <t xml:space="preserve">Loughnane, Billy</t>
  </si>
  <si>
    <t xml:space="preserve">Dunlop, E A L</t>
  </si>
  <si>
    <t xml:space="preserve">Sevenkingsmustdie (IRE)</t>
  </si>
  <si>
    <t xml:space="preserve">5:07</t>
  </si>
  <si>
    <t xml:space="preserve">Clyde And Co Handicap (Div 1)</t>
  </si>
  <si>
    <t xml:space="preserve">Legendsoftheland (IRE)</t>
  </si>
  <si>
    <t xml:space="preserve">Leavy, Joe</t>
  </si>
  <si>
    <t xml:space="preserve">Wintle, A</t>
  </si>
  <si>
    <t xml:space="preserve">Distant Rumble</t>
  </si>
  <si>
    <t xml:space="preserve">5:13</t>
  </si>
  <si>
    <t xml:space="preserve">Racing TV Handicap</t>
  </si>
  <si>
    <t xml:space="preserve">Time Turner</t>
  </si>
  <si>
    <t xml:space="preserve">Bethell, Ed</t>
  </si>
  <si>
    <t xml:space="preserve">Furhaan</t>
  </si>
  <si>
    <t xml:space="preserve">5:25</t>
  </si>
  <si>
    <t xml:space="preserve">Fitzgeralds Woodlands House Hotel Handicap (0-60)</t>
  </si>
  <si>
    <t xml:space="preserve">Medieval Night (IRE)</t>
  </si>
  <si>
    <t xml:space="preserve">Hogan, Denis Gerard</t>
  </si>
  <si>
    <t xml:space="preserve">Movin And Groovin (IRE)</t>
  </si>
  <si>
    <t xml:space="preserve">5:30</t>
  </si>
  <si>
    <t xml:space="preserve">attheraces.com/marketmovers Maiden Stakes (GBB Race)</t>
  </si>
  <si>
    <t xml:space="preserve">Battlefield Boy (FR)</t>
  </si>
  <si>
    <t xml:space="preserve">Cunha, Dylan</t>
  </si>
  <si>
    <t xml:space="preserve">Ensor Mews (IRE)</t>
  </si>
  <si>
    <t xml:space="preserve">5:37</t>
  </si>
  <si>
    <t xml:space="preserve">Clyde And Co Handicap (Div 2)</t>
  </si>
  <si>
    <t xml:space="preserve">Charlie Boyo (IRE)</t>
  </si>
  <si>
    <t xml:space="preserve">Cox, C G</t>
  </si>
  <si>
    <t xml:space="preserve">Hk Fourteen (IRE)</t>
  </si>
  <si>
    <t xml:space="preserve">6:00</t>
  </si>
  <si>
    <t xml:space="preserve">Free Tips On attheraces.com Handicap</t>
  </si>
  <si>
    <t xml:space="preserve">Distillation (FR)</t>
  </si>
  <si>
    <t xml:space="preserve">Dawes, Rose</t>
  </si>
  <si>
    <t xml:space="preserve">Usher, M D I</t>
  </si>
  <si>
    <t xml:space="preserve">Dark Mandate</t>
  </si>
  <si>
    <t xml:space="preserve">6:30</t>
  </si>
  <si>
    <t xml:space="preserve">Sky Sports Racing Virgin 512 EBF Novice Stakes (GBB Race)</t>
  </si>
  <si>
    <t xml:space="preserve">Oxbridge (IRE)</t>
  </si>
  <si>
    <t xml:space="preserve">Boughey, George</t>
  </si>
  <si>
    <t xml:space="preserve">Urumita (IRE)</t>
  </si>
  <si>
    <t xml:space="preserve">7:00</t>
  </si>
  <si>
    <t xml:space="preserve">Race &amp; Rest - Wolverhampton Holiday Inn Handicap</t>
  </si>
  <si>
    <t xml:space="preserve">Methgal (IRE)</t>
  </si>
  <si>
    <t xml:space="preserve">Levey, S M</t>
  </si>
  <si>
    <t xml:space="preserve">Rye</t>
  </si>
  <si>
    <t xml:space="preserve">7:30</t>
  </si>
  <si>
    <t xml:space="preserve">Follow AtTheRaces On Instagram Handicap</t>
  </si>
  <si>
    <t xml:space="preserve">Notable Charm</t>
  </si>
  <si>
    <t xml:space="preserve">Tregoning, M P</t>
  </si>
  <si>
    <t xml:space="preserve">D Day Major Winter</t>
  </si>
  <si>
    <t xml:space="preserve">8:00</t>
  </si>
  <si>
    <t xml:space="preserve">Sky Sports Racing Sky 415 Handicap (Div 1)</t>
  </si>
  <si>
    <t xml:space="preserve">Kev</t>
  </si>
  <si>
    <t xml:space="preserve">Crouch, Hector</t>
  </si>
  <si>
    <t xml:space="preserve">Equion</t>
  </si>
  <si>
    <t xml:space="preserve">8:30</t>
  </si>
  <si>
    <t xml:space="preserve">Sky Sports Racing Sky 415 Handicap (Div 2)</t>
  </si>
  <si>
    <t xml:space="preserve">African Spirit (IRE)</t>
  </si>
  <si>
    <t xml:space="preserve">Dumfries</t>
  </si>
  <si>
    <t xml:space="preserve">Horse</t>
  </si>
  <si>
    <t xml:space="preserve">Its predicted BSP</t>
  </si>
  <si>
    <t xml:space="preserve">Share of the book</t>
  </si>
  <si>
    <t xml:space="preserve">Others' prices ×</t>
  </si>
  <si>
    <t xml:space="preserve">Mayberry Moon</t>
  </si>
  <si>
    <t xml:space="preserve">Ukiyo (IRE)</t>
  </si>
  <si>
    <t xml:space="preserve">Knightlight</t>
  </si>
  <si>
    <t xml:space="preserve">Blue Orquidea (IRE)</t>
  </si>
  <si>
    <t xml:space="preserve">Cause I Like You (IRE)</t>
  </si>
  <si>
    <t xml:space="preserve">Jazz Dreamers (IRE)</t>
  </si>
  <si>
    <t xml:space="preserve">Arabian Summer (IRE)</t>
  </si>
  <si>
    <t xml:space="preserve">Venetian Romance (IRE)</t>
  </si>
  <si>
    <t xml:space="preserve">Cosmic Clarets (IRE)</t>
  </si>
  <si>
    <t xml:space="preserve">Tortola (IRE)</t>
  </si>
  <si>
    <t xml:space="preserve">Book Of Life</t>
  </si>
  <si>
    <t xml:space="preserve">Runners (now)</t>
  </si>
  <si>
    <t xml:space="preserve">gated 10:53 top pick</t>
  </si>
  <si>
    <t xml:space="preserve">gated 10:53 BSP</t>
  </si>
  <si>
    <t xml:space="preserve">Its 09:37 BSP</t>
  </si>
  <si>
    <t xml:space="preserve">09:37 top pick (runners still declared)</t>
  </si>
  <si>
    <t xml:space="preserve">09:37 BSP</t>
  </si>
  <si>
    <t xml:space="preserve">Same pick?</t>
  </si>
  <si>
    <t xml:space="preserve">gated 10:53 vs 09:37 on the gated 10:53's pick</t>
  </si>
  <si>
    <t xml:space="preserve">Races with the same top pick</t>
  </si>
  <si>
    <t xml:space="preserve">Class</t>
  </si>
  <si>
    <t xml:space="preserve">Furlongs</t>
  </si>
  <si>
    <t xml:space="preserve">Going</t>
  </si>
  <si>
    <t xml:space="preserve">Draw</t>
  </si>
  <si>
    <t xml:space="preserve">OR</t>
  </si>
  <si>
    <t xml:space="preserve">Age</t>
  </si>
  <si>
    <t xml:space="preserve">Days since run</t>
  </si>
  <si>
    <t xml:space="preserve">Yielding</t>
  </si>
  <si>
    <t xml:space="preserve">OConnor, Donagh</t>
  </si>
  <si>
    <t xml:space="preserve">Aguiar, Robson</t>
  </si>
  <si>
    <t xml:space="preserve">El Domino</t>
  </si>
  <si>
    <t xml:space="preserve">Slattery, A J</t>
  </si>
  <si>
    <t xml:space="preserve">Slattery, Andrew</t>
  </si>
  <si>
    <t xml:space="preserve">Alfresco (IRE)</t>
  </si>
  <si>
    <t xml:space="preserve">Ryan, Gavin</t>
  </si>
  <si>
    <t xml:space="preserve">Obrien, Donnacha</t>
  </si>
  <si>
    <t xml:space="preserve">Anthony Of Lisbon</t>
  </si>
  <si>
    <t xml:space="preserve">Frain, Freya</t>
  </si>
  <si>
    <t xml:space="preserve">Sapphire Sun (IRE)</t>
  </si>
  <si>
    <t xml:space="preserve">Lion Of Fortune (IRE)</t>
  </si>
  <si>
    <t xml:space="preserve">Whelan, R P</t>
  </si>
  <si>
    <t xml:space="preserve">Cotter, Kieran P</t>
  </si>
  <si>
    <t xml:space="preserve">Spirit Of The Nite (IRE)</t>
  </si>
  <si>
    <t xml:space="preserve">Ryan, J J G</t>
  </si>
  <si>
    <t xml:space="preserve">McCourt, T G</t>
  </si>
  <si>
    <t xml:space="preserve">Sorrento Sunset (IRE)</t>
  </si>
  <si>
    <t xml:space="preserve">Powell, J A</t>
  </si>
  <si>
    <t xml:space="preserve">McLoughlin, Daniel</t>
  </si>
  <si>
    <t xml:space="preserve">Lolapipa (IRE)</t>
  </si>
  <si>
    <t xml:space="preserve">Persse, A C</t>
  </si>
  <si>
    <t xml:space="preserve">Cahill, Mark</t>
  </si>
  <si>
    <t xml:space="preserve">Habu (IRE)</t>
  </si>
  <si>
    <t xml:space="preserve">Tynan, Orla</t>
  </si>
  <si>
    <t xml:space="preserve">Tynan, M J</t>
  </si>
  <si>
    <t xml:space="preserve">Imply (IRE)</t>
  </si>
  <si>
    <t xml:space="preserve">Mulligan, R M</t>
  </si>
  <si>
    <t xml:space="preserve">Weld, Charles</t>
  </si>
  <si>
    <t xml:space="preserve">Bettercalltheboss (IRE)</t>
  </si>
  <si>
    <t xml:space="preserve">Cleary, R P</t>
  </si>
  <si>
    <t xml:space="preserve">Lynch, Miss Jennifer Anne</t>
  </si>
  <si>
    <t xml:space="preserve">Class 5</t>
  </si>
  <si>
    <t xml:space="preserve">Good To Firm</t>
  </si>
  <si>
    <t xml:space="preserve">Haines, Olivia</t>
  </si>
  <si>
    <t xml:space="preserve">Teal, R A</t>
  </si>
  <si>
    <t xml:space="preserve">Shady Bay (IRE)</t>
  </si>
  <si>
    <t xml:space="preserve">Lewis, Ashley</t>
  </si>
  <si>
    <t xml:space="preserve">Ward, Tom</t>
  </si>
  <si>
    <t xml:space="preserve">Oman (IRE)</t>
  </si>
  <si>
    <t xml:space="preserve">Coppins, Myla</t>
  </si>
  <si>
    <t xml:space="preserve">Carroll, A W</t>
  </si>
  <si>
    <t xml:space="preserve">Dryburgh (IRE)</t>
  </si>
  <si>
    <t xml:space="preserve">Catton, Luke</t>
  </si>
  <si>
    <t xml:space="preserve">Rix, Oli</t>
  </si>
  <si>
    <t xml:space="preserve">Captain Fox (IRE)</t>
  </si>
  <si>
    <t xml:space="preserve">Murphy, D J</t>
  </si>
  <si>
    <t xml:space="preserve">Hughes, Richard</t>
  </si>
  <si>
    <t xml:space="preserve">Its Life</t>
  </si>
  <si>
    <t xml:space="preserve">Turner, Kathy</t>
  </si>
  <si>
    <t xml:space="preserve">Pomme Pomme (IRE)</t>
  </si>
  <si>
    <t xml:space="preserve">Dace, Jack</t>
  </si>
  <si>
    <t xml:space="preserve">Channon, Jack</t>
  </si>
  <si>
    <t xml:space="preserve">Gallant Pioneer (IRE)</t>
  </si>
  <si>
    <t xml:space="preserve">Vigors, Harry</t>
  </si>
  <si>
    <t xml:space="preserve">Pike, Charlie</t>
  </si>
  <si>
    <t xml:space="preserve">Rascallion (FR)</t>
  </si>
  <si>
    <t xml:space="preserve">Langley, Taryn</t>
  </si>
  <si>
    <t xml:space="preserve">Knight, Miss H C</t>
  </si>
  <si>
    <t xml:space="preserve">Arcadian Nights</t>
  </si>
  <si>
    <t xml:space="preserve">Regan, Hope</t>
  </si>
  <si>
    <t xml:space="preserve">Loughnane, Daniel Mark</t>
  </si>
  <si>
    <t xml:space="preserve">Heavy</t>
  </si>
  <si>
    <t xml:space="preserve">Young, Lauren</t>
  </si>
  <si>
    <t xml:space="preserve">Goldie, J S</t>
  </si>
  <si>
    <t xml:space="preserve">Penelopes Sister (IRE)</t>
  </si>
  <si>
    <t xml:space="preserve">Farmer, Shay</t>
  </si>
  <si>
    <t xml:space="preserve">Leopards Rock</t>
  </si>
  <si>
    <t xml:space="preserve">Horgan, C</t>
  </si>
  <si>
    <t xml:space="preserve">Kindest Nation (IRE)</t>
  </si>
  <si>
    <t xml:space="preserve">Nicholls, Jack</t>
  </si>
  <si>
    <t xml:space="preserve">Palmer, Hugo</t>
  </si>
  <si>
    <t xml:space="preserve">Swift Salian (IRE)</t>
  </si>
  <si>
    <t xml:space="preserve">Pyle, William</t>
  </si>
  <si>
    <t xml:space="preserve">Barron, T D</t>
  </si>
  <si>
    <t xml:space="preserve">Runninsonofagun (IRE)</t>
  </si>
  <si>
    <t xml:space="preserve">Jary, Alex</t>
  </si>
  <si>
    <t xml:space="preserve">Davidson, Tristan</t>
  </si>
  <si>
    <t xml:space="preserve">Arkenstaar</t>
  </si>
  <si>
    <t xml:space="preserve">Elliott, Rhys</t>
  </si>
  <si>
    <t xml:space="preserve">Dods, M</t>
  </si>
  <si>
    <t xml:space="preserve">Good</t>
  </si>
  <si>
    <t xml:space="preserve">Maggs, Charlie</t>
  </si>
  <si>
    <t xml:space="preserve">Haslam, B M R</t>
  </si>
  <si>
    <t xml:space="preserve">Cawthorne Cracker (IRE)</t>
  </si>
  <si>
    <t xml:space="preserve">Smith, Ben</t>
  </si>
  <si>
    <t xml:space="preserve">Greenall, O / Guerriero, J</t>
  </si>
  <si>
    <t xml:space="preserve">Alibey</t>
  </si>
  <si>
    <t xml:space="preserve">Keighley, Freddie</t>
  </si>
  <si>
    <t xml:space="preserve">Made All</t>
  </si>
  <si>
    <t xml:space="preserve">Hitchen, Miss Rebecca</t>
  </si>
  <si>
    <t xml:space="preserve">Langton Wold (IRE)</t>
  </si>
  <si>
    <t xml:space="preserve">Brown, Oakley</t>
  </si>
  <si>
    <t xml:space="preserve">Ellison, B</t>
  </si>
  <si>
    <t xml:space="preserve">Mr Globalist (IRE)</t>
  </si>
  <si>
    <t xml:space="preserve">Noreci, Leah</t>
  </si>
  <si>
    <t xml:space="preserve">Quinlan, Elizabeth</t>
  </si>
  <si>
    <t xml:space="preserve">Howlin Wolf (IRE)</t>
  </si>
  <si>
    <t xml:space="preserve">Davison, Jack W</t>
  </si>
  <si>
    <t xml:space="preserve">Captain James Cook</t>
  </si>
  <si>
    <t xml:space="preserve">Best Love (IRE)</t>
  </si>
  <si>
    <t xml:space="preserve">McDonogh, D P</t>
  </si>
  <si>
    <t xml:space="preserve">Harty, Edward and Patrick</t>
  </si>
  <si>
    <t xml:space="preserve">Whosinterviewinwho (IRE)</t>
  </si>
  <si>
    <t xml:space="preserve">Coen, S</t>
  </si>
  <si>
    <t xml:space="preserve">Cyclone Code (IRE)</t>
  </si>
  <si>
    <t xml:space="preserve">Cavanagh, S</t>
  </si>
  <si>
    <t xml:space="preserve">Cosgrave, Pat</t>
  </si>
  <si>
    <t xml:space="preserve">Eustace, Harry</t>
  </si>
  <si>
    <t xml:space="preserve">Moab (IRE)</t>
  </si>
  <si>
    <t xml:space="preserve">Society Girl</t>
  </si>
  <si>
    <t xml:space="preserve">Shoemark, Kieran</t>
  </si>
  <si>
    <t xml:space="preserve">Walker, Ed</t>
  </si>
  <si>
    <t xml:space="preserve">Percy Jones</t>
  </si>
  <si>
    <t xml:space="preserve">Fisher, Taylor</t>
  </si>
  <si>
    <t xml:space="preserve">Two Plus Two (IRE)</t>
  </si>
  <si>
    <t xml:space="preserve">De Giles, Ed</t>
  </si>
  <si>
    <t xml:space="preserve">Belle Of Kt</t>
  </si>
  <si>
    <t xml:space="preserve">Wonnacott, Millie</t>
  </si>
  <si>
    <t xml:space="preserve">Moore, J S</t>
  </si>
  <si>
    <t xml:space="preserve">Hebridean Nomad</t>
  </si>
  <si>
    <t xml:space="preserve">Tucker, Charlie</t>
  </si>
  <si>
    <t xml:space="preserve">Balding, A M</t>
  </si>
  <si>
    <t xml:space="preserve">Beggarman</t>
  </si>
  <si>
    <t xml:space="preserve">Morrison, H</t>
  </si>
  <si>
    <t xml:space="preserve">Yokkell (IRE)</t>
  </si>
  <si>
    <t xml:space="preserve">Marsh, Finley</t>
  </si>
  <si>
    <t xml:space="preserve">Calshot Spit (IRE)</t>
  </si>
  <si>
    <t xml:space="preserve">Bishop, Charles</t>
  </si>
  <si>
    <t xml:space="preserve">West, Miss Sheena</t>
  </si>
  <si>
    <t xml:space="preserve">Virtue Diligence</t>
  </si>
  <si>
    <t xml:space="preserve">Perrett, Mrs A J</t>
  </si>
  <si>
    <t xml:space="preserve">One Cool Dreamer (IRE)</t>
  </si>
  <si>
    <t xml:space="preserve">Carson, William</t>
  </si>
  <si>
    <t xml:space="preserve">Stephens, Robert</t>
  </si>
  <si>
    <t xml:space="preserve">Class 4</t>
  </si>
  <si>
    <t xml:space="preserve">Scott, Rowan</t>
  </si>
  <si>
    <t xml:space="preserve">Tinkler, N</t>
  </si>
  <si>
    <t xml:space="preserve">Naval Architect (IRE)</t>
  </si>
  <si>
    <t xml:space="preserve">Sheehy, M P</t>
  </si>
  <si>
    <t xml:space="preserve">Luna Lacy (IRE)</t>
  </si>
  <si>
    <t xml:space="preserve">Garritty, Jack</t>
  </si>
  <si>
    <t xml:space="preserve">Nicholls, Adrian</t>
  </si>
  <si>
    <t xml:space="preserve">Pirates Whisper (IRE)</t>
  </si>
  <si>
    <t xml:space="preserve">Smith, R Michael</t>
  </si>
  <si>
    <t xml:space="preserve">Sneakin Pete</t>
  </si>
  <si>
    <t xml:space="preserve">Mullen, Andrew</t>
  </si>
  <si>
    <t xml:space="preserve">OBrien, P V</t>
  </si>
  <si>
    <t xml:space="preserve">Derham, Harry</t>
  </si>
  <si>
    <t xml:space="preserve">Watcha Snoop (IRE)</t>
  </si>
  <si>
    <t xml:space="preserve">Mania, Ryan</t>
  </si>
  <si>
    <t xml:space="preserve">Nicol, Adam</t>
  </si>
  <si>
    <t xml:space="preserve">Time Twister</t>
  </si>
  <si>
    <t xml:space="preserve">Hamilton, Jamie</t>
  </si>
  <si>
    <t xml:space="preserve">Easterby, M W</t>
  </si>
  <si>
    <t xml:space="preserve">Al Khawaaneej (IRE)</t>
  </si>
  <si>
    <t xml:space="preserve">Gillard, Theo</t>
  </si>
  <si>
    <t xml:space="preserve">McCain Jnr, D</t>
  </si>
  <si>
    <t xml:space="preserve">Royal Baroness</t>
  </si>
  <si>
    <t xml:space="preserve">Keep Under Wraps</t>
  </si>
  <si>
    <t xml:space="preserve">Tudor, Jack</t>
  </si>
  <si>
    <t xml:space="preserve">Feane, John James</t>
  </si>
  <si>
    <t xml:space="preserve">Motta Alta (IRE)</t>
  </si>
  <si>
    <t xml:space="preserve">McCullagh, Scott</t>
  </si>
  <si>
    <t xml:space="preserve">Harrington, Mrs John</t>
  </si>
  <si>
    <t xml:space="preserve">Baiana (GER)</t>
  </si>
  <si>
    <t xml:space="preserve">Staysound Susie (IRE)</t>
  </si>
  <si>
    <t xml:space="preserve">Dalton, J S</t>
  </si>
  <si>
    <t xml:space="preserve">Rosato (IRE)</t>
  </si>
  <si>
    <t xml:space="preserve">Flash Of Fire</t>
  </si>
  <si>
    <t xml:space="preserve">Saint Agatha (IRE)</t>
  </si>
  <si>
    <t xml:space="preserve">Heffernan, J A</t>
  </si>
  <si>
    <t xml:space="preserve">Stack, J A</t>
  </si>
  <si>
    <t xml:space="preserve">My Cubby Bear (IRE)</t>
  </si>
  <si>
    <t xml:space="preserve">Lee, W J</t>
  </si>
  <si>
    <t xml:space="preserve">Bromhead, Henry De</t>
  </si>
  <si>
    <t xml:space="preserve">Class 6</t>
  </si>
  <si>
    <t xml:space="preserve">Harris, Miss G</t>
  </si>
  <si>
    <t xml:space="preserve">Amarachi (IRE)</t>
  </si>
  <si>
    <t xml:space="preserve">Mitchell, Jack</t>
  </si>
  <si>
    <t xml:space="preserve">Parr, Joseph</t>
  </si>
  <si>
    <t xml:space="preserve">Chilly Breeze</t>
  </si>
  <si>
    <t xml:space="preserve">Sousa, Silvestre De</t>
  </si>
  <si>
    <t xml:space="preserve">Fizzy Bear (IRE)</t>
  </si>
  <si>
    <t xml:space="preserve">Baker, George</t>
  </si>
  <si>
    <t xml:space="preserve">Dappled Light</t>
  </si>
  <si>
    <t xml:space="preserve">Thiscouldbefun (IRE)</t>
  </si>
  <si>
    <t xml:space="preserve">Denbys Dream</t>
  </si>
  <si>
    <t xml:space="preserve">Currie, Nicola</t>
  </si>
  <si>
    <t xml:space="preserve">Havana Club</t>
  </si>
  <si>
    <t xml:space="preserve">Blue Hero (CAN)</t>
  </si>
  <si>
    <t xml:space="preserve">Man From Havana</t>
  </si>
  <si>
    <t xml:space="preserve">Ffrench Davis, Ben</t>
  </si>
  <si>
    <t xml:space="preserve">Davis, D J S Ffrench</t>
  </si>
  <si>
    <t xml:space="preserve">Afta Party (IRE)</t>
  </si>
  <si>
    <t xml:space="preserve">Nolan, D</t>
  </si>
  <si>
    <t xml:space="preserve">Coyle, Tony</t>
  </si>
  <si>
    <t xml:space="preserve">Mehmas Champion (IRE)</t>
  </si>
  <si>
    <t xml:space="preserve">Tipsy Tiger</t>
  </si>
  <si>
    <t xml:space="preserve">Gray, S A</t>
  </si>
  <si>
    <t xml:space="preserve">Stone, W B</t>
  </si>
  <si>
    <t xml:space="preserve">Krissy (IRE)</t>
  </si>
  <si>
    <t xml:space="preserve">Zowal (FR)</t>
  </si>
  <si>
    <t xml:space="preserve">Kokanee (IRE)</t>
  </si>
  <si>
    <t xml:space="preserve">Mano Chicago (IRE)</t>
  </si>
  <si>
    <t xml:space="preserve">Jardine, I</t>
  </si>
  <si>
    <t xml:space="preserve">Yermanthere (IRE)</t>
  </si>
  <si>
    <t xml:space="preserve">Allan, David</t>
  </si>
  <si>
    <t xml:space="preserve">Easterby, T D</t>
  </si>
  <si>
    <t xml:space="preserve">Power, I J</t>
  </si>
  <si>
    <t xml:space="preserve">Tanking Along (IRE)</t>
  </si>
  <si>
    <t xml:space="preserve">Neville, Patrick</t>
  </si>
  <si>
    <t xml:space="preserve">Four Decades</t>
  </si>
  <si>
    <t xml:space="preserve">Andrews, Jack</t>
  </si>
  <si>
    <t xml:space="preserve">Ellis, T</t>
  </si>
  <si>
    <t xml:space="preserve">Fahey, Jarlath P</t>
  </si>
  <si>
    <t xml:space="preserve">Carrigans Grove (IRE)</t>
  </si>
  <si>
    <t xml:space="preserve">Donaghue-Leahy, R</t>
  </si>
  <si>
    <t xml:space="preserve">Flynn, Patrick J</t>
  </si>
  <si>
    <t xml:space="preserve">Brains (IRE)</t>
  </si>
  <si>
    <t xml:space="preserve">Donohoe, R</t>
  </si>
  <si>
    <t xml:space="preserve">Run Forrest Run (IRE)</t>
  </si>
  <si>
    <t xml:space="preserve">Hourigan, Laura</t>
  </si>
  <si>
    <t xml:space="preserve">Verified (IRE)</t>
  </si>
  <si>
    <t xml:space="preserve">Carroll, G F</t>
  </si>
  <si>
    <t xml:space="preserve">Keane, Gerard</t>
  </si>
  <si>
    <t xml:space="preserve">Sand Art (IRE)</t>
  </si>
  <si>
    <t xml:space="preserve">Pietropaolo, J</t>
  </si>
  <si>
    <t xml:space="preserve">Coleman, Kevin</t>
  </si>
  <si>
    <t xml:space="preserve">Sceitimini (IRE)</t>
  </si>
  <si>
    <t xml:space="preserve">Sweeney, Rodger</t>
  </si>
  <si>
    <t xml:space="preserve">Akashaa (IRE)</t>
  </si>
  <si>
    <t xml:space="preserve">McNally, Kian</t>
  </si>
  <si>
    <t xml:space="preserve">Lupini, Miss Natalia</t>
  </si>
  <si>
    <t xml:space="preserve">Bright Image (IRE)</t>
  </si>
  <si>
    <t xml:space="preserve">Donoghue, C P</t>
  </si>
  <si>
    <t xml:space="preserve">Jordan Breeze (IRE)</t>
  </si>
  <si>
    <t xml:space="preserve">Linger For Longer (IRE)</t>
  </si>
  <si>
    <t xml:space="preserve">Leahy, Augustine</t>
  </si>
  <si>
    <t xml:space="preserve">Hastily</t>
  </si>
  <si>
    <t xml:space="preserve">Wallace, S A</t>
  </si>
  <si>
    <t xml:space="preserve">McGuinness, Tom</t>
  </si>
  <si>
    <t xml:space="preserve">Pansy Poe (IRE)</t>
  </si>
  <si>
    <t xml:space="preserve">Holohan, Reese</t>
  </si>
  <si>
    <t xml:space="preserve">Fahey, Mark</t>
  </si>
  <si>
    <t xml:space="preserve">Surpass And Shine (IRE)</t>
  </si>
  <si>
    <t xml:space="preserve">Aboveheronlysky (IRE)</t>
  </si>
  <si>
    <t xml:space="preserve">Kennedy, K G</t>
  </si>
  <si>
    <t xml:space="preserve">Doyle, Timothy</t>
  </si>
  <si>
    <t xml:space="preserve">Cash On Black (IRE)</t>
  </si>
  <si>
    <t xml:space="preserve">Alandownunder (IRE)</t>
  </si>
  <si>
    <t xml:space="preserve">McGettigan, P</t>
  </si>
  <si>
    <t xml:space="preserve">Three Sixteen (IRE)</t>
  </si>
  <si>
    <t xml:space="preserve">McAteer, L T</t>
  </si>
  <si>
    <t xml:space="preserve">McIntyre, Alan</t>
  </si>
  <si>
    <t xml:space="preserve">Class 3</t>
  </si>
  <si>
    <t xml:space="preserve">Haggas, W J</t>
  </si>
  <si>
    <t xml:space="preserve">Political Resident</t>
  </si>
  <si>
    <t xml:space="preserve">Next Best</t>
  </si>
  <si>
    <t xml:space="preserve">Houghton, Eve Johnson</t>
  </si>
  <si>
    <t xml:space="preserve">First Class Lad</t>
  </si>
  <si>
    <t xml:space="preserve">Evans, P D</t>
  </si>
  <si>
    <t xml:space="preserve">Dust My Broom</t>
  </si>
  <si>
    <t xml:space="preserve">ONeill, K T</t>
  </si>
  <si>
    <t xml:space="preserve">Attwater, M J</t>
  </si>
  <si>
    <t xml:space="preserve">Homestrait (IRE)</t>
  </si>
  <si>
    <t xml:space="preserve">Marshall, Tom Kiely</t>
  </si>
  <si>
    <t xml:space="preserve">One Night Thunder</t>
  </si>
  <si>
    <t xml:space="preserve">Beasley, Connor</t>
  </si>
  <si>
    <t xml:space="preserve">Count Palatine (IRE)</t>
  </si>
  <si>
    <t xml:space="preserve">Kirrane, Sean</t>
  </si>
  <si>
    <t xml:space="preserve">Abduction (FR)</t>
  </si>
  <si>
    <t xml:space="preserve">Stanage</t>
  </si>
  <si>
    <t xml:space="preserve">Mason, Joanna</t>
  </si>
  <si>
    <t xml:space="preserve">Wobwobwob (IRE)</t>
  </si>
  <si>
    <t xml:space="preserve">Circle Of Trust (IRE)</t>
  </si>
  <si>
    <t xml:space="preserve">Stott, Kevin</t>
  </si>
  <si>
    <t xml:space="preserve">Ryan, K A</t>
  </si>
  <si>
    <t xml:space="preserve">Tip Foster</t>
  </si>
  <si>
    <t xml:space="preserve">Hammond, Micky</t>
  </si>
  <si>
    <t xml:space="preserve">Zamond (FR)</t>
  </si>
  <si>
    <t xml:space="preserve">Brown, Harry</t>
  </si>
  <si>
    <t xml:space="preserve">Vanilla Dancer</t>
  </si>
  <si>
    <t xml:space="preserve">McMenamin, Daniel</t>
  </si>
  <si>
    <t xml:space="preserve">Grant, C</t>
  </si>
  <si>
    <t xml:space="preserve">Hijo De La Luna (GER)</t>
  </si>
  <si>
    <t xml:space="preserve">Lynn, Bruce</t>
  </si>
  <si>
    <t xml:space="preserve">West, S G</t>
  </si>
  <si>
    <t xml:space="preserve">Breaking Ground (IRE)</t>
  </si>
  <si>
    <t xml:space="preserve">Wynne, Toby</t>
  </si>
  <si>
    <t xml:space="preserve">Sovereignlightcafe</t>
  </si>
  <si>
    <t xml:space="preserve">Tracker Issue (IRE)</t>
  </si>
  <si>
    <t xml:space="preserve">Meade, Noel</t>
  </si>
  <si>
    <t xml:space="preserve">Manton Bay (IRE)</t>
  </si>
  <si>
    <t xml:space="preserve">Marnane, David</t>
  </si>
  <si>
    <t xml:space="preserve">Shaihaan (IRE)</t>
  </si>
  <si>
    <t xml:space="preserve">Hayes, C D</t>
  </si>
  <si>
    <t xml:space="preserve">Magnum Cor (IRE)</t>
  </si>
  <si>
    <t xml:space="preserve">Latin America (IRE)</t>
  </si>
  <si>
    <t xml:space="preserve">Back Straight</t>
  </si>
  <si>
    <t xml:space="preserve">OCallaghan, M D</t>
  </si>
  <si>
    <t xml:space="preserve">Action (IRE)</t>
  </si>
  <si>
    <t xml:space="preserve">Alphecca (IRE)</t>
  </si>
  <si>
    <t xml:space="preserve">Murphy, Joseph G</t>
  </si>
  <si>
    <t xml:space="preserve">Garden Party (IRE)</t>
  </si>
  <si>
    <t xml:space="preserve">Mr Vettori (IRE)</t>
  </si>
  <si>
    <t xml:space="preserve">Fallacy (USA)</t>
  </si>
  <si>
    <t xml:space="preserve">Cowell, R M H</t>
  </si>
  <si>
    <t xml:space="preserve">Jax Edge</t>
  </si>
  <si>
    <t xml:space="preserve">Mangan, Gina</t>
  </si>
  <si>
    <t xml:space="preserve">Mason, Christopher</t>
  </si>
  <si>
    <t xml:space="preserve">Toolatetonegotiate</t>
  </si>
  <si>
    <t xml:space="preserve">Hitchins, Daisy</t>
  </si>
  <si>
    <t xml:space="preserve">Coyy (IRE)</t>
  </si>
  <si>
    <t xml:space="preserve">Alondra</t>
  </si>
  <si>
    <t xml:space="preserve">Dixon, Scott</t>
  </si>
  <si>
    <t xml:space="preserve">Forager</t>
  </si>
  <si>
    <t xml:space="preserve">Pearce, Simon</t>
  </si>
  <si>
    <t xml:space="preserve">Carefree Dream</t>
  </si>
  <si>
    <t xml:space="preserve">Brave Nation (IRE)</t>
  </si>
  <si>
    <t xml:space="preserve">Correspondence</t>
  </si>
  <si>
    <t xml:space="preserve">Kodicall (IRE)</t>
  </si>
  <si>
    <t xml:space="preserve">Dobie, Georgia</t>
  </si>
  <si>
    <t xml:space="preserve">Aces Wild (IRE)</t>
  </si>
  <si>
    <t xml:space="preserve">Garritty, Billy</t>
  </si>
  <si>
    <t xml:space="preserve">Kelpie Grey</t>
  </si>
  <si>
    <t xml:space="preserve">Mulrennan, Paul</t>
  </si>
  <si>
    <t xml:space="preserve">Lope Y Linda</t>
  </si>
  <si>
    <t xml:space="preserve">Tap Dancer</t>
  </si>
  <si>
    <t xml:space="preserve">Showtown (IRE)</t>
  </si>
  <si>
    <t xml:space="preserve">Eaves, Tom</t>
  </si>
  <si>
    <t xml:space="preserve">Sailor Batt (IRE)</t>
  </si>
  <si>
    <t xml:space="preserve">Wise Crack (IRE)</t>
  </si>
  <si>
    <t xml:space="preserve">Carr, Mrs R A</t>
  </si>
  <si>
    <t xml:space="preserve">Novak</t>
  </si>
  <si>
    <t xml:space="preserve">Tuke, Cara</t>
  </si>
  <si>
    <t xml:space="preserve">Toy Soldier (IRE)</t>
  </si>
  <si>
    <t xml:space="preserve">Clarkson, Lexie</t>
  </si>
  <si>
    <t xml:space="preserve">Russell, Lucinda / Scudamore, M</t>
  </si>
  <si>
    <t xml:space="preserve">Runninman (IRE)</t>
  </si>
  <si>
    <t xml:space="preserve">Whillans, D W</t>
  </si>
  <si>
    <t xml:space="preserve">Newland, Dr R D P</t>
  </si>
  <si>
    <t xml:space="preserve">Mary (IRE)</t>
  </si>
  <si>
    <t xml:space="preserve">Todd, C J</t>
  </si>
  <si>
    <t xml:space="preserve">Jet Of Dreams (IRE)</t>
  </si>
  <si>
    <t xml:space="preserve">Bowen, James C</t>
  </si>
  <si>
    <t xml:space="preserve">Greatrex, W J</t>
  </si>
  <si>
    <t xml:space="preserve">Kinbara Firstdraft (IRE)</t>
  </si>
  <si>
    <t xml:space="preserve">Fox, Derek R</t>
  </si>
  <si>
    <t xml:space="preserve">Kerr, L</t>
  </si>
  <si>
    <t xml:space="preserve">Twomey, P</t>
  </si>
  <si>
    <t xml:space="preserve">Gods Love</t>
  </si>
  <si>
    <t xml:space="preserve">Lyons, G M</t>
  </si>
  <si>
    <t xml:space="preserve">Alaraza (IRE)</t>
  </si>
  <si>
    <t xml:space="preserve">Weld, D K</t>
  </si>
  <si>
    <t xml:space="preserve">Cross Of Stars (IRE)</t>
  </si>
  <si>
    <t xml:space="preserve">Somebody Loves Me</t>
  </si>
  <si>
    <t xml:space="preserve">Captivating (IRE)</t>
  </si>
  <si>
    <t xml:space="preserve">Cleary, Jack</t>
  </si>
  <si>
    <t xml:space="preserve">Anymore (IRE)</t>
  </si>
  <si>
    <t xml:space="preserve">State Of Clarity (IRE)</t>
  </si>
  <si>
    <t xml:space="preserve">Torvella (IRE)</t>
  </si>
  <si>
    <t xml:space="preserve">Angel Invincible (IRE)</t>
  </si>
  <si>
    <t xml:space="preserve">Tequila Belle (IRE)</t>
  </si>
  <si>
    <t xml:space="preserve">Browne-Souza, A</t>
  </si>
  <si>
    <t xml:space="preserve">Lady Chancalot (FR)</t>
  </si>
  <si>
    <t xml:space="preserve">Drumbinion Lass (IRE)</t>
  </si>
  <si>
    <t xml:space="preserve">Caffrey, Adam</t>
  </si>
  <si>
    <t xml:space="preserve">Standard</t>
  </si>
  <si>
    <t xml:space="preserve">Read All About It</t>
  </si>
  <si>
    <t xml:space="preserve">Its A Love Thing</t>
  </si>
  <si>
    <t xml:space="preserve">Peate, Jonny</t>
  </si>
  <si>
    <t xml:space="preserve">Henfield</t>
  </si>
  <si>
    <t xml:space="preserve">Havlin, Robert</t>
  </si>
  <si>
    <t xml:space="preserve">Jewell, Karen</t>
  </si>
  <si>
    <t xml:space="preserve">Magic Runner (GER)</t>
  </si>
  <si>
    <t xml:space="preserve">Sullivan, James P</t>
  </si>
  <si>
    <t xml:space="preserve">Rajendra</t>
  </si>
  <si>
    <t xml:space="preserve">Shepherd, Callum</t>
  </si>
  <si>
    <t xml:space="preserve">Simcock, D M</t>
  </si>
  <si>
    <t xml:space="preserve">Marveling</t>
  </si>
  <si>
    <t xml:space="preserve">Lee, Clifford</t>
  </si>
  <si>
    <t xml:space="preserve">Evans, H J</t>
  </si>
  <si>
    <t xml:space="preserve">Implied Volatility (IRE)</t>
  </si>
  <si>
    <t xml:space="preserve">Wood, George</t>
  </si>
  <si>
    <t xml:space="preserve">Galactic Glow (IRE)</t>
  </si>
  <si>
    <t xml:space="preserve">Hutchinson, Callum</t>
  </si>
  <si>
    <t xml:space="preserve">Tickle, J</t>
  </si>
  <si>
    <t xml:space="preserve">Lady Delila (IRE)</t>
  </si>
  <si>
    <t xml:space="preserve">Bradley, Paddy</t>
  </si>
  <si>
    <t xml:space="preserve">Morris, Patrick</t>
  </si>
  <si>
    <t xml:space="preserve">Port Noir</t>
  </si>
  <si>
    <t xml:space="preserve">Morris, Luke</t>
  </si>
  <si>
    <t xml:space="preserve">Big Moonrise</t>
  </si>
  <si>
    <t xml:space="preserve">Egan, John</t>
  </si>
  <si>
    <t xml:space="preserve">Millman, B R</t>
  </si>
  <si>
    <t xml:space="preserve">Hemustbeanangel (IRE)</t>
  </si>
  <si>
    <t xml:space="preserve">Snow On The Beach</t>
  </si>
  <si>
    <t xml:space="preserve">Last Dandelion</t>
  </si>
  <si>
    <t xml:space="preserve">Williams, S C</t>
  </si>
  <si>
    <t xml:space="preserve">Polly The Sniper</t>
  </si>
  <si>
    <t xml:space="preserve">Cox, William</t>
  </si>
  <si>
    <t xml:space="preserve">Dascombe, Tom</t>
  </si>
  <si>
    <t xml:space="preserve">So Tempting</t>
  </si>
  <si>
    <t xml:space="preserve">Good Fighter</t>
  </si>
  <si>
    <t xml:space="preserve">Tubb, Olivia</t>
  </si>
  <si>
    <t xml:space="preserve">Mohammed, Ismail</t>
  </si>
  <si>
    <t xml:space="preserve">Premium Seat</t>
  </si>
  <si>
    <t xml:space="preserve">Its A Dream</t>
  </si>
  <si>
    <t xml:space="preserve">Courseyoudo (FR)</t>
  </si>
  <si>
    <t xml:space="preserve">Lacey, T</t>
  </si>
  <si>
    <t xml:space="preserve">Foxsbrush</t>
  </si>
  <si>
    <t xml:space="preserve">Bond, Alice</t>
  </si>
  <si>
    <t xml:space="preserve">Ryan, J</t>
  </si>
  <si>
    <t xml:space="preserve">Ashen (IRE)</t>
  </si>
  <si>
    <t xml:space="preserve">Parisiac (IRE)</t>
  </si>
  <si>
    <t xml:space="preserve">Belsito (GER)</t>
  </si>
  <si>
    <t xml:space="preserve">Roberto Caro (IRE)</t>
  </si>
  <si>
    <t xml:space="preserve">Big Harry</t>
  </si>
  <si>
    <t xml:space="preserve">Stirrup Cup</t>
  </si>
  <si>
    <t xml:space="preserve">Rescheduled</t>
  </si>
  <si>
    <t xml:space="preserve">Oro Blanco (IRE)</t>
  </si>
  <si>
    <t xml:space="preserve">Daler (IRE)</t>
  </si>
  <si>
    <t xml:space="preserve">Playin Cool (IRE)</t>
  </si>
  <si>
    <t xml:space="preserve">Lady Lilac (IRE)</t>
  </si>
  <si>
    <t xml:space="preserve">Victory Tip (IRE)</t>
  </si>
  <si>
    <t xml:space="preserve">Son Of Beauty (IRE)</t>
  </si>
  <si>
    <t xml:space="preserve">Kearney, J</t>
  </si>
  <si>
    <t xml:space="preserve">Thorne, Stephen</t>
  </si>
  <si>
    <t xml:space="preserve">Bold Style</t>
  </si>
  <si>
    <t xml:space="preserve">King, A</t>
  </si>
  <si>
    <t xml:space="preserve">Golspie (IRE)</t>
  </si>
  <si>
    <t xml:space="preserve">Currumbin (IRE)</t>
  </si>
  <si>
    <t xml:space="preserve">Keenan, Darragh</t>
  </si>
  <si>
    <t xml:space="preserve">Keady, Michael</t>
  </si>
  <si>
    <t xml:space="preserve">Boubyan (IRE)</t>
  </si>
  <si>
    <t xml:space="preserve">Davies, Harry</t>
  </si>
  <si>
    <t xml:space="preserve">Appleby, M</t>
  </si>
  <si>
    <t xml:space="preserve">Vinnys Dream (IRE)</t>
  </si>
  <si>
    <t xml:space="preserve">Silver Wraith</t>
  </si>
  <si>
    <t xml:space="preserve">Lavelle, Miss E C</t>
  </si>
  <si>
    <t xml:space="preserve">Control Room</t>
  </si>
  <si>
    <t xml:space="preserve">Cronin, S C</t>
  </si>
  <si>
    <t xml:space="preserve">Rumble Ruby</t>
  </si>
  <si>
    <t xml:space="preserve">Souza, Lemos</t>
  </si>
  <si>
    <t xml:space="preserve">Kiss And Run</t>
  </si>
  <si>
    <t xml:space="preserve">Bridger, J / Cook, R</t>
  </si>
  <si>
    <t xml:space="preserve">Evie Ross (IRE)</t>
  </si>
  <si>
    <t xml:space="preserve">The Thames Boatman</t>
  </si>
  <si>
    <t xml:space="preserve">Pull The Rug (IRE)</t>
  </si>
  <si>
    <t xml:space="preserve">Name The Day</t>
  </si>
  <si>
    <t xml:space="preserve">Carmichael, Oliver</t>
  </si>
  <si>
    <t xml:space="preserve">Aighear</t>
  </si>
  <si>
    <t xml:space="preserve">Ebony Maw</t>
  </si>
  <si>
    <t xml:space="preserve">Whillans, Ewan</t>
  </si>
  <si>
    <t xml:space="preserve">Celestial Cen</t>
  </si>
  <si>
    <t xml:space="preserve">Jamin, Pierre-Louis</t>
  </si>
  <si>
    <t xml:space="preserve">Watson, Archie</t>
  </si>
  <si>
    <t xml:space="preserve">Aussie Pearl (IRE)</t>
  </si>
  <si>
    <t xml:space="preserve">Johnston, Charlie</t>
  </si>
  <si>
    <t xml:space="preserve">Speechman (USA)</t>
  </si>
  <si>
    <t xml:space="preserve">Kirby, P A</t>
  </si>
  <si>
    <t xml:space="preserve">Concaire (IRE)</t>
  </si>
  <si>
    <t xml:space="preserve">OBrien, Richard John</t>
  </si>
  <si>
    <t xml:space="preserve">Saith Seren</t>
  </si>
  <si>
    <t xml:space="preserve">Lee, Andrew</t>
  </si>
  <si>
    <t xml:space="preserve">Micasso (IRE)</t>
  </si>
  <si>
    <t xml:space="preserve">Burns, Nicola</t>
  </si>
  <si>
    <t xml:space="preserve">Kinsella, Donal</t>
  </si>
  <si>
    <t xml:space="preserve">Cisterna (IRE)</t>
  </si>
  <si>
    <t xml:space="preserve">Arizona Star (IRE)</t>
  </si>
  <si>
    <t xml:space="preserve">Joyce, Wesley</t>
  </si>
  <si>
    <t xml:space="preserve">Mulvany, Michael</t>
  </si>
  <si>
    <t xml:space="preserve">Rampage (IRE)</t>
  </si>
  <si>
    <t xml:space="preserve">Monocle Rocket (IRE)</t>
  </si>
  <si>
    <t xml:space="preserve">Tickle The Cat (GER)</t>
  </si>
  <si>
    <t xml:space="preserve">Racing Royalty</t>
  </si>
  <si>
    <t xml:space="preserve">Scott, Gillian</t>
  </si>
  <si>
    <t xml:space="preserve">Watercraft (IRE)</t>
  </si>
  <si>
    <t xml:space="preserve">Flavin, J P</t>
  </si>
  <si>
    <t xml:space="preserve">Strikepoint (IRE)</t>
  </si>
  <si>
    <t xml:space="preserve">La Tulipe Noire (IRE)</t>
  </si>
  <si>
    <t xml:space="preserve">OGorman, Jessica</t>
  </si>
  <si>
    <t xml:space="preserve">King, Aengus</t>
  </si>
  <si>
    <t xml:space="preserve">Grey Intentions (IRE)</t>
  </si>
  <si>
    <t xml:space="preserve">Marambo (IRE)</t>
  </si>
  <si>
    <t xml:space="preserve">Timmons, C D</t>
  </si>
  <si>
    <t xml:space="preserve">Lilys Magic (IRE)</t>
  </si>
  <si>
    <t xml:space="preserve">Flannery, Michael</t>
  </si>
  <si>
    <t xml:space="preserve">Ramair (IRE)</t>
  </si>
  <si>
    <t xml:space="preserve">Foley, Richard Anthony</t>
  </si>
  <si>
    <t xml:space="preserve">Gold Star Gazing (IRE)</t>
  </si>
  <si>
    <t xml:space="preserve">Muscutt, D</t>
  </si>
  <si>
    <t xml:space="preserve">Fanshawe, J R</t>
  </si>
  <si>
    <t xml:space="preserve">Soft Landing</t>
  </si>
  <si>
    <t xml:space="preserve">Rawlinson, Ali</t>
  </si>
  <si>
    <t xml:space="preserve">Suroor, Saeed Bin</t>
  </si>
  <si>
    <t xml:space="preserve">Missmisfortune (IRE)</t>
  </si>
  <si>
    <t xml:space="preserve">Palliser</t>
  </si>
  <si>
    <t xml:space="preserve">Byerley Lady</t>
  </si>
  <si>
    <t xml:space="preserve">Fallon, Cieren</t>
  </si>
  <si>
    <t xml:space="preserve">Barachiel (IRE)</t>
  </si>
  <si>
    <t xml:space="preserve">Pink Pyjamas (IRE)</t>
  </si>
  <si>
    <t xml:space="preserve">Chapple-Hyam, P W</t>
  </si>
  <si>
    <t xml:space="preserve">Heavens Hope</t>
  </si>
  <si>
    <t xml:space="preserve">Hollinshead, Steph</t>
  </si>
  <si>
    <t xml:space="preserve">Doughty, Jack</t>
  </si>
  <si>
    <t xml:space="preserve">Moes Legacy</t>
  </si>
  <si>
    <t xml:space="preserve">Watson, Jason</t>
  </si>
  <si>
    <t xml:space="preserve">Harris, R A</t>
  </si>
  <si>
    <t xml:space="preserve">Level Up (IRE)</t>
  </si>
  <si>
    <t xml:space="preserve">Dobbs, Pat</t>
  </si>
  <si>
    <t xml:space="preserve">Monsieur Patat</t>
  </si>
  <si>
    <t xml:space="preserve">Army Bugler (IRE)</t>
  </si>
  <si>
    <t xml:space="preserve">Nuevo Slovo (IRE)</t>
  </si>
  <si>
    <t xml:space="preserve">Guilty Verdict</t>
  </si>
  <si>
    <t xml:space="preserve">Boyle, J R</t>
  </si>
  <si>
    <t xml:space="preserve">Savannah Smiles (IRE)</t>
  </si>
  <si>
    <t xml:space="preserve">Deadline (FR)</t>
  </si>
  <si>
    <t xml:space="preserve">Roccobear (IRE)</t>
  </si>
  <si>
    <t xml:space="preserve">Jenkins, J R</t>
  </si>
  <si>
    <t xml:space="preserve">Able Astra (IRE)</t>
  </si>
  <si>
    <t xml:space="preserve">Caitlin G</t>
  </si>
  <si>
    <t xml:space="preserve">Fenton, M P</t>
  </si>
  <si>
    <t xml:space="preserve">Sup Of Red (IRE)</t>
  </si>
  <si>
    <t xml:space="preserve">Golden Mabel</t>
  </si>
  <si>
    <t xml:space="preserve">Williamson, Mrs L</t>
  </si>
  <si>
    <t xml:space="preserve">Shes Crafty (IRE)</t>
  </si>
  <si>
    <t xml:space="preserve">Margarson, G G</t>
  </si>
  <si>
    <t xml:space="preserve">Independent Angel</t>
  </si>
  <si>
    <t xml:space="preserve">Hannon (Jnr), Richard</t>
  </si>
  <si>
    <t xml:space="preserve">Gilded Call (IRE)</t>
  </si>
  <si>
    <t xml:space="preserve">Meehan, B J</t>
  </si>
  <si>
    <t xml:space="preserve">Nightbloom (IRE)</t>
  </si>
  <si>
    <t xml:space="preserve">Foy, Kevin</t>
  </si>
  <si>
    <t xml:space="preserve">Hidden Layers (USA)</t>
  </si>
  <si>
    <t xml:space="preserve">Carver, William</t>
  </si>
  <si>
    <t xml:space="preserve">Starbolt (IRE)</t>
  </si>
  <si>
    <t xml:space="preserve">Goldtrader</t>
  </si>
  <si>
    <t xml:space="preserve">Downing, George</t>
  </si>
  <si>
    <t xml:space="preserve">Black Treasure (FR)</t>
  </si>
  <si>
    <t xml:space="preserve">Bowen, S D</t>
  </si>
  <si>
    <t xml:space="preserve">Trust Sergei</t>
  </si>
  <si>
    <t xml:space="preserve">Hanmer, G D</t>
  </si>
  <si>
    <t xml:space="preserve">Molly Mac (IRE)</t>
  </si>
  <si>
    <t xml:space="preserve">Go Lockers Go</t>
  </si>
  <si>
    <t xml:space="preserve">Bell, M L W</t>
  </si>
  <si>
    <t xml:space="preserve">Court Alert (IRE)</t>
  </si>
  <si>
    <t xml:space="preserve">Von Krolock (IRE)</t>
  </si>
  <si>
    <t xml:space="preserve">Howarth, Christian</t>
  </si>
  <si>
    <t xml:space="preserve">Dark Alley</t>
  </si>
  <si>
    <t xml:space="preserve">Saeculamation (IRE)</t>
  </si>
  <si>
    <t xml:space="preserve">Mackie, J</t>
  </si>
  <si>
    <t xml:space="preserve">Mister Moet (IRE)</t>
  </si>
  <si>
    <t xml:space="preserve">Mortensen, Mikkel</t>
  </si>
  <si>
    <t xml:space="preserve">Hopjes (SAF)</t>
  </si>
  <si>
    <t xml:space="preserve">Dickin, Harriet</t>
  </si>
  <si>
    <t xml:space="preserve">Billy Bathgate</t>
  </si>
  <si>
    <t xml:space="preserve">Lilykoy</t>
  </si>
  <si>
    <t xml:space="preserve">Echo Valley</t>
  </si>
  <si>
    <t xml:space="preserve">Heard, Tyler</t>
  </si>
  <si>
    <t xml:space="preserve">Symonds, Tom</t>
  </si>
  <si>
    <t xml:space="preserve">Masterpiece</t>
  </si>
  <si>
    <t xml:space="preserve">Individualiste (FR)</t>
  </si>
  <si>
    <t xml:space="preserve">Lund, B V</t>
  </si>
  <si>
    <t xml:space="preserve">Razzo Italiano (IRE)</t>
  </si>
  <si>
    <t xml:space="preserve">Turton</t>
  </si>
  <si>
    <t xml:space="preserve">Nature (IRE)</t>
  </si>
  <si>
    <t xml:space="preserve">Coughlan, Laura</t>
  </si>
  <si>
    <t xml:space="preserve">Haye, Celine</t>
  </si>
  <si>
    <t xml:space="preserve">Freewheelin</t>
  </si>
  <si>
    <t xml:space="preserve">Norton, J R</t>
  </si>
  <si>
    <t xml:space="preserve">Offiahs Boy</t>
  </si>
  <si>
    <t xml:space="preserve">Mythical Isle (IRE)</t>
  </si>
  <si>
    <t xml:space="preserve">Liberty Bird</t>
  </si>
  <si>
    <t xml:space="preserve">Cy Twombly (IRE)</t>
  </si>
  <si>
    <t xml:space="preserve">Coiled (IRE)</t>
  </si>
  <si>
    <t xml:space="preserve">Rimell, M G</t>
  </si>
  <si>
    <t xml:space="preserve">Belltony</t>
  </si>
  <si>
    <t xml:space="preserve">Price, R J</t>
  </si>
  <si>
    <t xml:space="preserve">Knightmare (IRE)</t>
  </si>
  <si>
    <t xml:space="preserve">McDonnell, Alexandra</t>
  </si>
  <si>
    <t xml:space="preserve">First Encounter</t>
  </si>
  <si>
    <t xml:space="preserve">Gallagher, J</t>
  </si>
  <si>
    <t xml:space="preserve">Nicely Curved (USA)</t>
  </si>
  <si>
    <t xml:space="preserve">Burton, Hayley</t>
  </si>
  <si>
    <t xml:space="preserve">Lhebayeb (GER)</t>
  </si>
  <si>
    <t xml:space="preserve">Spring (IRE)</t>
  </si>
  <si>
    <t xml:space="preserve">Hammal (IRE)</t>
  </si>
  <si>
    <t xml:space="preserve">Young, Maxwell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</si>
</sst>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.0%"/>
    <numFmt numFmtId="168" formatCode="0.000"/>
    <numFmt numFmtId="169" formatCode="\+0%;\-0%;0%"/>
    <numFmt numFmtId="170" formatCode="@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364</v>
      </c>
    </row>
    <row r="4" customFormat="false" ht="15" hidden="false" customHeight="false" outlineLevel="0" collapsed="false">
      <c r="A4" s="3" t="s">
        <v>2</v>
      </c>
      <c r="B4" s="2" t="n">
        <v>38</v>
      </c>
    </row>
    <row r="5" customFormat="false" ht="15" hidden="false" customHeight="false" outlineLevel="0" collapsed="false">
      <c r="A5" s="3" t="s">
        <v>3</v>
      </c>
      <c r="B5" s="2" t="n">
        <v>5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993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12000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64.9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13</v>
      </c>
      <c r="E2" s="7" t="s">
        <v>44</v>
      </c>
      <c r="F2" s="7" t="s">
        <v>45</v>
      </c>
      <c r="G2" s="7" t="s">
        <v>46</v>
      </c>
      <c r="H2" s="9" t="n">
        <v>4.62018215443775</v>
      </c>
      <c r="I2" s="10" t="n">
        <v>0.216441682724454</v>
      </c>
      <c r="J2" s="7" t="s">
        <v>47</v>
      </c>
      <c r="K2" s="9" t="n">
        <v>5.10993868329247</v>
      </c>
      <c r="L2" s="10" t="n">
        <v>0.195697064481344</v>
      </c>
      <c r="M2" s="10" t="n">
        <f aca="false">IF(AND(ISNUMBER(I2),ISNUMBER(L2)),I2-L2,"")</f>
        <v>0.0207446182431101</v>
      </c>
      <c r="N2" s="9" t="n">
        <v>2.5</v>
      </c>
      <c r="O2" s="9" t="n">
        <f aca="false">IF(AND(ISNUMBER(H2),H2&gt;0),H2*EXP('Read me'!$B$22),"")</f>
        <v>5.64310322663267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11</v>
      </c>
      <c r="E3" s="7" t="s">
        <v>51</v>
      </c>
      <c r="F3" s="7" t="s">
        <v>52</v>
      </c>
      <c r="G3" s="7" t="s">
        <v>53</v>
      </c>
      <c r="H3" s="9" t="n">
        <v>5.55613859469599</v>
      </c>
      <c r="I3" s="10" t="n">
        <v>0.179981111514141</v>
      </c>
      <c r="J3" s="7" t="s">
        <v>54</v>
      </c>
      <c r="K3" s="9" t="n">
        <v>6.4064337523687</v>
      </c>
      <c r="L3" s="10" t="n">
        <v>0.156093083711396</v>
      </c>
      <c r="M3" s="10" t="n">
        <f aca="false">IF(AND(ISNUMBER(I3),ISNUMBER(L3)),I3-L3,"")</f>
        <v>0.0238880278027447</v>
      </c>
      <c r="N3" s="9" t="n">
        <v>4.5</v>
      </c>
      <c r="O3" s="9" t="n">
        <f aca="false">IF(AND(ISNUMBER(H3),H3&gt;0),H3*EXP('Read me'!$B$22),"")</f>
        <v>6.78628300428186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8</v>
      </c>
      <c r="E4" s="7" t="s">
        <v>58</v>
      </c>
      <c r="F4" s="7" t="s">
        <v>59</v>
      </c>
      <c r="G4" s="7" t="s">
        <v>60</v>
      </c>
      <c r="H4" s="9" t="n">
        <v>3.21350367828449</v>
      </c>
      <c r="I4" s="10" t="n">
        <v>0.311186822892901</v>
      </c>
      <c r="J4" s="7" t="s">
        <v>61</v>
      </c>
      <c r="K4" s="9" t="n">
        <v>5.16496239026594</v>
      </c>
      <c r="L4" s="10" t="n">
        <v>0.193612252024261</v>
      </c>
      <c r="M4" s="10" t="n">
        <f aca="false">IF(AND(ISNUMBER(I4),ISNUMBER(L4)),I4-L4,"")</f>
        <v>0.117574570868639</v>
      </c>
      <c r="N4" s="9" t="n">
        <v>2.75</v>
      </c>
      <c r="O4" s="9" t="n">
        <f aca="false">IF(AND(ISNUMBER(H4),H4&gt;0),H4*EXP('Read me'!$B$22),"")</f>
        <v>3.92498225601453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7</v>
      </c>
      <c r="E5" s="7" t="s">
        <v>65</v>
      </c>
      <c r="F5" s="7" t="s">
        <v>66</v>
      </c>
      <c r="G5" s="7" t="s">
        <v>67</v>
      </c>
      <c r="H5" s="9" t="n">
        <v>3.37066594549794</v>
      </c>
      <c r="I5" s="10" t="n">
        <v>0.296677278665262</v>
      </c>
      <c r="J5" s="7" t="s">
        <v>68</v>
      </c>
      <c r="K5" s="9" t="n">
        <v>5.21060779714147</v>
      </c>
      <c r="L5" s="10" t="n">
        <v>0.191916190765423</v>
      </c>
      <c r="M5" s="10" t="n">
        <f aca="false">IF(AND(ISNUMBER(I5),ISNUMBER(L5)),I5-L5,"")</f>
        <v>0.104761087899839</v>
      </c>
      <c r="N5" s="9" t="n">
        <v>2.875</v>
      </c>
      <c r="O5" s="9" t="n">
        <f aca="false">IF(AND(ISNUMBER(H5),H5&gt;0),H5*EXP('Read me'!$B$22),"")</f>
        <v>4.11694068266774</v>
      </c>
    </row>
    <row r="6" customFormat="false" ht="15" hidden="false" customHeight="false" outlineLevel="0" collapsed="false">
      <c r="A6" s="7" t="s">
        <v>69</v>
      </c>
      <c r="B6" s="7" t="s">
        <v>42</v>
      </c>
      <c r="C6" s="7" t="s">
        <v>70</v>
      </c>
      <c r="D6" s="8" t="n">
        <v>7</v>
      </c>
      <c r="E6" s="7" t="s">
        <v>71</v>
      </c>
      <c r="F6" s="7" t="s">
        <v>72</v>
      </c>
      <c r="G6" s="7" t="s">
        <v>73</v>
      </c>
      <c r="H6" s="9" t="n">
        <v>2.99689141277286</v>
      </c>
      <c r="I6" s="10" t="n">
        <v>0.333679090185905</v>
      </c>
      <c r="J6" s="7" t="s">
        <v>74</v>
      </c>
      <c r="K6" s="9" t="n">
        <v>5.87394022795125</v>
      </c>
      <c r="L6" s="10" t="n">
        <v>0.170243475621608</v>
      </c>
      <c r="M6" s="10" t="n">
        <f aca="false">IF(AND(ISNUMBER(I6),ISNUMBER(L6)),I6-L6,"")</f>
        <v>0.163435614564298</v>
      </c>
      <c r="N6" s="9" t="n">
        <v>2</v>
      </c>
      <c r="O6" s="9" t="n">
        <f aca="false">IF(AND(ISNUMBER(H6),H6&gt;0),H6*EXP('Read me'!$B$22),"")</f>
        <v>3.6604114374673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13</v>
      </c>
      <c r="E7" s="7" t="s">
        <v>77</v>
      </c>
      <c r="F7" s="7" t="s">
        <v>78</v>
      </c>
      <c r="G7" s="7" t="s">
        <v>79</v>
      </c>
      <c r="H7" s="9" t="n">
        <v>6.05474824053142</v>
      </c>
      <c r="I7" s="10" t="n">
        <v>0.165159633443691</v>
      </c>
      <c r="J7" s="7" t="s">
        <v>80</v>
      </c>
      <c r="K7" s="9" t="n">
        <v>7.04232394445074</v>
      </c>
      <c r="L7" s="10" t="n">
        <v>0.141998579998295</v>
      </c>
      <c r="M7" s="10" t="n">
        <f aca="false">IF(AND(ISNUMBER(I7),ISNUMBER(L7)),I7-L7,"")</f>
        <v>0.0231610534453952</v>
      </c>
      <c r="N7" s="9" t="n">
        <v>6</v>
      </c>
      <c r="O7" s="9" t="n">
        <f aca="false">IF(AND(ISNUMBER(H7),H7&gt;0),H7*EXP('Read me'!$B$22),"")</f>
        <v>7.39528620095052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6</v>
      </c>
      <c r="E8" s="7" t="s">
        <v>83</v>
      </c>
      <c r="F8" s="7" t="s">
        <v>84</v>
      </c>
      <c r="G8" s="7" t="s">
        <v>60</v>
      </c>
      <c r="H8" s="9" t="n">
        <v>3.08851813183901</v>
      </c>
      <c r="I8" s="10" t="n">
        <v>0.323779870252717</v>
      </c>
      <c r="J8" s="7" t="s">
        <v>85</v>
      </c>
      <c r="K8" s="9" t="n">
        <v>3.94482111071107</v>
      </c>
      <c r="L8" s="10" t="n">
        <v>0.253496919615639</v>
      </c>
      <c r="M8" s="10" t="n">
        <f aca="false">IF(AND(ISNUMBER(I8),ISNUMBER(L8)),I8-L8,"")</f>
        <v>0.0702829506370781</v>
      </c>
      <c r="N8" s="9" t="n">
        <v>7</v>
      </c>
      <c r="O8" s="9" t="n">
        <f aca="false">IF(AND(ISNUMBER(H8),H8&gt;0),H8*EXP('Read me'!$B$22),"")</f>
        <v>3.77232456485586</v>
      </c>
    </row>
    <row r="9" customFormat="false" ht="15" hidden="false" customHeight="false" outlineLevel="0" collapsed="false">
      <c r="A9" s="7" t="s">
        <v>86</v>
      </c>
      <c r="B9" s="7" t="s">
        <v>63</v>
      </c>
      <c r="C9" s="7" t="s">
        <v>87</v>
      </c>
      <c r="D9" s="8" t="n">
        <v>7</v>
      </c>
      <c r="E9" s="7" t="s">
        <v>88</v>
      </c>
      <c r="F9" s="7" t="s">
        <v>89</v>
      </c>
      <c r="G9" s="7" t="s">
        <v>90</v>
      </c>
      <c r="H9" s="9" t="n">
        <v>1.37306853927239</v>
      </c>
      <c r="I9" s="10" t="n">
        <v>0.728295763392782</v>
      </c>
      <c r="J9" s="7" t="s">
        <v>91</v>
      </c>
      <c r="K9" s="9" t="n">
        <v>9.92720146478843</v>
      </c>
      <c r="L9" s="10" t="n">
        <v>0.100733323842271</v>
      </c>
      <c r="M9" s="10" t="n">
        <f aca="false">IF(AND(ISNUMBER(I9),ISNUMBER(L9)),I9-L9,"")</f>
        <v>0.627562439550511</v>
      </c>
      <c r="N9" s="9" t="n">
        <v>1.61538461538462</v>
      </c>
      <c r="O9" s="9" t="n">
        <f aca="false">IF(AND(ISNUMBER(H9),H9&gt;0),H9*EXP('Read me'!$B$22),"")</f>
        <v>1.67706970101026</v>
      </c>
    </row>
    <row r="10" customFormat="false" ht="15" hidden="false" customHeight="false" outlineLevel="0" collapsed="false">
      <c r="A10" s="7" t="s">
        <v>92</v>
      </c>
      <c r="B10" s="7" t="s">
        <v>42</v>
      </c>
      <c r="C10" s="7" t="s">
        <v>93</v>
      </c>
      <c r="D10" s="8" t="n">
        <v>9</v>
      </c>
      <c r="E10" s="7" t="s">
        <v>94</v>
      </c>
      <c r="F10" s="7" t="s">
        <v>95</v>
      </c>
      <c r="G10" s="7" t="s">
        <v>96</v>
      </c>
      <c r="H10" s="9" t="n">
        <v>4.73782353496728</v>
      </c>
      <c r="I10" s="10" t="n">
        <v>0.211067379909688</v>
      </c>
      <c r="J10" s="7" t="s">
        <v>97</v>
      </c>
      <c r="K10" s="9" t="n">
        <v>6.52930676380189</v>
      </c>
      <c r="L10" s="10" t="n">
        <v>0.153155616082238</v>
      </c>
      <c r="M10" s="10" t="n">
        <f aca="false">IF(AND(ISNUMBER(I10),ISNUMBER(L10)),I10-L10,"")</f>
        <v>0.0579117638274503</v>
      </c>
      <c r="N10" s="9" t="n">
        <v>7.5</v>
      </c>
      <c r="O10" s="9" t="n">
        <f aca="false">IF(AND(ISNUMBER(H10),H10&gt;0),H10*EXP('Read me'!$B$22),"")</f>
        <v>5.7867907332852</v>
      </c>
    </row>
    <row r="11" customFormat="false" ht="15" hidden="false" customHeight="false" outlineLevel="0" collapsed="false">
      <c r="A11" s="7" t="s">
        <v>98</v>
      </c>
      <c r="B11" s="7" t="s">
        <v>49</v>
      </c>
      <c r="C11" s="7" t="s">
        <v>99</v>
      </c>
      <c r="D11" s="8" t="n">
        <v>12</v>
      </c>
      <c r="E11" s="7" t="s">
        <v>100</v>
      </c>
      <c r="F11" s="7" t="s">
        <v>101</v>
      </c>
      <c r="G11" s="7" t="s">
        <v>102</v>
      </c>
      <c r="H11" s="9" t="n">
        <v>3.22662870772974</v>
      </c>
      <c r="I11" s="10" t="n">
        <v>0.309921001323887</v>
      </c>
      <c r="J11" s="7" t="s">
        <v>103</v>
      </c>
      <c r="K11" s="9" t="n">
        <v>6.93810408977375</v>
      </c>
      <c r="L11" s="10" t="n">
        <v>0.144131593740994</v>
      </c>
      <c r="M11" s="10" t="n">
        <f aca="false">IF(AND(ISNUMBER(I11),ISNUMBER(L11)),I11-L11,"")</f>
        <v>0.165789407582893</v>
      </c>
      <c r="N11" s="9" t="n">
        <v>2.875</v>
      </c>
      <c r="O11" s="9" t="n">
        <f aca="false">IF(AND(ISNUMBER(H11),H11&gt;0),H11*EXP('Read me'!$B$22),"")</f>
        <v>3.94101320317989</v>
      </c>
    </row>
    <row r="12" customFormat="false" ht="15" hidden="false" customHeight="false" outlineLevel="0" collapsed="false">
      <c r="A12" s="7" t="s">
        <v>104</v>
      </c>
      <c r="B12" s="7" t="s">
        <v>56</v>
      </c>
      <c r="C12" s="7" t="s">
        <v>105</v>
      </c>
      <c r="D12" s="8" t="n">
        <v>9</v>
      </c>
      <c r="E12" s="7" t="s">
        <v>106</v>
      </c>
      <c r="F12" s="7" t="s">
        <v>107</v>
      </c>
      <c r="G12" s="7" t="s">
        <v>108</v>
      </c>
      <c r="H12" s="9" t="n">
        <v>5.25882334118722</v>
      </c>
      <c r="I12" s="10" t="n">
        <v>0.190156606358684</v>
      </c>
      <c r="J12" s="7" t="s">
        <v>109</v>
      </c>
      <c r="K12" s="9" t="n">
        <v>5.32881442972078</v>
      </c>
      <c r="L12" s="10" t="n">
        <v>0.187659002426999</v>
      </c>
      <c r="M12" s="10" t="n">
        <f aca="false">IF(AND(ISNUMBER(I12),ISNUMBER(L12)),I12-L12,"")</f>
        <v>0.0024976039316853</v>
      </c>
      <c r="N12" s="9" t="n">
        <v>4</v>
      </c>
      <c r="O12" s="9" t="n">
        <f aca="false">IF(AND(ISNUMBER(H12),H12&gt;0),H12*EXP('Read me'!$B$22),"")</f>
        <v>6.42314133360315</v>
      </c>
    </row>
    <row r="13" customFormat="false" ht="15" hidden="false" customHeight="false" outlineLevel="0" collapsed="false">
      <c r="A13" s="7" t="s">
        <v>110</v>
      </c>
      <c r="B13" s="7" t="s">
        <v>63</v>
      </c>
      <c r="C13" s="7" t="s">
        <v>111</v>
      </c>
      <c r="D13" s="8" t="n">
        <v>4</v>
      </c>
      <c r="E13" s="7" t="s">
        <v>112</v>
      </c>
      <c r="F13" s="7" t="s">
        <v>113</v>
      </c>
      <c r="G13" s="7" t="s">
        <v>114</v>
      </c>
      <c r="H13" s="9" t="n">
        <v>2.55049997755041</v>
      </c>
      <c r="I13" s="10" t="n">
        <v>0.392079987767902</v>
      </c>
      <c r="J13" s="7" t="s">
        <v>115</v>
      </c>
      <c r="K13" s="9" t="n">
        <v>3.50146556040314</v>
      </c>
      <c r="L13" s="10" t="n">
        <v>0.285594698205418</v>
      </c>
      <c r="M13" s="10" t="n">
        <f aca="false">IF(AND(ISNUMBER(I13),ISNUMBER(L13)),I13-L13,"")</f>
        <v>0.106485289562484</v>
      </c>
      <c r="N13" s="9" t="n">
        <v>2.5</v>
      </c>
      <c r="O13" s="9" t="n">
        <f aca="false">IF(AND(ISNUMBER(H13),H13&gt;0),H13*EXP('Read me'!$B$22),"")</f>
        <v>3.11518770726752</v>
      </c>
    </row>
    <row r="14" customFormat="false" ht="15" hidden="false" customHeight="false" outlineLevel="0" collapsed="false">
      <c r="A14" s="7" t="s">
        <v>116</v>
      </c>
      <c r="B14" s="7" t="s">
        <v>42</v>
      </c>
      <c r="C14" s="7" t="s">
        <v>117</v>
      </c>
      <c r="D14" s="8" t="n">
        <v>19</v>
      </c>
      <c r="E14" s="7" t="s">
        <v>118</v>
      </c>
      <c r="F14" s="7" t="s">
        <v>72</v>
      </c>
      <c r="G14" s="7" t="s">
        <v>119</v>
      </c>
      <c r="H14" s="9" t="n">
        <v>7.78369664930408</v>
      </c>
      <c r="I14" s="10" t="n">
        <v>0.128473660402658</v>
      </c>
      <c r="J14" s="7" t="s">
        <v>120</v>
      </c>
      <c r="K14" s="9" t="n">
        <v>9.13058635647639</v>
      </c>
      <c r="L14" s="10" t="n">
        <v>0.10952199135499</v>
      </c>
      <c r="M14" s="10" t="n">
        <f aca="false">IF(AND(ISNUMBER(I14),ISNUMBER(L14)),I14-L14,"")</f>
        <v>0.0189516690476678</v>
      </c>
      <c r="N14" s="9" t="n">
        <v>7.5</v>
      </c>
      <c r="O14" s="9" t="n">
        <f aca="false">IF(AND(ISNUMBER(H14),H14&gt;0),H14*EXP('Read me'!$B$22),"")</f>
        <v>9.50702855614207</v>
      </c>
    </row>
    <row r="15" customFormat="false" ht="15" hidden="false" customHeight="false" outlineLevel="0" collapsed="false">
      <c r="A15" s="7" t="s">
        <v>121</v>
      </c>
      <c r="B15" s="7" t="s">
        <v>49</v>
      </c>
      <c r="C15" s="7" t="s">
        <v>122</v>
      </c>
      <c r="D15" s="8" t="n">
        <v>6</v>
      </c>
      <c r="E15" s="7" t="s">
        <v>123</v>
      </c>
      <c r="F15" s="7" t="s">
        <v>124</v>
      </c>
      <c r="G15" s="7" t="s">
        <v>125</v>
      </c>
      <c r="H15" s="9" t="n">
        <v>1.69807356750882</v>
      </c>
      <c r="I15" s="10" t="n">
        <v>0.588902635983588</v>
      </c>
      <c r="J15" s="7" t="s">
        <v>126</v>
      </c>
      <c r="K15" s="9" t="n">
        <v>3.70444686580578</v>
      </c>
      <c r="L15" s="10" t="n">
        <v>0.2699458343513</v>
      </c>
      <c r="M15" s="10" t="n">
        <f aca="false">IF(AND(ISNUMBER(I15),ISNUMBER(L15)),I15-L15,"")</f>
        <v>0.318956801632288</v>
      </c>
      <c r="N15" s="9" t="n">
        <v>1.25</v>
      </c>
      <c r="O15" s="9" t="n">
        <f aca="false">IF(AND(ISNUMBER(H15),H15&gt;0),H15*EXP('Read me'!$B$22),"")</f>
        <v>2.07403173891415</v>
      </c>
    </row>
    <row r="16" customFormat="false" ht="15" hidden="false" customHeight="false" outlineLevel="0" collapsed="false">
      <c r="A16" s="7" t="s">
        <v>127</v>
      </c>
      <c r="B16" s="7" t="s">
        <v>56</v>
      </c>
      <c r="C16" s="7" t="s">
        <v>128</v>
      </c>
      <c r="D16" s="8" t="n">
        <v>10</v>
      </c>
      <c r="E16" s="7" t="s">
        <v>129</v>
      </c>
      <c r="F16" s="7" t="s">
        <v>130</v>
      </c>
      <c r="G16" s="7" t="s">
        <v>131</v>
      </c>
      <c r="H16" s="9" t="n">
        <v>4.48027259490629</v>
      </c>
      <c r="I16" s="10" t="n">
        <v>0.22320070460376</v>
      </c>
      <c r="J16" s="7" t="s">
        <v>132</v>
      </c>
      <c r="K16" s="9" t="n">
        <v>4.99174514066143</v>
      </c>
      <c r="L16" s="10" t="n">
        <v>0.200330740416666</v>
      </c>
      <c r="M16" s="10" t="n">
        <f aca="false">IF(AND(ISNUMBER(I16),ISNUMBER(L16)),I16-L16,"")</f>
        <v>0.0228699641870935</v>
      </c>
      <c r="N16" s="9" t="n">
        <v>4.5</v>
      </c>
      <c r="O16" s="9" t="n">
        <f aca="false">IF(AND(ISNUMBER(H16),H16&gt;0),H16*EXP('Read me'!$B$22),"")</f>
        <v>5.47221730472797</v>
      </c>
    </row>
    <row r="17" customFormat="false" ht="15" hidden="false" customHeight="false" outlineLevel="0" collapsed="false">
      <c r="A17" s="7" t="s">
        <v>133</v>
      </c>
      <c r="B17" s="7" t="s">
        <v>63</v>
      </c>
      <c r="C17" s="7" t="s">
        <v>134</v>
      </c>
      <c r="D17" s="8" t="n">
        <v>8</v>
      </c>
      <c r="E17" s="7" t="s">
        <v>135</v>
      </c>
      <c r="F17" s="7" t="s">
        <v>136</v>
      </c>
      <c r="G17" s="7" t="s">
        <v>137</v>
      </c>
      <c r="H17" s="9" t="n">
        <v>2.82480188429645</v>
      </c>
      <c r="I17" s="10" t="n">
        <v>0.354007127210998</v>
      </c>
      <c r="J17" s="7" t="s">
        <v>138</v>
      </c>
      <c r="K17" s="9" t="n">
        <v>6.19920738315574</v>
      </c>
      <c r="L17" s="10" t="n">
        <v>0.161310944801938</v>
      </c>
      <c r="M17" s="10" t="n">
        <f aca="false">IF(AND(ISNUMBER(I17),ISNUMBER(L17)),I17-L17,"")</f>
        <v>0.192696182409061</v>
      </c>
      <c r="N17" s="9" t="n">
        <v>1.83333333333333</v>
      </c>
      <c r="O17" s="9" t="n">
        <f aca="false">IF(AND(ISNUMBER(H17),H17&gt;0),H17*EXP('Read me'!$B$22),"")</f>
        <v>3.45022081273573</v>
      </c>
    </row>
    <row r="18" customFormat="false" ht="15" hidden="false" customHeight="false" outlineLevel="0" collapsed="false">
      <c r="A18" s="7" t="s">
        <v>139</v>
      </c>
      <c r="B18" s="7" t="s">
        <v>42</v>
      </c>
      <c r="C18" s="7" t="s">
        <v>140</v>
      </c>
      <c r="D18" s="8" t="n">
        <v>12</v>
      </c>
      <c r="E18" s="7" t="s">
        <v>141</v>
      </c>
      <c r="F18" s="7" t="s">
        <v>142</v>
      </c>
      <c r="G18" s="7" t="s">
        <v>143</v>
      </c>
      <c r="H18" s="9" t="n">
        <v>5.45243251491631</v>
      </c>
      <c r="I18" s="10" t="n">
        <v>0.18340437910314</v>
      </c>
      <c r="J18" s="7" t="s">
        <v>144</v>
      </c>
      <c r="K18" s="9" t="n">
        <v>6.47796518905636</v>
      </c>
      <c r="L18" s="10" t="n">
        <v>0.154369461831836</v>
      </c>
      <c r="M18" s="10" t="n">
        <f aca="false">IF(AND(ISNUMBER(I18),ISNUMBER(L18)),I18-L18,"")</f>
        <v>0.0290349172713041</v>
      </c>
      <c r="N18" s="9" t="n">
        <v>6</v>
      </c>
      <c r="O18" s="9" t="n">
        <f aca="false">IF(AND(ISNUMBER(H18),H18&gt;0),H18*EXP('Read me'!$B$22),"")</f>
        <v>6.65961611240098</v>
      </c>
    </row>
    <row r="19" customFormat="false" ht="15" hidden="false" customHeight="false" outlineLevel="0" collapsed="false">
      <c r="A19" s="7" t="s">
        <v>145</v>
      </c>
      <c r="B19" s="7" t="s">
        <v>49</v>
      </c>
      <c r="C19" s="7" t="s">
        <v>146</v>
      </c>
      <c r="D19" s="8" t="n">
        <v>12</v>
      </c>
      <c r="E19" s="7" t="s">
        <v>147</v>
      </c>
      <c r="F19" s="7" t="s">
        <v>148</v>
      </c>
      <c r="G19" s="7" t="s">
        <v>149</v>
      </c>
      <c r="H19" s="9" t="n">
        <v>4.95019000404464</v>
      </c>
      <c r="I19" s="10" t="n">
        <v>0.202012447841988</v>
      </c>
      <c r="J19" s="7" t="s">
        <v>150</v>
      </c>
      <c r="K19" s="9" t="n">
        <v>5.29907351885155</v>
      </c>
      <c r="L19" s="10" t="n">
        <v>0.188712233646595</v>
      </c>
      <c r="M19" s="10" t="n">
        <f aca="false">IF(AND(ISNUMBER(I19),ISNUMBER(L19)),I19-L19,"")</f>
        <v>0.013300214195393</v>
      </c>
      <c r="N19" s="9" t="n">
        <v>5</v>
      </c>
      <c r="O19" s="9" t="n">
        <f aca="false">IF(AND(ISNUMBER(H19),H19&gt;0),H19*EXP('Read me'!$B$22),"")</f>
        <v>6.04617572435703</v>
      </c>
    </row>
    <row r="20" customFormat="false" ht="15" hidden="false" customHeight="false" outlineLevel="0" collapsed="false">
      <c r="A20" s="7" t="s">
        <v>151</v>
      </c>
      <c r="B20" s="7" t="s">
        <v>56</v>
      </c>
      <c r="C20" s="7" t="s">
        <v>152</v>
      </c>
      <c r="D20" s="8" t="n">
        <v>11</v>
      </c>
      <c r="E20" s="7" t="s">
        <v>153</v>
      </c>
      <c r="F20" s="7" t="s">
        <v>84</v>
      </c>
      <c r="G20" s="7" t="s">
        <v>60</v>
      </c>
      <c r="H20" s="9" t="n">
        <v>5.19453070385553</v>
      </c>
      <c r="I20" s="10" t="n">
        <v>0.192510172142745</v>
      </c>
      <c r="J20" s="7" t="s">
        <v>154</v>
      </c>
      <c r="K20" s="9" t="n">
        <v>5.51414712675809</v>
      </c>
      <c r="L20" s="10" t="n">
        <v>0.181351708072382</v>
      </c>
      <c r="M20" s="10" t="n">
        <f aca="false">IF(AND(ISNUMBER(I20),ISNUMBER(L20)),I20-L20,"")</f>
        <v>0.0111584640703622</v>
      </c>
      <c r="N20" s="9" t="n">
        <v>6</v>
      </c>
      <c r="O20" s="9" t="n">
        <f aca="false">IF(AND(ISNUMBER(H20),H20&gt;0),H20*EXP('Read me'!$B$22),"")</f>
        <v>6.34461412903683</v>
      </c>
    </row>
    <row r="21" customFormat="false" ht="15" hidden="false" customHeight="false" outlineLevel="0" collapsed="false">
      <c r="A21" s="7" t="s">
        <v>155</v>
      </c>
      <c r="B21" s="7" t="s">
        <v>63</v>
      </c>
      <c r="C21" s="7" t="s">
        <v>156</v>
      </c>
      <c r="D21" s="8" t="n">
        <v>5</v>
      </c>
      <c r="E21" s="7" t="s">
        <v>157</v>
      </c>
      <c r="F21" s="7" t="s">
        <v>158</v>
      </c>
      <c r="G21" s="7" t="s">
        <v>159</v>
      </c>
      <c r="H21" s="9" t="n">
        <v>2.62230526983567</v>
      </c>
      <c r="I21" s="10" t="n">
        <v>0.381343854776552</v>
      </c>
      <c r="J21" s="7" t="s">
        <v>160</v>
      </c>
      <c r="K21" s="9" t="n">
        <v>4.36026469948184</v>
      </c>
      <c r="L21" s="10" t="n">
        <v>0.229343874494325</v>
      </c>
      <c r="M21" s="10" t="n">
        <f aca="false">IF(AND(ISNUMBER(I21),ISNUMBER(L21)),I21-L21,"")</f>
        <v>0.151999980282227</v>
      </c>
      <c r="N21" s="9" t="n">
        <v>3</v>
      </c>
      <c r="O21" s="9" t="n">
        <f aca="false">IF(AND(ISNUMBER(H21),H21&gt;0),H21*EXP('Read me'!$B$22),"")</f>
        <v>3.20289088931523</v>
      </c>
    </row>
    <row r="22" customFormat="false" ht="15" hidden="false" customHeight="false" outlineLevel="0" collapsed="false">
      <c r="A22" s="7" t="s">
        <v>161</v>
      </c>
      <c r="B22" s="7" t="s">
        <v>42</v>
      </c>
      <c r="C22" s="7" t="s">
        <v>162</v>
      </c>
      <c r="D22" s="8" t="n">
        <v>14</v>
      </c>
      <c r="E22" s="7" t="s">
        <v>163</v>
      </c>
      <c r="F22" s="7" t="s">
        <v>45</v>
      </c>
      <c r="G22" s="7" t="s">
        <v>46</v>
      </c>
      <c r="H22" s="9" t="n">
        <v>4.18165663712629</v>
      </c>
      <c r="I22" s="10" t="n">
        <v>0.23913967280853</v>
      </c>
      <c r="J22" s="7" t="s">
        <v>164</v>
      </c>
      <c r="K22" s="9" t="n">
        <v>4.38836363207018</v>
      </c>
      <c r="L22" s="10" t="n">
        <v>0.227875373109921</v>
      </c>
      <c r="M22" s="10" t="n">
        <f aca="false">IF(AND(ISNUMBER(I22),ISNUMBER(L22)),I22-L22,"")</f>
        <v>0.0112642996986091</v>
      </c>
      <c r="N22" s="9" t="n">
        <v>2.2</v>
      </c>
      <c r="O22" s="9" t="n">
        <f aca="false">IF(AND(ISNUMBER(H22),H22&gt;0),H22*EXP('Read me'!$B$22),"")</f>
        <v>5.10748695026483</v>
      </c>
    </row>
    <row r="23" customFormat="false" ht="15" hidden="false" customHeight="false" outlineLevel="0" collapsed="false">
      <c r="A23" s="7" t="s">
        <v>165</v>
      </c>
      <c r="B23" s="7" t="s">
        <v>166</v>
      </c>
      <c r="C23" s="7" t="s">
        <v>167</v>
      </c>
      <c r="D23" s="8" t="n">
        <v>13</v>
      </c>
      <c r="E23" s="7" t="s">
        <v>168</v>
      </c>
      <c r="F23" s="7" t="s">
        <v>169</v>
      </c>
      <c r="G23" s="7" t="s">
        <v>170</v>
      </c>
      <c r="H23" s="9" t="n">
        <v>6.33843485313557</v>
      </c>
      <c r="I23" s="10" t="n">
        <v>0.157767654503116</v>
      </c>
      <c r="J23" s="7" t="s">
        <v>171</v>
      </c>
      <c r="K23" s="9" t="n">
        <v>8.57125948438185</v>
      </c>
      <c r="L23" s="10" t="n">
        <v>0.116668968174649</v>
      </c>
      <c r="M23" s="10" t="n">
        <f aca="false">IF(AND(ISNUMBER(I23),ISNUMBER(L23)),I23-L23,"")</f>
        <v>0.0410986863284673</v>
      </c>
      <c r="N23" s="9" t="n">
        <v>4</v>
      </c>
      <c r="O23" s="9" t="n">
        <f aca="false">IF(AND(ISNUMBER(H23),H23&gt;0),H23*EXP('Read me'!$B$22),"")</f>
        <v>7.74178181203833</v>
      </c>
    </row>
    <row r="24" customFormat="false" ht="15" hidden="false" customHeight="false" outlineLevel="0" collapsed="false">
      <c r="A24" s="7" t="s">
        <v>172</v>
      </c>
      <c r="B24" s="7" t="s">
        <v>49</v>
      </c>
      <c r="C24" s="7" t="s">
        <v>173</v>
      </c>
      <c r="D24" s="8" t="n">
        <v>12</v>
      </c>
      <c r="E24" s="7" t="s">
        <v>174</v>
      </c>
      <c r="F24" s="7" t="s">
        <v>175</v>
      </c>
      <c r="G24" s="7" t="s">
        <v>176</v>
      </c>
      <c r="H24" s="9" t="n">
        <v>4.63015746065306</v>
      </c>
      <c r="I24" s="10" t="n">
        <v>0.215975376323153</v>
      </c>
      <c r="J24" s="7" t="s">
        <v>177</v>
      </c>
      <c r="K24" s="9" t="n">
        <v>5.84069861564328</v>
      </c>
      <c r="L24" s="10" t="n">
        <v>0.1712123952641</v>
      </c>
      <c r="M24" s="10" t="n">
        <f aca="false">IF(AND(ISNUMBER(I24),ISNUMBER(L24)),I24-L24,"")</f>
        <v>0.0447629810590532</v>
      </c>
      <c r="N24" s="9" t="n">
        <v>4.5</v>
      </c>
      <c r="O24" s="9" t="n">
        <f aca="false">IF(AND(ISNUMBER(H24),H24&gt;0),H24*EXP('Read me'!$B$22),"")</f>
        <v>5.65528709315753</v>
      </c>
    </row>
    <row r="25" customFormat="false" ht="15" hidden="false" customHeight="false" outlineLevel="0" collapsed="false">
      <c r="A25" s="7" t="s">
        <v>178</v>
      </c>
      <c r="B25" s="7" t="s">
        <v>56</v>
      </c>
      <c r="C25" s="7" t="s">
        <v>179</v>
      </c>
      <c r="D25" s="8" t="n">
        <v>8</v>
      </c>
      <c r="E25" s="7" t="s">
        <v>180</v>
      </c>
      <c r="F25" s="7" t="s">
        <v>181</v>
      </c>
      <c r="G25" s="7" t="s">
        <v>131</v>
      </c>
      <c r="H25" s="9" t="n">
        <v>3.85756585275573</v>
      </c>
      <c r="I25" s="10" t="n">
        <v>0.259230830573023</v>
      </c>
      <c r="J25" s="7" t="s">
        <v>182</v>
      </c>
      <c r="K25" s="9" t="n">
        <v>5.69872963854315</v>
      </c>
      <c r="L25" s="10" t="n">
        <v>0.17547770528304</v>
      </c>
      <c r="M25" s="10" t="n">
        <f aca="false">IF(AND(ISNUMBER(I25),ISNUMBER(L25)),I25-L25,"")</f>
        <v>0.0837531252899834</v>
      </c>
      <c r="N25" s="9" t="n">
        <v>5</v>
      </c>
      <c r="O25" s="9" t="n">
        <f aca="false">IF(AND(ISNUMBER(H25),H25&gt;0),H25*EXP('Read me'!$B$22),"")</f>
        <v>4.71164157234033</v>
      </c>
    </row>
    <row r="26" customFormat="false" ht="15" hidden="false" customHeight="false" outlineLevel="0" collapsed="false">
      <c r="A26" s="7" t="s">
        <v>183</v>
      </c>
      <c r="B26" s="7" t="s">
        <v>63</v>
      </c>
      <c r="C26" s="7" t="s">
        <v>184</v>
      </c>
      <c r="D26" s="8" t="n">
        <v>3</v>
      </c>
      <c r="E26" s="7" t="s">
        <v>185</v>
      </c>
      <c r="F26" s="7" t="s">
        <v>186</v>
      </c>
      <c r="G26" s="7" t="s">
        <v>187</v>
      </c>
      <c r="H26" s="9" t="n">
        <v>1.71742741958234</v>
      </c>
      <c r="I26" s="10" t="n">
        <v>0.582266236463833</v>
      </c>
      <c r="J26" s="7" t="s">
        <v>188</v>
      </c>
      <c r="K26" s="9" t="n">
        <v>3.20149264458906</v>
      </c>
      <c r="L26" s="10" t="n">
        <v>0.312354301887943</v>
      </c>
      <c r="M26" s="10" t="n">
        <f aca="false">IF(AND(ISNUMBER(I26),ISNUMBER(L26)),I26-L26,"")</f>
        <v>0.26991193457589</v>
      </c>
      <c r="N26" s="9" t="n">
        <v>2.625</v>
      </c>
      <c r="O26" s="9" t="n">
        <f aca="false">IF(AND(ISNUMBER(H26),H26&gt;0),H26*EXP('Read me'!$B$22),"")</f>
        <v>2.09767058721777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9</v>
      </c>
      <c r="E27" s="7" t="s">
        <v>191</v>
      </c>
      <c r="F27" s="7" t="s">
        <v>72</v>
      </c>
      <c r="G27" s="7" t="s">
        <v>73</v>
      </c>
      <c r="H27" s="9" t="n">
        <v>5.8004211336209</v>
      </c>
      <c r="I27" s="10" t="n">
        <v>0.172401275177024</v>
      </c>
      <c r="J27" s="7" t="s">
        <v>192</v>
      </c>
      <c r="K27" s="9" t="n">
        <v>6.36904573746495</v>
      </c>
      <c r="L27" s="10" t="n">
        <v>0.157009392179059</v>
      </c>
      <c r="M27" s="10" t="n">
        <f aca="false">IF(AND(ISNUMBER(I27),ISNUMBER(L27)),I27-L27,"")</f>
        <v>0.0153918829979646</v>
      </c>
      <c r="N27" s="9" t="n">
        <v>4</v>
      </c>
      <c r="O27" s="9" t="n">
        <f aca="false">IF(AND(ISNUMBER(H27),H27&gt;0),H27*EXP('Read me'!$B$22),"")</f>
        <v>7.0846503710951</v>
      </c>
    </row>
    <row r="28" customFormat="false" ht="15" hidden="false" customHeight="false" outlineLevel="0" collapsed="false">
      <c r="A28" s="7" t="s">
        <v>193</v>
      </c>
      <c r="B28" s="7" t="s">
        <v>166</v>
      </c>
      <c r="C28" s="7" t="s">
        <v>194</v>
      </c>
      <c r="D28" s="8" t="n">
        <v>6</v>
      </c>
      <c r="E28" s="7" t="s">
        <v>195</v>
      </c>
      <c r="F28" s="7" t="s">
        <v>196</v>
      </c>
      <c r="G28" s="7" t="s">
        <v>197</v>
      </c>
      <c r="H28" s="9" t="n">
        <v>3.04429512783709</v>
      </c>
      <c r="I28" s="10" t="n">
        <v>0.328483263943756</v>
      </c>
      <c r="J28" s="7" t="s">
        <v>198</v>
      </c>
      <c r="K28" s="9" t="n">
        <v>4.20360160249669</v>
      </c>
      <c r="L28" s="10" t="n">
        <v>0.237891240550974</v>
      </c>
      <c r="M28" s="10" t="n">
        <f aca="false">IF(AND(ISNUMBER(I28),ISNUMBER(L28)),I28-L28,"")</f>
        <v>0.090592023392782</v>
      </c>
      <c r="N28" s="9" t="n">
        <v>2.25</v>
      </c>
      <c r="O28" s="9" t="n">
        <f aca="false">IF(AND(ISNUMBER(H28),H28&gt;0),H28*EXP('Read me'!$B$22),"")</f>
        <v>3.71831046579379</v>
      </c>
    </row>
    <row r="29" customFormat="false" ht="15" hidden="false" customHeight="false" outlineLevel="0" collapsed="false">
      <c r="A29" s="7" t="s">
        <v>199</v>
      </c>
      <c r="B29" s="7" t="s">
        <v>49</v>
      </c>
      <c r="C29" s="7" t="s">
        <v>200</v>
      </c>
      <c r="D29" s="8" t="n">
        <v>10</v>
      </c>
      <c r="E29" s="7" t="s">
        <v>201</v>
      </c>
      <c r="F29" s="7" t="s">
        <v>202</v>
      </c>
      <c r="G29" s="7" t="s">
        <v>203</v>
      </c>
      <c r="H29" s="9" t="n">
        <v>4.54615628172129</v>
      </c>
      <c r="I29" s="10" t="n">
        <v>0.219966041207315</v>
      </c>
      <c r="J29" s="7" t="s">
        <v>204</v>
      </c>
      <c r="K29" s="9" t="n">
        <v>4.96880902014355</v>
      </c>
      <c r="L29" s="10" t="n">
        <v>0.201255471068822</v>
      </c>
      <c r="M29" s="10" t="n">
        <f aca="false">IF(AND(ISNUMBER(I29),ISNUMBER(L29)),I29-L29,"")</f>
        <v>0.0187105701384934</v>
      </c>
      <c r="N29" s="9" t="n">
        <v>4.5</v>
      </c>
      <c r="O29" s="9" t="n">
        <f aca="false">IF(AND(ISNUMBER(H29),H29&gt;0),H29*EXP('Read me'!$B$22),"")</f>
        <v>5.55268782152157</v>
      </c>
    </row>
    <row r="30" customFormat="false" ht="15" hidden="false" customHeight="false" outlineLevel="0" collapsed="false">
      <c r="A30" s="7" t="s">
        <v>205</v>
      </c>
      <c r="B30" s="7" t="s">
        <v>56</v>
      </c>
      <c r="C30" s="7" t="s">
        <v>206</v>
      </c>
      <c r="D30" s="8" t="n">
        <v>7</v>
      </c>
      <c r="E30" s="7" t="s">
        <v>207</v>
      </c>
      <c r="F30" s="7" t="s">
        <v>130</v>
      </c>
      <c r="G30" s="7" t="s">
        <v>208</v>
      </c>
      <c r="H30" s="9" t="n">
        <v>3.44831994016035</v>
      </c>
      <c r="I30" s="10" t="n">
        <v>0.289996293079899</v>
      </c>
      <c r="J30" s="7" t="s">
        <v>209</v>
      </c>
      <c r="K30" s="9" t="n">
        <v>3.87309166458086</v>
      </c>
      <c r="L30" s="10" t="n">
        <v>0.25819166872422</v>
      </c>
      <c r="M30" s="10" t="n">
        <f aca="false">IF(AND(ISNUMBER(I30),ISNUMBER(L30)),I30-L30,"")</f>
        <v>0.0318046243556789</v>
      </c>
      <c r="N30" s="9" t="n">
        <v>3.5</v>
      </c>
      <c r="O30" s="9" t="n">
        <f aca="false">IF(AND(ISNUMBER(H30),H30&gt;0),H30*EXP('Read me'!$B$22),"")</f>
        <v>4.21178748593056</v>
      </c>
    </row>
    <row r="31" customFormat="false" ht="15" hidden="false" customHeight="false" outlineLevel="0" collapsed="false">
      <c r="A31" s="7" t="s">
        <v>210</v>
      </c>
      <c r="B31" s="7" t="s">
        <v>42</v>
      </c>
      <c r="C31" s="7" t="s">
        <v>211</v>
      </c>
      <c r="D31" s="8" t="n">
        <v>18</v>
      </c>
      <c r="E31" s="7" t="s">
        <v>212</v>
      </c>
      <c r="F31" s="7" t="s">
        <v>142</v>
      </c>
      <c r="G31" s="7" t="s">
        <v>213</v>
      </c>
      <c r="H31" s="9" t="n">
        <v>8.3424453437415</v>
      </c>
      <c r="I31" s="10" t="n">
        <v>0.119868930367066</v>
      </c>
      <c r="J31" s="7" t="s">
        <v>214</v>
      </c>
      <c r="K31" s="9" t="n">
        <v>9.36249364642243</v>
      </c>
      <c r="L31" s="10" t="n">
        <v>0.106809151254497</v>
      </c>
      <c r="M31" s="10" t="n">
        <f aca="false">IF(AND(ISNUMBER(I31),ISNUMBER(L31)),I31-L31,"")</f>
        <v>0.0130597791125687</v>
      </c>
      <c r="N31" s="9" t="n">
        <v>7</v>
      </c>
      <c r="O31" s="9" t="n">
        <f aca="false">IF(AND(ISNUMBER(H31),H31&gt;0),H31*EXP('Read me'!$B$22),"")</f>
        <v>10.1894857526463</v>
      </c>
    </row>
    <row r="32" customFormat="false" ht="15" hidden="false" customHeight="false" outlineLevel="0" collapsed="false">
      <c r="A32" s="7" t="s">
        <v>215</v>
      </c>
      <c r="B32" s="7" t="s">
        <v>166</v>
      </c>
      <c r="C32" s="7" t="s">
        <v>216</v>
      </c>
      <c r="D32" s="8" t="n">
        <v>10</v>
      </c>
      <c r="E32" s="7" t="s">
        <v>217</v>
      </c>
      <c r="F32" s="7" t="s">
        <v>196</v>
      </c>
      <c r="G32" s="7" t="s">
        <v>218</v>
      </c>
      <c r="H32" s="9" t="n">
        <v>3.12346500360521</v>
      </c>
      <c r="I32" s="10" t="n">
        <v>0.320157260877188</v>
      </c>
      <c r="J32" s="7" t="s">
        <v>219</v>
      </c>
      <c r="K32" s="9" t="n">
        <v>3.55414482527228</v>
      </c>
      <c r="L32" s="10" t="n">
        <v>0.281361635262961</v>
      </c>
      <c r="M32" s="10" t="n">
        <f aca="false">IF(AND(ISNUMBER(I32),ISNUMBER(L32)),I32-L32,"")</f>
        <v>0.0387956256142265</v>
      </c>
      <c r="N32" s="9" t="n">
        <v>3.5</v>
      </c>
      <c r="O32" s="9" t="n">
        <f aca="false">IF(AND(ISNUMBER(H32),H32&gt;0),H32*EXP('Read me'!$B$22),"")</f>
        <v>3.81500877042017</v>
      </c>
    </row>
    <row r="33" customFormat="false" ht="15" hidden="false" customHeight="false" outlineLevel="0" collapsed="false">
      <c r="A33" s="7" t="s">
        <v>220</v>
      </c>
      <c r="B33" s="7" t="s">
        <v>49</v>
      </c>
      <c r="C33" s="7" t="s">
        <v>221</v>
      </c>
      <c r="D33" s="8" t="n">
        <v>9</v>
      </c>
      <c r="E33" s="7" t="s">
        <v>222</v>
      </c>
      <c r="F33" s="7" t="s">
        <v>124</v>
      </c>
      <c r="G33" s="7" t="s">
        <v>223</v>
      </c>
      <c r="H33" s="9" t="n">
        <v>4.64715129242333</v>
      </c>
      <c r="I33" s="10" t="n">
        <v>0.215185591575293</v>
      </c>
      <c r="J33" s="7" t="s">
        <v>224</v>
      </c>
      <c r="K33" s="9" t="n">
        <v>5.80447065280468</v>
      </c>
      <c r="L33" s="10" t="n">
        <v>0.172280998529436</v>
      </c>
      <c r="M33" s="10" t="n">
        <f aca="false">IF(AND(ISNUMBER(I33),ISNUMBER(L33)),I33-L33,"")</f>
        <v>0.0429045930458565</v>
      </c>
      <c r="N33" s="9" t="n">
        <v>3.75</v>
      </c>
      <c r="O33" s="9" t="n">
        <f aca="false">IF(AND(ISNUMBER(H33),H33&gt;0),H33*EXP('Read me'!$B$22),"")</f>
        <v>5.67604340615345</v>
      </c>
    </row>
    <row r="34" customFormat="false" ht="15" hidden="false" customHeight="false" outlineLevel="0" collapsed="false">
      <c r="A34" s="7" t="s">
        <v>225</v>
      </c>
      <c r="B34" s="7" t="s">
        <v>166</v>
      </c>
      <c r="C34" s="7" t="s">
        <v>226</v>
      </c>
      <c r="D34" s="8" t="n">
        <v>10</v>
      </c>
      <c r="E34" s="7" t="s">
        <v>227</v>
      </c>
      <c r="F34" s="7" t="s">
        <v>228</v>
      </c>
      <c r="G34" s="7" t="s">
        <v>229</v>
      </c>
      <c r="H34" s="9" t="n">
        <v>1.95554021415647</v>
      </c>
      <c r="I34" s="10" t="n">
        <v>0.511367648060029</v>
      </c>
      <c r="J34" s="7" t="s">
        <v>230</v>
      </c>
      <c r="K34" s="9" t="n">
        <v>4.077855402091</v>
      </c>
      <c r="L34" s="10" t="n">
        <v>0.245226939505317</v>
      </c>
      <c r="M34" s="10" t="n">
        <f aca="false">IF(AND(ISNUMBER(I34),ISNUMBER(L34)),I34-L34,"")</f>
        <v>0.266140708554712</v>
      </c>
      <c r="N34" s="9" t="n">
        <v>2.2</v>
      </c>
      <c r="O34" s="9" t="n">
        <f aca="false">IF(AND(ISNUMBER(H34),H34&gt;0),H34*EXP('Read me'!$B$22),"")</f>
        <v>2.38850221126385</v>
      </c>
    </row>
    <row r="35" customFormat="false" ht="15" hidden="false" customHeight="false" outlineLevel="0" collapsed="false">
      <c r="A35" s="7" t="s">
        <v>231</v>
      </c>
      <c r="B35" s="7" t="s">
        <v>166</v>
      </c>
      <c r="C35" s="7" t="s">
        <v>232</v>
      </c>
      <c r="D35" s="8" t="n">
        <v>8</v>
      </c>
      <c r="E35" s="7" t="s">
        <v>233</v>
      </c>
      <c r="F35" s="7" t="s">
        <v>196</v>
      </c>
      <c r="G35" s="7" t="s">
        <v>234</v>
      </c>
      <c r="H35" s="9" t="n">
        <v>1.90050609740764</v>
      </c>
      <c r="I35" s="10" t="n">
        <v>0.526175633618874</v>
      </c>
      <c r="J35" s="7" t="s">
        <v>235</v>
      </c>
      <c r="K35" s="9" t="n">
        <v>5.07781333325716</v>
      </c>
      <c r="L35" s="10" t="n">
        <v>0.196935163695462</v>
      </c>
      <c r="M35" s="10" t="n">
        <f aca="false">IF(AND(ISNUMBER(I35),ISNUMBER(L35)),I35-L35,"")</f>
        <v>0.329240469923412</v>
      </c>
      <c r="N35" s="9" t="n">
        <v>1.53333333333333</v>
      </c>
      <c r="O35" s="9" t="n">
        <f aca="false">IF(AND(ISNUMBER(H35),H35&gt;0),H35*EXP('Read me'!$B$22),"")</f>
        <v>2.32128338927391</v>
      </c>
    </row>
    <row r="36" customFormat="false" ht="15" hidden="false" customHeight="false" outlineLevel="0" collapsed="false">
      <c r="A36" s="7" t="s">
        <v>236</v>
      </c>
      <c r="B36" s="7" t="s">
        <v>166</v>
      </c>
      <c r="C36" s="7" t="s">
        <v>237</v>
      </c>
      <c r="D36" s="8" t="n">
        <v>11</v>
      </c>
      <c r="E36" s="7" t="s">
        <v>238</v>
      </c>
      <c r="F36" s="7" t="s">
        <v>239</v>
      </c>
      <c r="G36" s="7" t="s">
        <v>218</v>
      </c>
      <c r="H36" s="9" t="n">
        <v>4.1194878763523</v>
      </c>
      <c r="I36" s="10" t="n">
        <v>0.242748620706095</v>
      </c>
      <c r="J36" s="7" t="s">
        <v>240</v>
      </c>
      <c r="K36" s="9" t="n">
        <v>6.02194567595511</v>
      </c>
      <c r="L36" s="10" t="n">
        <v>0.166059286119581</v>
      </c>
      <c r="M36" s="10" t="n">
        <f aca="false">IF(AND(ISNUMBER(I36),ISNUMBER(L36)),I36-L36,"")</f>
        <v>0.076689334586514</v>
      </c>
      <c r="N36" s="9" t="n">
        <v>1.83333333333333</v>
      </c>
      <c r="O36" s="9" t="n">
        <f aca="false">IF(AND(ISNUMBER(H36),H36&gt;0),H36*EXP('Read me'!$B$22),"")</f>
        <v>5.03155385438408</v>
      </c>
    </row>
    <row r="37" customFormat="false" ht="15" hidden="false" customHeight="false" outlineLevel="0" collapsed="false">
      <c r="A37" s="7" t="s">
        <v>241</v>
      </c>
      <c r="B37" s="7" t="s">
        <v>166</v>
      </c>
      <c r="C37" s="7" t="s">
        <v>242</v>
      </c>
      <c r="D37" s="8" t="n">
        <v>11</v>
      </c>
      <c r="E37" s="7" t="s">
        <v>243</v>
      </c>
      <c r="F37" s="7" t="s">
        <v>196</v>
      </c>
      <c r="G37" s="7" t="s">
        <v>244</v>
      </c>
      <c r="H37" s="9" t="n">
        <v>2.64139409550695</v>
      </c>
      <c r="I37" s="10" t="n">
        <v>0.378587959176942</v>
      </c>
      <c r="J37" s="7" t="s">
        <v>245</v>
      </c>
      <c r="K37" s="9" t="n">
        <v>3.82011220033712</v>
      </c>
      <c r="L37" s="10" t="n">
        <v>0.261772415980806</v>
      </c>
      <c r="M37" s="10" t="n">
        <f aca="false">IF(AND(ISNUMBER(I37),ISNUMBER(L37)),I37-L37,"")</f>
        <v>0.116815543196136</v>
      </c>
      <c r="N37" s="9" t="n">
        <v>2.25</v>
      </c>
      <c r="O37" s="9" t="n">
        <f aca="false">IF(AND(ISNUMBER(H37),H37&gt;0),H37*EXP('Read me'!$B$22),"")</f>
        <v>3.22620603364018</v>
      </c>
    </row>
    <row r="38" customFormat="false" ht="15" hidden="false" customHeight="false" outlineLevel="0" collapsed="false">
      <c r="A38" s="7" t="s">
        <v>246</v>
      </c>
      <c r="B38" s="7" t="s">
        <v>166</v>
      </c>
      <c r="C38" s="7" t="s">
        <v>247</v>
      </c>
      <c r="D38" s="8" t="n">
        <v>8</v>
      </c>
      <c r="E38" s="7" t="s">
        <v>248</v>
      </c>
      <c r="F38" s="7" t="s">
        <v>249</v>
      </c>
      <c r="G38" s="7" t="s">
        <v>79</v>
      </c>
      <c r="H38" s="9" t="n">
        <v>2.70428837250585</v>
      </c>
      <c r="I38" s="10" t="n">
        <v>0.369783049088578</v>
      </c>
      <c r="J38" s="7" t="s">
        <v>250</v>
      </c>
      <c r="K38" s="9" t="n">
        <v>6.03955597576754</v>
      </c>
      <c r="L38" s="10" t="n">
        <v>0.165575085985177</v>
      </c>
      <c r="M38" s="10" t="n">
        <f aca="false">IF(AND(ISNUMBER(I38),ISNUMBER(L38)),I38-L38,"")</f>
        <v>0.204207963103401</v>
      </c>
      <c r="N38" s="9" t="n">
        <v>3.25</v>
      </c>
      <c r="O38" s="9" t="n">
        <f aca="false">IF(AND(ISNUMBER(H38),H38&gt;0),H38*EXP('Read me'!$B$22),"")</f>
        <v>3.30302527703912</v>
      </c>
    </row>
    <row r="39" customFormat="false" ht="15" hidden="false" customHeight="false" outlineLevel="0" collapsed="false">
      <c r="A39" s="7" t="s">
        <v>251</v>
      </c>
      <c r="B39" s="7" t="s">
        <v>166</v>
      </c>
      <c r="C39" s="7" t="s">
        <v>252</v>
      </c>
      <c r="D39" s="8" t="n">
        <v>8</v>
      </c>
      <c r="E39" s="7" t="s">
        <v>253</v>
      </c>
      <c r="F39" s="7" t="s">
        <v>196</v>
      </c>
      <c r="G39" s="7" t="s">
        <v>149</v>
      </c>
      <c r="H39" s="9" t="n">
        <v>2.62477490766668</v>
      </c>
      <c r="I39" s="10" t="n">
        <v>0.380985050214824</v>
      </c>
      <c r="J39" s="7" t="s">
        <v>254</v>
      </c>
      <c r="K39" s="9" t="n">
        <v>5.03085556856115</v>
      </c>
      <c r="L39" s="10" t="n">
        <v>0.198773347072257</v>
      </c>
      <c r="M39" s="10" t="n">
        <f aca="false">IF(AND(ISNUMBER(I39),ISNUMBER(L39)),I39-L39,"")</f>
        <v>0.182211703142567</v>
      </c>
      <c r="N39" s="9" t="n">
        <v>3.5</v>
      </c>
      <c r="O39" s="9" t="n">
        <f aca="false">IF(AND(ISNUMBER(H39),H39&gt;0),H39*EXP('Read me'!$B$22),"")</f>
        <v>3.20590731177369</v>
      </c>
    </row>
  </sheetData>
  <autoFilter ref="A1:O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1"/>
    <col collapsed="false" customWidth="true" hidden="false" outlineLevel="0" max="6" min="6" style="0" width="13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255</v>
      </c>
      <c r="D1" s="6" t="s">
        <v>256</v>
      </c>
      <c r="E1" s="6" t="s">
        <v>257</v>
      </c>
      <c r="F1" s="6" t="s">
        <v>258</v>
      </c>
    </row>
    <row r="2" customFormat="false" ht="15" hidden="false" customHeight="false" outlineLevel="0" collapsed="false">
      <c r="A2" s="7" t="s">
        <v>98</v>
      </c>
      <c r="B2" s="7" t="s">
        <v>49</v>
      </c>
      <c r="C2" s="7" t="s">
        <v>259</v>
      </c>
      <c r="D2" s="9" t="n">
        <v>45.4566448648846</v>
      </c>
      <c r="E2" s="10" t="n">
        <v>0.021998983932325</v>
      </c>
      <c r="F2" s="11" t="n">
        <f aca="false">IF(ISNUMBER(E2),1-E2,"")</f>
        <v>0.978001016067675</v>
      </c>
    </row>
    <row r="3" customFormat="false" ht="15" hidden="false" customHeight="false" outlineLevel="0" collapsed="false">
      <c r="A3" s="7" t="s">
        <v>116</v>
      </c>
      <c r="B3" s="7" t="s">
        <v>42</v>
      </c>
      <c r="C3" s="7" t="s">
        <v>260</v>
      </c>
      <c r="D3" s="9" t="n">
        <v>16.0906980572019</v>
      </c>
      <c r="E3" s="10" t="n">
        <v>0.0621477077280944</v>
      </c>
      <c r="F3" s="11" t="n">
        <f aca="false">IF(ISNUMBER(E3),1-E3,"")</f>
        <v>0.937852292271906</v>
      </c>
    </row>
    <row r="4" customFormat="false" ht="15" hidden="false" customHeight="false" outlineLevel="0" collapsed="false">
      <c r="A4" s="7" t="s">
        <v>161</v>
      </c>
      <c r="B4" s="7" t="s">
        <v>42</v>
      </c>
      <c r="C4" s="7" t="s">
        <v>261</v>
      </c>
      <c r="D4" s="9" t="n">
        <v>102.986646264299</v>
      </c>
      <c r="E4" s="10" t="n">
        <v>0.0097099967449532</v>
      </c>
      <c r="F4" s="11" t="n">
        <f aca="false">IF(ISNUMBER(E4),1-E4,"")</f>
        <v>0.990290003255047</v>
      </c>
    </row>
    <row r="5" customFormat="false" ht="15" hidden="false" customHeight="false" outlineLevel="0" collapsed="false">
      <c r="A5" s="7" t="s">
        <v>210</v>
      </c>
      <c r="B5" s="7" t="s">
        <v>42</v>
      </c>
      <c r="C5" s="7" t="s">
        <v>262</v>
      </c>
      <c r="D5" s="9" t="n">
        <v>84.0531127761072</v>
      </c>
      <c r="E5" s="10" t="n">
        <v>0.0118972393403645</v>
      </c>
      <c r="F5" s="11" t="n">
        <f aca="false">IF(ISNUMBER(E5),1-E5,"")</f>
        <v>0.988102760659636</v>
      </c>
    </row>
    <row r="6" customFormat="false" ht="15" hidden="false" customHeight="false" outlineLevel="0" collapsed="false">
      <c r="A6" s="7" t="s">
        <v>210</v>
      </c>
      <c r="B6" s="7" t="s">
        <v>42</v>
      </c>
      <c r="C6" s="7" t="s">
        <v>263</v>
      </c>
      <c r="D6" s="9" t="n">
        <v>8.18810843959418</v>
      </c>
      <c r="E6" s="10" t="n">
        <v>0.122128328829211</v>
      </c>
      <c r="F6" s="11" t="n">
        <f aca="false">IF(ISNUMBER(E6),1-E6,"")</f>
        <v>0.877871671170789</v>
      </c>
    </row>
    <row r="7" customFormat="false" ht="15" hidden="false" customHeight="false" outlineLevel="0" collapsed="false">
      <c r="A7" s="7" t="s">
        <v>210</v>
      </c>
      <c r="B7" s="7" t="s">
        <v>42</v>
      </c>
      <c r="C7" s="7" t="s">
        <v>264</v>
      </c>
      <c r="D7" s="9" t="n">
        <v>57.3960993363797</v>
      </c>
      <c r="E7" s="10" t="n">
        <v>0.0174227867670819</v>
      </c>
      <c r="F7" s="11" t="n">
        <f aca="false">IF(ISNUMBER(E7),1-E7,"")</f>
        <v>0.982577213232918</v>
      </c>
    </row>
    <row r="8" customFormat="false" ht="15" hidden="false" customHeight="false" outlineLevel="0" collapsed="false">
      <c r="A8" s="7" t="s">
        <v>215</v>
      </c>
      <c r="B8" s="7" t="s">
        <v>166</v>
      </c>
      <c r="C8" s="7" t="s">
        <v>265</v>
      </c>
      <c r="D8" s="9" t="n">
        <v>4.28945012805313</v>
      </c>
      <c r="E8" s="10" t="n">
        <v>0.233130114617715</v>
      </c>
      <c r="F8" s="11" t="n">
        <f aca="false">IF(ISNUMBER(E8),1-E8,"")</f>
        <v>0.766869885382285</v>
      </c>
    </row>
    <row r="9" customFormat="false" ht="15" hidden="false" customHeight="false" outlineLevel="0" collapsed="false">
      <c r="A9" s="7" t="s">
        <v>225</v>
      </c>
      <c r="B9" s="7" t="s">
        <v>166</v>
      </c>
      <c r="C9" s="7" t="s">
        <v>266</v>
      </c>
      <c r="D9" s="9" t="n">
        <v>348.910622886298</v>
      </c>
      <c r="E9" s="10" t="n">
        <v>0.0028660634970861</v>
      </c>
      <c r="F9" s="11" t="n">
        <f aca="false">IF(ISNUMBER(E9),1-E9,"")</f>
        <v>0.997133936502914</v>
      </c>
    </row>
    <row r="10" customFormat="false" ht="15" hidden="false" customHeight="false" outlineLevel="0" collapsed="false">
      <c r="A10" s="7" t="s">
        <v>236</v>
      </c>
      <c r="B10" s="7" t="s">
        <v>166</v>
      </c>
      <c r="C10" s="7" t="s">
        <v>267</v>
      </c>
      <c r="D10" s="9" t="n">
        <v>12.4517826192985</v>
      </c>
      <c r="E10" s="10" t="n">
        <v>0.0803097862028317</v>
      </c>
      <c r="F10" s="11" t="n">
        <f aca="false">IF(ISNUMBER(E10),1-E10,"")</f>
        <v>0.919690213797168</v>
      </c>
    </row>
    <row r="11" customFormat="false" ht="15" hidden="false" customHeight="false" outlineLevel="0" collapsed="false">
      <c r="A11" s="7" t="s">
        <v>246</v>
      </c>
      <c r="B11" s="7" t="s">
        <v>166</v>
      </c>
      <c r="C11" s="7" t="s">
        <v>268</v>
      </c>
      <c r="D11" s="9" t="n">
        <v>9.85997523337834</v>
      </c>
      <c r="E11" s="10" t="n">
        <v>0.101420133046051</v>
      </c>
      <c r="F11" s="11" t="n">
        <f aca="false">IF(ISNUMBER(E11),1-E11,"")</f>
        <v>0.898579866953949</v>
      </c>
    </row>
    <row r="12" customFormat="false" ht="15" hidden="false" customHeight="false" outlineLevel="0" collapsed="false">
      <c r="A12" s="7" t="s">
        <v>251</v>
      </c>
      <c r="B12" s="7" t="s">
        <v>166</v>
      </c>
      <c r="C12" s="7" t="s">
        <v>269</v>
      </c>
      <c r="D12" s="9" t="n">
        <v>4.3426933466042</v>
      </c>
      <c r="E12" s="10" t="n">
        <v>0.230271842883394</v>
      </c>
      <c r="F12" s="11" t="n">
        <f aca="false">IF(ISNUMBER(E12),1-E12,"")</f>
        <v>0.769728157116607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270</v>
      </c>
      <c r="E1" s="6" t="s">
        <v>271</v>
      </c>
      <c r="F1" s="6" t="s">
        <v>272</v>
      </c>
      <c r="G1" s="6" t="s">
        <v>273</v>
      </c>
      <c r="H1" s="6" t="s">
        <v>274</v>
      </c>
      <c r="I1" s="6" t="s">
        <v>275</v>
      </c>
      <c r="J1" s="6" t="s">
        <v>276</v>
      </c>
      <c r="K1" s="6" t="s">
        <v>277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13</v>
      </c>
      <c r="E2" s="7" t="s">
        <v>44</v>
      </c>
      <c r="F2" s="9" t="n">
        <v>4.62018215443775</v>
      </c>
      <c r="G2" s="9" t="n">
        <v>4.62018215443775</v>
      </c>
      <c r="H2" s="7" t="s">
        <v>44</v>
      </c>
      <c r="I2" s="9" t="n">
        <v>4.62018215443775</v>
      </c>
      <c r="J2" s="7" t="str">
        <f aca="false">IF(E2=H2,"yes","no")</f>
        <v>yes</v>
      </c>
      <c r="K2" s="12" t="n">
        <f aca="false">IF(AND(ISNUMBER(F2),ISNUMBER(G2)),F2/G2-1,"")</f>
        <v>0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11</v>
      </c>
      <c r="E3" s="7" t="s">
        <v>51</v>
      </c>
      <c r="F3" s="9" t="n">
        <v>5.55613859469599</v>
      </c>
      <c r="G3" s="9" t="n">
        <v>5.55613859469599</v>
      </c>
      <c r="H3" s="7" t="s">
        <v>51</v>
      </c>
      <c r="I3" s="9" t="n">
        <v>5.55613859469599</v>
      </c>
      <c r="J3" s="7" t="str">
        <f aca="false">IF(E3=H3,"yes","no")</f>
        <v>yes</v>
      </c>
      <c r="K3" s="12" t="n">
        <f aca="false">IF(AND(ISNUMBER(F3),ISNUMBER(G3)),F3/G3-1,"")</f>
        <v>0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8</v>
      </c>
      <c r="E4" s="7" t="s">
        <v>58</v>
      </c>
      <c r="F4" s="9" t="n">
        <v>3.21350367828449</v>
      </c>
      <c r="G4" s="9" t="n">
        <v>3.21350367828449</v>
      </c>
      <c r="H4" s="7" t="s">
        <v>58</v>
      </c>
      <c r="I4" s="9" t="n">
        <v>3.21350367828449</v>
      </c>
      <c r="J4" s="7" t="str">
        <f aca="false">IF(E4=H4,"yes","no")</f>
        <v>yes</v>
      </c>
      <c r="K4" s="12" t="n">
        <f aca="false">IF(AND(ISNUMBER(F4),ISNUMBER(G4)),F4/G4-1,"")</f>
        <v>0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7</v>
      </c>
      <c r="E5" s="7" t="s">
        <v>65</v>
      </c>
      <c r="F5" s="9" t="n">
        <v>3.37066594549794</v>
      </c>
      <c r="G5" s="9" t="n">
        <v>3.37066594549794</v>
      </c>
      <c r="H5" s="7" t="s">
        <v>65</v>
      </c>
      <c r="I5" s="9" t="n">
        <v>3.37066594549794</v>
      </c>
      <c r="J5" s="7" t="str">
        <f aca="false">IF(E5=H5,"yes","no")</f>
        <v>yes</v>
      </c>
      <c r="K5" s="12" t="n">
        <f aca="false">IF(AND(ISNUMBER(F5),ISNUMBER(G5)),F5/G5-1,"")</f>
        <v>0</v>
      </c>
    </row>
    <row r="6" customFormat="false" ht="15" hidden="false" customHeight="false" outlineLevel="0" collapsed="false">
      <c r="A6" s="7" t="s">
        <v>69</v>
      </c>
      <c r="B6" s="7" t="s">
        <v>42</v>
      </c>
      <c r="C6" s="7" t="s">
        <v>70</v>
      </c>
      <c r="D6" s="8" t="n">
        <v>7</v>
      </c>
      <c r="E6" s="7" t="s">
        <v>71</v>
      </c>
      <c r="F6" s="9" t="n">
        <v>2.99689141277286</v>
      </c>
      <c r="G6" s="9" t="n">
        <v>2.99775287085025</v>
      </c>
      <c r="H6" s="7" t="s">
        <v>71</v>
      </c>
      <c r="I6" s="9" t="n">
        <v>2.99775287085025</v>
      </c>
      <c r="J6" s="7" t="str">
        <f aca="false">IF(E6=H6,"yes","no")</f>
        <v>yes</v>
      </c>
      <c r="K6" s="12" t="n">
        <f aca="false">IF(AND(ISNUMBER(F6),ISNUMBER(G6)),F6/G6-1,"")</f>
        <v>-0.000287367943425099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13</v>
      </c>
      <c r="E7" s="7" t="s">
        <v>77</v>
      </c>
      <c r="F7" s="9" t="n">
        <v>6.05474824053142</v>
      </c>
      <c r="G7" s="9" t="n">
        <v>6.05474824053142</v>
      </c>
      <c r="H7" s="7" t="s">
        <v>77</v>
      </c>
      <c r="I7" s="9" t="n">
        <v>6.05474824053142</v>
      </c>
      <c r="J7" s="7" t="str">
        <f aca="false">IF(E7=H7,"yes","no")</f>
        <v>yes</v>
      </c>
      <c r="K7" s="12" t="n">
        <f aca="false">IF(AND(ISNUMBER(F7),ISNUMBER(G7)),F7/G7-1,"")</f>
        <v>0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6</v>
      </c>
      <c r="E8" s="7" t="s">
        <v>83</v>
      </c>
      <c r="F8" s="9" t="n">
        <v>3.08851813183901</v>
      </c>
      <c r="G8" s="9" t="n">
        <v>3.08851813183901</v>
      </c>
      <c r="H8" s="7" t="s">
        <v>83</v>
      </c>
      <c r="I8" s="9" t="n">
        <v>3.08851813183901</v>
      </c>
      <c r="J8" s="7" t="str">
        <f aca="false">IF(E8=H8,"yes","no")</f>
        <v>yes</v>
      </c>
      <c r="K8" s="12" t="n">
        <f aca="false">IF(AND(ISNUMBER(F8),ISNUMBER(G8)),F8/G8-1,"")</f>
        <v>0</v>
      </c>
    </row>
    <row r="9" customFormat="false" ht="15" hidden="false" customHeight="false" outlineLevel="0" collapsed="false">
      <c r="A9" s="7" t="s">
        <v>86</v>
      </c>
      <c r="B9" s="7" t="s">
        <v>63</v>
      </c>
      <c r="C9" s="7" t="s">
        <v>87</v>
      </c>
      <c r="D9" s="8" t="n">
        <v>7</v>
      </c>
      <c r="E9" s="7" t="s">
        <v>88</v>
      </c>
      <c r="F9" s="9" t="n">
        <v>1.37306853927239</v>
      </c>
      <c r="G9" s="9" t="n">
        <v>1.37306853927239</v>
      </c>
      <c r="H9" s="7" t="s">
        <v>88</v>
      </c>
      <c r="I9" s="9" t="n">
        <v>1.37306853927239</v>
      </c>
      <c r="J9" s="7" t="str">
        <f aca="false">IF(E9=H9,"yes","no")</f>
        <v>yes</v>
      </c>
      <c r="K9" s="12" t="n">
        <f aca="false">IF(AND(ISNUMBER(F9),ISNUMBER(G9)),F9/G9-1,"")</f>
        <v>0</v>
      </c>
    </row>
    <row r="10" customFormat="false" ht="15" hidden="false" customHeight="false" outlineLevel="0" collapsed="false">
      <c r="A10" s="7" t="s">
        <v>92</v>
      </c>
      <c r="B10" s="7" t="s">
        <v>42</v>
      </c>
      <c r="C10" s="7" t="s">
        <v>93</v>
      </c>
      <c r="D10" s="8" t="n">
        <v>9</v>
      </c>
      <c r="E10" s="7" t="s">
        <v>94</v>
      </c>
      <c r="F10" s="9" t="n">
        <v>4.73782353496728</v>
      </c>
      <c r="G10" s="9" t="n">
        <v>4.73782353496728</v>
      </c>
      <c r="H10" s="7" t="s">
        <v>94</v>
      </c>
      <c r="I10" s="9" t="n">
        <v>4.73782353496728</v>
      </c>
      <c r="J10" s="7" t="str">
        <f aca="false">IF(E10=H10,"yes","no")</f>
        <v>yes</v>
      </c>
      <c r="K10" s="12" t="n">
        <f aca="false">IF(AND(ISNUMBER(F10),ISNUMBER(G10)),F10/G10-1,"")</f>
        <v>0</v>
      </c>
    </row>
    <row r="11" customFormat="false" ht="15" hidden="false" customHeight="false" outlineLevel="0" collapsed="false">
      <c r="A11" s="7" t="s">
        <v>98</v>
      </c>
      <c r="B11" s="7" t="s">
        <v>49</v>
      </c>
      <c r="C11" s="7" t="s">
        <v>99</v>
      </c>
      <c r="D11" s="8" t="n">
        <v>12</v>
      </c>
      <c r="E11" s="7" t="s">
        <v>100</v>
      </c>
      <c r="F11" s="9" t="n">
        <v>3.22662870772974</v>
      </c>
      <c r="G11" s="9" t="n">
        <v>3.22662870772974</v>
      </c>
      <c r="H11" s="7" t="s">
        <v>100</v>
      </c>
      <c r="I11" s="9" t="n">
        <v>3.22662870772974</v>
      </c>
      <c r="J11" s="7" t="str">
        <f aca="false">IF(E11=H11,"yes","no")</f>
        <v>yes</v>
      </c>
      <c r="K11" s="12" t="n">
        <f aca="false">IF(AND(ISNUMBER(F11),ISNUMBER(G11)),F11/G11-1,"")</f>
        <v>0</v>
      </c>
    </row>
    <row r="12" customFormat="false" ht="15" hidden="false" customHeight="false" outlineLevel="0" collapsed="false">
      <c r="A12" s="7" t="s">
        <v>104</v>
      </c>
      <c r="B12" s="7" t="s">
        <v>56</v>
      </c>
      <c r="C12" s="7" t="s">
        <v>105</v>
      </c>
      <c r="D12" s="8" t="n">
        <v>9</v>
      </c>
      <c r="E12" s="7" t="s">
        <v>106</v>
      </c>
      <c r="F12" s="9" t="n">
        <v>5.25882334118722</v>
      </c>
      <c r="G12" s="9" t="n">
        <v>5.25882334118722</v>
      </c>
      <c r="H12" s="7" t="s">
        <v>106</v>
      </c>
      <c r="I12" s="9" t="n">
        <v>5.25882334118722</v>
      </c>
      <c r="J12" s="7" t="str">
        <f aca="false">IF(E12=H12,"yes","no")</f>
        <v>yes</v>
      </c>
      <c r="K12" s="12" t="n">
        <f aca="false">IF(AND(ISNUMBER(F12),ISNUMBER(G12)),F12/G12-1,"")</f>
        <v>0</v>
      </c>
    </row>
    <row r="13" customFormat="false" ht="15" hidden="false" customHeight="false" outlineLevel="0" collapsed="false">
      <c r="A13" s="7" t="s">
        <v>110</v>
      </c>
      <c r="B13" s="7" t="s">
        <v>63</v>
      </c>
      <c r="C13" s="7" t="s">
        <v>111</v>
      </c>
      <c r="D13" s="8" t="n">
        <v>4</v>
      </c>
      <c r="E13" s="7" t="s">
        <v>112</v>
      </c>
      <c r="F13" s="9" t="n">
        <v>2.55049997755041</v>
      </c>
      <c r="G13" s="9" t="n">
        <v>2.55049997755041</v>
      </c>
      <c r="H13" s="7" t="s">
        <v>112</v>
      </c>
      <c r="I13" s="9" t="n">
        <v>2.55049997755041</v>
      </c>
      <c r="J13" s="7" t="str">
        <f aca="false">IF(E13=H13,"yes","no")</f>
        <v>yes</v>
      </c>
      <c r="K13" s="12" t="n">
        <f aca="false">IF(AND(ISNUMBER(F13),ISNUMBER(G13)),F13/G13-1,"")</f>
        <v>0</v>
      </c>
    </row>
    <row r="14" customFormat="false" ht="15" hidden="false" customHeight="false" outlineLevel="0" collapsed="false">
      <c r="A14" s="7" t="s">
        <v>116</v>
      </c>
      <c r="B14" s="7" t="s">
        <v>42</v>
      </c>
      <c r="C14" s="7" t="s">
        <v>117</v>
      </c>
      <c r="D14" s="8" t="n">
        <v>19</v>
      </c>
      <c r="E14" s="7" t="s">
        <v>118</v>
      </c>
      <c r="F14" s="9" t="n">
        <v>7.78369664930408</v>
      </c>
      <c r="G14" s="9" t="n">
        <v>7.78369664930408</v>
      </c>
      <c r="H14" s="7" t="s">
        <v>118</v>
      </c>
      <c r="I14" s="9" t="n">
        <v>7.78369664930408</v>
      </c>
      <c r="J14" s="7" t="str">
        <f aca="false">IF(E14=H14,"yes","no")</f>
        <v>yes</v>
      </c>
      <c r="K14" s="12" t="n">
        <f aca="false">IF(AND(ISNUMBER(F14),ISNUMBER(G14)),F14/G14-1,"")</f>
        <v>0</v>
      </c>
    </row>
    <row r="15" customFormat="false" ht="15" hidden="false" customHeight="false" outlineLevel="0" collapsed="false">
      <c r="A15" s="7" t="s">
        <v>121</v>
      </c>
      <c r="B15" s="7" t="s">
        <v>49</v>
      </c>
      <c r="C15" s="7" t="s">
        <v>122</v>
      </c>
      <c r="D15" s="8" t="n">
        <v>6</v>
      </c>
      <c r="E15" s="7" t="s">
        <v>123</v>
      </c>
      <c r="F15" s="9" t="n">
        <v>1.69807356750882</v>
      </c>
      <c r="G15" s="9" t="n">
        <v>1.69807356750882</v>
      </c>
      <c r="H15" s="7" t="s">
        <v>123</v>
      </c>
      <c r="I15" s="9" t="n">
        <v>1.69807356750882</v>
      </c>
      <c r="J15" s="7" t="str">
        <f aca="false">IF(E15=H15,"yes","no")</f>
        <v>yes</v>
      </c>
      <c r="K15" s="12" t="n">
        <f aca="false">IF(AND(ISNUMBER(F15),ISNUMBER(G15)),F15/G15-1,"")</f>
        <v>0</v>
      </c>
    </row>
    <row r="16" customFormat="false" ht="15" hidden="false" customHeight="false" outlineLevel="0" collapsed="false">
      <c r="A16" s="7" t="s">
        <v>127</v>
      </c>
      <c r="B16" s="7" t="s">
        <v>56</v>
      </c>
      <c r="C16" s="7" t="s">
        <v>128</v>
      </c>
      <c r="D16" s="8" t="n">
        <v>10</v>
      </c>
      <c r="E16" s="7" t="s">
        <v>129</v>
      </c>
      <c r="F16" s="9" t="n">
        <v>4.48027259490629</v>
      </c>
      <c r="G16" s="9" t="n">
        <v>4.48027259490629</v>
      </c>
      <c r="H16" s="7" t="s">
        <v>129</v>
      </c>
      <c r="I16" s="9" t="n">
        <v>4.48027259490629</v>
      </c>
      <c r="J16" s="7" t="str">
        <f aca="false">IF(E16=H16,"yes","no")</f>
        <v>yes</v>
      </c>
      <c r="K16" s="12" t="n">
        <f aca="false">IF(AND(ISNUMBER(F16),ISNUMBER(G16)),F16/G16-1,"")</f>
        <v>0</v>
      </c>
    </row>
    <row r="17" customFormat="false" ht="15" hidden="false" customHeight="false" outlineLevel="0" collapsed="false">
      <c r="A17" s="7" t="s">
        <v>133</v>
      </c>
      <c r="B17" s="7" t="s">
        <v>63</v>
      </c>
      <c r="C17" s="7" t="s">
        <v>134</v>
      </c>
      <c r="D17" s="8" t="n">
        <v>8</v>
      </c>
      <c r="E17" s="7" t="s">
        <v>135</v>
      </c>
      <c r="F17" s="9" t="n">
        <v>2.82480188429645</v>
      </c>
      <c r="G17" s="9" t="n">
        <v>2.82480188429645</v>
      </c>
      <c r="H17" s="7" t="s">
        <v>135</v>
      </c>
      <c r="I17" s="9" t="n">
        <v>2.82480188429645</v>
      </c>
      <c r="J17" s="7" t="str">
        <f aca="false">IF(E17=H17,"yes","no")</f>
        <v>yes</v>
      </c>
      <c r="K17" s="12" t="n">
        <f aca="false">IF(AND(ISNUMBER(F17),ISNUMBER(G17)),F17/G17-1,"")</f>
        <v>0</v>
      </c>
    </row>
    <row r="18" customFormat="false" ht="15" hidden="false" customHeight="false" outlineLevel="0" collapsed="false">
      <c r="A18" s="7" t="s">
        <v>139</v>
      </c>
      <c r="B18" s="7" t="s">
        <v>42</v>
      </c>
      <c r="C18" s="7" t="s">
        <v>140</v>
      </c>
      <c r="D18" s="8" t="n">
        <v>12</v>
      </c>
      <c r="E18" s="7" t="s">
        <v>141</v>
      </c>
      <c r="F18" s="9" t="n">
        <v>5.45243251491631</v>
      </c>
      <c r="G18" s="9" t="n">
        <v>5.45243251491631</v>
      </c>
      <c r="H18" s="7" t="s">
        <v>141</v>
      </c>
      <c r="I18" s="9" t="n">
        <v>5.45243251491631</v>
      </c>
      <c r="J18" s="7" t="str">
        <f aca="false">IF(E18=H18,"yes","no")</f>
        <v>yes</v>
      </c>
      <c r="K18" s="12" t="n">
        <f aca="false">IF(AND(ISNUMBER(F18),ISNUMBER(G18)),F18/G18-1,"")</f>
        <v>0</v>
      </c>
    </row>
    <row r="19" customFormat="false" ht="15" hidden="false" customHeight="false" outlineLevel="0" collapsed="false">
      <c r="A19" s="7" t="s">
        <v>145</v>
      </c>
      <c r="B19" s="7" t="s">
        <v>49</v>
      </c>
      <c r="C19" s="7" t="s">
        <v>146</v>
      </c>
      <c r="D19" s="8" t="n">
        <v>12</v>
      </c>
      <c r="E19" s="7" t="s">
        <v>147</v>
      </c>
      <c r="F19" s="9" t="n">
        <v>4.95019000404464</v>
      </c>
      <c r="G19" s="9" t="n">
        <v>4.95019000404464</v>
      </c>
      <c r="H19" s="7" t="s">
        <v>147</v>
      </c>
      <c r="I19" s="9" t="n">
        <v>4.95019000404464</v>
      </c>
      <c r="J19" s="7" t="str">
        <f aca="false">IF(E19=H19,"yes","no")</f>
        <v>yes</v>
      </c>
      <c r="K19" s="12" t="n">
        <f aca="false">IF(AND(ISNUMBER(F19),ISNUMBER(G19)),F19/G19-1,"")</f>
        <v>0</v>
      </c>
    </row>
    <row r="20" customFormat="false" ht="15" hidden="false" customHeight="false" outlineLevel="0" collapsed="false">
      <c r="A20" s="7" t="s">
        <v>151</v>
      </c>
      <c r="B20" s="7" t="s">
        <v>56</v>
      </c>
      <c r="C20" s="7" t="s">
        <v>152</v>
      </c>
      <c r="D20" s="8" t="n">
        <v>11</v>
      </c>
      <c r="E20" s="7" t="s">
        <v>153</v>
      </c>
      <c r="F20" s="9" t="n">
        <v>5.19453070385553</v>
      </c>
      <c r="G20" s="9" t="n">
        <v>5.19453070385553</v>
      </c>
      <c r="H20" s="7" t="s">
        <v>153</v>
      </c>
      <c r="I20" s="9" t="n">
        <v>5.19453070385553</v>
      </c>
      <c r="J20" s="7" t="str">
        <f aca="false">IF(E20=H20,"yes","no")</f>
        <v>yes</v>
      </c>
      <c r="K20" s="12" t="n">
        <f aca="false">IF(AND(ISNUMBER(F20),ISNUMBER(G20)),F20/G20-1,"")</f>
        <v>0</v>
      </c>
    </row>
    <row r="21" customFormat="false" ht="15" hidden="false" customHeight="false" outlineLevel="0" collapsed="false">
      <c r="A21" s="7" t="s">
        <v>155</v>
      </c>
      <c r="B21" s="7" t="s">
        <v>63</v>
      </c>
      <c r="C21" s="7" t="s">
        <v>156</v>
      </c>
      <c r="D21" s="8" t="n">
        <v>5</v>
      </c>
      <c r="E21" s="7" t="s">
        <v>157</v>
      </c>
      <c r="F21" s="9" t="n">
        <v>2.62230526983567</v>
      </c>
      <c r="G21" s="9" t="n">
        <v>2.62230526983567</v>
      </c>
      <c r="H21" s="7" t="s">
        <v>157</v>
      </c>
      <c r="I21" s="9" t="n">
        <v>2.62230526983567</v>
      </c>
      <c r="J21" s="7" t="str">
        <f aca="false">IF(E21=H21,"yes","no")</f>
        <v>yes</v>
      </c>
      <c r="K21" s="12" t="n">
        <f aca="false">IF(AND(ISNUMBER(F21),ISNUMBER(G21)),F21/G21-1,"")</f>
        <v>0</v>
      </c>
    </row>
    <row r="22" customFormat="false" ht="15" hidden="false" customHeight="false" outlineLevel="0" collapsed="false">
      <c r="A22" s="7" t="s">
        <v>161</v>
      </c>
      <c r="B22" s="7" t="s">
        <v>42</v>
      </c>
      <c r="C22" s="7" t="s">
        <v>162</v>
      </c>
      <c r="D22" s="8" t="n">
        <v>14</v>
      </c>
      <c r="E22" s="7" t="s">
        <v>163</v>
      </c>
      <c r="F22" s="9" t="n">
        <v>4.18165663712629</v>
      </c>
      <c r="G22" s="9" t="n">
        <v>4.18165663712629</v>
      </c>
      <c r="H22" s="7" t="s">
        <v>163</v>
      </c>
      <c r="I22" s="9" t="n">
        <v>4.18165663712629</v>
      </c>
      <c r="J22" s="7" t="str">
        <f aca="false">IF(E22=H22,"yes","no")</f>
        <v>yes</v>
      </c>
      <c r="K22" s="12" t="n">
        <f aca="false">IF(AND(ISNUMBER(F22),ISNUMBER(G22)),F22/G22-1,"")</f>
        <v>0</v>
      </c>
    </row>
    <row r="23" customFormat="false" ht="15" hidden="false" customHeight="false" outlineLevel="0" collapsed="false">
      <c r="A23" s="7" t="s">
        <v>165</v>
      </c>
      <c r="B23" s="7" t="s">
        <v>166</v>
      </c>
      <c r="C23" s="7" t="s">
        <v>167</v>
      </c>
      <c r="D23" s="8" t="n">
        <v>13</v>
      </c>
      <c r="E23" s="7" t="s">
        <v>168</v>
      </c>
      <c r="F23" s="9" t="n">
        <v>6.33843485313557</v>
      </c>
      <c r="G23" s="9" t="n">
        <v>6.33832377077751</v>
      </c>
      <c r="H23" s="7" t="s">
        <v>168</v>
      </c>
      <c r="I23" s="9" t="n">
        <v>6.33832377077751</v>
      </c>
      <c r="J23" s="7" t="str">
        <f aca="false">IF(E23=H23,"yes","no")</f>
        <v>yes</v>
      </c>
      <c r="K23" s="12" t="n">
        <f aca="false">IF(AND(ISNUMBER(F23),ISNUMBER(G23)),F23/G23-1,"")</f>
        <v>1.75255102250471E-005</v>
      </c>
    </row>
    <row r="24" customFormat="false" ht="15" hidden="false" customHeight="false" outlineLevel="0" collapsed="false">
      <c r="A24" s="7" t="s">
        <v>172</v>
      </c>
      <c r="B24" s="7" t="s">
        <v>49</v>
      </c>
      <c r="C24" s="7" t="s">
        <v>173</v>
      </c>
      <c r="D24" s="8" t="n">
        <v>12</v>
      </c>
      <c r="E24" s="7" t="s">
        <v>174</v>
      </c>
      <c r="F24" s="9" t="n">
        <v>4.63015746065306</v>
      </c>
      <c r="G24" s="9" t="n">
        <v>4.63015746065306</v>
      </c>
      <c r="H24" s="7" t="s">
        <v>174</v>
      </c>
      <c r="I24" s="9" t="n">
        <v>4.63015746065306</v>
      </c>
      <c r="J24" s="7" t="str">
        <f aca="false">IF(E24=H24,"yes","no")</f>
        <v>yes</v>
      </c>
      <c r="K24" s="12" t="n">
        <f aca="false">IF(AND(ISNUMBER(F24),ISNUMBER(G24)),F24/G24-1,"")</f>
        <v>0</v>
      </c>
    </row>
    <row r="25" customFormat="false" ht="15" hidden="false" customHeight="false" outlineLevel="0" collapsed="false">
      <c r="A25" s="7" t="s">
        <v>178</v>
      </c>
      <c r="B25" s="7" t="s">
        <v>56</v>
      </c>
      <c r="C25" s="7" t="s">
        <v>179</v>
      </c>
      <c r="D25" s="8" t="n">
        <v>8</v>
      </c>
      <c r="E25" s="7" t="s">
        <v>180</v>
      </c>
      <c r="F25" s="9" t="n">
        <v>3.85756585275573</v>
      </c>
      <c r="G25" s="9" t="n">
        <v>3.85756585275573</v>
      </c>
      <c r="H25" s="7" t="s">
        <v>180</v>
      </c>
      <c r="I25" s="9" t="n">
        <v>3.85756585275573</v>
      </c>
      <c r="J25" s="7" t="str">
        <f aca="false">IF(E25=H25,"yes","no")</f>
        <v>yes</v>
      </c>
      <c r="K25" s="12" t="n">
        <f aca="false">IF(AND(ISNUMBER(F25),ISNUMBER(G25)),F25/G25-1,"")</f>
        <v>0</v>
      </c>
    </row>
    <row r="26" customFormat="false" ht="15" hidden="false" customHeight="false" outlineLevel="0" collapsed="false">
      <c r="A26" s="7" t="s">
        <v>183</v>
      </c>
      <c r="B26" s="7" t="s">
        <v>63</v>
      </c>
      <c r="C26" s="7" t="s">
        <v>184</v>
      </c>
      <c r="D26" s="8" t="n">
        <v>3</v>
      </c>
      <c r="E26" s="7" t="s">
        <v>185</v>
      </c>
      <c r="F26" s="9" t="n">
        <v>1.71742741958234</v>
      </c>
      <c r="G26" s="9" t="n">
        <v>1.71742741958234</v>
      </c>
      <c r="H26" s="7" t="s">
        <v>185</v>
      </c>
      <c r="I26" s="9" t="n">
        <v>1.71742741958234</v>
      </c>
      <c r="J26" s="7" t="str">
        <f aca="false">IF(E26=H26,"yes","no")</f>
        <v>yes</v>
      </c>
      <c r="K26" s="12" t="n">
        <f aca="false">IF(AND(ISNUMBER(F26),ISNUMBER(G26)),F26/G26-1,"")</f>
        <v>0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9</v>
      </c>
      <c r="E27" s="7" t="s">
        <v>191</v>
      </c>
      <c r="F27" s="9" t="n">
        <v>5.8004211336209</v>
      </c>
      <c r="G27" s="9" t="n">
        <v>5.8004211336209</v>
      </c>
      <c r="H27" s="7" t="s">
        <v>191</v>
      </c>
      <c r="I27" s="9" t="n">
        <v>5.8004211336209</v>
      </c>
      <c r="J27" s="7" t="str">
        <f aca="false">IF(E27=H27,"yes","no")</f>
        <v>yes</v>
      </c>
      <c r="K27" s="12" t="n">
        <f aca="false">IF(AND(ISNUMBER(F27),ISNUMBER(G27)),F27/G27-1,"")</f>
        <v>0</v>
      </c>
    </row>
    <row r="28" customFormat="false" ht="15" hidden="false" customHeight="false" outlineLevel="0" collapsed="false">
      <c r="A28" s="7" t="s">
        <v>193</v>
      </c>
      <c r="B28" s="7" t="s">
        <v>166</v>
      </c>
      <c r="C28" s="7" t="s">
        <v>194</v>
      </c>
      <c r="D28" s="8" t="n">
        <v>6</v>
      </c>
      <c r="E28" s="7" t="s">
        <v>195</v>
      </c>
      <c r="F28" s="9" t="n">
        <v>3.04429512783709</v>
      </c>
      <c r="G28" s="9" t="n">
        <v>3.04402589121573</v>
      </c>
      <c r="H28" s="7" t="s">
        <v>195</v>
      </c>
      <c r="I28" s="9" t="n">
        <v>3.04402589121573</v>
      </c>
      <c r="J28" s="7" t="str">
        <f aca="false">IF(E28=H28,"yes","no")</f>
        <v>yes</v>
      </c>
      <c r="K28" s="12" t="n">
        <f aca="false">IF(AND(ISNUMBER(F28),ISNUMBER(G28)),F28/G28-1,"")</f>
        <v>8.84475464328904E-005</v>
      </c>
    </row>
    <row r="29" customFormat="false" ht="15" hidden="false" customHeight="false" outlineLevel="0" collapsed="false">
      <c r="A29" s="7" t="s">
        <v>199</v>
      </c>
      <c r="B29" s="7" t="s">
        <v>49</v>
      </c>
      <c r="C29" s="7" t="s">
        <v>200</v>
      </c>
      <c r="D29" s="8" t="n">
        <v>10</v>
      </c>
      <c r="E29" s="7" t="s">
        <v>201</v>
      </c>
      <c r="F29" s="9" t="n">
        <v>4.54615628172129</v>
      </c>
      <c r="G29" s="9" t="n">
        <v>4.54615628172129</v>
      </c>
      <c r="H29" s="7" t="s">
        <v>201</v>
      </c>
      <c r="I29" s="9" t="n">
        <v>4.54615628172129</v>
      </c>
      <c r="J29" s="7" t="str">
        <f aca="false">IF(E29=H29,"yes","no")</f>
        <v>yes</v>
      </c>
      <c r="K29" s="12" t="n">
        <f aca="false">IF(AND(ISNUMBER(F29),ISNUMBER(G29)),F29/G29-1,"")</f>
        <v>0</v>
      </c>
    </row>
    <row r="30" customFormat="false" ht="15" hidden="false" customHeight="false" outlineLevel="0" collapsed="false">
      <c r="A30" s="7" t="s">
        <v>205</v>
      </c>
      <c r="B30" s="7" t="s">
        <v>56</v>
      </c>
      <c r="C30" s="7" t="s">
        <v>206</v>
      </c>
      <c r="D30" s="8" t="n">
        <v>7</v>
      </c>
      <c r="E30" s="7" t="s">
        <v>207</v>
      </c>
      <c r="F30" s="9" t="n">
        <v>3.44831994016035</v>
      </c>
      <c r="G30" s="9" t="n">
        <v>3.44831994016035</v>
      </c>
      <c r="H30" s="7" t="s">
        <v>207</v>
      </c>
      <c r="I30" s="9" t="n">
        <v>3.44831994016035</v>
      </c>
      <c r="J30" s="7" t="str">
        <f aca="false">IF(E30=H30,"yes","no")</f>
        <v>yes</v>
      </c>
      <c r="K30" s="12" t="n">
        <f aca="false">IF(AND(ISNUMBER(F30),ISNUMBER(G30)),F30/G30-1,"")</f>
        <v>0</v>
      </c>
    </row>
    <row r="31" customFormat="false" ht="15" hidden="false" customHeight="false" outlineLevel="0" collapsed="false">
      <c r="A31" s="7" t="s">
        <v>210</v>
      </c>
      <c r="B31" s="7" t="s">
        <v>42</v>
      </c>
      <c r="C31" s="7" t="s">
        <v>211</v>
      </c>
      <c r="D31" s="8" t="n">
        <v>18</v>
      </c>
      <c r="E31" s="7" t="s">
        <v>212</v>
      </c>
      <c r="F31" s="9" t="n">
        <v>8.3424453437415</v>
      </c>
      <c r="G31" s="9" t="n">
        <v>8.53644128204074</v>
      </c>
      <c r="H31" s="7" t="s">
        <v>212</v>
      </c>
      <c r="I31" s="9" t="n">
        <v>8.53644128204074</v>
      </c>
      <c r="J31" s="7" t="str">
        <f aca="false">IF(E31=H31,"yes","no")</f>
        <v>yes</v>
      </c>
      <c r="K31" s="12" t="n">
        <f aca="false">IF(AND(ISNUMBER(F31),ISNUMBER(G31)),F31/G31-1,"")</f>
        <v>-0.0227256220583839</v>
      </c>
    </row>
    <row r="32" customFormat="false" ht="15" hidden="false" customHeight="false" outlineLevel="0" collapsed="false">
      <c r="A32" s="7" t="s">
        <v>215</v>
      </c>
      <c r="B32" s="7" t="s">
        <v>166</v>
      </c>
      <c r="C32" s="7" t="s">
        <v>216</v>
      </c>
      <c r="D32" s="8" t="n">
        <v>10</v>
      </c>
      <c r="E32" s="7" t="s">
        <v>217</v>
      </c>
      <c r="F32" s="9" t="n">
        <v>3.12346500360521</v>
      </c>
      <c r="G32" s="9" t="n">
        <v>3.12346500360521</v>
      </c>
      <c r="H32" s="7" t="s">
        <v>217</v>
      </c>
      <c r="I32" s="9" t="n">
        <v>3.12346500360521</v>
      </c>
      <c r="J32" s="7" t="str">
        <f aca="false">IF(E32=H32,"yes","no")</f>
        <v>yes</v>
      </c>
      <c r="K32" s="12" t="n">
        <f aca="false">IF(AND(ISNUMBER(F32),ISNUMBER(G32)),F32/G32-1,"")</f>
        <v>0</v>
      </c>
    </row>
    <row r="33" customFormat="false" ht="15" hidden="false" customHeight="false" outlineLevel="0" collapsed="false">
      <c r="A33" s="7" t="s">
        <v>220</v>
      </c>
      <c r="B33" s="7" t="s">
        <v>49</v>
      </c>
      <c r="C33" s="7" t="s">
        <v>221</v>
      </c>
      <c r="D33" s="8" t="n">
        <v>9</v>
      </c>
      <c r="E33" s="7" t="s">
        <v>222</v>
      </c>
      <c r="F33" s="9" t="n">
        <v>4.64715129242333</v>
      </c>
      <c r="G33" s="9" t="n">
        <v>4.64715129242333</v>
      </c>
      <c r="H33" s="7" t="s">
        <v>222</v>
      </c>
      <c r="I33" s="9" t="n">
        <v>4.64715129242333</v>
      </c>
      <c r="J33" s="7" t="str">
        <f aca="false">IF(E33=H33,"yes","no")</f>
        <v>yes</v>
      </c>
      <c r="K33" s="12" t="n">
        <f aca="false">IF(AND(ISNUMBER(F33),ISNUMBER(G33)),F33/G33-1,"")</f>
        <v>0</v>
      </c>
    </row>
    <row r="34" customFormat="false" ht="15" hidden="false" customHeight="false" outlineLevel="0" collapsed="false">
      <c r="A34" s="7" t="s">
        <v>225</v>
      </c>
      <c r="B34" s="7" t="s">
        <v>166</v>
      </c>
      <c r="C34" s="7" t="s">
        <v>226</v>
      </c>
      <c r="D34" s="8" t="n">
        <v>10</v>
      </c>
      <c r="E34" s="7" t="s">
        <v>227</v>
      </c>
      <c r="F34" s="9" t="n">
        <v>1.95554021415647</v>
      </c>
      <c r="G34" s="9" t="n">
        <v>1.95554021415647</v>
      </c>
      <c r="H34" s="7" t="s">
        <v>227</v>
      </c>
      <c r="I34" s="9" t="n">
        <v>1.95554021415647</v>
      </c>
      <c r="J34" s="7" t="str">
        <f aca="false">IF(E34=H34,"yes","no")</f>
        <v>yes</v>
      </c>
      <c r="K34" s="12" t="n">
        <f aca="false">IF(AND(ISNUMBER(F34),ISNUMBER(G34)),F34/G34-1,"")</f>
        <v>0</v>
      </c>
    </row>
    <row r="35" customFormat="false" ht="15" hidden="false" customHeight="false" outlineLevel="0" collapsed="false">
      <c r="A35" s="7" t="s">
        <v>231</v>
      </c>
      <c r="B35" s="7" t="s">
        <v>166</v>
      </c>
      <c r="C35" s="7" t="s">
        <v>232</v>
      </c>
      <c r="D35" s="8" t="n">
        <v>8</v>
      </c>
      <c r="E35" s="7" t="s">
        <v>233</v>
      </c>
      <c r="F35" s="9" t="n">
        <v>1.90050609740764</v>
      </c>
      <c r="G35" s="9" t="n">
        <v>1.90050609740764</v>
      </c>
      <c r="H35" s="7" t="s">
        <v>233</v>
      </c>
      <c r="I35" s="9" t="n">
        <v>1.90050609740764</v>
      </c>
      <c r="J35" s="7" t="str">
        <f aca="false">IF(E35=H35,"yes","no")</f>
        <v>yes</v>
      </c>
      <c r="K35" s="12" t="n">
        <f aca="false">IF(AND(ISNUMBER(F35),ISNUMBER(G35)),F35/G35-1,"")</f>
        <v>0</v>
      </c>
    </row>
    <row r="36" customFormat="false" ht="15" hidden="false" customHeight="false" outlineLevel="0" collapsed="false">
      <c r="A36" s="7" t="s">
        <v>236</v>
      </c>
      <c r="B36" s="7" t="s">
        <v>166</v>
      </c>
      <c r="C36" s="7" t="s">
        <v>237</v>
      </c>
      <c r="D36" s="8" t="n">
        <v>11</v>
      </c>
      <c r="E36" s="7" t="s">
        <v>238</v>
      </c>
      <c r="F36" s="9" t="n">
        <v>4.1194878763523</v>
      </c>
      <c r="G36" s="9" t="n">
        <v>4.50708740204118</v>
      </c>
      <c r="H36" s="7" t="s">
        <v>238</v>
      </c>
      <c r="I36" s="9" t="n">
        <v>4.50708740204118</v>
      </c>
      <c r="J36" s="7" t="str">
        <f aca="false">IF(E36=H36,"yes","no")</f>
        <v>yes</v>
      </c>
      <c r="K36" s="12" t="n">
        <f aca="false">IF(AND(ISNUMBER(F36),ISNUMBER(G36)),F36/G36-1,"")</f>
        <v>-0.0859977832942271</v>
      </c>
    </row>
    <row r="37" customFormat="false" ht="15" hidden="false" customHeight="false" outlineLevel="0" collapsed="false">
      <c r="A37" s="7" t="s">
        <v>241</v>
      </c>
      <c r="B37" s="7" t="s">
        <v>166</v>
      </c>
      <c r="C37" s="7" t="s">
        <v>242</v>
      </c>
      <c r="D37" s="8" t="n">
        <v>11</v>
      </c>
      <c r="E37" s="7" t="s">
        <v>243</v>
      </c>
      <c r="F37" s="9" t="n">
        <v>2.64139409550695</v>
      </c>
      <c r="G37" s="9" t="n">
        <v>2.6412539327441</v>
      </c>
      <c r="H37" s="7" t="s">
        <v>243</v>
      </c>
      <c r="I37" s="9" t="n">
        <v>2.6412539327441</v>
      </c>
      <c r="J37" s="7" t="str">
        <f aca="false">IF(E37=H37,"yes","no")</f>
        <v>yes</v>
      </c>
      <c r="K37" s="12" t="n">
        <f aca="false">IF(AND(ISNUMBER(F37),ISNUMBER(G37)),F37/G37-1,"")</f>
        <v>5.30667502713911E-005</v>
      </c>
    </row>
    <row r="38" customFormat="false" ht="15" hidden="false" customHeight="false" outlineLevel="0" collapsed="false">
      <c r="A38" s="7" t="s">
        <v>246</v>
      </c>
      <c r="B38" s="7" t="s">
        <v>166</v>
      </c>
      <c r="C38" s="7" t="s">
        <v>247</v>
      </c>
      <c r="D38" s="8" t="n">
        <v>8</v>
      </c>
      <c r="E38" s="7" t="s">
        <v>248</v>
      </c>
      <c r="F38" s="9" t="n">
        <v>2.70428837250585</v>
      </c>
      <c r="G38" s="9" t="n">
        <v>2.70410986689043</v>
      </c>
      <c r="H38" s="7" t="s">
        <v>248</v>
      </c>
      <c r="I38" s="9" t="n">
        <v>2.70410986689043</v>
      </c>
      <c r="J38" s="7" t="str">
        <f aca="false">IF(E38=H38,"yes","no")</f>
        <v>yes</v>
      </c>
      <c r="K38" s="12" t="n">
        <f aca="false">IF(AND(ISNUMBER(F38),ISNUMBER(G38)),F38/G38-1,"")</f>
        <v>6.60127081371087E-005</v>
      </c>
    </row>
    <row r="39" customFormat="false" ht="15" hidden="false" customHeight="false" outlineLevel="0" collapsed="false">
      <c r="A39" s="7" t="s">
        <v>251</v>
      </c>
      <c r="B39" s="7" t="s">
        <v>166</v>
      </c>
      <c r="C39" s="7" t="s">
        <v>252</v>
      </c>
      <c r="D39" s="8" t="n">
        <v>8</v>
      </c>
      <c r="E39" s="7" t="s">
        <v>253</v>
      </c>
      <c r="F39" s="9" t="n">
        <v>2.62477490766668</v>
      </c>
      <c r="G39" s="9" t="n">
        <v>3.34042510189946</v>
      </c>
      <c r="H39" s="7" t="s">
        <v>253</v>
      </c>
      <c r="I39" s="9" t="n">
        <v>3.34042510189946</v>
      </c>
      <c r="J39" s="7" t="str">
        <f aca="false">IF(E39=H39,"yes","no")</f>
        <v>yes</v>
      </c>
      <c r="K39" s="12" t="n">
        <f aca="false">IF(AND(ISNUMBER(F39),ISNUMBER(G39)),F39/G39-1,"")</f>
        <v>-0.214239257699817</v>
      </c>
    </row>
    <row r="41" customFormat="false" ht="15" hidden="false" customHeight="false" outlineLevel="0" collapsed="false">
      <c r="A41" s="13" t="s">
        <v>278</v>
      </c>
      <c r="E41" s="7" t="str">
        <f aca="false">COUNTIF(J2:J39,"yes")&amp;" of "&amp;COUNTA(J2:J39)</f>
        <v>38 of 38</v>
      </c>
    </row>
  </sheetData>
  <autoFilter ref="A1:K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279</v>
      </c>
      <c r="E1" s="6" t="s">
        <v>280</v>
      </c>
      <c r="F1" s="6" t="s">
        <v>281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282</v>
      </c>
      <c r="L1" s="6" t="s">
        <v>283</v>
      </c>
      <c r="M1" s="6" t="s">
        <v>284</v>
      </c>
      <c r="N1" s="6" t="s">
        <v>285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41</v>
      </c>
      <c r="B2" s="14" t="s">
        <v>42</v>
      </c>
      <c r="C2" s="14" t="s">
        <v>43</v>
      </c>
      <c r="D2" s="14"/>
      <c r="E2" s="15" t="n">
        <v>5</v>
      </c>
      <c r="F2" s="14" t="s">
        <v>286</v>
      </c>
      <c r="G2" s="8" t="n">
        <v>13</v>
      </c>
      <c r="H2" s="14" t="s">
        <v>44</v>
      </c>
      <c r="I2" s="14" t="s">
        <v>45</v>
      </c>
      <c r="J2" s="14" t="s">
        <v>46</v>
      </c>
      <c r="K2" s="8" t="n">
        <v>4</v>
      </c>
      <c r="L2" s="8" t="n">
        <v>78</v>
      </c>
      <c r="M2" s="8" t="n">
        <v>2</v>
      </c>
      <c r="N2" s="8" t="n">
        <v>12</v>
      </c>
      <c r="O2" s="8" t="n">
        <v>1</v>
      </c>
      <c r="P2" s="9" t="n">
        <v>4.62018215443775</v>
      </c>
      <c r="Q2" s="10" t="n">
        <v>0.216441682724454</v>
      </c>
      <c r="R2" s="9" t="n">
        <v>2.5</v>
      </c>
      <c r="S2" s="12" t="n">
        <f aca="false">IF(AND(ISNUMBER(R2),R2&gt;1,P2&gt;0),R2/P2-1,"")</f>
        <v>-0.458895793188865</v>
      </c>
      <c r="T2" s="9" t="n">
        <f aca="false">IF(AND(ISNUMBER(P2),P2&gt;0),P2*EXP('Read me'!$B$22),"")</f>
        <v>5.64310322663267</v>
      </c>
    </row>
    <row r="3" customFormat="false" ht="15" hidden="false" customHeight="false" outlineLevel="0" collapsed="false">
      <c r="A3" s="14" t="s">
        <v>41</v>
      </c>
      <c r="B3" s="14" t="s">
        <v>42</v>
      </c>
      <c r="C3" s="14" t="s">
        <v>43</v>
      </c>
      <c r="D3" s="14"/>
      <c r="E3" s="15" t="n">
        <v>5</v>
      </c>
      <c r="F3" s="14" t="s">
        <v>286</v>
      </c>
      <c r="G3" s="8" t="n">
        <v>13</v>
      </c>
      <c r="H3" s="14" t="s">
        <v>47</v>
      </c>
      <c r="I3" s="14" t="s">
        <v>287</v>
      </c>
      <c r="J3" s="14" t="s">
        <v>288</v>
      </c>
      <c r="K3" s="8" t="n">
        <v>7</v>
      </c>
      <c r="L3" s="8" t="n">
        <v>0</v>
      </c>
      <c r="M3" s="8" t="n">
        <v>2</v>
      </c>
      <c r="N3" s="8"/>
      <c r="O3" s="8" t="n">
        <v>2</v>
      </c>
      <c r="P3" s="9" t="n">
        <v>5.10993868329247</v>
      </c>
      <c r="Q3" s="10" t="n">
        <v>0.195697064481344</v>
      </c>
      <c r="R3" s="9" t="n">
        <v>6</v>
      </c>
      <c r="S3" s="12" t="n">
        <f aca="false">IF(AND(ISNUMBER(R3),R3&gt;1,P3&gt;0),R3/P3-1,"")</f>
        <v>0.174182386888064</v>
      </c>
      <c r="T3" s="9" t="n">
        <f aca="false">IF(AND(ISNUMBER(P3),P3&gt;0),P3*EXP('Read me'!$B$22),"")</f>
        <v>6.24129320180277</v>
      </c>
    </row>
    <row r="4" customFormat="false" ht="15" hidden="false" customHeight="false" outlineLevel="0" collapsed="false">
      <c r="A4" s="14" t="s">
        <v>41</v>
      </c>
      <c r="B4" s="14" t="s">
        <v>42</v>
      </c>
      <c r="C4" s="14" t="s">
        <v>43</v>
      </c>
      <c r="D4" s="14"/>
      <c r="E4" s="15" t="n">
        <v>5</v>
      </c>
      <c r="F4" s="14" t="s">
        <v>286</v>
      </c>
      <c r="G4" s="8" t="n">
        <v>13</v>
      </c>
      <c r="H4" s="14" t="s">
        <v>289</v>
      </c>
      <c r="I4" s="14" t="s">
        <v>290</v>
      </c>
      <c r="J4" s="14" t="s">
        <v>291</v>
      </c>
      <c r="K4" s="8" t="n">
        <v>9</v>
      </c>
      <c r="L4" s="8" t="n">
        <v>75</v>
      </c>
      <c r="M4" s="8" t="n">
        <v>2</v>
      </c>
      <c r="N4" s="8" t="n">
        <v>20</v>
      </c>
      <c r="O4" s="8" t="n">
        <v>3</v>
      </c>
      <c r="P4" s="9" t="n">
        <v>6.89195539599386</v>
      </c>
      <c r="Q4" s="10" t="n">
        <v>0.145096702248143</v>
      </c>
      <c r="R4" s="9" t="n">
        <v>5.5</v>
      </c>
      <c r="S4" s="12" t="n">
        <f aca="false">IF(AND(ISNUMBER(R4),R4&gt;1,P4&gt;0),R4/P4-1,"")</f>
        <v>-0.201968137635216</v>
      </c>
      <c r="T4" s="9" t="n">
        <f aca="false">IF(AND(ISNUMBER(P4),P4&gt;0),P4*EXP('Read me'!$B$22),"")</f>
        <v>8.41785332978376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/>
      <c r="E5" s="15" t="n">
        <v>5</v>
      </c>
      <c r="F5" s="14" t="s">
        <v>286</v>
      </c>
      <c r="G5" s="8" t="n">
        <v>13</v>
      </c>
      <c r="H5" s="14" t="s">
        <v>292</v>
      </c>
      <c r="I5" s="14" t="s">
        <v>293</v>
      </c>
      <c r="J5" s="14" t="s">
        <v>294</v>
      </c>
      <c r="K5" s="8" t="n">
        <v>5</v>
      </c>
      <c r="L5" s="8" t="n">
        <v>0</v>
      </c>
      <c r="M5" s="8" t="n">
        <v>2</v>
      </c>
      <c r="N5" s="8" t="n">
        <v>12</v>
      </c>
      <c r="O5" s="8" t="n">
        <v>4</v>
      </c>
      <c r="P5" s="9" t="n">
        <v>8.33177332321363</v>
      </c>
      <c r="Q5" s="10" t="n">
        <v>0.120022468351827</v>
      </c>
      <c r="R5" s="9" t="n">
        <v>7</v>
      </c>
      <c r="S5" s="12" t="n">
        <f aca="false">IF(AND(ISNUMBER(R5),R5&gt;1,P5&gt;0),R5/P5-1,"")</f>
        <v>-0.159842721537215</v>
      </c>
      <c r="T5" s="9" t="n">
        <f aca="false">IF(AND(ISNUMBER(P5),P5&gt;0),P5*EXP('Read me'!$B$22),"")</f>
        <v>10.1764509173385</v>
      </c>
    </row>
    <row r="6" customFormat="false" ht="15" hidden="false" customHeight="false" outlineLevel="0" collapsed="false">
      <c r="A6" s="14" t="s">
        <v>41</v>
      </c>
      <c r="B6" s="14" t="s">
        <v>42</v>
      </c>
      <c r="C6" s="14" t="s">
        <v>43</v>
      </c>
      <c r="D6" s="14"/>
      <c r="E6" s="15" t="n">
        <v>5</v>
      </c>
      <c r="F6" s="14" t="s">
        <v>286</v>
      </c>
      <c r="G6" s="8" t="n">
        <v>13</v>
      </c>
      <c r="H6" s="14" t="s">
        <v>295</v>
      </c>
      <c r="I6" s="14" t="s">
        <v>296</v>
      </c>
      <c r="J6" s="14" t="s">
        <v>46</v>
      </c>
      <c r="K6" s="8" t="n">
        <v>12</v>
      </c>
      <c r="L6" s="8" t="n">
        <v>0</v>
      </c>
      <c r="M6" s="8" t="n">
        <v>2</v>
      </c>
      <c r="N6" s="8" t="n">
        <v>109</v>
      </c>
      <c r="O6" s="8" t="n">
        <v>5</v>
      </c>
      <c r="P6" s="9" t="n">
        <v>9.97243550027089</v>
      </c>
      <c r="Q6" s="10" t="n">
        <v>0.100276406899081</v>
      </c>
      <c r="R6" s="9" t="n">
        <v>7</v>
      </c>
      <c r="S6" s="12" t="n">
        <f aca="false">IF(AND(ISNUMBER(R6),R6&gt;1,P6&gt;0),R6/P6-1,"")</f>
        <v>-0.298065151706436</v>
      </c>
      <c r="T6" s="9" t="n">
        <f aca="false">IF(AND(ISNUMBER(P6),P6&gt;0),P6*EXP('Read me'!$B$22),"")</f>
        <v>12.1803602256053</v>
      </c>
    </row>
    <row r="7" customFormat="false" ht="15" hidden="false" customHeight="false" outlineLevel="0" collapsed="false">
      <c r="A7" s="14" t="s">
        <v>41</v>
      </c>
      <c r="B7" s="14" t="s">
        <v>42</v>
      </c>
      <c r="C7" s="14" t="s">
        <v>43</v>
      </c>
      <c r="D7" s="14"/>
      <c r="E7" s="15" t="n">
        <v>5</v>
      </c>
      <c r="F7" s="14" t="s">
        <v>286</v>
      </c>
      <c r="G7" s="8" t="n">
        <v>13</v>
      </c>
      <c r="H7" s="14" t="s">
        <v>297</v>
      </c>
      <c r="I7" s="14"/>
      <c r="J7" s="14" t="s">
        <v>73</v>
      </c>
      <c r="K7" s="8" t="n">
        <v>3</v>
      </c>
      <c r="L7" s="8" t="n">
        <v>0</v>
      </c>
      <c r="M7" s="8" t="n">
        <v>2</v>
      </c>
      <c r="N7" s="8" t="n">
        <v>16</v>
      </c>
      <c r="O7" s="8" t="n">
        <v>6</v>
      </c>
      <c r="P7" s="9" t="n">
        <v>10.8525610114445</v>
      </c>
      <c r="Q7" s="10" t="n">
        <v>0.0921441491041105</v>
      </c>
      <c r="R7" s="9" t="n">
        <v>4</v>
      </c>
      <c r="S7" s="12" t="n">
        <f aca="false">IF(AND(ISNUMBER(R7),R7&gt;1,P7&gt;0),R7/P7-1,"")</f>
        <v>-0.631423403583558</v>
      </c>
      <c r="T7" s="9" t="n">
        <f aca="false">IF(AND(ISNUMBER(P7),P7&gt;0),P7*EXP('Read me'!$B$22),"")</f>
        <v>13.2553479524798</v>
      </c>
    </row>
    <row r="8" customFormat="false" ht="15" hidden="false" customHeight="false" outlineLevel="0" collapsed="false">
      <c r="A8" s="14" t="s">
        <v>41</v>
      </c>
      <c r="B8" s="14" t="s">
        <v>42</v>
      </c>
      <c r="C8" s="14" t="s">
        <v>43</v>
      </c>
      <c r="D8" s="14"/>
      <c r="E8" s="15" t="n">
        <v>5</v>
      </c>
      <c r="F8" s="14" t="s">
        <v>286</v>
      </c>
      <c r="G8" s="8" t="n">
        <v>13</v>
      </c>
      <c r="H8" s="14" t="s">
        <v>298</v>
      </c>
      <c r="I8" s="14" t="s">
        <v>299</v>
      </c>
      <c r="J8" s="14" t="s">
        <v>300</v>
      </c>
      <c r="K8" s="8" t="n">
        <v>8</v>
      </c>
      <c r="L8" s="8" t="n">
        <v>0</v>
      </c>
      <c r="M8" s="8" t="n">
        <v>2</v>
      </c>
      <c r="N8" s="8" t="n">
        <v>44</v>
      </c>
      <c r="O8" s="8" t="n">
        <v>7</v>
      </c>
      <c r="P8" s="9" t="n">
        <v>16.1827220085724</v>
      </c>
      <c r="Q8" s="10" t="n">
        <v>0.0617943013215127</v>
      </c>
      <c r="R8" s="9" t="n">
        <v>12</v>
      </c>
      <c r="S8" s="12" t="n">
        <f aca="false">IF(AND(ISNUMBER(R8),R8&gt;1,P8&gt;0),R8/P8-1,"")</f>
        <v>-0.258468384141848</v>
      </c>
      <c r="T8" s="9" t="n">
        <f aca="false">IF(AND(ISNUMBER(P8),P8&gt;0),P8*EXP('Read me'!$B$22),"")</f>
        <v>19.7656212958096</v>
      </c>
    </row>
    <row r="9" customFormat="false" ht="15" hidden="false" customHeight="false" outlineLevel="0" collapsed="false">
      <c r="A9" s="14" t="s">
        <v>41</v>
      </c>
      <c r="B9" s="14" t="s">
        <v>42</v>
      </c>
      <c r="C9" s="14" t="s">
        <v>43</v>
      </c>
      <c r="D9" s="14"/>
      <c r="E9" s="15" t="n">
        <v>5</v>
      </c>
      <c r="F9" s="14" t="s">
        <v>286</v>
      </c>
      <c r="G9" s="8" t="n">
        <v>13</v>
      </c>
      <c r="H9" s="14" t="s">
        <v>301</v>
      </c>
      <c r="I9" s="14" t="s">
        <v>302</v>
      </c>
      <c r="J9" s="14" t="s">
        <v>303</v>
      </c>
      <c r="K9" s="8" t="n">
        <v>11</v>
      </c>
      <c r="L9" s="8" t="n">
        <v>0</v>
      </c>
      <c r="M9" s="8" t="n">
        <v>2</v>
      </c>
      <c r="N9" s="8" t="n">
        <v>11</v>
      </c>
      <c r="O9" s="8" t="n">
        <v>8</v>
      </c>
      <c r="P9" s="9" t="n">
        <v>30.3755075022692</v>
      </c>
      <c r="Q9" s="10" t="n">
        <v>0.0329212606546671</v>
      </c>
      <c r="R9" s="9" t="n">
        <v>11</v>
      </c>
      <c r="S9" s="12" t="n">
        <f aca="false">IF(AND(ISNUMBER(R9),R9&gt;1,P9&gt;0),R9/P9-1,"")</f>
        <v>-0.637866132798662</v>
      </c>
      <c r="T9" s="9" t="n">
        <f aca="false">IF(AND(ISNUMBER(P9),P9&gt;0),P9*EXP('Read me'!$B$22),"")</f>
        <v>37.1007286437865</v>
      </c>
    </row>
    <row r="10" customFormat="false" ht="15" hidden="false" customHeight="false" outlineLevel="0" collapsed="false">
      <c r="A10" s="14" t="s">
        <v>41</v>
      </c>
      <c r="B10" s="14" t="s">
        <v>42</v>
      </c>
      <c r="C10" s="14" t="s">
        <v>43</v>
      </c>
      <c r="D10" s="14"/>
      <c r="E10" s="15" t="n">
        <v>5</v>
      </c>
      <c r="F10" s="14" t="s">
        <v>286</v>
      </c>
      <c r="G10" s="8" t="n">
        <v>13</v>
      </c>
      <c r="H10" s="14" t="s">
        <v>304</v>
      </c>
      <c r="I10" s="14" t="s">
        <v>305</v>
      </c>
      <c r="J10" s="14" t="s">
        <v>306</v>
      </c>
      <c r="K10" s="8" t="n">
        <v>6</v>
      </c>
      <c r="L10" s="8" t="n">
        <v>0</v>
      </c>
      <c r="M10" s="8" t="n">
        <v>2</v>
      </c>
      <c r="N10" s="8" t="n">
        <v>25</v>
      </c>
      <c r="O10" s="8" t="n">
        <v>9</v>
      </c>
      <c r="P10" s="9" t="n">
        <v>58.1162842855248</v>
      </c>
      <c r="Q10" s="10" t="n">
        <v>0.0172068812088365</v>
      </c>
      <c r="R10" s="9" t="n">
        <v>51</v>
      </c>
      <c r="S10" s="12" t="n">
        <f aca="false">IF(AND(ISNUMBER(R10),R10&gt;1,P10&gt;0),R10/P10-1,"")</f>
        <v>-0.122449058349336</v>
      </c>
      <c r="T10" s="9" t="n">
        <f aca="false">IF(AND(ISNUMBER(P10),P10&gt;0),P10*EXP('Read me'!$B$22),"")</f>
        <v>70.9833899203606</v>
      </c>
    </row>
    <row r="11" customFormat="false" ht="15" hidden="false" customHeight="false" outlineLevel="0" collapsed="false">
      <c r="A11" s="14" t="s">
        <v>41</v>
      </c>
      <c r="B11" s="14" t="s">
        <v>42</v>
      </c>
      <c r="C11" s="14" t="s">
        <v>43</v>
      </c>
      <c r="D11" s="14"/>
      <c r="E11" s="15" t="n">
        <v>5</v>
      </c>
      <c r="F11" s="14" t="s">
        <v>286</v>
      </c>
      <c r="G11" s="8" t="n">
        <v>13</v>
      </c>
      <c r="H11" s="14" t="s">
        <v>307</v>
      </c>
      <c r="I11" s="14" t="s">
        <v>308</v>
      </c>
      <c r="J11" s="14" t="s">
        <v>309</v>
      </c>
      <c r="K11" s="8" t="n">
        <v>1</v>
      </c>
      <c r="L11" s="8" t="n">
        <v>0</v>
      </c>
      <c r="M11" s="8" t="n">
        <v>2</v>
      </c>
      <c r="N11" s="8"/>
      <c r="O11" s="8" t="n">
        <v>10</v>
      </c>
      <c r="P11" s="9" t="n">
        <v>99.0623930541688</v>
      </c>
      <c r="Q11" s="10" t="n">
        <v>0.0100946481219486</v>
      </c>
      <c r="R11" s="9" t="n">
        <v>151</v>
      </c>
      <c r="S11" s="12" t="n">
        <f aca="false">IF(AND(ISNUMBER(R11),R11&gt;1,P11&gt;0),R11/P11-1,"")</f>
        <v>0.524291866414239</v>
      </c>
      <c r="T11" s="9" t="n">
        <f aca="false">IF(AND(ISNUMBER(P11),P11&gt;0),P11*EXP('Read me'!$B$22),"")</f>
        <v>120.995080106309</v>
      </c>
    </row>
    <row r="12" customFormat="false" ht="15" hidden="false" customHeight="false" outlineLevel="0" collapsed="false">
      <c r="A12" s="14" t="s">
        <v>41</v>
      </c>
      <c r="B12" s="14" t="s">
        <v>42</v>
      </c>
      <c r="C12" s="14" t="s">
        <v>43</v>
      </c>
      <c r="D12" s="14"/>
      <c r="E12" s="15" t="n">
        <v>5</v>
      </c>
      <c r="F12" s="14" t="s">
        <v>286</v>
      </c>
      <c r="G12" s="8" t="n">
        <v>13</v>
      </c>
      <c r="H12" s="14" t="s">
        <v>310</v>
      </c>
      <c r="I12" s="14" t="s">
        <v>311</v>
      </c>
      <c r="J12" s="14" t="s">
        <v>312</v>
      </c>
      <c r="K12" s="8" t="n">
        <v>2</v>
      </c>
      <c r="L12" s="8" t="n">
        <v>0</v>
      </c>
      <c r="M12" s="8" t="n">
        <v>2</v>
      </c>
      <c r="N12" s="8" t="n">
        <v>12</v>
      </c>
      <c r="O12" s="8" t="n">
        <v>11</v>
      </c>
      <c r="P12" s="9" t="n">
        <v>334.042850506553</v>
      </c>
      <c r="Q12" s="10" t="n">
        <v>0.0029936279087655</v>
      </c>
      <c r="R12" s="9" t="n">
        <v>81</v>
      </c>
      <c r="S12" s="12" t="n">
        <f aca="false">IF(AND(ISNUMBER(R12),R12&gt;1,P12&gt;0),R12/P12-1,"")</f>
        <v>-0.757516139389994</v>
      </c>
      <c r="T12" s="9" t="n">
        <f aca="false">IF(AND(ISNUMBER(P12),P12&gt;0),P12*EXP('Read me'!$B$22),"")</f>
        <v>408.000858952389</v>
      </c>
    </row>
    <row r="13" customFormat="false" ht="15" hidden="false" customHeight="false" outlineLevel="0" collapsed="false">
      <c r="A13" s="14" t="s">
        <v>41</v>
      </c>
      <c r="B13" s="14" t="s">
        <v>42</v>
      </c>
      <c r="C13" s="14" t="s">
        <v>43</v>
      </c>
      <c r="D13" s="14"/>
      <c r="E13" s="15" t="n">
        <v>5</v>
      </c>
      <c r="F13" s="14" t="s">
        <v>286</v>
      </c>
      <c r="G13" s="8" t="n">
        <v>13</v>
      </c>
      <c r="H13" s="14" t="s">
        <v>313</v>
      </c>
      <c r="I13" s="14" t="s">
        <v>314</v>
      </c>
      <c r="J13" s="14" t="s">
        <v>315</v>
      </c>
      <c r="K13" s="8" t="n">
        <v>10</v>
      </c>
      <c r="L13" s="8" t="n">
        <v>0</v>
      </c>
      <c r="M13" s="8" t="n">
        <v>2</v>
      </c>
      <c r="N13" s="8" t="n">
        <v>12</v>
      </c>
      <c r="O13" s="8" t="n">
        <v>12</v>
      </c>
      <c r="P13" s="9" t="n">
        <v>361.679974668197</v>
      </c>
      <c r="Q13" s="10" t="n">
        <v>0.0027648752212985</v>
      </c>
      <c r="R13" s="9" t="n">
        <v>151</v>
      </c>
      <c r="S13" s="12" t="n">
        <f aca="false">IF(AND(ISNUMBER(R13),R13&gt;1,P13&gt;0),R13/P13-1,"")</f>
        <v>-0.582503841583913</v>
      </c>
      <c r="T13" s="9" t="n">
        <f aca="false">IF(AND(ISNUMBER(P13),P13&gt;0),P13*EXP('Read me'!$B$22),"")</f>
        <v>441.756918631036</v>
      </c>
    </row>
    <row r="14" customFormat="false" ht="15" hidden="false" customHeight="false" outlineLevel="0" collapsed="false">
      <c r="A14" s="14" t="s">
        <v>41</v>
      </c>
      <c r="B14" s="14" t="s">
        <v>42</v>
      </c>
      <c r="C14" s="14" t="s">
        <v>43</v>
      </c>
      <c r="D14" s="14"/>
      <c r="E14" s="15" t="n">
        <v>5</v>
      </c>
      <c r="F14" s="14" t="s">
        <v>286</v>
      </c>
      <c r="G14" s="8" t="n">
        <v>13</v>
      </c>
      <c r="H14" s="14" t="s">
        <v>316</v>
      </c>
      <c r="I14" s="14" t="s">
        <v>317</v>
      </c>
      <c r="J14" s="14" t="s">
        <v>318</v>
      </c>
      <c r="K14" s="8" t="n">
        <v>13</v>
      </c>
      <c r="L14" s="8" t="n">
        <v>0</v>
      </c>
      <c r="M14" s="8" t="n">
        <v>2</v>
      </c>
      <c r="N14" s="8" t="n">
        <v>69</v>
      </c>
      <c r="O14" s="8" t="n">
        <v>13</v>
      </c>
      <c r="P14" s="9" t="n">
        <v>392.783505851584</v>
      </c>
      <c r="Q14" s="10" t="n">
        <v>0.0025459317540127</v>
      </c>
      <c r="R14" s="9" t="n">
        <v>151</v>
      </c>
      <c r="S14" s="12" t="n">
        <f aca="false">IF(AND(ISNUMBER(R14),R14&gt;1,P14&gt;0),R14/P14-1,"")</f>
        <v>-0.615564305144075</v>
      </c>
      <c r="T14" s="9" t="n">
        <f aca="false">IF(AND(ISNUMBER(P14),P14&gt;0),P14*EXP('Read me'!$B$22),"")</f>
        <v>479.746857406946</v>
      </c>
    </row>
    <row r="15" customFormat="false" ht="15" hidden="false" customHeight="false" outlineLevel="0" collapsed="false">
      <c r="A15" s="14" t="s">
        <v>48</v>
      </c>
      <c r="B15" s="14" t="s">
        <v>49</v>
      </c>
      <c r="C15" s="14" t="s">
        <v>50</v>
      </c>
      <c r="D15" s="14" t="s">
        <v>319</v>
      </c>
      <c r="E15" s="15" t="n">
        <v>10</v>
      </c>
      <c r="F15" s="14" t="s">
        <v>320</v>
      </c>
      <c r="G15" s="8" t="n">
        <v>11</v>
      </c>
      <c r="H15" s="14" t="s">
        <v>51</v>
      </c>
      <c r="I15" s="14" t="s">
        <v>52</v>
      </c>
      <c r="J15" s="14" t="s">
        <v>53</v>
      </c>
      <c r="K15" s="8" t="n">
        <v>1</v>
      </c>
      <c r="L15" s="8" t="n">
        <v>73</v>
      </c>
      <c r="M15" s="8" t="n">
        <v>3</v>
      </c>
      <c r="N15" s="8" t="n">
        <v>15</v>
      </c>
      <c r="O15" s="8" t="n">
        <v>1</v>
      </c>
      <c r="P15" s="9" t="n">
        <v>5.55613859469599</v>
      </c>
      <c r="Q15" s="10" t="n">
        <v>0.179981111514141</v>
      </c>
      <c r="R15" s="9" t="n">
        <v>4.5</v>
      </c>
      <c r="S15" s="12" t="n">
        <f aca="false">IF(AND(ISNUMBER(R15),R15&gt;1,P15&gt;0),R15/P15-1,"")</f>
        <v>-0.190084998186367</v>
      </c>
      <c r="T15" s="9" t="n">
        <f aca="false">IF(AND(ISNUMBER(P15),P15&gt;0),P15*EXP('Read me'!$B$22),"")</f>
        <v>6.78628300428186</v>
      </c>
    </row>
    <row r="16" customFormat="false" ht="15" hidden="false" customHeight="false" outlineLevel="0" collapsed="false">
      <c r="A16" s="14" t="s">
        <v>48</v>
      </c>
      <c r="B16" s="14" t="s">
        <v>49</v>
      </c>
      <c r="C16" s="14" t="s">
        <v>50</v>
      </c>
      <c r="D16" s="14" t="s">
        <v>319</v>
      </c>
      <c r="E16" s="15" t="n">
        <v>10</v>
      </c>
      <c r="F16" s="14" t="s">
        <v>320</v>
      </c>
      <c r="G16" s="8" t="n">
        <v>11</v>
      </c>
      <c r="H16" s="14" t="s">
        <v>54</v>
      </c>
      <c r="I16" s="14" t="s">
        <v>321</v>
      </c>
      <c r="J16" s="14" t="s">
        <v>322</v>
      </c>
      <c r="K16" s="8" t="n">
        <v>3</v>
      </c>
      <c r="L16" s="8" t="n">
        <v>56</v>
      </c>
      <c r="M16" s="8" t="n">
        <v>3</v>
      </c>
      <c r="N16" s="8" t="n">
        <v>13</v>
      </c>
      <c r="O16" s="8" t="n">
        <v>2</v>
      </c>
      <c r="P16" s="9" t="n">
        <v>6.4064337523687</v>
      </c>
      <c r="Q16" s="10" t="n">
        <v>0.156093083711396</v>
      </c>
      <c r="R16" s="9" t="n">
        <v>6</v>
      </c>
      <c r="S16" s="12" t="n">
        <f aca="false">IF(AND(ISNUMBER(R16),R16&gt;1,P16&gt;0),R16/P16-1,"")</f>
        <v>-0.0634414977316249</v>
      </c>
      <c r="T16" s="9" t="n">
        <f aca="false">IF(AND(ISNUMBER(P16),P16&gt;0),P16*EXP('Read me'!$B$22),"")</f>
        <v>7.82483585511354</v>
      </c>
    </row>
    <row r="17" customFormat="false" ht="15" hidden="false" customHeight="false" outlineLevel="0" collapsed="false">
      <c r="A17" s="14" t="s">
        <v>48</v>
      </c>
      <c r="B17" s="14" t="s">
        <v>49</v>
      </c>
      <c r="C17" s="14" t="s">
        <v>50</v>
      </c>
      <c r="D17" s="14" t="s">
        <v>319</v>
      </c>
      <c r="E17" s="15" t="n">
        <v>10</v>
      </c>
      <c r="F17" s="14" t="s">
        <v>320</v>
      </c>
      <c r="G17" s="8" t="n">
        <v>11</v>
      </c>
      <c r="H17" s="14" t="s">
        <v>323</v>
      </c>
      <c r="I17" s="14" t="s">
        <v>324</v>
      </c>
      <c r="J17" s="14" t="s">
        <v>325</v>
      </c>
      <c r="K17" s="8" t="n">
        <v>4</v>
      </c>
      <c r="L17" s="8" t="n">
        <v>74</v>
      </c>
      <c r="M17" s="8" t="n">
        <v>5</v>
      </c>
      <c r="N17" s="8" t="n">
        <v>32</v>
      </c>
      <c r="O17" s="8" t="n">
        <v>3</v>
      </c>
      <c r="P17" s="9" t="n">
        <v>6.61281691181277</v>
      </c>
      <c r="Q17" s="10" t="n">
        <v>0.1512214859924</v>
      </c>
      <c r="R17" s="9" t="n">
        <v>4</v>
      </c>
      <c r="S17" s="12" t="n">
        <f aca="false">IF(AND(ISNUMBER(R17),R17&gt;1,P17&gt;0),R17/P17-1,"")</f>
        <v>-0.3951140560304</v>
      </c>
      <c r="T17" s="9" t="n">
        <f aca="false">IF(AND(ISNUMBER(P17),P17&gt;0),P17*EXP('Read me'!$B$22),"")</f>
        <v>8.07691281529633</v>
      </c>
    </row>
    <row r="18" customFormat="false" ht="15" hidden="false" customHeight="false" outlineLevel="0" collapsed="false">
      <c r="A18" s="14" t="s">
        <v>48</v>
      </c>
      <c r="B18" s="14" t="s">
        <v>49</v>
      </c>
      <c r="C18" s="14" t="s">
        <v>50</v>
      </c>
      <c r="D18" s="14" t="s">
        <v>319</v>
      </c>
      <c r="E18" s="15" t="n">
        <v>10</v>
      </c>
      <c r="F18" s="14" t="s">
        <v>320</v>
      </c>
      <c r="G18" s="8" t="n">
        <v>11</v>
      </c>
      <c r="H18" s="14" t="s">
        <v>326</v>
      </c>
      <c r="I18" s="14" t="s">
        <v>327</v>
      </c>
      <c r="J18" s="14" t="s">
        <v>328</v>
      </c>
      <c r="K18" s="8" t="n">
        <v>2</v>
      </c>
      <c r="L18" s="8" t="n">
        <v>68</v>
      </c>
      <c r="M18" s="8" t="n">
        <v>8</v>
      </c>
      <c r="N18" s="8" t="n">
        <v>18</v>
      </c>
      <c r="O18" s="8" t="n">
        <v>4</v>
      </c>
      <c r="P18" s="9" t="n">
        <v>10.638227470604</v>
      </c>
      <c r="Q18" s="10" t="n">
        <v>0.0940006220738601</v>
      </c>
      <c r="R18" s="9" t="n">
        <v>7.5</v>
      </c>
      <c r="S18" s="12" t="n">
        <f aca="false">IF(AND(ISNUMBER(R18),R18&gt;1,P18&gt;0),R18/P18-1,"")</f>
        <v>-0.294995334446049</v>
      </c>
      <c r="T18" s="9" t="n">
        <f aca="false">IF(AND(ISNUMBER(P18),P18&gt;0),P18*EXP('Read me'!$B$22),"")</f>
        <v>12.993560374531</v>
      </c>
    </row>
    <row r="19" customFormat="false" ht="15" hidden="false" customHeight="false" outlineLevel="0" collapsed="false">
      <c r="A19" s="14" t="s">
        <v>48</v>
      </c>
      <c r="B19" s="14" t="s">
        <v>49</v>
      </c>
      <c r="C19" s="14" t="s">
        <v>50</v>
      </c>
      <c r="D19" s="14" t="s">
        <v>319</v>
      </c>
      <c r="E19" s="15" t="n">
        <v>10</v>
      </c>
      <c r="F19" s="14" t="s">
        <v>320</v>
      </c>
      <c r="G19" s="8" t="n">
        <v>11</v>
      </c>
      <c r="H19" s="14" t="s">
        <v>329</v>
      </c>
      <c r="I19" s="14" t="s">
        <v>330</v>
      </c>
      <c r="J19" s="14" t="s">
        <v>331</v>
      </c>
      <c r="K19" s="8" t="n">
        <v>6</v>
      </c>
      <c r="L19" s="8" t="n">
        <v>75</v>
      </c>
      <c r="M19" s="8" t="n">
        <v>3</v>
      </c>
      <c r="N19" s="8" t="n">
        <v>52</v>
      </c>
      <c r="O19" s="8" t="n">
        <v>5</v>
      </c>
      <c r="P19" s="9" t="n">
        <v>11.1723390622937</v>
      </c>
      <c r="Q19" s="10" t="n">
        <v>0.0895067715385555</v>
      </c>
      <c r="R19" s="9" t="n">
        <v>8</v>
      </c>
      <c r="S19" s="12" t="n">
        <f aca="false">IF(AND(ISNUMBER(R19),R19&gt;1,P19&gt;0),R19/P19-1,"")</f>
        <v>-0.283945827691555</v>
      </c>
      <c r="T19" s="9" t="n">
        <f aca="false">IF(AND(ISNUMBER(P19),P19&gt;0),P19*EXP('Read me'!$B$22),"")</f>
        <v>13.6459257457861</v>
      </c>
    </row>
    <row r="20" customFormat="false" ht="15" hidden="false" customHeight="false" outlineLevel="0" collapsed="false">
      <c r="A20" s="14" t="s">
        <v>48</v>
      </c>
      <c r="B20" s="14" t="s">
        <v>49</v>
      </c>
      <c r="C20" s="14" t="s">
        <v>50</v>
      </c>
      <c r="D20" s="14" t="s">
        <v>319</v>
      </c>
      <c r="E20" s="15" t="n">
        <v>10</v>
      </c>
      <c r="F20" s="14" t="s">
        <v>320</v>
      </c>
      <c r="G20" s="8" t="n">
        <v>11</v>
      </c>
      <c r="H20" s="14" t="s">
        <v>332</v>
      </c>
      <c r="I20" s="14" t="s">
        <v>333</v>
      </c>
      <c r="J20" s="14" t="s">
        <v>334</v>
      </c>
      <c r="K20" s="8" t="n">
        <v>11</v>
      </c>
      <c r="L20" s="8" t="n">
        <v>72</v>
      </c>
      <c r="M20" s="8" t="n">
        <v>3</v>
      </c>
      <c r="N20" s="8" t="n">
        <v>17</v>
      </c>
      <c r="O20" s="8" t="n">
        <v>6</v>
      </c>
      <c r="P20" s="9" t="n">
        <v>12.0595936530556</v>
      </c>
      <c r="Q20" s="10" t="n">
        <v>0.0829215335747754</v>
      </c>
      <c r="R20" s="9" t="n">
        <v>8.5</v>
      </c>
      <c r="S20" s="12" t="n">
        <f aca="false">IF(AND(ISNUMBER(R20),R20&gt;1,P20&gt;0),R20/P20-1,"")</f>
        <v>-0.295166964614408</v>
      </c>
      <c r="T20" s="9" t="n">
        <f aca="false">IF(AND(ISNUMBER(P20),P20&gt;0),P20*EXP('Read me'!$B$22),"")</f>
        <v>14.729620950133</v>
      </c>
    </row>
    <row r="21" customFormat="false" ht="15" hidden="false" customHeight="false" outlineLevel="0" collapsed="false">
      <c r="A21" s="14" t="s">
        <v>48</v>
      </c>
      <c r="B21" s="14" t="s">
        <v>49</v>
      </c>
      <c r="C21" s="14" t="s">
        <v>50</v>
      </c>
      <c r="D21" s="14" t="s">
        <v>319</v>
      </c>
      <c r="E21" s="15" t="n">
        <v>10</v>
      </c>
      <c r="F21" s="14" t="s">
        <v>320</v>
      </c>
      <c r="G21" s="8" t="n">
        <v>11</v>
      </c>
      <c r="H21" s="14" t="s">
        <v>335</v>
      </c>
      <c r="I21" s="14"/>
      <c r="J21" s="14" t="s">
        <v>336</v>
      </c>
      <c r="K21" s="8" t="n">
        <v>5</v>
      </c>
      <c r="L21" s="8" t="n">
        <v>56</v>
      </c>
      <c r="M21" s="8" t="n">
        <v>4</v>
      </c>
      <c r="N21" s="8" t="n">
        <v>36</v>
      </c>
      <c r="O21" s="8" t="n">
        <v>7</v>
      </c>
      <c r="P21" s="9" t="n">
        <v>13.0083171980658</v>
      </c>
      <c r="Q21" s="10" t="n">
        <v>0.0768738941996808</v>
      </c>
      <c r="R21" s="9" t="n">
        <v>13</v>
      </c>
      <c r="S21" s="12" t="n">
        <f aca="false">IF(AND(ISNUMBER(R21),R21&gt;1,P21&gt;0),R21/P21-1,"")</f>
        <v>-0.000639375404148934</v>
      </c>
      <c r="T21" s="9" t="n">
        <f aca="false">IF(AND(ISNUMBER(P21),P21&gt;0),P21*EXP('Read me'!$B$22),"")</f>
        <v>15.88839450474</v>
      </c>
    </row>
    <row r="22" customFormat="false" ht="15" hidden="false" customHeight="false" outlineLevel="0" collapsed="false">
      <c r="A22" s="14" t="s">
        <v>48</v>
      </c>
      <c r="B22" s="14" t="s">
        <v>49</v>
      </c>
      <c r="C22" s="14" t="s">
        <v>50</v>
      </c>
      <c r="D22" s="14" t="s">
        <v>319</v>
      </c>
      <c r="E22" s="15" t="n">
        <v>10</v>
      </c>
      <c r="F22" s="14" t="s">
        <v>320</v>
      </c>
      <c r="G22" s="8" t="n">
        <v>11</v>
      </c>
      <c r="H22" s="14" t="s">
        <v>337</v>
      </c>
      <c r="I22" s="14" t="s">
        <v>338</v>
      </c>
      <c r="J22" s="14" t="s">
        <v>339</v>
      </c>
      <c r="K22" s="8" t="n">
        <v>7</v>
      </c>
      <c r="L22" s="8" t="n">
        <v>72</v>
      </c>
      <c r="M22" s="8" t="n">
        <v>4</v>
      </c>
      <c r="N22" s="8" t="n">
        <v>26</v>
      </c>
      <c r="O22" s="8" t="n">
        <v>8</v>
      </c>
      <c r="P22" s="9" t="n">
        <v>14.1591918986906</v>
      </c>
      <c r="Q22" s="10" t="n">
        <v>0.0706254994744775</v>
      </c>
      <c r="R22" s="9" t="n">
        <v>13</v>
      </c>
      <c r="S22" s="12" t="n">
        <f aca="false">IF(AND(ISNUMBER(R22),R22&gt;1,P22&gt;0),R22/P22-1,"")</f>
        <v>-0.0818685068317923</v>
      </c>
      <c r="T22" s="9" t="n">
        <f aca="false">IF(AND(ISNUMBER(P22),P22&gt;0),P22*EXP('Read me'!$B$22),"")</f>
        <v>17.2940760383798</v>
      </c>
    </row>
    <row r="23" customFormat="false" ht="15" hidden="false" customHeight="false" outlineLevel="0" collapsed="false">
      <c r="A23" s="14" t="s">
        <v>48</v>
      </c>
      <c r="B23" s="14" t="s">
        <v>49</v>
      </c>
      <c r="C23" s="14" t="s">
        <v>50</v>
      </c>
      <c r="D23" s="14" t="s">
        <v>319</v>
      </c>
      <c r="E23" s="15" t="n">
        <v>10</v>
      </c>
      <c r="F23" s="14" t="s">
        <v>320</v>
      </c>
      <c r="G23" s="8" t="n">
        <v>11</v>
      </c>
      <c r="H23" s="14" t="s">
        <v>340</v>
      </c>
      <c r="I23" s="14" t="s">
        <v>341</v>
      </c>
      <c r="J23" s="14" t="s">
        <v>342</v>
      </c>
      <c r="K23" s="8" t="n">
        <v>8</v>
      </c>
      <c r="L23" s="8" t="n">
        <v>64</v>
      </c>
      <c r="M23" s="8" t="n">
        <v>3</v>
      </c>
      <c r="N23" s="8" t="n">
        <v>43</v>
      </c>
      <c r="O23" s="8" t="n">
        <v>9</v>
      </c>
      <c r="P23" s="9" t="n">
        <v>18.8457407188205</v>
      </c>
      <c r="Q23" s="10" t="n">
        <v>0.053062387672634</v>
      </c>
      <c r="R23" s="9" t="n">
        <v>17</v>
      </c>
      <c r="S23" s="12" t="n">
        <f aca="false">IF(AND(ISNUMBER(R23),R23&gt;1,P23&gt;0),R23/P23-1,"")</f>
        <v>-0.0979394095652217</v>
      </c>
      <c r="T23" s="9" t="n">
        <f aca="false">IF(AND(ISNUMBER(P23),P23&gt;0),P23*EXP('Read me'!$B$22),"")</f>
        <v>23.0182396935388</v>
      </c>
    </row>
    <row r="24" customFormat="false" ht="15" hidden="false" customHeight="false" outlineLevel="0" collapsed="false">
      <c r="A24" s="14" t="s">
        <v>48</v>
      </c>
      <c r="B24" s="14" t="s">
        <v>49</v>
      </c>
      <c r="C24" s="14" t="s">
        <v>50</v>
      </c>
      <c r="D24" s="14" t="s">
        <v>319</v>
      </c>
      <c r="E24" s="15" t="n">
        <v>10</v>
      </c>
      <c r="F24" s="14" t="s">
        <v>320</v>
      </c>
      <c r="G24" s="8" t="n">
        <v>11</v>
      </c>
      <c r="H24" s="14" t="s">
        <v>343</v>
      </c>
      <c r="I24" s="14" t="s">
        <v>344</v>
      </c>
      <c r="J24" s="14" t="s">
        <v>345</v>
      </c>
      <c r="K24" s="8" t="n">
        <v>10</v>
      </c>
      <c r="L24" s="8" t="n">
        <v>70</v>
      </c>
      <c r="M24" s="8" t="n">
        <v>7</v>
      </c>
      <c r="N24" s="8" t="n">
        <v>508</v>
      </c>
      <c r="O24" s="8" t="n">
        <v>10</v>
      </c>
      <c r="P24" s="9" t="n">
        <v>43.2189030390084</v>
      </c>
      <c r="Q24" s="10" t="n">
        <v>0.0231380236351075</v>
      </c>
      <c r="R24" s="9" t="n">
        <v>26</v>
      </c>
      <c r="S24" s="12" t="n">
        <f aca="false">IF(AND(ISNUMBER(R24),R24&gt;1,P24&gt;0),R24/P24-1,"")</f>
        <v>-0.398411385487203</v>
      </c>
      <c r="T24" s="9" t="n">
        <f aca="false">IF(AND(ISNUMBER(P24),P24&gt;0),P24*EXP('Read me'!$B$22),"")</f>
        <v>52.7876873765018</v>
      </c>
    </row>
    <row r="25" customFormat="false" ht="15" hidden="false" customHeight="false" outlineLevel="0" collapsed="false">
      <c r="A25" s="14" t="s">
        <v>48</v>
      </c>
      <c r="B25" s="14" t="s">
        <v>49</v>
      </c>
      <c r="C25" s="14" t="s">
        <v>50</v>
      </c>
      <c r="D25" s="14" t="s">
        <v>319</v>
      </c>
      <c r="E25" s="15" t="n">
        <v>10</v>
      </c>
      <c r="F25" s="14" t="s">
        <v>320</v>
      </c>
      <c r="G25" s="8" t="n">
        <v>11</v>
      </c>
      <c r="H25" s="14" t="s">
        <v>346</v>
      </c>
      <c r="I25" s="14" t="s">
        <v>347</v>
      </c>
      <c r="J25" s="14" t="s">
        <v>348</v>
      </c>
      <c r="K25" s="8" t="n">
        <v>9</v>
      </c>
      <c r="L25" s="8" t="n">
        <v>72</v>
      </c>
      <c r="M25" s="8" t="n">
        <v>8</v>
      </c>
      <c r="N25" s="8" t="n">
        <v>26</v>
      </c>
      <c r="O25" s="8" t="n">
        <v>11</v>
      </c>
      <c r="P25" s="9" t="n">
        <v>44.2956374575613</v>
      </c>
      <c r="Q25" s="10" t="n">
        <v>0.0225755866129724</v>
      </c>
      <c r="R25" s="9" t="n">
        <v>51</v>
      </c>
      <c r="S25" s="12" t="n">
        <f aca="false">IF(AND(ISNUMBER(R25),R25&gt;1,P25&gt;0),R25/P25-1,"")</f>
        <v>0.151354917261594</v>
      </c>
      <c r="T25" s="9" t="n">
        <f aca="false">IF(AND(ISNUMBER(P25),P25&gt;0),P25*EXP('Read me'!$B$22),"")</f>
        <v>54.1028137651283</v>
      </c>
    </row>
    <row r="26" customFormat="false" ht="15" hidden="false" customHeight="false" outlineLevel="0" collapsed="false">
      <c r="A26" s="14" t="s">
        <v>55</v>
      </c>
      <c r="B26" s="14" t="s">
        <v>56</v>
      </c>
      <c r="C26" s="14" t="s">
        <v>57</v>
      </c>
      <c r="D26" s="14" t="s">
        <v>319</v>
      </c>
      <c r="E26" s="15" t="n">
        <v>8</v>
      </c>
      <c r="F26" s="14" t="s">
        <v>349</v>
      </c>
      <c r="G26" s="8" t="n">
        <v>8</v>
      </c>
      <c r="H26" s="14" t="s">
        <v>58</v>
      </c>
      <c r="I26" s="14" t="s">
        <v>59</v>
      </c>
      <c r="J26" s="14" t="s">
        <v>60</v>
      </c>
      <c r="K26" s="8" t="n">
        <v>2</v>
      </c>
      <c r="L26" s="8" t="n">
        <v>71</v>
      </c>
      <c r="M26" s="8" t="n">
        <v>8</v>
      </c>
      <c r="N26" s="8" t="n">
        <v>9</v>
      </c>
      <c r="O26" s="8" t="n">
        <v>1</v>
      </c>
      <c r="P26" s="9" t="n">
        <v>3.21350367828449</v>
      </c>
      <c r="Q26" s="10" t="n">
        <v>0.311186822892901</v>
      </c>
      <c r="R26" s="9" t="n">
        <v>2.75</v>
      </c>
      <c r="S26" s="12" t="n">
        <f aca="false">IF(AND(ISNUMBER(R26),R26&gt;1,P26&gt;0),R26/P26-1,"")</f>
        <v>-0.144236237044524</v>
      </c>
      <c r="T26" s="9" t="n">
        <f aca="false">IF(AND(ISNUMBER(P26),P26&gt;0),P26*EXP('Read me'!$B$22),"")</f>
        <v>3.92498225601453</v>
      </c>
    </row>
    <row r="27" customFormat="false" ht="15" hidden="false" customHeight="false" outlineLevel="0" collapsed="false">
      <c r="A27" s="14" t="s">
        <v>55</v>
      </c>
      <c r="B27" s="14" t="s">
        <v>56</v>
      </c>
      <c r="C27" s="14" t="s">
        <v>57</v>
      </c>
      <c r="D27" s="14" t="s">
        <v>319</v>
      </c>
      <c r="E27" s="15" t="n">
        <v>8</v>
      </c>
      <c r="F27" s="14" t="s">
        <v>349</v>
      </c>
      <c r="G27" s="8" t="n">
        <v>8</v>
      </c>
      <c r="H27" s="14" t="s">
        <v>61</v>
      </c>
      <c r="I27" s="14" t="s">
        <v>350</v>
      </c>
      <c r="J27" s="14" t="s">
        <v>351</v>
      </c>
      <c r="K27" s="8" t="n">
        <v>3</v>
      </c>
      <c r="L27" s="8" t="n">
        <v>60</v>
      </c>
      <c r="M27" s="8" t="n">
        <v>4</v>
      </c>
      <c r="N27" s="8" t="n">
        <v>9</v>
      </c>
      <c r="O27" s="8" t="n">
        <v>2</v>
      </c>
      <c r="P27" s="9" t="n">
        <v>5.16496239026594</v>
      </c>
      <c r="Q27" s="10" t="n">
        <v>0.193612252024261</v>
      </c>
      <c r="R27" s="9" t="n">
        <v>3.75</v>
      </c>
      <c r="S27" s="12" t="n">
        <f aca="false">IF(AND(ISNUMBER(R27),R27&gt;1,P27&gt;0),R27/P27-1,"")</f>
        <v>-0.27395405490902</v>
      </c>
      <c r="T27" s="9" t="n">
        <f aca="false">IF(AND(ISNUMBER(P27),P27&gt;0),P27*EXP('Read me'!$B$22),"")</f>
        <v>6.30849930926436</v>
      </c>
    </row>
    <row r="28" customFormat="false" ht="15" hidden="false" customHeight="false" outlineLevel="0" collapsed="false">
      <c r="A28" s="14" t="s">
        <v>55</v>
      </c>
      <c r="B28" s="14" t="s">
        <v>56</v>
      </c>
      <c r="C28" s="14" t="s">
        <v>57</v>
      </c>
      <c r="D28" s="14" t="s">
        <v>319</v>
      </c>
      <c r="E28" s="15" t="n">
        <v>8</v>
      </c>
      <c r="F28" s="14" t="s">
        <v>349</v>
      </c>
      <c r="G28" s="8" t="n">
        <v>8</v>
      </c>
      <c r="H28" s="14" t="s">
        <v>352</v>
      </c>
      <c r="I28" s="14" t="s">
        <v>353</v>
      </c>
      <c r="J28" s="14" t="s">
        <v>351</v>
      </c>
      <c r="K28" s="8" t="n">
        <v>6</v>
      </c>
      <c r="L28" s="8" t="n">
        <v>57</v>
      </c>
      <c r="M28" s="8" t="n">
        <v>6</v>
      </c>
      <c r="N28" s="8" t="n">
        <v>11</v>
      </c>
      <c r="O28" s="8" t="n">
        <v>3</v>
      </c>
      <c r="P28" s="9" t="n">
        <v>7.82951425875266</v>
      </c>
      <c r="Q28" s="10" t="n">
        <v>0.127721844159374</v>
      </c>
      <c r="R28" s="9" t="n">
        <v>5</v>
      </c>
      <c r="S28" s="12" t="n">
        <f aca="false">IF(AND(ISNUMBER(R28),R28&gt;1,P28&gt;0),R28/P28-1,"")</f>
        <v>-0.361390779203132</v>
      </c>
      <c r="T28" s="9" t="n">
        <f aca="false">IF(AND(ISNUMBER(P28),P28&gt;0),P28*EXP('Read me'!$B$22),"")</f>
        <v>9.56299031069488</v>
      </c>
    </row>
    <row r="29" customFormat="false" ht="15" hidden="false" customHeight="false" outlineLevel="0" collapsed="false">
      <c r="A29" s="14" t="s">
        <v>55</v>
      </c>
      <c r="B29" s="14" t="s">
        <v>56</v>
      </c>
      <c r="C29" s="14" t="s">
        <v>57</v>
      </c>
      <c r="D29" s="14" t="s">
        <v>319</v>
      </c>
      <c r="E29" s="15" t="n">
        <v>8</v>
      </c>
      <c r="F29" s="14" t="s">
        <v>349</v>
      </c>
      <c r="G29" s="8" t="n">
        <v>8</v>
      </c>
      <c r="H29" s="14" t="s">
        <v>354</v>
      </c>
      <c r="I29" s="14" t="s">
        <v>355</v>
      </c>
      <c r="J29" s="14" t="s">
        <v>208</v>
      </c>
      <c r="K29" s="8" t="n">
        <v>8</v>
      </c>
      <c r="L29" s="8" t="n">
        <v>72</v>
      </c>
      <c r="M29" s="8" t="n">
        <v>3</v>
      </c>
      <c r="N29" s="8" t="n">
        <v>20</v>
      </c>
      <c r="O29" s="8" t="n">
        <v>4</v>
      </c>
      <c r="P29" s="9" t="n">
        <v>9.90093268207496</v>
      </c>
      <c r="Q29" s="10" t="n">
        <v>0.10100058571355</v>
      </c>
      <c r="R29" s="9" t="n">
        <v>7.5</v>
      </c>
      <c r="S29" s="12" t="n">
        <f aca="false">IF(AND(ISNUMBER(R29),R29&gt;1,P29&gt;0),R29/P29-1,"")</f>
        <v>-0.242495607148375</v>
      </c>
      <c r="T29" s="9" t="n">
        <f aca="false">IF(AND(ISNUMBER(P29),P29&gt;0),P29*EXP('Read me'!$B$22),"")</f>
        <v>12.0930264862445</v>
      </c>
    </row>
    <row r="30" customFormat="false" ht="15" hidden="false" customHeight="false" outlineLevel="0" collapsed="false">
      <c r="A30" s="14" t="s">
        <v>55</v>
      </c>
      <c r="B30" s="14" t="s">
        <v>56</v>
      </c>
      <c r="C30" s="14" t="s">
        <v>57</v>
      </c>
      <c r="D30" s="14" t="s">
        <v>319</v>
      </c>
      <c r="E30" s="15" t="n">
        <v>8</v>
      </c>
      <c r="F30" s="14" t="s">
        <v>349</v>
      </c>
      <c r="G30" s="8" t="n">
        <v>8</v>
      </c>
      <c r="H30" s="14" t="s">
        <v>356</v>
      </c>
      <c r="I30" s="14" t="s">
        <v>357</v>
      </c>
      <c r="J30" s="14" t="s">
        <v>358</v>
      </c>
      <c r="K30" s="8" t="n">
        <v>5</v>
      </c>
      <c r="L30" s="8" t="n">
        <v>69</v>
      </c>
      <c r="M30" s="8" t="n">
        <v>5</v>
      </c>
      <c r="N30" s="8" t="n">
        <v>17</v>
      </c>
      <c r="O30" s="8" t="n">
        <v>5</v>
      </c>
      <c r="P30" s="9" t="n">
        <v>11.5096290348887</v>
      </c>
      <c r="Q30" s="10" t="n">
        <v>0.0868837733143911</v>
      </c>
      <c r="R30" s="9" t="n">
        <v>26</v>
      </c>
      <c r="S30" s="12" t="n">
        <f aca="false">IF(AND(ISNUMBER(R30),R30&gt;1,P30&gt;0),R30/P30-1,"")</f>
        <v>1.25897810617417</v>
      </c>
      <c r="T30" s="9" t="n">
        <f aca="false">IF(AND(ISNUMBER(P30),P30&gt;0),P30*EXP('Read me'!$B$22),"")</f>
        <v>14.0578926486134</v>
      </c>
    </row>
    <row r="31" customFormat="false" ht="15" hidden="false" customHeight="false" outlineLevel="0" collapsed="false">
      <c r="A31" s="14" t="s">
        <v>55</v>
      </c>
      <c r="B31" s="14" t="s">
        <v>56</v>
      </c>
      <c r="C31" s="14" t="s">
        <v>57</v>
      </c>
      <c r="D31" s="14" t="s">
        <v>319</v>
      </c>
      <c r="E31" s="15" t="n">
        <v>8</v>
      </c>
      <c r="F31" s="14" t="s">
        <v>349</v>
      </c>
      <c r="G31" s="8" t="n">
        <v>8</v>
      </c>
      <c r="H31" s="14" t="s">
        <v>359</v>
      </c>
      <c r="I31" s="14" t="s">
        <v>360</v>
      </c>
      <c r="J31" s="14" t="s">
        <v>361</v>
      </c>
      <c r="K31" s="8" t="n">
        <v>1</v>
      </c>
      <c r="L31" s="8" t="n">
        <v>72</v>
      </c>
      <c r="M31" s="8" t="n">
        <v>5</v>
      </c>
      <c r="N31" s="8" t="n">
        <v>20</v>
      </c>
      <c r="O31" s="8" t="n">
        <v>6</v>
      </c>
      <c r="P31" s="9" t="n">
        <v>12.6823620046044</v>
      </c>
      <c r="Q31" s="10" t="n">
        <v>0.078849665357048</v>
      </c>
      <c r="R31" s="9" t="n">
        <v>13</v>
      </c>
      <c r="S31" s="12" t="n">
        <f aca="false">IF(AND(ISNUMBER(R31),R31&gt;1,P31&gt;0),R31/P31-1,"")</f>
        <v>0.0250456496416251</v>
      </c>
      <c r="T31" s="9" t="n">
        <f aca="false">IF(AND(ISNUMBER(P31),P31&gt;0),P31*EXP('Read me'!$B$22),"")</f>
        <v>15.4902719324096</v>
      </c>
    </row>
    <row r="32" customFormat="false" ht="15" hidden="false" customHeight="false" outlineLevel="0" collapsed="false">
      <c r="A32" s="14" t="s">
        <v>55</v>
      </c>
      <c r="B32" s="14" t="s">
        <v>56</v>
      </c>
      <c r="C32" s="14" t="s">
        <v>57</v>
      </c>
      <c r="D32" s="14" t="s">
        <v>319</v>
      </c>
      <c r="E32" s="15" t="n">
        <v>8</v>
      </c>
      <c r="F32" s="14" t="s">
        <v>349</v>
      </c>
      <c r="G32" s="8" t="n">
        <v>8</v>
      </c>
      <c r="H32" s="14" t="s">
        <v>362</v>
      </c>
      <c r="I32" s="14" t="s">
        <v>363</v>
      </c>
      <c r="J32" s="14" t="s">
        <v>364</v>
      </c>
      <c r="K32" s="8" t="n">
        <v>4</v>
      </c>
      <c r="L32" s="8" t="n">
        <v>70</v>
      </c>
      <c r="M32" s="8" t="n">
        <v>4</v>
      </c>
      <c r="N32" s="8" t="n">
        <v>12</v>
      </c>
      <c r="O32" s="8" t="n">
        <v>7</v>
      </c>
      <c r="P32" s="9" t="n">
        <v>13.8516060433531</v>
      </c>
      <c r="Q32" s="10" t="n">
        <v>0.0721937944863701</v>
      </c>
      <c r="R32" s="9" t="n">
        <v>19</v>
      </c>
      <c r="S32" s="12" t="n">
        <f aca="false">IF(AND(ISNUMBER(R32),R32&gt;1,P32&gt;0),R32/P32-1,"")</f>
        <v>0.371682095241034</v>
      </c>
      <c r="T32" s="9" t="n">
        <f aca="false">IF(AND(ISNUMBER(P32),P32&gt;0),P32*EXP('Read me'!$B$22),"")</f>
        <v>16.9183898262996</v>
      </c>
    </row>
    <row r="33" customFormat="false" ht="15" hidden="false" customHeight="false" outlineLevel="0" collapsed="false">
      <c r="A33" s="14" t="s">
        <v>55</v>
      </c>
      <c r="B33" s="14" t="s">
        <v>56</v>
      </c>
      <c r="C33" s="14" t="s">
        <v>57</v>
      </c>
      <c r="D33" s="14" t="s">
        <v>319</v>
      </c>
      <c r="E33" s="15" t="n">
        <v>8</v>
      </c>
      <c r="F33" s="14" t="s">
        <v>349</v>
      </c>
      <c r="G33" s="8" t="n">
        <v>8</v>
      </c>
      <c r="H33" s="14" t="s">
        <v>365</v>
      </c>
      <c r="I33" s="14" t="s">
        <v>366</v>
      </c>
      <c r="J33" s="14" t="s">
        <v>367</v>
      </c>
      <c r="K33" s="8" t="n">
        <v>7</v>
      </c>
      <c r="L33" s="8" t="n">
        <v>69</v>
      </c>
      <c r="M33" s="8" t="n">
        <v>6</v>
      </c>
      <c r="N33" s="8" t="n">
        <v>20</v>
      </c>
      <c r="O33" s="8" t="n">
        <v>8</v>
      </c>
      <c r="P33" s="9" t="n">
        <v>35.0247214352567</v>
      </c>
      <c r="Q33" s="10" t="n">
        <v>0.0285512620521052</v>
      </c>
      <c r="R33" s="9" t="n">
        <v>23</v>
      </c>
      <c r="S33" s="12" t="n">
        <f aca="false">IF(AND(ISNUMBER(R33),R33&gt;1,P33&gt;0),R33/P33-1,"")</f>
        <v>-0.34332097280158</v>
      </c>
      <c r="T33" s="9" t="n">
        <f aca="false">IF(AND(ISNUMBER(P33),P33&gt;0),P33*EXP('Read me'!$B$22),"")</f>
        <v>42.7792913648141</v>
      </c>
    </row>
    <row r="34" customFormat="false" ht="15" hidden="false" customHeight="false" outlineLevel="0" collapsed="false">
      <c r="A34" s="14" t="s">
        <v>62</v>
      </c>
      <c r="B34" s="14" t="s">
        <v>63</v>
      </c>
      <c r="C34" s="14" t="s">
        <v>64</v>
      </c>
      <c r="D34" s="14" t="s">
        <v>319</v>
      </c>
      <c r="E34" s="15" t="n">
        <v>16.5</v>
      </c>
      <c r="F34" s="14" t="s">
        <v>368</v>
      </c>
      <c r="G34" s="8" t="n">
        <v>7</v>
      </c>
      <c r="H34" s="14" t="s">
        <v>65</v>
      </c>
      <c r="I34" s="14" t="s">
        <v>66</v>
      </c>
      <c r="J34" s="14" t="s">
        <v>67</v>
      </c>
      <c r="K34" s="8" t="n">
        <v>1</v>
      </c>
      <c r="L34" s="8" t="n">
        <v>105</v>
      </c>
      <c r="M34" s="8" t="n">
        <v>5</v>
      </c>
      <c r="N34" s="8" t="n">
        <v>10</v>
      </c>
      <c r="O34" s="8" t="n">
        <v>1</v>
      </c>
      <c r="P34" s="9" t="n">
        <v>3.37066594549794</v>
      </c>
      <c r="Q34" s="10" t="n">
        <v>0.296677278665262</v>
      </c>
      <c r="R34" s="9" t="n">
        <v>2.875</v>
      </c>
      <c r="S34" s="12" t="n">
        <f aca="false">IF(AND(ISNUMBER(R34),R34&gt;1,P34&gt;0),R34/P34-1,"")</f>
        <v>-0.147052823837373</v>
      </c>
      <c r="T34" s="9" t="n">
        <f aca="false">IF(AND(ISNUMBER(P34),P34&gt;0),P34*EXP('Read me'!$B$22),"")</f>
        <v>4.11694068266774</v>
      </c>
    </row>
    <row r="35" customFormat="false" ht="15" hidden="false" customHeight="false" outlineLevel="0" collapsed="false">
      <c r="A35" s="14" t="s">
        <v>62</v>
      </c>
      <c r="B35" s="14" t="s">
        <v>63</v>
      </c>
      <c r="C35" s="14" t="s">
        <v>64</v>
      </c>
      <c r="D35" s="14" t="s">
        <v>319</v>
      </c>
      <c r="E35" s="15" t="n">
        <v>16.5</v>
      </c>
      <c r="F35" s="14" t="s">
        <v>368</v>
      </c>
      <c r="G35" s="8" t="n">
        <v>7</v>
      </c>
      <c r="H35" s="14" t="s">
        <v>68</v>
      </c>
      <c r="I35" s="14" t="s">
        <v>369</v>
      </c>
      <c r="J35" s="14" t="s">
        <v>370</v>
      </c>
      <c r="K35" s="8" t="n">
        <v>3</v>
      </c>
      <c r="L35" s="8" t="n">
        <v>102</v>
      </c>
      <c r="M35" s="8" t="n">
        <v>7</v>
      </c>
      <c r="N35" s="8" t="n">
        <v>32</v>
      </c>
      <c r="O35" s="8" t="n">
        <v>2</v>
      </c>
      <c r="P35" s="9" t="n">
        <v>5.21060779714147</v>
      </c>
      <c r="Q35" s="10" t="n">
        <v>0.191916190765423</v>
      </c>
      <c r="R35" s="9" t="n">
        <v>4.5</v>
      </c>
      <c r="S35" s="12" t="n">
        <f aca="false">IF(AND(ISNUMBER(R35),R35&gt;1,P35&gt;0),R35/P35-1,"")</f>
        <v>-0.136377141555598</v>
      </c>
      <c r="T35" s="9" t="n">
        <f aca="false">IF(AND(ISNUMBER(P35),P35&gt;0),P35*EXP('Read me'!$B$22),"")</f>
        <v>6.36425073511947</v>
      </c>
    </row>
    <row r="36" customFormat="false" ht="15" hidden="false" customHeight="false" outlineLevel="0" collapsed="false">
      <c r="A36" s="14" t="s">
        <v>62</v>
      </c>
      <c r="B36" s="14" t="s">
        <v>63</v>
      </c>
      <c r="C36" s="14" t="s">
        <v>64</v>
      </c>
      <c r="D36" s="14" t="s">
        <v>319</v>
      </c>
      <c r="E36" s="15" t="n">
        <v>16.5</v>
      </c>
      <c r="F36" s="14" t="s">
        <v>368</v>
      </c>
      <c r="G36" s="8" t="n">
        <v>7</v>
      </c>
      <c r="H36" s="14" t="s">
        <v>371</v>
      </c>
      <c r="I36" s="14" t="s">
        <v>372</v>
      </c>
      <c r="J36" s="14" t="s">
        <v>373</v>
      </c>
      <c r="K36" s="8" t="n">
        <v>6</v>
      </c>
      <c r="L36" s="8" t="n">
        <v>83</v>
      </c>
      <c r="M36" s="8" t="n">
        <v>7</v>
      </c>
      <c r="N36" s="8" t="n">
        <v>13</v>
      </c>
      <c r="O36" s="8" t="n">
        <v>3</v>
      </c>
      <c r="P36" s="9" t="n">
        <v>5.84619958994512</v>
      </c>
      <c r="Q36" s="10" t="n">
        <v>0.171051293171704</v>
      </c>
      <c r="R36" s="9" t="n">
        <v>4.5</v>
      </c>
      <c r="S36" s="12" t="n">
        <f aca="false">IF(AND(ISNUMBER(R36),R36&gt;1,P36&gt;0),R36/P36-1,"")</f>
        <v>-0.230269180727331</v>
      </c>
      <c r="T36" s="9" t="n">
        <f aca="false">IF(AND(ISNUMBER(P36),P36&gt;0),P36*EXP('Read me'!$B$22),"")</f>
        <v>7.14056430391382</v>
      </c>
    </row>
    <row r="37" customFormat="false" ht="15" hidden="false" customHeight="false" outlineLevel="0" collapsed="false">
      <c r="A37" s="14" t="s">
        <v>62</v>
      </c>
      <c r="B37" s="14" t="s">
        <v>63</v>
      </c>
      <c r="C37" s="14" t="s">
        <v>64</v>
      </c>
      <c r="D37" s="14" t="s">
        <v>319</v>
      </c>
      <c r="E37" s="15" t="n">
        <v>16.5</v>
      </c>
      <c r="F37" s="14" t="s">
        <v>368</v>
      </c>
      <c r="G37" s="8" t="n">
        <v>7</v>
      </c>
      <c r="H37" s="14" t="s">
        <v>374</v>
      </c>
      <c r="I37" s="14" t="s">
        <v>375</v>
      </c>
      <c r="J37" s="14" t="s">
        <v>218</v>
      </c>
      <c r="K37" s="8" t="n">
        <v>2</v>
      </c>
      <c r="L37" s="8" t="n">
        <v>105</v>
      </c>
      <c r="M37" s="8" t="n">
        <v>4</v>
      </c>
      <c r="N37" s="8" t="n">
        <v>18</v>
      </c>
      <c r="O37" s="8" t="n">
        <v>4</v>
      </c>
      <c r="P37" s="9" t="n">
        <v>6.72476290105224</v>
      </c>
      <c r="Q37" s="10" t="n">
        <v>0.148704127522998</v>
      </c>
      <c r="R37" s="9" t="n">
        <v>11</v>
      </c>
      <c r="S37" s="12" t="n">
        <f aca="false">IF(AND(ISNUMBER(R37),R37&gt;1,P37&gt;0),R37/P37-1,"")</f>
        <v>0.635745402752982</v>
      </c>
      <c r="T37" s="9" t="n">
        <f aca="false">IF(AND(ISNUMBER(P37),P37&gt;0),P37*EXP('Read me'!$B$22),"")</f>
        <v>8.21364395531839</v>
      </c>
    </row>
    <row r="38" customFormat="false" ht="15" hidden="false" customHeight="false" outlineLevel="0" collapsed="false">
      <c r="A38" s="14" t="s">
        <v>62</v>
      </c>
      <c r="B38" s="14" t="s">
        <v>63</v>
      </c>
      <c r="C38" s="14" t="s">
        <v>64</v>
      </c>
      <c r="D38" s="14" t="s">
        <v>319</v>
      </c>
      <c r="E38" s="15" t="n">
        <v>16.5</v>
      </c>
      <c r="F38" s="14" t="s">
        <v>368</v>
      </c>
      <c r="G38" s="8" t="n">
        <v>7</v>
      </c>
      <c r="H38" s="14" t="s">
        <v>376</v>
      </c>
      <c r="I38" s="14" t="s">
        <v>377</v>
      </c>
      <c r="J38" s="14" t="s">
        <v>114</v>
      </c>
      <c r="K38" s="8" t="n">
        <v>5</v>
      </c>
      <c r="L38" s="8" t="n">
        <v>94</v>
      </c>
      <c r="M38" s="8" t="n">
        <v>5</v>
      </c>
      <c r="N38" s="8" t="n">
        <v>25</v>
      </c>
      <c r="O38" s="8" t="n">
        <v>5</v>
      </c>
      <c r="P38" s="9" t="n">
        <v>12.0886650099054</v>
      </c>
      <c r="Q38" s="10" t="n">
        <v>0.0827221201994269</v>
      </c>
      <c r="R38" s="9" t="n">
        <v>7</v>
      </c>
      <c r="S38" s="12" t="n">
        <f aca="false">IF(AND(ISNUMBER(R38),R38&gt;1,P38&gt;0),R38/P38-1,"")</f>
        <v>-0.420945158604012</v>
      </c>
      <c r="T38" s="9" t="n">
        <f aca="false">IF(AND(ISNUMBER(P38),P38&gt;0),P38*EXP('Read me'!$B$22),"")</f>
        <v>14.7651287855728</v>
      </c>
    </row>
    <row r="39" customFormat="false" ht="15" hidden="false" customHeight="false" outlineLevel="0" collapsed="false">
      <c r="A39" s="14" t="s">
        <v>62</v>
      </c>
      <c r="B39" s="14" t="s">
        <v>63</v>
      </c>
      <c r="C39" s="14" t="s">
        <v>64</v>
      </c>
      <c r="D39" s="14" t="s">
        <v>319</v>
      </c>
      <c r="E39" s="15" t="n">
        <v>16.5</v>
      </c>
      <c r="F39" s="14" t="s">
        <v>368</v>
      </c>
      <c r="G39" s="8" t="n">
        <v>7</v>
      </c>
      <c r="H39" s="14" t="s">
        <v>378</v>
      </c>
      <c r="I39" s="14" t="s">
        <v>379</v>
      </c>
      <c r="J39" s="14" t="s">
        <v>380</v>
      </c>
      <c r="K39" s="8" t="n">
        <v>4</v>
      </c>
      <c r="L39" s="8" t="n">
        <v>94</v>
      </c>
      <c r="M39" s="8" t="n">
        <v>7</v>
      </c>
      <c r="N39" s="8" t="n">
        <v>24</v>
      </c>
      <c r="O39" s="8" t="n">
        <v>6</v>
      </c>
      <c r="P39" s="9" t="n">
        <v>16.6056640361522</v>
      </c>
      <c r="Q39" s="10" t="n">
        <v>0.060220416228035</v>
      </c>
      <c r="R39" s="9" t="n">
        <v>15</v>
      </c>
      <c r="S39" s="12" t="n">
        <f aca="false">IF(AND(ISNUMBER(R39),R39&gt;1,P39&gt;0),R39/P39-1,"")</f>
        <v>-0.0966937565794747</v>
      </c>
      <c r="T39" s="9" t="n">
        <f aca="false">IF(AND(ISNUMBER(P39),P39&gt;0),P39*EXP('Read me'!$B$22),"")</f>
        <v>20.2822038548375</v>
      </c>
    </row>
    <row r="40" customFormat="false" ht="15" hidden="false" customHeight="false" outlineLevel="0" collapsed="false">
      <c r="A40" s="14" t="s">
        <v>62</v>
      </c>
      <c r="B40" s="14" t="s">
        <v>63</v>
      </c>
      <c r="C40" s="14" t="s">
        <v>64</v>
      </c>
      <c r="D40" s="14" t="s">
        <v>319</v>
      </c>
      <c r="E40" s="15" t="n">
        <v>16.5</v>
      </c>
      <c r="F40" s="14" t="s">
        <v>368</v>
      </c>
      <c r="G40" s="8" t="n">
        <v>7</v>
      </c>
      <c r="H40" s="14" t="s">
        <v>381</v>
      </c>
      <c r="I40" s="14" t="s">
        <v>382</v>
      </c>
      <c r="J40" s="14" t="s">
        <v>383</v>
      </c>
      <c r="K40" s="8" t="n">
        <v>7</v>
      </c>
      <c r="L40" s="8" t="n">
        <v>79</v>
      </c>
      <c r="M40" s="8" t="n">
        <v>7</v>
      </c>
      <c r="N40" s="8" t="n">
        <v>15</v>
      </c>
      <c r="O40" s="8" t="n">
        <v>7</v>
      </c>
      <c r="P40" s="9" t="n">
        <v>20.5302666292414</v>
      </c>
      <c r="Q40" s="10" t="n">
        <v>0.0487085734471511</v>
      </c>
      <c r="R40" s="9" t="n">
        <v>21</v>
      </c>
      <c r="S40" s="12" t="n">
        <f aca="false">IF(AND(ISNUMBER(R40),R40&gt;1,P40&gt;0),R40/P40-1,"")</f>
        <v>0.0228800423901736</v>
      </c>
      <c r="T40" s="9" t="n">
        <f aca="false">IF(AND(ISNUMBER(P40),P40&gt;0),P40*EXP('Read me'!$B$22),"")</f>
        <v>25.0757242867191</v>
      </c>
    </row>
    <row r="41" customFormat="false" ht="15" hidden="false" customHeight="false" outlineLevel="0" collapsed="false">
      <c r="A41" s="14" t="s">
        <v>69</v>
      </c>
      <c r="B41" s="14" t="s">
        <v>42</v>
      </c>
      <c r="C41" s="14" t="s">
        <v>70</v>
      </c>
      <c r="D41" s="14"/>
      <c r="E41" s="15" t="n">
        <v>6</v>
      </c>
      <c r="F41" s="14" t="s">
        <v>286</v>
      </c>
      <c r="G41" s="8" t="n">
        <v>7</v>
      </c>
      <c r="H41" s="14" t="s">
        <v>71</v>
      </c>
      <c r="I41" s="14" t="s">
        <v>72</v>
      </c>
      <c r="J41" s="14" t="s">
        <v>73</v>
      </c>
      <c r="K41" s="8" t="n">
        <v>5</v>
      </c>
      <c r="L41" s="8" t="n">
        <v>76</v>
      </c>
      <c r="M41" s="8" t="n">
        <v>2</v>
      </c>
      <c r="N41" s="8" t="n">
        <v>8</v>
      </c>
      <c r="O41" s="8" t="n">
        <v>1</v>
      </c>
      <c r="P41" s="9" t="n">
        <v>2.99689141277286</v>
      </c>
      <c r="Q41" s="10" t="n">
        <v>0.333679090185905</v>
      </c>
      <c r="R41" s="9" t="n">
        <v>2</v>
      </c>
      <c r="S41" s="12" t="n">
        <f aca="false">IF(AND(ISNUMBER(R41),R41&gt;1,P41&gt;0),R41/P41-1,"")</f>
        <v>-0.332641819628189</v>
      </c>
      <c r="T41" s="9" t="n">
        <f aca="false">IF(AND(ISNUMBER(P41),P41&gt;0),P41*EXP('Read me'!$B$22),"")</f>
        <v>3.6604114374673</v>
      </c>
    </row>
    <row r="42" customFormat="false" ht="15" hidden="false" customHeight="false" outlineLevel="0" collapsed="false">
      <c r="A42" s="14" t="s">
        <v>69</v>
      </c>
      <c r="B42" s="14" t="s">
        <v>42</v>
      </c>
      <c r="C42" s="14" t="s">
        <v>70</v>
      </c>
      <c r="D42" s="14"/>
      <c r="E42" s="15" t="n">
        <v>6</v>
      </c>
      <c r="F42" s="14" t="s">
        <v>286</v>
      </c>
      <c r="G42" s="8" t="n">
        <v>7</v>
      </c>
      <c r="H42" s="14" t="s">
        <v>74</v>
      </c>
      <c r="I42" s="14"/>
      <c r="J42" s="14" t="s">
        <v>213</v>
      </c>
      <c r="K42" s="8" t="n">
        <v>6</v>
      </c>
      <c r="L42" s="8" t="n">
        <v>79</v>
      </c>
      <c r="M42" s="8" t="n">
        <v>2</v>
      </c>
      <c r="N42" s="8" t="n">
        <v>2</v>
      </c>
      <c r="O42" s="8" t="n">
        <v>2</v>
      </c>
      <c r="P42" s="9" t="n">
        <v>5.87394022795125</v>
      </c>
      <c r="Q42" s="10" t="n">
        <v>0.170243475621608</v>
      </c>
      <c r="R42" s="9" t="n">
        <v>9.5</v>
      </c>
      <c r="S42" s="12" t="n">
        <f aca="false">IF(AND(ISNUMBER(R42),R42&gt;1,P42&gt;0),R42/P42-1,"")</f>
        <v>0.617313018405274</v>
      </c>
      <c r="T42" s="9" t="n">
        <f aca="false">IF(AND(ISNUMBER(P42),P42&gt;0),P42*EXP('Read me'!$B$22),"")</f>
        <v>7.17444679568763</v>
      </c>
    </row>
    <row r="43" customFormat="false" ht="15" hidden="false" customHeight="false" outlineLevel="0" collapsed="false">
      <c r="A43" s="14" t="s">
        <v>69</v>
      </c>
      <c r="B43" s="14" t="s">
        <v>42</v>
      </c>
      <c r="C43" s="14" t="s">
        <v>70</v>
      </c>
      <c r="D43" s="14"/>
      <c r="E43" s="15" t="n">
        <v>6</v>
      </c>
      <c r="F43" s="14" t="s">
        <v>286</v>
      </c>
      <c r="G43" s="8" t="n">
        <v>7</v>
      </c>
      <c r="H43" s="14" t="s">
        <v>384</v>
      </c>
      <c r="I43" s="14" t="s">
        <v>302</v>
      </c>
      <c r="J43" s="14" t="s">
        <v>385</v>
      </c>
      <c r="K43" s="8" t="n">
        <v>4</v>
      </c>
      <c r="L43" s="8" t="n">
        <v>75</v>
      </c>
      <c r="M43" s="8" t="n">
        <v>2</v>
      </c>
      <c r="N43" s="8" t="n">
        <v>24</v>
      </c>
      <c r="O43" s="8" t="n">
        <v>3</v>
      </c>
      <c r="P43" s="9" t="n">
        <v>7.13240577692741</v>
      </c>
      <c r="Q43" s="10" t="n">
        <v>0.140205146941428</v>
      </c>
      <c r="R43" s="9" t="n">
        <v>6</v>
      </c>
      <c r="S43" s="12" t="n">
        <f aca="false">IF(AND(ISNUMBER(R43),R43&gt;1,P43&gt;0),R43/P43-1,"")</f>
        <v>-0.15876911835143</v>
      </c>
      <c r="T43" s="9" t="n">
        <f aca="false">IF(AND(ISNUMBER(P43),P43&gt;0),P43*EXP('Read me'!$B$22),"")</f>
        <v>8.71154008825667</v>
      </c>
    </row>
    <row r="44" customFormat="false" ht="15" hidden="false" customHeight="false" outlineLevel="0" collapsed="false">
      <c r="A44" s="14" t="s">
        <v>69</v>
      </c>
      <c r="B44" s="14" t="s">
        <v>42</v>
      </c>
      <c r="C44" s="14" t="s">
        <v>70</v>
      </c>
      <c r="D44" s="14"/>
      <c r="E44" s="15" t="n">
        <v>6</v>
      </c>
      <c r="F44" s="14" t="s">
        <v>286</v>
      </c>
      <c r="G44" s="8" t="n">
        <v>7</v>
      </c>
      <c r="H44" s="14" t="s">
        <v>386</v>
      </c>
      <c r="I44" s="14" t="s">
        <v>45</v>
      </c>
      <c r="J44" s="14" t="s">
        <v>46</v>
      </c>
      <c r="K44" s="8" t="n">
        <v>7</v>
      </c>
      <c r="L44" s="8" t="n">
        <v>63</v>
      </c>
      <c r="M44" s="8" t="n">
        <v>2</v>
      </c>
      <c r="N44" s="8" t="n">
        <v>8</v>
      </c>
      <c r="O44" s="8" t="n">
        <v>4</v>
      </c>
      <c r="P44" s="9" t="n">
        <v>8.4926244676964</v>
      </c>
      <c r="Q44" s="10" t="n">
        <v>0.117749230971383</v>
      </c>
      <c r="R44" s="9" t="n">
        <v>5.5</v>
      </c>
      <c r="S44" s="12" t="n">
        <f aca="false">IF(AND(ISNUMBER(R44),R44&gt;1,P44&gt;0),R44/P44-1,"")</f>
        <v>-0.352379229657395</v>
      </c>
      <c r="T44" s="9" t="n">
        <f aca="false">IF(AND(ISNUMBER(P44),P44&gt;0),P44*EXP('Read me'!$B$22),"")</f>
        <v>10.3729149488629</v>
      </c>
    </row>
    <row r="45" customFormat="false" ht="15" hidden="false" customHeight="false" outlineLevel="0" collapsed="false">
      <c r="A45" s="14" t="s">
        <v>69</v>
      </c>
      <c r="B45" s="14" t="s">
        <v>42</v>
      </c>
      <c r="C45" s="14" t="s">
        <v>70</v>
      </c>
      <c r="D45" s="14"/>
      <c r="E45" s="15" t="n">
        <v>6</v>
      </c>
      <c r="F45" s="14" t="s">
        <v>286</v>
      </c>
      <c r="G45" s="8" t="n">
        <v>7</v>
      </c>
      <c r="H45" s="14" t="s">
        <v>387</v>
      </c>
      <c r="I45" s="14" t="s">
        <v>388</v>
      </c>
      <c r="J45" s="14" t="s">
        <v>389</v>
      </c>
      <c r="K45" s="8" t="n">
        <v>3</v>
      </c>
      <c r="L45" s="8" t="n">
        <v>75</v>
      </c>
      <c r="M45" s="8" t="n">
        <v>2</v>
      </c>
      <c r="N45" s="8" t="n">
        <v>27</v>
      </c>
      <c r="O45" s="8" t="n">
        <v>5</v>
      </c>
      <c r="P45" s="9" t="n">
        <v>10.2117334675665</v>
      </c>
      <c r="Q45" s="10" t="n">
        <v>0.0979265668435334</v>
      </c>
      <c r="R45" s="9" t="n">
        <v>12</v>
      </c>
      <c r="S45" s="12" t="n">
        <f aca="false">IF(AND(ISNUMBER(R45),R45&gt;1,P45&gt;0),R45/P45-1,"")</f>
        <v>0.175118802122401</v>
      </c>
      <c r="T45" s="9" t="n">
        <f aca="false">IF(AND(ISNUMBER(P45),P45&gt;0),P45*EXP('Read me'!$B$22),"")</f>
        <v>12.4726394228823</v>
      </c>
    </row>
    <row r="46" customFormat="false" ht="15" hidden="false" customHeight="false" outlineLevel="0" collapsed="false">
      <c r="A46" s="14" t="s">
        <v>69</v>
      </c>
      <c r="B46" s="14" t="s">
        <v>42</v>
      </c>
      <c r="C46" s="14" t="s">
        <v>70</v>
      </c>
      <c r="D46" s="14"/>
      <c r="E46" s="15" t="n">
        <v>6</v>
      </c>
      <c r="F46" s="14" t="s">
        <v>286</v>
      </c>
      <c r="G46" s="8" t="n">
        <v>7</v>
      </c>
      <c r="H46" s="14" t="s">
        <v>390</v>
      </c>
      <c r="I46" s="14" t="s">
        <v>391</v>
      </c>
      <c r="J46" s="14" t="s">
        <v>291</v>
      </c>
      <c r="K46" s="8" t="n">
        <v>1</v>
      </c>
      <c r="L46" s="8" t="n">
        <v>79</v>
      </c>
      <c r="M46" s="8" t="n">
        <v>2</v>
      </c>
      <c r="N46" s="8" t="n">
        <v>25</v>
      </c>
      <c r="O46" s="8" t="n">
        <v>6</v>
      </c>
      <c r="P46" s="9" t="n">
        <v>10.7000933204278</v>
      </c>
      <c r="Q46" s="10" t="n">
        <v>0.093457128835585</v>
      </c>
      <c r="R46" s="9" t="n">
        <v>6</v>
      </c>
      <c r="S46" s="12" t="n">
        <f aca="false">IF(AND(ISNUMBER(R46),R46&gt;1,P46&gt;0),R46/P46-1,"")</f>
        <v>-0.43925722698649</v>
      </c>
      <c r="T46" s="9" t="n">
        <f aca="false">IF(AND(ISNUMBER(P46),P46&gt;0),P46*EXP('Read me'!$B$22),"")</f>
        <v>13.0691234941417</v>
      </c>
    </row>
    <row r="47" customFormat="false" ht="15" hidden="false" customHeight="false" outlineLevel="0" collapsed="false">
      <c r="A47" s="14" t="s">
        <v>69</v>
      </c>
      <c r="B47" s="14" t="s">
        <v>42</v>
      </c>
      <c r="C47" s="14" t="s">
        <v>70</v>
      </c>
      <c r="D47" s="14"/>
      <c r="E47" s="15" t="n">
        <v>6</v>
      </c>
      <c r="F47" s="14" t="s">
        <v>286</v>
      </c>
      <c r="G47" s="8" t="n">
        <v>7</v>
      </c>
      <c r="H47" s="14" t="s">
        <v>392</v>
      </c>
      <c r="I47" s="14" t="s">
        <v>287</v>
      </c>
      <c r="J47" s="14" t="s">
        <v>393</v>
      </c>
      <c r="K47" s="8" t="n">
        <v>2</v>
      </c>
      <c r="L47" s="8" t="n">
        <v>77</v>
      </c>
      <c r="M47" s="8" t="n">
        <v>2</v>
      </c>
      <c r="N47" s="8" t="n">
        <v>12</v>
      </c>
      <c r="O47" s="8" t="n">
        <v>7</v>
      </c>
      <c r="P47" s="9" t="n">
        <v>21.395243476824</v>
      </c>
      <c r="Q47" s="10" t="n">
        <v>0.0467393606005574</v>
      </c>
      <c r="R47" s="9" t="n">
        <v>17</v>
      </c>
      <c r="S47" s="12" t="n">
        <f aca="false">IF(AND(ISNUMBER(R47),R47&gt;1,P47&gt;0),R47/P47-1,"")</f>
        <v>-0.205430869790523</v>
      </c>
      <c r="T47" s="9" t="n">
        <f aca="false">IF(AND(ISNUMBER(P47),P47&gt;0),P47*EXP('Read me'!$B$22),"")</f>
        <v>26.1322093941012</v>
      </c>
    </row>
    <row r="48" customFormat="false" ht="15" hidden="false" customHeight="false" outlineLevel="0" collapsed="false">
      <c r="A48" s="14" t="s">
        <v>75</v>
      </c>
      <c r="B48" s="14" t="s">
        <v>49</v>
      </c>
      <c r="C48" s="14" t="s">
        <v>76</v>
      </c>
      <c r="D48" s="14" t="s">
        <v>319</v>
      </c>
      <c r="E48" s="15" t="n">
        <v>13</v>
      </c>
      <c r="F48" s="14" t="s">
        <v>320</v>
      </c>
      <c r="G48" s="8" t="n">
        <v>13</v>
      </c>
      <c r="H48" s="14" t="s">
        <v>77</v>
      </c>
      <c r="I48" s="14" t="s">
        <v>78</v>
      </c>
      <c r="J48" s="14" t="s">
        <v>79</v>
      </c>
      <c r="K48" s="8" t="n">
        <v>13</v>
      </c>
      <c r="L48" s="8" t="n">
        <v>69</v>
      </c>
      <c r="M48" s="8" t="n">
        <v>3</v>
      </c>
      <c r="N48" s="8" t="n">
        <v>34</v>
      </c>
      <c r="O48" s="8" t="n">
        <v>1</v>
      </c>
      <c r="P48" s="9" t="n">
        <v>6.05474824053142</v>
      </c>
      <c r="Q48" s="10" t="n">
        <v>0.165159633443691</v>
      </c>
      <c r="R48" s="9" t="n">
        <v>6</v>
      </c>
      <c r="S48" s="12" t="n">
        <f aca="false">IF(AND(ISNUMBER(R48),R48&gt;1,P48&gt;0),R48/P48-1,"")</f>
        <v>-0.00904219933785699</v>
      </c>
      <c r="T48" s="9" t="n">
        <f aca="false">IF(AND(ISNUMBER(P48),P48&gt;0),P48*EXP('Read me'!$B$22),"")</f>
        <v>7.39528620095052</v>
      </c>
    </row>
    <row r="49" customFormat="false" ht="15" hidden="false" customHeight="false" outlineLevel="0" collapsed="false">
      <c r="A49" s="14" t="s">
        <v>75</v>
      </c>
      <c r="B49" s="14" t="s">
        <v>49</v>
      </c>
      <c r="C49" s="14" t="s">
        <v>76</v>
      </c>
      <c r="D49" s="14" t="s">
        <v>319</v>
      </c>
      <c r="E49" s="15" t="n">
        <v>13</v>
      </c>
      <c r="F49" s="14" t="s">
        <v>320</v>
      </c>
      <c r="G49" s="8" t="n">
        <v>13</v>
      </c>
      <c r="H49" s="14" t="s">
        <v>80</v>
      </c>
      <c r="I49" s="14" t="s">
        <v>394</v>
      </c>
      <c r="J49" s="14" t="s">
        <v>395</v>
      </c>
      <c r="K49" s="8" t="n">
        <v>14</v>
      </c>
      <c r="L49" s="8" t="n">
        <v>67</v>
      </c>
      <c r="M49" s="8" t="n">
        <v>3</v>
      </c>
      <c r="N49" s="8" t="n">
        <v>17</v>
      </c>
      <c r="O49" s="8" t="n">
        <v>2</v>
      </c>
      <c r="P49" s="9" t="n">
        <v>7.04232394445074</v>
      </c>
      <c r="Q49" s="10" t="n">
        <v>0.141998579998295</v>
      </c>
      <c r="R49" s="9" t="n">
        <v>6.5</v>
      </c>
      <c r="S49" s="12" t="n">
        <f aca="false">IF(AND(ISNUMBER(R49),R49&gt;1,P49&gt;0),R49/P49-1,"")</f>
        <v>-0.0770092300110801</v>
      </c>
      <c r="T49" s="9" t="n">
        <f aca="false">IF(AND(ISNUMBER(P49),P49&gt;0),P49*EXP('Read me'!$B$22),"")</f>
        <v>8.60151388960955</v>
      </c>
    </row>
    <row r="50" customFormat="false" ht="15" hidden="false" customHeight="false" outlineLevel="0" collapsed="false">
      <c r="A50" s="14" t="s">
        <v>75</v>
      </c>
      <c r="B50" s="14" t="s">
        <v>49</v>
      </c>
      <c r="C50" s="14" t="s">
        <v>76</v>
      </c>
      <c r="D50" s="14" t="s">
        <v>319</v>
      </c>
      <c r="E50" s="15" t="n">
        <v>13</v>
      </c>
      <c r="F50" s="14" t="s">
        <v>320</v>
      </c>
      <c r="G50" s="8" t="n">
        <v>13</v>
      </c>
      <c r="H50" s="14" t="s">
        <v>396</v>
      </c>
      <c r="I50" s="14" t="s">
        <v>101</v>
      </c>
      <c r="J50" s="14" t="s">
        <v>345</v>
      </c>
      <c r="K50" s="8" t="n">
        <v>6</v>
      </c>
      <c r="L50" s="8" t="n">
        <v>62</v>
      </c>
      <c r="M50" s="8" t="n">
        <v>6</v>
      </c>
      <c r="N50" s="8" t="n">
        <v>23</v>
      </c>
      <c r="O50" s="8" t="n">
        <v>3</v>
      </c>
      <c r="P50" s="9" t="n">
        <v>7.26703250589067</v>
      </c>
      <c r="Q50" s="10" t="n">
        <v>0.137607751057863</v>
      </c>
      <c r="R50" s="9" t="n">
        <v>7</v>
      </c>
      <c r="S50" s="12" t="n">
        <f aca="false">IF(AND(ISNUMBER(R50),R50&gt;1,P50&gt;0),R50/P50-1,"")</f>
        <v>-0.0367457425949609</v>
      </c>
      <c r="T50" s="9" t="n">
        <f aca="false">IF(AND(ISNUMBER(P50),P50&gt;0),P50*EXP('Read me'!$B$22),"")</f>
        <v>8.87597354633448</v>
      </c>
    </row>
    <row r="51" customFormat="false" ht="15" hidden="false" customHeight="false" outlineLevel="0" collapsed="false">
      <c r="A51" s="14" t="s">
        <v>75</v>
      </c>
      <c r="B51" s="14" t="s">
        <v>49</v>
      </c>
      <c r="C51" s="14" t="s">
        <v>76</v>
      </c>
      <c r="D51" s="14" t="s">
        <v>319</v>
      </c>
      <c r="E51" s="15" t="n">
        <v>13</v>
      </c>
      <c r="F51" s="14" t="s">
        <v>320</v>
      </c>
      <c r="G51" s="8" t="n">
        <v>13</v>
      </c>
      <c r="H51" s="14" t="s">
        <v>397</v>
      </c>
      <c r="I51" s="14" t="s">
        <v>398</v>
      </c>
      <c r="J51" s="14" t="s">
        <v>399</v>
      </c>
      <c r="K51" s="8" t="n">
        <v>1</v>
      </c>
      <c r="L51" s="8" t="n">
        <v>70</v>
      </c>
      <c r="M51" s="8" t="n">
        <v>3</v>
      </c>
      <c r="N51" s="8" t="n">
        <v>40</v>
      </c>
      <c r="O51" s="8" t="n">
        <v>4</v>
      </c>
      <c r="P51" s="9" t="n">
        <v>8.05484542367063</v>
      </c>
      <c r="Q51" s="10" t="n">
        <v>0.124148875292047</v>
      </c>
      <c r="R51" s="9" t="n">
        <v>7</v>
      </c>
      <c r="S51" s="12" t="n">
        <f aca="false">IF(AND(ISNUMBER(R51),R51&gt;1,P51&gt;0),R51/P51-1,"")</f>
        <v>-0.130957872955671</v>
      </c>
      <c r="T51" s="9" t="n">
        <f aca="false">IF(AND(ISNUMBER(P51),P51&gt;0),P51*EXP('Read me'!$B$22),"")</f>
        <v>9.83821041702512</v>
      </c>
    </row>
    <row r="52" customFormat="false" ht="15" hidden="false" customHeight="false" outlineLevel="0" collapsed="false">
      <c r="A52" s="14" t="s">
        <v>75</v>
      </c>
      <c r="B52" s="14" t="s">
        <v>49</v>
      </c>
      <c r="C52" s="14" t="s">
        <v>76</v>
      </c>
      <c r="D52" s="14" t="s">
        <v>319</v>
      </c>
      <c r="E52" s="15" t="n">
        <v>13</v>
      </c>
      <c r="F52" s="14" t="s">
        <v>320</v>
      </c>
      <c r="G52" s="8" t="n">
        <v>13</v>
      </c>
      <c r="H52" s="14" t="s">
        <v>400</v>
      </c>
      <c r="I52" s="14" t="s">
        <v>401</v>
      </c>
      <c r="J52" s="14" t="s">
        <v>348</v>
      </c>
      <c r="K52" s="8" t="n">
        <v>10</v>
      </c>
      <c r="L52" s="8" t="n">
        <v>70</v>
      </c>
      <c r="M52" s="8" t="n">
        <v>7</v>
      </c>
      <c r="N52" s="8" t="n">
        <v>16</v>
      </c>
      <c r="O52" s="8" t="n">
        <v>5</v>
      </c>
      <c r="P52" s="9" t="n">
        <v>11.5155308701937</v>
      </c>
      <c r="Q52" s="10" t="n">
        <v>0.086839244431914</v>
      </c>
      <c r="R52" s="9" t="n">
        <v>10</v>
      </c>
      <c r="S52" s="12" t="n">
        <f aca="false">IF(AND(ISNUMBER(R52),R52&gt;1,P52&gt;0),R52/P52-1,"")</f>
        <v>-0.131607555680859</v>
      </c>
      <c r="T52" s="9" t="n">
        <f aca="false">IF(AND(ISNUMBER(P52),P52&gt;0),P52*EXP('Read me'!$B$22),"")</f>
        <v>14.0651011665331</v>
      </c>
    </row>
    <row r="53" customFormat="false" ht="15" hidden="false" customHeight="false" outlineLevel="0" collapsed="false">
      <c r="A53" s="14" t="s">
        <v>75</v>
      </c>
      <c r="B53" s="14" t="s">
        <v>49</v>
      </c>
      <c r="C53" s="14" t="s">
        <v>76</v>
      </c>
      <c r="D53" s="14" t="s">
        <v>319</v>
      </c>
      <c r="E53" s="15" t="n">
        <v>13</v>
      </c>
      <c r="F53" s="14" t="s">
        <v>320</v>
      </c>
      <c r="G53" s="8" t="n">
        <v>13</v>
      </c>
      <c r="H53" s="14" t="s">
        <v>402</v>
      </c>
      <c r="I53" s="14" t="s">
        <v>124</v>
      </c>
      <c r="J53" s="14" t="s">
        <v>403</v>
      </c>
      <c r="K53" s="8" t="n">
        <v>7</v>
      </c>
      <c r="L53" s="8" t="n">
        <v>59</v>
      </c>
      <c r="M53" s="8" t="n">
        <v>6</v>
      </c>
      <c r="N53" s="8" t="n">
        <v>16</v>
      </c>
      <c r="O53" s="8" t="n">
        <v>6</v>
      </c>
      <c r="P53" s="9" t="n">
        <v>12.2080957886544</v>
      </c>
      <c r="Q53" s="10" t="n">
        <v>0.0819128566249743</v>
      </c>
      <c r="R53" s="9" t="n">
        <v>8</v>
      </c>
      <c r="S53" s="12" t="n">
        <f aca="false">IF(AND(ISNUMBER(R53),R53&gt;1,P53&gt;0),R53/P53-1,"")</f>
        <v>-0.344697147000205</v>
      </c>
      <c r="T53" s="9" t="n">
        <f aca="false">IF(AND(ISNUMBER(P53),P53&gt;0),P53*EXP('Read me'!$B$22),"")</f>
        <v>14.911001868146</v>
      </c>
    </row>
    <row r="54" customFormat="false" ht="15" hidden="false" customHeight="false" outlineLevel="0" collapsed="false">
      <c r="A54" s="14" t="s">
        <v>75</v>
      </c>
      <c r="B54" s="14" t="s">
        <v>49</v>
      </c>
      <c r="C54" s="14" t="s">
        <v>76</v>
      </c>
      <c r="D54" s="14" t="s">
        <v>319</v>
      </c>
      <c r="E54" s="15" t="n">
        <v>13</v>
      </c>
      <c r="F54" s="14" t="s">
        <v>320</v>
      </c>
      <c r="G54" s="8" t="n">
        <v>13</v>
      </c>
      <c r="H54" s="14" t="s">
        <v>404</v>
      </c>
      <c r="I54" s="14" t="s">
        <v>405</v>
      </c>
      <c r="J54" s="14" t="s">
        <v>406</v>
      </c>
      <c r="K54" s="8" t="n">
        <v>8</v>
      </c>
      <c r="L54" s="8" t="n">
        <v>68</v>
      </c>
      <c r="M54" s="8" t="n">
        <v>5</v>
      </c>
      <c r="N54" s="8" t="n">
        <v>16</v>
      </c>
      <c r="O54" s="8" t="n">
        <v>7</v>
      </c>
      <c r="P54" s="9" t="n">
        <v>13.0115338443477</v>
      </c>
      <c r="Q54" s="10" t="n">
        <v>0.0768548898202658</v>
      </c>
      <c r="R54" s="9" t="n">
        <v>10</v>
      </c>
      <c r="S54" s="12" t="n">
        <f aca="false">IF(AND(ISNUMBER(R54),R54&gt;1,P54&gt;0),R54/P54-1,"")</f>
        <v>-0.231451101797341</v>
      </c>
      <c r="T54" s="9" t="n">
        <f aca="false">IF(AND(ISNUMBER(P54),P54&gt;0),P54*EXP('Read me'!$B$22),"")</f>
        <v>15.8923233253806</v>
      </c>
    </row>
    <row r="55" customFormat="false" ht="15" hidden="false" customHeight="false" outlineLevel="0" collapsed="false">
      <c r="A55" s="14" t="s">
        <v>75</v>
      </c>
      <c r="B55" s="14" t="s">
        <v>49</v>
      </c>
      <c r="C55" s="14" t="s">
        <v>76</v>
      </c>
      <c r="D55" s="14" t="s">
        <v>319</v>
      </c>
      <c r="E55" s="15" t="n">
        <v>13</v>
      </c>
      <c r="F55" s="14" t="s">
        <v>320</v>
      </c>
      <c r="G55" s="8" t="n">
        <v>13</v>
      </c>
      <c r="H55" s="14" t="s">
        <v>407</v>
      </c>
      <c r="I55" s="14" t="s">
        <v>408</v>
      </c>
      <c r="J55" s="14" t="s">
        <v>409</v>
      </c>
      <c r="K55" s="8" t="n">
        <v>5</v>
      </c>
      <c r="L55" s="8" t="n">
        <v>67</v>
      </c>
      <c r="M55" s="8" t="n">
        <v>5</v>
      </c>
      <c r="N55" s="8" t="n">
        <v>17</v>
      </c>
      <c r="O55" s="8" t="n">
        <v>8</v>
      </c>
      <c r="P55" s="9" t="n">
        <v>13.0193346409558</v>
      </c>
      <c r="Q55" s="10" t="n">
        <v>0.0768088406648854</v>
      </c>
      <c r="R55" s="9" t="n">
        <v>7</v>
      </c>
      <c r="S55" s="12" t="n">
        <f aca="false">IF(AND(ISNUMBER(R55),R55&gt;1,P55&gt;0),R55/P55-1,"")</f>
        <v>-0.462338115345802</v>
      </c>
      <c r="T55" s="9" t="n">
        <f aca="false">IF(AND(ISNUMBER(P55),P55&gt;0),P55*EXP('Read me'!$B$22),"")</f>
        <v>15.9018512398737</v>
      </c>
    </row>
    <row r="56" customFormat="false" ht="15" hidden="false" customHeight="false" outlineLevel="0" collapsed="false">
      <c r="A56" s="14" t="s">
        <v>75</v>
      </c>
      <c r="B56" s="14" t="s">
        <v>49</v>
      </c>
      <c r="C56" s="14" t="s">
        <v>76</v>
      </c>
      <c r="D56" s="14" t="s">
        <v>319</v>
      </c>
      <c r="E56" s="15" t="n">
        <v>13</v>
      </c>
      <c r="F56" s="14" t="s">
        <v>320</v>
      </c>
      <c r="G56" s="8" t="n">
        <v>13</v>
      </c>
      <c r="H56" s="14" t="s">
        <v>410</v>
      </c>
      <c r="I56" s="14" t="s">
        <v>148</v>
      </c>
      <c r="J56" s="14" t="s">
        <v>411</v>
      </c>
      <c r="K56" s="8" t="n">
        <v>9</v>
      </c>
      <c r="L56" s="8" t="n">
        <v>58</v>
      </c>
      <c r="M56" s="8" t="n">
        <v>9</v>
      </c>
      <c r="N56" s="8" t="n">
        <v>45</v>
      </c>
      <c r="O56" s="8" t="n">
        <v>9</v>
      </c>
      <c r="P56" s="9" t="n">
        <v>29.4663689147946</v>
      </c>
      <c r="Q56" s="10" t="n">
        <v>0.033936994506911</v>
      </c>
      <c r="R56" s="9" t="n">
        <v>21</v>
      </c>
      <c r="S56" s="12" t="n">
        <f aca="false">IF(AND(ISNUMBER(R56),R56&gt;1,P56&gt;0),R56/P56-1,"")</f>
        <v>-0.287323115354867</v>
      </c>
      <c r="T56" s="9" t="n">
        <f aca="false">IF(AND(ISNUMBER(P56),P56&gt;0),P56*EXP('Read me'!$B$22),"")</f>
        <v>35.9903042654952</v>
      </c>
    </row>
    <row r="57" customFormat="false" ht="15" hidden="false" customHeight="false" outlineLevel="0" collapsed="false">
      <c r="A57" s="14" t="s">
        <v>75</v>
      </c>
      <c r="B57" s="14" t="s">
        <v>49</v>
      </c>
      <c r="C57" s="14" t="s">
        <v>76</v>
      </c>
      <c r="D57" s="14" t="s">
        <v>319</v>
      </c>
      <c r="E57" s="15" t="n">
        <v>13</v>
      </c>
      <c r="F57" s="14" t="s">
        <v>320</v>
      </c>
      <c r="G57" s="8" t="n">
        <v>13</v>
      </c>
      <c r="H57" s="14" t="s">
        <v>412</v>
      </c>
      <c r="I57" s="14" t="s">
        <v>413</v>
      </c>
      <c r="J57" s="14" t="s">
        <v>203</v>
      </c>
      <c r="K57" s="8" t="n">
        <v>4</v>
      </c>
      <c r="L57" s="8" t="n">
        <v>63</v>
      </c>
      <c r="M57" s="8" t="n">
        <v>7</v>
      </c>
      <c r="N57" s="8" t="n">
        <v>19</v>
      </c>
      <c r="O57" s="8" t="n">
        <v>10</v>
      </c>
      <c r="P57" s="9" t="n">
        <v>36.7076635602192</v>
      </c>
      <c r="Q57" s="10" t="n">
        <v>0.0272422677722185</v>
      </c>
      <c r="R57" s="9" t="n">
        <v>19</v>
      </c>
      <c r="S57" s="12" t="n">
        <f aca="false">IF(AND(ISNUMBER(R57),R57&gt;1,P57&gt;0),R57/P57-1,"")</f>
        <v>-0.482396912327847</v>
      </c>
      <c r="T57" s="9" t="n">
        <f aca="false">IF(AND(ISNUMBER(P57),P57&gt;0),P57*EXP('Read me'!$B$22),"")</f>
        <v>44.8348415180673</v>
      </c>
    </row>
    <row r="58" customFormat="false" ht="15" hidden="false" customHeight="false" outlineLevel="0" collapsed="false">
      <c r="A58" s="14" t="s">
        <v>75</v>
      </c>
      <c r="B58" s="14" t="s">
        <v>49</v>
      </c>
      <c r="C58" s="14" t="s">
        <v>76</v>
      </c>
      <c r="D58" s="14" t="s">
        <v>319</v>
      </c>
      <c r="E58" s="15" t="n">
        <v>13</v>
      </c>
      <c r="F58" s="14" t="s">
        <v>320</v>
      </c>
      <c r="G58" s="8" t="n">
        <v>13</v>
      </c>
      <c r="H58" s="14" t="s">
        <v>414</v>
      </c>
      <c r="I58" s="14" t="s">
        <v>415</v>
      </c>
      <c r="J58" s="14" t="s">
        <v>416</v>
      </c>
      <c r="K58" s="8" t="n">
        <v>3</v>
      </c>
      <c r="L58" s="8" t="n">
        <v>60</v>
      </c>
      <c r="M58" s="8" t="n">
        <v>6</v>
      </c>
      <c r="N58" s="8" t="n">
        <v>158</v>
      </c>
      <c r="O58" s="8" t="n">
        <v>11</v>
      </c>
      <c r="P58" s="9" t="n">
        <v>55.2893438697476</v>
      </c>
      <c r="Q58" s="10" t="n">
        <v>0.0180866678822565</v>
      </c>
      <c r="R58" s="9" t="n">
        <v>15</v>
      </c>
      <c r="S58" s="12" t="n">
        <f aca="false">IF(AND(ISNUMBER(R58),R58&gt;1,P58&gt;0),R58/P58-1,"")</f>
        <v>-0.728699981766153</v>
      </c>
      <c r="T58" s="9" t="n">
        <f aca="false">IF(AND(ISNUMBER(P58),P58&gt;0),P58*EXP('Read me'!$B$22),"")</f>
        <v>67.5305570993758</v>
      </c>
    </row>
    <row r="59" customFormat="false" ht="15" hidden="false" customHeight="false" outlineLevel="0" collapsed="false">
      <c r="A59" s="14" t="s">
        <v>75</v>
      </c>
      <c r="B59" s="14" t="s">
        <v>49</v>
      </c>
      <c r="C59" s="14" t="s">
        <v>76</v>
      </c>
      <c r="D59" s="14" t="s">
        <v>319</v>
      </c>
      <c r="E59" s="15" t="n">
        <v>13</v>
      </c>
      <c r="F59" s="14" t="s">
        <v>320</v>
      </c>
      <c r="G59" s="8" t="n">
        <v>13</v>
      </c>
      <c r="H59" s="14" t="s">
        <v>417</v>
      </c>
      <c r="I59" s="14" t="s">
        <v>175</v>
      </c>
      <c r="J59" s="14" t="s">
        <v>418</v>
      </c>
      <c r="K59" s="8" t="n">
        <v>12</v>
      </c>
      <c r="L59" s="8" t="n">
        <v>65</v>
      </c>
      <c r="M59" s="8" t="n">
        <v>3</v>
      </c>
      <c r="N59" s="8" t="n">
        <v>38</v>
      </c>
      <c r="O59" s="8" t="n">
        <v>12</v>
      </c>
      <c r="P59" s="9" t="n">
        <v>59.4875027908114</v>
      </c>
      <c r="Q59" s="10" t="n">
        <v>0.0168102534664551</v>
      </c>
      <c r="R59" s="9" t="n">
        <v>41</v>
      </c>
      <c r="S59" s="12" t="n">
        <f aca="false">IF(AND(ISNUMBER(R59),R59&gt;1,P59&gt;0),R59/P59-1,"")</f>
        <v>-0.310779607875338</v>
      </c>
      <c r="T59" s="9" t="n">
        <f aca="false">IF(AND(ISNUMBER(P59),P59&gt;0),P59*EXP('Read me'!$B$22),"")</f>
        <v>72.6581999847579</v>
      </c>
    </row>
    <row r="60" customFormat="false" ht="15" hidden="false" customHeight="false" outlineLevel="0" collapsed="false">
      <c r="A60" s="14" t="s">
        <v>75</v>
      </c>
      <c r="B60" s="14" t="s">
        <v>49</v>
      </c>
      <c r="C60" s="14" t="s">
        <v>76</v>
      </c>
      <c r="D60" s="14" t="s">
        <v>319</v>
      </c>
      <c r="E60" s="15" t="n">
        <v>13</v>
      </c>
      <c r="F60" s="14" t="s">
        <v>320</v>
      </c>
      <c r="G60" s="8" t="n">
        <v>13</v>
      </c>
      <c r="H60" s="14" t="s">
        <v>419</v>
      </c>
      <c r="I60" s="14" t="s">
        <v>420</v>
      </c>
      <c r="J60" s="14" t="s">
        <v>421</v>
      </c>
      <c r="K60" s="8" t="n">
        <v>2</v>
      </c>
      <c r="L60" s="8" t="n">
        <v>62</v>
      </c>
      <c r="M60" s="8" t="n">
        <v>5</v>
      </c>
      <c r="N60" s="8" t="n">
        <v>34</v>
      </c>
      <c r="O60" s="8" t="n">
        <v>13</v>
      </c>
      <c r="P60" s="9" t="n">
        <v>79.4082810104026</v>
      </c>
      <c r="Q60" s="10" t="n">
        <v>0.0125931450382233</v>
      </c>
      <c r="R60" s="9" t="n">
        <v>51</v>
      </c>
      <c r="S60" s="12" t="n">
        <f aca="false">IF(AND(ISNUMBER(R60),R60&gt;1,P60&gt;0),R60/P60-1,"")</f>
        <v>-0.357749603050607</v>
      </c>
      <c r="T60" s="9" t="n">
        <f aca="false">IF(AND(ISNUMBER(P60),P60&gt;0),P60*EXP('Read me'!$B$22),"")</f>
        <v>96.9894934468636</v>
      </c>
    </row>
    <row r="61" customFormat="false" ht="15" hidden="false" customHeight="false" outlineLevel="0" collapsed="false">
      <c r="A61" s="14" t="s">
        <v>81</v>
      </c>
      <c r="B61" s="14" t="s">
        <v>56</v>
      </c>
      <c r="C61" s="14" t="s">
        <v>82</v>
      </c>
      <c r="D61" s="14" t="s">
        <v>422</v>
      </c>
      <c r="E61" s="15" t="n">
        <v>6</v>
      </c>
      <c r="F61" s="14" t="s">
        <v>349</v>
      </c>
      <c r="G61" s="8" t="n">
        <v>6</v>
      </c>
      <c r="H61" s="14" t="s">
        <v>83</v>
      </c>
      <c r="I61" s="14" t="s">
        <v>84</v>
      </c>
      <c r="J61" s="14" t="s">
        <v>60</v>
      </c>
      <c r="K61" s="8" t="n">
        <v>2</v>
      </c>
      <c r="L61" s="8" t="n">
        <v>0</v>
      </c>
      <c r="M61" s="8" t="n">
        <v>2</v>
      </c>
      <c r="N61" s="8" t="n">
        <v>46</v>
      </c>
      <c r="O61" s="8" t="n">
        <v>1</v>
      </c>
      <c r="P61" s="9" t="n">
        <v>3.08851813183901</v>
      </c>
      <c r="Q61" s="10" t="n">
        <v>0.323779870252717</v>
      </c>
      <c r="R61" s="9" t="n">
        <v>7</v>
      </c>
      <c r="S61" s="12" t="n">
        <f aca="false">IF(AND(ISNUMBER(R61),R61&gt;1,P61&gt;0),R61/P61-1,"")</f>
        <v>1.26645909176902</v>
      </c>
      <c r="T61" s="9" t="n">
        <f aca="false">IF(AND(ISNUMBER(P61),P61&gt;0),P61*EXP('Read me'!$B$22),"")</f>
        <v>3.77232456485586</v>
      </c>
    </row>
    <row r="62" customFormat="false" ht="15" hidden="false" customHeight="false" outlineLevel="0" collapsed="false">
      <c r="A62" s="14" t="s">
        <v>81</v>
      </c>
      <c r="B62" s="14" t="s">
        <v>56</v>
      </c>
      <c r="C62" s="14" t="s">
        <v>82</v>
      </c>
      <c r="D62" s="14" t="s">
        <v>422</v>
      </c>
      <c r="E62" s="15" t="n">
        <v>6</v>
      </c>
      <c r="F62" s="14" t="s">
        <v>349</v>
      </c>
      <c r="G62" s="8" t="n">
        <v>6</v>
      </c>
      <c r="H62" s="14" t="s">
        <v>85</v>
      </c>
      <c r="I62" s="14" t="s">
        <v>423</v>
      </c>
      <c r="J62" s="14" t="s">
        <v>424</v>
      </c>
      <c r="K62" s="8" t="n">
        <v>6</v>
      </c>
      <c r="L62" s="8" t="n">
        <v>75</v>
      </c>
      <c r="M62" s="8" t="n">
        <v>2</v>
      </c>
      <c r="N62" s="8" t="n">
        <v>12</v>
      </c>
      <c r="O62" s="8" t="n">
        <v>2</v>
      </c>
      <c r="P62" s="9" t="n">
        <v>3.94482111071107</v>
      </c>
      <c r="Q62" s="10" t="n">
        <v>0.253496919615639</v>
      </c>
      <c r="R62" s="9" t="n">
        <v>3</v>
      </c>
      <c r="S62" s="12" t="n">
        <f aca="false">IF(AND(ISNUMBER(R62),R62&gt;1,P62&gt;0),R62/P62-1,"")</f>
        <v>-0.239509241153082</v>
      </c>
      <c r="T62" s="9" t="n">
        <f aca="false">IF(AND(ISNUMBER(P62),P62&gt;0),P62*EXP('Read me'!$B$22),"")</f>
        <v>4.81821538507096</v>
      </c>
    </row>
    <row r="63" customFormat="false" ht="15" hidden="false" customHeight="false" outlineLevel="0" collapsed="false">
      <c r="A63" s="14" t="s">
        <v>81</v>
      </c>
      <c r="B63" s="14" t="s">
        <v>56</v>
      </c>
      <c r="C63" s="14" t="s">
        <v>82</v>
      </c>
      <c r="D63" s="14" t="s">
        <v>422</v>
      </c>
      <c r="E63" s="15" t="n">
        <v>6</v>
      </c>
      <c r="F63" s="14" t="s">
        <v>349</v>
      </c>
      <c r="G63" s="8" t="n">
        <v>6</v>
      </c>
      <c r="H63" s="14" t="s">
        <v>425</v>
      </c>
      <c r="I63" s="14" t="s">
        <v>426</v>
      </c>
      <c r="J63" s="14" t="s">
        <v>90</v>
      </c>
      <c r="K63" s="8" t="n">
        <v>4</v>
      </c>
      <c r="L63" s="8" t="n">
        <v>0</v>
      </c>
      <c r="M63" s="8" t="n">
        <v>2</v>
      </c>
      <c r="N63" s="8"/>
      <c r="O63" s="8" t="n">
        <v>3</v>
      </c>
      <c r="P63" s="9" t="n">
        <v>4.48235513953898</v>
      </c>
      <c r="Q63" s="10" t="n">
        <v>0.22309700344334</v>
      </c>
      <c r="R63" s="9" t="n">
        <v>2</v>
      </c>
      <c r="S63" s="12" t="n">
        <f aca="false">IF(AND(ISNUMBER(R63),R63&gt;1,P63&gt;0),R63/P63-1,"")</f>
        <v>-0.55380599311332</v>
      </c>
      <c r="T63" s="9" t="n">
        <f aca="false">IF(AND(ISNUMBER(P63),P63&gt;0),P63*EXP('Read me'!$B$22),"")</f>
        <v>5.47476093048632</v>
      </c>
    </row>
    <row r="64" customFormat="false" ht="15" hidden="false" customHeight="false" outlineLevel="0" collapsed="false">
      <c r="A64" s="14" t="s">
        <v>81</v>
      </c>
      <c r="B64" s="14" t="s">
        <v>56</v>
      </c>
      <c r="C64" s="14" t="s">
        <v>82</v>
      </c>
      <c r="D64" s="14" t="s">
        <v>422</v>
      </c>
      <c r="E64" s="15" t="n">
        <v>6</v>
      </c>
      <c r="F64" s="14" t="s">
        <v>349</v>
      </c>
      <c r="G64" s="8" t="n">
        <v>6</v>
      </c>
      <c r="H64" s="14" t="s">
        <v>427</v>
      </c>
      <c r="I64" s="14" t="s">
        <v>428</v>
      </c>
      <c r="J64" s="14" t="s">
        <v>429</v>
      </c>
      <c r="K64" s="8" t="n">
        <v>3</v>
      </c>
      <c r="L64" s="8" t="n">
        <v>0</v>
      </c>
      <c r="M64" s="8" t="n">
        <v>2</v>
      </c>
      <c r="N64" s="8" t="n">
        <v>17</v>
      </c>
      <c r="O64" s="8" t="n">
        <v>4</v>
      </c>
      <c r="P64" s="9" t="n">
        <v>5.33395009250331</v>
      </c>
      <c r="Q64" s="10" t="n">
        <v>0.187478319567607</v>
      </c>
      <c r="R64" s="9" t="n">
        <v>8</v>
      </c>
      <c r="S64" s="12" t="n">
        <f aca="false">IF(AND(ISNUMBER(R64),R64&gt;1,P64&gt;0),R64/P64-1,"")</f>
        <v>0.499826556540853</v>
      </c>
      <c r="T64" s="9" t="n">
        <f aca="false">IF(AND(ISNUMBER(P64),P64&gt;0),P64*EXP('Read me'!$B$22),"")</f>
        <v>6.51490135487223</v>
      </c>
    </row>
    <row r="65" customFormat="false" ht="15" hidden="false" customHeight="false" outlineLevel="0" collapsed="false">
      <c r="A65" s="14" t="s">
        <v>81</v>
      </c>
      <c r="B65" s="14" t="s">
        <v>56</v>
      </c>
      <c r="C65" s="14" t="s">
        <v>82</v>
      </c>
      <c r="D65" s="14" t="s">
        <v>422</v>
      </c>
      <c r="E65" s="15" t="n">
        <v>6</v>
      </c>
      <c r="F65" s="14" t="s">
        <v>349</v>
      </c>
      <c r="G65" s="8" t="n">
        <v>6</v>
      </c>
      <c r="H65" s="14" t="s">
        <v>430</v>
      </c>
      <c r="I65" s="14" t="s">
        <v>366</v>
      </c>
      <c r="J65" s="14" t="s">
        <v>431</v>
      </c>
      <c r="K65" s="8" t="n">
        <v>5</v>
      </c>
      <c r="L65" s="8" t="n">
        <v>0</v>
      </c>
      <c r="M65" s="8" t="n">
        <v>2</v>
      </c>
      <c r="N65" s="8" t="n">
        <v>17</v>
      </c>
      <c r="O65" s="8" t="n">
        <v>5</v>
      </c>
      <c r="P65" s="9" t="n">
        <v>135.757229147947</v>
      </c>
      <c r="Q65" s="10" t="n">
        <v>0.0073660902353141</v>
      </c>
      <c r="R65" s="9" t="n">
        <v>41</v>
      </c>
      <c r="S65" s="12" t="n">
        <f aca="false">IF(AND(ISNUMBER(R65),R65&gt;1,P65&gt;0),R65/P65-1,"")</f>
        <v>-0.697990300352118</v>
      </c>
      <c r="T65" s="9" t="n">
        <f aca="false">IF(AND(ISNUMBER(P65),P65&gt;0),P65*EXP('Read me'!$B$22),"")</f>
        <v>165.814254121484</v>
      </c>
    </row>
    <row r="66" customFormat="false" ht="15" hidden="false" customHeight="false" outlineLevel="0" collapsed="false">
      <c r="A66" s="14" t="s">
        <v>81</v>
      </c>
      <c r="B66" s="14" t="s">
        <v>56</v>
      </c>
      <c r="C66" s="14" t="s">
        <v>82</v>
      </c>
      <c r="D66" s="14" t="s">
        <v>422</v>
      </c>
      <c r="E66" s="15" t="n">
        <v>6</v>
      </c>
      <c r="F66" s="14" t="s">
        <v>349</v>
      </c>
      <c r="G66" s="8" t="n">
        <v>6</v>
      </c>
      <c r="H66" s="14" t="s">
        <v>432</v>
      </c>
      <c r="I66" s="14" t="s">
        <v>433</v>
      </c>
      <c r="J66" s="14" t="s">
        <v>431</v>
      </c>
      <c r="K66" s="8" t="n">
        <v>1</v>
      </c>
      <c r="L66" s="8" t="n">
        <v>0</v>
      </c>
      <c r="M66" s="8" t="n">
        <v>2</v>
      </c>
      <c r="N66" s="8" t="n">
        <v>27</v>
      </c>
      <c r="O66" s="8" t="n">
        <v>6</v>
      </c>
      <c r="P66" s="9" t="n">
        <v>209.126406656227</v>
      </c>
      <c r="Q66" s="10" t="n">
        <v>0.0047817968853825</v>
      </c>
      <c r="R66" s="9" t="n">
        <v>101</v>
      </c>
      <c r="S66" s="12" t="n">
        <f aca="false">IF(AND(ISNUMBER(R66),R66&gt;1,P66&gt;0),R66/P66-1,"")</f>
        <v>-0.517038514576357</v>
      </c>
      <c r="T66" s="9" t="n">
        <f aca="false">IF(AND(ISNUMBER(P66),P66&gt;0),P66*EXP('Read me'!$B$22),"")</f>
        <v>255.427569894041</v>
      </c>
    </row>
    <row r="67" customFormat="false" ht="15" hidden="false" customHeight="false" outlineLevel="0" collapsed="false">
      <c r="A67" s="14" t="s">
        <v>86</v>
      </c>
      <c r="B67" s="14" t="s">
        <v>63</v>
      </c>
      <c r="C67" s="14" t="s">
        <v>87</v>
      </c>
      <c r="D67" s="14" t="s">
        <v>422</v>
      </c>
      <c r="E67" s="15" t="n">
        <v>16.5</v>
      </c>
      <c r="F67" s="14" t="s">
        <v>368</v>
      </c>
      <c r="G67" s="8" t="n">
        <v>7</v>
      </c>
      <c r="H67" s="14" t="s">
        <v>88</v>
      </c>
      <c r="I67" s="14" t="s">
        <v>89</v>
      </c>
      <c r="J67" s="14" t="s">
        <v>90</v>
      </c>
      <c r="K67" s="8" t="n">
        <v>4</v>
      </c>
      <c r="L67" s="8" t="n">
        <v>0</v>
      </c>
      <c r="M67" s="8" t="n">
        <v>3</v>
      </c>
      <c r="N67" s="8" t="n">
        <v>12</v>
      </c>
      <c r="O67" s="8" t="n">
        <v>1</v>
      </c>
      <c r="P67" s="9" t="n">
        <v>1.37306853927239</v>
      </c>
      <c r="Q67" s="10" t="n">
        <v>0.728295763392782</v>
      </c>
      <c r="R67" s="9" t="n">
        <v>1.61538461538462</v>
      </c>
      <c r="S67" s="12" t="n">
        <f aca="false">IF(AND(ISNUMBER(R67),R67&gt;1,P67&gt;0),R67/P67-1,"")</f>
        <v>0.176477771634493</v>
      </c>
      <c r="T67" s="9" t="n">
        <f aca="false">IF(AND(ISNUMBER(P67),P67&gt;0),P67*EXP('Read me'!$B$22),"")</f>
        <v>1.67706970101026</v>
      </c>
    </row>
    <row r="68" customFormat="false" ht="15" hidden="false" customHeight="false" outlineLevel="0" collapsed="false">
      <c r="A68" s="14" t="s">
        <v>86</v>
      </c>
      <c r="B68" s="14" t="s">
        <v>63</v>
      </c>
      <c r="C68" s="14" t="s">
        <v>87</v>
      </c>
      <c r="D68" s="14" t="s">
        <v>422</v>
      </c>
      <c r="E68" s="15" t="n">
        <v>16.5</v>
      </c>
      <c r="F68" s="14" t="s">
        <v>368</v>
      </c>
      <c r="G68" s="8" t="n">
        <v>7</v>
      </c>
      <c r="H68" s="14" t="s">
        <v>91</v>
      </c>
      <c r="I68" s="14" t="s">
        <v>434</v>
      </c>
      <c r="J68" s="14" t="s">
        <v>435</v>
      </c>
      <c r="K68" s="8" t="n">
        <v>2</v>
      </c>
      <c r="L68" s="8" t="n">
        <v>0</v>
      </c>
      <c r="M68" s="8" t="n">
        <v>3</v>
      </c>
      <c r="N68" s="8" t="n">
        <v>22</v>
      </c>
      <c r="O68" s="8" t="n">
        <v>2</v>
      </c>
      <c r="P68" s="9" t="n">
        <v>9.92720146478843</v>
      </c>
      <c r="Q68" s="10" t="n">
        <v>0.100733323842271</v>
      </c>
      <c r="R68" s="9" t="n">
        <v>4.33333333333333</v>
      </c>
      <c r="S68" s="12" t="n">
        <f aca="false">IF(AND(ISNUMBER(R68),R68&gt;1,P68&gt;0),R68/P68-1,"")</f>
        <v>-0.563488930016826</v>
      </c>
      <c r="T68" s="9" t="n">
        <f aca="false">IF(AND(ISNUMBER(P68),P68&gt;0),P68*EXP('Read me'!$B$22),"")</f>
        <v>12.1251112499043</v>
      </c>
    </row>
    <row r="69" customFormat="false" ht="15" hidden="false" customHeight="false" outlineLevel="0" collapsed="false">
      <c r="A69" s="14" t="s">
        <v>86</v>
      </c>
      <c r="B69" s="14" t="s">
        <v>63</v>
      </c>
      <c r="C69" s="14" t="s">
        <v>87</v>
      </c>
      <c r="D69" s="14" t="s">
        <v>422</v>
      </c>
      <c r="E69" s="15" t="n">
        <v>16.5</v>
      </c>
      <c r="F69" s="14" t="s">
        <v>368</v>
      </c>
      <c r="G69" s="8" t="n">
        <v>7</v>
      </c>
      <c r="H69" s="14" t="s">
        <v>436</v>
      </c>
      <c r="I69" s="14" t="s">
        <v>437</v>
      </c>
      <c r="J69" s="14" t="s">
        <v>438</v>
      </c>
      <c r="K69" s="8" t="n">
        <v>6</v>
      </c>
      <c r="L69" s="8" t="n">
        <v>0</v>
      </c>
      <c r="M69" s="8" t="n">
        <v>3</v>
      </c>
      <c r="N69" s="8" t="n">
        <v>29</v>
      </c>
      <c r="O69" s="8" t="n">
        <v>3</v>
      </c>
      <c r="P69" s="9" t="n">
        <v>11.0840378176803</v>
      </c>
      <c r="Q69" s="10" t="n">
        <v>0.0902198293121017</v>
      </c>
      <c r="R69" s="9" t="n">
        <v>10</v>
      </c>
      <c r="S69" s="12" t="n">
        <f aca="false">IF(AND(ISNUMBER(R69),R69&gt;1,P69&gt;0),R69/P69-1,"")</f>
        <v>-0.0978017068789818</v>
      </c>
      <c r="T69" s="9" t="n">
        <f aca="false">IF(AND(ISNUMBER(P69),P69&gt;0),P69*EXP('Read me'!$B$22),"")</f>
        <v>13.5380743620664</v>
      </c>
    </row>
    <row r="70" customFormat="false" ht="15" hidden="false" customHeight="false" outlineLevel="0" collapsed="false">
      <c r="A70" s="14" t="s">
        <v>86</v>
      </c>
      <c r="B70" s="14" t="s">
        <v>63</v>
      </c>
      <c r="C70" s="14" t="s">
        <v>87</v>
      </c>
      <c r="D70" s="14" t="s">
        <v>422</v>
      </c>
      <c r="E70" s="15" t="n">
        <v>16.5</v>
      </c>
      <c r="F70" s="14" t="s">
        <v>368</v>
      </c>
      <c r="G70" s="8" t="n">
        <v>7</v>
      </c>
      <c r="H70" s="14" t="s">
        <v>439</v>
      </c>
      <c r="I70" s="14" t="s">
        <v>440</v>
      </c>
      <c r="J70" s="14" t="s">
        <v>441</v>
      </c>
      <c r="K70" s="8" t="n">
        <v>5</v>
      </c>
      <c r="L70" s="8" t="n">
        <v>0</v>
      </c>
      <c r="M70" s="8" t="n">
        <v>3</v>
      </c>
      <c r="N70" s="8" t="n">
        <v>15</v>
      </c>
      <c r="O70" s="8" t="n">
        <v>4</v>
      </c>
      <c r="P70" s="9" t="n">
        <v>31.2099125080841</v>
      </c>
      <c r="Q70" s="10" t="n">
        <v>0.0320411023177644</v>
      </c>
      <c r="R70" s="9" t="n">
        <v>15</v>
      </c>
      <c r="S70" s="12" t="n">
        <f aca="false">IF(AND(ISNUMBER(R70),R70&gt;1,P70&gt;0),R70/P70-1,"")</f>
        <v>-0.519383465233533</v>
      </c>
      <c r="T70" s="9" t="n">
        <f aca="false">IF(AND(ISNUMBER(P70),P70&gt;0),P70*EXP('Read me'!$B$22),"")</f>
        <v>38.1198732193116</v>
      </c>
    </row>
    <row r="71" customFormat="false" ht="15" hidden="false" customHeight="false" outlineLevel="0" collapsed="false">
      <c r="A71" s="14" t="s">
        <v>86</v>
      </c>
      <c r="B71" s="14" t="s">
        <v>63</v>
      </c>
      <c r="C71" s="14" t="s">
        <v>87</v>
      </c>
      <c r="D71" s="14" t="s">
        <v>422</v>
      </c>
      <c r="E71" s="15" t="n">
        <v>16.5</v>
      </c>
      <c r="F71" s="14" t="s">
        <v>368</v>
      </c>
      <c r="G71" s="8" t="n">
        <v>7</v>
      </c>
      <c r="H71" s="14" t="s">
        <v>442</v>
      </c>
      <c r="I71" s="14" t="s">
        <v>443</v>
      </c>
      <c r="J71" s="14" t="s">
        <v>444</v>
      </c>
      <c r="K71" s="8" t="n">
        <v>1</v>
      </c>
      <c r="L71" s="8" t="n">
        <v>0</v>
      </c>
      <c r="M71" s="8" t="n">
        <v>3</v>
      </c>
      <c r="N71" s="8" t="n">
        <v>330</v>
      </c>
      <c r="O71" s="8" t="n">
        <v>5</v>
      </c>
      <c r="P71" s="9" t="n">
        <v>31.440401134097</v>
      </c>
      <c r="Q71" s="10" t="n">
        <v>0.0318062099696147</v>
      </c>
      <c r="R71" s="9" t="n">
        <v>15</v>
      </c>
      <c r="S71" s="12" t="n">
        <f aca="false">IF(AND(ISNUMBER(R71),R71&gt;1,P71&gt;0),R71/P71-1,"")</f>
        <v>-0.522906850455779</v>
      </c>
      <c r="T71" s="9" t="n">
        <f aca="false">IF(AND(ISNUMBER(P71),P71&gt;0),P71*EXP('Read me'!$B$22),"")</f>
        <v>38.4013926628482</v>
      </c>
    </row>
    <row r="72" customFormat="false" ht="15" hidden="false" customHeight="false" outlineLevel="0" collapsed="false">
      <c r="A72" s="14" t="s">
        <v>86</v>
      </c>
      <c r="B72" s="14" t="s">
        <v>63</v>
      </c>
      <c r="C72" s="14" t="s">
        <v>87</v>
      </c>
      <c r="D72" s="14" t="s">
        <v>422</v>
      </c>
      <c r="E72" s="15" t="n">
        <v>16.5</v>
      </c>
      <c r="F72" s="14" t="s">
        <v>368</v>
      </c>
      <c r="G72" s="8" t="n">
        <v>7</v>
      </c>
      <c r="H72" s="14" t="s">
        <v>445</v>
      </c>
      <c r="I72" s="14" t="s">
        <v>372</v>
      </c>
      <c r="J72" s="14" t="s">
        <v>431</v>
      </c>
      <c r="K72" s="8" t="n">
        <v>7</v>
      </c>
      <c r="L72" s="8" t="n">
        <v>0</v>
      </c>
      <c r="M72" s="8" t="n">
        <v>3</v>
      </c>
      <c r="N72" s="8" t="n">
        <v>116</v>
      </c>
      <c r="O72" s="8" t="n">
        <v>6</v>
      </c>
      <c r="P72" s="9" t="n">
        <v>105.298264390559</v>
      </c>
      <c r="Q72" s="10" t="n">
        <v>0.0094968326950853</v>
      </c>
      <c r="R72" s="9" t="n">
        <v>101</v>
      </c>
      <c r="S72" s="12" t="n">
        <f aca="false">IF(AND(ISNUMBER(R72),R72&gt;1,P72&gt;0),R72/P72-1,"")</f>
        <v>-0.0408198977963772</v>
      </c>
      <c r="T72" s="9" t="n">
        <f aca="false">IF(AND(ISNUMBER(P72),P72&gt;0),P72*EXP('Read me'!$B$22),"")</f>
        <v>128.611590556107</v>
      </c>
    </row>
    <row r="73" customFormat="false" ht="15" hidden="false" customHeight="false" outlineLevel="0" collapsed="false">
      <c r="A73" s="14" t="s">
        <v>86</v>
      </c>
      <c r="B73" s="14" t="s">
        <v>63</v>
      </c>
      <c r="C73" s="14" t="s">
        <v>87</v>
      </c>
      <c r="D73" s="14" t="s">
        <v>422</v>
      </c>
      <c r="E73" s="15" t="n">
        <v>16.5</v>
      </c>
      <c r="F73" s="14" t="s">
        <v>368</v>
      </c>
      <c r="G73" s="8" t="n">
        <v>7</v>
      </c>
      <c r="H73" s="14" t="s">
        <v>446</v>
      </c>
      <c r="I73" s="14" t="s">
        <v>447</v>
      </c>
      <c r="J73" s="14" t="s">
        <v>373</v>
      </c>
      <c r="K73" s="8" t="n">
        <v>3</v>
      </c>
      <c r="L73" s="8" t="n">
        <v>0</v>
      </c>
      <c r="M73" s="8" t="n">
        <v>3</v>
      </c>
      <c r="N73" s="8" t="n">
        <v>65</v>
      </c>
      <c r="O73" s="8" t="n">
        <v>7</v>
      </c>
      <c r="P73" s="9" t="n">
        <v>135.008546918386</v>
      </c>
      <c r="Q73" s="10" t="n">
        <v>0.0074069384703807</v>
      </c>
      <c r="R73" s="9" t="n">
        <v>26</v>
      </c>
      <c r="S73" s="12" t="n">
        <f aca="false">IF(AND(ISNUMBER(R73),R73&gt;1,P73&gt;0),R73/P73-1,"")</f>
        <v>-0.8074195997701</v>
      </c>
      <c r="T73" s="9" t="n">
        <f aca="false">IF(AND(ISNUMBER(P73),P73&gt;0),P73*EXP('Read me'!$B$22),"")</f>
        <v>164.899811581313</v>
      </c>
    </row>
    <row r="74" customFormat="false" ht="15" hidden="false" customHeight="false" outlineLevel="0" collapsed="false">
      <c r="A74" s="14" t="s">
        <v>92</v>
      </c>
      <c r="B74" s="14" t="s">
        <v>42</v>
      </c>
      <c r="C74" s="14" t="s">
        <v>93</v>
      </c>
      <c r="D74" s="14"/>
      <c r="E74" s="15" t="n">
        <v>6</v>
      </c>
      <c r="F74" s="14" t="s">
        <v>286</v>
      </c>
      <c r="G74" s="8" t="n">
        <v>9</v>
      </c>
      <c r="H74" s="14" t="s">
        <v>94</v>
      </c>
      <c r="I74" s="14" t="s">
        <v>95</v>
      </c>
      <c r="J74" s="14" t="s">
        <v>96</v>
      </c>
      <c r="K74" s="8" t="n">
        <v>6</v>
      </c>
      <c r="L74" s="8" t="n">
        <v>79</v>
      </c>
      <c r="M74" s="8" t="n">
        <v>3</v>
      </c>
      <c r="N74" s="8" t="n">
        <v>33</v>
      </c>
      <c r="O74" s="8" t="n">
        <v>1</v>
      </c>
      <c r="P74" s="9" t="n">
        <v>4.73782353496728</v>
      </c>
      <c r="Q74" s="10" t="n">
        <v>0.211067379909688</v>
      </c>
      <c r="R74" s="9" t="n">
        <v>7.5</v>
      </c>
      <c r="S74" s="12" t="n">
        <f aca="false">IF(AND(ISNUMBER(R74),R74&gt;1,P74&gt;0),R74/P74-1,"")</f>
        <v>0.583005349322661</v>
      </c>
      <c r="T74" s="9" t="n">
        <f aca="false">IF(AND(ISNUMBER(P74),P74&gt;0),P74*EXP('Read me'!$B$22),"")</f>
        <v>5.7867907332852</v>
      </c>
    </row>
    <row r="75" customFormat="false" ht="15" hidden="false" customHeight="false" outlineLevel="0" collapsed="false">
      <c r="A75" s="14" t="s">
        <v>92</v>
      </c>
      <c r="B75" s="14" t="s">
        <v>42</v>
      </c>
      <c r="C75" s="14" t="s">
        <v>93</v>
      </c>
      <c r="D75" s="14"/>
      <c r="E75" s="15" t="n">
        <v>6</v>
      </c>
      <c r="F75" s="14" t="s">
        <v>286</v>
      </c>
      <c r="G75" s="8" t="n">
        <v>9</v>
      </c>
      <c r="H75" s="14" t="s">
        <v>97</v>
      </c>
      <c r="I75" s="14" t="s">
        <v>299</v>
      </c>
      <c r="J75" s="14" t="s">
        <v>448</v>
      </c>
      <c r="K75" s="8" t="n">
        <v>5</v>
      </c>
      <c r="L75" s="8" t="n">
        <v>70</v>
      </c>
      <c r="M75" s="8" t="n">
        <v>3</v>
      </c>
      <c r="N75" s="8" t="n">
        <v>25</v>
      </c>
      <c r="O75" s="8" t="n">
        <v>2</v>
      </c>
      <c r="P75" s="9" t="n">
        <v>6.52930676380189</v>
      </c>
      <c r="Q75" s="10" t="n">
        <v>0.153155616082238</v>
      </c>
      <c r="R75" s="9" t="n">
        <v>5</v>
      </c>
      <c r="S75" s="12" t="n">
        <f aca="false">IF(AND(ISNUMBER(R75),R75&gt;1,P75&gt;0),R75/P75-1,"")</f>
        <v>-0.234221919588811</v>
      </c>
      <c r="T75" s="9" t="n">
        <f aca="false">IF(AND(ISNUMBER(P75),P75&gt;0),P75*EXP('Read me'!$B$22),"")</f>
        <v>7.97491329018148</v>
      </c>
    </row>
    <row r="76" customFormat="false" ht="15" hidden="false" customHeight="false" outlineLevel="0" collapsed="false">
      <c r="A76" s="14" t="s">
        <v>92</v>
      </c>
      <c r="B76" s="14" t="s">
        <v>42</v>
      </c>
      <c r="C76" s="14" t="s">
        <v>93</v>
      </c>
      <c r="D76" s="14"/>
      <c r="E76" s="15" t="n">
        <v>6</v>
      </c>
      <c r="F76" s="14" t="s">
        <v>286</v>
      </c>
      <c r="G76" s="8" t="n">
        <v>9</v>
      </c>
      <c r="H76" s="14" t="s">
        <v>449</v>
      </c>
      <c r="I76" s="14" t="s">
        <v>450</v>
      </c>
      <c r="J76" s="14" t="s">
        <v>451</v>
      </c>
      <c r="K76" s="8" t="n">
        <v>9</v>
      </c>
      <c r="L76" s="8" t="n">
        <v>77</v>
      </c>
      <c r="M76" s="8" t="n">
        <v>3</v>
      </c>
      <c r="N76" s="8" t="n">
        <v>14</v>
      </c>
      <c r="O76" s="8" t="n">
        <v>3</v>
      </c>
      <c r="P76" s="9" t="n">
        <v>8.74980918110934</v>
      </c>
      <c r="Q76" s="10" t="n">
        <v>0.114288206668436</v>
      </c>
      <c r="R76" s="9" t="n">
        <v>5</v>
      </c>
      <c r="S76" s="12" t="n">
        <f aca="false">IF(AND(ISNUMBER(R76),R76&gt;1,P76&gt;0),R76/P76-1,"")</f>
        <v>-0.428558966657822</v>
      </c>
      <c r="T76" s="9" t="n">
        <f aca="false">IF(AND(ISNUMBER(P76),P76&gt;0),P76*EXP('Read me'!$B$22),"")</f>
        <v>10.6870410671821</v>
      </c>
    </row>
    <row r="77" customFormat="false" ht="15" hidden="false" customHeight="false" outlineLevel="0" collapsed="false">
      <c r="A77" s="14" t="s">
        <v>92</v>
      </c>
      <c r="B77" s="14" t="s">
        <v>42</v>
      </c>
      <c r="C77" s="14" t="s">
        <v>93</v>
      </c>
      <c r="D77" s="14"/>
      <c r="E77" s="15" t="n">
        <v>6</v>
      </c>
      <c r="F77" s="14" t="s">
        <v>286</v>
      </c>
      <c r="G77" s="8" t="n">
        <v>9</v>
      </c>
      <c r="H77" s="14" t="s">
        <v>452</v>
      </c>
      <c r="I77" s="14" t="s">
        <v>142</v>
      </c>
      <c r="J77" s="14" t="s">
        <v>143</v>
      </c>
      <c r="K77" s="8" t="n">
        <v>2</v>
      </c>
      <c r="L77" s="8" t="n">
        <v>71</v>
      </c>
      <c r="M77" s="8" t="n">
        <v>3</v>
      </c>
      <c r="N77" s="8" t="n">
        <v>124</v>
      </c>
      <c r="O77" s="8" t="n">
        <v>4</v>
      </c>
      <c r="P77" s="9" t="n">
        <v>9.31772772225356</v>
      </c>
      <c r="Q77" s="10" t="n">
        <v>0.10732230322761</v>
      </c>
      <c r="R77" s="9" t="n">
        <v>11</v>
      </c>
      <c r="S77" s="12" t="n">
        <f aca="false">IF(AND(ISNUMBER(R77),R77&gt;1,P77&gt;0),R77/P77-1,"")</f>
        <v>0.180545335503705</v>
      </c>
      <c r="T77" s="9" t="n">
        <f aca="false">IF(AND(ISNUMBER(P77),P77&gt;0),P77*EXP('Read me'!$B$22),"")</f>
        <v>11.380698339746</v>
      </c>
    </row>
    <row r="78" customFormat="false" ht="15" hidden="false" customHeight="false" outlineLevel="0" collapsed="false">
      <c r="A78" s="14" t="s">
        <v>92</v>
      </c>
      <c r="B78" s="14" t="s">
        <v>42</v>
      </c>
      <c r="C78" s="14" t="s">
        <v>93</v>
      </c>
      <c r="D78" s="14"/>
      <c r="E78" s="15" t="n">
        <v>6</v>
      </c>
      <c r="F78" s="14" t="s">
        <v>286</v>
      </c>
      <c r="G78" s="8" t="n">
        <v>9</v>
      </c>
      <c r="H78" s="14" t="s">
        <v>453</v>
      </c>
      <c r="I78" s="14" t="s">
        <v>454</v>
      </c>
      <c r="J78" s="14" t="s">
        <v>291</v>
      </c>
      <c r="K78" s="8" t="n">
        <v>3</v>
      </c>
      <c r="L78" s="8" t="n">
        <v>84</v>
      </c>
      <c r="M78" s="8" t="n">
        <v>5</v>
      </c>
      <c r="N78" s="8" t="n">
        <v>16</v>
      </c>
      <c r="O78" s="8" t="n">
        <v>5</v>
      </c>
      <c r="P78" s="9" t="n">
        <v>9.77544125486944</v>
      </c>
      <c r="Q78" s="10" t="n">
        <v>0.102297172467981</v>
      </c>
      <c r="R78" s="9" t="n">
        <v>4.5</v>
      </c>
      <c r="S78" s="12" t="n">
        <f aca="false">IF(AND(ISNUMBER(R78),R78&gt;1,P78&gt;0),R78/P78-1,"")</f>
        <v>-0.539662723894084</v>
      </c>
      <c r="T78" s="9" t="n">
        <f aca="false">IF(AND(ISNUMBER(P78),P78&gt;0),P78*EXP('Read me'!$B$22),"")</f>
        <v>11.9397509109303</v>
      </c>
    </row>
    <row r="79" customFormat="false" ht="15" hidden="false" customHeight="false" outlineLevel="0" collapsed="false">
      <c r="A79" s="14" t="s">
        <v>92</v>
      </c>
      <c r="B79" s="14" t="s">
        <v>42</v>
      </c>
      <c r="C79" s="14" t="s">
        <v>93</v>
      </c>
      <c r="D79" s="14"/>
      <c r="E79" s="15" t="n">
        <v>6</v>
      </c>
      <c r="F79" s="14" t="s">
        <v>286</v>
      </c>
      <c r="G79" s="8" t="n">
        <v>9</v>
      </c>
      <c r="H79" s="14" t="s">
        <v>455</v>
      </c>
      <c r="I79" s="14" t="s">
        <v>314</v>
      </c>
      <c r="J79" s="14" t="s">
        <v>315</v>
      </c>
      <c r="K79" s="8" t="n">
        <v>1</v>
      </c>
      <c r="L79" s="8" t="n">
        <v>58</v>
      </c>
      <c r="M79" s="8" t="n">
        <v>5</v>
      </c>
      <c r="N79" s="8" t="n">
        <v>24</v>
      </c>
      <c r="O79" s="8" t="n">
        <v>6</v>
      </c>
      <c r="P79" s="9" t="n">
        <v>10.0381181477446</v>
      </c>
      <c r="Q79" s="10" t="n">
        <v>0.0996202659982319</v>
      </c>
      <c r="R79" s="9" t="n">
        <v>7.5</v>
      </c>
      <c r="S79" s="12" t="n">
        <f aca="false">IF(AND(ISNUMBER(R79),R79&gt;1,P79&gt;0),R79/P79-1,"")</f>
        <v>-0.252848005013261</v>
      </c>
      <c r="T79" s="9" t="n">
        <f aca="false">IF(AND(ISNUMBER(P79),P79&gt;0),P79*EXP('Read me'!$B$22),"")</f>
        <v>12.260585192393</v>
      </c>
    </row>
    <row r="80" customFormat="false" ht="15" hidden="false" customHeight="false" outlineLevel="0" collapsed="false">
      <c r="A80" s="14" t="s">
        <v>92</v>
      </c>
      <c r="B80" s="14" t="s">
        <v>42</v>
      </c>
      <c r="C80" s="14" t="s">
        <v>93</v>
      </c>
      <c r="D80" s="14"/>
      <c r="E80" s="15" t="n">
        <v>6</v>
      </c>
      <c r="F80" s="14" t="s">
        <v>286</v>
      </c>
      <c r="G80" s="8" t="n">
        <v>9</v>
      </c>
      <c r="H80" s="14" t="s">
        <v>456</v>
      </c>
      <c r="I80" s="14" t="s">
        <v>72</v>
      </c>
      <c r="J80" s="14" t="s">
        <v>73</v>
      </c>
      <c r="K80" s="8" t="n">
        <v>8</v>
      </c>
      <c r="L80" s="8" t="n">
        <v>79</v>
      </c>
      <c r="M80" s="8" t="n">
        <v>3</v>
      </c>
      <c r="N80" s="8" t="n">
        <v>14</v>
      </c>
      <c r="O80" s="8" t="n">
        <v>7</v>
      </c>
      <c r="P80" s="9" t="n">
        <v>11.9297588229733</v>
      </c>
      <c r="Q80" s="10" t="n">
        <v>0.0838239913177696</v>
      </c>
      <c r="R80" s="9" t="n">
        <v>8.5</v>
      </c>
      <c r="S80" s="12" t="n">
        <f aca="false">IF(AND(ISNUMBER(R80),R80&gt;1,P80&gt;0),R80/P80-1,"")</f>
        <v>-0.287496073798958</v>
      </c>
      <c r="T80" s="9" t="n">
        <f aca="false">IF(AND(ISNUMBER(P80),P80&gt;0),P80*EXP('Read me'!$B$22),"")</f>
        <v>14.5710403305652</v>
      </c>
    </row>
    <row r="81" customFormat="false" ht="15" hidden="false" customHeight="false" outlineLevel="0" collapsed="false">
      <c r="A81" s="14" t="s">
        <v>92</v>
      </c>
      <c r="B81" s="14" t="s">
        <v>42</v>
      </c>
      <c r="C81" s="14" t="s">
        <v>93</v>
      </c>
      <c r="D81" s="14"/>
      <c r="E81" s="15" t="n">
        <v>6</v>
      </c>
      <c r="F81" s="14" t="s">
        <v>286</v>
      </c>
      <c r="G81" s="8" t="n">
        <v>9</v>
      </c>
      <c r="H81" s="14" t="s">
        <v>457</v>
      </c>
      <c r="I81" s="14" t="s">
        <v>458</v>
      </c>
      <c r="J81" s="14" t="s">
        <v>459</v>
      </c>
      <c r="K81" s="8" t="n">
        <v>7</v>
      </c>
      <c r="L81" s="8" t="n">
        <v>68</v>
      </c>
      <c r="M81" s="8" t="n">
        <v>3</v>
      </c>
      <c r="N81" s="8" t="n">
        <v>30</v>
      </c>
      <c r="O81" s="8" t="n">
        <v>8</v>
      </c>
      <c r="P81" s="9" t="n">
        <v>13.3015505231813</v>
      </c>
      <c r="Q81" s="10" t="n">
        <v>0.0751792054811389</v>
      </c>
      <c r="R81" s="9" t="n">
        <v>15</v>
      </c>
      <c r="S81" s="12" t="n">
        <f aca="false">IF(AND(ISNUMBER(R81),R81&gt;1,P81&gt;0),R81/P81-1,"")</f>
        <v>0.127688082217085</v>
      </c>
      <c r="T81" s="9" t="n">
        <f aca="false">IF(AND(ISNUMBER(P81),P81&gt;0),P81*EXP('Read me'!$B$22),"")</f>
        <v>16.2465504968205</v>
      </c>
    </row>
    <row r="82" customFormat="false" ht="15" hidden="false" customHeight="false" outlineLevel="0" collapsed="false">
      <c r="A82" s="14" t="s">
        <v>92</v>
      </c>
      <c r="B82" s="14" t="s">
        <v>42</v>
      </c>
      <c r="C82" s="14" t="s">
        <v>93</v>
      </c>
      <c r="D82" s="14"/>
      <c r="E82" s="15" t="n">
        <v>6</v>
      </c>
      <c r="F82" s="14" t="s">
        <v>286</v>
      </c>
      <c r="G82" s="8" t="n">
        <v>9</v>
      </c>
      <c r="H82" s="14" t="s">
        <v>460</v>
      </c>
      <c r="I82" s="14" t="s">
        <v>461</v>
      </c>
      <c r="J82" s="14" t="s">
        <v>462</v>
      </c>
      <c r="K82" s="8" t="n">
        <v>4</v>
      </c>
      <c r="L82" s="8" t="n">
        <v>70</v>
      </c>
      <c r="M82" s="8" t="n">
        <v>3</v>
      </c>
      <c r="N82" s="8" t="n">
        <v>319</v>
      </c>
      <c r="O82" s="8" t="n">
        <v>9</v>
      </c>
      <c r="P82" s="9" t="n">
        <v>18.7808032710152</v>
      </c>
      <c r="Q82" s="10" t="n">
        <v>0.0532458588469067</v>
      </c>
      <c r="R82" s="9" t="n">
        <v>19</v>
      </c>
      <c r="S82" s="12" t="n">
        <f aca="false">IF(AND(ISNUMBER(R82),R82&gt;1,P82&gt;0),R82/P82-1,"")</f>
        <v>0.0116713180912293</v>
      </c>
      <c r="T82" s="9" t="n">
        <f aca="false">IF(AND(ISNUMBER(P82),P82&gt;0),P82*EXP('Read me'!$B$22),"")</f>
        <v>22.9389249156815</v>
      </c>
    </row>
    <row r="83" customFormat="false" ht="15" hidden="false" customHeight="false" outlineLevel="0" collapsed="false">
      <c r="A83" s="14" t="s">
        <v>98</v>
      </c>
      <c r="B83" s="14" t="s">
        <v>49</v>
      </c>
      <c r="C83" s="14" t="s">
        <v>99</v>
      </c>
      <c r="D83" s="14" t="s">
        <v>463</v>
      </c>
      <c r="E83" s="15" t="n">
        <v>8</v>
      </c>
      <c r="F83" s="14" t="s">
        <v>320</v>
      </c>
      <c r="G83" s="8" t="n">
        <v>12</v>
      </c>
      <c r="H83" s="14" t="s">
        <v>100</v>
      </c>
      <c r="I83" s="14" t="s">
        <v>101</v>
      </c>
      <c r="J83" s="14" t="s">
        <v>102</v>
      </c>
      <c r="K83" s="8" t="n">
        <v>13</v>
      </c>
      <c r="L83" s="8" t="n">
        <v>63</v>
      </c>
      <c r="M83" s="8" t="n">
        <v>3</v>
      </c>
      <c r="N83" s="8" t="n">
        <v>7</v>
      </c>
      <c r="O83" s="8" t="n">
        <v>1</v>
      </c>
      <c r="P83" s="9" t="n">
        <v>3.22662870772974</v>
      </c>
      <c r="Q83" s="10" t="n">
        <v>0.309921001323887</v>
      </c>
      <c r="R83" s="9" t="n">
        <v>2.875</v>
      </c>
      <c r="S83" s="12" t="n">
        <f aca="false">IF(AND(ISNUMBER(R83),R83&gt;1,P83&gt;0),R83/P83-1,"")</f>
        <v>-0.108977121193825</v>
      </c>
      <c r="T83" s="9" t="n">
        <f aca="false">IF(AND(ISNUMBER(P83),P83&gt;0),P83*EXP('Read me'!$B$22),"")</f>
        <v>3.94101320317989</v>
      </c>
    </row>
    <row r="84" customFormat="false" ht="15" hidden="false" customHeight="false" outlineLevel="0" collapsed="false">
      <c r="A84" s="14" t="s">
        <v>98</v>
      </c>
      <c r="B84" s="14" t="s">
        <v>49</v>
      </c>
      <c r="C84" s="14" t="s">
        <v>99</v>
      </c>
      <c r="D84" s="14" t="s">
        <v>463</v>
      </c>
      <c r="E84" s="15" t="n">
        <v>8</v>
      </c>
      <c r="F84" s="14" t="s">
        <v>320</v>
      </c>
      <c r="G84" s="8" t="n">
        <v>12</v>
      </c>
      <c r="H84" s="14" t="s">
        <v>103</v>
      </c>
      <c r="I84" s="14" t="s">
        <v>124</v>
      </c>
      <c r="J84" s="14" t="s">
        <v>464</v>
      </c>
      <c r="K84" s="8" t="n">
        <v>2</v>
      </c>
      <c r="L84" s="8" t="n">
        <v>65</v>
      </c>
      <c r="M84" s="8" t="n">
        <v>5</v>
      </c>
      <c r="N84" s="8" t="n">
        <v>16</v>
      </c>
      <c r="O84" s="8" t="n">
        <v>2</v>
      </c>
      <c r="P84" s="9" t="n">
        <v>6.93810408977375</v>
      </c>
      <c r="Q84" s="10" t="n">
        <v>0.144131593740994</v>
      </c>
      <c r="R84" s="9" t="n">
        <v>5.5</v>
      </c>
      <c r="S84" s="12" t="n">
        <f aca="false">IF(AND(ISNUMBER(R84),R84&gt;1,P84&gt;0),R84/P84-1,"")</f>
        <v>-0.207276234424532</v>
      </c>
      <c r="T84" s="9" t="n">
        <f aca="false">IF(AND(ISNUMBER(P84),P84&gt;0),P84*EXP('Read me'!$B$22),"")</f>
        <v>8.47421947165201</v>
      </c>
    </row>
    <row r="85" customFormat="false" ht="15" hidden="false" customHeight="false" outlineLevel="0" collapsed="false">
      <c r="A85" s="14" t="s">
        <v>98</v>
      </c>
      <c r="B85" s="14" t="s">
        <v>49</v>
      </c>
      <c r="C85" s="14" t="s">
        <v>99</v>
      </c>
      <c r="D85" s="14" t="s">
        <v>463</v>
      </c>
      <c r="E85" s="15" t="n">
        <v>8</v>
      </c>
      <c r="F85" s="14" t="s">
        <v>320</v>
      </c>
      <c r="G85" s="8" t="n">
        <v>12</v>
      </c>
      <c r="H85" s="14" t="s">
        <v>465</v>
      </c>
      <c r="I85" s="14" t="s">
        <v>466</v>
      </c>
      <c r="J85" s="14" t="s">
        <v>467</v>
      </c>
      <c r="K85" s="8" t="n">
        <v>6</v>
      </c>
      <c r="L85" s="8" t="n">
        <v>62</v>
      </c>
      <c r="M85" s="8" t="n">
        <v>4</v>
      </c>
      <c r="N85" s="8" t="n">
        <v>14</v>
      </c>
      <c r="O85" s="8" t="n">
        <v>3</v>
      </c>
      <c r="P85" s="9" t="n">
        <v>7.99668216729064</v>
      </c>
      <c r="Q85" s="10" t="n">
        <v>0.125051862645031</v>
      </c>
      <c r="R85" s="9" t="n">
        <v>5</v>
      </c>
      <c r="S85" s="12" t="n">
        <f aca="false">IF(AND(ISNUMBER(R85),R85&gt;1,P85&gt;0),R85/P85-1,"")</f>
        <v>-0.374740686774843</v>
      </c>
      <c r="T85" s="9" t="n">
        <f aca="false">IF(AND(ISNUMBER(P85),P85&gt;0),P85*EXP('Read me'!$B$22),"")</f>
        <v>9.76716965525903</v>
      </c>
    </row>
    <row r="86" customFormat="false" ht="15" hidden="false" customHeight="false" outlineLevel="0" collapsed="false">
      <c r="A86" s="14" t="s">
        <v>98</v>
      </c>
      <c r="B86" s="14" t="s">
        <v>49</v>
      </c>
      <c r="C86" s="14" t="s">
        <v>99</v>
      </c>
      <c r="D86" s="14" t="s">
        <v>463</v>
      </c>
      <c r="E86" s="15" t="n">
        <v>8</v>
      </c>
      <c r="F86" s="14" t="s">
        <v>320</v>
      </c>
      <c r="G86" s="8" t="n">
        <v>12</v>
      </c>
      <c r="H86" s="14" t="s">
        <v>468</v>
      </c>
      <c r="I86" s="14" t="s">
        <v>469</v>
      </c>
      <c r="J86" s="14" t="s">
        <v>149</v>
      </c>
      <c r="K86" s="8" t="n">
        <v>9</v>
      </c>
      <c r="L86" s="8" t="n">
        <v>65</v>
      </c>
      <c r="M86" s="8" t="n">
        <v>4</v>
      </c>
      <c r="N86" s="8" t="n">
        <v>18</v>
      </c>
      <c r="O86" s="8" t="n">
        <v>4</v>
      </c>
      <c r="P86" s="9" t="n">
        <v>10.5517107219965</v>
      </c>
      <c r="Q86" s="10" t="n">
        <v>0.0947713623266191</v>
      </c>
      <c r="R86" s="9" t="n">
        <v>7.5</v>
      </c>
      <c r="S86" s="12" t="n">
        <f aca="false">IF(AND(ISNUMBER(R86),R86&gt;1,P86&gt;0),R86/P86-1,"")</f>
        <v>-0.289214782550356</v>
      </c>
      <c r="T86" s="9" t="n">
        <f aca="false">IF(AND(ISNUMBER(P86),P86&gt;0),P86*EXP('Read me'!$B$22),"")</f>
        <v>12.8878885791547</v>
      </c>
    </row>
    <row r="87" customFormat="false" ht="15" hidden="false" customHeight="false" outlineLevel="0" collapsed="false">
      <c r="A87" s="14" t="s">
        <v>98</v>
      </c>
      <c r="B87" s="14" t="s">
        <v>49</v>
      </c>
      <c r="C87" s="14" t="s">
        <v>99</v>
      </c>
      <c r="D87" s="14" t="s">
        <v>463</v>
      </c>
      <c r="E87" s="15" t="n">
        <v>8</v>
      </c>
      <c r="F87" s="14" t="s">
        <v>320</v>
      </c>
      <c r="G87" s="8" t="n">
        <v>12</v>
      </c>
      <c r="H87" s="14" t="s">
        <v>470</v>
      </c>
      <c r="I87" s="14" t="s">
        <v>338</v>
      </c>
      <c r="J87" s="14" t="s">
        <v>471</v>
      </c>
      <c r="K87" s="8" t="n">
        <v>10</v>
      </c>
      <c r="L87" s="8" t="n">
        <v>58</v>
      </c>
      <c r="M87" s="8" t="n">
        <v>3</v>
      </c>
      <c r="N87" s="8" t="n">
        <v>19</v>
      </c>
      <c r="O87" s="8" t="n">
        <v>5</v>
      </c>
      <c r="P87" s="9" t="n">
        <v>11.1930644196088</v>
      </c>
      <c r="Q87" s="10" t="n">
        <v>0.0893410385674303</v>
      </c>
      <c r="R87" s="9" t="n">
        <v>10</v>
      </c>
      <c r="S87" s="12" t="n">
        <f aca="false">IF(AND(ISNUMBER(R87),R87&gt;1,P87&gt;0),R87/P87-1,"")</f>
        <v>-0.106589614325697</v>
      </c>
      <c r="T87" s="9" t="n">
        <f aca="false">IF(AND(ISNUMBER(P87),P87&gt;0),P87*EXP('Read me'!$B$22),"")</f>
        <v>13.6712397543746</v>
      </c>
    </row>
    <row r="88" customFormat="false" ht="15" hidden="false" customHeight="false" outlineLevel="0" collapsed="false">
      <c r="A88" s="14" t="s">
        <v>98</v>
      </c>
      <c r="B88" s="14" t="s">
        <v>49</v>
      </c>
      <c r="C88" s="14" t="s">
        <v>99</v>
      </c>
      <c r="D88" s="14" t="s">
        <v>463</v>
      </c>
      <c r="E88" s="15" t="n">
        <v>8</v>
      </c>
      <c r="F88" s="14" t="s">
        <v>320</v>
      </c>
      <c r="G88" s="8" t="n">
        <v>12</v>
      </c>
      <c r="H88" s="14" t="s">
        <v>472</v>
      </c>
      <c r="I88" s="14" t="s">
        <v>413</v>
      </c>
      <c r="J88" s="14" t="s">
        <v>203</v>
      </c>
      <c r="K88" s="8" t="n">
        <v>12</v>
      </c>
      <c r="L88" s="8" t="n">
        <v>64</v>
      </c>
      <c r="M88" s="8" t="n">
        <v>6</v>
      </c>
      <c r="N88" s="8" t="n">
        <v>16</v>
      </c>
      <c r="O88" s="8" t="n">
        <v>6</v>
      </c>
      <c r="P88" s="9" t="n">
        <v>18.8332813601386</v>
      </c>
      <c r="Q88" s="10" t="n">
        <v>0.0530974916626339</v>
      </c>
      <c r="R88" s="9" t="n">
        <v>17</v>
      </c>
      <c r="S88" s="12" t="n">
        <f aca="false">IF(AND(ISNUMBER(R88),R88&gt;1,P88&gt;0),R88/P88-1,"")</f>
        <v>-0.0973426417352232</v>
      </c>
      <c r="T88" s="9" t="n">
        <f aca="false">IF(AND(ISNUMBER(P88),P88&gt;0),P88*EXP('Read me'!$B$22),"")</f>
        <v>23.0030217984798</v>
      </c>
    </row>
    <row r="89" customFormat="false" ht="15" hidden="false" customHeight="false" outlineLevel="0" collapsed="false">
      <c r="A89" s="14" t="s">
        <v>98</v>
      </c>
      <c r="B89" s="14" t="s">
        <v>49</v>
      </c>
      <c r="C89" s="14" t="s">
        <v>99</v>
      </c>
      <c r="D89" s="14" t="s">
        <v>463</v>
      </c>
      <c r="E89" s="15" t="n">
        <v>8</v>
      </c>
      <c r="F89" s="14" t="s">
        <v>320</v>
      </c>
      <c r="G89" s="8" t="n">
        <v>12</v>
      </c>
      <c r="H89" s="14" t="s">
        <v>473</v>
      </c>
      <c r="I89" s="14" t="s">
        <v>401</v>
      </c>
      <c r="J89" s="14" t="s">
        <v>406</v>
      </c>
      <c r="K89" s="8" t="n">
        <v>3</v>
      </c>
      <c r="L89" s="8" t="n">
        <v>65</v>
      </c>
      <c r="M89" s="8" t="n">
        <v>4</v>
      </c>
      <c r="N89" s="8" t="n">
        <v>26</v>
      </c>
      <c r="O89" s="8" t="n">
        <v>7</v>
      </c>
      <c r="P89" s="9" t="n">
        <v>26.3506551462234</v>
      </c>
      <c r="Q89" s="10" t="n">
        <v>0.0379497205838285</v>
      </c>
      <c r="R89" s="9" t="n">
        <v>21</v>
      </c>
      <c r="S89" s="12" t="n">
        <f aca="false">IF(AND(ISNUMBER(R89),R89&gt;1,P89&gt;0),R89/P89-1,"")</f>
        <v>-0.203055867739601</v>
      </c>
      <c r="T89" s="9" t="n">
        <f aca="false">IF(AND(ISNUMBER(P89),P89&gt;0),P89*EXP('Read me'!$B$22),"")</f>
        <v>32.1847628749247</v>
      </c>
    </row>
    <row r="90" customFormat="false" ht="15" hidden="false" customHeight="false" outlineLevel="0" collapsed="false">
      <c r="A90" s="14" t="s">
        <v>98</v>
      </c>
      <c r="B90" s="14" t="s">
        <v>49</v>
      </c>
      <c r="C90" s="14" t="s">
        <v>99</v>
      </c>
      <c r="D90" s="14" t="s">
        <v>463</v>
      </c>
      <c r="E90" s="15" t="n">
        <v>8</v>
      </c>
      <c r="F90" s="14" t="s">
        <v>320</v>
      </c>
      <c r="G90" s="8" t="n">
        <v>12</v>
      </c>
      <c r="H90" s="14" t="s">
        <v>474</v>
      </c>
      <c r="I90" s="14" t="s">
        <v>475</v>
      </c>
      <c r="J90" s="14" t="s">
        <v>342</v>
      </c>
      <c r="K90" s="8" t="n">
        <v>5</v>
      </c>
      <c r="L90" s="8" t="n">
        <v>59</v>
      </c>
      <c r="M90" s="8" t="n">
        <v>3</v>
      </c>
      <c r="N90" s="8" t="n">
        <v>16</v>
      </c>
      <c r="O90" s="8" t="n">
        <v>8</v>
      </c>
      <c r="P90" s="9" t="n">
        <v>28.2384221354645</v>
      </c>
      <c r="Q90" s="10" t="n">
        <v>0.0354127435025522</v>
      </c>
      <c r="R90" s="9" t="n">
        <v>19</v>
      </c>
      <c r="S90" s="12" t="n">
        <f aca="false">IF(AND(ISNUMBER(R90),R90&gt;1,P90&gt;0),R90/P90-1,"")</f>
        <v>-0.327157873451507</v>
      </c>
      <c r="T90" s="9" t="n">
        <f aca="false">IF(AND(ISNUMBER(P90),P90&gt;0),P90*EXP('Read me'!$B$22),"")</f>
        <v>34.4904866823476</v>
      </c>
    </row>
    <row r="91" customFormat="false" ht="15" hidden="false" customHeight="false" outlineLevel="0" collapsed="false">
      <c r="A91" s="14" t="s">
        <v>98</v>
      </c>
      <c r="B91" s="14" t="s">
        <v>49</v>
      </c>
      <c r="C91" s="14" t="s">
        <v>99</v>
      </c>
      <c r="D91" s="14" t="s">
        <v>463</v>
      </c>
      <c r="E91" s="15" t="n">
        <v>8</v>
      </c>
      <c r="F91" s="14" t="s">
        <v>320</v>
      </c>
      <c r="G91" s="8" t="n">
        <v>12</v>
      </c>
      <c r="H91" s="14" t="s">
        <v>476</v>
      </c>
      <c r="I91" s="14" t="s">
        <v>333</v>
      </c>
      <c r="J91" s="14" t="s">
        <v>203</v>
      </c>
      <c r="K91" s="8" t="n">
        <v>8</v>
      </c>
      <c r="L91" s="8" t="n">
        <v>56</v>
      </c>
      <c r="M91" s="8" t="n">
        <v>4</v>
      </c>
      <c r="N91" s="8" t="n">
        <v>27</v>
      </c>
      <c r="O91" s="8" t="n">
        <v>9</v>
      </c>
      <c r="P91" s="9" t="n">
        <v>29.1678297010801</v>
      </c>
      <c r="Q91" s="10" t="n">
        <v>0.0342843471814075</v>
      </c>
      <c r="R91" s="9" t="n">
        <v>26</v>
      </c>
      <c r="S91" s="12" t="n">
        <f aca="false">IF(AND(ISNUMBER(R91),R91&gt;1,P91&gt;0),R91/P91-1,"")</f>
        <v>-0.108606973283403</v>
      </c>
      <c r="T91" s="9" t="n">
        <f aca="false">IF(AND(ISNUMBER(P91),P91&gt;0),P91*EXP('Read me'!$B$22),"")</f>
        <v>35.6256676464453</v>
      </c>
    </row>
    <row r="92" customFormat="false" ht="15" hidden="false" customHeight="false" outlineLevel="0" collapsed="false">
      <c r="A92" s="14" t="s">
        <v>98</v>
      </c>
      <c r="B92" s="14" t="s">
        <v>49</v>
      </c>
      <c r="C92" s="14" t="s">
        <v>99</v>
      </c>
      <c r="D92" s="14" t="s">
        <v>463</v>
      </c>
      <c r="E92" s="15" t="n">
        <v>8</v>
      </c>
      <c r="F92" s="14" t="s">
        <v>320</v>
      </c>
      <c r="G92" s="8" t="n">
        <v>12</v>
      </c>
      <c r="H92" s="14" t="s">
        <v>477</v>
      </c>
      <c r="I92" s="14" t="s">
        <v>202</v>
      </c>
      <c r="J92" s="14" t="s">
        <v>203</v>
      </c>
      <c r="K92" s="8" t="n">
        <v>14</v>
      </c>
      <c r="L92" s="8" t="n">
        <v>59</v>
      </c>
      <c r="M92" s="8" t="n">
        <v>8</v>
      </c>
      <c r="N92" s="8" t="n">
        <v>16</v>
      </c>
      <c r="O92" s="8" t="n">
        <v>10</v>
      </c>
      <c r="P92" s="9" t="n">
        <v>31.9462780025371</v>
      </c>
      <c r="Q92" s="10" t="n">
        <v>0.0313025511116062</v>
      </c>
      <c r="R92" s="9" t="n">
        <v>13</v>
      </c>
      <c r="S92" s="12" t="n">
        <f aca="false">IF(AND(ISNUMBER(R92),R92&gt;1,P92&gt;0),R92/P92-1,"")</f>
        <v>-0.593066835549118</v>
      </c>
      <c r="T92" s="9" t="n">
        <f aca="false">IF(AND(ISNUMBER(P92),P92&gt;0),P92*EXP('Read me'!$B$22),"")</f>
        <v>39.0192720652503</v>
      </c>
    </row>
    <row r="93" customFormat="false" ht="15" hidden="false" customHeight="false" outlineLevel="0" collapsed="false">
      <c r="A93" s="14" t="s">
        <v>98</v>
      </c>
      <c r="B93" s="14" t="s">
        <v>49</v>
      </c>
      <c r="C93" s="14" t="s">
        <v>99</v>
      </c>
      <c r="D93" s="14" t="s">
        <v>463</v>
      </c>
      <c r="E93" s="15" t="n">
        <v>8</v>
      </c>
      <c r="F93" s="14" t="s">
        <v>320</v>
      </c>
      <c r="G93" s="8" t="n">
        <v>12</v>
      </c>
      <c r="H93" s="14" t="s">
        <v>478</v>
      </c>
      <c r="I93" s="14" t="s">
        <v>479</v>
      </c>
      <c r="J93" s="14" t="s">
        <v>480</v>
      </c>
      <c r="K93" s="8" t="n">
        <v>4</v>
      </c>
      <c r="L93" s="8" t="n">
        <v>62</v>
      </c>
      <c r="M93" s="8" t="n">
        <v>4</v>
      </c>
      <c r="N93" s="8" t="n">
        <v>111</v>
      </c>
      <c r="O93" s="8" t="n">
        <v>11</v>
      </c>
      <c r="P93" s="9" t="n">
        <v>42.8530406442602</v>
      </c>
      <c r="Q93" s="10" t="n">
        <v>0.0233355669741475</v>
      </c>
      <c r="R93" s="9" t="n">
        <v>51</v>
      </c>
      <c r="S93" s="12" t="n">
        <f aca="false">IF(AND(ISNUMBER(R93),R93&gt;1,P93&gt;0),R93/P93-1,"")</f>
        <v>0.190113915681525</v>
      </c>
      <c r="T93" s="9" t="n">
        <f aca="false">IF(AND(ISNUMBER(P93),P93&gt;0),P93*EXP('Read me'!$B$22),"")</f>
        <v>52.3408220384492</v>
      </c>
    </row>
    <row r="94" customFormat="false" ht="15" hidden="false" customHeight="false" outlineLevel="0" collapsed="false">
      <c r="A94" s="14" t="s">
        <v>98</v>
      </c>
      <c r="B94" s="14" t="s">
        <v>49</v>
      </c>
      <c r="C94" s="14" t="s">
        <v>99</v>
      </c>
      <c r="D94" s="14" t="s">
        <v>463</v>
      </c>
      <c r="E94" s="15" t="n">
        <v>8</v>
      </c>
      <c r="F94" s="14" t="s">
        <v>320</v>
      </c>
      <c r="G94" s="8" t="n">
        <v>12</v>
      </c>
      <c r="H94" s="14" t="s">
        <v>481</v>
      </c>
      <c r="I94" s="14" t="s">
        <v>408</v>
      </c>
      <c r="J94" s="14" t="s">
        <v>336</v>
      </c>
      <c r="K94" s="8" t="n">
        <v>11</v>
      </c>
      <c r="L94" s="8" t="n">
        <v>59</v>
      </c>
      <c r="M94" s="8" t="n">
        <v>8</v>
      </c>
      <c r="N94" s="8" t="n">
        <v>396</v>
      </c>
      <c r="O94" s="8" t="n">
        <v>12</v>
      </c>
      <c r="P94" s="9" t="n">
        <v>46.7273989963905</v>
      </c>
      <c r="Q94" s="10" t="n">
        <v>0.021400720379862</v>
      </c>
      <c r="R94" s="9" t="n">
        <v>67</v>
      </c>
      <c r="S94" s="12" t="n">
        <f aca="false">IF(AND(ISNUMBER(R94),R94&gt;1,P94&gt;0),R94/P94-1,"")</f>
        <v>0.433848265450759</v>
      </c>
      <c r="T94" s="9" t="n">
        <f aca="false">IF(AND(ISNUMBER(P94),P94&gt;0),P94*EXP('Read me'!$B$22),"")</f>
        <v>57.0729740158421</v>
      </c>
    </row>
    <row r="95" customFormat="false" ht="15" hidden="false" customHeight="false" outlineLevel="0" collapsed="false">
      <c r="A95" s="14" t="s">
        <v>104</v>
      </c>
      <c r="B95" s="14" t="s">
        <v>56</v>
      </c>
      <c r="C95" s="14" t="s">
        <v>105</v>
      </c>
      <c r="D95" s="14" t="s">
        <v>422</v>
      </c>
      <c r="E95" s="15" t="n">
        <v>10</v>
      </c>
      <c r="F95" s="14" t="s">
        <v>349</v>
      </c>
      <c r="G95" s="8" t="n">
        <v>9</v>
      </c>
      <c r="H95" s="14" t="s">
        <v>106</v>
      </c>
      <c r="I95" s="14" t="s">
        <v>107</v>
      </c>
      <c r="J95" s="14" t="s">
        <v>108</v>
      </c>
      <c r="K95" s="8" t="n">
        <v>7</v>
      </c>
      <c r="L95" s="8" t="n">
        <v>80</v>
      </c>
      <c r="M95" s="8" t="n">
        <v>4</v>
      </c>
      <c r="N95" s="8" t="n">
        <v>17</v>
      </c>
      <c r="O95" s="8" t="n">
        <v>1</v>
      </c>
      <c r="P95" s="9" t="n">
        <v>5.25882334118722</v>
      </c>
      <c r="Q95" s="10" t="n">
        <v>0.190156606358684</v>
      </c>
      <c r="R95" s="9" t="n">
        <v>4</v>
      </c>
      <c r="S95" s="12" t="n">
        <f aca="false">IF(AND(ISNUMBER(R95),R95&gt;1,P95&gt;0),R95/P95-1,"")</f>
        <v>-0.239373574565262</v>
      </c>
      <c r="T95" s="9" t="n">
        <f aca="false">IF(AND(ISNUMBER(P95),P95&gt;0),P95*EXP('Read me'!$B$22),"")</f>
        <v>6.42314133360315</v>
      </c>
    </row>
    <row r="96" customFormat="false" ht="15" hidden="false" customHeight="false" outlineLevel="0" collapsed="false">
      <c r="A96" s="14" t="s">
        <v>104</v>
      </c>
      <c r="B96" s="14" t="s">
        <v>56</v>
      </c>
      <c r="C96" s="14" t="s">
        <v>105</v>
      </c>
      <c r="D96" s="14" t="s">
        <v>422</v>
      </c>
      <c r="E96" s="15" t="n">
        <v>10</v>
      </c>
      <c r="F96" s="14" t="s">
        <v>349</v>
      </c>
      <c r="G96" s="8" t="n">
        <v>9</v>
      </c>
      <c r="H96" s="14" t="s">
        <v>109</v>
      </c>
      <c r="I96" s="14" t="s">
        <v>482</v>
      </c>
      <c r="J96" s="14" t="s">
        <v>483</v>
      </c>
      <c r="K96" s="8" t="n">
        <v>1</v>
      </c>
      <c r="L96" s="8" t="n">
        <v>76</v>
      </c>
      <c r="M96" s="8" t="n">
        <v>3</v>
      </c>
      <c r="N96" s="8" t="n">
        <v>41</v>
      </c>
      <c r="O96" s="8" t="n">
        <v>2</v>
      </c>
      <c r="P96" s="9" t="n">
        <v>5.32881442972078</v>
      </c>
      <c r="Q96" s="10" t="n">
        <v>0.187659002426999</v>
      </c>
      <c r="R96" s="9" t="n">
        <v>5</v>
      </c>
      <c r="S96" s="12" t="n">
        <f aca="false">IF(AND(ISNUMBER(R96),R96&gt;1,P96&gt;0),R96/P96-1,"")</f>
        <v>-0.0617049878650044</v>
      </c>
      <c r="T96" s="9" t="n">
        <f aca="false">IF(AND(ISNUMBER(P96),P96&gt;0),P96*EXP('Read me'!$B$22),"")</f>
        <v>6.50862864218468</v>
      </c>
    </row>
    <row r="97" customFormat="false" ht="15" hidden="false" customHeight="false" outlineLevel="0" collapsed="false">
      <c r="A97" s="14" t="s">
        <v>104</v>
      </c>
      <c r="B97" s="14" t="s">
        <v>56</v>
      </c>
      <c r="C97" s="14" t="s">
        <v>105</v>
      </c>
      <c r="D97" s="14" t="s">
        <v>422</v>
      </c>
      <c r="E97" s="15" t="n">
        <v>10</v>
      </c>
      <c r="F97" s="14" t="s">
        <v>349</v>
      </c>
      <c r="G97" s="8" t="n">
        <v>9</v>
      </c>
      <c r="H97" s="14" t="s">
        <v>484</v>
      </c>
      <c r="I97" s="14" t="s">
        <v>130</v>
      </c>
      <c r="J97" s="14" t="s">
        <v>131</v>
      </c>
      <c r="K97" s="8" t="n">
        <v>3</v>
      </c>
      <c r="L97" s="8" t="n">
        <v>80</v>
      </c>
      <c r="M97" s="8" t="n">
        <v>4</v>
      </c>
      <c r="N97" s="8" t="n">
        <v>26</v>
      </c>
      <c r="O97" s="8" t="n">
        <v>3</v>
      </c>
      <c r="P97" s="9" t="n">
        <v>6.25053374552242</v>
      </c>
      <c r="Q97" s="10" t="n">
        <v>0.159986337281412</v>
      </c>
      <c r="R97" s="9" t="n">
        <v>7</v>
      </c>
      <c r="S97" s="12" t="n">
        <f aca="false">IF(AND(ISNUMBER(R97),R97&gt;1,P97&gt;0),R97/P97-1,"")</f>
        <v>0.119904360969886</v>
      </c>
      <c r="T97" s="9" t="n">
        <f aca="false">IF(AND(ISNUMBER(P97),P97&gt;0),P97*EXP('Read me'!$B$22),"")</f>
        <v>7.63441915675431</v>
      </c>
    </row>
    <row r="98" customFormat="false" ht="15" hidden="false" customHeight="false" outlineLevel="0" collapsed="false">
      <c r="A98" s="14" t="s">
        <v>104</v>
      </c>
      <c r="B98" s="14" t="s">
        <v>56</v>
      </c>
      <c r="C98" s="14" t="s">
        <v>105</v>
      </c>
      <c r="D98" s="14" t="s">
        <v>422</v>
      </c>
      <c r="E98" s="15" t="n">
        <v>10</v>
      </c>
      <c r="F98" s="14" t="s">
        <v>349</v>
      </c>
      <c r="G98" s="8" t="n">
        <v>9</v>
      </c>
      <c r="H98" s="14" t="s">
        <v>485</v>
      </c>
      <c r="I98" s="14" t="s">
        <v>486</v>
      </c>
      <c r="J98" s="14" t="s">
        <v>487</v>
      </c>
      <c r="K98" s="8" t="n">
        <v>8</v>
      </c>
      <c r="L98" s="8" t="n">
        <v>74</v>
      </c>
      <c r="M98" s="8" t="n">
        <v>5</v>
      </c>
      <c r="N98" s="8" t="n">
        <v>18</v>
      </c>
      <c r="O98" s="8" t="n">
        <v>4</v>
      </c>
      <c r="P98" s="9" t="n">
        <v>8.46253073183432</v>
      </c>
      <c r="Q98" s="10" t="n">
        <v>0.118167960825029</v>
      </c>
      <c r="R98" s="9" t="n">
        <v>4.33333333333333</v>
      </c>
      <c r="S98" s="12" t="n">
        <f aca="false">IF(AND(ISNUMBER(R98),R98&gt;1,P98&gt;0),R98/P98-1,"")</f>
        <v>-0.487938836424875</v>
      </c>
      <c r="T98" s="9" t="n">
        <f aca="false">IF(AND(ISNUMBER(P98),P98&gt;0),P98*EXP('Read me'!$B$22),"")</f>
        <v>10.3361583768776</v>
      </c>
    </row>
    <row r="99" customFormat="false" ht="15" hidden="false" customHeight="false" outlineLevel="0" collapsed="false">
      <c r="A99" s="14" t="s">
        <v>104</v>
      </c>
      <c r="B99" s="14" t="s">
        <v>56</v>
      </c>
      <c r="C99" s="14" t="s">
        <v>105</v>
      </c>
      <c r="D99" s="14" t="s">
        <v>422</v>
      </c>
      <c r="E99" s="15" t="n">
        <v>10</v>
      </c>
      <c r="F99" s="14" t="s">
        <v>349</v>
      </c>
      <c r="G99" s="8" t="n">
        <v>9</v>
      </c>
      <c r="H99" s="14" t="s">
        <v>488</v>
      </c>
      <c r="I99" s="14" t="s">
        <v>366</v>
      </c>
      <c r="J99" s="14" t="s">
        <v>351</v>
      </c>
      <c r="K99" s="8" t="n">
        <v>4</v>
      </c>
      <c r="L99" s="8" t="n">
        <v>76</v>
      </c>
      <c r="M99" s="8" t="n">
        <v>5</v>
      </c>
      <c r="N99" s="8" t="n">
        <v>9</v>
      </c>
      <c r="O99" s="8" t="n">
        <v>5</v>
      </c>
      <c r="P99" s="9" t="n">
        <v>9.96344610907339</v>
      </c>
      <c r="Q99" s="10" t="n">
        <v>0.100366879998411</v>
      </c>
      <c r="R99" s="9" t="n">
        <v>9.5</v>
      </c>
      <c r="S99" s="12" t="n">
        <f aca="false">IF(AND(ISNUMBER(R99),R99&gt;1,P99&gt;0),R99/P99-1,"")</f>
        <v>-0.0465146400150994</v>
      </c>
      <c r="T99" s="9" t="n">
        <f aca="false">IF(AND(ISNUMBER(P99),P99&gt;0),P99*EXP('Read me'!$B$22),"")</f>
        <v>12.1693805584025</v>
      </c>
    </row>
    <row r="100" customFormat="false" ht="15" hidden="false" customHeight="false" outlineLevel="0" collapsed="false">
      <c r="A100" s="14" t="s">
        <v>104</v>
      </c>
      <c r="B100" s="14" t="s">
        <v>56</v>
      </c>
      <c r="C100" s="14" t="s">
        <v>105</v>
      </c>
      <c r="D100" s="14" t="s">
        <v>422</v>
      </c>
      <c r="E100" s="15" t="n">
        <v>10</v>
      </c>
      <c r="F100" s="14" t="s">
        <v>349</v>
      </c>
      <c r="G100" s="8" t="n">
        <v>9</v>
      </c>
      <c r="H100" s="14" t="s">
        <v>489</v>
      </c>
      <c r="I100" s="14" t="s">
        <v>84</v>
      </c>
      <c r="J100" s="14" t="s">
        <v>60</v>
      </c>
      <c r="K100" s="8" t="n">
        <v>2</v>
      </c>
      <c r="L100" s="8" t="n">
        <v>75</v>
      </c>
      <c r="M100" s="8" t="n">
        <v>4</v>
      </c>
      <c r="N100" s="8" t="n">
        <v>12</v>
      </c>
      <c r="O100" s="8" t="n">
        <v>6</v>
      </c>
      <c r="P100" s="9" t="n">
        <v>11.1754787825748</v>
      </c>
      <c r="Q100" s="10" t="n">
        <v>0.089481624855235</v>
      </c>
      <c r="R100" s="9" t="n">
        <v>13</v>
      </c>
      <c r="S100" s="12" t="n">
        <f aca="false">IF(AND(ISNUMBER(R100),R100&gt;1,P100&gt;0),R100/P100-1,"")</f>
        <v>0.163261123118056</v>
      </c>
      <c r="T100" s="9" t="n">
        <f aca="false">IF(AND(ISNUMBER(P100),P100&gt;0),P100*EXP('Read me'!$B$22),"")</f>
        <v>13.6497606087974</v>
      </c>
    </row>
    <row r="101" customFormat="false" ht="15" hidden="false" customHeight="false" outlineLevel="0" collapsed="false">
      <c r="A101" s="14" t="s">
        <v>104</v>
      </c>
      <c r="B101" s="14" t="s">
        <v>56</v>
      </c>
      <c r="C101" s="14" t="s">
        <v>105</v>
      </c>
      <c r="D101" s="14" t="s">
        <v>422</v>
      </c>
      <c r="E101" s="15" t="n">
        <v>10</v>
      </c>
      <c r="F101" s="14" t="s">
        <v>349</v>
      </c>
      <c r="G101" s="8" t="n">
        <v>9</v>
      </c>
      <c r="H101" s="14" t="s">
        <v>490</v>
      </c>
      <c r="I101" s="14" t="s">
        <v>423</v>
      </c>
      <c r="J101" s="14" t="s">
        <v>197</v>
      </c>
      <c r="K101" s="8" t="n">
        <v>5</v>
      </c>
      <c r="L101" s="8" t="n">
        <v>76</v>
      </c>
      <c r="M101" s="8" t="n">
        <v>4</v>
      </c>
      <c r="N101" s="8" t="n">
        <v>14</v>
      </c>
      <c r="O101" s="8" t="n">
        <v>7</v>
      </c>
      <c r="P101" s="9" t="n">
        <v>17.2473436201292</v>
      </c>
      <c r="Q101" s="10" t="n">
        <v>0.0579799430002027</v>
      </c>
      <c r="R101" s="9" t="n">
        <v>12</v>
      </c>
      <c r="S101" s="12" t="n">
        <f aca="false">IF(AND(ISNUMBER(R101),R101&gt;1,P101&gt;0),R101/P101-1,"")</f>
        <v>-0.304240683997567</v>
      </c>
      <c r="T101" s="9" t="n">
        <f aca="false">IF(AND(ISNUMBER(P101),P101&gt;0),P101*EXP('Read me'!$B$22),"")</f>
        <v>21.065953068562</v>
      </c>
    </row>
    <row r="102" customFormat="false" ht="15" hidden="false" customHeight="false" outlineLevel="0" collapsed="false">
      <c r="A102" s="14" t="s">
        <v>104</v>
      </c>
      <c r="B102" s="14" t="s">
        <v>56</v>
      </c>
      <c r="C102" s="14" t="s">
        <v>105</v>
      </c>
      <c r="D102" s="14" t="s">
        <v>422</v>
      </c>
      <c r="E102" s="15" t="n">
        <v>10</v>
      </c>
      <c r="F102" s="14" t="s">
        <v>349</v>
      </c>
      <c r="G102" s="8" t="n">
        <v>9</v>
      </c>
      <c r="H102" s="14" t="s">
        <v>491</v>
      </c>
      <c r="I102" s="14" t="s">
        <v>433</v>
      </c>
      <c r="J102" s="14" t="s">
        <v>492</v>
      </c>
      <c r="K102" s="8" t="n">
        <v>6</v>
      </c>
      <c r="L102" s="8" t="n">
        <v>78</v>
      </c>
      <c r="M102" s="8" t="n">
        <v>4</v>
      </c>
      <c r="N102" s="8" t="n">
        <v>17</v>
      </c>
      <c r="O102" s="8" t="n">
        <v>8</v>
      </c>
      <c r="P102" s="9" t="n">
        <v>17.7452052955489</v>
      </c>
      <c r="Q102" s="10" t="n">
        <v>0.0563532505454211</v>
      </c>
      <c r="R102" s="9" t="n">
        <v>15</v>
      </c>
      <c r="S102" s="12" t="n">
        <f aca="false">IF(AND(ISNUMBER(R102),R102&gt;1,P102&gt;0),R102/P102-1,"")</f>
        <v>-0.154701241818683</v>
      </c>
      <c r="T102" s="9" t="n">
        <f aca="false">IF(AND(ISNUMBER(P102),P102&gt;0),P102*EXP('Read me'!$B$22),"")</f>
        <v>21.6740426921018</v>
      </c>
    </row>
    <row r="103" customFormat="false" ht="15" hidden="false" customHeight="false" outlineLevel="0" collapsed="false">
      <c r="A103" s="14" t="s">
        <v>104</v>
      </c>
      <c r="B103" s="14" t="s">
        <v>56</v>
      </c>
      <c r="C103" s="14" t="s">
        <v>105</v>
      </c>
      <c r="D103" s="14" t="s">
        <v>422</v>
      </c>
      <c r="E103" s="15" t="n">
        <v>10</v>
      </c>
      <c r="F103" s="14" t="s">
        <v>349</v>
      </c>
      <c r="G103" s="8" t="n">
        <v>9</v>
      </c>
      <c r="H103" s="14" t="s">
        <v>493</v>
      </c>
      <c r="I103" s="14" t="s">
        <v>494</v>
      </c>
      <c r="J103" s="14" t="s">
        <v>495</v>
      </c>
      <c r="K103" s="8" t="n">
        <v>9</v>
      </c>
      <c r="L103" s="8" t="n">
        <v>73</v>
      </c>
      <c r="M103" s="8" t="n">
        <v>8</v>
      </c>
      <c r="N103" s="8" t="n">
        <v>17</v>
      </c>
      <c r="O103" s="8" t="n">
        <v>9</v>
      </c>
      <c r="P103" s="9" t="n">
        <v>25.0951138010093</v>
      </c>
      <c r="Q103" s="10" t="n">
        <v>0.0398483947086058</v>
      </c>
      <c r="R103" s="9" t="n">
        <v>26</v>
      </c>
      <c r="S103" s="12" t="n">
        <f aca="false">IF(AND(ISNUMBER(R103),R103&gt;1,P103&gt;0),R103/P103-1,"")</f>
        <v>0.0360582624237531</v>
      </c>
      <c r="T103" s="9" t="n">
        <f aca="false">IF(AND(ISNUMBER(P103),P103&gt;0),P103*EXP('Read me'!$B$22),"")</f>
        <v>30.6512412128961</v>
      </c>
    </row>
    <row r="104" customFormat="false" ht="15" hidden="false" customHeight="false" outlineLevel="0" collapsed="false">
      <c r="A104" s="14" t="s">
        <v>110</v>
      </c>
      <c r="B104" s="14" t="s">
        <v>63</v>
      </c>
      <c r="C104" s="14" t="s">
        <v>111</v>
      </c>
      <c r="D104" s="14" t="s">
        <v>422</v>
      </c>
      <c r="E104" s="15" t="n">
        <v>21.5</v>
      </c>
      <c r="F104" s="14" t="s">
        <v>368</v>
      </c>
      <c r="G104" s="8" t="n">
        <v>4</v>
      </c>
      <c r="H104" s="14" t="s">
        <v>112</v>
      </c>
      <c r="I104" s="14" t="s">
        <v>113</v>
      </c>
      <c r="J104" s="14" t="s">
        <v>114</v>
      </c>
      <c r="K104" s="8" t="n">
        <v>1</v>
      </c>
      <c r="L104" s="8" t="n">
        <v>108</v>
      </c>
      <c r="M104" s="8" t="n">
        <v>7</v>
      </c>
      <c r="N104" s="8" t="n">
        <v>7</v>
      </c>
      <c r="O104" s="8" t="n">
        <v>1</v>
      </c>
      <c r="P104" s="9" t="n">
        <v>2.55049997755041</v>
      </c>
      <c r="Q104" s="10" t="n">
        <v>0.392079987767902</v>
      </c>
      <c r="R104" s="9" t="n">
        <v>2.5</v>
      </c>
      <c r="S104" s="12" t="n">
        <f aca="false">IF(AND(ISNUMBER(R104),R104&gt;1,P104&gt;0),R104/P104-1,"")</f>
        <v>-0.0198000305802445</v>
      </c>
      <c r="T104" s="9" t="n">
        <f aca="false">IF(AND(ISNUMBER(P104),P104&gt;0),P104*EXP('Read me'!$B$22),"")</f>
        <v>3.11518770726752</v>
      </c>
    </row>
    <row r="105" customFormat="false" ht="15" hidden="false" customHeight="false" outlineLevel="0" collapsed="false">
      <c r="A105" s="14" t="s">
        <v>110</v>
      </c>
      <c r="B105" s="14" t="s">
        <v>63</v>
      </c>
      <c r="C105" s="14" t="s">
        <v>111</v>
      </c>
      <c r="D105" s="14" t="s">
        <v>422</v>
      </c>
      <c r="E105" s="15" t="n">
        <v>21.5</v>
      </c>
      <c r="F105" s="14" t="s">
        <v>368</v>
      </c>
      <c r="G105" s="8" t="n">
        <v>4</v>
      </c>
      <c r="H105" s="14" t="s">
        <v>115</v>
      </c>
      <c r="I105" s="14" t="s">
        <v>496</v>
      </c>
      <c r="J105" s="14" t="s">
        <v>67</v>
      </c>
      <c r="K105" s="8" t="n">
        <v>3</v>
      </c>
      <c r="L105" s="8" t="n">
        <v>105</v>
      </c>
      <c r="M105" s="8" t="n">
        <v>9</v>
      </c>
      <c r="N105" s="8" t="n">
        <v>20</v>
      </c>
      <c r="O105" s="8" t="n">
        <v>2</v>
      </c>
      <c r="P105" s="9" t="n">
        <v>3.50146556040314</v>
      </c>
      <c r="Q105" s="10" t="n">
        <v>0.285594698205418</v>
      </c>
      <c r="R105" s="9" t="n">
        <v>3</v>
      </c>
      <c r="S105" s="12" t="n">
        <f aca="false">IF(AND(ISNUMBER(R105),R105&gt;1,P105&gt;0),R105/P105-1,"")</f>
        <v>-0.143215905383746</v>
      </c>
      <c r="T105" s="9" t="n">
        <f aca="false">IF(AND(ISNUMBER(P105),P105&gt;0),P105*EXP('Read me'!$B$22),"")</f>
        <v>4.27669969307924</v>
      </c>
    </row>
    <row r="106" customFormat="false" ht="15" hidden="false" customHeight="false" outlineLevel="0" collapsed="false">
      <c r="A106" s="14" t="s">
        <v>110</v>
      </c>
      <c r="B106" s="14" t="s">
        <v>63</v>
      </c>
      <c r="C106" s="14" t="s">
        <v>111</v>
      </c>
      <c r="D106" s="14" t="s">
        <v>422</v>
      </c>
      <c r="E106" s="15" t="n">
        <v>21.5</v>
      </c>
      <c r="F106" s="14" t="s">
        <v>368</v>
      </c>
      <c r="G106" s="8" t="n">
        <v>4</v>
      </c>
      <c r="H106" s="14" t="s">
        <v>497</v>
      </c>
      <c r="I106" s="14" t="s">
        <v>89</v>
      </c>
      <c r="J106" s="14" t="s">
        <v>498</v>
      </c>
      <c r="K106" s="8" t="n">
        <v>2</v>
      </c>
      <c r="L106" s="8" t="n">
        <v>106</v>
      </c>
      <c r="M106" s="8" t="n">
        <v>7</v>
      </c>
      <c r="N106" s="8" t="n">
        <v>31</v>
      </c>
      <c r="O106" s="8" t="n">
        <v>3</v>
      </c>
      <c r="P106" s="9" t="n">
        <v>4.34466036417393</v>
      </c>
      <c r="Q106" s="10" t="n">
        <v>0.230167588759296</v>
      </c>
      <c r="R106" s="9" t="n">
        <v>4.33333333333333</v>
      </c>
      <c r="S106" s="12" t="n">
        <f aca="false">IF(AND(ISNUMBER(R106),R106&gt;1,P106&gt;0),R106/P106-1,"")</f>
        <v>-0.00260711537638225</v>
      </c>
      <c r="T106" s="9" t="n">
        <f aca="false">IF(AND(ISNUMBER(P106),P106&gt;0),P106*EXP('Read me'!$B$22),"")</f>
        <v>5.30658015207121</v>
      </c>
    </row>
    <row r="107" customFormat="false" ht="15" hidden="false" customHeight="false" outlineLevel="0" collapsed="false">
      <c r="A107" s="14" t="s">
        <v>110</v>
      </c>
      <c r="B107" s="14" t="s">
        <v>63</v>
      </c>
      <c r="C107" s="14" t="s">
        <v>111</v>
      </c>
      <c r="D107" s="14" t="s">
        <v>422</v>
      </c>
      <c r="E107" s="15" t="n">
        <v>21.5</v>
      </c>
      <c r="F107" s="14" t="s">
        <v>368</v>
      </c>
      <c r="G107" s="8" t="n">
        <v>4</v>
      </c>
      <c r="H107" s="14" t="s">
        <v>499</v>
      </c>
      <c r="I107" s="14" t="s">
        <v>500</v>
      </c>
      <c r="J107" s="14" t="s">
        <v>501</v>
      </c>
      <c r="K107" s="8" t="n">
        <v>4</v>
      </c>
      <c r="L107" s="8" t="n">
        <v>89</v>
      </c>
      <c r="M107" s="8" t="n">
        <v>5</v>
      </c>
      <c r="N107" s="8" t="n">
        <v>25</v>
      </c>
      <c r="O107" s="8" t="n">
        <v>4</v>
      </c>
      <c r="P107" s="9" t="n">
        <v>10.8509622725456</v>
      </c>
      <c r="Q107" s="10" t="n">
        <v>0.0921577252673834</v>
      </c>
      <c r="R107" s="9" t="n">
        <v>8</v>
      </c>
      <c r="S107" s="12" t="n">
        <f aca="false">IF(AND(ISNUMBER(R107),R107&gt;1,P107&gt;0),R107/P107-1,"")</f>
        <v>-0.262738197860932</v>
      </c>
      <c r="T107" s="9" t="n">
        <f aca="false">IF(AND(ISNUMBER(P107),P107&gt;0),P107*EXP('Read me'!$B$22),"")</f>
        <v>13.2533952483791</v>
      </c>
    </row>
    <row r="108" customFormat="false" ht="15" hidden="false" customHeight="false" outlineLevel="0" collapsed="false">
      <c r="A108" s="14" t="s">
        <v>116</v>
      </c>
      <c r="B108" s="14" t="s">
        <v>42</v>
      </c>
      <c r="C108" s="14" t="s">
        <v>117</v>
      </c>
      <c r="D108" s="14"/>
      <c r="E108" s="15" t="n">
        <v>6</v>
      </c>
      <c r="F108" s="14" t="s">
        <v>286</v>
      </c>
      <c r="G108" s="8" t="n">
        <v>19</v>
      </c>
      <c r="H108" s="14" t="s">
        <v>118</v>
      </c>
      <c r="I108" s="14" t="s">
        <v>72</v>
      </c>
      <c r="J108" s="14" t="s">
        <v>119</v>
      </c>
      <c r="K108" s="8" t="n">
        <v>14</v>
      </c>
      <c r="L108" s="8" t="n">
        <v>58</v>
      </c>
      <c r="M108" s="8" t="n">
        <v>3</v>
      </c>
      <c r="N108" s="8" t="n">
        <v>24</v>
      </c>
      <c r="O108" s="8" t="n">
        <v>1</v>
      </c>
      <c r="P108" s="9" t="n">
        <v>7.78369664930408</v>
      </c>
      <c r="Q108" s="10" t="n">
        <v>0.128473660402658</v>
      </c>
      <c r="R108" s="9" t="n">
        <v>7.5</v>
      </c>
      <c r="S108" s="12" t="n">
        <f aca="false">IF(AND(ISNUMBER(R108),R108&gt;1,P108&gt;0),R108/P108-1,"")</f>
        <v>-0.0364475469800641</v>
      </c>
      <c r="T108" s="9" t="n">
        <f aca="false">IF(AND(ISNUMBER(P108),P108&gt;0),P108*EXP('Read me'!$B$22),"")</f>
        <v>9.50702855614207</v>
      </c>
    </row>
    <row r="109" customFormat="false" ht="15" hidden="false" customHeight="false" outlineLevel="0" collapsed="false">
      <c r="A109" s="14" t="s">
        <v>116</v>
      </c>
      <c r="B109" s="14" t="s">
        <v>42</v>
      </c>
      <c r="C109" s="14" t="s">
        <v>117</v>
      </c>
      <c r="D109" s="14"/>
      <c r="E109" s="15" t="n">
        <v>6</v>
      </c>
      <c r="F109" s="14" t="s">
        <v>286</v>
      </c>
      <c r="G109" s="8" t="n">
        <v>19</v>
      </c>
      <c r="H109" s="14" t="s">
        <v>120</v>
      </c>
      <c r="I109" s="14" t="s">
        <v>299</v>
      </c>
      <c r="J109" s="14" t="s">
        <v>502</v>
      </c>
      <c r="K109" s="8" t="n">
        <v>2</v>
      </c>
      <c r="L109" s="8" t="n">
        <v>57</v>
      </c>
      <c r="M109" s="8" t="n">
        <v>4</v>
      </c>
      <c r="N109" s="8" t="n">
        <v>67</v>
      </c>
      <c r="O109" s="8" t="n">
        <v>2</v>
      </c>
      <c r="P109" s="9" t="n">
        <v>9.13058635647639</v>
      </c>
      <c r="Q109" s="10" t="n">
        <v>0.10952199135499</v>
      </c>
      <c r="R109" s="9" t="n">
        <v>5.5</v>
      </c>
      <c r="S109" s="12" t="n">
        <f aca="false">IF(AND(ISNUMBER(R109),R109&gt;1,P109&gt;0),R109/P109-1,"")</f>
        <v>-0.397629047547553</v>
      </c>
      <c r="T109" s="9" t="n">
        <f aca="false">IF(AND(ISNUMBER(P109),P109&gt;0),P109*EXP('Read me'!$B$22),"")</f>
        <v>11.1521233594199</v>
      </c>
    </row>
    <row r="110" customFormat="false" ht="15" hidden="false" customHeight="false" outlineLevel="0" collapsed="false">
      <c r="A110" s="14" t="s">
        <v>116</v>
      </c>
      <c r="B110" s="14" t="s">
        <v>42</v>
      </c>
      <c r="C110" s="14" t="s">
        <v>117</v>
      </c>
      <c r="D110" s="14"/>
      <c r="E110" s="15" t="n">
        <v>6</v>
      </c>
      <c r="F110" s="14" t="s">
        <v>286</v>
      </c>
      <c r="G110" s="8" t="n">
        <v>19</v>
      </c>
      <c r="H110" s="14" t="s">
        <v>503</v>
      </c>
      <c r="I110" s="14" t="s">
        <v>504</v>
      </c>
      <c r="J110" s="14" t="s">
        <v>505</v>
      </c>
      <c r="K110" s="8" t="n">
        <v>6</v>
      </c>
      <c r="L110" s="8" t="n">
        <v>56</v>
      </c>
      <c r="M110" s="8" t="n">
        <v>5</v>
      </c>
      <c r="N110" s="8" t="n">
        <v>73</v>
      </c>
      <c r="O110" s="8" t="n">
        <v>3</v>
      </c>
      <c r="P110" s="9" t="n">
        <v>10.0039280850519</v>
      </c>
      <c r="Q110" s="10" t="n">
        <v>0.0999607345732746</v>
      </c>
      <c r="R110" s="9" t="n">
        <v>11</v>
      </c>
      <c r="S110" s="12" t="n">
        <f aca="false">IF(AND(ISNUMBER(R110),R110&gt;1,P110&gt;0),R110/P110-1,"")</f>
        <v>0.0995680803060204</v>
      </c>
      <c r="T110" s="9" t="n">
        <f aca="false">IF(AND(ISNUMBER(P110),P110&gt;0),P110*EXP('Read me'!$B$22),"")</f>
        <v>12.2188253555184</v>
      </c>
    </row>
    <row r="111" customFormat="false" ht="15" hidden="false" customHeight="false" outlineLevel="0" collapsed="false">
      <c r="A111" s="14" t="s">
        <v>116</v>
      </c>
      <c r="B111" s="14" t="s">
        <v>42</v>
      </c>
      <c r="C111" s="14" t="s">
        <v>117</v>
      </c>
      <c r="D111" s="14"/>
      <c r="E111" s="15" t="n">
        <v>6</v>
      </c>
      <c r="F111" s="14" t="s">
        <v>286</v>
      </c>
      <c r="G111" s="8" t="n">
        <v>19</v>
      </c>
      <c r="H111" s="14" t="s">
        <v>506</v>
      </c>
      <c r="I111" s="14" t="s">
        <v>391</v>
      </c>
      <c r="J111" s="14" t="s">
        <v>507</v>
      </c>
      <c r="K111" s="8" t="n">
        <v>11</v>
      </c>
      <c r="L111" s="8" t="n">
        <v>54</v>
      </c>
      <c r="M111" s="8" t="n">
        <v>10</v>
      </c>
      <c r="N111" s="8" t="n">
        <v>7</v>
      </c>
      <c r="O111" s="8" t="n">
        <v>4</v>
      </c>
      <c r="P111" s="9" t="n">
        <v>10.1572910329183</v>
      </c>
      <c r="Q111" s="10" t="n">
        <v>0.0984514470205833</v>
      </c>
      <c r="R111" s="9" t="n">
        <v>9</v>
      </c>
      <c r="S111" s="12" t="n">
        <f aca="false">IF(AND(ISNUMBER(R111),R111&gt;1,P111&gt;0),R111/P111-1,"")</f>
        <v>-0.11393697681475</v>
      </c>
      <c r="T111" s="9" t="n">
        <f aca="false">IF(AND(ISNUMBER(P111),P111&gt;0),P111*EXP('Read me'!$B$22),"")</f>
        <v>12.406143283042</v>
      </c>
    </row>
    <row r="112" customFormat="false" ht="15" hidden="false" customHeight="false" outlineLevel="0" collapsed="false">
      <c r="A112" s="14" t="s">
        <v>116</v>
      </c>
      <c r="B112" s="14" t="s">
        <v>42</v>
      </c>
      <c r="C112" s="14" t="s">
        <v>117</v>
      </c>
      <c r="D112" s="14"/>
      <c r="E112" s="15" t="n">
        <v>6</v>
      </c>
      <c r="F112" s="14" t="s">
        <v>286</v>
      </c>
      <c r="G112" s="8" t="n">
        <v>19</v>
      </c>
      <c r="H112" s="14" t="s">
        <v>508</v>
      </c>
      <c r="I112" s="14" t="s">
        <v>45</v>
      </c>
      <c r="J112" s="14" t="s">
        <v>509</v>
      </c>
      <c r="K112" s="8" t="n">
        <v>18</v>
      </c>
      <c r="L112" s="8" t="n">
        <v>32</v>
      </c>
      <c r="M112" s="8" t="n">
        <v>8</v>
      </c>
      <c r="N112" s="8" t="n">
        <v>90</v>
      </c>
      <c r="O112" s="8" t="n">
        <v>5</v>
      </c>
      <c r="P112" s="9" t="n">
        <v>13.3829145727615</v>
      </c>
      <c r="Q112" s="10" t="n">
        <v>0.0747221387809887</v>
      </c>
      <c r="R112" s="9" t="n">
        <v>26</v>
      </c>
      <c r="S112" s="12" t="n">
        <f aca="false">IF(AND(ISNUMBER(R112),R112&gt;1,P112&gt;0),R112/P112-1,"")</f>
        <v>0.942775608305707</v>
      </c>
      <c r="T112" s="9" t="n">
        <f aca="false">IF(AND(ISNUMBER(P112),P112&gt;0),P112*EXP('Read me'!$B$22),"")</f>
        <v>16.3459287713928</v>
      </c>
    </row>
    <row r="113" customFormat="false" ht="15" hidden="false" customHeight="false" outlineLevel="0" collapsed="false">
      <c r="A113" s="14" t="s">
        <v>116</v>
      </c>
      <c r="B113" s="14" t="s">
        <v>42</v>
      </c>
      <c r="C113" s="14" t="s">
        <v>117</v>
      </c>
      <c r="D113" s="14"/>
      <c r="E113" s="15" t="n">
        <v>6</v>
      </c>
      <c r="F113" s="14" t="s">
        <v>286</v>
      </c>
      <c r="G113" s="8" t="n">
        <v>19</v>
      </c>
      <c r="H113" s="14" t="s">
        <v>510</v>
      </c>
      <c r="I113" s="14" t="s">
        <v>511</v>
      </c>
      <c r="J113" s="14" t="s">
        <v>512</v>
      </c>
      <c r="K113" s="8" t="n">
        <v>7</v>
      </c>
      <c r="L113" s="8" t="n">
        <v>52</v>
      </c>
      <c r="M113" s="8" t="n">
        <v>5</v>
      </c>
      <c r="N113" s="8" t="n">
        <v>80</v>
      </c>
      <c r="O113" s="8" t="n">
        <v>6</v>
      </c>
      <c r="P113" s="9" t="n">
        <v>13.6898260832805</v>
      </c>
      <c r="Q113" s="10" t="n">
        <v>0.0730469469748276</v>
      </c>
      <c r="R113" s="9" t="n">
        <v>5</v>
      </c>
      <c r="S113" s="12" t="n">
        <f aca="false">IF(AND(ISNUMBER(R113),R113&gt;1,P113&gt;0),R113/P113-1,"")</f>
        <v>-0.634765265125862</v>
      </c>
      <c r="T113" s="9" t="n">
        <f aca="false">IF(AND(ISNUMBER(P113),P113&gt;0),P113*EXP('Read me'!$B$22),"")</f>
        <v>16.7207913368518</v>
      </c>
    </row>
    <row r="114" customFormat="false" ht="15" hidden="false" customHeight="false" outlineLevel="0" collapsed="false">
      <c r="A114" s="14" t="s">
        <v>116</v>
      </c>
      <c r="B114" s="14" t="s">
        <v>42</v>
      </c>
      <c r="C114" s="14" t="s">
        <v>117</v>
      </c>
      <c r="D114" s="14"/>
      <c r="E114" s="15" t="n">
        <v>6</v>
      </c>
      <c r="F114" s="14" t="s">
        <v>286</v>
      </c>
      <c r="G114" s="8" t="n">
        <v>19</v>
      </c>
      <c r="H114" s="14" t="s">
        <v>513</v>
      </c>
      <c r="I114" s="14" t="s">
        <v>514</v>
      </c>
      <c r="J114" s="14" t="s">
        <v>515</v>
      </c>
      <c r="K114" s="8" t="n">
        <v>17</v>
      </c>
      <c r="L114" s="8" t="n">
        <v>42</v>
      </c>
      <c r="M114" s="8" t="n">
        <v>3</v>
      </c>
      <c r="N114" s="8" t="n">
        <v>7</v>
      </c>
      <c r="O114" s="8" t="n">
        <v>7</v>
      </c>
      <c r="P114" s="9" t="n">
        <v>13.7014480826972</v>
      </c>
      <c r="Q114" s="10" t="n">
        <v>0.0729849862557842</v>
      </c>
      <c r="R114" s="9" t="n">
        <v>7.5</v>
      </c>
      <c r="S114" s="12" t="n">
        <f aca="false">IF(AND(ISNUMBER(R114),R114&gt;1,P114&gt;0),R114/P114-1,"")</f>
        <v>-0.452612603081618</v>
      </c>
      <c r="T114" s="9" t="n">
        <f aca="false">IF(AND(ISNUMBER(P114),P114&gt;0),P114*EXP('Read me'!$B$22),"")</f>
        <v>16.7349864789948</v>
      </c>
    </row>
    <row r="115" customFormat="false" ht="15" hidden="false" customHeight="false" outlineLevel="0" collapsed="false">
      <c r="A115" s="14" t="s">
        <v>116</v>
      </c>
      <c r="B115" s="14" t="s">
        <v>42</v>
      </c>
      <c r="C115" s="14" t="s">
        <v>117</v>
      </c>
      <c r="D115" s="14"/>
      <c r="E115" s="15" t="n">
        <v>6</v>
      </c>
      <c r="F115" s="14" t="s">
        <v>286</v>
      </c>
      <c r="G115" s="8" t="n">
        <v>19</v>
      </c>
      <c r="H115" s="14" t="s">
        <v>516</v>
      </c>
      <c r="I115" s="14" t="s">
        <v>142</v>
      </c>
      <c r="J115" s="14" t="s">
        <v>517</v>
      </c>
      <c r="K115" s="8" t="n">
        <v>15</v>
      </c>
      <c r="L115" s="8" t="n">
        <v>45</v>
      </c>
      <c r="M115" s="8" t="n">
        <v>3</v>
      </c>
      <c r="N115" s="8" t="n">
        <v>7</v>
      </c>
      <c r="O115" s="8" t="n">
        <v>8</v>
      </c>
      <c r="P115" s="9" t="n">
        <v>17.4996157446522</v>
      </c>
      <c r="Q115" s="10" t="n">
        <v>0.0571441118817477</v>
      </c>
      <c r="R115" s="9" t="n">
        <v>9.5</v>
      </c>
      <c r="S115" s="12" t="n">
        <f aca="false">IF(AND(ISNUMBER(R115),R115&gt;1,P115&gt;0),R115/P115-1,"")</f>
        <v>-0.457130937123397</v>
      </c>
      <c r="T115" s="9" t="n">
        <f aca="false">IF(AND(ISNUMBER(P115),P115&gt;0),P115*EXP('Read me'!$B$22),"")</f>
        <v>21.3740789372613</v>
      </c>
    </row>
    <row r="116" customFormat="false" ht="15" hidden="false" customHeight="false" outlineLevel="0" collapsed="false">
      <c r="A116" s="14" t="s">
        <v>116</v>
      </c>
      <c r="B116" s="14" t="s">
        <v>42</v>
      </c>
      <c r="C116" s="14" t="s">
        <v>117</v>
      </c>
      <c r="D116" s="14"/>
      <c r="E116" s="15" t="n">
        <v>6</v>
      </c>
      <c r="F116" s="14" t="s">
        <v>286</v>
      </c>
      <c r="G116" s="8" t="n">
        <v>19</v>
      </c>
      <c r="H116" s="14" t="s">
        <v>518</v>
      </c>
      <c r="I116" s="14" t="s">
        <v>519</v>
      </c>
      <c r="J116" s="14" t="s">
        <v>520</v>
      </c>
      <c r="K116" s="8" t="n">
        <v>20</v>
      </c>
      <c r="L116" s="8" t="n">
        <v>43</v>
      </c>
      <c r="M116" s="8" t="n">
        <v>4</v>
      </c>
      <c r="N116" s="8" t="n">
        <v>19</v>
      </c>
      <c r="O116" s="8" t="n">
        <v>9</v>
      </c>
      <c r="P116" s="9" t="n">
        <v>21.4286638169153</v>
      </c>
      <c r="Q116" s="10" t="n">
        <v>0.0466664654662519</v>
      </c>
      <c r="R116" s="9" t="n">
        <v>11</v>
      </c>
      <c r="S116" s="12" t="n">
        <f aca="false">IF(AND(ISNUMBER(R116),R116&gt;1,P116&gt;0),R116/P116-1,"")</f>
        <v>-0.486668879871228</v>
      </c>
      <c r="T116" s="9" t="n">
        <f aca="false">IF(AND(ISNUMBER(P116),P116&gt;0),P116*EXP('Read me'!$B$22),"")</f>
        <v>26.1730290896673</v>
      </c>
    </row>
    <row r="117" customFormat="false" ht="15" hidden="false" customHeight="false" outlineLevel="0" collapsed="false">
      <c r="A117" s="14" t="s">
        <v>116</v>
      </c>
      <c r="B117" s="14" t="s">
        <v>42</v>
      </c>
      <c r="C117" s="14" t="s">
        <v>117</v>
      </c>
      <c r="D117" s="14"/>
      <c r="E117" s="15" t="n">
        <v>6</v>
      </c>
      <c r="F117" s="14" t="s">
        <v>286</v>
      </c>
      <c r="G117" s="8" t="n">
        <v>19</v>
      </c>
      <c r="H117" s="14" t="s">
        <v>521</v>
      </c>
      <c r="I117" s="14" t="s">
        <v>317</v>
      </c>
      <c r="J117" s="14" t="s">
        <v>522</v>
      </c>
      <c r="K117" s="8" t="n">
        <v>10</v>
      </c>
      <c r="L117" s="8" t="n">
        <v>40</v>
      </c>
      <c r="M117" s="8" t="n">
        <v>7</v>
      </c>
      <c r="N117" s="8" t="n">
        <v>102</v>
      </c>
      <c r="O117" s="8" t="n">
        <v>10</v>
      </c>
      <c r="P117" s="9" t="n">
        <v>24.722711706309</v>
      </c>
      <c r="Q117" s="10" t="n">
        <v>0.0404486373452637</v>
      </c>
      <c r="R117" s="9" t="n">
        <v>15</v>
      </c>
      <c r="S117" s="12" t="n">
        <f aca="false">IF(AND(ISNUMBER(R117),R117&gt;1,P117&gt;0),R117/P117-1,"")</f>
        <v>-0.393270439821044</v>
      </c>
      <c r="T117" s="9" t="n">
        <f aca="false">IF(AND(ISNUMBER(P117),P117&gt;0),P117*EXP('Read me'!$B$22),"")</f>
        <v>30.1963882672845</v>
      </c>
    </row>
    <row r="118" customFormat="false" ht="15" hidden="false" customHeight="false" outlineLevel="0" collapsed="false">
      <c r="A118" s="14" t="s">
        <v>116</v>
      </c>
      <c r="B118" s="14" t="s">
        <v>42</v>
      </c>
      <c r="C118" s="14" t="s">
        <v>117</v>
      </c>
      <c r="D118" s="14"/>
      <c r="E118" s="15" t="n">
        <v>6</v>
      </c>
      <c r="F118" s="14" t="s">
        <v>286</v>
      </c>
      <c r="G118" s="8" t="n">
        <v>19</v>
      </c>
      <c r="H118" s="14" t="s">
        <v>523</v>
      </c>
      <c r="I118" s="14" t="s">
        <v>308</v>
      </c>
      <c r="J118" s="14" t="s">
        <v>505</v>
      </c>
      <c r="K118" s="8" t="n">
        <v>16</v>
      </c>
      <c r="L118" s="8" t="n">
        <v>57</v>
      </c>
      <c r="M118" s="8" t="n">
        <v>4</v>
      </c>
      <c r="N118" s="8" t="n">
        <v>87</v>
      </c>
      <c r="O118" s="8" t="n">
        <v>11</v>
      </c>
      <c r="P118" s="9" t="n">
        <v>24.8580362370347</v>
      </c>
      <c r="Q118" s="10" t="n">
        <v>0.0402284392244208</v>
      </c>
      <c r="R118" s="9" t="n">
        <v>13</v>
      </c>
      <c r="S118" s="12" t="n">
        <f aca="false">IF(AND(ISNUMBER(R118),R118&gt;1,P118&gt;0),R118/P118-1,"")</f>
        <v>-0.47703029008253</v>
      </c>
      <c r="T118" s="9" t="n">
        <f aca="false">IF(AND(ISNUMBER(P118),P118&gt;0),P118*EXP('Read me'!$B$22),"")</f>
        <v>30.3616740223596</v>
      </c>
    </row>
    <row r="119" customFormat="false" ht="15" hidden="false" customHeight="false" outlineLevel="0" collapsed="false">
      <c r="A119" s="14" t="s">
        <v>116</v>
      </c>
      <c r="B119" s="14" t="s">
        <v>42</v>
      </c>
      <c r="C119" s="14" t="s">
        <v>117</v>
      </c>
      <c r="D119" s="14"/>
      <c r="E119" s="15" t="n">
        <v>6</v>
      </c>
      <c r="F119" s="14" t="s">
        <v>286</v>
      </c>
      <c r="G119" s="8" t="n">
        <v>19</v>
      </c>
      <c r="H119" s="14" t="s">
        <v>524</v>
      </c>
      <c r="I119" s="14" t="s">
        <v>461</v>
      </c>
      <c r="J119" s="14" t="s">
        <v>525</v>
      </c>
      <c r="K119" s="8" t="n">
        <v>1</v>
      </c>
      <c r="L119" s="8" t="n">
        <v>43</v>
      </c>
      <c r="M119" s="8" t="n">
        <v>7</v>
      </c>
      <c r="N119" s="8" t="n">
        <v>20</v>
      </c>
      <c r="O119" s="8" t="n">
        <v>12</v>
      </c>
      <c r="P119" s="9" t="n">
        <v>26.1932202405612</v>
      </c>
      <c r="Q119" s="10" t="n">
        <v>0.0381778181840911</v>
      </c>
      <c r="R119" s="9" t="n">
        <v>26</v>
      </c>
      <c r="S119" s="12" t="n">
        <f aca="false">IF(AND(ISNUMBER(R119),R119&gt;1,P119&gt;0),R119/P119-1,"")</f>
        <v>-0.00737672721363136</v>
      </c>
      <c r="T119" s="9" t="n">
        <f aca="false">IF(AND(ISNUMBER(P119),P119&gt;0),P119*EXP('Read me'!$B$22),"")</f>
        <v>31.9924714469182</v>
      </c>
    </row>
    <row r="120" customFormat="false" ht="15" hidden="false" customHeight="false" outlineLevel="0" collapsed="false">
      <c r="A120" s="14" t="s">
        <v>116</v>
      </c>
      <c r="B120" s="14" t="s">
        <v>42</v>
      </c>
      <c r="C120" s="14" t="s">
        <v>117</v>
      </c>
      <c r="D120" s="14"/>
      <c r="E120" s="15" t="n">
        <v>6</v>
      </c>
      <c r="F120" s="14" t="s">
        <v>286</v>
      </c>
      <c r="G120" s="8" t="n">
        <v>19</v>
      </c>
      <c r="H120" s="14" t="s">
        <v>526</v>
      </c>
      <c r="I120" s="14" t="s">
        <v>527</v>
      </c>
      <c r="J120" s="14" t="s">
        <v>528</v>
      </c>
      <c r="K120" s="8" t="n">
        <v>19</v>
      </c>
      <c r="L120" s="8" t="n">
        <v>35</v>
      </c>
      <c r="M120" s="8" t="n">
        <v>7</v>
      </c>
      <c r="N120" s="8" t="n">
        <v>13</v>
      </c>
      <c r="O120" s="8" t="n">
        <v>13</v>
      </c>
      <c r="P120" s="9" t="n">
        <v>36.5925769782985</v>
      </c>
      <c r="Q120" s="10" t="n">
        <v>0.0273279468836823</v>
      </c>
      <c r="R120" s="9" t="n">
        <v>21</v>
      </c>
      <c r="S120" s="12" t="n">
        <f aca="false">IF(AND(ISNUMBER(R120),R120&gt;1,P120&gt;0),R120/P120-1,"")</f>
        <v>-0.426113115442671</v>
      </c>
      <c r="T120" s="9" t="n">
        <f aca="false">IF(AND(ISNUMBER(P120),P120&gt;0),P120*EXP('Read me'!$B$22),"")</f>
        <v>44.6942744494822</v>
      </c>
    </row>
    <row r="121" customFormat="false" ht="15" hidden="false" customHeight="false" outlineLevel="0" collapsed="false">
      <c r="A121" s="14" t="s">
        <v>116</v>
      </c>
      <c r="B121" s="14" t="s">
        <v>42</v>
      </c>
      <c r="C121" s="14" t="s">
        <v>117</v>
      </c>
      <c r="D121" s="14"/>
      <c r="E121" s="15" t="n">
        <v>6</v>
      </c>
      <c r="F121" s="14" t="s">
        <v>286</v>
      </c>
      <c r="G121" s="8" t="n">
        <v>19</v>
      </c>
      <c r="H121" s="14" t="s">
        <v>529</v>
      </c>
      <c r="I121" s="14" t="s">
        <v>530</v>
      </c>
      <c r="J121" s="14" t="s">
        <v>531</v>
      </c>
      <c r="K121" s="8" t="n">
        <v>8</v>
      </c>
      <c r="L121" s="8" t="n">
        <v>51</v>
      </c>
      <c r="M121" s="8" t="n">
        <v>5</v>
      </c>
      <c r="N121" s="8" t="n">
        <v>37</v>
      </c>
      <c r="O121" s="8" t="n">
        <v>14</v>
      </c>
      <c r="P121" s="9" t="n">
        <v>40.0922339046044</v>
      </c>
      <c r="Q121" s="10" t="n">
        <v>0.024942486427157</v>
      </c>
      <c r="R121" s="9" t="n">
        <v>51</v>
      </c>
      <c r="S121" s="12" t="n">
        <f aca="false">IF(AND(ISNUMBER(R121),R121&gt;1,P121&gt;0),R121/P121-1,"")</f>
        <v>0.272066807785007</v>
      </c>
      <c r="T121" s="9" t="n">
        <f aca="false">IF(AND(ISNUMBER(P121),P121&gt;0),P121*EXP('Read me'!$B$22),"")</f>
        <v>48.9687650718865</v>
      </c>
    </row>
    <row r="122" customFormat="false" ht="15" hidden="false" customHeight="false" outlineLevel="0" collapsed="false">
      <c r="A122" s="14" t="s">
        <v>116</v>
      </c>
      <c r="B122" s="14" t="s">
        <v>42</v>
      </c>
      <c r="C122" s="14" t="s">
        <v>117</v>
      </c>
      <c r="D122" s="14"/>
      <c r="E122" s="15" t="n">
        <v>6</v>
      </c>
      <c r="F122" s="14" t="s">
        <v>286</v>
      </c>
      <c r="G122" s="8" t="n">
        <v>19</v>
      </c>
      <c r="H122" s="14" t="s">
        <v>532</v>
      </c>
      <c r="I122" s="14" t="s">
        <v>450</v>
      </c>
      <c r="J122" s="14" t="s">
        <v>505</v>
      </c>
      <c r="K122" s="8" t="n">
        <v>3</v>
      </c>
      <c r="L122" s="8" t="n">
        <v>54</v>
      </c>
      <c r="M122" s="8" t="n">
        <v>5</v>
      </c>
      <c r="N122" s="8" t="n">
        <v>24</v>
      </c>
      <c r="O122" s="8" t="n">
        <v>15</v>
      </c>
      <c r="P122" s="9" t="n">
        <v>42.1831873633959</v>
      </c>
      <c r="Q122" s="10" t="n">
        <v>0.0237061270734544</v>
      </c>
      <c r="R122" s="9" t="n">
        <v>29</v>
      </c>
      <c r="S122" s="12" t="n">
        <f aca="false">IF(AND(ISNUMBER(R122),R122&gt;1,P122&gt;0),R122/P122-1,"")</f>
        <v>-0.312522314869822</v>
      </c>
      <c r="T122" s="9" t="n">
        <f aca="false">IF(AND(ISNUMBER(P122),P122&gt;0),P122*EXP('Read me'!$B$22),"")</f>
        <v>51.522661393639</v>
      </c>
    </row>
    <row r="123" customFormat="false" ht="15" hidden="false" customHeight="false" outlineLevel="0" collapsed="false">
      <c r="A123" s="14" t="s">
        <v>116</v>
      </c>
      <c r="B123" s="14" t="s">
        <v>42</v>
      </c>
      <c r="C123" s="14" t="s">
        <v>117</v>
      </c>
      <c r="D123" s="14"/>
      <c r="E123" s="15" t="n">
        <v>6</v>
      </c>
      <c r="F123" s="14" t="s">
        <v>286</v>
      </c>
      <c r="G123" s="8" t="n">
        <v>19</v>
      </c>
      <c r="H123" s="14" t="s">
        <v>533</v>
      </c>
      <c r="I123" s="14" t="s">
        <v>534</v>
      </c>
      <c r="J123" s="14" t="s">
        <v>535</v>
      </c>
      <c r="K123" s="8" t="n">
        <v>9</v>
      </c>
      <c r="L123" s="8" t="n">
        <v>50</v>
      </c>
      <c r="M123" s="8" t="n">
        <v>4</v>
      </c>
      <c r="N123" s="8" t="n">
        <v>163</v>
      </c>
      <c r="O123" s="8" t="n">
        <v>16</v>
      </c>
      <c r="P123" s="9" t="n">
        <v>50.4862263763684</v>
      </c>
      <c r="Q123" s="10" t="n">
        <v>0.0198073825630207</v>
      </c>
      <c r="R123" s="9" t="n">
        <v>34</v>
      </c>
      <c r="S123" s="12" t="n">
        <f aca="false">IF(AND(ISNUMBER(R123),R123&gt;1,P123&gt;0),R123/P123-1,"")</f>
        <v>-0.326548992857293</v>
      </c>
      <c r="T123" s="9" t="n">
        <f aca="false">IF(AND(ISNUMBER(P123),P123&gt;0),P123*EXP('Read me'!$B$22),"")</f>
        <v>61.6640161451951</v>
      </c>
    </row>
    <row r="124" customFormat="false" ht="15" hidden="false" customHeight="false" outlineLevel="0" collapsed="false">
      <c r="A124" s="14" t="s">
        <v>116</v>
      </c>
      <c r="B124" s="14" t="s">
        <v>42</v>
      </c>
      <c r="C124" s="14" t="s">
        <v>117</v>
      </c>
      <c r="D124" s="14"/>
      <c r="E124" s="15" t="n">
        <v>6</v>
      </c>
      <c r="F124" s="14" t="s">
        <v>286</v>
      </c>
      <c r="G124" s="8" t="n">
        <v>19</v>
      </c>
      <c r="H124" s="14" t="s">
        <v>536</v>
      </c>
      <c r="I124" s="14" t="s">
        <v>458</v>
      </c>
      <c r="J124" s="14" t="s">
        <v>318</v>
      </c>
      <c r="K124" s="8" t="n">
        <v>5</v>
      </c>
      <c r="L124" s="8" t="n">
        <v>55</v>
      </c>
      <c r="M124" s="8" t="n">
        <v>3</v>
      </c>
      <c r="N124" s="8" t="n">
        <v>244</v>
      </c>
      <c r="O124" s="8" t="n">
        <v>17</v>
      </c>
      <c r="P124" s="9" t="n">
        <v>98.5385559775286</v>
      </c>
      <c r="Q124" s="10" t="n">
        <v>0.0101483118976093</v>
      </c>
      <c r="R124" s="9" t="n">
        <v>41</v>
      </c>
      <c r="S124" s="12" t="n">
        <f aca="false">IF(AND(ISNUMBER(R124),R124&gt;1,P124&gt;0),R124/P124-1,"")</f>
        <v>-0.583919212198016</v>
      </c>
      <c r="T124" s="9" t="n">
        <f aca="false">IF(AND(ISNUMBER(P124),P124&gt;0),P124*EXP('Read me'!$B$22),"")</f>
        <v>120.355264056074</v>
      </c>
    </row>
    <row r="125" customFormat="false" ht="15" hidden="false" customHeight="false" outlineLevel="0" collapsed="false">
      <c r="A125" s="14" t="s">
        <v>116</v>
      </c>
      <c r="B125" s="14" t="s">
        <v>42</v>
      </c>
      <c r="C125" s="14" t="s">
        <v>117</v>
      </c>
      <c r="D125" s="14"/>
      <c r="E125" s="15" t="n">
        <v>6</v>
      </c>
      <c r="F125" s="14" t="s">
        <v>286</v>
      </c>
      <c r="G125" s="8" t="n">
        <v>19</v>
      </c>
      <c r="H125" s="14" t="s">
        <v>537</v>
      </c>
      <c r="I125" s="14" t="s">
        <v>538</v>
      </c>
      <c r="J125" s="14" t="s">
        <v>300</v>
      </c>
      <c r="K125" s="8" t="n">
        <v>4</v>
      </c>
      <c r="L125" s="8" t="n">
        <v>44</v>
      </c>
      <c r="M125" s="8" t="n">
        <v>3</v>
      </c>
      <c r="N125" s="8" t="n">
        <v>67</v>
      </c>
      <c r="O125" s="8" t="n">
        <v>18</v>
      </c>
      <c r="P125" s="9" t="n">
        <v>117.274540316502</v>
      </c>
      <c r="Q125" s="10" t="n">
        <v>0.0085269999549875</v>
      </c>
      <c r="R125" s="9" t="n">
        <v>41</v>
      </c>
      <c r="S125" s="12" t="n">
        <f aca="false">IF(AND(ISNUMBER(R125),R125&gt;1,P125&gt;0),R125/P125-1,"")</f>
        <v>-0.65039300184551</v>
      </c>
      <c r="T125" s="9" t="n">
        <f aca="false">IF(AND(ISNUMBER(P125),P125&gt;0),P125*EXP('Read me'!$B$22),"")</f>
        <v>143.239447004542</v>
      </c>
    </row>
    <row r="126" customFormat="false" ht="15" hidden="false" customHeight="false" outlineLevel="0" collapsed="false">
      <c r="A126" s="14" t="s">
        <v>116</v>
      </c>
      <c r="B126" s="14" t="s">
        <v>42</v>
      </c>
      <c r="C126" s="14" t="s">
        <v>117</v>
      </c>
      <c r="D126" s="14"/>
      <c r="E126" s="15" t="n">
        <v>6</v>
      </c>
      <c r="F126" s="14" t="s">
        <v>286</v>
      </c>
      <c r="G126" s="8" t="n">
        <v>19</v>
      </c>
      <c r="H126" s="14" t="s">
        <v>539</v>
      </c>
      <c r="I126" s="14" t="s">
        <v>540</v>
      </c>
      <c r="J126" s="14" t="s">
        <v>541</v>
      </c>
      <c r="K126" s="8" t="n">
        <v>12</v>
      </c>
      <c r="L126" s="8" t="n">
        <v>56</v>
      </c>
      <c r="M126" s="8" t="n">
        <v>4</v>
      </c>
      <c r="N126" s="8" t="n">
        <v>114</v>
      </c>
      <c r="O126" s="8" t="n">
        <v>19</v>
      </c>
      <c r="P126" s="9" t="n">
        <v>175.028117626308</v>
      </c>
      <c r="Q126" s="10" t="n">
        <v>0.005713367735206</v>
      </c>
      <c r="R126" s="9" t="n">
        <v>126</v>
      </c>
      <c r="S126" s="12" t="n">
        <f aca="false">IF(AND(ISNUMBER(R126),R126&gt;1,P126&gt;0),R126/P126-1,"")</f>
        <v>-0.280115665364035</v>
      </c>
      <c r="T126" s="9" t="n">
        <f aca="false">IF(AND(ISNUMBER(P126),P126&gt;0),P126*EXP('Read me'!$B$22),"")</f>
        <v>213.779825624355</v>
      </c>
    </row>
    <row r="127" customFormat="false" ht="15" hidden="false" customHeight="false" outlineLevel="0" collapsed="false">
      <c r="A127" s="14" t="s">
        <v>121</v>
      </c>
      <c r="B127" s="14" t="s">
        <v>49</v>
      </c>
      <c r="C127" s="14" t="s">
        <v>122</v>
      </c>
      <c r="D127" s="14" t="s">
        <v>542</v>
      </c>
      <c r="E127" s="15" t="n">
        <v>8</v>
      </c>
      <c r="F127" s="14" t="s">
        <v>320</v>
      </c>
      <c r="G127" s="8" t="n">
        <v>6</v>
      </c>
      <c r="H127" s="14" t="s">
        <v>123</v>
      </c>
      <c r="I127" s="14" t="s">
        <v>124</v>
      </c>
      <c r="J127" s="14" t="s">
        <v>125</v>
      </c>
      <c r="K127" s="8" t="n">
        <v>2</v>
      </c>
      <c r="L127" s="8" t="n">
        <v>0</v>
      </c>
      <c r="M127" s="8" t="n">
        <v>2</v>
      </c>
      <c r="N127" s="8" t="n">
        <v>25</v>
      </c>
      <c r="O127" s="8" t="n">
        <v>1</v>
      </c>
      <c r="P127" s="9" t="n">
        <v>1.69807356750882</v>
      </c>
      <c r="Q127" s="10" t="n">
        <v>0.588902635983588</v>
      </c>
      <c r="R127" s="9" t="n">
        <v>1.25</v>
      </c>
      <c r="S127" s="12" t="n">
        <f aca="false">IF(AND(ISNUMBER(R127),R127&gt;1,P127&gt;0),R127/P127-1,"")</f>
        <v>-0.263871705020515</v>
      </c>
      <c r="T127" s="9" t="n">
        <f aca="false">IF(AND(ISNUMBER(P127),P127&gt;0),P127*EXP('Read me'!$B$22),"")</f>
        <v>2.07403173891415</v>
      </c>
    </row>
    <row r="128" customFormat="false" ht="15" hidden="false" customHeight="false" outlineLevel="0" collapsed="false">
      <c r="A128" s="14" t="s">
        <v>121</v>
      </c>
      <c r="B128" s="14" t="s">
        <v>49</v>
      </c>
      <c r="C128" s="14" t="s">
        <v>122</v>
      </c>
      <c r="D128" s="14" t="s">
        <v>542</v>
      </c>
      <c r="E128" s="15" t="n">
        <v>8</v>
      </c>
      <c r="F128" s="14" t="s">
        <v>320</v>
      </c>
      <c r="G128" s="8" t="n">
        <v>6</v>
      </c>
      <c r="H128" s="14" t="s">
        <v>126</v>
      </c>
      <c r="I128" s="14" t="s">
        <v>101</v>
      </c>
      <c r="J128" s="14" t="s">
        <v>543</v>
      </c>
      <c r="K128" s="8" t="n">
        <v>3</v>
      </c>
      <c r="L128" s="8" t="n">
        <v>82</v>
      </c>
      <c r="M128" s="8" t="n">
        <v>2</v>
      </c>
      <c r="N128" s="8" t="n">
        <v>21</v>
      </c>
      <c r="O128" s="8" t="n">
        <v>2</v>
      </c>
      <c r="P128" s="9" t="n">
        <v>3.70444686580578</v>
      </c>
      <c r="Q128" s="10" t="n">
        <v>0.2699458343513</v>
      </c>
      <c r="R128" s="9" t="n">
        <v>5</v>
      </c>
      <c r="S128" s="12" t="n">
        <f aca="false">IF(AND(ISNUMBER(R128),R128&gt;1,P128&gt;0),R128/P128-1,"")</f>
        <v>0.349729171756501</v>
      </c>
      <c r="T128" s="9" t="n">
        <f aca="false">IF(AND(ISNUMBER(P128),P128&gt;0),P128*EXP('Read me'!$B$22),"")</f>
        <v>4.52462161935298</v>
      </c>
    </row>
    <row r="129" customFormat="false" ht="15" hidden="false" customHeight="false" outlineLevel="0" collapsed="false">
      <c r="A129" s="14" t="s">
        <v>121</v>
      </c>
      <c r="B129" s="14" t="s">
        <v>49</v>
      </c>
      <c r="C129" s="14" t="s">
        <v>122</v>
      </c>
      <c r="D129" s="14" t="s">
        <v>542</v>
      </c>
      <c r="E129" s="15" t="n">
        <v>8</v>
      </c>
      <c r="F129" s="14" t="s">
        <v>320</v>
      </c>
      <c r="G129" s="8" t="n">
        <v>6</v>
      </c>
      <c r="H129" s="14" t="s">
        <v>544</v>
      </c>
      <c r="I129" s="14" t="s">
        <v>148</v>
      </c>
      <c r="J129" s="14" t="s">
        <v>409</v>
      </c>
      <c r="K129" s="8" t="n">
        <v>4</v>
      </c>
      <c r="L129" s="8" t="n">
        <v>0</v>
      </c>
      <c r="M129" s="8" t="n">
        <v>2</v>
      </c>
      <c r="N129" s="8"/>
      <c r="O129" s="8" t="n">
        <v>3</v>
      </c>
      <c r="P129" s="9" t="n">
        <v>11.9380327755405</v>
      </c>
      <c r="Q129" s="10" t="n">
        <v>0.083765895001467</v>
      </c>
      <c r="R129" s="9" t="n">
        <v>11</v>
      </c>
      <c r="S129" s="12" t="n">
        <f aca="false">IF(AND(ISNUMBER(R129),R129&gt;1,P129&gt;0),R129/P129-1,"")</f>
        <v>-0.078575154983862</v>
      </c>
      <c r="T129" s="9" t="n">
        <f aca="false">IF(AND(ISNUMBER(P129),P129&gt;0),P129*EXP('Read me'!$B$22),"")</f>
        <v>14.5811461590517</v>
      </c>
    </row>
    <row r="130" customFormat="false" ht="15" hidden="false" customHeight="false" outlineLevel="0" collapsed="false">
      <c r="A130" s="14" t="s">
        <v>121</v>
      </c>
      <c r="B130" s="14" t="s">
        <v>49</v>
      </c>
      <c r="C130" s="14" t="s">
        <v>122</v>
      </c>
      <c r="D130" s="14" t="s">
        <v>542</v>
      </c>
      <c r="E130" s="15" t="n">
        <v>8</v>
      </c>
      <c r="F130" s="14" t="s">
        <v>320</v>
      </c>
      <c r="G130" s="8" t="n">
        <v>6</v>
      </c>
      <c r="H130" s="14" t="s">
        <v>545</v>
      </c>
      <c r="I130" s="14" t="s">
        <v>415</v>
      </c>
      <c r="J130" s="14" t="s">
        <v>546</v>
      </c>
      <c r="K130" s="8" t="n">
        <v>6</v>
      </c>
      <c r="L130" s="8" t="n">
        <v>0</v>
      </c>
      <c r="M130" s="8" t="n">
        <v>2</v>
      </c>
      <c r="N130" s="8"/>
      <c r="O130" s="8" t="n">
        <v>4</v>
      </c>
      <c r="P130" s="9" t="n">
        <v>19.0017024235909</v>
      </c>
      <c r="Q130" s="10" t="n">
        <v>0.0526268635150545</v>
      </c>
      <c r="R130" s="9" t="n">
        <v>21</v>
      </c>
      <c r="S130" s="12" t="n">
        <f aca="false">IF(AND(ISNUMBER(R130),R130&gt;1,P130&gt;0),R130/P130-1,"")</f>
        <v>0.105164133816146</v>
      </c>
      <c r="T130" s="9" t="n">
        <f aca="false">IF(AND(ISNUMBER(P130),P130&gt;0),P130*EXP('Read me'!$B$22),"")</f>
        <v>23.2087317499127</v>
      </c>
    </row>
    <row r="131" customFormat="false" ht="15" hidden="false" customHeight="false" outlineLevel="0" collapsed="false">
      <c r="A131" s="14" t="s">
        <v>121</v>
      </c>
      <c r="B131" s="14" t="s">
        <v>49</v>
      </c>
      <c r="C131" s="14" t="s">
        <v>122</v>
      </c>
      <c r="D131" s="14" t="s">
        <v>542</v>
      </c>
      <c r="E131" s="15" t="n">
        <v>8</v>
      </c>
      <c r="F131" s="14" t="s">
        <v>320</v>
      </c>
      <c r="G131" s="8" t="n">
        <v>6</v>
      </c>
      <c r="H131" s="14" t="s">
        <v>547</v>
      </c>
      <c r="I131" s="14" t="s">
        <v>420</v>
      </c>
      <c r="J131" s="14" t="s">
        <v>548</v>
      </c>
      <c r="K131" s="8" t="n">
        <v>5</v>
      </c>
      <c r="L131" s="8" t="n">
        <v>0</v>
      </c>
      <c r="M131" s="8" t="n">
        <v>2</v>
      </c>
      <c r="N131" s="8" t="n">
        <v>8</v>
      </c>
      <c r="O131" s="8" t="n">
        <v>5</v>
      </c>
      <c r="P131" s="9" t="n">
        <v>329.746910393534</v>
      </c>
      <c r="Q131" s="10" t="n">
        <v>0.0030326288692335</v>
      </c>
      <c r="R131" s="9" t="n">
        <v>101</v>
      </c>
      <c r="S131" s="12" t="n">
        <f aca="false">IF(AND(ISNUMBER(R131),R131&gt;1,P131&gt;0),R131/P131-1,"")</f>
        <v>-0.693704484207411</v>
      </c>
      <c r="T131" s="9" t="n">
        <f aca="false">IF(AND(ISNUMBER(P131),P131&gt;0),P131*EXP('Read me'!$B$22),"")</f>
        <v>402.753785849457</v>
      </c>
    </row>
    <row r="132" customFormat="false" ht="15" hidden="false" customHeight="false" outlineLevel="0" collapsed="false">
      <c r="A132" s="14" t="s">
        <v>121</v>
      </c>
      <c r="B132" s="14" t="s">
        <v>49</v>
      </c>
      <c r="C132" s="14" t="s">
        <v>122</v>
      </c>
      <c r="D132" s="14" t="s">
        <v>542</v>
      </c>
      <c r="E132" s="15" t="n">
        <v>8</v>
      </c>
      <c r="F132" s="14" t="s">
        <v>320</v>
      </c>
      <c r="G132" s="8" t="n">
        <v>6</v>
      </c>
      <c r="H132" s="14" t="s">
        <v>549</v>
      </c>
      <c r="I132" s="14" t="s">
        <v>550</v>
      </c>
      <c r="J132" s="14" t="s">
        <v>551</v>
      </c>
      <c r="K132" s="8" t="n">
        <v>1</v>
      </c>
      <c r="L132" s="8" t="n">
        <v>0</v>
      </c>
      <c r="M132" s="8" t="n">
        <v>2</v>
      </c>
      <c r="N132" s="8" t="n">
        <v>40</v>
      </c>
      <c r="O132" s="8" t="n">
        <v>6</v>
      </c>
      <c r="P132" s="9" t="n">
        <v>579.326520159466</v>
      </c>
      <c r="Q132" s="10" t="n">
        <v>0.0017261422793569</v>
      </c>
      <c r="R132" s="9" t="n">
        <v>201</v>
      </c>
      <c r="S132" s="12" t="n">
        <f aca="false">IF(AND(ISNUMBER(R132),R132&gt;1,P132&gt;0),R132/P132-1,"")</f>
        <v>-0.65304540184925</v>
      </c>
      <c r="T132" s="9" t="n">
        <f aca="false">IF(AND(ISNUMBER(P132),P132&gt;0),P132*EXP('Read me'!$B$22),"")</f>
        <v>707.591009598105</v>
      </c>
    </row>
    <row r="133" customFormat="false" ht="15" hidden="false" customHeight="false" outlineLevel="0" collapsed="false">
      <c r="A133" s="14" t="s">
        <v>127</v>
      </c>
      <c r="B133" s="14" t="s">
        <v>56</v>
      </c>
      <c r="C133" s="14" t="s">
        <v>128</v>
      </c>
      <c r="D133" s="14" t="s">
        <v>422</v>
      </c>
      <c r="E133" s="15" t="n">
        <v>7</v>
      </c>
      <c r="F133" s="14" t="s">
        <v>349</v>
      </c>
      <c r="G133" s="8" t="n">
        <v>10</v>
      </c>
      <c r="H133" s="14" t="s">
        <v>129</v>
      </c>
      <c r="I133" s="14" t="s">
        <v>130</v>
      </c>
      <c r="J133" s="14" t="s">
        <v>131</v>
      </c>
      <c r="K133" s="8" t="n">
        <v>5</v>
      </c>
      <c r="L133" s="8" t="n">
        <v>81</v>
      </c>
      <c r="M133" s="8" t="n">
        <v>4</v>
      </c>
      <c r="N133" s="8" t="n">
        <v>7</v>
      </c>
      <c r="O133" s="8" t="n">
        <v>1</v>
      </c>
      <c r="P133" s="9" t="n">
        <v>4.48027259490629</v>
      </c>
      <c r="Q133" s="10" t="n">
        <v>0.22320070460376</v>
      </c>
      <c r="R133" s="9" t="n">
        <v>4.5</v>
      </c>
      <c r="S133" s="12" t="n">
        <f aca="false">IF(AND(ISNUMBER(R133),R133&gt;1,P133&gt;0),R133/P133-1,"")</f>
        <v>0.00440317071691965</v>
      </c>
      <c r="T133" s="9" t="n">
        <f aca="false">IF(AND(ISNUMBER(P133),P133&gt;0),P133*EXP('Read me'!$B$22),"")</f>
        <v>5.47221730472797</v>
      </c>
    </row>
    <row r="134" customFormat="false" ht="15" hidden="false" customHeight="false" outlineLevel="0" collapsed="false">
      <c r="A134" s="14" t="s">
        <v>127</v>
      </c>
      <c r="B134" s="14" t="s">
        <v>56</v>
      </c>
      <c r="C134" s="14" t="s">
        <v>128</v>
      </c>
      <c r="D134" s="14" t="s">
        <v>422</v>
      </c>
      <c r="E134" s="15" t="n">
        <v>7</v>
      </c>
      <c r="F134" s="14" t="s">
        <v>349</v>
      </c>
      <c r="G134" s="8" t="n">
        <v>10</v>
      </c>
      <c r="H134" s="14" t="s">
        <v>132</v>
      </c>
      <c r="I134" s="14" t="s">
        <v>494</v>
      </c>
      <c r="J134" s="14" t="s">
        <v>495</v>
      </c>
      <c r="K134" s="8" t="n">
        <v>2</v>
      </c>
      <c r="L134" s="8" t="n">
        <v>77</v>
      </c>
      <c r="M134" s="8" t="n">
        <v>8</v>
      </c>
      <c r="N134" s="8" t="n">
        <v>10</v>
      </c>
      <c r="O134" s="8" t="n">
        <v>2</v>
      </c>
      <c r="P134" s="9" t="n">
        <v>4.99174514066143</v>
      </c>
      <c r="Q134" s="10" t="n">
        <v>0.200330740416666</v>
      </c>
      <c r="R134" s="9" t="n">
        <v>4.5</v>
      </c>
      <c r="S134" s="12" t="n">
        <f aca="false">IF(AND(ISNUMBER(R134),R134&gt;1,P134&gt;0),R134/P134-1,"")</f>
        <v>-0.098511668125001</v>
      </c>
      <c r="T134" s="9" t="n">
        <f aca="false">IF(AND(ISNUMBER(P134),P134&gt;0),P134*EXP('Read me'!$B$22),"")</f>
        <v>6.09693128283649</v>
      </c>
    </row>
    <row r="135" customFormat="false" ht="15" hidden="false" customHeight="false" outlineLevel="0" collapsed="false">
      <c r="A135" s="14" t="s">
        <v>127</v>
      </c>
      <c r="B135" s="14" t="s">
        <v>56</v>
      </c>
      <c r="C135" s="14" t="s">
        <v>128</v>
      </c>
      <c r="D135" s="14" t="s">
        <v>422</v>
      </c>
      <c r="E135" s="15" t="n">
        <v>7</v>
      </c>
      <c r="F135" s="14" t="s">
        <v>349</v>
      </c>
      <c r="G135" s="8" t="n">
        <v>10</v>
      </c>
      <c r="H135" s="14" t="s">
        <v>552</v>
      </c>
      <c r="I135" s="14" t="s">
        <v>553</v>
      </c>
      <c r="J135" s="14" t="s">
        <v>380</v>
      </c>
      <c r="K135" s="8" t="n">
        <v>7</v>
      </c>
      <c r="L135" s="8" t="n">
        <v>79</v>
      </c>
      <c r="M135" s="8" t="n">
        <v>3</v>
      </c>
      <c r="N135" s="8" t="n">
        <v>10</v>
      </c>
      <c r="O135" s="8" t="n">
        <v>3</v>
      </c>
      <c r="P135" s="9" t="n">
        <v>8.11607966736919</v>
      </c>
      <c r="Q135" s="10" t="n">
        <v>0.123212196156787</v>
      </c>
      <c r="R135" s="9" t="n">
        <v>7</v>
      </c>
      <c r="S135" s="12" t="n">
        <f aca="false">IF(AND(ISNUMBER(R135),R135&gt;1,P135&gt;0),R135/P135-1,"")</f>
        <v>-0.137514626902493</v>
      </c>
      <c r="T135" s="9" t="n">
        <f aca="false">IF(AND(ISNUMBER(P135),P135&gt;0),P135*EXP('Read me'!$B$22),"")</f>
        <v>9.9130020911724</v>
      </c>
    </row>
    <row r="136" customFormat="false" ht="15" hidden="false" customHeight="false" outlineLevel="0" collapsed="false">
      <c r="A136" s="14" t="s">
        <v>127</v>
      </c>
      <c r="B136" s="14" t="s">
        <v>56</v>
      </c>
      <c r="C136" s="14" t="s">
        <v>128</v>
      </c>
      <c r="D136" s="14" t="s">
        <v>422</v>
      </c>
      <c r="E136" s="15" t="n">
        <v>7</v>
      </c>
      <c r="F136" s="14" t="s">
        <v>349</v>
      </c>
      <c r="G136" s="8" t="n">
        <v>10</v>
      </c>
      <c r="H136" s="14" t="s">
        <v>554</v>
      </c>
      <c r="I136" s="14" t="s">
        <v>555</v>
      </c>
      <c r="J136" s="14" t="s">
        <v>108</v>
      </c>
      <c r="K136" s="8" t="n">
        <v>8</v>
      </c>
      <c r="L136" s="8" t="n">
        <v>70</v>
      </c>
      <c r="M136" s="8" t="n">
        <v>6</v>
      </c>
      <c r="N136" s="8" t="n">
        <v>20</v>
      </c>
      <c r="O136" s="8" t="n">
        <v>4</v>
      </c>
      <c r="P136" s="9" t="n">
        <v>10.3499391660717</v>
      </c>
      <c r="Q136" s="10" t="n">
        <v>0.0966189253824907</v>
      </c>
      <c r="R136" s="9" t="n">
        <v>7.5</v>
      </c>
      <c r="S136" s="12" t="n">
        <f aca="false">IF(AND(ISNUMBER(R136),R136&gt;1,P136&gt;0),R136/P136-1,"")</f>
        <v>-0.275358059631319</v>
      </c>
      <c r="T136" s="9" t="n">
        <f aca="false">IF(AND(ISNUMBER(P136),P136&gt;0),P136*EXP('Read me'!$B$22),"")</f>
        <v>12.6414442442299</v>
      </c>
    </row>
    <row r="137" customFormat="false" ht="15" hidden="false" customHeight="false" outlineLevel="0" collapsed="false">
      <c r="A137" s="14" t="s">
        <v>127</v>
      </c>
      <c r="B137" s="14" t="s">
        <v>56</v>
      </c>
      <c r="C137" s="14" t="s">
        <v>128</v>
      </c>
      <c r="D137" s="14" t="s">
        <v>422</v>
      </c>
      <c r="E137" s="15" t="n">
        <v>7</v>
      </c>
      <c r="F137" s="14" t="s">
        <v>349</v>
      </c>
      <c r="G137" s="8" t="n">
        <v>10</v>
      </c>
      <c r="H137" s="14" t="s">
        <v>556</v>
      </c>
      <c r="I137" s="14" t="s">
        <v>557</v>
      </c>
      <c r="J137" s="14" t="s">
        <v>367</v>
      </c>
      <c r="K137" s="8" t="n">
        <v>3</v>
      </c>
      <c r="L137" s="8" t="n">
        <v>81</v>
      </c>
      <c r="M137" s="8" t="n">
        <v>5</v>
      </c>
      <c r="N137" s="8" t="n">
        <v>7</v>
      </c>
      <c r="O137" s="8" t="n">
        <v>5</v>
      </c>
      <c r="P137" s="9" t="n">
        <v>11.6942747508637</v>
      </c>
      <c r="Q137" s="10" t="n">
        <v>0.0855119296667925</v>
      </c>
      <c r="R137" s="9" t="n">
        <v>9.5</v>
      </c>
      <c r="S137" s="12" t="n">
        <f aca="false">IF(AND(ISNUMBER(R137),R137&gt;1,P137&gt;0),R137/P137-1,"")</f>
        <v>-0.187636668165471</v>
      </c>
      <c r="T137" s="9" t="n">
        <f aca="false">IF(AND(ISNUMBER(P137),P137&gt;0),P137*EXP('Read me'!$B$22),"")</f>
        <v>14.2834194353877</v>
      </c>
    </row>
    <row r="138" customFormat="false" ht="15" hidden="false" customHeight="false" outlineLevel="0" collapsed="false">
      <c r="A138" s="14" t="s">
        <v>127</v>
      </c>
      <c r="B138" s="14" t="s">
        <v>56</v>
      </c>
      <c r="C138" s="14" t="s">
        <v>128</v>
      </c>
      <c r="D138" s="14" t="s">
        <v>422</v>
      </c>
      <c r="E138" s="15" t="n">
        <v>7</v>
      </c>
      <c r="F138" s="14" t="s">
        <v>349</v>
      </c>
      <c r="G138" s="8" t="n">
        <v>10</v>
      </c>
      <c r="H138" s="14" t="s">
        <v>558</v>
      </c>
      <c r="I138" s="14" t="s">
        <v>107</v>
      </c>
      <c r="J138" s="14" t="s">
        <v>351</v>
      </c>
      <c r="K138" s="8" t="n">
        <v>9</v>
      </c>
      <c r="L138" s="8" t="n">
        <v>74</v>
      </c>
      <c r="M138" s="8" t="n">
        <v>8</v>
      </c>
      <c r="N138" s="8" t="n">
        <v>8</v>
      </c>
      <c r="O138" s="8" t="n">
        <v>6</v>
      </c>
      <c r="P138" s="9" t="n">
        <v>14.9778697847922</v>
      </c>
      <c r="Q138" s="10" t="n">
        <v>0.0667651685031575</v>
      </c>
      <c r="R138" s="9" t="n">
        <v>9.5</v>
      </c>
      <c r="S138" s="12" t="n">
        <f aca="false">IF(AND(ISNUMBER(R138),R138&gt;1,P138&gt;0),R138/P138-1,"")</f>
        <v>-0.365730899220003</v>
      </c>
      <c r="T138" s="9" t="n">
        <f aca="false">IF(AND(ISNUMBER(P138),P138&gt;0),P138*EXP('Read me'!$B$22),"")</f>
        <v>18.294011466509</v>
      </c>
    </row>
    <row r="139" customFormat="false" ht="15" hidden="false" customHeight="false" outlineLevel="0" collapsed="false">
      <c r="A139" s="14" t="s">
        <v>127</v>
      </c>
      <c r="B139" s="14" t="s">
        <v>56</v>
      </c>
      <c r="C139" s="14" t="s">
        <v>128</v>
      </c>
      <c r="D139" s="14" t="s">
        <v>422</v>
      </c>
      <c r="E139" s="15" t="n">
        <v>7</v>
      </c>
      <c r="F139" s="14" t="s">
        <v>349</v>
      </c>
      <c r="G139" s="8" t="n">
        <v>10</v>
      </c>
      <c r="H139" s="14" t="s">
        <v>559</v>
      </c>
      <c r="I139" s="14" t="s">
        <v>560</v>
      </c>
      <c r="J139" s="14" t="s">
        <v>441</v>
      </c>
      <c r="K139" s="8" t="n">
        <v>10</v>
      </c>
      <c r="L139" s="8" t="n">
        <v>71</v>
      </c>
      <c r="M139" s="8" t="n">
        <v>5</v>
      </c>
      <c r="N139" s="8" t="n">
        <v>82</v>
      </c>
      <c r="O139" s="8" t="n">
        <v>7</v>
      </c>
      <c r="P139" s="9" t="n">
        <v>16.0167385796165</v>
      </c>
      <c r="Q139" s="10" t="n">
        <v>0.0624346832552186</v>
      </c>
      <c r="R139" s="9" t="n">
        <v>12</v>
      </c>
      <c r="S139" s="12" t="n">
        <f aca="false">IF(AND(ISNUMBER(R139),R139&gt;1,P139&gt;0),R139/P139-1,"")</f>
        <v>-0.250783800937376</v>
      </c>
      <c r="T139" s="9" t="n">
        <f aca="false">IF(AND(ISNUMBER(P139),P139&gt;0),P139*EXP('Read me'!$B$22),"")</f>
        <v>19.562888677874</v>
      </c>
    </row>
    <row r="140" customFormat="false" ht="15" hidden="false" customHeight="false" outlineLevel="0" collapsed="false">
      <c r="A140" s="14" t="s">
        <v>127</v>
      </c>
      <c r="B140" s="14" t="s">
        <v>56</v>
      </c>
      <c r="C140" s="14" t="s">
        <v>128</v>
      </c>
      <c r="D140" s="14" t="s">
        <v>422</v>
      </c>
      <c r="E140" s="15" t="n">
        <v>7</v>
      </c>
      <c r="F140" s="14" t="s">
        <v>349</v>
      </c>
      <c r="G140" s="8" t="n">
        <v>10</v>
      </c>
      <c r="H140" s="14" t="s">
        <v>561</v>
      </c>
      <c r="I140" s="14" t="s">
        <v>426</v>
      </c>
      <c r="J140" s="14" t="s">
        <v>90</v>
      </c>
      <c r="K140" s="8" t="n">
        <v>4</v>
      </c>
      <c r="L140" s="8" t="n">
        <v>70</v>
      </c>
      <c r="M140" s="8" t="n">
        <v>8</v>
      </c>
      <c r="N140" s="8" t="n">
        <v>28</v>
      </c>
      <c r="O140" s="8" t="n">
        <v>8</v>
      </c>
      <c r="P140" s="9" t="n">
        <v>17.001131500565</v>
      </c>
      <c r="Q140" s="10" t="n">
        <v>0.0588196144454717</v>
      </c>
      <c r="R140" s="9" t="n">
        <v>13</v>
      </c>
      <c r="S140" s="12" t="n">
        <f aca="false">IF(AND(ISNUMBER(R140),R140&gt;1,P140&gt;0),R140/P140-1,"")</f>
        <v>-0.235345012208867</v>
      </c>
      <c r="T140" s="9" t="n">
        <f aca="false">IF(AND(ISNUMBER(P140),P140&gt;0),P140*EXP('Read me'!$B$22),"")</f>
        <v>20.7652289066339</v>
      </c>
    </row>
    <row r="141" customFormat="false" ht="15" hidden="false" customHeight="false" outlineLevel="0" collapsed="false">
      <c r="A141" s="14" t="s">
        <v>127</v>
      </c>
      <c r="B141" s="14" t="s">
        <v>56</v>
      </c>
      <c r="C141" s="14" t="s">
        <v>128</v>
      </c>
      <c r="D141" s="14" t="s">
        <v>422</v>
      </c>
      <c r="E141" s="15" t="n">
        <v>7</v>
      </c>
      <c r="F141" s="14" t="s">
        <v>349</v>
      </c>
      <c r="G141" s="8" t="n">
        <v>10</v>
      </c>
      <c r="H141" s="14" t="s">
        <v>562</v>
      </c>
      <c r="I141" s="14" t="s">
        <v>563</v>
      </c>
      <c r="J141" s="14" t="s">
        <v>564</v>
      </c>
      <c r="K141" s="8" t="n">
        <v>1</v>
      </c>
      <c r="L141" s="8" t="n">
        <v>68</v>
      </c>
      <c r="M141" s="8" t="n">
        <v>3</v>
      </c>
      <c r="N141" s="8" t="n">
        <v>52</v>
      </c>
      <c r="O141" s="8" t="n">
        <v>9</v>
      </c>
      <c r="P141" s="9" t="n">
        <v>19.3743269643713</v>
      </c>
      <c r="Q141" s="10" t="n">
        <v>0.0516146961821674</v>
      </c>
      <c r="R141" s="9" t="n">
        <v>17</v>
      </c>
      <c r="S141" s="12" t="n">
        <f aca="false">IF(AND(ISNUMBER(R141),R141&gt;1,P141&gt;0),R141/P141-1,"")</f>
        <v>-0.122550164903153</v>
      </c>
      <c r="T141" s="9" t="n">
        <f aca="false">IF(AND(ISNUMBER(P141),P141&gt;0),P141*EXP('Read me'!$B$22),"")</f>
        <v>23.6638563917801</v>
      </c>
    </row>
    <row r="142" customFormat="false" ht="15" hidden="false" customHeight="false" outlineLevel="0" collapsed="false">
      <c r="A142" s="14" t="s">
        <v>127</v>
      </c>
      <c r="B142" s="14" t="s">
        <v>56</v>
      </c>
      <c r="C142" s="14" t="s">
        <v>128</v>
      </c>
      <c r="D142" s="14" t="s">
        <v>422</v>
      </c>
      <c r="E142" s="15" t="n">
        <v>7</v>
      </c>
      <c r="F142" s="14" t="s">
        <v>349</v>
      </c>
      <c r="G142" s="8" t="n">
        <v>10</v>
      </c>
      <c r="H142" s="14" t="s">
        <v>565</v>
      </c>
      <c r="I142" s="14" t="s">
        <v>482</v>
      </c>
      <c r="J142" s="14" t="s">
        <v>361</v>
      </c>
      <c r="K142" s="8" t="n">
        <v>6</v>
      </c>
      <c r="L142" s="8" t="n">
        <v>75</v>
      </c>
      <c r="M142" s="8" t="n">
        <v>3</v>
      </c>
      <c r="N142" s="8" t="n">
        <v>25</v>
      </c>
      <c r="O142" s="8" t="n">
        <v>10</v>
      </c>
      <c r="P142" s="9" t="n">
        <v>31.7547603862093</v>
      </c>
      <c r="Q142" s="10" t="n">
        <v>0.031491341387488</v>
      </c>
      <c r="R142" s="9" t="n">
        <v>21</v>
      </c>
      <c r="S142" s="12" t="n">
        <f aca="false">IF(AND(ISNUMBER(R142),R142&gt;1,P142&gt;0),R142/P142-1,"")</f>
        <v>-0.338681830862751</v>
      </c>
      <c r="T142" s="9" t="n">
        <f aca="false">IF(AND(ISNUMBER(P142),P142&gt;0),P142*EXP('Read me'!$B$22),"")</f>
        <v>38.7853519204314</v>
      </c>
    </row>
    <row r="143" customFormat="false" ht="15" hidden="false" customHeight="false" outlineLevel="0" collapsed="false">
      <c r="A143" s="14" t="s">
        <v>133</v>
      </c>
      <c r="B143" s="14" t="s">
        <v>63</v>
      </c>
      <c r="C143" s="14" t="s">
        <v>134</v>
      </c>
      <c r="D143" s="14" t="s">
        <v>319</v>
      </c>
      <c r="E143" s="15" t="n">
        <v>19.5</v>
      </c>
      <c r="F143" s="14" t="s">
        <v>368</v>
      </c>
      <c r="G143" s="8" t="n">
        <v>8</v>
      </c>
      <c r="H143" s="14" t="s">
        <v>135</v>
      </c>
      <c r="I143" s="14" t="s">
        <v>136</v>
      </c>
      <c r="J143" s="14" t="s">
        <v>137</v>
      </c>
      <c r="K143" s="8" t="n">
        <v>4</v>
      </c>
      <c r="L143" s="8" t="n">
        <v>95</v>
      </c>
      <c r="M143" s="8" t="n">
        <v>7</v>
      </c>
      <c r="N143" s="8" t="n">
        <v>124</v>
      </c>
      <c r="O143" s="8" t="n">
        <v>1</v>
      </c>
      <c r="P143" s="9" t="n">
        <v>2.82480188429645</v>
      </c>
      <c r="Q143" s="10" t="n">
        <v>0.354007127210998</v>
      </c>
      <c r="R143" s="9" t="n">
        <v>1.83333333333333</v>
      </c>
      <c r="S143" s="12" t="n">
        <f aca="false">IF(AND(ISNUMBER(R143),R143&gt;1,P143&gt;0),R143/P143-1,"")</f>
        <v>-0.350986933446503</v>
      </c>
      <c r="T143" s="9" t="n">
        <f aca="false">IF(AND(ISNUMBER(P143),P143&gt;0),P143*EXP('Read me'!$B$22),"")</f>
        <v>3.45022081273573</v>
      </c>
    </row>
    <row r="144" customFormat="false" ht="15" hidden="false" customHeight="false" outlineLevel="0" collapsed="false">
      <c r="A144" s="14" t="s">
        <v>133</v>
      </c>
      <c r="B144" s="14" t="s">
        <v>63</v>
      </c>
      <c r="C144" s="14" t="s">
        <v>134</v>
      </c>
      <c r="D144" s="14" t="s">
        <v>319</v>
      </c>
      <c r="E144" s="15" t="n">
        <v>19.5</v>
      </c>
      <c r="F144" s="14" t="s">
        <v>368</v>
      </c>
      <c r="G144" s="8" t="n">
        <v>8</v>
      </c>
      <c r="H144" s="14" t="s">
        <v>138</v>
      </c>
      <c r="I144" s="14" t="s">
        <v>89</v>
      </c>
      <c r="J144" s="14" t="s">
        <v>566</v>
      </c>
      <c r="K144" s="8" t="n">
        <v>7</v>
      </c>
      <c r="L144" s="8" t="n">
        <v>78</v>
      </c>
      <c r="M144" s="8" t="n">
        <v>6</v>
      </c>
      <c r="N144" s="8" t="n">
        <v>32</v>
      </c>
      <c r="O144" s="8" t="n">
        <v>2</v>
      </c>
      <c r="P144" s="9" t="n">
        <v>6.19920738315574</v>
      </c>
      <c r="Q144" s="10" t="n">
        <v>0.161310944801938</v>
      </c>
      <c r="R144" s="9" t="n">
        <v>7.5</v>
      </c>
      <c r="S144" s="12" t="n">
        <f aca="false">IF(AND(ISNUMBER(R144),R144&gt;1,P144&gt;0),R144/P144-1,"")</f>
        <v>0.209832086014532</v>
      </c>
      <c r="T144" s="9" t="n">
        <f aca="false">IF(AND(ISNUMBER(P144),P144&gt;0),P144*EXP('Read me'!$B$22),"")</f>
        <v>7.57172899619331</v>
      </c>
    </row>
    <row r="145" customFormat="false" ht="15" hidden="false" customHeight="false" outlineLevel="0" collapsed="false">
      <c r="A145" s="14" t="s">
        <v>133</v>
      </c>
      <c r="B145" s="14" t="s">
        <v>63</v>
      </c>
      <c r="C145" s="14" t="s">
        <v>134</v>
      </c>
      <c r="D145" s="14" t="s">
        <v>319</v>
      </c>
      <c r="E145" s="15" t="n">
        <v>19.5</v>
      </c>
      <c r="F145" s="14" t="s">
        <v>368</v>
      </c>
      <c r="G145" s="8" t="n">
        <v>8</v>
      </c>
      <c r="H145" s="14" t="s">
        <v>567</v>
      </c>
      <c r="I145" s="14" t="s">
        <v>568</v>
      </c>
      <c r="J145" s="14" t="s">
        <v>444</v>
      </c>
      <c r="K145" s="8" t="n">
        <v>1</v>
      </c>
      <c r="L145" s="8" t="n">
        <v>99</v>
      </c>
      <c r="M145" s="8" t="n">
        <v>10</v>
      </c>
      <c r="N145" s="8" t="n">
        <v>21</v>
      </c>
      <c r="O145" s="8" t="n">
        <v>3</v>
      </c>
      <c r="P145" s="9" t="n">
        <v>6.29168438203154</v>
      </c>
      <c r="Q145" s="10" t="n">
        <v>0.158939949825822</v>
      </c>
      <c r="R145" s="9" t="n">
        <v>6</v>
      </c>
      <c r="S145" s="12" t="n">
        <f aca="false">IF(AND(ISNUMBER(R145),R145&gt;1,P145&gt;0),R145/P145-1,"")</f>
        <v>-0.0463603010450684</v>
      </c>
      <c r="T145" s="9" t="n">
        <f aca="false">IF(AND(ISNUMBER(P145),P145&gt;0),P145*EXP('Read me'!$B$22),"")</f>
        <v>7.68468065768658</v>
      </c>
    </row>
    <row r="146" customFormat="false" ht="15" hidden="false" customHeight="false" outlineLevel="0" collapsed="false">
      <c r="A146" s="14" t="s">
        <v>133</v>
      </c>
      <c r="B146" s="14" t="s">
        <v>63</v>
      </c>
      <c r="C146" s="14" t="s">
        <v>134</v>
      </c>
      <c r="D146" s="14" t="s">
        <v>319</v>
      </c>
      <c r="E146" s="15" t="n">
        <v>19.5</v>
      </c>
      <c r="F146" s="14" t="s">
        <v>368</v>
      </c>
      <c r="G146" s="8" t="n">
        <v>8</v>
      </c>
      <c r="H146" s="14" t="s">
        <v>569</v>
      </c>
      <c r="I146" s="14" t="s">
        <v>570</v>
      </c>
      <c r="J146" s="14" t="s">
        <v>571</v>
      </c>
      <c r="K146" s="8" t="n">
        <v>3</v>
      </c>
      <c r="L146" s="8" t="n">
        <v>97</v>
      </c>
      <c r="M146" s="8" t="n">
        <v>7</v>
      </c>
      <c r="N146" s="8" t="n">
        <v>128</v>
      </c>
      <c r="O146" s="8" t="n">
        <v>4</v>
      </c>
      <c r="P146" s="9" t="n">
        <v>9.53983560106889</v>
      </c>
      <c r="Q146" s="10" t="n">
        <v>0.10482360931754</v>
      </c>
      <c r="R146" s="9" t="n">
        <v>13</v>
      </c>
      <c r="S146" s="12" t="n">
        <f aca="false">IF(AND(ISNUMBER(R146),R146&gt;1,P146&gt;0),R146/P146-1,"")</f>
        <v>0.362706921128014</v>
      </c>
      <c r="T146" s="9" t="n">
        <f aca="false">IF(AND(ISNUMBER(P146),P146&gt;0),P146*EXP('Read me'!$B$22),"")</f>
        <v>11.6519815155401</v>
      </c>
    </row>
    <row r="147" customFormat="false" ht="15" hidden="false" customHeight="false" outlineLevel="0" collapsed="false">
      <c r="A147" s="14" t="s">
        <v>133</v>
      </c>
      <c r="B147" s="14" t="s">
        <v>63</v>
      </c>
      <c r="C147" s="14" t="s">
        <v>134</v>
      </c>
      <c r="D147" s="14" t="s">
        <v>319</v>
      </c>
      <c r="E147" s="15" t="n">
        <v>19.5</v>
      </c>
      <c r="F147" s="14" t="s">
        <v>368</v>
      </c>
      <c r="G147" s="8" t="n">
        <v>8</v>
      </c>
      <c r="H147" s="14" t="s">
        <v>572</v>
      </c>
      <c r="I147" s="14" t="s">
        <v>573</v>
      </c>
      <c r="J147" s="14" t="s">
        <v>574</v>
      </c>
      <c r="K147" s="8" t="n">
        <v>6</v>
      </c>
      <c r="L147" s="8" t="n">
        <v>86</v>
      </c>
      <c r="M147" s="8" t="n">
        <v>6</v>
      </c>
      <c r="N147" s="8" t="n">
        <v>13</v>
      </c>
      <c r="O147" s="8" t="n">
        <v>5</v>
      </c>
      <c r="P147" s="9" t="n">
        <v>12.7393452738063</v>
      </c>
      <c r="Q147" s="10" t="n">
        <v>0.0784969697034686</v>
      </c>
      <c r="R147" s="9" t="n">
        <v>15</v>
      </c>
      <c r="S147" s="12" t="n">
        <f aca="false">IF(AND(ISNUMBER(R147),R147&gt;1,P147&gt;0),R147/P147-1,"")</f>
        <v>0.177454545552029</v>
      </c>
      <c r="T147" s="9" t="n">
        <f aca="false">IF(AND(ISNUMBER(P147),P147&gt;0),P147*EXP('Read me'!$B$22),"")</f>
        <v>15.5598714545818</v>
      </c>
    </row>
    <row r="148" customFormat="false" ht="15" hidden="false" customHeight="false" outlineLevel="0" collapsed="false">
      <c r="A148" s="14" t="s">
        <v>133</v>
      </c>
      <c r="B148" s="14" t="s">
        <v>63</v>
      </c>
      <c r="C148" s="14" t="s">
        <v>134</v>
      </c>
      <c r="D148" s="14" t="s">
        <v>319</v>
      </c>
      <c r="E148" s="15" t="n">
        <v>19.5</v>
      </c>
      <c r="F148" s="14" t="s">
        <v>368</v>
      </c>
      <c r="G148" s="8" t="n">
        <v>8</v>
      </c>
      <c r="H148" s="14" t="s">
        <v>575</v>
      </c>
      <c r="I148" s="14" t="s">
        <v>576</v>
      </c>
      <c r="J148" s="14" t="s">
        <v>431</v>
      </c>
      <c r="K148" s="8" t="n">
        <v>8</v>
      </c>
      <c r="L148" s="8" t="n">
        <v>74</v>
      </c>
      <c r="M148" s="8" t="n">
        <v>5</v>
      </c>
      <c r="N148" s="8" t="n">
        <v>32</v>
      </c>
      <c r="O148" s="8" t="n">
        <v>6</v>
      </c>
      <c r="P148" s="9" t="n">
        <v>16.0785069185876</v>
      </c>
      <c r="Q148" s="10" t="n">
        <v>0.0621948297228982</v>
      </c>
      <c r="R148" s="9" t="n">
        <v>13</v>
      </c>
      <c r="S148" s="12" t="n">
        <f aca="false">IF(AND(ISNUMBER(R148),R148&gt;1,P148&gt;0),R148/P148-1,"")</f>
        <v>-0.191467213602322</v>
      </c>
      <c r="T148" s="9" t="n">
        <f aca="false">IF(AND(ISNUMBER(P148),P148&gt;0),P148*EXP('Read me'!$B$22),"")</f>
        <v>19.6383326974603</v>
      </c>
    </row>
    <row r="149" customFormat="false" ht="15" hidden="false" customHeight="false" outlineLevel="0" collapsed="false">
      <c r="A149" s="14" t="s">
        <v>133</v>
      </c>
      <c r="B149" s="14" t="s">
        <v>63</v>
      </c>
      <c r="C149" s="14" t="s">
        <v>134</v>
      </c>
      <c r="D149" s="14" t="s">
        <v>319</v>
      </c>
      <c r="E149" s="15" t="n">
        <v>19.5</v>
      </c>
      <c r="F149" s="14" t="s">
        <v>368</v>
      </c>
      <c r="G149" s="8" t="n">
        <v>8</v>
      </c>
      <c r="H149" s="14" t="s">
        <v>577</v>
      </c>
      <c r="I149" s="14" t="s">
        <v>440</v>
      </c>
      <c r="J149" s="14" t="s">
        <v>441</v>
      </c>
      <c r="K149" s="8" t="n">
        <v>2</v>
      </c>
      <c r="L149" s="8" t="n">
        <v>97</v>
      </c>
      <c r="M149" s="8" t="n">
        <v>5</v>
      </c>
      <c r="N149" s="8" t="n">
        <v>25</v>
      </c>
      <c r="O149" s="8" t="n">
        <v>7</v>
      </c>
      <c r="P149" s="9" t="n">
        <v>23.0475911756041</v>
      </c>
      <c r="Q149" s="10" t="n">
        <v>0.0433884822227539</v>
      </c>
      <c r="R149" s="9" t="n">
        <v>17</v>
      </c>
      <c r="S149" s="12" t="n">
        <f aca="false">IF(AND(ISNUMBER(R149),R149&gt;1,P149&gt;0),R149/P149-1,"")</f>
        <v>-0.262395802213182</v>
      </c>
      <c r="T149" s="9" t="n">
        <f aca="false">IF(AND(ISNUMBER(P149),P149&gt;0),P149*EXP('Read me'!$B$22),"")</f>
        <v>28.1503914308308</v>
      </c>
    </row>
    <row r="150" customFormat="false" ht="15" hidden="false" customHeight="false" outlineLevel="0" collapsed="false">
      <c r="A150" s="14" t="s">
        <v>133</v>
      </c>
      <c r="B150" s="14" t="s">
        <v>63</v>
      </c>
      <c r="C150" s="14" t="s">
        <v>134</v>
      </c>
      <c r="D150" s="14" t="s">
        <v>319</v>
      </c>
      <c r="E150" s="15" t="n">
        <v>19.5</v>
      </c>
      <c r="F150" s="14" t="s">
        <v>368</v>
      </c>
      <c r="G150" s="8" t="n">
        <v>8</v>
      </c>
      <c r="H150" s="14" t="s">
        <v>578</v>
      </c>
      <c r="I150" s="14" t="s">
        <v>437</v>
      </c>
      <c r="J150" s="14" t="s">
        <v>438</v>
      </c>
      <c r="K150" s="8" t="n">
        <v>5</v>
      </c>
      <c r="L150" s="8" t="n">
        <v>97</v>
      </c>
      <c r="M150" s="8" t="n">
        <v>4</v>
      </c>
      <c r="N150" s="8" t="n">
        <v>15</v>
      </c>
      <c r="O150" s="8" t="n">
        <v>8</v>
      </c>
      <c r="P150" s="9" t="n">
        <v>27.1458177162653</v>
      </c>
      <c r="Q150" s="10" t="n">
        <v>0.0368380871945816</v>
      </c>
      <c r="R150" s="9" t="n">
        <v>26</v>
      </c>
      <c r="S150" s="12" t="n">
        <f aca="false">IF(AND(ISNUMBER(R150),R150&gt;1,P150&gt;0),R150/P150-1,"")</f>
        <v>-0.0422097329408768</v>
      </c>
      <c r="T150" s="9" t="n">
        <f aca="false">IF(AND(ISNUMBER(P150),P150&gt;0),P150*EXP('Read me'!$B$22),"")</f>
        <v>33.1559766311596</v>
      </c>
    </row>
    <row r="151" customFormat="false" ht="15" hidden="false" customHeight="false" outlineLevel="0" collapsed="false">
      <c r="A151" s="14" t="s">
        <v>139</v>
      </c>
      <c r="B151" s="14" t="s">
        <v>42</v>
      </c>
      <c r="C151" s="14" t="s">
        <v>140</v>
      </c>
      <c r="D151" s="14"/>
      <c r="E151" s="15" t="n">
        <v>10.5</v>
      </c>
      <c r="F151" s="14" t="s">
        <v>286</v>
      </c>
      <c r="G151" s="8" t="n">
        <v>12</v>
      </c>
      <c r="H151" s="14" t="s">
        <v>141</v>
      </c>
      <c r="I151" s="14" t="s">
        <v>142</v>
      </c>
      <c r="J151" s="14" t="s">
        <v>143</v>
      </c>
      <c r="K151" s="8" t="n">
        <v>7</v>
      </c>
      <c r="L151" s="8" t="n">
        <v>104</v>
      </c>
      <c r="M151" s="8" t="n">
        <v>3</v>
      </c>
      <c r="N151" s="8" t="n">
        <v>16</v>
      </c>
      <c r="O151" s="8" t="n">
        <v>1</v>
      </c>
      <c r="P151" s="9" t="n">
        <v>5.45243251491631</v>
      </c>
      <c r="Q151" s="10" t="n">
        <v>0.18340437910314</v>
      </c>
      <c r="R151" s="9" t="n">
        <v>6</v>
      </c>
      <c r="S151" s="12" t="n">
        <f aca="false">IF(AND(ISNUMBER(R151),R151&gt;1,P151&gt;0),R151/P151-1,"")</f>
        <v>0.100426274618842</v>
      </c>
      <c r="T151" s="9" t="n">
        <f aca="false">IF(AND(ISNUMBER(P151),P151&gt;0),P151*EXP('Read me'!$B$22),"")</f>
        <v>6.65961611240098</v>
      </c>
    </row>
    <row r="152" customFormat="false" ht="15" hidden="false" customHeight="false" outlineLevel="0" collapsed="false">
      <c r="A152" s="14" t="s">
        <v>139</v>
      </c>
      <c r="B152" s="14" t="s">
        <v>42</v>
      </c>
      <c r="C152" s="14" t="s">
        <v>140</v>
      </c>
      <c r="D152" s="14"/>
      <c r="E152" s="15" t="n">
        <v>10.5</v>
      </c>
      <c r="F152" s="14" t="s">
        <v>286</v>
      </c>
      <c r="G152" s="8" t="n">
        <v>12</v>
      </c>
      <c r="H152" s="14" t="s">
        <v>144</v>
      </c>
      <c r="I152" s="14" t="s">
        <v>95</v>
      </c>
      <c r="J152" s="14" t="s">
        <v>579</v>
      </c>
      <c r="K152" s="8" t="n">
        <v>10</v>
      </c>
      <c r="L152" s="8" t="n">
        <v>102</v>
      </c>
      <c r="M152" s="8" t="n">
        <v>3</v>
      </c>
      <c r="N152" s="8" t="n">
        <v>10</v>
      </c>
      <c r="O152" s="8" t="n">
        <v>2</v>
      </c>
      <c r="P152" s="9" t="n">
        <v>6.47796518905636</v>
      </c>
      <c r="Q152" s="10" t="n">
        <v>0.154369461831836</v>
      </c>
      <c r="R152" s="9" t="n">
        <v>8</v>
      </c>
      <c r="S152" s="12" t="n">
        <f aca="false">IF(AND(ISNUMBER(R152),R152&gt;1,P152&gt;0),R152/P152-1,"")</f>
        <v>0.23495569465469</v>
      </c>
      <c r="T152" s="9" t="n">
        <f aca="false">IF(AND(ISNUMBER(P152),P152&gt;0),P152*EXP('Read me'!$B$22),"")</f>
        <v>7.91220454917901</v>
      </c>
    </row>
    <row r="153" customFormat="false" ht="15" hidden="false" customHeight="false" outlineLevel="0" collapsed="false">
      <c r="A153" s="14" t="s">
        <v>139</v>
      </c>
      <c r="B153" s="14" t="s">
        <v>42</v>
      </c>
      <c r="C153" s="14" t="s">
        <v>140</v>
      </c>
      <c r="D153" s="14"/>
      <c r="E153" s="15" t="n">
        <v>10.5</v>
      </c>
      <c r="F153" s="14" t="s">
        <v>286</v>
      </c>
      <c r="G153" s="8" t="n">
        <v>12</v>
      </c>
      <c r="H153" s="14" t="s">
        <v>580</v>
      </c>
      <c r="I153" s="14" t="s">
        <v>461</v>
      </c>
      <c r="J153" s="14" t="s">
        <v>581</v>
      </c>
      <c r="K153" s="8" t="n">
        <v>9</v>
      </c>
      <c r="L153" s="8" t="n">
        <v>97</v>
      </c>
      <c r="M153" s="8" t="n">
        <v>3</v>
      </c>
      <c r="N153" s="8" t="n">
        <v>16</v>
      </c>
      <c r="O153" s="8" t="n">
        <v>3</v>
      </c>
      <c r="P153" s="9" t="n">
        <v>6.49594518178395</v>
      </c>
      <c r="Q153" s="10" t="n">
        <v>0.153942185781404</v>
      </c>
      <c r="R153" s="9" t="n">
        <v>5.5</v>
      </c>
      <c r="S153" s="12" t="n">
        <f aca="false">IF(AND(ISNUMBER(R153),R153&gt;1,P153&gt;0),R153/P153-1,"")</f>
        <v>-0.153317978202279</v>
      </c>
      <c r="T153" s="9" t="n">
        <f aca="false">IF(AND(ISNUMBER(P153),P153&gt;0),P153*EXP('Read me'!$B$22),"")</f>
        <v>7.93416536188818</v>
      </c>
    </row>
    <row r="154" customFormat="false" ht="15" hidden="false" customHeight="false" outlineLevel="0" collapsed="false">
      <c r="A154" s="14" t="s">
        <v>139</v>
      </c>
      <c r="B154" s="14" t="s">
        <v>42</v>
      </c>
      <c r="C154" s="14" t="s">
        <v>140</v>
      </c>
      <c r="D154" s="14"/>
      <c r="E154" s="15" t="n">
        <v>10.5</v>
      </c>
      <c r="F154" s="14" t="s">
        <v>286</v>
      </c>
      <c r="G154" s="8" t="n">
        <v>12</v>
      </c>
      <c r="H154" s="14" t="s">
        <v>582</v>
      </c>
      <c r="I154" s="14" t="s">
        <v>583</v>
      </c>
      <c r="J154" s="14" t="s">
        <v>294</v>
      </c>
      <c r="K154" s="8" t="n">
        <v>6</v>
      </c>
      <c r="L154" s="8" t="n">
        <v>102</v>
      </c>
      <c r="M154" s="8" t="n">
        <v>3</v>
      </c>
      <c r="N154" s="8" t="n">
        <v>61</v>
      </c>
      <c r="O154" s="8" t="n">
        <v>4</v>
      </c>
      <c r="P154" s="9" t="n">
        <v>9.55135447637315</v>
      </c>
      <c r="Q154" s="10" t="n">
        <v>0.104697192683369</v>
      </c>
      <c r="R154" s="9" t="n">
        <v>6.5</v>
      </c>
      <c r="S154" s="12" t="n">
        <f aca="false">IF(AND(ISNUMBER(R154),R154&gt;1,P154&gt;0),R154/P154-1,"")</f>
        <v>-0.319468247558101</v>
      </c>
      <c r="T154" s="9" t="n">
        <f aca="false">IF(AND(ISNUMBER(P154),P154&gt;0),P154*EXP('Read me'!$B$22),"")</f>
        <v>11.6660507016076</v>
      </c>
    </row>
    <row r="155" customFormat="false" ht="15" hidden="false" customHeight="false" outlineLevel="0" collapsed="false">
      <c r="A155" s="14" t="s">
        <v>139</v>
      </c>
      <c r="B155" s="14" t="s">
        <v>42</v>
      </c>
      <c r="C155" s="14" t="s">
        <v>140</v>
      </c>
      <c r="D155" s="14"/>
      <c r="E155" s="15" t="n">
        <v>10.5</v>
      </c>
      <c r="F155" s="14" t="s">
        <v>286</v>
      </c>
      <c r="G155" s="8" t="n">
        <v>12</v>
      </c>
      <c r="H155" s="14" t="s">
        <v>584</v>
      </c>
      <c r="I155" s="14"/>
      <c r="J155" s="14" t="s">
        <v>143</v>
      </c>
      <c r="K155" s="8" t="n">
        <v>8</v>
      </c>
      <c r="L155" s="8" t="n">
        <v>95</v>
      </c>
      <c r="M155" s="8" t="n">
        <v>3</v>
      </c>
      <c r="N155" s="8" t="n">
        <v>42</v>
      </c>
      <c r="O155" s="8" t="n">
        <v>5</v>
      </c>
      <c r="P155" s="9" t="n">
        <v>10.8493395949981</v>
      </c>
      <c r="Q155" s="10" t="n">
        <v>0.0921715088041889</v>
      </c>
      <c r="R155" s="9" t="n">
        <v>10</v>
      </c>
      <c r="S155" s="12" t="n">
        <f aca="false">IF(AND(ISNUMBER(R155),R155&gt;1,P155&gt;0),R155/P155-1,"")</f>
        <v>-0.0782849119581109</v>
      </c>
      <c r="T155" s="9" t="n">
        <f aca="false">IF(AND(ISNUMBER(P155),P155&gt;0),P155*EXP('Read me'!$B$22),"")</f>
        <v>13.251413305547</v>
      </c>
    </row>
    <row r="156" customFormat="false" ht="15" hidden="false" customHeight="false" outlineLevel="0" collapsed="false">
      <c r="A156" s="14" t="s">
        <v>139</v>
      </c>
      <c r="B156" s="14" t="s">
        <v>42</v>
      </c>
      <c r="C156" s="14" t="s">
        <v>140</v>
      </c>
      <c r="D156" s="14"/>
      <c r="E156" s="15" t="n">
        <v>10.5</v>
      </c>
      <c r="F156" s="14" t="s">
        <v>286</v>
      </c>
      <c r="G156" s="8" t="n">
        <v>12</v>
      </c>
      <c r="H156" s="14" t="s">
        <v>585</v>
      </c>
      <c r="I156" s="14" t="s">
        <v>72</v>
      </c>
      <c r="J156" s="14" t="s">
        <v>73</v>
      </c>
      <c r="K156" s="8" t="n">
        <v>1</v>
      </c>
      <c r="L156" s="8" t="n">
        <v>95</v>
      </c>
      <c r="M156" s="8" t="n">
        <v>3</v>
      </c>
      <c r="N156" s="8" t="n">
        <v>135</v>
      </c>
      <c r="O156" s="8" t="n">
        <v>6</v>
      </c>
      <c r="P156" s="9" t="n">
        <v>12.3519653820407</v>
      </c>
      <c r="Q156" s="10" t="n">
        <v>0.0809587761194636</v>
      </c>
      <c r="R156" s="9" t="n">
        <v>9.5</v>
      </c>
      <c r="S156" s="12" t="n">
        <f aca="false">IF(AND(ISNUMBER(R156),R156&gt;1,P156&gt;0),R156/P156-1,"")</f>
        <v>-0.230891626865095</v>
      </c>
      <c r="T156" s="9" t="n">
        <f aca="false">IF(AND(ISNUMBER(P156),P156&gt;0),P156*EXP('Read me'!$B$22),"")</f>
        <v>15.0867245863235</v>
      </c>
    </row>
    <row r="157" customFormat="false" ht="15" hidden="false" customHeight="false" outlineLevel="0" collapsed="false">
      <c r="A157" s="14" t="s">
        <v>139</v>
      </c>
      <c r="B157" s="14" t="s">
        <v>42</v>
      </c>
      <c r="C157" s="14" t="s">
        <v>140</v>
      </c>
      <c r="D157" s="14"/>
      <c r="E157" s="15" t="n">
        <v>10.5</v>
      </c>
      <c r="F157" s="14" t="s">
        <v>286</v>
      </c>
      <c r="G157" s="8" t="n">
        <v>12</v>
      </c>
      <c r="H157" s="14" t="s">
        <v>586</v>
      </c>
      <c r="I157" s="14" t="s">
        <v>458</v>
      </c>
      <c r="J157" s="14" t="s">
        <v>587</v>
      </c>
      <c r="K157" s="8" t="n">
        <v>4</v>
      </c>
      <c r="L157" s="8" t="n">
        <v>88</v>
      </c>
      <c r="M157" s="8" t="n">
        <v>3</v>
      </c>
      <c r="N157" s="8" t="n">
        <v>14</v>
      </c>
      <c r="O157" s="8" t="n">
        <v>7</v>
      </c>
      <c r="P157" s="9" t="n">
        <v>14.0345305718616</v>
      </c>
      <c r="Q157" s="10" t="n">
        <v>0.0712528285060665</v>
      </c>
      <c r="R157" s="9" t="n">
        <v>21</v>
      </c>
      <c r="S157" s="12" t="n">
        <f aca="false">IF(AND(ISNUMBER(R157),R157&gt;1,P157&gt;0),R157/P157-1,"")</f>
        <v>0.496309398627398</v>
      </c>
      <c r="T157" s="9" t="n">
        <f aca="false">IF(AND(ISNUMBER(P157),P157&gt;0),P157*EXP('Read me'!$B$22),"")</f>
        <v>17.1418143499549</v>
      </c>
    </row>
    <row r="158" customFormat="false" ht="15" hidden="false" customHeight="false" outlineLevel="0" collapsed="false">
      <c r="A158" s="14" t="s">
        <v>139</v>
      </c>
      <c r="B158" s="14" t="s">
        <v>42</v>
      </c>
      <c r="C158" s="14" t="s">
        <v>140</v>
      </c>
      <c r="D158" s="14"/>
      <c r="E158" s="15" t="n">
        <v>10.5</v>
      </c>
      <c r="F158" s="14" t="s">
        <v>286</v>
      </c>
      <c r="G158" s="8" t="n">
        <v>12</v>
      </c>
      <c r="H158" s="14" t="s">
        <v>588</v>
      </c>
      <c r="I158" s="14" t="s">
        <v>45</v>
      </c>
      <c r="J158" s="14" t="s">
        <v>46</v>
      </c>
      <c r="K158" s="8" t="n">
        <v>12</v>
      </c>
      <c r="L158" s="8" t="n">
        <v>109</v>
      </c>
      <c r="M158" s="8" t="n">
        <v>3</v>
      </c>
      <c r="N158" s="8" t="n">
        <v>17</v>
      </c>
      <c r="O158" s="8" t="n">
        <v>8</v>
      </c>
      <c r="P158" s="9" t="n">
        <v>17.1767463834707</v>
      </c>
      <c r="Q158" s="10" t="n">
        <v>0.0582182432967808</v>
      </c>
      <c r="R158" s="9" t="n">
        <v>3.25</v>
      </c>
      <c r="S158" s="12" t="n">
        <f aca="false">IF(AND(ISNUMBER(R158),R158&gt;1,P158&gt;0),R158/P158-1,"")</f>
        <v>-0.810790709285462</v>
      </c>
      <c r="T158" s="9" t="n">
        <f aca="false">IF(AND(ISNUMBER(P158),P158&gt;0),P158*EXP('Read me'!$B$22),"")</f>
        <v>20.9797254089889</v>
      </c>
    </row>
    <row r="159" customFormat="false" ht="15" hidden="false" customHeight="false" outlineLevel="0" collapsed="false">
      <c r="A159" s="14" t="s">
        <v>139</v>
      </c>
      <c r="B159" s="14" t="s">
        <v>42</v>
      </c>
      <c r="C159" s="14" t="s">
        <v>140</v>
      </c>
      <c r="D159" s="14"/>
      <c r="E159" s="15" t="n">
        <v>10.5</v>
      </c>
      <c r="F159" s="14" t="s">
        <v>286</v>
      </c>
      <c r="G159" s="8" t="n">
        <v>12</v>
      </c>
      <c r="H159" s="14" t="s">
        <v>589</v>
      </c>
      <c r="I159" s="14" t="s">
        <v>511</v>
      </c>
      <c r="J159" s="14" t="s">
        <v>590</v>
      </c>
      <c r="K159" s="8" t="n">
        <v>2</v>
      </c>
      <c r="L159" s="8" t="n">
        <v>91</v>
      </c>
      <c r="M159" s="8" t="n">
        <v>3</v>
      </c>
      <c r="N159" s="8" t="n">
        <v>8</v>
      </c>
      <c r="O159" s="8" t="n">
        <v>9</v>
      </c>
      <c r="P159" s="9" t="n">
        <v>30.8598729873845</v>
      </c>
      <c r="Q159" s="10" t="n">
        <v>0.032404540368938</v>
      </c>
      <c r="R159" s="9" t="n">
        <v>26</v>
      </c>
      <c r="S159" s="12" t="n">
        <f aca="false">IF(AND(ISNUMBER(R159),R159&gt;1,P159&gt;0),R159/P159-1,"")</f>
        <v>-0.157481950407611</v>
      </c>
      <c r="T159" s="9" t="n">
        <f aca="false">IF(AND(ISNUMBER(P159),P159&gt;0),P159*EXP('Read me'!$B$22),"")</f>
        <v>37.6923339832639</v>
      </c>
    </row>
    <row r="160" customFormat="false" ht="15" hidden="false" customHeight="false" outlineLevel="0" collapsed="false">
      <c r="A160" s="14" t="s">
        <v>139</v>
      </c>
      <c r="B160" s="14" t="s">
        <v>42</v>
      </c>
      <c r="C160" s="14" t="s">
        <v>140</v>
      </c>
      <c r="D160" s="14"/>
      <c r="E160" s="15" t="n">
        <v>10.5</v>
      </c>
      <c r="F160" s="14" t="s">
        <v>286</v>
      </c>
      <c r="G160" s="8" t="n">
        <v>12</v>
      </c>
      <c r="H160" s="14" t="s">
        <v>591</v>
      </c>
      <c r="I160" s="14" t="s">
        <v>299</v>
      </c>
      <c r="J160" s="14" t="s">
        <v>46</v>
      </c>
      <c r="K160" s="8" t="n">
        <v>5</v>
      </c>
      <c r="L160" s="8" t="n">
        <v>85</v>
      </c>
      <c r="M160" s="8" t="n">
        <v>3</v>
      </c>
      <c r="N160" s="8" t="n">
        <v>31</v>
      </c>
      <c r="O160" s="8" t="n">
        <v>10</v>
      </c>
      <c r="P160" s="9" t="n">
        <v>33.5935615389801</v>
      </c>
      <c r="Q160" s="10" t="n">
        <v>0.0297676088568238</v>
      </c>
      <c r="R160" s="9" t="n">
        <v>41</v>
      </c>
      <c r="S160" s="12" t="n">
        <f aca="false">IF(AND(ISNUMBER(R160),R160&gt;1,P160&gt;0),R160/P160-1,"")</f>
        <v>0.220471963129778</v>
      </c>
      <c r="T160" s="9" t="n">
        <f aca="false">IF(AND(ISNUMBER(P160),P160&gt;0),P160*EXP('Read me'!$B$22),"")</f>
        <v>41.0312687201336</v>
      </c>
    </row>
    <row r="161" customFormat="false" ht="15" hidden="false" customHeight="false" outlineLevel="0" collapsed="false">
      <c r="A161" s="14" t="s">
        <v>139</v>
      </c>
      <c r="B161" s="14" t="s">
        <v>42</v>
      </c>
      <c r="C161" s="14" t="s">
        <v>140</v>
      </c>
      <c r="D161" s="14"/>
      <c r="E161" s="15" t="n">
        <v>10.5</v>
      </c>
      <c r="F161" s="14" t="s">
        <v>286</v>
      </c>
      <c r="G161" s="8" t="n">
        <v>12</v>
      </c>
      <c r="H161" s="14" t="s">
        <v>592</v>
      </c>
      <c r="I161" s="14" t="s">
        <v>450</v>
      </c>
      <c r="J161" s="14" t="s">
        <v>451</v>
      </c>
      <c r="K161" s="8" t="n">
        <v>3</v>
      </c>
      <c r="L161" s="8" t="n">
        <v>98</v>
      </c>
      <c r="M161" s="8" t="n">
        <v>3</v>
      </c>
      <c r="N161" s="8" t="n">
        <v>60</v>
      </c>
      <c r="O161" s="8" t="n">
        <v>11</v>
      </c>
      <c r="P161" s="9" t="n">
        <v>42.7575956517784</v>
      </c>
      <c r="Q161" s="10" t="n">
        <v>0.023387657438554</v>
      </c>
      <c r="R161" s="9" t="n">
        <v>41</v>
      </c>
      <c r="S161" s="12" t="n">
        <f aca="false">IF(AND(ISNUMBER(R161),R161&gt;1,P161&gt;0),R161/P161-1,"")</f>
        <v>-0.0411060450192858</v>
      </c>
      <c r="T161" s="9" t="n">
        <f aca="false">IF(AND(ISNUMBER(P161),P161&gt;0),P161*EXP('Read me'!$B$22),"")</f>
        <v>52.2242452613795</v>
      </c>
    </row>
    <row r="162" customFormat="false" ht="15" hidden="false" customHeight="false" outlineLevel="0" collapsed="false">
      <c r="A162" s="14" t="s">
        <v>139</v>
      </c>
      <c r="B162" s="14" t="s">
        <v>42</v>
      </c>
      <c r="C162" s="14" t="s">
        <v>140</v>
      </c>
      <c r="D162" s="14"/>
      <c r="E162" s="15" t="n">
        <v>10.5</v>
      </c>
      <c r="F162" s="14" t="s">
        <v>286</v>
      </c>
      <c r="G162" s="8" t="n">
        <v>12</v>
      </c>
      <c r="H162" s="14" t="s">
        <v>593</v>
      </c>
      <c r="I162" s="14" t="s">
        <v>290</v>
      </c>
      <c r="J162" s="14" t="s">
        <v>291</v>
      </c>
      <c r="K162" s="8" t="n">
        <v>11</v>
      </c>
      <c r="L162" s="8" t="n">
        <v>84</v>
      </c>
      <c r="M162" s="8" t="n">
        <v>3</v>
      </c>
      <c r="N162" s="8" t="n">
        <v>109</v>
      </c>
      <c r="O162" s="8" t="n">
        <v>12</v>
      </c>
      <c r="P162" s="9" t="n">
        <v>64.8272277486821</v>
      </c>
      <c r="Q162" s="10" t="n">
        <v>0.0154256172094344</v>
      </c>
      <c r="R162" s="9" t="n">
        <v>26</v>
      </c>
      <c r="S162" s="12" t="n">
        <f aca="false">IF(AND(ISNUMBER(R162),R162&gt;1,P162&gt;0),R162/P162-1,"")</f>
        <v>-0.598933952554703</v>
      </c>
      <c r="T162" s="9" t="n">
        <f aca="false">IF(AND(ISNUMBER(P162),P162&gt;0),P162*EXP('Read me'!$B$22),"")</f>
        <v>79.1801547761178</v>
      </c>
    </row>
    <row r="163" customFormat="false" ht="15" hidden="false" customHeight="false" outlineLevel="0" collapsed="false">
      <c r="A163" s="14" t="s">
        <v>145</v>
      </c>
      <c r="B163" s="14" t="s">
        <v>49</v>
      </c>
      <c r="C163" s="14" t="s">
        <v>146</v>
      </c>
      <c r="D163" s="14" t="s">
        <v>422</v>
      </c>
      <c r="E163" s="15" t="n">
        <v>5</v>
      </c>
      <c r="F163" s="14" t="s">
        <v>320</v>
      </c>
      <c r="G163" s="8" t="n">
        <v>12</v>
      </c>
      <c r="H163" s="14" t="s">
        <v>147</v>
      </c>
      <c r="I163" s="14" t="s">
        <v>148</v>
      </c>
      <c r="J163" s="14" t="s">
        <v>149</v>
      </c>
      <c r="K163" s="8" t="n">
        <v>8</v>
      </c>
      <c r="L163" s="8" t="n">
        <v>72</v>
      </c>
      <c r="M163" s="8" t="n">
        <v>6</v>
      </c>
      <c r="N163" s="8" t="n">
        <v>16</v>
      </c>
      <c r="O163" s="8" t="n">
        <v>1</v>
      </c>
      <c r="P163" s="9" t="n">
        <v>4.95019000404464</v>
      </c>
      <c r="Q163" s="10" t="n">
        <v>0.202012447841988</v>
      </c>
      <c r="R163" s="9" t="n">
        <v>5</v>
      </c>
      <c r="S163" s="12" t="n">
        <f aca="false">IF(AND(ISNUMBER(R163),R163&gt;1,P163&gt;0),R163/P163-1,"")</f>
        <v>0.0100622392099419</v>
      </c>
      <c r="T163" s="9" t="n">
        <f aca="false">IF(AND(ISNUMBER(P163),P163&gt;0),P163*EXP('Read me'!$B$22),"")</f>
        <v>6.04617572435703</v>
      </c>
    </row>
    <row r="164" customFormat="false" ht="15" hidden="false" customHeight="false" outlineLevel="0" collapsed="false">
      <c r="A164" s="14" t="s">
        <v>145</v>
      </c>
      <c r="B164" s="14" t="s">
        <v>49</v>
      </c>
      <c r="C164" s="14" t="s">
        <v>146</v>
      </c>
      <c r="D164" s="14" t="s">
        <v>422</v>
      </c>
      <c r="E164" s="15" t="n">
        <v>5</v>
      </c>
      <c r="F164" s="14" t="s">
        <v>320</v>
      </c>
      <c r="G164" s="8" t="n">
        <v>12</v>
      </c>
      <c r="H164" s="14" t="s">
        <v>150</v>
      </c>
      <c r="I164" s="14" t="s">
        <v>101</v>
      </c>
      <c r="J164" s="14" t="s">
        <v>594</v>
      </c>
      <c r="K164" s="8" t="n">
        <v>2</v>
      </c>
      <c r="L164" s="8" t="n">
        <v>75</v>
      </c>
      <c r="M164" s="8" t="n">
        <v>5</v>
      </c>
      <c r="N164" s="8" t="n">
        <v>32</v>
      </c>
      <c r="O164" s="8" t="n">
        <v>2</v>
      </c>
      <c r="P164" s="9" t="n">
        <v>5.29907351885155</v>
      </c>
      <c r="Q164" s="10" t="n">
        <v>0.188712233646595</v>
      </c>
      <c r="R164" s="9" t="n">
        <v>4</v>
      </c>
      <c r="S164" s="12" t="n">
        <f aca="false">IF(AND(ISNUMBER(R164),R164&gt;1,P164&gt;0),R164/P164-1,"")</f>
        <v>-0.245151065413619</v>
      </c>
      <c r="T164" s="9" t="n">
        <f aca="false">IF(AND(ISNUMBER(P164),P164&gt;0),P164*EXP('Read me'!$B$22),"")</f>
        <v>6.4723030116188</v>
      </c>
    </row>
    <row r="165" customFormat="false" ht="15" hidden="false" customHeight="false" outlineLevel="0" collapsed="false">
      <c r="A165" s="14" t="s">
        <v>145</v>
      </c>
      <c r="B165" s="14" t="s">
        <v>49</v>
      </c>
      <c r="C165" s="14" t="s">
        <v>146</v>
      </c>
      <c r="D165" s="14" t="s">
        <v>422</v>
      </c>
      <c r="E165" s="15" t="n">
        <v>5</v>
      </c>
      <c r="F165" s="14" t="s">
        <v>320</v>
      </c>
      <c r="G165" s="8" t="n">
        <v>12</v>
      </c>
      <c r="H165" s="14" t="s">
        <v>595</v>
      </c>
      <c r="I165" s="14" t="s">
        <v>596</v>
      </c>
      <c r="J165" s="14" t="s">
        <v>597</v>
      </c>
      <c r="K165" s="8" t="n">
        <v>3</v>
      </c>
      <c r="L165" s="8" t="n">
        <v>77</v>
      </c>
      <c r="M165" s="8" t="n">
        <v>6</v>
      </c>
      <c r="N165" s="8" t="n">
        <v>21</v>
      </c>
      <c r="O165" s="8" t="n">
        <v>3</v>
      </c>
      <c r="P165" s="9" t="n">
        <v>7.08772359420782</v>
      </c>
      <c r="Q165" s="10" t="n">
        <v>0.141089023394932</v>
      </c>
      <c r="R165" s="9" t="n">
        <v>7</v>
      </c>
      <c r="S165" s="12" t="n">
        <f aca="false">IF(AND(ISNUMBER(R165),R165&gt;1,P165&gt;0),R165/P165-1,"")</f>
        <v>-0.0123768362354741</v>
      </c>
      <c r="T165" s="9" t="n">
        <f aca="false">IF(AND(ISNUMBER(P165),P165&gt;0),P165*EXP('Read me'!$B$22),"")</f>
        <v>8.65696514704234</v>
      </c>
    </row>
    <row r="166" customFormat="false" ht="15" hidden="false" customHeight="false" outlineLevel="0" collapsed="false">
      <c r="A166" s="14" t="s">
        <v>145</v>
      </c>
      <c r="B166" s="14" t="s">
        <v>49</v>
      </c>
      <c r="C166" s="14" t="s">
        <v>146</v>
      </c>
      <c r="D166" s="14" t="s">
        <v>422</v>
      </c>
      <c r="E166" s="15" t="n">
        <v>5</v>
      </c>
      <c r="F166" s="14" t="s">
        <v>320</v>
      </c>
      <c r="G166" s="8" t="n">
        <v>12</v>
      </c>
      <c r="H166" s="14" t="s">
        <v>598</v>
      </c>
      <c r="I166" s="14" t="s">
        <v>405</v>
      </c>
      <c r="J166" s="14" t="s">
        <v>599</v>
      </c>
      <c r="K166" s="8" t="n">
        <v>10</v>
      </c>
      <c r="L166" s="8" t="n">
        <v>79</v>
      </c>
      <c r="M166" s="8" t="n">
        <v>4</v>
      </c>
      <c r="N166" s="8" t="n">
        <v>26</v>
      </c>
      <c r="O166" s="8" t="n">
        <v>4</v>
      </c>
      <c r="P166" s="9" t="n">
        <v>11.5781927928626</v>
      </c>
      <c r="Q166" s="10" t="n">
        <v>0.0863692648663141</v>
      </c>
      <c r="R166" s="9" t="n">
        <v>9.5</v>
      </c>
      <c r="S166" s="12" t="n">
        <f aca="false">IF(AND(ISNUMBER(R166),R166&gt;1,P166&gt;0),R166/P166-1,"")</f>
        <v>-0.179491983770016</v>
      </c>
      <c r="T166" s="9" t="n">
        <f aca="false">IF(AND(ISNUMBER(P166),P166&gt;0),P166*EXP('Read me'!$B$22),"")</f>
        <v>14.1416366117126</v>
      </c>
    </row>
    <row r="167" customFormat="false" ht="15" hidden="false" customHeight="false" outlineLevel="0" collapsed="false">
      <c r="A167" s="14" t="s">
        <v>145</v>
      </c>
      <c r="B167" s="14" t="s">
        <v>49</v>
      </c>
      <c r="C167" s="14" t="s">
        <v>146</v>
      </c>
      <c r="D167" s="14" t="s">
        <v>422</v>
      </c>
      <c r="E167" s="15" t="n">
        <v>5</v>
      </c>
      <c r="F167" s="14" t="s">
        <v>320</v>
      </c>
      <c r="G167" s="8" t="n">
        <v>12</v>
      </c>
      <c r="H167" s="14" t="s">
        <v>600</v>
      </c>
      <c r="I167" s="14" t="s">
        <v>415</v>
      </c>
      <c r="J167" s="14" t="s">
        <v>546</v>
      </c>
      <c r="K167" s="8" t="n">
        <v>4</v>
      </c>
      <c r="L167" s="8" t="n">
        <v>73</v>
      </c>
      <c r="M167" s="8" t="n">
        <v>3</v>
      </c>
      <c r="N167" s="8" t="n">
        <v>39</v>
      </c>
      <c r="O167" s="8" t="n">
        <v>5</v>
      </c>
      <c r="P167" s="9" t="n">
        <v>14.2796896507758</v>
      </c>
      <c r="Q167" s="10" t="n">
        <v>0.0700295331660566</v>
      </c>
      <c r="R167" s="9" t="n">
        <v>11</v>
      </c>
      <c r="S167" s="12" t="n">
        <f aca="false">IF(AND(ISNUMBER(R167),R167&gt;1,P167&gt;0),R167/P167-1,"")</f>
        <v>-0.229675135173377</v>
      </c>
      <c r="T167" s="9" t="n">
        <f aca="false">IF(AND(ISNUMBER(P167),P167&gt;0),P167*EXP('Read me'!$B$22),"")</f>
        <v>17.4412523251288</v>
      </c>
    </row>
    <row r="168" customFormat="false" ht="15" hidden="false" customHeight="false" outlineLevel="0" collapsed="false">
      <c r="A168" s="14" t="s">
        <v>145</v>
      </c>
      <c r="B168" s="14" t="s">
        <v>49</v>
      </c>
      <c r="C168" s="14" t="s">
        <v>146</v>
      </c>
      <c r="D168" s="14" t="s">
        <v>422</v>
      </c>
      <c r="E168" s="15" t="n">
        <v>5</v>
      </c>
      <c r="F168" s="14" t="s">
        <v>320</v>
      </c>
      <c r="G168" s="8" t="n">
        <v>12</v>
      </c>
      <c r="H168" s="14" t="s">
        <v>601</v>
      </c>
      <c r="I168" s="14" t="s">
        <v>550</v>
      </c>
      <c r="J168" s="14" t="s">
        <v>602</v>
      </c>
      <c r="K168" s="8" t="n">
        <v>6</v>
      </c>
      <c r="L168" s="8" t="n">
        <v>76</v>
      </c>
      <c r="M168" s="8" t="n">
        <v>4</v>
      </c>
      <c r="N168" s="8" t="n">
        <v>88</v>
      </c>
      <c r="O168" s="8" t="n">
        <v>6</v>
      </c>
      <c r="P168" s="9" t="n">
        <v>18.1980252289049</v>
      </c>
      <c r="Q168" s="10" t="n">
        <v>0.0549510173450933</v>
      </c>
      <c r="R168" s="9" t="n">
        <v>10</v>
      </c>
      <c r="S168" s="12" t="n">
        <f aca="false">IF(AND(ISNUMBER(R168),R168&gt;1,P168&gt;0),R168/P168-1,"")</f>
        <v>-0.450489826549067</v>
      </c>
      <c r="T168" s="9" t="n">
        <f aca="false">IF(AND(ISNUMBER(P168),P168&gt;0),P168*EXP('Read me'!$B$22),"")</f>
        <v>22.2271182076528</v>
      </c>
    </row>
    <row r="169" customFormat="false" ht="15" hidden="false" customHeight="false" outlineLevel="0" collapsed="false">
      <c r="A169" s="14" t="s">
        <v>145</v>
      </c>
      <c r="B169" s="14" t="s">
        <v>49</v>
      </c>
      <c r="C169" s="14" t="s">
        <v>146</v>
      </c>
      <c r="D169" s="14" t="s">
        <v>422</v>
      </c>
      <c r="E169" s="15" t="n">
        <v>5</v>
      </c>
      <c r="F169" s="14" t="s">
        <v>320</v>
      </c>
      <c r="G169" s="8" t="n">
        <v>12</v>
      </c>
      <c r="H169" s="14" t="s">
        <v>603</v>
      </c>
      <c r="I169" s="14" t="s">
        <v>466</v>
      </c>
      <c r="J169" s="14" t="s">
        <v>604</v>
      </c>
      <c r="K169" s="8" t="n">
        <v>7</v>
      </c>
      <c r="L169" s="8" t="n">
        <v>77</v>
      </c>
      <c r="M169" s="8" t="n">
        <v>4</v>
      </c>
      <c r="N169" s="8" t="n">
        <v>26</v>
      </c>
      <c r="O169" s="8" t="n">
        <v>7</v>
      </c>
      <c r="P169" s="9" t="n">
        <v>19.2211976909673</v>
      </c>
      <c r="Q169" s="10" t="n">
        <v>0.052025894331753</v>
      </c>
      <c r="R169" s="9" t="n">
        <v>17</v>
      </c>
      <c r="S169" s="12" t="n">
        <f aca="false">IF(AND(ISNUMBER(R169),R169&gt;1,P169&gt;0),R169/P169-1,"")</f>
        <v>-0.115559796360198</v>
      </c>
      <c r="T169" s="9" t="n">
        <f aca="false">IF(AND(ISNUMBER(P169),P169&gt;0),P169*EXP('Read me'!$B$22),"")</f>
        <v>23.4768238748893</v>
      </c>
    </row>
    <row r="170" customFormat="false" ht="15" hidden="false" customHeight="false" outlineLevel="0" collapsed="false">
      <c r="A170" s="14" t="s">
        <v>145</v>
      </c>
      <c r="B170" s="14" t="s">
        <v>49</v>
      </c>
      <c r="C170" s="14" t="s">
        <v>146</v>
      </c>
      <c r="D170" s="14" t="s">
        <v>422</v>
      </c>
      <c r="E170" s="15" t="n">
        <v>5</v>
      </c>
      <c r="F170" s="14" t="s">
        <v>320</v>
      </c>
      <c r="G170" s="8" t="n">
        <v>12</v>
      </c>
      <c r="H170" s="14" t="s">
        <v>605</v>
      </c>
      <c r="I170" s="14" t="s">
        <v>324</v>
      </c>
      <c r="J170" s="14" t="s">
        <v>406</v>
      </c>
      <c r="K170" s="8" t="n">
        <v>9</v>
      </c>
      <c r="L170" s="8" t="n">
        <v>67</v>
      </c>
      <c r="M170" s="8" t="n">
        <v>3</v>
      </c>
      <c r="N170" s="8" t="n">
        <v>52</v>
      </c>
      <c r="O170" s="8" t="n">
        <v>8</v>
      </c>
      <c r="P170" s="9" t="n">
        <v>20.148844770514</v>
      </c>
      <c r="Q170" s="10" t="n">
        <v>0.0496306369615497</v>
      </c>
      <c r="R170" s="9" t="n">
        <v>19</v>
      </c>
      <c r="S170" s="12" t="n">
        <f aca="false">IF(AND(ISNUMBER(R170),R170&gt;1,P170&gt;0),R170/P170-1,"")</f>
        <v>-0.0570178977305548</v>
      </c>
      <c r="T170" s="9" t="n">
        <f aca="false">IF(AND(ISNUMBER(P170),P170&gt;0),P170*EXP('Read me'!$B$22),"")</f>
        <v>24.6098545764469</v>
      </c>
    </row>
    <row r="171" customFormat="false" ht="15" hidden="false" customHeight="false" outlineLevel="0" collapsed="false">
      <c r="A171" s="14" t="s">
        <v>145</v>
      </c>
      <c r="B171" s="14" t="s">
        <v>49</v>
      </c>
      <c r="C171" s="14" t="s">
        <v>146</v>
      </c>
      <c r="D171" s="14" t="s">
        <v>422</v>
      </c>
      <c r="E171" s="15" t="n">
        <v>5</v>
      </c>
      <c r="F171" s="14" t="s">
        <v>320</v>
      </c>
      <c r="G171" s="8" t="n">
        <v>12</v>
      </c>
      <c r="H171" s="14" t="s">
        <v>606</v>
      </c>
      <c r="I171" s="14" t="s">
        <v>420</v>
      </c>
      <c r="J171" s="14" t="s">
        <v>551</v>
      </c>
      <c r="K171" s="8" t="n">
        <v>5</v>
      </c>
      <c r="L171" s="8" t="n">
        <v>76</v>
      </c>
      <c r="M171" s="8" t="n">
        <v>6</v>
      </c>
      <c r="N171" s="8" t="n">
        <v>32</v>
      </c>
      <c r="O171" s="8" t="n">
        <v>9</v>
      </c>
      <c r="P171" s="9" t="n">
        <v>20.5548444019769</v>
      </c>
      <c r="Q171" s="10" t="n">
        <v>0.0486503317876648</v>
      </c>
      <c r="R171" s="9" t="n">
        <v>15</v>
      </c>
      <c r="S171" s="12" t="n">
        <f aca="false">IF(AND(ISNUMBER(R171),R171&gt;1,P171&gt;0),R171/P171-1,"")</f>
        <v>-0.270245023185027</v>
      </c>
      <c r="T171" s="9" t="n">
        <f aca="false">IF(AND(ISNUMBER(P171),P171&gt;0),P171*EXP('Read me'!$B$22),"")</f>
        <v>25.1057436461277</v>
      </c>
    </row>
    <row r="172" customFormat="false" ht="15" hidden="false" customHeight="false" outlineLevel="0" collapsed="false">
      <c r="A172" s="14" t="s">
        <v>145</v>
      </c>
      <c r="B172" s="14" t="s">
        <v>49</v>
      </c>
      <c r="C172" s="14" t="s">
        <v>146</v>
      </c>
      <c r="D172" s="14" t="s">
        <v>422</v>
      </c>
      <c r="E172" s="15" t="n">
        <v>5</v>
      </c>
      <c r="F172" s="14" t="s">
        <v>320</v>
      </c>
      <c r="G172" s="8" t="n">
        <v>12</v>
      </c>
      <c r="H172" s="14" t="s">
        <v>607</v>
      </c>
      <c r="I172" s="14" t="s">
        <v>124</v>
      </c>
      <c r="J172" s="14" t="s">
        <v>328</v>
      </c>
      <c r="K172" s="8" t="n">
        <v>1</v>
      </c>
      <c r="L172" s="8" t="n">
        <v>67</v>
      </c>
      <c r="M172" s="8" t="n">
        <v>4</v>
      </c>
      <c r="N172" s="8" t="n">
        <v>68</v>
      </c>
      <c r="O172" s="8" t="n">
        <v>10</v>
      </c>
      <c r="P172" s="9" t="n">
        <v>23.6612142665963</v>
      </c>
      <c r="Q172" s="10" t="n">
        <v>0.0422632578671902</v>
      </c>
      <c r="R172" s="9" t="n">
        <v>15</v>
      </c>
      <c r="S172" s="12" t="n">
        <f aca="false">IF(AND(ISNUMBER(R172),R172&gt;1,P172&gt;0),R172/P172-1,"")</f>
        <v>-0.366051131992147</v>
      </c>
      <c r="T172" s="9" t="n">
        <f aca="false">IF(AND(ISNUMBER(P172),P172&gt;0),P172*EXP('Read me'!$B$22),"")</f>
        <v>28.8998723666395</v>
      </c>
    </row>
    <row r="173" customFormat="false" ht="15" hidden="false" customHeight="false" outlineLevel="0" collapsed="false">
      <c r="A173" s="14" t="s">
        <v>145</v>
      </c>
      <c r="B173" s="14" t="s">
        <v>49</v>
      </c>
      <c r="C173" s="14" t="s">
        <v>146</v>
      </c>
      <c r="D173" s="14" t="s">
        <v>422</v>
      </c>
      <c r="E173" s="15" t="n">
        <v>5</v>
      </c>
      <c r="F173" s="14" t="s">
        <v>320</v>
      </c>
      <c r="G173" s="8" t="n">
        <v>12</v>
      </c>
      <c r="H173" s="14" t="s">
        <v>608</v>
      </c>
      <c r="I173" s="14" t="s">
        <v>609</v>
      </c>
      <c r="J173" s="14" t="s">
        <v>406</v>
      </c>
      <c r="K173" s="8" t="n">
        <v>11</v>
      </c>
      <c r="L173" s="8" t="n">
        <v>60</v>
      </c>
      <c r="M173" s="8" t="n">
        <v>3</v>
      </c>
      <c r="N173" s="8" t="n">
        <v>15</v>
      </c>
      <c r="O173" s="8" t="n">
        <v>11</v>
      </c>
      <c r="P173" s="9" t="n">
        <v>31.0583037486163</v>
      </c>
      <c r="Q173" s="10" t="n">
        <v>0.0321975085340761</v>
      </c>
      <c r="R173" s="9" t="n">
        <v>41</v>
      </c>
      <c r="S173" s="12" t="n">
        <f aca="false">IF(AND(ISNUMBER(R173),R173&gt;1,P173&gt;0),R173/P173-1,"")</f>
        <v>0.320097849897121</v>
      </c>
      <c r="T173" s="9" t="n">
        <f aca="false">IF(AND(ISNUMBER(P173),P173&gt;0),P173*EXP('Read me'!$B$22),"")</f>
        <v>37.9346978623362</v>
      </c>
    </row>
    <row r="174" customFormat="false" ht="15" hidden="false" customHeight="false" outlineLevel="0" collapsed="false">
      <c r="A174" s="14" t="s">
        <v>145</v>
      </c>
      <c r="B174" s="14" t="s">
        <v>49</v>
      </c>
      <c r="C174" s="14" t="s">
        <v>146</v>
      </c>
      <c r="D174" s="14" t="s">
        <v>422</v>
      </c>
      <c r="E174" s="15" t="n">
        <v>5</v>
      </c>
      <c r="F174" s="14" t="s">
        <v>320</v>
      </c>
      <c r="G174" s="8" t="n">
        <v>12</v>
      </c>
      <c r="H174" s="14" t="s">
        <v>610</v>
      </c>
      <c r="I174" s="14" t="s">
        <v>344</v>
      </c>
      <c r="J174" s="14" t="s">
        <v>203</v>
      </c>
      <c r="K174" s="8" t="n">
        <v>12</v>
      </c>
      <c r="L174" s="8" t="n">
        <v>79</v>
      </c>
      <c r="M174" s="8" t="n">
        <v>7</v>
      </c>
      <c r="N174" s="8" t="n">
        <v>18</v>
      </c>
      <c r="O174" s="8" t="n">
        <v>12</v>
      </c>
      <c r="P174" s="9" t="n">
        <v>31.1829077747617</v>
      </c>
      <c r="Q174" s="10" t="n">
        <v>0.0320688502567859</v>
      </c>
      <c r="R174" s="9" t="n">
        <v>12</v>
      </c>
      <c r="S174" s="12" t="n">
        <f aca="false">IF(AND(ISNUMBER(R174),R174&gt;1,P174&gt;0),R174/P174-1,"")</f>
        <v>-0.615173796918569</v>
      </c>
      <c r="T174" s="9" t="n">
        <f aca="false">IF(AND(ISNUMBER(P174),P174&gt;0),P174*EXP('Read me'!$B$22),"")</f>
        <v>38.0868895635482</v>
      </c>
    </row>
    <row r="175" customFormat="false" ht="15" hidden="false" customHeight="false" outlineLevel="0" collapsed="false">
      <c r="A175" s="14" t="s">
        <v>151</v>
      </c>
      <c r="B175" s="14" t="s">
        <v>56</v>
      </c>
      <c r="C175" s="14" t="s">
        <v>152</v>
      </c>
      <c r="D175" s="14" t="s">
        <v>463</v>
      </c>
      <c r="E175" s="15" t="n">
        <v>7</v>
      </c>
      <c r="F175" s="14" t="s">
        <v>349</v>
      </c>
      <c r="G175" s="8" t="n">
        <v>11</v>
      </c>
      <c r="H175" s="14" t="s">
        <v>153</v>
      </c>
      <c r="I175" s="14" t="s">
        <v>84</v>
      </c>
      <c r="J175" s="14" t="s">
        <v>60</v>
      </c>
      <c r="K175" s="8" t="n">
        <v>3</v>
      </c>
      <c r="L175" s="8" t="n">
        <v>62</v>
      </c>
      <c r="M175" s="8" t="n">
        <v>6</v>
      </c>
      <c r="N175" s="8" t="n">
        <v>12</v>
      </c>
      <c r="O175" s="8" t="n">
        <v>1</v>
      </c>
      <c r="P175" s="9" t="n">
        <v>5.19453070385553</v>
      </c>
      <c r="Q175" s="10" t="n">
        <v>0.192510172142745</v>
      </c>
      <c r="R175" s="9" t="n">
        <v>6</v>
      </c>
      <c r="S175" s="12" t="n">
        <f aca="false">IF(AND(ISNUMBER(R175),R175&gt;1,P175&gt;0),R175/P175-1,"")</f>
        <v>0.155061032856468</v>
      </c>
      <c r="T175" s="9" t="n">
        <f aca="false">IF(AND(ISNUMBER(P175),P175&gt;0),P175*EXP('Read me'!$B$22),"")</f>
        <v>6.34461412903683</v>
      </c>
    </row>
    <row r="176" customFormat="false" ht="15" hidden="false" customHeight="false" outlineLevel="0" collapsed="false">
      <c r="A176" s="14" t="s">
        <v>151</v>
      </c>
      <c r="B176" s="14" t="s">
        <v>56</v>
      </c>
      <c r="C176" s="14" t="s">
        <v>152</v>
      </c>
      <c r="D176" s="14" t="s">
        <v>463</v>
      </c>
      <c r="E176" s="15" t="n">
        <v>7</v>
      </c>
      <c r="F176" s="14" t="s">
        <v>349</v>
      </c>
      <c r="G176" s="8" t="n">
        <v>11</v>
      </c>
      <c r="H176" s="14" t="s">
        <v>154</v>
      </c>
      <c r="I176" s="14" t="s">
        <v>611</v>
      </c>
      <c r="J176" s="14" t="s">
        <v>441</v>
      </c>
      <c r="K176" s="8" t="n">
        <v>10</v>
      </c>
      <c r="L176" s="8" t="n">
        <v>65</v>
      </c>
      <c r="M176" s="8" t="n">
        <v>3</v>
      </c>
      <c r="N176" s="8" t="n">
        <v>28</v>
      </c>
      <c r="O176" s="8" t="n">
        <v>2</v>
      </c>
      <c r="P176" s="9" t="n">
        <v>5.51414712675809</v>
      </c>
      <c r="Q176" s="10" t="n">
        <v>0.181351708072382</v>
      </c>
      <c r="R176" s="9" t="n">
        <v>6.5</v>
      </c>
      <c r="S176" s="12" t="n">
        <f aca="false">IF(AND(ISNUMBER(R176),R176&gt;1,P176&gt;0),R176/P176-1,"")</f>
        <v>0.178786102470486</v>
      </c>
      <c r="T176" s="9" t="n">
        <f aca="false">IF(AND(ISNUMBER(P176),P176&gt;0),P176*EXP('Read me'!$B$22),"")</f>
        <v>6.73499450952331</v>
      </c>
    </row>
    <row r="177" customFormat="false" ht="15" hidden="false" customHeight="false" outlineLevel="0" collapsed="false">
      <c r="A177" s="14" t="s">
        <v>151</v>
      </c>
      <c r="B177" s="14" t="s">
        <v>56</v>
      </c>
      <c r="C177" s="14" t="s">
        <v>152</v>
      </c>
      <c r="D177" s="14" t="s">
        <v>463</v>
      </c>
      <c r="E177" s="15" t="n">
        <v>7</v>
      </c>
      <c r="F177" s="14" t="s">
        <v>349</v>
      </c>
      <c r="G177" s="8" t="n">
        <v>11</v>
      </c>
      <c r="H177" s="14" t="s">
        <v>612</v>
      </c>
      <c r="I177" s="14" t="s">
        <v>613</v>
      </c>
      <c r="J177" s="14" t="s">
        <v>351</v>
      </c>
      <c r="K177" s="8" t="n">
        <v>1</v>
      </c>
      <c r="L177" s="8" t="n">
        <v>54</v>
      </c>
      <c r="M177" s="8" t="n">
        <v>6</v>
      </c>
      <c r="N177" s="8" t="n">
        <v>11</v>
      </c>
      <c r="O177" s="8" t="n">
        <v>3</v>
      </c>
      <c r="P177" s="9" t="n">
        <v>8.18533767167478</v>
      </c>
      <c r="Q177" s="10" t="n">
        <v>0.122169669732806</v>
      </c>
      <c r="R177" s="9" t="n">
        <v>5</v>
      </c>
      <c r="S177" s="12" t="n">
        <f aca="false">IF(AND(ISNUMBER(R177),R177&gt;1,P177&gt;0),R177/P177-1,"")</f>
        <v>-0.389151651335972</v>
      </c>
      <c r="T177" s="9" t="n">
        <f aca="false">IF(AND(ISNUMBER(P177),P177&gt;0),P177*EXP('Read me'!$B$22),"")</f>
        <v>9.99759400865591</v>
      </c>
    </row>
    <row r="178" customFormat="false" ht="15" hidden="false" customHeight="false" outlineLevel="0" collapsed="false">
      <c r="A178" s="14" t="s">
        <v>151</v>
      </c>
      <c r="B178" s="14" t="s">
        <v>56</v>
      </c>
      <c r="C178" s="14" t="s">
        <v>152</v>
      </c>
      <c r="D178" s="14" t="s">
        <v>463</v>
      </c>
      <c r="E178" s="15" t="n">
        <v>7</v>
      </c>
      <c r="F178" s="14" t="s">
        <v>349</v>
      </c>
      <c r="G178" s="8" t="n">
        <v>11</v>
      </c>
      <c r="H178" s="14" t="s">
        <v>614</v>
      </c>
      <c r="I178" s="14" t="s">
        <v>494</v>
      </c>
      <c r="J178" s="14" t="s">
        <v>495</v>
      </c>
      <c r="K178" s="8" t="n">
        <v>7</v>
      </c>
      <c r="L178" s="8" t="n">
        <v>58</v>
      </c>
      <c r="M178" s="8" t="n">
        <v>3</v>
      </c>
      <c r="N178" s="8" t="n">
        <v>21</v>
      </c>
      <c r="O178" s="8" t="n">
        <v>4</v>
      </c>
      <c r="P178" s="9" t="n">
        <v>8.33933299872066</v>
      </c>
      <c r="Q178" s="10" t="n">
        <v>0.119913666974734</v>
      </c>
      <c r="R178" s="9" t="n">
        <v>11</v>
      </c>
      <c r="S178" s="12" t="n">
        <f aca="false">IF(AND(ISNUMBER(R178),R178&gt;1,P178&gt;0),R178/P178-1,"")</f>
        <v>0.319050336722075</v>
      </c>
      <c r="T178" s="9" t="n">
        <f aca="false">IF(AND(ISNUMBER(P178),P178&gt;0),P178*EXP('Read me'!$B$22),"")</f>
        <v>10.1856843258535</v>
      </c>
    </row>
    <row r="179" customFormat="false" ht="15" hidden="false" customHeight="false" outlineLevel="0" collapsed="false">
      <c r="A179" s="14" t="s">
        <v>151</v>
      </c>
      <c r="B179" s="14" t="s">
        <v>56</v>
      </c>
      <c r="C179" s="14" t="s">
        <v>152</v>
      </c>
      <c r="D179" s="14" t="s">
        <v>463</v>
      </c>
      <c r="E179" s="15" t="n">
        <v>7</v>
      </c>
      <c r="F179" s="14" t="s">
        <v>349</v>
      </c>
      <c r="G179" s="8" t="n">
        <v>11</v>
      </c>
      <c r="H179" s="14" t="s">
        <v>615</v>
      </c>
      <c r="I179" s="14" t="s">
        <v>350</v>
      </c>
      <c r="J179" s="14" t="s">
        <v>351</v>
      </c>
      <c r="K179" s="8" t="n">
        <v>6</v>
      </c>
      <c r="L179" s="8" t="n">
        <v>50</v>
      </c>
      <c r="M179" s="8" t="n">
        <v>4</v>
      </c>
      <c r="N179" s="8" t="n">
        <v>11</v>
      </c>
      <c r="O179" s="8" t="n">
        <v>5</v>
      </c>
      <c r="P179" s="9" t="n">
        <v>12.4494077475792</v>
      </c>
      <c r="Q179" s="10" t="n">
        <v>0.0803251062440662</v>
      </c>
      <c r="R179" s="9" t="n">
        <v>8.5</v>
      </c>
      <c r="S179" s="12" t="n">
        <f aca="false">IF(AND(ISNUMBER(R179),R179&gt;1,P179&gt;0),R179/P179-1,"")</f>
        <v>-0.317236596925436</v>
      </c>
      <c r="T179" s="9" t="n">
        <f aca="false">IF(AND(ISNUMBER(P179),P179&gt;0),P179*EXP('Read me'!$B$22),"")</f>
        <v>15.2057409603538</v>
      </c>
    </row>
    <row r="180" customFormat="false" ht="15" hidden="false" customHeight="false" outlineLevel="0" collapsed="false">
      <c r="A180" s="14" t="s">
        <v>151</v>
      </c>
      <c r="B180" s="14" t="s">
        <v>56</v>
      </c>
      <c r="C180" s="14" t="s">
        <v>152</v>
      </c>
      <c r="D180" s="14" t="s">
        <v>463</v>
      </c>
      <c r="E180" s="15" t="n">
        <v>7</v>
      </c>
      <c r="F180" s="14" t="s">
        <v>349</v>
      </c>
      <c r="G180" s="8" t="n">
        <v>11</v>
      </c>
      <c r="H180" s="14" t="s">
        <v>616</v>
      </c>
      <c r="I180" s="14" t="s">
        <v>617</v>
      </c>
      <c r="J180" s="14" t="s">
        <v>564</v>
      </c>
      <c r="K180" s="8" t="n">
        <v>9</v>
      </c>
      <c r="L180" s="8" t="n">
        <v>65</v>
      </c>
      <c r="M180" s="8" t="n">
        <v>3</v>
      </c>
      <c r="N180" s="8" t="n">
        <v>15</v>
      </c>
      <c r="O180" s="8" t="n">
        <v>6</v>
      </c>
      <c r="P180" s="9" t="n">
        <v>13.0929446944052</v>
      </c>
      <c r="Q180" s="10" t="n">
        <v>0.0763770124552132</v>
      </c>
      <c r="R180" s="9" t="n">
        <v>19</v>
      </c>
      <c r="S180" s="12" t="n">
        <f aca="false">IF(AND(ISNUMBER(R180),R180&gt;1,P180&gt;0),R180/P180-1,"")</f>
        <v>0.451163236649051</v>
      </c>
      <c r="T180" s="9" t="n">
        <f aca="false">IF(AND(ISNUMBER(P180),P180&gt;0),P180*EXP('Read me'!$B$22),"")</f>
        <v>15.991758762185</v>
      </c>
    </row>
    <row r="181" customFormat="false" ht="15" hidden="false" customHeight="false" outlineLevel="0" collapsed="false">
      <c r="A181" s="14" t="s">
        <v>151</v>
      </c>
      <c r="B181" s="14" t="s">
        <v>56</v>
      </c>
      <c r="C181" s="14" t="s">
        <v>152</v>
      </c>
      <c r="D181" s="14" t="s">
        <v>463</v>
      </c>
      <c r="E181" s="15" t="n">
        <v>7</v>
      </c>
      <c r="F181" s="14" t="s">
        <v>349</v>
      </c>
      <c r="G181" s="8" t="n">
        <v>11</v>
      </c>
      <c r="H181" s="14" t="s">
        <v>618</v>
      </c>
      <c r="I181" s="14" t="s">
        <v>555</v>
      </c>
      <c r="J181" s="14" t="s">
        <v>361</v>
      </c>
      <c r="K181" s="8" t="n">
        <v>5</v>
      </c>
      <c r="L181" s="8" t="n">
        <v>60</v>
      </c>
      <c r="M181" s="8" t="n">
        <v>3</v>
      </c>
      <c r="N181" s="8" t="n">
        <v>20</v>
      </c>
      <c r="O181" s="8" t="n">
        <v>7</v>
      </c>
      <c r="P181" s="9" t="n">
        <v>14.1082771371718</v>
      </c>
      <c r="Q181" s="10" t="n">
        <v>0.070880376836747</v>
      </c>
      <c r="R181" s="9" t="n">
        <v>13</v>
      </c>
      <c r="S181" s="12" t="n">
        <f aca="false">IF(AND(ISNUMBER(R181),R181&gt;1,P181&gt;0),R181/P181-1,"")</f>
        <v>-0.0785551011222884</v>
      </c>
      <c r="T181" s="9" t="n">
        <f aca="false">IF(AND(ISNUMBER(P181),P181&gt;0),P181*EXP('Read me'!$B$22),"")</f>
        <v>17.2318886082297</v>
      </c>
    </row>
    <row r="182" customFormat="false" ht="15" hidden="false" customHeight="false" outlineLevel="0" collapsed="false">
      <c r="A182" s="14" t="s">
        <v>151</v>
      </c>
      <c r="B182" s="14" t="s">
        <v>56</v>
      </c>
      <c r="C182" s="14" t="s">
        <v>152</v>
      </c>
      <c r="D182" s="14" t="s">
        <v>463</v>
      </c>
      <c r="E182" s="15" t="n">
        <v>7</v>
      </c>
      <c r="F182" s="14" t="s">
        <v>349</v>
      </c>
      <c r="G182" s="8" t="n">
        <v>11</v>
      </c>
      <c r="H182" s="14" t="s">
        <v>619</v>
      </c>
      <c r="I182" s="14" t="s">
        <v>486</v>
      </c>
      <c r="J182" s="14" t="s">
        <v>620</v>
      </c>
      <c r="K182" s="8" t="n">
        <v>2</v>
      </c>
      <c r="L182" s="8" t="n">
        <v>64</v>
      </c>
      <c r="M182" s="8" t="n">
        <v>3</v>
      </c>
      <c r="N182" s="8" t="n">
        <v>12</v>
      </c>
      <c r="O182" s="8" t="n">
        <v>8</v>
      </c>
      <c r="P182" s="9" t="n">
        <v>14.4043471998186</v>
      </c>
      <c r="Q182" s="10" t="n">
        <v>0.0694234862661872</v>
      </c>
      <c r="R182" s="9" t="n">
        <v>7</v>
      </c>
      <c r="S182" s="12" t="n">
        <f aca="false">IF(AND(ISNUMBER(R182),R182&gt;1,P182&gt;0),R182/P182-1,"")</f>
        <v>-0.514035596136689</v>
      </c>
      <c r="T182" s="9" t="n">
        <f aca="false">IF(AND(ISNUMBER(P182),P182&gt;0),P182*EXP('Read me'!$B$22),"")</f>
        <v>17.5935093993552</v>
      </c>
    </row>
    <row r="183" customFormat="false" ht="15" hidden="false" customHeight="false" outlineLevel="0" collapsed="false">
      <c r="A183" s="14" t="s">
        <v>151</v>
      </c>
      <c r="B183" s="14" t="s">
        <v>56</v>
      </c>
      <c r="C183" s="14" t="s">
        <v>152</v>
      </c>
      <c r="D183" s="14" t="s">
        <v>463</v>
      </c>
      <c r="E183" s="15" t="n">
        <v>7</v>
      </c>
      <c r="F183" s="14" t="s">
        <v>349</v>
      </c>
      <c r="G183" s="8" t="n">
        <v>11</v>
      </c>
      <c r="H183" s="14" t="s">
        <v>621</v>
      </c>
      <c r="I183" s="14" t="s">
        <v>622</v>
      </c>
      <c r="J183" s="14" t="s">
        <v>492</v>
      </c>
      <c r="K183" s="8" t="n">
        <v>8</v>
      </c>
      <c r="L183" s="8" t="n">
        <v>65</v>
      </c>
      <c r="M183" s="8" t="n">
        <v>7</v>
      </c>
      <c r="N183" s="8" t="n">
        <v>15</v>
      </c>
      <c r="O183" s="8" t="n">
        <v>9</v>
      </c>
      <c r="P183" s="9" t="n">
        <v>18.3666548003514</v>
      </c>
      <c r="Q183" s="10" t="n">
        <v>0.0544464961567671</v>
      </c>
      <c r="R183" s="9" t="n">
        <v>9</v>
      </c>
      <c r="S183" s="12" t="n">
        <f aca="false">IF(AND(ISNUMBER(R183),R183&gt;1,P183&gt;0),R183/P183-1,"")</f>
        <v>-0.509981534589095</v>
      </c>
      <c r="T183" s="9" t="n">
        <f aca="false">IF(AND(ISNUMBER(P183),P183&gt;0),P183*EXP('Read me'!$B$22),"")</f>
        <v>22.4330828313249</v>
      </c>
    </row>
    <row r="184" customFormat="false" ht="15" hidden="false" customHeight="false" outlineLevel="0" collapsed="false">
      <c r="A184" s="14" t="s">
        <v>151</v>
      </c>
      <c r="B184" s="14" t="s">
        <v>56</v>
      </c>
      <c r="C184" s="14" t="s">
        <v>152</v>
      </c>
      <c r="D184" s="14" t="s">
        <v>463</v>
      </c>
      <c r="E184" s="15" t="n">
        <v>7</v>
      </c>
      <c r="F184" s="14" t="s">
        <v>349</v>
      </c>
      <c r="G184" s="8" t="n">
        <v>11</v>
      </c>
      <c r="H184" s="14" t="s">
        <v>623</v>
      </c>
      <c r="I184" s="14" t="s">
        <v>624</v>
      </c>
      <c r="J184" s="14" t="s">
        <v>625</v>
      </c>
      <c r="K184" s="8" t="n">
        <v>11</v>
      </c>
      <c r="L184" s="8" t="n">
        <v>50</v>
      </c>
      <c r="M184" s="8" t="n">
        <v>4</v>
      </c>
      <c r="N184" s="8" t="n">
        <v>8</v>
      </c>
      <c r="O184" s="8" t="n">
        <v>10</v>
      </c>
      <c r="P184" s="9" t="n">
        <v>37.0607082953544</v>
      </c>
      <c r="Q184" s="10" t="n">
        <v>0.0269827546745875</v>
      </c>
      <c r="R184" s="9" t="n">
        <v>15</v>
      </c>
      <c r="S184" s="12" t="n">
        <f aca="false">IF(AND(ISNUMBER(R184),R184&gt;1,P184&gt;0),R184/P184-1,"")</f>
        <v>-0.595258679881186</v>
      </c>
      <c r="T184" s="9" t="n">
        <f aca="false">IF(AND(ISNUMBER(P184),P184&gt;0),P184*EXP('Read me'!$B$22),"")</f>
        <v>45.2660513313153</v>
      </c>
    </row>
    <row r="185" customFormat="false" ht="15" hidden="false" customHeight="false" outlineLevel="0" collapsed="false">
      <c r="A185" s="14" t="s">
        <v>151</v>
      </c>
      <c r="B185" s="14" t="s">
        <v>56</v>
      </c>
      <c r="C185" s="14" t="s">
        <v>152</v>
      </c>
      <c r="D185" s="14" t="s">
        <v>463</v>
      </c>
      <c r="E185" s="15" t="n">
        <v>7</v>
      </c>
      <c r="F185" s="14" t="s">
        <v>349</v>
      </c>
      <c r="G185" s="8" t="n">
        <v>11</v>
      </c>
      <c r="H185" s="14" t="s">
        <v>626</v>
      </c>
      <c r="I185" s="14" t="s">
        <v>433</v>
      </c>
      <c r="J185" s="14" t="s">
        <v>627</v>
      </c>
      <c r="K185" s="8" t="n">
        <v>4</v>
      </c>
      <c r="L185" s="8" t="n">
        <v>46</v>
      </c>
      <c r="M185" s="8" t="n">
        <v>3</v>
      </c>
      <c r="N185" s="8" t="n">
        <v>10</v>
      </c>
      <c r="O185" s="8" t="n">
        <v>11</v>
      </c>
      <c r="P185" s="9" t="n">
        <v>177.950177688963</v>
      </c>
      <c r="Q185" s="10" t="n">
        <v>0.0056195504437645</v>
      </c>
      <c r="R185" s="9" t="n">
        <v>101</v>
      </c>
      <c r="S185" s="12" t="n">
        <f aca="false">IF(AND(ISNUMBER(R185),R185&gt;1,P185&gt;0),R185/P185-1,"")</f>
        <v>-0.432425405179777</v>
      </c>
      <c r="T185" s="9" t="n">
        <f aca="false">IF(AND(ISNUMBER(P185),P185&gt;0),P185*EXP('Read me'!$B$22),"")</f>
        <v>217.348837844392</v>
      </c>
    </row>
    <row r="186" customFormat="false" ht="15" hidden="false" customHeight="false" outlineLevel="0" collapsed="false">
      <c r="A186" s="14" t="s">
        <v>155</v>
      </c>
      <c r="B186" s="14" t="s">
        <v>63</v>
      </c>
      <c r="C186" s="14" t="s">
        <v>156</v>
      </c>
      <c r="D186" s="14" t="s">
        <v>422</v>
      </c>
      <c r="E186" s="15" t="n">
        <v>16.5</v>
      </c>
      <c r="F186" s="14" t="s">
        <v>368</v>
      </c>
      <c r="G186" s="8" t="n">
        <v>5</v>
      </c>
      <c r="H186" s="14" t="s">
        <v>157</v>
      </c>
      <c r="I186" s="14" t="s">
        <v>158</v>
      </c>
      <c r="J186" s="14" t="s">
        <v>159</v>
      </c>
      <c r="K186" s="8" t="n">
        <v>1</v>
      </c>
      <c r="L186" s="8" t="n">
        <v>110</v>
      </c>
      <c r="M186" s="8" t="n">
        <v>6</v>
      </c>
      <c r="N186" s="8" t="n">
        <v>14</v>
      </c>
      <c r="O186" s="8" t="n">
        <v>1</v>
      </c>
      <c r="P186" s="9" t="n">
        <v>2.62230526983567</v>
      </c>
      <c r="Q186" s="10" t="n">
        <v>0.381343854776552</v>
      </c>
      <c r="R186" s="9" t="n">
        <v>3</v>
      </c>
      <c r="S186" s="12" t="n">
        <f aca="false">IF(AND(ISNUMBER(R186),R186&gt;1,P186&gt;0),R186/P186-1,"")</f>
        <v>0.144031564329656</v>
      </c>
      <c r="T186" s="9" t="n">
        <f aca="false">IF(AND(ISNUMBER(P186),P186&gt;0),P186*EXP('Read me'!$B$22),"")</f>
        <v>3.20289088931523</v>
      </c>
    </row>
    <row r="187" customFormat="false" ht="15" hidden="false" customHeight="false" outlineLevel="0" collapsed="false">
      <c r="A187" s="14" t="s">
        <v>155</v>
      </c>
      <c r="B187" s="14" t="s">
        <v>63</v>
      </c>
      <c r="C187" s="14" t="s">
        <v>156</v>
      </c>
      <c r="D187" s="14" t="s">
        <v>422</v>
      </c>
      <c r="E187" s="15" t="n">
        <v>16.5</v>
      </c>
      <c r="F187" s="14" t="s">
        <v>368</v>
      </c>
      <c r="G187" s="8" t="n">
        <v>5</v>
      </c>
      <c r="H187" s="14" t="s">
        <v>160</v>
      </c>
      <c r="I187" s="14" t="s">
        <v>66</v>
      </c>
      <c r="J187" s="14" t="s">
        <v>628</v>
      </c>
      <c r="K187" s="8" t="n">
        <v>3</v>
      </c>
      <c r="L187" s="8" t="n">
        <v>105</v>
      </c>
      <c r="M187" s="8" t="n">
        <v>5</v>
      </c>
      <c r="N187" s="8" t="n">
        <v>14</v>
      </c>
      <c r="O187" s="8" t="n">
        <v>2</v>
      </c>
      <c r="P187" s="9" t="n">
        <v>4.36026469948184</v>
      </c>
      <c r="Q187" s="10" t="n">
        <v>0.229343874494325</v>
      </c>
      <c r="R187" s="9" t="n">
        <v>5.5</v>
      </c>
      <c r="S187" s="12" t="n">
        <f aca="false">IF(AND(ISNUMBER(R187),R187&gt;1,P187&gt;0),R187/P187-1,"")</f>
        <v>0.261391309718788</v>
      </c>
      <c r="T187" s="9" t="n">
        <f aca="false">IF(AND(ISNUMBER(P187),P187&gt;0),P187*EXP('Read me'!$B$22),"")</f>
        <v>5.32563933025555</v>
      </c>
    </row>
    <row r="188" customFormat="false" ht="15" hidden="false" customHeight="false" outlineLevel="0" collapsed="false">
      <c r="A188" s="14" t="s">
        <v>155</v>
      </c>
      <c r="B188" s="14" t="s">
        <v>63</v>
      </c>
      <c r="C188" s="14" t="s">
        <v>156</v>
      </c>
      <c r="D188" s="14" t="s">
        <v>422</v>
      </c>
      <c r="E188" s="15" t="n">
        <v>16.5</v>
      </c>
      <c r="F188" s="14" t="s">
        <v>368</v>
      </c>
      <c r="G188" s="8" t="n">
        <v>5</v>
      </c>
      <c r="H188" s="14" t="s">
        <v>629</v>
      </c>
      <c r="I188" s="14" t="s">
        <v>630</v>
      </c>
      <c r="J188" s="14" t="s">
        <v>149</v>
      </c>
      <c r="K188" s="8" t="n">
        <v>4</v>
      </c>
      <c r="L188" s="8" t="n">
        <v>102</v>
      </c>
      <c r="M188" s="8" t="n">
        <v>7</v>
      </c>
      <c r="N188" s="8" t="n">
        <v>72</v>
      </c>
      <c r="O188" s="8" t="n">
        <v>3</v>
      </c>
      <c r="P188" s="9" t="n">
        <v>5.50361987214266</v>
      </c>
      <c r="Q188" s="10" t="n">
        <v>0.181698595330255</v>
      </c>
      <c r="R188" s="9" t="n">
        <v>4</v>
      </c>
      <c r="S188" s="12" t="n">
        <f aca="false">IF(AND(ISNUMBER(R188),R188&gt;1,P188&gt;0),R188/P188-1,"")</f>
        <v>-0.273205618678979</v>
      </c>
      <c r="T188" s="9" t="n">
        <f aca="false">IF(AND(ISNUMBER(P188),P188&gt;0),P188*EXP('Read me'!$B$22),"")</f>
        <v>6.72213649170016</v>
      </c>
    </row>
    <row r="189" customFormat="false" ht="15" hidden="false" customHeight="false" outlineLevel="0" collapsed="false">
      <c r="A189" s="14" t="s">
        <v>155</v>
      </c>
      <c r="B189" s="14" t="s">
        <v>63</v>
      </c>
      <c r="C189" s="14" t="s">
        <v>156</v>
      </c>
      <c r="D189" s="14" t="s">
        <v>422</v>
      </c>
      <c r="E189" s="15" t="n">
        <v>16.5</v>
      </c>
      <c r="F189" s="14" t="s">
        <v>368</v>
      </c>
      <c r="G189" s="8" t="n">
        <v>5</v>
      </c>
      <c r="H189" s="14" t="s">
        <v>631</v>
      </c>
      <c r="I189" s="14" t="s">
        <v>632</v>
      </c>
      <c r="J189" s="14" t="s">
        <v>633</v>
      </c>
      <c r="K189" s="8" t="n">
        <v>2</v>
      </c>
      <c r="L189" s="8" t="n">
        <v>110</v>
      </c>
      <c r="M189" s="8" t="n">
        <v>8</v>
      </c>
      <c r="N189" s="8" t="n">
        <v>14</v>
      </c>
      <c r="O189" s="8" t="n">
        <v>4</v>
      </c>
      <c r="P189" s="9" t="n">
        <v>5.82522587260057</v>
      </c>
      <c r="Q189" s="10" t="n">
        <v>0.171667163105826</v>
      </c>
      <c r="R189" s="9" t="n">
        <v>4</v>
      </c>
      <c r="S189" s="12" t="n">
        <f aca="false">IF(AND(ISNUMBER(R189),R189&gt;1,P189&gt;0),R189/P189-1,"")</f>
        <v>-0.313331347576696</v>
      </c>
      <c r="T189" s="9" t="n">
        <f aca="false">IF(AND(ISNUMBER(P189),P189&gt;0),P189*EXP('Read me'!$B$22),"")</f>
        <v>7.11494694770032</v>
      </c>
    </row>
    <row r="190" customFormat="false" ht="15" hidden="false" customHeight="false" outlineLevel="0" collapsed="false">
      <c r="A190" s="14" t="s">
        <v>155</v>
      </c>
      <c r="B190" s="14" t="s">
        <v>63</v>
      </c>
      <c r="C190" s="14" t="s">
        <v>156</v>
      </c>
      <c r="D190" s="14" t="s">
        <v>422</v>
      </c>
      <c r="E190" s="15" t="n">
        <v>16.5</v>
      </c>
      <c r="F190" s="14" t="s">
        <v>368</v>
      </c>
      <c r="G190" s="8" t="n">
        <v>5</v>
      </c>
      <c r="H190" s="14" t="s">
        <v>634</v>
      </c>
      <c r="I190" s="14" t="s">
        <v>635</v>
      </c>
      <c r="J190" s="14" t="s">
        <v>636</v>
      </c>
      <c r="K190" s="8" t="n">
        <v>5</v>
      </c>
      <c r="L190" s="8" t="n">
        <v>90</v>
      </c>
      <c r="M190" s="8" t="n">
        <v>7</v>
      </c>
      <c r="N190" s="8" t="n">
        <v>22</v>
      </c>
      <c r="O190" s="8" t="n">
        <v>5</v>
      </c>
      <c r="P190" s="9" t="n">
        <v>27.8191105676081</v>
      </c>
      <c r="Q190" s="10" t="n">
        <v>0.0359465122930412</v>
      </c>
      <c r="R190" s="9" t="n">
        <v>13</v>
      </c>
      <c r="S190" s="12" t="n">
        <f aca="false">IF(AND(ISNUMBER(R190),R190&gt;1,P190&gt;0),R190/P190-1,"")</f>
        <v>-0.532695340190464</v>
      </c>
      <c r="T190" s="9" t="n">
        <f aca="false">IF(AND(ISNUMBER(P190),P190&gt;0),P190*EXP('Read me'!$B$22),"")</f>
        <v>33.9783383768393</v>
      </c>
    </row>
    <row r="191" customFormat="false" ht="15" hidden="false" customHeight="false" outlineLevel="0" collapsed="false">
      <c r="A191" s="14" t="s">
        <v>161</v>
      </c>
      <c r="B191" s="14" t="s">
        <v>42</v>
      </c>
      <c r="C191" s="14" t="s">
        <v>162</v>
      </c>
      <c r="D191" s="14"/>
      <c r="E191" s="15" t="n">
        <v>8</v>
      </c>
      <c r="F191" s="14" t="s">
        <v>286</v>
      </c>
      <c r="G191" s="8" t="n">
        <v>14</v>
      </c>
      <c r="H191" s="14" t="s">
        <v>163</v>
      </c>
      <c r="I191" s="14" t="s">
        <v>45</v>
      </c>
      <c r="J191" s="14" t="s">
        <v>46</v>
      </c>
      <c r="K191" s="8" t="n">
        <v>12</v>
      </c>
      <c r="L191" s="8" t="n">
        <v>0</v>
      </c>
      <c r="M191" s="8" t="n">
        <v>2</v>
      </c>
      <c r="N191" s="8" t="n">
        <v>20</v>
      </c>
      <c r="O191" s="8" t="n">
        <v>1</v>
      </c>
      <c r="P191" s="9" t="n">
        <v>4.18165663712629</v>
      </c>
      <c r="Q191" s="10" t="n">
        <v>0.23913967280853</v>
      </c>
      <c r="R191" s="9" t="n">
        <v>2.2</v>
      </c>
      <c r="S191" s="12" t="n">
        <f aca="false">IF(AND(ISNUMBER(R191),R191&gt;1,P191&gt;0),R191/P191-1,"")</f>
        <v>-0.473892719821234</v>
      </c>
      <c r="T191" s="9" t="n">
        <f aca="false">IF(AND(ISNUMBER(P191),P191&gt;0),P191*EXP('Read me'!$B$22),"")</f>
        <v>5.10748695026483</v>
      </c>
    </row>
    <row r="192" customFormat="false" ht="15" hidden="false" customHeight="false" outlineLevel="0" collapsed="false">
      <c r="A192" s="14" t="s">
        <v>161</v>
      </c>
      <c r="B192" s="14" t="s">
        <v>42</v>
      </c>
      <c r="C192" s="14" t="s">
        <v>162</v>
      </c>
      <c r="D192" s="14"/>
      <c r="E192" s="15" t="n">
        <v>8</v>
      </c>
      <c r="F192" s="14" t="s">
        <v>286</v>
      </c>
      <c r="G192" s="8" t="n">
        <v>14</v>
      </c>
      <c r="H192" s="14" t="s">
        <v>164</v>
      </c>
      <c r="I192" s="14" t="s">
        <v>461</v>
      </c>
      <c r="J192" s="14" t="s">
        <v>637</v>
      </c>
      <c r="K192" s="8" t="n">
        <v>8</v>
      </c>
      <c r="L192" s="8" t="n">
        <v>0</v>
      </c>
      <c r="M192" s="8" t="n">
        <v>2</v>
      </c>
      <c r="N192" s="8"/>
      <c r="O192" s="8" t="n">
        <v>2</v>
      </c>
      <c r="P192" s="9" t="n">
        <v>4.38836363207018</v>
      </c>
      <c r="Q192" s="10" t="n">
        <v>0.227875373109921</v>
      </c>
      <c r="R192" s="9" t="n">
        <v>5</v>
      </c>
      <c r="S192" s="12" t="n">
        <f aca="false">IF(AND(ISNUMBER(R192),R192&gt;1,P192&gt;0),R192/P192-1,"")</f>
        <v>0.139376865549605</v>
      </c>
      <c r="T192" s="9" t="n">
        <f aca="false">IF(AND(ISNUMBER(P192),P192&gt;0),P192*EXP('Read me'!$B$22),"")</f>
        <v>5.3599594440203</v>
      </c>
    </row>
    <row r="193" customFormat="false" ht="15" hidden="false" customHeight="false" outlineLevel="0" collapsed="false">
      <c r="A193" s="14" t="s">
        <v>161</v>
      </c>
      <c r="B193" s="14" t="s">
        <v>42</v>
      </c>
      <c r="C193" s="14" t="s">
        <v>162</v>
      </c>
      <c r="D193" s="14"/>
      <c r="E193" s="15" t="n">
        <v>8</v>
      </c>
      <c r="F193" s="14" t="s">
        <v>286</v>
      </c>
      <c r="G193" s="8" t="n">
        <v>14</v>
      </c>
      <c r="H193" s="14" t="s">
        <v>638</v>
      </c>
      <c r="I193" s="14" t="s">
        <v>95</v>
      </c>
      <c r="J193" s="14" t="s">
        <v>639</v>
      </c>
      <c r="K193" s="8" t="n">
        <v>2</v>
      </c>
      <c r="L193" s="8" t="n">
        <v>0</v>
      </c>
      <c r="M193" s="8" t="n">
        <v>2</v>
      </c>
      <c r="N193" s="8"/>
      <c r="O193" s="8" t="n">
        <v>3</v>
      </c>
      <c r="P193" s="9" t="n">
        <v>7.19369800192232</v>
      </c>
      <c r="Q193" s="10" t="n">
        <v>0.139010561707313</v>
      </c>
      <c r="R193" s="9" t="n">
        <v>6</v>
      </c>
      <c r="S193" s="12" t="n">
        <f aca="false">IF(AND(ISNUMBER(R193),R193&gt;1,P193&gt;0),R193/P193-1,"")</f>
        <v>-0.165936629756119</v>
      </c>
      <c r="T193" s="9" t="n">
        <f aca="false">IF(AND(ISNUMBER(P193),P193&gt;0),P193*EXP('Read me'!$B$22),"")</f>
        <v>8.78640258091923</v>
      </c>
    </row>
    <row r="194" customFormat="false" ht="15" hidden="false" customHeight="false" outlineLevel="0" collapsed="false">
      <c r="A194" s="14" t="s">
        <v>161</v>
      </c>
      <c r="B194" s="14" t="s">
        <v>42</v>
      </c>
      <c r="C194" s="14" t="s">
        <v>162</v>
      </c>
      <c r="D194" s="14"/>
      <c r="E194" s="15" t="n">
        <v>8</v>
      </c>
      <c r="F194" s="14" t="s">
        <v>286</v>
      </c>
      <c r="G194" s="8" t="n">
        <v>14</v>
      </c>
      <c r="H194" s="14" t="s">
        <v>640</v>
      </c>
      <c r="I194" s="14" t="s">
        <v>583</v>
      </c>
      <c r="J194" s="14" t="s">
        <v>641</v>
      </c>
      <c r="K194" s="8" t="n">
        <v>11</v>
      </c>
      <c r="L194" s="8" t="n">
        <v>0</v>
      </c>
      <c r="M194" s="8" t="n">
        <v>2</v>
      </c>
      <c r="N194" s="8"/>
      <c r="O194" s="8" t="n">
        <v>4</v>
      </c>
      <c r="P194" s="9" t="n">
        <v>9.87614298645878</v>
      </c>
      <c r="Q194" s="10" t="n">
        <v>0.101254103081649</v>
      </c>
      <c r="R194" s="9" t="n">
        <v>26</v>
      </c>
      <c r="S194" s="12" t="n">
        <f aca="false">IF(AND(ISNUMBER(R194),R194&gt;1,P194&gt;0),R194/P194-1,"")</f>
        <v>1.63260668012287</v>
      </c>
      <c r="T194" s="9" t="n">
        <f aca="false">IF(AND(ISNUMBER(P194),P194&gt;0),P194*EXP('Read me'!$B$22),"")</f>
        <v>12.062748283645</v>
      </c>
    </row>
    <row r="195" customFormat="false" ht="15" hidden="false" customHeight="false" outlineLevel="0" collapsed="false">
      <c r="A195" s="14" t="s">
        <v>161</v>
      </c>
      <c r="B195" s="14" t="s">
        <v>42</v>
      </c>
      <c r="C195" s="14" t="s">
        <v>162</v>
      </c>
      <c r="D195" s="14"/>
      <c r="E195" s="15" t="n">
        <v>8</v>
      </c>
      <c r="F195" s="14" t="s">
        <v>286</v>
      </c>
      <c r="G195" s="8" t="n">
        <v>14</v>
      </c>
      <c r="H195" s="14" t="s">
        <v>642</v>
      </c>
      <c r="I195" s="14" t="s">
        <v>511</v>
      </c>
      <c r="J195" s="14" t="s">
        <v>590</v>
      </c>
      <c r="K195" s="8" t="n">
        <v>7</v>
      </c>
      <c r="L195" s="8" t="n">
        <v>0</v>
      </c>
      <c r="M195" s="8" t="n">
        <v>2</v>
      </c>
      <c r="N195" s="8" t="n">
        <v>14</v>
      </c>
      <c r="O195" s="8" t="n">
        <v>5</v>
      </c>
      <c r="P195" s="9" t="n">
        <v>13.8740814155918</v>
      </c>
      <c r="Q195" s="10" t="n">
        <v>0.0720768438677453</v>
      </c>
      <c r="R195" s="9" t="n">
        <v>4.5</v>
      </c>
      <c r="S195" s="12" t="n">
        <f aca="false">IF(AND(ISNUMBER(R195),R195&gt;1,P195&gt;0),R195/P195-1,"")</f>
        <v>-0.675654202595146</v>
      </c>
      <c r="T195" s="9" t="n">
        <f aca="false">IF(AND(ISNUMBER(P195),P195&gt;0),P195*EXP('Read me'!$B$22),"")</f>
        <v>16.9458413079426</v>
      </c>
    </row>
    <row r="196" customFormat="false" ht="15" hidden="false" customHeight="false" outlineLevel="0" collapsed="false">
      <c r="A196" s="14" t="s">
        <v>161</v>
      </c>
      <c r="B196" s="14" t="s">
        <v>42</v>
      </c>
      <c r="C196" s="14" t="s">
        <v>162</v>
      </c>
      <c r="D196" s="14"/>
      <c r="E196" s="15" t="n">
        <v>8</v>
      </c>
      <c r="F196" s="14" t="s">
        <v>286</v>
      </c>
      <c r="G196" s="8" t="n">
        <v>14</v>
      </c>
      <c r="H196" s="14" t="s">
        <v>643</v>
      </c>
      <c r="I196" s="14" t="s">
        <v>299</v>
      </c>
      <c r="J196" s="14" t="s">
        <v>46</v>
      </c>
      <c r="K196" s="8" t="n">
        <v>13</v>
      </c>
      <c r="L196" s="8" t="n">
        <v>0</v>
      </c>
      <c r="M196" s="8" t="n">
        <v>2</v>
      </c>
      <c r="N196" s="8"/>
      <c r="O196" s="8" t="n">
        <v>6</v>
      </c>
      <c r="P196" s="9" t="n">
        <v>16.0720146462472</v>
      </c>
      <c r="Q196" s="10" t="n">
        <v>0.0622199532548022</v>
      </c>
      <c r="R196" s="9" t="n">
        <v>17</v>
      </c>
      <c r="S196" s="12" t="n">
        <f aca="false">IF(AND(ISNUMBER(R196),R196&gt;1,P196&gt;0),R196/P196-1,"")</f>
        <v>0.0577392053316392</v>
      </c>
      <c r="T196" s="9" t="n">
        <f aca="false">IF(AND(ISNUMBER(P196),P196&gt;0),P196*EXP('Read me'!$B$22),"")</f>
        <v>19.630403018117</v>
      </c>
    </row>
    <row r="197" customFormat="false" ht="15" hidden="false" customHeight="false" outlineLevel="0" collapsed="false">
      <c r="A197" s="14" t="s">
        <v>161</v>
      </c>
      <c r="B197" s="14" t="s">
        <v>42</v>
      </c>
      <c r="C197" s="14" t="s">
        <v>162</v>
      </c>
      <c r="D197" s="14"/>
      <c r="E197" s="15" t="n">
        <v>8</v>
      </c>
      <c r="F197" s="14" t="s">
        <v>286</v>
      </c>
      <c r="G197" s="8" t="n">
        <v>14</v>
      </c>
      <c r="H197" s="14" t="s">
        <v>644</v>
      </c>
      <c r="I197" s="14" t="s">
        <v>645</v>
      </c>
      <c r="J197" s="14" t="s">
        <v>46</v>
      </c>
      <c r="K197" s="8" t="n">
        <v>6</v>
      </c>
      <c r="L197" s="8" t="n">
        <v>0</v>
      </c>
      <c r="M197" s="8" t="n">
        <v>2</v>
      </c>
      <c r="N197" s="8"/>
      <c r="O197" s="8" t="n">
        <v>7</v>
      </c>
      <c r="P197" s="9" t="n">
        <v>17.6527308760658</v>
      </c>
      <c r="Q197" s="10" t="n">
        <v>0.0566484589280084</v>
      </c>
      <c r="R197" s="9" t="n">
        <v>23</v>
      </c>
      <c r="S197" s="12" t="n">
        <f aca="false">IF(AND(ISNUMBER(R197),R197&gt;1,P197&gt;0),R197/P197-1,"")</f>
        <v>0.302914555344195</v>
      </c>
      <c r="T197" s="9" t="n">
        <f aca="false">IF(AND(ISNUMBER(P197),P197&gt;0),P197*EXP('Read me'!$B$22),"")</f>
        <v>21.5610941810859</v>
      </c>
    </row>
    <row r="198" customFormat="false" ht="15" hidden="false" customHeight="false" outlineLevel="0" collapsed="false">
      <c r="A198" s="14" t="s">
        <v>161</v>
      </c>
      <c r="B198" s="14" t="s">
        <v>42</v>
      </c>
      <c r="C198" s="14" t="s">
        <v>162</v>
      </c>
      <c r="D198" s="14"/>
      <c r="E198" s="15" t="n">
        <v>8</v>
      </c>
      <c r="F198" s="14" t="s">
        <v>286</v>
      </c>
      <c r="G198" s="8" t="n">
        <v>14</v>
      </c>
      <c r="H198" s="14" t="s">
        <v>646</v>
      </c>
      <c r="I198" s="14" t="s">
        <v>293</v>
      </c>
      <c r="J198" s="14" t="s">
        <v>46</v>
      </c>
      <c r="K198" s="8" t="n">
        <v>10</v>
      </c>
      <c r="L198" s="8" t="n">
        <v>0</v>
      </c>
      <c r="M198" s="8" t="n">
        <v>2</v>
      </c>
      <c r="N198" s="8"/>
      <c r="O198" s="8" t="n">
        <v>8</v>
      </c>
      <c r="P198" s="9" t="n">
        <v>28.6540256002789</v>
      </c>
      <c r="Q198" s="10" t="n">
        <v>0.0348991103012858</v>
      </c>
      <c r="R198" s="9" t="n">
        <v>41</v>
      </c>
      <c r="S198" s="12" t="n">
        <f aca="false">IF(AND(ISNUMBER(R198),R198&gt;1,P198&gt;0),R198/P198-1,"")</f>
        <v>0.430863522352718</v>
      </c>
      <c r="T198" s="9" t="n">
        <f aca="false">IF(AND(ISNUMBER(P198),P198&gt;0),P198*EXP('Read me'!$B$22),"")</f>
        <v>34.9981059005728</v>
      </c>
    </row>
    <row r="199" customFormat="false" ht="15" hidden="false" customHeight="false" outlineLevel="0" collapsed="false">
      <c r="A199" s="14" t="s">
        <v>161</v>
      </c>
      <c r="B199" s="14" t="s">
        <v>42</v>
      </c>
      <c r="C199" s="14" t="s">
        <v>162</v>
      </c>
      <c r="D199" s="14"/>
      <c r="E199" s="15" t="n">
        <v>8</v>
      </c>
      <c r="F199" s="14" t="s">
        <v>286</v>
      </c>
      <c r="G199" s="8" t="n">
        <v>14</v>
      </c>
      <c r="H199" s="14" t="s">
        <v>647</v>
      </c>
      <c r="I199" s="14" t="s">
        <v>458</v>
      </c>
      <c r="J199" s="14" t="s">
        <v>451</v>
      </c>
      <c r="K199" s="8" t="n">
        <v>1</v>
      </c>
      <c r="L199" s="8" t="n">
        <v>0</v>
      </c>
      <c r="M199" s="8" t="n">
        <v>2</v>
      </c>
      <c r="N199" s="8"/>
      <c r="O199" s="8" t="n">
        <v>9</v>
      </c>
      <c r="P199" s="9" t="n">
        <v>39.8526967525341</v>
      </c>
      <c r="Q199" s="10" t="n">
        <v>0.0250924048179101</v>
      </c>
      <c r="R199" s="9" t="n">
        <v>26</v>
      </c>
      <c r="S199" s="12" t="n">
        <f aca="false">IF(AND(ISNUMBER(R199),R199&gt;1,P199&gt;0),R199/P199-1,"")</f>
        <v>-0.347597474734336</v>
      </c>
      <c r="T199" s="9" t="n">
        <f aca="false">IF(AND(ISNUMBER(P199),P199&gt;0),P199*EXP('Read me'!$B$22),"")</f>
        <v>48.6761937336661</v>
      </c>
    </row>
    <row r="200" customFormat="false" ht="15" hidden="false" customHeight="false" outlineLevel="0" collapsed="false">
      <c r="A200" s="14" t="s">
        <v>161</v>
      </c>
      <c r="B200" s="14" t="s">
        <v>42</v>
      </c>
      <c r="C200" s="14" t="s">
        <v>162</v>
      </c>
      <c r="D200" s="14"/>
      <c r="E200" s="15" t="n">
        <v>8</v>
      </c>
      <c r="F200" s="14" t="s">
        <v>286</v>
      </c>
      <c r="G200" s="8" t="n">
        <v>14</v>
      </c>
      <c r="H200" s="14" t="s">
        <v>648</v>
      </c>
      <c r="I200" s="14" t="s">
        <v>290</v>
      </c>
      <c r="J200" s="14" t="s">
        <v>291</v>
      </c>
      <c r="K200" s="8" t="n">
        <v>4</v>
      </c>
      <c r="L200" s="8" t="n">
        <v>0</v>
      </c>
      <c r="M200" s="8" t="n">
        <v>2</v>
      </c>
      <c r="N200" s="8" t="n">
        <v>20</v>
      </c>
      <c r="O200" s="8" t="n">
        <v>10</v>
      </c>
      <c r="P200" s="9" t="n">
        <v>48.2336025893221</v>
      </c>
      <c r="Q200" s="10" t="n">
        <v>0.0207324343676824</v>
      </c>
      <c r="R200" s="9" t="n">
        <v>34</v>
      </c>
      <c r="S200" s="12" t="n">
        <f aca="false">IF(AND(ISNUMBER(R200),R200&gt;1,P200&gt;0),R200/P200-1,"")</f>
        <v>-0.295097231498796</v>
      </c>
      <c r="T200" s="9" t="n">
        <f aca="false">IF(AND(ISNUMBER(P200),P200&gt;0),P200*EXP('Read me'!$B$22),"")</f>
        <v>58.9126552385996</v>
      </c>
    </row>
    <row r="201" customFormat="false" ht="15" hidden="false" customHeight="false" outlineLevel="0" collapsed="false">
      <c r="A201" s="14" t="s">
        <v>161</v>
      </c>
      <c r="B201" s="14" t="s">
        <v>42</v>
      </c>
      <c r="C201" s="14" t="s">
        <v>162</v>
      </c>
      <c r="D201" s="14"/>
      <c r="E201" s="15" t="n">
        <v>8</v>
      </c>
      <c r="F201" s="14" t="s">
        <v>286</v>
      </c>
      <c r="G201" s="8" t="n">
        <v>14</v>
      </c>
      <c r="H201" s="14" t="s">
        <v>649</v>
      </c>
      <c r="I201" s="14" t="s">
        <v>72</v>
      </c>
      <c r="J201" s="14" t="s">
        <v>306</v>
      </c>
      <c r="K201" s="8" t="n">
        <v>9</v>
      </c>
      <c r="L201" s="8" t="n">
        <v>0</v>
      </c>
      <c r="M201" s="8" t="n">
        <v>2</v>
      </c>
      <c r="N201" s="8"/>
      <c r="O201" s="8" t="n">
        <v>11</v>
      </c>
      <c r="P201" s="9" t="n">
        <v>135.688916075471</v>
      </c>
      <c r="Q201" s="10" t="n">
        <v>0.0073697987199174</v>
      </c>
      <c r="R201" s="9" t="n">
        <v>151</v>
      </c>
      <c r="S201" s="12" t="n">
        <f aca="false">IF(AND(ISNUMBER(R201),R201&gt;1,P201&gt;0),R201/P201-1,"")</f>
        <v>0.112839606707541</v>
      </c>
      <c r="T201" s="9" t="n">
        <f aca="false">IF(AND(ISNUMBER(P201),P201&gt;0),P201*EXP('Read me'!$B$22),"")</f>
        <v>165.730816346344</v>
      </c>
    </row>
    <row r="202" customFormat="false" ht="15" hidden="false" customHeight="false" outlineLevel="0" collapsed="false">
      <c r="A202" s="14" t="s">
        <v>161</v>
      </c>
      <c r="B202" s="14" t="s">
        <v>42</v>
      </c>
      <c r="C202" s="14" t="s">
        <v>162</v>
      </c>
      <c r="D202" s="14"/>
      <c r="E202" s="15" t="n">
        <v>8</v>
      </c>
      <c r="F202" s="14" t="s">
        <v>286</v>
      </c>
      <c r="G202" s="8" t="n">
        <v>14</v>
      </c>
      <c r="H202" s="14" t="s">
        <v>650</v>
      </c>
      <c r="I202" s="14" t="s">
        <v>651</v>
      </c>
      <c r="J202" s="14" t="s">
        <v>291</v>
      </c>
      <c r="K202" s="8" t="n">
        <v>5</v>
      </c>
      <c r="L202" s="8" t="n">
        <v>0</v>
      </c>
      <c r="M202" s="8" t="n">
        <v>2</v>
      </c>
      <c r="N202" s="8"/>
      <c r="O202" s="8" t="n">
        <v>12</v>
      </c>
      <c r="P202" s="9" t="n">
        <v>162.275211196941</v>
      </c>
      <c r="Q202" s="10" t="n">
        <v>0.0061623706579951</v>
      </c>
      <c r="R202" s="9" t="n">
        <v>101</v>
      </c>
      <c r="S202" s="12" t="n">
        <f aca="false">IF(AND(ISNUMBER(R202),R202&gt;1,P202&gt;0),R202/P202-1,"")</f>
        <v>-0.377600563542485</v>
      </c>
      <c r="T202" s="9" t="n">
        <f aca="false">IF(AND(ISNUMBER(P202),P202&gt;0),P202*EXP('Read me'!$B$22),"")</f>
        <v>198.203390536967</v>
      </c>
    </row>
    <row r="203" customFormat="false" ht="15" hidden="false" customHeight="false" outlineLevel="0" collapsed="false">
      <c r="A203" s="14" t="s">
        <v>161</v>
      </c>
      <c r="B203" s="14" t="s">
        <v>42</v>
      </c>
      <c r="C203" s="14" t="s">
        <v>162</v>
      </c>
      <c r="D203" s="14"/>
      <c r="E203" s="15" t="n">
        <v>8</v>
      </c>
      <c r="F203" s="14" t="s">
        <v>286</v>
      </c>
      <c r="G203" s="8" t="n">
        <v>14</v>
      </c>
      <c r="H203" s="14" t="s">
        <v>652</v>
      </c>
      <c r="I203" s="14" t="s">
        <v>302</v>
      </c>
      <c r="J203" s="14" t="s">
        <v>385</v>
      </c>
      <c r="K203" s="8" t="n">
        <v>3</v>
      </c>
      <c r="L203" s="8" t="n">
        <v>0</v>
      </c>
      <c r="M203" s="8" t="n">
        <v>2</v>
      </c>
      <c r="N203" s="8" t="n">
        <v>28</v>
      </c>
      <c r="O203" s="8" t="n">
        <v>13</v>
      </c>
      <c r="P203" s="9" t="n">
        <v>204.103056002596</v>
      </c>
      <c r="Q203" s="10" t="n">
        <v>0.0048994856793681</v>
      </c>
      <c r="R203" s="9" t="n">
        <v>201</v>
      </c>
      <c r="S203" s="12" t="n">
        <f aca="false">IF(AND(ISNUMBER(R203),R203&gt;1,P203&gt;0),R203/P203-1,"")</f>
        <v>-0.015203378446997</v>
      </c>
      <c r="T203" s="9" t="n">
        <f aca="false">IF(AND(ISNUMBER(P203),P203&gt;0),P203*EXP('Read me'!$B$22),"")</f>
        <v>249.29203555049</v>
      </c>
    </row>
    <row r="204" customFormat="false" ht="15" hidden="false" customHeight="false" outlineLevel="0" collapsed="false">
      <c r="A204" s="14" t="s">
        <v>161</v>
      </c>
      <c r="B204" s="14" t="s">
        <v>42</v>
      </c>
      <c r="C204" s="14" t="s">
        <v>162</v>
      </c>
      <c r="D204" s="14"/>
      <c r="E204" s="15" t="n">
        <v>8</v>
      </c>
      <c r="F204" s="14" t="s">
        <v>286</v>
      </c>
      <c r="G204" s="8" t="n">
        <v>14</v>
      </c>
      <c r="H204" s="14" t="s">
        <v>653</v>
      </c>
      <c r="I204" s="14" t="s">
        <v>654</v>
      </c>
      <c r="J204" s="14" t="s">
        <v>303</v>
      </c>
      <c r="K204" s="8" t="n">
        <v>14</v>
      </c>
      <c r="L204" s="8" t="n">
        <v>0</v>
      </c>
      <c r="M204" s="8" t="n">
        <v>2</v>
      </c>
      <c r="N204" s="8"/>
      <c r="O204" s="8" t="n">
        <v>14</v>
      </c>
      <c r="P204" s="9" t="n">
        <v>381.762634276989</v>
      </c>
      <c r="Q204" s="10" t="n">
        <v>0.002619428697871</v>
      </c>
      <c r="R204" s="9" t="n">
        <v>201</v>
      </c>
      <c r="S204" s="12" t="n">
        <f aca="false">IF(AND(ISNUMBER(R204),R204&gt;1,P204&gt;0),R204/P204-1,"")</f>
        <v>-0.473494831727917</v>
      </c>
      <c r="T204" s="9" t="n">
        <f aca="false">IF(AND(ISNUMBER(P204),P204&gt;0),P204*EXP('Read me'!$B$22),"")</f>
        <v>466.285934468407</v>
      </c>
    </row>
    <row r="205" customFormat="false" ht="15" hidden="false" customHeight="false" outlineLevel="0" collapsed="false">
      <c r="A205" s="14" t="s">
        <v>165</v>
      </c>
      <c r="B205" s="14" t="s">
        <v>166</v>
      </c>
      <c r="C205" s="14" t="s">
        <v>167</v>
      </c>
      <c r="D205" s="14" t="s">
        <v>463</v>
      </c>
      <c r="E205" s="15" t="n">
        <v>9.5</v>
      </c>
      <c r="F205" s="14" t="s">
        <v>655</v>
      </c>
      <c r="G205" s="8" t="n">
        <v>13</v>
      </c>
      <c r="H205" s="14" t="s">
        <v>168</v>
      </c>
      <c r="I205" s="14" t="s">
        <v>169</v>
      </c>
      <c r="J205" s="14" t="s">
        <v>170</v>
      </c>
      <c r="K205" s="8" t="n">
        <v>5</v>
      </c>
      <c r="L205" s="8" t="n">
        <v>54</v>
      </c>
      <c r="M205" s="8" t="n">
        <v>4</v>
      </c>
      <c r="N205" s="8" t="n">
        <v>14</v>
      </c>
      <c r="O205" s="8" t="n">
        <v>1</v>
      </c>
      <c r="P205" s="9" t="n">
        <v>6.33843485313557</v>
      </c>
      <c r="Q205" s="10" t="n">
        <v>0.157767654503116</v>
      </c>
      <c r="R205" s="9" t="n">
        <v>4</v>
      </c>
      <c r="S205" s="12" t="n">
        <f aca="false">IF(AND(ISNUMBER(R205),R205&gt;1,P205&gt;0),R205/P205-1,"")</f>
        <v>-0.368929381987537</v>
      </c>
      <c r="T205" s="9" t="n">
        <f aca="false">IF(AND(ISNUMBER(P205),P205&gt;0),P205*EXP('Read me'!$B$22),"")</f>
        <v>7.74178181203833</v>
      </c>
    </row>
    <row r="206" customFormat="false" ht="15" hidden="false" customHeight="false" outlineLevel="0" collapsed="false">
      <c r="A206" s="14" t="s">
        <v>165</v>
      </c>
      <c r="B206" s="14" t="s">
        <v>166</v>
      </c>
      <c r="C206" s="14" t="s">
        <v>167</v>
      </c>
      <c r="D206" s="14" t="s">
        <v>463</v>
      </c>
      <c r="E206" s="15" t="n">
        <v>9.5</v>
      </c>
      <c r="F206" s="14" t="s">
        <v>655</v>
      </c>
      <c r="G206" s="8" t="n">
        <v>13</v>
      </c>
      <c r="H206" s="14" t="s">
        <v>171</v>
      </c>
      <c r="I206" s="14" t="s">
        <v>196</v>
      </c>
      <c r="J206" s="14" t="s">
        <v>467</v>
      </c>
      <c r="K206" s="8" t="n">
        <v>13</v>
      </c>
      <c r="L206" s="8" t="n">
        <v>52</v>
      </c>
      <c r="M206" s="8" t="n">
        <v>4</v>
      </c>
      <c r="N206" s="8" t="n">
        <v>13</v>
      </c>
      <c r="O206" s="8" t="n">
        <v>2</v>
      </c>
      <c r="P206" s="9" t="n">
        <v>8.57125948438185</v>
      </c>
      <c r="Q206" s="10" t="n">
        <v>0.116668968174649</v>
      </c>
      <c r="R206" s="9" t="n">
        <v>6.5</v>
      </c>
      <c r="S206" s="12" t="n">
        <f aca="false">IF(AND(ISNUMBER(R206),R206&gt;1,P206&gt;0),R206/P206-1,"")</f>
        <v>-0.241651706864785</v>
      </c>
      <c r="T206" s="9" t="n">
        <f aca="false">IF(AND(ISNUMBER(P206),P206&gt;0),P206*EXP('Read me'!$B$22),"")</f>
        <v>10.4689599751305</v>
      </c>
    </row>
    <row r="207" customFormat="false" ht="15" hidden="false" customHeight="false" outlineLevel="0" collapsed="false">
      <c r="A207" s="14" t="s">
        <v>165</v>
      </c>
      <c r="B207" s="14" t="s">
        <v>166</v>
      </c>
      <c r="C207" s="14" t="s">
        <v>167</v>
      </c>
      <c r="D207" s="14" t="s">
        <v>463</v>
      </c>
      <c r="E207" s="15" t="n">
        <v>9.5</v>
      </c>
      <c r="F207" s="14" t="s">
        <v>655</v>
      </c>
      <c r="G207" s="8" t="n">
        <v>13</v>
      </c>
      <c r="H207" s="14" t="s">
        <v>656</v>
      </c>
      <c r="I207" s="14" t="s">
        <v>249</v>
      </c>
      <c r="J207" s="14" t="s">
        <v>79</v>
      </c>
      <c r="K207" s="8" t="n">
        <v>11</v>
      </c>
      <c r="L207" s="8" t="n">
        <v>49</v>
      </c>
      <c r="M207" s="8" t="n">
        <v>4</v>
      </c>
      <c r="N207" s="8" t="n">
        <v>51</v>
      </c>
      <c r="O207" s="8" t="n">
        <v>3</v>
      </c>
      <c r="P207" s="9" t="n">
        <v>8.736687259552</v>
      </c>
      <c r="Q207" s="10" t="n">
        <v>0.114459859932228</v>
      </c>
      <c r="R207" s="9" t="n">
        <v>8</v>
      </c>
      <c r="S207" s="12" t="n">
        <f aca="false">IF(AND(ISNUMBER(R207),R207&gt;1,P207&gt;0),R207/P207-1,"")</f>
        <v>-0.0843211205421786</v>
      </c>
      <c r="T207" s="9" t="n">
        <f aca="false">IF(AND(ISNUMBER(P207),P207&gt;0),P207*EXP('Read me'!$B$22),"")</f>
        <v>10.6710139159996</v>
      </c>
    </row>
    <row r="208" customFormat="false" ht="15" hidden="false" customHeight="false" outlineLevel="0" collapsed="false">
      <c r="A208" s="14" t="s">
        <v>165</v>
      </c>
      <c r="B208" s="14" t="s">
        <v>166</v>
      </c>
      <c r="C208" s="14" t="s">
        <v>167</v>
      </c>
      <c r="D208" s="14" t="s">
        <v>463</v>
      </c>
      <c r="E208" s="15" t="n">
        <v>9.5</v>
      </c>
      <c r="F208" s="14" t="s">
        <v>655</v>
      </c>
      <c r="G208" s="8" t="n">
        <v>13</v>
      </c>
      <c r="H208" s="14" t="s">
        <v>657</v>
      </c>
      <c r="I208" s="14" t="s">
        <v>658</v>
      </c>
      <c r="J208" s="14" t="s">
        <v>114</v>
      </c>
      <c r="K208" s="8" t="n">
        <v>10</v>
      </c>
      <c r="L208" s="8" t="n">
        <v>55</v>
      </c>
      <c r="M208" s="8" t="n">
        <v>8</v>
      </c>
      <c r="N208" s="8" t="n">
        <v>27</v>
      </c>
      <c r="O208" s="8" t="n">
        <v>4</v>
      </c>
      <c r="P208" s="9" t="n">
        <v>10.2275440091452</v>
      </c>
      <c r="Q208" s="10" t="n">
        <v>0.0977751842579048</v>
      </c>
      <c r="R208" s="9" t="n">
        <v>7.5</v>
      </c>
      <c r="S208" s="12" t="n">
        <f aca="false">IF(AND(ISNUMBER(R208),R208&gt;1,P208&gt;0),R208/P208-1,"")</f>
        <v>-0.266686118065714</v>
      </c>
      <c r="T208" s="9" t="n">
        <f aca="false">IF(AND(ISNUMBER(P208),P208&gt;0),P208*EXP('Read me'!$B$22),"")</f>
        <v>12.4919504619744</v>
      </c>
    </row>
    <row r="209" customFormat="false" ht="15" hidden="false" customHeight="false" outlineLevel="0" collapsed="false">
      <c r="A209" s="14" t="s">
        <v>165</v>
      </c>
      <c r="B209" s="14" t="s">
        <v>166</v>
      </c>
      <c r="C209" s="14" t="s">
        <v>167</v>
      </c>
      <c r="D209" s="14" t="s">
        <v>463</v>
      </c>
      <c r="E209" s="15" t="n">
        <v>9.5</v>
      </c>
      <c r="F209" s="14" t="s">
        <v>655</v>
      </c>
      <c r="G209" s="8" t="n">
        <v>13</v>
      </c>
      <c r="H209" s="14" t="s">
        <v>659</v>
      </c>
      <c r="I209" s="14" t="s">
        <v>660</v>
      </c>
      <c r="J209" s="14" t="s">
        <v>661</v>
      </c>
      <c r="K209" s="8" t="n">
        <v>12</v>
      </c>
      <c r="L209" s="8" t="n">
        <v>51</v>
      </c>
      <c r="M209" s="8" t="n">
        <v>3</v>
      </c>
      <c r="N209" s="8" t="n">
        <v>17</v>
      </c>
      <c r="O209" s="8" t="n">
        <v>5</v>
      </c>
      <c r="P209" s="9" t="n">
        <v>11.1023773118382</v>
      </c>
      <c r="Q209" s="10" t="n">
        <v>0.0900707994254276</v>
      </c>
      <c r="R209" s="9" t="n">
        <v>5.5</v>
      </c>
      <c r="S209" s="12" t="n">
        <f aca="false">IF(AND(ISNUMBER(R209),R209&gt;1,P209&gt;0),R209/P209-1,"")</f>
        <v>-0.504610603160148</v>
      </c>
      <c r="T209" s="9" t="n">
        <f aca="false">IF(AND(ISNUMBER(P209),P209&gt;0),P209*EXP('Read me'!$B$22),"")</f>
        <v>13.5604742708141</v>
      </c>
    </row>
    <row r="210" customFormat="false" ht="15" hidden="false" customHeight="false" outlineLevel="0" collapsed="false">
      <c r="A210" s="14" t="s">
        <v>165</v>
      </c>
      <c r="B210" s="14" t="s">
        <v>166</v>
      </c>
      <c r="C210" s="14" t="s">
        <v>167</v>
      </c>
      <c r="D210" s="14" t="s">
        <v>463</v>
      </c>
      <c r="E210" s="15" t="n">
        <v>9.5</v>
      </c>
      <c r="F210" s="14" t="s">
        <v>655</v>
      </c>
      <c r="G210" s="8" t="n">
        <v>13</v>
      </c>
      <c r="H210" s="14" t="s">
        <v>662</v>
      </c>
      <c r="I210" s="14" t="s">
        <v>663</v>
      </c>
      <c r="J210" s="14" t="s">
        <v>620</v>
      </c>
      <c r="K210" s="8" t="n">
        <v>4</v>
      </c>
      <c r="L210" s="8" t="n">
        <v>50</v>
      </c>
      <c r="M210" s="8" t="n">
        <v>4</v>
      </c>
      <c r="N210" s="8" t="n">
        <v>14</v>
      </c>
      <c r="O210" s="8" t="n">
        <v>6</v>
      </c>
      <c r="P210" s="9" t="n">
        <v>12.3221085808296</v>
      </c>
      <c r="Q210" s="10" t="n">
        <v>0.0811549414160961</v>
      </c>
      <c r="R210" s="9" t="n">
        <v>11</v>
      </c>
      <c r="S210" s="12" t="n">
        <f aca="false">IF(AND(ISNUMBER(R210),R210&gt;1,P210&gt;0),R210/P210-1,"")</f>
        <v>-0.107295644422943</v>
      </c>
      <c r="T210" s="9" t="n">
        <f aca="false">IF(AND(ISNUMBER(P210),P210&gt;0),P210*EXP('Read me'!$B$22),"")</f>
        <v>15.0502574069743</v>
      </c>
    </row>
    <row r="211" customFormat="false" ht="15" hidden="false" customHeight="false" outlineLevel="0" collapsed="false">
      <c r="A211" s="14" t="s">
        <v>165</v>
      </c>
      <c r="B211" s="14" t="s">
        <v>166</v>
      </c>
      <c r="C211" s="14" t="s">
        <v>167</v>
      </c>
      <c r="D211" s="14" t="s">
        <v>463</v>
      </c>
      <c r="E211" s="15" t="n">
        <v>9.5</v>
      </c>
      <c r="F211" s="14" t="s">
        <v>655</v>
      </c>
      <c r="G211" s="8" t="n">
        <v>13</v>
      </c>
      <c r="H211" s="14" t="s">
        <v>664</v>
      </c>
      <c r="I211" s="14" t="s">
        <v>665</v>
      </c>
      <c r="J211" s="14" t="s">
        <v>666</v>
      </c>
      <c r="K211" s="8" t="n">
        <v>9</v>
      </c>
      <c r="L211" s="8" t="n">
        <v>50</v>
      </c>
      <c r="M211" s="8" t="n">
        <v>3</v>
      </c>
      <c r="N211" s="8" t="n">
        <v>22</v>
      </c>
      <c r="O211" s="8" t="n">
        <v>7</v>
      </c>
      <c r="P211" s="9" t="n">
        <v>12.9566439007527</v>
      </c>
      <c r="Q211" s="10" t="n">
        <v>0.0771804803512357</v>
      </c>
      <c r="R211" s="9" t="n">
        <v>13</v>
      </c>
      <c r="S211" s="12" t="n">
        <f aca="false">IF(AND(ISNUMBER(R211),R211&gt;1,P211&gt;0),R211/P211-1,"")</f>
        <v>0.00334624456606414</v>
      </c>
      <c r="T211" s="9" t="n">
        <f aca="false">IF(AND(ISNUMBER(P211),P211&gt;0),P211*EXP('Read me'!$B$22),"")</f>
        <v>15.8252805968785</v>
      </c>
    </row>
    <row r="212" customFormat="false" ht="15" hidden="false" customHeight="false" outlineLevel="0" collapsed="false">
      <c r="A212" s="14" t="s">
        <v>165</v>
      </c>
      <c r="B212" s="14" t="s">
        <v>166</v>
      </c>
      <c r="C212" s="14" t="s">
        <v>167</v>
      </c>
      <c r="D212" s="14" t="s">
        <v>463</v>
      </c>
      <c r="E212" s="15" t="n">
        <v>9.5</v>
      </c>
      <c r="F212" s="14" t="s">
        <v>655</v>
      </c>
      <c r="G212" s="8" t="n">
        <v>13</v>
      </c>
      <c r="H212" s="14" t="s">
        <v>667</v>
      </c>
      <c r="I212" s="14" t="s">
        <v>668</v>
      </c>
      <c r="J212" s="14" t="s">
        <v>669</v>
      </c>
      <c r="K212" s="8" t="n">
        <v>6</v>
      </c>
      <c r="L212" s="8" t="n">
        <v>48</v>
      </c>
      <c r="M212" s="8" t="n">
        <v>3</v>
      </c>
      <c r="N212" s="8" t="n">
        <v>22</v>
      </c>
      <c r="O212" s="8" t="n">
        <v>8</v>
      </c>
      <c r="P212" s="9" t="n">
        <v>14.0016953367429</v>
      </c>
      <c r="Q212" s="10" t="n">
        <v>0.0714199227986215</v>
      </c>
      <c r="R212" s="9" t="n">
        <v>23</v>
      </c>
      <c r="S212" s="12" t="n">
        <f aca="false">IF(AND(ISNUMBER(R212),R212&gt;1,P212&gt;0),R212/P212-1,"")</f>
        <v>0.642658224368295</v>
      </c>
      <c r="T212" s="9" t="n">
        <f aca="false">IF(AND(ISNUMBER(P212),P212&gt;0),P212*EXP('Read me'!$B$22),"")</f>
        <v>17.1017093032162</v>
      </c>
    </row>
    <row r="213" customFormat="false" ht="15" hidden="false" customHeight="false" outlineLevel="0" collapsed="false">
      <c r="A213" s="14" t="s">
        <v>165</v>
      </c>
      <c r="B213" s="14" t="s">
        <v>166</v>
      </c>
      <c r="C213" s="14" t="s">
        <v>167</v>
      </c>
      <c r="D213" s="14" t="s">
        <v>463</v>
      </c>
      <c r="E213" s="15" t="n">
        <v>9.5</v>
      </c>
      <c r="F213" s="14" t="s">
        <v>655</v>
      </c>
      <c r="G213" s="8" t="n">
        <v>13</v>
      </c>
      <c r="H213" s="14" t="s">
        <v>670</v>
      </c>
      <c r="I213" s="14" t="s">
        <v>671</v>
      </c>
      <c r="J213" s="14" t="s">
        <v>67</v>
      </c>
      <c r="K213" s="8" t="n">
        <v>1</v>
      </c>
      <c r="L213" s="8" t="n">
        <v>50</v>
      </c>
      <c r="M213" s="8" t="n">
        <v>4</v>
      </c>
      <c r="N213" s="8" t="n">
        <v>44</v>
      </c>
      <c r="O213" s="8" t="n">
        <v>9</v>
      </c>
      <c r="P213" s="9" t="n">
        <v>18.3201322881974</v>
      </c>
      <c r="Q213" s="10" t="n">
        <v>0.0545847586834426</v>
      </c>
      <c r="R213" s="9" t="n">
        <v>8.5</v>
      </c>
      <c r="S213" s="12" t="n">
        <f aca="false">IF(AND(ISNUMBER(R213),R213&gt;1,P213&gt;0),R213/P213-1,"")</f>
        <v>-0.536029551190738</v>
      </c>
      <c r="T213" s="9" t="n">
        <f aca="false">IF(AND(ISNUMBER(P213),P213&gt;0),P213*EXP('Read me'!$B$22),"")</f>
        <v>22.3762601066635</v>
      </c>
    </row>
    <row r="214" customFormat="false" ht="15" hidden="false" customHeight="false" outlineLevel="0" collapsed="false">
      <c r="A214" s="14" t="s">
        <v>165</v>
      </c>
      <c r="B214" s="14" t="s">
        <v>166</v>
      </c>
      <c r="C214" s="14" t="s">
        <v>167</v>
      </c>
      <c r="D214" s="14" t="s">
        <v>463</v>
      </c>
      <c r="E214" s="15" t="n">
        <v>9.5</v>
      </c>
      <c r="F214" s="14" t="s">
        <v>655</v>
      </c>
      <c r="G214" s="8" t="n">
        <v>13</v>
      </c>
      <c r="H214" s="14" t="s">
        <v>672</v>
      </c>
      <c r="I214" s="14" t="s">
        <v>673</v>
      </c>
      <c r="J214" s="14" t="s">
        <v>674</v>
      </c>
      <c r="K214" s="8" t="n">
        <v>7</v>
      </c>
      <c r="L214" s="8" t="n">
        <v>50</v>
      </c>
      <c r="M214" s="8" t="n">
        <v>9</v>
      </c>
      <c r="N214" s="8" t="n">
        <v>16</v>
      </c>
      <c r="O214" s="8" t="n">
        <v>10</v>
      </c>
      <c r="P214" s="9" t="n">
        <v>19.3018063340382</v>
      </c>
      <c r="Q214" s="10" t="n">
        <v>0.0518086226073322</v>
      </c>
      <c r="R214" s="9" t="n">
        <v>26</v>
      </c>
      <c r="S214" s="12" t="n">
        <f aca="false">IF(AND(ISNUMBER(R214),R214&gt;1,P214&gt;0),R214/P214-1,"")</f>
        <v>0.347024187790638</v>
      </c>
      <c r="T214" s="9" t="n">
        <f aca="false">IF(AND(ISNUMBER(P214),P214&gt;0),P214*EXP('Read me'!$B$22),"")</f>
        <v>23.5752794938677</v>
      </c>
    </row>
    <row r="215" customFormat="false" ht="15" hidden="false" customHeight="false" outlineLevel="0" collapsed="false">
      <c r="A215" s="14" t="s">
        <v>165</v>
      </c>
      <c r="B215" s="14" t="s">
        <v>166</v>
      </c>
      <c r="C215" s="14" t="s">
        <v>167</v>
      </c>
      <c r="D215" s="14" t="s">
        <v>463</v>
      </c>
      <c r="E215" s="15" t="n">
        <v>9.5</v>
      </c>
      <c r="F215" s="14" t="s">
        <v>655</v>
      </c>
      <c r="G215" s="8" t="n">
        <v>13</v>
      </c>
      <c r="H215" s="14" t="s">
        <v>675</v>
      </c>
      <c r="I215" s="14" t="s">
        <v>676</v>
      </c>
      <c r="J215" s="14" t="s">
        <v>677</v>
      </c>
      <c r="K215" s="8" t="n">
        <v>2</v>
      </c>
      <c r="L215" s="8" t="n">
        <v>46</v>
      </c>
      <c r="M215" s="8" t="n">
        <v>6</v>
      </c>
      <c r="N215" s="8" t="n">
        <v>27</v>
      </c>
      <c r="O215" s="8" t="n">
        <v>11</v>
      </c>
      <c r="P215" s="9" t="n">
        <v>20.8474687431376</v>
      </c>
      <c r="Q215" s="10" t="n">
        <v>0.0479674540981946</v>
      </c>
      <c r="R215" s="9" t="n">
        <v>34</v>
      </c>
      <c r="S215" s="12" t="n">
        <f aca="false">IF(AND(ISNUMBER(R215),R215&gt;1,P215&gt;0),R215/P215-1,"")</f>
        <v>0.630893439338617</v>
      </c>
      <c r="T215" s="9" t="n">
        <f aca="false">IF(AND(ISNUMBER(P215),P215&gt;0),P215*EXP('Read me'!$B$22),"")</f>
        <v>25.4631558235262</v>
      </c>
    </row>
    <row r="216" customFormat="false" ht="15" hidden="false" customHeight="false" outlineLevel="0" collapsed="false">
      <c r="A216" s="14" t="s">
        <v>165</v>
      </c>
      <c r="B216" s="14" t="s">
        <v>166</v>
      </c>
      <c r="C216" s="14" t="s">
        <v>167</v>
      </c>
      <c r="D216" s="14" t="s">
        <v>463</v>
      </c>
      <c r="E216" s="15" t="n">
        <v>9.5</v>
      </c>
      <c r="F216" s="14" t="s">
        <v>655</v>
      </c>
      <c r="G216" s="8" t="n">
        <v>13</v>
      </c>
      <c r="H216" s="14" t="s">
        <v>678</v>
      </c>
      <c r="I216" s="14" t="s">
        <v>679</v>
      </c>
      <c r="J216" s="14" t="s">
        <v>421</v>
      </c>
      <c r="K216" s="8" t="n">
        <v>3</v>
      </c>
      <c r="L216" s="8" t="n">
        <v>53</v>
      </c>
      <c r="M216" s="8" t="n">
        <v>9</v>
      </c>
      <c r="N216" s="8" t="n">
        <v>119</v>
      </c>
      <c r="O216" s="8" t="n">
        <v>12</v>
      </c>
      <c r="P216" s="9" t="n">
        <v>37.5054245039908</v>
      </c>
      <c r="Q216" s="10" t="n">
        <v>0.0266628097995156</v>
      </c>
      <c r="R216" s="9" t="n">
        <v>34</v>
      </c>
      <c r="S216" s="12" t="n">
        <f aca="false">IF(AND(ISNUMBER(R216),R216&gt;1,P216&gt;0),R216/P216-1,"")</f>
        <v>-0.0934644668164677</v>
      </c>
      <c r="T216" s="9" t="n">
        <f aca="false">IF(AND(ISNUMBER(P216),P216&gt;0),P216*EXP('Read me'!$B$22),"")</f>
        <v>45.8092289351424</v>
      </c>
    </row>
    <row r="217" customFormat="false" ht="15" hidden="false" customHeight="false" outlineLevel="0" collapsed="false">
      <c r="A217" s="14" t="s">
        <v>165</v>
      </c>
      <c r="B217" s="14" t="s">
        <v>166</v>
      </c>
      <c r="C217" s="14" t="s">
        <v>167</v>
      </c>
      <c r="D217" s="14" t="s">
        <v>463</v>
      </c>
      <c r="E217" s="15" t="n">
        <v>9.5</v>
      </c>
      <c r="F217" s="14" t="s">
        <v>655</v>
      </c>
      <c r="G217" s="8" t="n">
        <v>13</v>
      </c>
      <c r="H217" s="14" t="s">
        <v>680</v>
      </c>
      <c r="I217" s="14" t="s">
        <v>681</v>
      </c>
      <c r="J217" s="14" t="s">
        <v>548</v>
      </c>
      <c r="K217" s="8" t="n">
        <v>8</v>
      </c>
      <c r="L217" s="8" t="n">
        <v>46</v>
      </c>
      <c r="M217" s="8" t="n">
        <v>3</v>
      </c>
      <c r="N217" s="8" t="n">
        <v>29</v>
      </c>
      <c r="O217" s="8" t="n">
        <v>13</v>
      </c>
      <c r="P217" s="9" t="n">
        <v>80.1375548162996</v>
      </c>
      <c r="Q217" s="10" t="n">
        <v>0.012478543952237</v>
      </c>
      <c r="R217" s="9" t="n">
        <v>51</v>
      </c>
      <c r="S217" s="12" t="n">
        <f aca="false">IF(AND(ISNUMBER(R217),R217&gt;1,P217&gt;0),R217/P217-1,"")</f>
        <v>-0.36359425843591</v>
      </c>
      <c r="T217" s="9" t="n">
        <f aca="false">IF(AND(ISNUMBER(P217),P217&gt;0),P217*EXP('Read me'!$B$22),"")</f>
        <v>97.8802304848401</v>
      </c>
    </row>
    <row r="218" customFormat="false" ht="15" hidden="false" customHeight="false" outlineLevel="0" collapsed="false">
      <c r="A218" s="14" t="s">
        <v>172</v>
      </c>
      <c r="B218" s="14" t="s">
        <v>49</v>
      </c>
      <c r="C218" s="14" t="s">
        <v>173</v>
      </c>
      <c r="D218" s="14" t="s">
        <v>463</v>
      </c>
      <c r="E218" s="15"/>
      <c r="F218" s="14" t="s">
        <v>320</v>
      </c>
      <c r="G218" s="8" t="n">
        <v>12</v>
      </c>
      <c r="H218" s="14" t="s">
        <v>174</v>
      </c>
      <c r="I218" s="14" t="s">
        <v>175</v>
      </c>
      <c r="J218" s="14" t="s">
        <v>176</v>
      </c>
      <c r="K218" s="8" t="n">
        <v>2</v>
      </c>
      <c r="L218" s="8" t="n">
        <v>64</v>
      </c>
      <c r="M218" s="8" t="n">
        <v>2</v>
      </c>
      <c r="N218" s="8" t="n">
        <v>22</v>
      </c>
      <c r="O218" s="8" t="n">
        <v>1</v>
      </c>
      <c r="P218" s="9" t="n">
        <v>4.63015746065306</v>
      </c>
      <c r="Q218" s="10" t="n">
        <v>0.215975376323153</v>
      </c>
      <c r="R218" s="9" t="n">
        <v>4.5</v>
      </c>
      <c r="S218" s="12" t="n">
        <f aca="false">IF(AND(ISNUMBER(R218),R218&gt;1,P218&gt;0),R218/P218-1,"")</f>
        <v>-0.0281108065458103</v>
      </c>
      <c r="T218" s="9" t="n">
        <f aca="false">IF(AND(ISNUMBER(P218),P218&gt;0),P218*EXP('Read me'!$B$22),"")</f>
        <v>5.65528709315753</v>
      </c>
    </row>
    <row r="219" customFormat="false" ht="15" hidden="false" customHeight="false" outlineLevel="0" collapsed="false">
      <c r="A219" s="14" t="s">
        <v>172</v>
      </c>
      <c r="B219" s="14" t="s">
        <v>49</v>
      </c>
      <c r="C219" s="14" t="s">
        <v>173</v>
      </c>
      <c r="D219" s="14" t="s">
        <v>463</v>
      </c>
      <c r="E219" s="15"/>
      <c r="F219" s="14" t="s">
        <v>320</v>
      </c>
      <c r="G219" s="8" t="n">
        <v>12</v>
      </c>
      <c r="H219" s="14" t="s">
        <v>177</v>
      </c>
      <c r="I219" s="14" t="s">
        <v>469</v>
      </c>
      <c r="J219" s="14" t="s">
        <v>682</v>
      </c>
      <c r="K219" s="8" t="n">
        <v>3</v>
      </c>
      <c r="L219" s="8" t="n">
        <v>48</v>
      </c>
      <c r="M219" s="8" t="n">
        <v>2</v>
      </c>
      <c r="N219" s="8" t="n">
        <v>22</v>
      </c>
      <c r="O219" s="8" t="n">
        <v>2</v>
      </c>
      <c r="P219" s="9" t="n">
        <v>5.84069861564328</v>
      </c>
      <c r="Q219" s="10" t="n">
        <v>0.1712123952641</v>
      </c>
      <c r="R219" s="9" t="n">
        <v>5.5</v>
      </c>
      <c r="S219" s="12" t="n">
        <f aca="false">IF(AND(ISNUMBER(R219),R219&gt;1,P219&gt;0),R219/P219-1,"")</f>
        <v>-0.0583318260474494</v>
      </c>
      <c r="T219" s="9" t="n">
        <f aca="false">IF(AND(ISNUMBER(P219),P219&gt;0),P219*EXP('Read me'!$B$22),"")</f>
        <v>7.13384539872899</v>
      </c>
    </row>
    <row r="220" customFormat="false" ht="15" hidden="false" customHeight="false" outlineLevel="0" collapsed="false">
      <c r="A220" s="14" t="s">
        <v>172</v>
      </c>
      <c r="B220" s="14" t="s">
        <v>49</v>
      </c>
      <c r="C220" s="14" t="s">
        <v>173</v>
      </c>
      <c r="D220" s="14" t="s">
        <v>463</v>
      </c>
      <c r="E220" s="15"/>
      <c r="F220" s="14" t="s">
        <v>320</v>
      </c>
      <c r="G220" s="8" t="n">
        <v>12</v>
      </c>
      <c r="H220" s="14" t="s">
        <v>683</v>
      </c>
      <c r="I220" s="14" t="s">
        <v>202</v>
      </c>
      <c r="J220" s="14" t="s">
        <v>322</v>
      </c>
      <c r="K220" s="8" t="n">
        <v>4</v>
      </c>
      <c r="L220" s="8" t="n">
        <v>63</v>
      </c>
      <c r="M220" s="8" t="n">
        <v>2</v>
      </c>
      <c r="N220" s="8" t="n">
        <v>21</v>
      </c>
      <c r="O220" s="8" t="n">
        <v>3</v>
      </c>
      <c r="P220" s="9" t="n">
        <v>7.0349040418531</v>
      </c>
      <c r="Q220" s="10" t="n">
        <v>0.142148349721709</v>
      </c>
      <c r="R220" s="9" t="n">
        <v>2.875</v>
      </c>
      <c r="S220" s="12" t="n">
        <f aca="false">IF(AND(ISNUMBER(R220),R220&gt;1,P220&gt;0),R220/P220-1,"")</f>
        <v>-0.591323494550086</v>
      </c>
      <c r="T220" s="9" t="n">
        <f aca="false">IF(AND(ISNUMBER(P220),P220&gt;0),P220*EXP('Read me'!$B$22),"")</f>
        <v>8.5924512001115</v>
      </c>
    </row>
    <row r="221" customFormat="false" ht="15" hidden="false" customHeight="false" outlineLevel="0" collapsed="false">
      <c r="A221" s="14" t="s">
        <v>172</v>
      </c>
      <c r="B221" s="14" t="s">
        <v>49</v>
      </c>
      <c r="C221" s="14" t="s">
        <v>173</v>
      </c>
      <c r="D221" s="14" t="s">
        <v>463</v>
      </c>
      <c r="E221" s="15"/>
      <c r="F221" s="14" t="s">
        <v>320</v>
      </c>
      <c r="G221" s="8" t="n">
        <v>12</v>
      </c>
      <c r="H221" s="14" t="s">
        <v>684</v>
      </c>
      <c r="I221" s="14" t="s">
        <v>124</v>
      </c>
      <c r="J221" s="14" t="s">
        <v>159</v>
      </c>
      <c r="K221" s="8" t="n">
        <v>10</v>
      </c>
      <c r="L221" s="8" t="n">
        <v>62</v>
      </c>
      <c r="M221" s="8" t="n">
        <v>2</v>
      </c>
      <c r="N221" s="8" t="n">
        <v>27</v>
      </c>
      <c r="O221" s="8" t="n">
        <v>4</v>
      </c>
      <c r="P221" s="9" t="n">
        <v>10.0490608771781</v>
      </c>
      <c r="Q221" s="10" t="n">
        <v>0.099511786446736</v>
      </c>
      <c r="R221" s="9" t="n">
        <v>6</v>
      </c>
      <c r="S221" s="12" t="n">
        <f aca="false">IF(AND(ISNUMBER(R221),R221&gt;1,P221&gt;0),R221/P221-1,"")</f>
        <v>-0.402929281319584</v>
      </c>
      <c r="T221" s="9" t="n">
        <f aca="false">IF(AND(ISNUMBER(P221),P221&gt;0),P221*EXP('Read me'!$B$22),"")</f>
        <v>12.2739506723048</v>
      </c>
    </row>
    <row r="222" customFormat="false" ht="15" hidden="false" customHeight="false" outlineLevel="0" collapsed="false">
      <c r="A222" s="14" t="s">
        <v>172</v>
      </c>
      <c r="B222" s="14" t="s">
        <v>49</v>
      </c>
      <c r="C222" s="14" t="s">
        <v>173</v>
      </c>
      <c r="D222" s="14" t="s">
        <v>463</v>
      </c>
      <c r="E222" s="15"/>
      <c r="F222" s="14" t="s">
        <v>320</v>
      </c>
      <c r="G222" s="8" t="n">
        <v>12</v>
      </c>
      <c r="H222" s="14" t="s">
        <v>685</v>
      </c>
      <c r="I222" s="14" t="s">
        <v>338</v>
      </c>
      <c r="J222" s="14" t="s">
        <v>686</v>
      </c>
      <c r="K222" s="8" t="n">
        <v>5</v>
      </c>
      <c r="L222" s="8" t="n">
        <v>59</v>
      </c>
      <c r="M222" s="8" t="n">
        <v>2</v>
      </c>
      <c r="N222" s="8" t="n">
        <v>30</v>
      </c>
      <c r="O222" s="8" t="n">
        <v>5</v>
      </c>
      <c r="P222" s="9" t="n">
        <v>10.2113003066964</v>
      </c>
      <c r="Q222" s="10" t="n">
        <v>0.09793072086463</v>
      </c>
      <c r="R222" s="9" t="n">
        <v>19</v>
      </c>
      <c r="S222" s="12" t="n">
        <f aca="false">IF(AND(ISNUMBER(R222),R222&gt;1,P222&gt;0),R222/P222-1,"")</f>
        <v>0.86068369642797</v>
      </c>
      <c r="T222" s="9" t="n">
        <f aca="false">IF(AND(ISNUMBER(P222),P222&gt;0),P222*EXP('Read me'!$B$22),"")</f>
        <v>12.4721103590008</v>
      </c>
    </row>
    <row r="223" customFormat="false" ht="15" hidden="false" customHeight="false" outlineLevel="0" collapsed="false">
      <c r="A223" s="14" t="s">
        <v>172</v>
      </c>
      <c r="B223" s="14" t="s">
        <v>49</v>
      </c>
      <c r="C223" s="14" t="s">
        <v>173</v>
      </c>
      <c r="D223" s="14" t="s">
        <v>463</v>
      </c>
      <c r="E223" s="15"/>
      <c r="F223" s="14" t="s">
        <v>320</v>
      </c>
      <c r="G223" s="8" t="n">
        <v>12</v>
      </c>
      <c r="H223" s="14" t="s">
        <v>687</v>
      </c>
      <c r="I223" s="14" t="s">
        <v>688</v>
      </c>
      <c r="J223" s="14" t="s">
        <v>689</v>
      </c>
      <c r="K223" s="8" t="n">
        <v>9</v>
      </c>
      <c r="L223" s="8" t="n">
        <v>62</v>
      </c>
      <c r="M223" s="8" t="n">
        <v>2</v>
      </c>
      <c r="N223" s="8" t="n">
        <v>12</v>
      </c>
      <c r="O223" s="8" t="n">
        <v>6</v>
      </c>
      <c r="P223" s="9" t="n">
        <v>15.7617791333579</v>
      </c>
      <c r="Q223" s="10" t="n">
        <v>0.0634446144397251</v>
      </c>
      <c r="R223" s="9" t="n">
        <v>11</v>
      </c>
      <c r="S223" s="12" t="n">
        <f aca="false">IF(AND(ISNUMBER(R223),R223&gt;1,P223&gt;0),R223/P223-1,"")</f>
        <v>-0.302109241163023</v>
      </c>
      <c r="T223" s="9" t="n">
        <f aca="false">IF(AND(ISNUMBER(P223),P223&gt;0),P223*EXP('Read me'!$B$22),"")</f>
        <v>19.2514805069948</v>
      </c>
    </row>
    <row r="224" customFormat="false" ht="15" hidden="false" customHeight="false" outlineLevel="0" collapsed="false">
      <c r="A224" s="14" t="s">
        <v>172</v>
      </c>
      <c r="B224" s="14" t="s">
        <v>49</v>
      </c>
      <c r="C224" s="14" t="s">
        <v>173</v>
      </c>
      <c r="D224" s="14" t="s">
        <v>463</v>
      </c>
      <c r="E224" s="15"/>
      <c r="F224" s="14" t="s">
        <v>320</v>
      </c>
      <c r="G224" s="8" t="n">
        <v>12</v>
      </c>
      <c r="H224" s="14" t="s">
        <v>690</v>
      </c>
      <c r="I224" s="14" t="s">
        <v>324</v>
      </c>
      <c r="J224" s="14" t="s">
        <v>325</v>
      </c>
      <c r="K224" s="8" t="n">
        <v>6</v>
      </c>
      <c r="L224" s="8" t="n">
        <v>50</v>
      </c>
      <c r="M224" s="8" t="n">
        <v>2</v>
      </c>
      <c r="N224" s="8" t="n">
        <v>22</v>
      </c>
      <c r="O224" s="8" t="n">
        <v>7</v>
      </c>
      <c r="P224" s="9" t="n">
        <v>17.1138585907973</v>
      </c>
      <c r="Q224" s="10" t="n">
        <v>0.0584321761626413</v>
      </c>
      <c r="R224" s="9" t="n">
        <v>12</v>
      </c>
      <c r="S224" s="12" t="n">
        <f aca="false">IF(AND(ISNUMBER(R224),R224&gt;1,P224&gt;0),R224/P224-1,"")</f>
        <v>-0.298813886048303</v>
      </c>
      <c r="T224" s="9" t="n">
        <f aca="false">IF(AND(ISNUMBER(P224),P224&gt;0),P224*EXP('Read me'!$B$22),"")</f>
        <v>20.9029140855629</v>
      </c>
    </row>
    <row r="225" customFormat="false" ht="15" hidden="false" customHeight="false" outlineLevel="0" collapsed="false">
      <c r="A225" s="14" t="s">
        <v>172</v>
      </c>
      <c r="B225" s="14" t="s">
        <v>49</v>
      </c>
      <c r="C225" s="14" t="s">
        <v>173</v>
      </c>
      <c r="D225" s="14" t="s">
        <v>463</v>
      </c>
      <c r="E225" s="15"/>
      <c r="F225" s="14" t="s">
        <v>320</v>
      </c>
      <c r="G225" s="8" t="n">
        <v>12</v>
      </c>
      <c r="H225" s="14" t="s">
        <v>691</v>
      </c>
      <c r="I225" s="14" t="s">
        <v>692</v>
      </c>
      <c r="J225" s="14" t="s">
        <v>693</v>
      </c>
      <c r="K225" s="8" t="n">
        <v>7</v>
      </c>
      <c r="L225" s="8" t="n">
        <v>46</v>
      </c>
      <c r="M225" s="8" t="n">
        <v>2</v>
      </c>
      <c r="N225" s="8" t="n">
        <v>22</v>
      </c>
      <c r="O225" s="8" t="n">
        <v>8</v>
      </c>
      <c r="P225" s="9" t="n">
        <v>17.4359029250476</v>
      </c>
      <c r="Q225" s="10" t="n">
        <v>0.0573529231206862</v>
      </c>
      <c r="R225" s="9" t="n">
        <v>26</v>
      </c>
      <c r="S225" s="12" t="n">
        <f aca="false">IF(AND(ISNUMBER(R225),R225&gt;1,P225&gt;0),R225/P225-1,"")</f>
        <v>0.491176001137841</v>
      </c>
      <c r="T225" s="9" t="n">
        <f aca="false">IF(AND(ISNUMBER(P225),P225&gt;0),P225*EXP('Read me'!$B$22),"")</f>
        <v>21.2962599236661</v>
      </c>
    </row>
    <row r="226" customFormat="false" ht="15" hidden="false" customHeight="false" outlineLevel="0" collapsed="false">
      <c r="A226" s="14" t="s">
        <v>172</v>
      </c>
      <c r="B226" s="14" t="s">
        <v>49</v>
      </c>
      <c r="C226" s="14" t="s">
        <v>173</v>
      </c>
      <c r="D226" s="14" t="s">
        <v>463</v>
      </c>
      <c r="E226" s="15"/>
      <c r="F226" s="14" t="s">
        <v>320</v>
      </c>
      <c r="G226" s="8" t="n">
        <v>12</v>
      </c>
      <c r="H226" s="14" t="s">
        <v>694</v>
      </c>
      <c r="I226" s="14" t="s">
        <v>401</v>
      </c>
      <c r="J226" s="14" t="s">
        <v>406</v>
      </c>
      <c r="K226" s="8" t="n">
        <v>8</v>
      </c>
      <c r="L226" s="8" t="n">
        <v>61</v>
      </c>
      <c r="M226" s="8" t="n">
        <v>2</v>
      </c>
      <c r="N226" s="8" t="n">
        <v>14</v>
      </c>
      <c r="O226" s="8" t="n">
        <v>9</v>
      </c>
      <c r="P226" s="9" t="n">
        <v>22.4882315421082</v>
      </c>
      <c r="Q226" s="10" t="n">
        <v>0.0444677029462074</v>
      </c>
      <c r="R226" s="9" t="n">
        <v>23</v>
      </c>
      <c r="S226" s="12" t="n">
        <f aca="false">IF(AND(ISNUMBER(R226),R226&gt;1,P226&gt;0),R226/P226-1,"")</f>
        <v>0.022757167762772</v>
      </c>
      <c r="T226" s="9" t="n">
        <f aca="false">IF(AND(ISNUMBER(P226),P226&gt;0),P226*EXP('Read me'!$B$22),"")</f>
        <v>27.4671880316755</v>
      </c>
    </row>
    <row r="227" customFormat="false" ht="15" hidden="false" customHeight="false" outlineLevel="0" collapsed="false">
      <c r="A227" s="14" t="s">
        <v>172</v>
      </c>
      <c r="B227" s="14" t="s">
        <v>49</v>
      </c>
      <c r="C227" s="14" t="s">
        <v>173</v>
      </c>
      <c r="D227" s="14" t="s">
        <v>463</v>
      </c>
      <c r="E227" s="15"/>
      <c r="F227" s="14" t="s">
        <v>320</v>
      </c>
      <c r="G227" s="8" t="n">
        <v>12</v>
      </c>
      <c r="H227" s="14" t="s">
        <v>695</v>
      </c>
      <c r="I227" s="14" t="s">
        <v>479</v>
      </c>
      <c r="J227" s="14" t="s">
        <v>480</v>
      </c>
      <c r="K227" s="8" t="n">
        <v>12</v>
      </c>
      <c r="L227" s="8" t="n">
        <v>52</v>
      </c>
      <c r="M227" s="8" t="n">
        <v>2</v>
      </c>
      <c r="N227" s="8" t="n">
        <v>42</v>
      </c>
      <c r="O227" s="8" t="n">
        <v>10</v>
      </c>
      <c r="P227" s="9" t="n">
        <v>41.001259385793</v>
      </c>
      <c r="Q227" s="10" t="n">
        <v>0.0243894947369958</v>
      </c>
      <c r="R227" s="9" t="n">
        <v>41</v>
      </c>
      <c r="S227" s="12" t="n">
        <f aca="false">IF(AND(ISNUMBER(R227),R227&gt;1,P227&gt;0),R227/P227-1,"")</f>
        <v>-3.07157831689331E-005</v>
      </c>
      <c r="T227" s="9" t="n">
        <f aca="false">IF(AND(ISNUMBER(P227),P227&gt;0),P227*EXP('Read me'!$B$22),"")</f>
        <v>50.0790513018481</v>
      </c>
    </row>
    <row r="228" customFormat="false" ht="15" hidden="false" customHeight="false" outlineLevel="0" collapsed="false">
      <c r="A228" s="14" t="s">
        <v>172</v>
      </c>
      <c r="B228" s="14" t="s">
        <v>49</v>
      </c>
      <c r="C228" s="14" t="s">
        <v>173</v>
      </c>
      <c r="D228" s="14" t="s">
        <v>463</v>
      </c>
      <c r="E228" s="15"/>
      <c r="F228" s="14" t="s">
        <v>320</v>
      </c>
      <c r="G228" s="8" t="n">
        <v>12</v>
      </c>
      <c r="H228" s="14" t="s">
        <v>696</v>
      </c>
      <c r="I228" s="14" t="s">
        <v>415</v>
      </c>
      <c r="J228" s="14" t="s">
        <v>697</v>
      </c>
      <c r="K228" s="8" t="n">
        <v>11</v>
      </c>
      <c r="L228" s="8" t="n">
        <v>61</v>
      </c>
      <c r="M228" s="8" t="n">
        <v>2</v>
      </c>
      <c r="N228" s="8" t="n">
        <v>29</v>
      </c>
      <c r="O228" s="8" t="n">
        <v>11</v>
      </c>
      <c r="P228" s="9" t="n">
        <v>59.5790647204618</v>
      </c>
      <c r="Q228" s="10" t="n">
        <v>0.0167844192367216</v>
      </c>
      <c r="R228" s="9" t="n">
        <v>34</v>
      </c>
      <c r="S228" s="12" t="n">
        <f aca="false">IF(AND(ISNUMBER(R228),R228&gt;1,P228&gt;0),R228/P228-1,"")</f>
        <v>-0.429329745951465</v>
      </c>
      <c r="T228" s="9" t="n">
        <f aca="false">IF(AND(ISNUMBER(P228),P228&gt;0),P228*EXP('Read me'!$B$22),"")</f>
        <v>72.7700339781753</v>
      </c>
    </row>
    <row r="229" customFormat="false" ht="15" hidden="false" customHeight="false" outlineLevel="0" collapsed="false">
      <c r="A229" s="14" t="s">
        <v>172</v>
      </c>
      <c r="B229" s="14" t="s">
        <v>49</v>
      </c>
      <c r="C229" s="14" t="s">
        <v>173</v>
      </c>
      <c r="D229" s="14" t="s">
        <v>463</v>
      </c>
      <c r="E229" s="15"/>
      <c r="F229" s="14" t="s">
        <v>320</v>
      </c>
      <c r="G229" s="8" t="n">
        <v>12</v>
      </c>
      <c r="H229" s="14" t="s">
        <v>698</v>
      </c>
      <c r="I229" s="14" t="s">
        <v>699</v>
      </c>
      <c r="J229" s="14" t="s">
        <v>700</v>
      </c>
      <c r="K229" s="8" t="n">
        <v>1</v>
      </c>
      <c r="L229" s="8" t="n">
        <v>45</v>
      </c>
      <c r="M229" s="8" t="n">
        <v>2</v>
      </c>
      <c r="N229" s="8" t="n">
        <v>29</v>
      </c>
      <c r="O229" s="8" t="n">
        <v>12</v>
      </c>
      <c r="P229" s="9" t="n">
        <v>119.759894775793</v>
      </c>
      <c r="Q229" s="10" t="n">
        <v>0.0083500407366935</v>
      </c>
      <c r="R229" s="9" t="n">
        <v>51</v>
      </c>
      <c r="S229" s="12" t="n">
        <f aca="false">IF(AND(ISNUMBER(R229),R229&gt;1,P229&gt;0),R229/P229-1,"")</f>
        <v>-0.574147922428629</v>
      </c>
      <c r="T229" s="9" t="n">
        <f aca="false">IF(AND(ISNUMBER(P229),P229&gt;0),P229*EXP('Read me'!$B$22),"")</f>
        <v>146.275065796125</v>
      </c>
    </row>
    <row r="230" customFormat="false" ht="15" hidden="false" customHeight="false" outlineLevel="0" collapsed="false">
      <c r="A230" s="14" t="s">
        <v>178</v>
      </c>
      <c r="B230" s="14" t="s">
        <v>56</v>
      </c>
      <c r="C230" s="14" t="s">
        <v>179</v>
      </c>
      <c r="D230" s="14" t="s">
        <v>422</v>
      </c>
      <c r="E230" s="15" t="n">
        <v>6</v>
      </c>
      <c r="F230" s="14" t="s">
        <v>349</v>
      </c>
      <c r="G230" s="8" t="n">
        <v>8</v>
      </c>
      <c r="H230" s="14" t="s">
        <v>180</v>
      </c>
      <c r="I230" s="14" t="s">
        <v>181</v>
      </c>
      <c r="J230" s="14" t="s">
        <v>131</v>
      </c>
      <c r="K230" s="8" t="n">
        <v>5</v>
      </c>
      <c r="L230" s="8" t="n">
        <v>75</v>
      </c>
      <c r="M230" s="8" t="n">
        <v>6</v>
      </c>
      <c r="N230" s="8" t="n">
        <v>25</v>
      </c>
      <c r="O230" s="8" t="n">
        <v>1</v>
      </c>
      <c r="P230" s="9" t="n">
        <v>3.85756585275573</v>
      </c>
      <c r="Q230" s="10" t="n">
        <v>0.259230830573023</v>
      </c>
      <c r="R230" s="9" t="n">
        <v>5</v>
      </c>
      <c r="S230" s="12" t="n">
        <f aca="false">IF(AND(ISNUMBER(R230),R230&gt;1,P230&gt;0),R230/P230-1,"")</f>
        <v>0.296154152865116</v>
      </c>
      <c r="T230" s="9" t="n">
        <f aca="false">IF(AND(ISNUMBER(P230),P230&gt;0),P230*EXP('Read me'!$B$22),"")</f>
        <v>4.71164157234033</v>
      </c>
    </row>
    <row r="231" customFormat="false" ht="15" hidden="false" customHeight="false" outlineLevel="0" collapsed="false">
      <c r="A231" s="14" t="s">
        <v>178</v>
      </c>
      <c r="B231" s="14" t="s">
        <v>56</v>
      </c>
      <c r="C231" s="14" t="s">
        <v>179</v>
      </c>
      <c r="D231" s="14" t="s">
        <v>422</v>
      </c>
      <c r="E231" s="15" t="n">
        <v>6</v>
      </c>
      <c r="F231" s="14" t="s">
        <v>349</v>
      </c>
      <c r="G231" s="8" t="n">
        <v>8</v>
      </c>
      <c r="H231" s="14" t="s">
        <v>182</v>
      </c>
      <c r="I231" s="14" t="s">
        <v>555</v>
      </c>
      <c r="J231" s="14" t="s">
        <v>367</v>
      </c>
      <c r="K231" s="8" t="n">
        <v>3</v>
      </c>
      <c r="L231" s="8" t="n">
        <v>81</v>
      </c>
      <c r="M231" s="8" t="n">
        <v>10</v>
      </c>
      <c r="N231" s="8" t="n">
        <v>11</v>
      </c>
      <c r="O231" s="8" t="n">
        <v>2</v>
      </c>
      <c r="P231" s="9" t="n">
        <v>5.69872963854315</v>
      </c>
      <c r="Q231" s="10" t="n">
        <v>0.17547770528304</v>
      </c>
      <c r="R231" s="9" t="n">
        <v>5.5</v>
      </c>
      <c r="S231" s="12" t="n">
        <f aca="false">IF(AND(ISNUMBER(R231),R231&gt;1,P231&gt;0),R231/P231-1,"")</f>
        <v>-0.0348726209432804</v>
      </c>
      <c r="T231" s="9" t="n">
        <f aca="false">IF(AND(ISNUMBER(P231),P231&gt;0),P231*EXP('Read me'!$B$22),"")</f>
        <v>6.96044409852571</v>
      </c>
    </row>
    <row r="232" customFormat="false" ht="15" hidden="false" customHeight="false" outlineLevel="0" collapsed="false">
      <c r="A232" s="14" t="s">
        <v>178</v>
      </c>
      <c r="B232" s="14" t="s">
        <v>56</v>
      </c>
      <c r="C232" s="14" t="s">
        <v>179</v>
      </c>
      <c r="D232" s="14" t="s">
        <v>422</v>
      </c>
      <c r="E232" s="15" t="n">
        <v>6</v>
      </c>
      <c r="F232" s="14" t="s">
        <v>349</v>
      </c>
      <c r="G232" s="8" t="n">
        <v>8</v>
      </c>
      <c r="H232" s="14" t="s">
        <v>701</v>
      </c>
      <c r="I232" s="14" t="s">
        <v>613</v>
      </c>
      <c r="J232" s="14" t="s">
        <v>351</v>
      </c>
      <c r="K232" s="8" t="n">
        <v>1</v>
      </c>
      <c r="L232" s="8" t="n">
        <v>67</v>
      </c>
      <c r="M232" s="8" t="n">
        <v>4</v>
      </c>
      <c r="N232" s="8" t="n">
        <v>8</v>
      </c>
      <c r="O232" s="8" t="n">
        <v>3</v>
      </c>
      <c r="P232" s="9" t="n">
        <v>6.45536916913797</v>
      </c>
      <c r="Q232" s="10" t="n">
        <v>0.154909808223027</v>
      </c>
      <c r="R232" s="9" t="n">
        <v>5</v>
      </c>
      <c r="S232" s="12" t="n">
        <f aca="false">IF(AND(ISNUMBER(R232),R232&gt;1,P232&gt;0),R232/P232-1,"")</f>
        <v>-0.225450958884868</v>
      </c>
      <c r="T232" s="9" t="n">
        <f aca="false">IF(AND(ISNUMBER(P232),P232&gt;0),P232*EXP('Read me'!$B$22),"")</f>
        <v>7.88460570812724</v>
      </c>
    </row>
    <row r="233" customFormat="false" ht="15" hidden="false" customHeight="false" outlineLevel="0" collapsed="false">
      <c r="A233" s="14" t="s">
        <v>178</v>
      </c>
      <c r="B233" s="14" t="s">
        <v>56</v>
      </c>
      <c r="C233" s="14" t="s">
        <v>179</v>
      </c>
      <c r="D233" s="14" t="s">
        <v>422</v>
      </c>
      <c r="E233" s="15" t="n">
        <v>6</v>
      </c>
      <c r="F233" s="14" t="s">
        <v>349</v>
      </c>
      <c r="G233" s="8" t="n">
        <v>8</v>
      </c>
      <c r="H233" s="14" t="s">
        <v>702</v>
      </c>
      <c r="I233" s="14" t="s">
        <v>357</v>
      </c>
      <c r="J233" s="14" t="s">
        <v>492</v>
      </c>
      <c r="K233" s="8" t="n">
        <v>4</v>
      </c>
      <c r="L233" s="8" t="n">
        <v>75</v>
      </c>
      <c r="M233" s="8" t="n">
        <v>7</v>
      </c>
      <c r="N233" s="8" t="n">
        <v>1</v>
      </c>
      <c r="O233" s="8" t="n">
        <v>4</v>
      </c>
      <c r="P233" s="9" t="n">
        <v>6.65952597803004</v>
      </c>
      <c r="Q233" s="10" t="n">
        <v>0.150160837768188</v>
      </c>
      <c r="R233" s="9" t="n">
        <v>6.5</v>
      </c>
      <c r="S233" s="12" t="n">
        <f aca="false">IF(AND(ISNUMBER(R233),R233&gt;1,P233&gt;0),R233/P233-1,"")</f>
        <v>-0.0239545545067804</v>
      </c>
      <c r="T233" s="9" t="n">
        <f aca="false">IF(AND(ISNUMBER(P233),P233&gt;0),P233*EXP('Read me'!$B$22),"")</f>
        <v>8.1339633976052</v>
      </c>
    </row>
    <row r="234" customFormat="false" ht="15" hidden="false" customHeight="false" outlineLevel="0" collapsed="false">
      <c r="A234" s="14" t="s">
        <v>178</v>
      </c>
      <c r="B234" s="14" t="s">
        <v>56</v>
      </c>
      <c r="C234" s="14" t="s">
        <v>179</v>
      </c>
      <c r="D234" s="14" t="s">
        <v>422</v>
      </c>
      <c r="E234" s="15" t="n">
        <v>6</v>
      </c>
      <c r="F234" s="14" t="s">
        <v>349</v>
      </c>
      <c r="G234" s="8" t="n">
        <v>8</v>
      </c>
      <c r="H234" s="14" t="s">
        <v>703</v>
      </c>
      <c r="I234" s="14" t="s">
        <v>617</v>
      </c>
      <c r="J234" s="14" t="s">
        <v>564</v>
      </c>
      <c r="K234" s="8" t="n">
        <v>2</v>
      </c>
      <c r="L234" s="8" t="n">
        <v>82</v>
      </c>
      <c r="M234" s="8" t="n">
        <v>6</v>
      </c>
      <c r="N234" s="8" t="n">
        <v>8</v>
      </c>
      <c r="O234" s="8" t="n">
        <v>5</v>
      </c>
      <c r="P234" s="9" t="n">
        <v>10.2875671914842</v>
      </c>
      <c r="Q234" s="10" t="n">
        <v>0.0972047114139652</v>
      </c>
      <c r="R234" s="9" t="n">
        <v>10</v>
      </c>
      <c r="S234" s="12" t="n">
        <f aca="false">IF(AND(ISNUMBER(R234),R234&gt;1,P234&gt;0),R234/P234-1,"")</f>
        <v>-0.0279528858603481</v>
      </c>
      <c r="T234" s="9" t="n">
        <f aca="false">IF(AND(ISNUMBER(P234),P234&gt;0),P234*EXP('Read me'!$B$22),"")</f>
        <v>12.5652629424369</v>
      </c>
    </row>
    <row r="235" customFormat="false" ht="15" hidden="false" customHeight="false" outlineLevel="0" collapsed="false">
      <c r="A235" s="14" t="s">
        <v>178</v>
      </c>
      <c r="B235" s="14" t="s">
        <v>56</v>
      </c>
      <c r="C235" s="14" t="s">
        <v>179</v>
      </c>
      <c r="D235" s="14" t="s">
        <v>422</v>
      </c>
      <c r="E235" s="15" t="n">
        <v>6</v>
      </c>
      <c r="F235" s="14" t="s">
        <v>349</v>
      </c>
      <c r="G235" s="8" t="n">
        <v>8</v>
      </c>
      <c r="H235" s="14" t="s">
        <v>704</v>
      </c>
      <c r="I235" s="14" t="s">
        <v>426</v>
      </c>
      <c r="J235" s="14" t="s">
        <v>90</v>
      </c>
      <c r="K235" s="8" t="n">
        <v>8</v>
      </c>
      <c r="L235" s="8" t="n">
        <v>76</v>
      </c>
      <c r="M235" s="8" t="n">
        <v>5</v>
      </c>
      <c r="N235" s="8" t="n">
        <v>8</v>
      </c>
      <c r="O235" s="8" t="n">
        <v>6</v>
      </c>
      <c r="P235" s="9" t="n">
        <v>12.0277895183653</v>
      </c>
      <c r="Q235" s="10" t="n">
        <v>0.0831407964425293</v>
      </c>
      <c r="R235" s="9" t="n">
        <v>11</v>
      </c>
      <c r="S235" s="12" t="n">
        <f aca="false">IF(AND(ISNUMBER(R235),R235&gt;1,P235&gt;0),R235/P235-1,"")</f>
        <v>-0.085451239132178</v>
      </c>
      <c r="T235" s="9" t="n">
        <f aca="false">IF(AND(ISNUMBER(P235),P235&gt;0),P235*EXP('Read me'!$B$22),"")</f>
        <v>14.6907752923014</v>
      </c>
    </row>
    <row r="236" customFormat="false" ht="15" hidden="false" customHeight="false" outlineLevel="0" collapsed="false">
      <c r="A236" s="14" t="s">
        <v>178</v>
      </c>
      <c r="B236" s="14" t="s">
        <v>56</v>
      </c>
      <c r="C236" s="14" t="s">
        <v>179</v>
      </c>
      <c r="D236" s="14" t="s">
        <v>422</v>
      </c>
      <c r="E236" s="15" t="n">
        <v>6</v>
      </c>
      <c r="F236" s="14" t="s">
        <v>349</v>
      </c>
      <c r="G236" s="8" t="n">
        <v>8</v>
      </c>
      <c r="H236" s="14" t="s">
        <v>705</v>
      </c>
      <c r="I236" s="14" t="s">
        <v>486</v>
      </c>
      <c r="J236" s="14" t="s">
        <v>487</v>
      </c>
      <c r="K236" s="8" t="n">
        <v>6</v>
      </c>
      <c r="L236" s="8" t="n">
        <v>78</v>
      </c>
      <c r="M236" s="8" t="n">
        <v>3</v>
      </c>
      <c r="N236" s="8" t="n">
        <v>111</v>
      </c>
      <c r="O236" s="8" t="n">
        <v>7</v>
      </c>
      <c r="P236" s="9" t="n">
        <v>20.6143289010185</v>
      </c>
      <c r="Q236" s="10" t="n">
        <v>0.0485099468821705</v>
      </c>
      <c r="R236" s="9" t="n">
        <v>5</v>
      </c>
      <c r="S236" s="12" t="n">
        <f aca="false">IF(AND(ISNUMBER(R236),R236&gt;1,P236&gt;0),R236/P236-1,"")</f>
        <v>-0.757450265589147</v>
      </c>
      <c r="T236" s="9" t="n">
        <f aca="false">IF(AND(ISNUMBER(P236),P236&gt;0),P236*EXP('Read me'!$B$22),"")</f>
        <v>25.1783981773249</v>
      </c>
    </row>
    <row r="237" customFormat="false" ht="15" hidden="false" customHeight="false" outlineLevel="0" collapsed="false">
      <c r="A237" s="14" t="s">
        <v>178</v>
      </c>
      <c r="B237" s="14" t="s">
        <v>56</v>
      </c>
      <c r="C237" s="14" t="s">
        <v>179</v>
      </c>
      <c r="D237" s="14" t="s">
        <v>422</v>
      </c>
      <c r="E237" s="15" t="n">
        <v>6</v>
      </c>
      <c r="F237" s="14" t="s">
        <v>349</v>
      </c>
      <c r="G237" s="8" t="n">
        <v>8</v>
      </c>
      <c r="H237" s="14" t="s">
        <v>706</v>
      </c>
      <c r="I237" s="14" t="s">
        <v>494</v>
      </c>
      <c r="J237" s="14" t="s">
        <v>495</v>
      </c>
      <c r="K237" s="8" t="n">
        <v>7</v>
      </c>
      <c r="L237" s="8" t="n">
        <v>73</v>
      </c>
      <c r="M237" s="8" t="n">
        <v>4</v>
      </c>
      <c r="N237" s="8" t="n">
        <v>8</v>
      </c>
      <c r="O237" s="8" t="n">
        <v>8</v>
      </c>
      <c r="P237" s="9" t="n">
        <v>31.8823023600554</v>
      </c>
      <c r="Q237" s="10" t="n">
        <v>0.0313653634140575</v>
      </c>
      <c r="R237" s="9" t="n">
        <v>29</v>
      </c>
      <c r="S237" s="12" t="n">
        <f aca="false">IF(AND(ISNUMBER(R237),R237&gt;1,P237&gt;0),R237/P237-1,"")</f>
        <v>-0.090404460992332</v>
      </c>
      <c r="T237" s="9" t="n">
        <f aca="false">IF(AND(ISNUMBER(P237),P237&gt;0),P237*EXP('Read me'!$B$22),"")</f>
        <v>38.9411320390681</v>
      </c>
    </row>
    <row r="238" customFormat="false" ht="15" hidden="false" customHeight="false" outlineLevel="0" collapsed="false">
      <c r="A238" s="14" t="s">
        <v>183</v>
      </c>
      <c r="B238" s="14" t="s">
        <v>63</v>
      </c>
      <c r="C238" s="14" t="s">
        <v>184</v>
      </c>
      <c r="D238" s="14" t="s">
        <v>422</v>
      </c>
      <c r="E238" s="15" t="n">
        <v>16.5</v>
      </c>
      <c r="F238" s="14" t="s">
        <v>368</v>
      </c>
      <c r="G238" s="8" t="n">
        <v>3</v>
      </c>
      <c r="H238" s="14" t="s">
        <v>185</v>
      </c>
      <c r="I238" s="14" t="s">
        <v>186</v>
      </c>
      <c r="J238" s="14" t="s">
        <v>187</v>
      </c>
      <c r="K238" s="8" t="n">
        <v>2</v>
      </c>
      <c r="L238" s="8" t="n">
        <v>0</v>
      </c>
      <c r="M238" s="8" t="n">
        <v>4</v>
      </c>
      <c r="N238" s="8" t="n">
        <v>57</v>
      </c>
      <c r="O238" s="8" t="n">
        <v>1</v>
      </c>
      <c r="P238" s="9" t="n">
        <v>1.71742741958234</v>
      </c>
      <c r="Q238" s="10" t="n">
        <v>0.582266236463833</v>
      </c>
      <c r="R238" s="9" t="n">
        <v>2.625</v>
      </c>
      <c r="S238" s="12" t="n">
        <f aca="false">IF(AND(ISNUMBER(R238),R238&gt;1,P238&gt;0),R238/P238-1,"")</f>
        <v>0.528448870717561</v>
      </c>
      <c r="T238" s="9" t="n">
        <f aca="false">IF(AND(ISNUMBER(P238),P238&gt;0),P238*EXP('Read me'!$B$22),"")</f>
        <v>2.09767058721777</v>
      </c>
    </row>
    <row r="239" customFormat="false" ht="15" hidden="false" customHeight="false" outlineLevel="0" collapsed="false">
      <c r="A239" s="14" t="s">
        <v>183</v>
      </c>
      <c r="B239" s="14" t="s">
        <v>63</v>
      </c>
      <c r="C239" s="14" t="s">
        <v>184</v>
      </c>
      <c r="D239" s="14" t="s">
        <v>422</v>
      </c>
      <c r="E239" s="15" t="n">
        <v>16.5</v>
      </c>
      <c r="F239" s="14" t="s">
        <v>368</v>
      </c>
      <c r="G239" s="8" t="n">
        <v>3</v>
      </c>
      <c r="H239" s="14" t="s">
        <v>188</v>
      </c>
      <c r="I239" s="14" t="s">
        <v>570</v>
      </c>
      <c r="J239" s="14" t="s">
        <v>571</v>
      </c>
      <c r="K239" s="8" t="n">
        <v>1</v>
      </c>
      <c r="L239" s="8" t="n">
        <v>0</v>
      </c>
      <c r="M239" s="8" t="n">
        <v>5</v>
      </c>
      <c r="N239" s="8" t="n">
        <v>164</v>
      </c>
      <c r="O239" s="8" t="n">
        <v>2</v>
      </c>
      <c r="P239" s="9" t="n">
        <v>3.20149264458906</v>
      </c>
      <c r="Q239" s="10" t="n">
        <v>0.312354301887943</v>
      </c>
      <c r="R239" s="9" t="n">
        <v>1.90909090909091</v>
      </c>
      <c r="S239" s="12" t="n">
        <f aca="false">IF(AND(ISNUMBER(R239),R239&gt;1,P239&gt;0),R239/P239-1,"")</f>
        <v>-0.403687241850291</v>
      </c>
      <c r="T239" s="9" t="n">
        <f aca="false">IF(AND(ISNUMBER(P239),P239&gt;0),P239*EXP('Read me'!$B$22),"")</f>
        <v>3.91031194633058</v>
      </c>
    </row>
    <row r="240" customFormat="false" ht="15" hidden="false" customHeight="false" outlineLevel="0" collapsed="false">
      <c r="A240" s="14" t="s">
        <v>183</v>
      </c>
      <c r="B240" s="14" t="s">
        <v>63</v>
      </c>
      <c r="C240" s="14" t="s">
        <v>184</v>
      </c>
      <c r="D240" s="14" t="s">
        <v>422</v>
      </c>
      <c r="E240" s="15" t="n">
        <v>16.5</v>
      </c>
      <c r="F240" s="14" t="s">
        <v>368</v>
      </c>
      <c r="G240" s="8" t="n">
        <v>3</v>
      </c>
      <c r="H240" s="14" t="s">
        <v>707</v>
      </c>
      <c r="I240" s="14" t="s">
        <v>443</v>
      </c>
      <c r="J240" s="14" t="s">
        <v>444</v>
      </c>
      <c r="K240" s="8" t="n">
        <v>3</v>
      </c>
      <c r="L240" s="8" t="n">
        <v>0</v>
      </c>
      <c r="M240" s="8" t="n">
        <v>4</v>
      </c>
      <c r="N240" s="8"/>
      <c r="O240" s="8" t="n">
        <v>3</v>
      </c>
      <c r="P240" s="9" t="n">
        <v>9.48951517078515</v>
      </c>
      <c r="Q240" s="10" t="n">
        <v>0.105379461648225</v>
      </c>
      <c r="R240" s="9" t="n">
        <v>6</v>
      </c>
      <c r="S240" s="12" t="n">
        <f aca="false">IF(AND(ISNUMBER(R240),R240&gt;1,P240&gt;0),R240/P240-1,"")</f>
        <v>-0.367723230110652</v>
      </c>
      <c r="T240" s="9" t="n">
        <f aca="false">IF(AND(ISNUMBER(P240),P240&gt;0),P240*EXP('Read me'!$B$22),"")</f>
        <v>11.5905200031998</v>
      </c>
    </row>
    <row r="241" customFormat="false" ht="15" hidden="false" customHeight="false" outlineLevel="0" collapsed="false">
      <c r="A241" s="14" t="s">
        <v>189</v>
      </c>
      <c r="B241" s="14" t="s">
        <v>42</v>
      </c>
      <c r="C241" s="14" t="s">
        <v>190</v>
      </c>
      <c r="D241" s="14"/>
      <c r="E241" s="15" t="n">
        <v>8</v>
      </c>
      <c r="F241" s="14" t="s">
        <v>286</v>
      </c>
      <c r="G241" s="8" t="n">
        <v>9</v>
      </c>
      <c r="H241" s="14" t="s">
        <v>191</v>
      </c>
      <c r="I241" s="14" t="s">
        <v>72</v>
      </c>
      <c r="J241" s="14" t="s">
        <v>73</v>
      </c>
      <c r="K241" s="8" t="n">
        <v>8</v>
      </c>
      <c r="L241" s="8" t="n">
        <v>77</v>
      </c>
      <c r="M241" s="8" t="n">
        <v>3</v>
      </c>
      <c r="N241" s="8" t="n">
        <v>35</v>
      </c>
      <c r="O241" s="8" t="n">
        <v>1</v>
      </c>
      <c r="P241" s="9" t="n">
        <v>5.8004211336209</v>
      </c>
      <c r="Q241" s="10" t="n">
        <v>0.172401275177024</v>
      </c>
      <c r="R241" s="9" t="n">
        <v>4</v>
      </c>
      <c r="S241" s="12" t="n">
        <f aca="false">IF(AND(ISNUMBER(R241),R241&gt;1,P241&gt;0),R241/P241-1,"")</f>
        <v>-0.310394899291905</v>
      </c>
      <c r="T241" s="9" t="n">
        <f aca="false">IF(AND(ISNUMBER(P241),P241&gt;0),P241*EXP('Read me'!$B$22),"")</f>
        <v>7.0846503710951</v>
      </c>
    </row>
    <row r="242" customFormat="false" ht="15" hidden="false" customHeight="false" outlineLevel="0" collapsed="false">
      <c r="A242" s="14" t="s">
        <v>189</v>
      </c>
      <c r="B242" s="14" t="s">
        <v>42</v>
      </c>
      <c r="C242" s="14" t="s">
        <v>190</v>
      </c>
      <c r="D242" s="14"/>
      <c r="E242" s="15" t="n">
        <v>8</v>
      </c>
      <c r="F242" s="14" t="s">
        <v>286</v>
      </c>
      <c r="G242" s="8" t="n">
        <v>9</v>
      </c>
      <c r="H242" s="14" t="s">
        <v>192</v>
      </c>
      <c r="I242" s="14" t="s">
        <v>458</v>
      </c>
      <c r="J242" s="14" t="s">
        <v>520</v>
      </c>
      <c r="K242" s="8" t="n">
        <v>7</v>
      </c>
      <c r="L242" s="8" t="n">
        <v>86</v>
      </c>
      <c r="M242" s="8" t="n">
        <v>4</v>
      </c>
      <c r="N242" s="8" t="n">
        <v>31</v>
      </c>
      <c r="O242" s="8" t="n">
        <v>2</v>
      </c>
      <c r="P242" s="9" t="n">
        <v>6.36904573746495</v>
      </c>
      <c r="Q242" s="10" t="n">
        <v>0.157009392179059</v>
      </c>
      <c r="R242" s="9" t="n">
        <v>7</v>
      </c>
      <c r="S242" s="12" t="n">
        <f aca="false">IF(AND(ISNUMBER(R242),R242&gt;1,P242&gt;0),R242/P242-1,"")</f>
        <v>0.0990657452534141</v>
      </c>
      <c r="T242" s="9" t="n">
        <f aca="false">IF(AND(ISNUMBER(P242),P242&gt;0),P242*EXP('Read me'!$B$22),"")</f>
        <v>7.77917003058797</v>
      </c>
    </row>
    <row r="243" customFormat="false" ht="15" hidden="false" customHeight="false" outlineLevel="0" collapsed="false">
      <c r="A243" s="14" t="s">
        <v>189</v>
      </c>
      <c r="B243" s="14" t="s">
        <v>42</v>
      </c>
      <c r="C243" s="14" t="s">
        <v>190</v>
      </c>
      <c r="D243" s="14"/>
      <c r="E243" s="15" t="n">
        <v>8</v>
      </c>
      <c r="F243" s="14" t="s">
        <v>286</v>
      </c>
      <c r="G243" s="8" t="n">
        <v>9</v>
      </c>
      <c r="H243" s="14" t="s">
        <v>708</v>
      </c>
      <c r="I243" s="14" t="s">
        <v>450</v>
      </c>
      <c r="J243" s="14" t="s">
        <v>451</v>
      </c>
      <c r="K243" s="8" t="n">
        <v>9</v>
      </c>
      <c r="L243" s="8" t="n">
        <v>84</v>
      </c>
      <c r="M243" s="8" t="n">
        <v>3</v>
      </c>
      <c r="N243" s="8" t="n">
        <v>3</v>
      </c>
      <c r="O243" s="8" t="n">
        <v>3</v>
      </c>
      <c r="P243" s="9" t="n">
        <v>7.11701224674874</v>
      </c>
      <c r="Q243" s="10" t="n">
        <v>0.140508399498235</v>
      </c>
      <c r="R243" s="9" t="n">
        <v>5</v>
      </c>
      <c r="S243" s="12" t="n">
        <f aca="false">IF(AND(ISNUMBER(R243),R243&gt;1,P243&gt;0),R243/P243-1,"")</f>
        <v>-0.297458002508827</v>
      </c>
      <c r="T243" s="9" t="n">
        <f aca="false">IF(AND(ISNUMBER(P243),P243&gt;0),P243*EXP('Read me'!$B$22),"")</f>
        <v>8.69273838803861</v>
      </c>
    </row>
    <row r="244" customFormat="false" ht="15" hidden="false" customHeight="false" outlineLevel="0" collapsed="false">
      <c r="A244" s="14" t="s">
        <v>189</v>
      </c>
      <c r="B244" s="14" t="s">
        <v>42</v>
      </c>
      <c r="C244" s="14" t="s">
        <v>190</v>
      </c>
      <c r="D244" s="14"/>
      <c r="E244" s="15" t="n">
        <v>8</v>
      </c>
      <c r="F244" s="14" t="s">
        <v>286</v>
      </c>
      <c r="G244" s="8" t="n">
        <v>9</v>
      </c>
      <c r="H244" s="14" t="s">
        <v>709</v>
      </c>
      <c r="I244" s="14" t="s">
        <v>95</v>
      </c>
      <c r="J244" s="14" t="s">
        <v>639</v>
      </c>
      <c r="K244" s="8" t="n">
        <v>3</v>
      </c>
      <c r="L244" s="8" t="n">
        <v>81</v>
      </c>
      <c r="M244" s="8" t="n">
        <v>4</v>
      </c>
      <c r="N244" s="8" t="n">
        <v>27</v>
      </c>
      <c r="O244" s="8" t="n">
        <v>4</v>
      </c>
      <c r="P244" s="9" t="n">
        <v>7.17226242555746</v>
      </c>
      <c r="Q244" s="10" t="n">
        <v>0.139426019387777</v>
      </c>
      <c r="R244" s="9" t="n">
        <v>8</v>
      </c>
      <c r="S244" s="12" t="n">
        <f aca="false">IF(AND(ISNUMBER(R244),R244&gt;1,P244&gt;0),R244/P244-1,"")</f>
        <v>0.115408155102217</v>
      </c>
      <c r="T244" s="9" t="n">
        <f aca="false">IF(AND(ISNUMBER(P244),P244&gt;0),P244*EXP('Read me'!$B$22),"")</f>
        <v>8.76022110882443</v>
      </c>
    </row>
    <row r="245" customFormat="false" ht="15" hidden="false" customHeight="false" outlineLevel="0" collapsed="false">
      <c r="A245" s="14" t="s">
        <v>189</v>
      </c>
      <c r="B245" s="14" t="s">
        <v>42</v>
      </c>
      <c r="C245" s="14" t="s">
        <v>190</v>
      </c>
      <c r="D245" s="14"/>
      <c r="E245" s="15" t="n">
        <v>8</v>
      </c>
      <c r="F245" s="14" t="s">
        <v>286</v>
      </c>
      <c r="G245" s="8" t="n">
        <v>9</v>
      </c>
      <c r="H245" s="14" t="s">
        <v>710</v>
      </c>
      <c r="I245" s="14" t="s">
        <v>540</v>
      </c>
      <c r="J245" s="14" t="s">
        <v>448</v>
      </c>
      <c r="K245" s="8" t="n">
        <v>6</v>
      </c>
      <c r="L245" s="8" t="n">
        <v>81</v>
      </c>
      <c r="M245" s="8" t="n">
        <v>4</v>
      </c>
      <c r="N245" s="8" t="n">
        <v>31</v>
      </c>
      <c r="O245" s="8" t="n">
        <v>5</v>
      </c>
      <c r="P245" s="9" t="n">
        <v>7.97105529924713</v>
      </c>
      <c r="Q245" s="10" t="n">
        <v>0.12545390321084</v>
      </c>
      <c r="R245" s="9" t="n">
        <v>5</v>
      </c>
      <c r="S245" s="12" t="n">
        <f aca="false">IF(AND(ISNUMBER(R245),R245&gt;1,P245&gt;0),R245/P245-1,"")</f>
        <v>-0.372730483945802</v>
      </c>
      <c r="T245" s="9" t="n">
        <f aca="false">IF(AND(ISNUMBER(P245),P245&gt;0),P245*EXP('Read me'!$B$22),"")</f>
        <v>9.73586892794769</v>
      </c>
    </row>
    <row r="246" customFormat="false" ht="15" hidden="false" customHeight="false" outlineLevel="0" collapsed="false">
      <c r="A246" s="14" t="s">
        <v>189</v>
      </c>
      <c r="B246" s="14" t="s">
        <v>42</v>
      </c>
      <c r="C246" s="14" t="s">
        <v>190</v>
      </c>
      <c r="D246" s="14"/>
      <c r="E246" s="15" t="n">
        <v>8</v>
      </c>
      <c r="F246" s="14" t="s">
        <v>286</v>
      </c>
      <c r="G246" s="8" t="n">
        <v>9</v>
      </c>
      <c r="H246" s="14" t="s">
        <v>711</v>
      </c>
      <c r="I246" s="14" t="s">
        <v>511</v>
      </c>
      <c r="J246" s="14" t="s">
        <v>590</v>
      </c>
      <c r="K246" s="8" t="n">
        <v>5</v>
      </c>
      <c r="L246" s="8" t="n">
        <v>85</v>
      </c>
      <c r="M246" s="8" t="n">
        <v>4</v>
      </c>
      <c r="N246" s="8" t="n">
        <v>63</v>
      </c>
      <c r="O246" s="8" t="n">
        <v>6</v>
      </c>
      <c r="P246" s="9" t="n">
        <v>10.855755089962</v>
      </c>
      <c r="Q246" s="10" t="n">
        <v>0.0921170376185691</v>
      </c>
      <c r="R246" s="9" t="n">
        <v>9</v>
      </c>
      <c r="S246" s="12" t="n">
        <f aca="false">IF(AND(ISNUMBER(R246),R246&gt;1,P246&gt;0),R246/P246-1,"")</f>
        <v>-0.170946661432878</v>
      </c>
      <c r="T246" s="9" t="n">
        <f aca="false">IF(AND(ISNUMBER(P246),P246&gt;0),P246*EXP('Read me'!$B$22),"")</f>
        <v>13.2592492087909</v>
      </c>
    </row>
    <row r="247" customFormat="false" ht="15" hidden="false" customHeight="false" outlineLevel="0" collapsed="false">
      <c r="A247" s="14" t="s">
        <v>189</v>
      </c>
      <c r="B247" s="14" t="s">
        <v>42</v>
      </c>
      <c r="C247" s="14" t="s">
        <v>190</v>
      </c>
      <c r="D247" s="14"/>
      <c r="E247" s="15" t="n">
        <v>8</v>
      </c>
      <c r="F247" s="14" t="s">
        <v>286</v>
      </c>
      <c r="G247" s="8" t="n">
        <v>9</v>
      </c>
      <c r="H247" s="14" t="s">
        <v>712</v>
      </c>
      <c r="I247" s="14" t="s">
        <v>461</v>
      </c>
      <c r="J247" s="14" t="s">
        <v>462</v>
      </c>
      <c r="K247" s="8" t="n">
        <v>2</v>
      </c>
      <c r="L247" s="8" t="n">
        <v>91</v>
      </c>
      <c r="M247" s="8" t="n">
        <v>3</v>
      </c>
      <c r="N247" s="8" t="n">
        <v>103</v>
      </c>
      <c r="O247" s="8" t="n">
        <v>7</v>
      </c>
      <c r="P247" s="9" t="n">
        <v>12.5174736261091</v>
      </c>
      <c r="Q247" s="10" t="n">
        <v>0.0798883249024136</v>
      </c>
      <c r="R247" s="9" t="n">
        <v>12</v>
      </c>
      <c r="S247" s="12" t="n">
        <f aca="false">IF(AND(ISNUMBER(R247),R247&gt;1,P247&gt;0),R247/P247-1,"")</f>
        <v>-0.0413401011710372</v>
      </c>
      <c r="T247" s="9" t="n">
        <f aca="false">IF(AND(ISNUMBER(P247),P247&gt;0),P247*EXP('Read me'!$B$22),"")</f>
        <v>15.2888768121269</v>
      </c>
    </row>
    <row r="248" customFormat="false" ht="15" hidden="false" customHeight="false" outlineLevel="0" collapsed="false">
      <c r="A248" s="14" t="s">
        <v>189</v>
      </c>
      <c r="B248" s="14" t="s">
        <v>42</v>
      </c>
      <c r="C248" s="14" t="s">
        <v>190</v>
      </c>
      <c r="D248" s="14"/>
      <c r="E248" s="15" t="n">
        <v>8</v>
      </c>
      <c r="F248" s="14" t="s">
        <v>286</v>
      </c>
      <c r="G248" s="8" t="n">
        <v>9</v>
      </c>
      <c r="H248" s="14" t="s">
        <v>713</v>
      </c>
      <c r="I248" s="14" t="s">
        <v>714</v>
      </c>
      <c r="J248" s="14" t="s">
        <v>715</v>
      </c>
      <c r="K248" s="8" t="n">
        <v>4</v>
      </c>
      <c r="L248" s="8" t="n">
        <v>81</v>
      </c>
      <c r="M248" s="8" t="n">
        <v>3</v>
      </c>
      <c r="N248" s="8" t="n">
        <v>109</v>
      </c>
      <c r="O248" s="8" t="n">
        <v>8</v>
      </c>
      <c r="P248" s="9" t="n">
        <v>13.9332565169953</v>
      </c>
      <c r="Q248" s="10" t="n">
        <v>0.0717707306099068</v>
      </c>
      <c r="R248" s="9" t="n">
        <v>15</v>
      </c>
      <c r="S248" s="12" t="n">
        <f aca="false">IF(AND(ISNUMBER(R248),R248&gt;1,P248&gt;0),R248/P248-1,"")</f>
        <v>0.0765609591486027</v>
      </c>
      <c r="T248" s="9" t="n">
        <f aca="false">IF(AND(ISNUMBER(P248),P248&gt;0),P248*EXP('Read me'!$B$22),"")</f>
        <v>17.0181179400112</v>
      </c>
    </row>
    <row r="249" customFormat="false" ht="15" hidden="false" customHeight="false" outlineLevel="0" collapsed="false">
      <c r="A249" s="14" t="s">
        <v>189</v>
      </c>
      <c r="B249" s="14" t="s">
        <v>42</v>
      </c>
      <c r="C249" s="14" t="s">
        <v>190</v>
      </c>
      <c r="D249" s="14"/>
      <c r="E249" s="15" t="n">
        <v>8</v>
      </c>
      <c r="F249" s="14" t="s">
        <v>286</v>
      </c>
      <c r="G249" s="8" t="n">
        <v>9</v>
      </c>
      <c r="H249" s="14" t="s">
        <v>716</v>
      </c>
      <c r="I249" s="14" t="s">
        <v>651</v>
      </c>
      <c r="J249" s="14" t="s">
        <v>291</v>
      </c>
      <c r="K249" s="8" t="n">
        <v>1</v>
      </c>
      <c r="L249" s="8" t="n">
        <v>89</v>
      </c>
      <c r="M249" s="8" t="n">
        <v>5</v>
      </c>
      <c r="N249" s="8" t="n">
        <v>30</v>
      </c>
      <c r="O249" s="8" t="n">
        <v>9</v>
      </c>
      <c r="P249" s="9" t="n">
        <v>46.6746256508315</v>
      </c>
      <c r="Q249" s="10" t="n">
        <v>0.021424917416176</v>
      </c>
      <c r="R249" s="9" t="n">
        <v>67</v>
      </c>
      <c r="S249" s="12" t="n">
        <f aca="false">IF(AND(ISNUMBER(R249),R249&gt;1,P249&gt;0),R249/P249-1,"")</f>
        <v>0.435469466883798</v>
      </c>
      <c r="T249" s="9" t="n">
        <f aca="false">IF(AND(ISNUMBER(P249),P249&gt;0),P249*EXP('Read me'!$B$22),"")</f>
        <v>57.0085165060191</v>
      </c>
    </row>
    <row r="250" customFormat="false" ht="15" hidden="false" customHeight="false" outlineLevel="0" collapsed="false">
      <c r="A250" s="14" t="s">
        <v>193</v>
      </c>
      <c r="B250" s="14" t="s">
        <v>166</v>
      </c>
      <c r="C250" s="14" t="s">
        <v>194</v>
      </c>
      <c r="D250" s="14" t="s">
        <v>463</v>
      </c>
      <c r="E250" s="15" t="n">
        <v>12</v>
      </c>
      <c r="F250" s="14" t="s">
        <v>655</v>
      </c>
      <c r="G250" s="8" t="n">
        <v>6</v>
      </c>
      <c r="H250" s="14" t="s">
        <v>195</v>
      </c>
      <c r="I250" s="14" t="s">
        <v>196</v>
      </c>
      <c r="J250" s="14" t="s">
        <v>197</v>
      </c>
      <c r="K250" s="8" t="n">
        <v>6</v>
      </c>
      <c r="L250" s="8" t="n">
        <v>70</v>
      </c>
      <c r="M250" s="8" t="n">
        <v>4</v>
      </c>
      <c r="N250" s="8" t="n">
        <v>6</v>
      </c>
      <c r="O250" s="8" t="n">
        <v>1</v>
      </c>
      <c r="P250" s="9" t="n">
        <v>3.04429512783709</v>
      </c>
      <c r="Q250" s="10" t="n">
        <v>0.328483263943756</v>
      </c>
      <c r="R250" s="9" t="n">
        <v>2.25</v>
      </c>
      <c r="S250" s="12" t="n">
        <f aca="false">IF(AND(ISNUMBER(R250),R250&gt;1,P250&gt;0),R250/P250-1,"")</f>
        <v>-0.260912656126549</v>
      </c>
      <c r="T250" s="9" t="n">
        <f aca="false">IF(AND(ISNUMBER(P250),P250&gt;0),P250*EXP('Read me'!$B$22),"")</f>
        <v>3.71831046579379</v>
      </c>
    </row>
    <row r="251" customFormat="false" ht="15" hidden="false" customHeight="false" outlineLevel="0" collapsed="false">
      <c r="A251" s="14" t="s">
        <v>193</v>
      </c>
      <c r="B251" s="14" t="s">
        <v>166</v>
      </c>
      <c r="C251" s="14" t="s">
        <v>194</v>
      </c>
      <c r="D251" s="14" t="s">
        <v>463</v>
      </c>
      <c r="E251" s="15" t="n">
        <v>12</v>
      </c>
      <c r="F251" s="14" t="s">
        <v>655</v>
      </c>
      <c r="G251" s="8" t="n">
        <v>6</v>
      </c>
      <c r="H251" s="14" t="s">
        <v>198</v>
      </c>
      <c r="I251" s="14" t="s">
        <v>679</v>
      </c>
      <c r="J251" s="14" t="s">
        <v>717</v>
      </c>
      <c r="K251" s="8" t="n">
        <v>2</v>
      </c>
      <c r="L251" s="8" t="n">
        <v>57</v>
      </c>
      <c r="M251" s="8" t="n">
        <v>4</v>
      </c>
      <c r="N251" s="8" t="n">
        <v>28</v>
      </c>
      <c r="O251" s="8" t="n">
        <v>2</v>
      </c>
      <c r="P251" s="9" t="n">
        <v>4.20360160249669</v>
      </c>
      <c r="Q251" s="10" t="n">
        <v>0.237891240550974</v>
      </c>
      <c r="R251" s="9" t="n">
        <v>3</v>
      </c>
      <c r="S251" s="12" t="n">
        <f aca="false">IF(AND(ISNUMBER(R251),R251&gt;1,P251&gt;0),R251/P251-1,"")</f>
        <v>-0.286326278347078</v>
      </c>
      <c r="T251" s="9" t="n">
        <f aca="false">IF(AND(ISNUMBER(P251),P251&gt;0),P251*EXP('Read me'!$B$22),"")</f>
        <v>5.13429059149597</v>
      </c>
    </row>
    <row r="252" customFormat="false" ht="15" hidden="false" customHeight="false" outlineLevel="0" collapsed="false">
      <c r="A252" s="14" t="s">
        <v>193</v>
      </c>
      <c r="B252" s="14" t="s">
        <v>166</v>
      </c>
      <c r="C252" s="14" t="s">
        <v>194</v>
      </c>
      <c r="D252" s="14" t="s">
        <v>463</v>
      </c>
      <c r="E252" s="15" t="n">
        <v>12</v>
      </c>
      <c r="F252" s="14" t="s">
        <v>655</v>
      </c>
      <c r="G252" s="8" t="n">
        <v>6</v>
      </c>
      <c r="H252" s="14" t="s">
        <v>718</v>
      </c>
      <c r="I252" s="14" t="s">
        <v>676</v>
      </c>
      <c r="J252" s="14" t="s">
        <v>677</v>
      </c>
      <c r="K252" s="8" t="n">
        <v>1</v>
      </c>
      <c r="L252" s="8" t="n">
        <v>62</v>
      </c>
      <c r="M252" s="8" t="n">
        <v>6</v>
      </c>
      <c r="N252" s="8" t="n">
        <v>12</v>
      </c>
      <c r="O252" s="8" t="n">
        <v>3</v>
      </c>
      <c r="P252" s="9" t="n">
        <v>6.17890790157996</v>
      </c>
      <c r="Q252" s="10" t="n">
        <v>0.161840897441488</v>
      </c>
      <c r="R252" s="9" t="n">
        <v>9</v>
      </c>
      <c r="S252" s="12" t="n">
        <f aca="false">IF(AND(ISNUMBER(R252),R252&gt;1,P252&gt;0),R252/P252-1,"")</f>
        <v>0.456568076973389</v>
      </c>
      <c r="T252" s="9" t="n">
        <f aca="false">IF(AND(ISNUMBER(P252),P252&gt;0),P252*EXP('Read me'!$B$22),"")</f>
        <v>7.54693515340743</v>
      </c>
    </row>
    <row r="253" customFormat="false" ht="15" hidden="false" customHeight="false" outlineLevel="0" collapsed="false">
      <c r="A253" s="14" t="s">
        <v>193</v>
      </c>
      <c r="B253" s="14" t="s">
        <v>166</v>
      </c>
      <c r="C253" s="14" t="s">
        <v>194</v>
      </c>
      <c r="D253" s="14" t="s">
        <v>463</v>
      </c>
      <c r="E253" s="15" t="n">
        <v>12</v>
      </c>
      <c r="F253" s="14" t="s">
        <v>655</v>
      </c>
      <c r="G253" s="8" t="n">
        <v>6</v>
      </c>
      <c r="H253" s="14" t="s">
        <v>719</v>
      </c>
      <c r="I253" s="14" t="s">
        <v>720</v>
      </c>
      <c r="J253" s="14" t="s">
        <v>721</v>
      </c>
      <c r="K253" s="8" t="n">
        <v>3</v>
      </c>
      <c r="L253" s="8" t="n">
        <v>64</v>
      </c>
      <c r="M253" s="8" t="n">
        <v>5</v>
      </c>
      <c r="N253" s="8" t="n">
        <v>33</v>
      </c>
      <c r="O253" s="8" t="n">
        <v>4</v>
      </c>
      <c r="P253" s="9" t="n">
        <v>6.98511735315054</v>
      </c>
      <c r="Q253" s="10" t="n">
        <v>0.143161517472425</v>
      </c>
      <c r="R253" s="9" t="n">
        <v>7.5</v>
      </c>
      <c r="S253" s="12" t="n">
        <f aca="false">IF(AND(ISNUMBER(R253),R253&gt;1,P253&gt;0),R253/P253-1,"")</f>
        <v>0.0737113810431873</v>
      </c>
      <c r="T253" s="9" t="n">
        <f aca="false">IF(AND(ISNUMBER(P253),P253&gt;0),P253*EXP('Read me'!$B$22),"")</f>
        <v>8.53164160121054</v>
      </c>
    </row>
    <row r="254" customFormat="false" ht="15" hidden="false" customHeight="false" outlineLevel="0" collapsed="false">
      <c r="A254" s="14" t="s">
        <v>193</v>
      </c>
      <c r="B254" s="14" t="s">
        <v>166</v>
      </c>
      <c r="C254" s="14" t="s">
        <v>194</v>
      </c>
      <c r="D254" s="14" t="s">
        <v>463</v>
      </c>
      <c r="E254" s="15" t="n">
        <v>12</v>
      </c>
      <c r="F254" s="14" t="s">
        <v>655</v>
      </c>
      <c r="G254" s="8" t="n">
        <v>6</v>
      </c>
      <c r="H254" s="14" t="s">
        <v>722</v>
      </c>
      <c r="I254" s="14" t="s">
        <v>723</v>
      </c>
      <c r="J254" s="14" t="s">
        <v>724</v>
      </c>
      <c r="K254" s="8" t="n">
        <v>4</v>
      </c>
      <c r="L254" s="8" t="n">
        <v>61</v>
      </c>
      <c r="M254" s="8" t="n">
        <v>4</v>
      </c>
      <c r="N254" s="8" t="n">
        <v>38</v>
      </c>
      <c r="O254" s="8" t="n">
        <v>5</v>
      </c>
      <c r="P254" s="9" t="n">
        <v>9.86098564500944</v>
      </c>
      <c r="Q254" s="10" t="n">
        <v>0.101409740973114</v>
      </c>
      <c r="R254" s="9" t="n">
        <v>13</v>
      </c>
      <c r="S254" s="12" t="n">
        <f aca="false">IF(AND(ISNUMBER(R254),R254&gt;1,P254&gt;0),R254/P254-1,"")</f>
        <v>0.318326632650478</v>
      </c>
      <c r="T254" s="9" t="n">
        <f aca="false">IF(AND(ISNUMBER(P254),P254&gt;0),P254*EXP('Read me'!$B$22),"")</f>
        <v>12.0442350649924</v>
      </c>
    </row>
    <row r="255" customFormat="false" ht="15" hidden="false" customHeight="false" outlineLevel="0" collapsed="false">
      <c r="A255" s="14" t="s">
        <v>193</v>
      </c>
      <c r="B255" s="14" t="s">
        <v>166</v>
      </c>
      <c r="C255" s="14" t="s">
        <v>194</v>
      </c>
      <c r="D255" s="14" t="s">
        <v>463</v>
      </c>
      <c r="E255" s="15" t="n">
        <v>12</v>
      </c>
      <c r="F255" s="14" t="s">
        <v>655</v>
      </c>
      <c r="G255" s="8" t="n">
        <v>6</v>
      </c>
      <c r="H255" s="14" t="s">
        <v>725</v>
      </c>
      <c r="I255" s="14" t="s">
        <v>668</v>
      </c>
      <c r="J255" s="14" t="s">
        <v>149</v>
      </c>
      <c r="K255" s="8" t="n">
        <v>5</v>
      </c>
      <c r="L255" s="8" t="n">
        <v>60</v>
      </c>
      <c r="M255" s="8" t="n">
        <v>5</v>
      </c>
      <c r="N255" s="8" t="n">
        <v>623</v>
      </c>
      <c r="O255" s="8" t="n">
        <v>6</v>
      </c>
      <c r="P255" s="9" t="n">
        <v>36.7466843110135</v>
      </c>
      <c r="Q255" s="10" t="n">
        <v>0.0272133396182437</v>
      </c>
      <c r="R255" s="9" t="n">
        <v>29</v>
      </c>
      <c r="S255" s="12" t="n">
        <f aca="false">IF(AND(ISNUMBER(R255),R255&gt;1,P255&gt;0),R255/P255-1,"")</f>
        <v>-0.210813151070931</v>
      </c>
      <c r="T255" s="9" t="n">
        <f aca="false">IF(AND(ISNUMBER(P255),P255&gt;0),P255*EXP('Read me'!$B$22),"")</f>
        <v>44.8825015707129</v>
      </c>
    </row>
    <row r="256" customFormat="false" ht="15" hidden="false" customHeight="false" outlineLevel="0" collapsed="false">
      <c r="A256" s="14" t="s">
        <v>199</v>
      </c>
      <c r="B256" s="14" t="s">
        <v>49</v>
      </c>
      <c r="C256" s="14" t="s">
        <v>200</v>
      </c>
      <c r="D256" s="14" t="s">
        <v>319</v>
      </c>
      <c r="E256" s="15"/>
      <c r="F256" s="14" t="s">
        <v>320</v>
      </c>
      <c r="G256" s="8" t="n">
        <v>10</v>
      </c>
      <c r="H256" s="14" t="s">
        <v>201</v>
      </c>
      <c r="I256" s="14" t="s">
        <v>202</v>
      </c>
      <c r="J256" s="14" t="s">
        <v>203</v>
      </c>
      <c r="K256" s="8" t="n">
        <v>6</v>
      </c>
      <c r="L256" s="8" t="n">
        <v>59</v>
      </c>
      <c r="M256" s="8" t="n">
        <v>4</v>
      </c>
      <c r="N256" s="8" t="n">
        <v>16</v>
      </c>
      <c r="O256" s="8" t="n">
        <v>1</v>
      </c>
      <c r="P256" s="9" t="n">
        <v>4.54615628172129</v>
      </c>
      <c r="Q256" s="10" t="n">
        <v>0.219966041207315</v>
      </c>
      <c r="R256" s="9" t="n">
        <v>4.5</v>
      </c>
      <c r="S256" s="12" t="n">
        <f aca="false">IF(AND(ISNUMBER(R256),R256&gt;1,P256&gt;0),R256/P256-1,"")</f>
        <v>-0.0101528145670816</v>
      </c>
      <c r="T256" s="9" t="n">
        <f aca="false">IF(AND(ISNUMBER(P256),P256&gt;0),P256*EXP('Read me'!$B$22),"")</f>
        <v>5.55268782152157</v>
      </c>
    </row>
    <row r="257" customFormat="false" ht="15" hidden="false" customHeight="false" outlineLevel="0" collapsed="false">
      <c r="A257" s="14" t="s">
        <v>199</v>
      </c>
      <c r="B257" s="14" t="s">
        <v>49</v>
      </c>
      <c r="C257" s="14" t="s">
        <v>200</v>
      </c>
      <c r="D257" s="14" t="s">
        <v>319</v>
      </c>
      <c r="E257" s="15"/>
      <c r="F257" s="14" t="s">
        <v>320</v>
      </c>
      <c r="G257" s="8" t="n">
        <v>10</v>
      </c>
      <c r="H257" s="14" t="s">
        <v>204</v>
      </c>
      <c r="I257" s="14" t="s">
        <v>78</v>
      </c>
      <c r="J257" s="14" t="s">
        <v>322</v>
      </c>
      <c r="K257" s="8" t="n">
        <v>9</v>
      </c>
      <c r="L257" s="8" t="n">
        <v>75</v>
      </c>
      <c r="M257" s="8" t="n">
        <v>4</v>
      </c>
      <c r="N257" s="8" t="n">
        <v>15</v>
      </c>
      <c r="O257" s="8" t="n">
        <v>2</v>
      </c>
      <c r="P257" s="9" t="n">
        <v>4.96880902014355</v>
      </c>
      <c r="Q257" s="10" t="n">
        <v>0.201255471068822</v>
      </c>
      <c r="R257" s="9" t="n">
        <v>4.5</v>
      </c>
      <c r="S257" s="12" t="n">
        <f aca="false">IF(AND(ISNUMBER(R257),R257&gt;1,P257&gt;0),R257/P257-1,"")</f>
        <v>-0.0943503801903021</v>
      </c>
      <c r="T257" s="9" t="n">
        <f aca="false">IF(AND(ISNUMBER(P257),P257&gt;0),P257*EXP('Read me'!$B$22),"")</f>
        <v>6.06891704197446</v>
      </c>
    </row>
    <row r="258" customFormat="false" ht="15" hidden="false" customHeight="false" outlineLevel="0" collapsed="false">
      <c r="A258" s="14" t="s">
        <v>199</v>
      </c>
      <c r="B258" s="14" t="s">
        <v>49</v>
      </c>
      <c r="C258" s="14" t="s">
        <v>200</v>
      </c>
      <c r="D258" s="14" t="s">
        <v>319</v>
      </c>
      <c r="E258" s="15"/>
      <c r="F258" s="14" t="s">
        <v>320</v>
      </c>
      <c r="G258" s="8" t="n">
        <v>10</v>
      </c>
      <c r="H258" s="14" t="s">
        <v>726</v>
      </c>
      <c r="I258" s="14" t="s">
        <v>415</v>
      </c>
      <c r="J258" s="14" t="s">
        <v>727</v>
      </c>
      <c r="K258" s="8" t="n">
        <v>7</v>
      </c>
      <c r="L258" s="8" t="n">
        <v>72</v>
      </c>
      <c r="M258" s="8" t="n">
        <v>4</v>
      </c>
      <c r="N258" s="8" t="n">
        <v>32</v>
      </c>
      <c r="O258" s="8" t="n">
        <v>3</v>
      </c>
      <c r="P258" s="9" t="n">
        <v>8.73678284080821</v>
      </c>
      <c r="Q258" s="10" t="n">
        <v>0.114458607730199</v>
      </c>
      <c r="R258" s="9" t="n">
        <v>6.5</v>
      </c>
      <c r="S258" s="12" t="n">
        <f aca="false">IF(AND(ISNUMBER(R258),R258&gt;1,P258&gt;0),R258/P258-1,"")</f>
        <v>-0.256019049753707</v>
      </c>
      <c r="T258" s="9" t="n">
        <f aca="false">IF(AND(ISNUMBER(P258),P258&gt;0),P258*EXP('Read me'!$B$22),"")</f>
        <v>10.6711306592096</v>
      </c>
    </row>
    <row r="259" customFormat="false" ht="15" hidden="false" customHeight="false" outlineLevel="0" collapsed="false">
      <c r="A259" s="14" t="s">
        <v>199</v>
      </c>
      <c r="B259" s="14" t="s">
        <v>49</v>
      </c>
      <c r="C259" s="14" t="s">
        <v>200</v>
      </c>
      <c r="D259" s="14" t="s">
        <v>319</v>
      </c>
      <c r="E259" s="15"/>
      <c r="F259" s="14" t="s">
        <v>320</v>
      </c>
      <c r="G259" s="8" t="n">
        <v>10</v>
      </c>
      <c r="H259" s="14" t="s">
        <v>728</v>
      </c>
      <c r="I259" s="14" t="s">
        <v>729</v>
      </c>
      <c r="J259" s="14" t="s">
        <v>464</v>
      </c>
      <c r="K259" s="8" t="n">
        <v>5</v>
      </c>
      <c r="L259" s="8" t="n">
        <v>67</v>
      </c>
      <c r="M259" s="8" t="n">
        <v>3</v>
      </c>
      <c r="N259" s="8" t="n">
        <v>13</v>
      </c>
      <c r="O259" s="8" t="n">
        <v>4</v>
      </c>
      <c r="P259" s="9" t="n">
        <v>9.21142284441631</v>
      </c>
      <c r="Q259" s="10" t="n">
        <v>0.108560861540101</v>
      </c>
      <c r="R259" s="9" t="n">
        <v>8</v>
      </c>
      <c r="S259" s="12" t="n">
        <f aca="false">IF(AND(ISNUMBER(R259),R259&gt;1,P259&gt;0),R259/P259-1,"")</f>
        <v>-0.131513107679194</v>
      </c>
      <c r="T259" s="9" t="n">
        <f aca="false">IF(AND(ISNUMBER(P259),P259&gt;0),P259*EXP('Read me'!$B$22),"")</f>
        <v>11.2508572687497</v>
      </c>
    </row>
    <row r="260" customFormat="false" ht="15" hidden="false" customHeight="false" outlineLevel="0" collapsed="false">
      <c r="A260" s="14" t="s">
        <v>199</v>
      </c>
      <c r="B260" s="14" t="s">
        <v>49</v>
      </c>
      <c r="C260" s="14" t="s">
        <v>200</v>
      </c>
      <c r="D260" s="14" t="s">
        <v>319</v>
      </c>
      <c r="E260" s="15"/>
      <c r="F260" s="14" t="s">
        <v>320</v>
      </c>
      <c r="G260" s="8" t="n">
        <v>10</v>
      </c>
      <c r="H260" s="14" t="s">
        <v>730</v>
      </c>
      <c r="I260" s="14" t="s">
        <v>469</v>
      </c>
      <c r="J260" s="14" t="s">
        <v>731</v>
      </c>
      <c r="K260" s="8" t="n">
        <v>10</v>
      </c>
      <c r="L260" s="8" t="n">
        <v>74</v>
      </c>
      <c r="M260" s="8" t="n">
        <v>3</v>
      </c>
      <c r="N260" s="8" t="n">
        <v>24</v>
      </c>
      <c r="O260" s="8" t="n">
        <v>5</v>
      </c>
      <c r="P260" s="9" t="n">
        <v>9.33773831588829</v>
      </c>
      <c r="Q260" s="10" t="n">
        <v>0.107092313595733</v>
      </c>
      <c r="R260" s="9" t="n">
        <v>11</v>
      </c>
      <c r="S260" s="12" t="n">
        <f aca="false">IF(AND(ISNUMBER(R260),R260&gt;1,P260&gt;0),R260/P260-1,"")</f>
        <v>0.178015449553062</v>
      </c>
      <c r="T260" s="9" t="n">
        <f aca="false">IF(AND(ISNUMBER(P260),P260&gt;0),P260*EXP('Read me'!$B$22),"")</f>
        <v>11.4051393340039</v>
      </c>
    </row>
    <row r="261" customFormat="false" ht="15" hidden="false" customHeight="false" outlineLevel="0" collapsed="false">
      <c r="A261" s="14" t="s">
        <v>199</v>
      </c>
      <c r="B261" s="14" t="s">
        <v>49</v>
      </c>
      <c r="C261" s="14" t="s">
        <v>200</v>
      </c>
      <c r="D261" s="14" t="s">
        <v>319</v>
      </c>
      <c r="E261" s="15"/>
      <c r="F261" s="14" t="s">
        <v>320</v>
      </c>
      <c r="G261" s="8" t="n">
        <v>10</v>
      </c>
      <c r="H261" s="14" t="s">
        <v>732</v>
      </c>
      <c r="I261" s="14" t="s">
        <v>550</v>
      </c>
      <c r="J261" s="14" t="s">
        <v>733</v>
      </c>
      <c r="K261" s="8" t="n">
        <v>1</v>
      </c>
      <c r="L261" s="8" t="n">
        <v>69</v>
      </c>
      <c r="M261" s="8" t="n">
        <v>5</v>
      </c>
      <c r="N261" s="8" t="n">
        <v>15</v>
      </c>
      <c r="O261" s="8" t="n">
        <v>6</v>
      </c>
      <c r="P261" s="9" t="n">
        <v>10.820028230378</v>
      </c>
      <c r="Q261" s="10" t="n">
        <v>0.0924212006390545</v>
      </c>
      <c r="R261" s="9" t="n">
        <v>9</v>
      </c>
      <c r="S261" s="12" t="n">
        <f aca="false">IF(AND(ISNUMBER(R261),R261&gt;1,P261&gt;0),R261/P261-1,"")</f>
        <v>-0.168209194248509</v>
      </c>
      <c r="T261" s="9" t="n">
        <f aca="false">IF(AND(ISNUMBER(P261),P261&gt;0),P261*EXP('Read me'!$B$22),"")</f>
        <v>13.2156123239546</v>
      </c>
    </row>
    <row r="262" customFormat="false" ht="15" hidden="false" customHeight="false" outlineLevel="0" collapsed="false">
      <c r="A262" s="14" t="s">
        <v>199</v>
      </c>
      <c r="B262" s="14" t="s">
        <v>49</v>
      </c>
      <c r="C262" s="14" t="s">
        <v>200</v>
      </c>
      <c r="D262" s="14" t="s">
        <v>319</v>
      </c>
      <c r="E262" s="15"/>
      <c r="F262" s="14" t="s">
        <v>320</v>
      </c>
      <c r="G262" s="8" t="n">
        <v>10</v>
      </c>
      <c r="H262" s="14" t="s">
        <v>734</v>
      </c>
      <c r="I262" s="14" t="s">
        <v>124</v>
      </c>
      <c r="J262" s="14" t="s">
        <v>223</v>
      </c>
      <c r="K262" s="8" t="n">
        <v>3</v>
      </c>
      <c r="L262" s="8" t="n">
        <v>72</v>
      </c>
      <c r="M262" s="8" t="n">
        <v>3</v>
      </c>
      <c r="N262" s="8" t="n">
        <v>42</v>
      </c>
      <c r="O262" s="8" t="n">
        <v>7</v>
      </c>
      <c r="P262" s="9" t="n">
        <v>14.6240385715768</v>
      </c>
      <c r="Q262" s="10" t="n">
        <v>0.0683805636251255</v>
      </c>
      <c r="R262" s="9" t="n">
        <v>12</v>
      </c>
      <c r="S262" s="12" t="n">
        <f aca="false">IF(AND(ISNUMBER(R262),R262&gt;1,P262&gt;0),R262/P262-1,"")</f>
        <v>-0.179433236498493</v>
      </c>
      <c r="T262" s="9" t="n">
        <f aca="false">IF(AND(ISNUMBER(P262),P262&gt;0),P262*EXP('Read me'!$B$22),"")</f>
        <v>17.8618410467647</v>
      </c>
    </row>
    <row r="263" customFormat="false" ht="15" hidden="false" customHeight="false" outlineLevel="0" collapsed="false">
      <c r="A263" s="14" t="s">
        <v>199</v>
      </c>
      <c r="B263" s="14" t="s">
        <v>49</v>
      </c>
      <c r="C263" s="14" t="s">
        <v>200</v>
      </c>
      <c r="D263" s="14" t="s">
        <v>319</v>
      </c>
      <c r="E263" s="15"/>
      <c r="F263" s="14" t="s">
        <v>320</v>
      </c>
      <c r="G263" s="8" t="n">
        <v>10</v>
      </c>
      <c r="H263" s="14" t="s">
        <v>735</v>
      </c>
      <c r="I263" s="14" t="s">
        <v>413</v>
      </c>
      <c r="J263" s="14" t="s">
        <v>334</v>
      </c>
      <c r="K263" s="8" t="n">
        <v>4</v>
      </c>
      <c r="L263" s="8" t="n">
        <v>72</v>
      </c>
      <c r="M263" s="8" t="n">
        <v>6</v>
      </c>
      <c r="N263" s="8" t="n">
        <v>45</v>
      </c>
      <c r="O263" s="8" t="n">
        <v>8</v>
      </c>
      <c r="P263" s="9" t="n">
        <v>17.1726424837209</v>
      </c>
      <c r="Q263" s="10" t="n">
        <v>0.0582321562303512</v>
      </c>
      <c r="R263" s="9" t="n">
        <v>11</v>
      </c>
      <c r="S263" s="12" t="n">
        <f aca="false">IF(AND(ISNUMBER(R263),R263&gt;1,P263&gt;0),R263/P263-1,"")</f>
        <v>-0.359446281466136</v>
      </c>
      <c r="T263" s="9" t="n">
        <f aca="false">IF(AND(ISNUMBER(P263),P263&gt;0),P263*EXP('Read me'!$B$22),"")</f>
        <v>20.9747128945152</v>
      </c>
    </row>
    <row r="264" customFormat="false" ht="15" hidden="false" customHeight="false" outlineLevel="0" collapsed="false">
      <c r="A264" s="14" t="s">
        <v>199</v>
      </c>
      <c r="B264" s="14" t="s">
        <v>49</v>
      </c>
      <c r="C264" s="14" t="s">
        <v>200</v>
      </c>
      <c r="D264" s="14" t="s">
        <v>319</v>
      </c>
      <c r="E264" s="15"/>
      <c r="F264" s="14" t="s">
        <v>320</v>
      </c>
      <c r="G264" s="8" t="n">
        <v>10</v>
      </c>
      <c r="H264" s="14" t="s">
        <v>736</v>
      </c>
      <c r="I264" s="14" t="s">
        <v>324</v>
      </c>
      <c r="J264" s="14" t="s">
        <v>464</v>
      </c>
      <c r="K264" s="8" t="n">
        <v>8</v>
      </c>
      <c r="L264" s="8" t="n">
        <v>65</v>
      </c>
      <c r="M264" s="8" t="n">
        <v>3</v>
      </c>
      <c r="N264" s="8" t="n">
        <v>18</v>
      </c>
      <c r="O264" s="8" t="n">
        <v>9</v>
      </c>
      <c r="P264" s="9" t="n">
        <v>46.9130535190141</v>
      </c>
      <c r="Q264" s="10" t="n">
        <v>0.0213160288019771</v>
      </c>
      <c r="R264" s="9" t="n">
        <v>17</v>
      </c>
      <c r="S264" s="12" t="n">
        <f aca="false">IF(AND(ISNUMBER(R264),R264&gt;1,P264&gt;0),R264/P264-1,"")</f>
        <v>-0.637627510366388</v>
      </c>
      <c r="T264" s="9" t="n">
        <f aca="false">IF(AND(ISNUMBER(P264),P264&gt;0),P264*EXP('Read me'!$B$22),"")</f>
        <v>57.2997329618394</v>
      </c>
    </row>
    <row r="265" customFormat="false" ht="15" hidden="false" customHeight="false" outlineLevel="0" collapsed="false">
      <c r="A265" s="14" t="s">
        <v>199</v>
      </c>
      <c r="B265" s="14" t="s">
        <v>49</v>
      </c>
      <c r="C265" s="14" t="s">
        <v>200</v>
      </c>
      <c r="D265" s="14" t="s">
        <v>319</v>
      </c>
      <c r="E265" s="15"/>
      <c r="F265" s="14" t="s">
        <v>320</v>
      </c>
      <c r="G265" s="8" t="n">
        <v>10</v>
      </c>
      <c r="H265" s="14" t="s">
        <v>737</v>
      </c>
      <c r="I265" s="14" t="s">
        <v>738</v>
      </c>
      <c r="J265" s="14" t="s">
        <v>546</v>
      </c>
      <c r="K265" s="8" t="n">
        <v>2</v>
      </c>
      <c r="L265" s="8" t="n">
        <v>67</v>
      </c>
      <c r="M265" s="8" t="n">
        <v>3</v>
      </c>
      <c r="N265" s="8" t="n">
        <v>42</v>
      </c>
      <c r="O265" s="8" t="n">
        <v>10</v>
      </c>
      <c r="P265" s="9" t="n">
        <v>120.239195756891</v>
      </c>
      <c r="Q265" s="10" t="n">
        <v>0.0083167555613219</v>
      </c>
      <c r="R265" s="9" t="n">
        <v>41</v>
      </c>
      <c r="S265" s="12" t="n">
        <f aca="false">IF(AND(ISNUMBER(R265),R265&gt;1,P265&gt;0),R265/P265-1,"")</f>
        <v>-0.6590130219858</v>
      </c>
      <c r="T265" s="9" t="n">
        <f aca="false">IF(AND(ISNUMBER(P265),P265&gt;0),P265*EXP('Read me'!$B$22),"")</f>
        <v>146.860485336427</v>
      </c>
    </row>
    <row r="266" customFormat="false" ht="15" hidden="false" customHeight="false" outlineLevel="0" collapsed="false">
      <c r="A266" s="14" t="s">
        <v>205</v>
      </c>
      <c r="B266" s="14" t="s">
        <v>56</v>
      </c>
      <c r="C266" s="14" t="s">
        <v>206</v>
      </c>
      <c r="D266" s="14" t="s">
        <v>463</v>
      </c>
      <c r="E266" s="15" t="n">
        <v>15</v>
      </c>
      <c r="F266" s="14" t="s">
        <v>349</v>
      </c>
      <c r="G266" s="8" t="n">
        <v>7</v>
      </c>
      <c r="H266" s="14" t="s">
        <v>207</v>
      </c>
      <c r="I266" s="14" t="s">
        <v>130</v>
      </c>
      <c r="J266" s="14" t="s">
        <v>208</v>
      </c>
      <c r="K266" s="8" t="n">
        <v>1</v>
      </c>
      <c r="L266" s="8" t="n">
        <v>64</v>
      </c>
      <c r="M266" s="8" t="n">
        <v>4</v>
      </c>
      <c r="N266" s="8" t="n">
        <v>30</v>
      </c>
      <c r="O266" s="8" t="n">
        <v>1</v>
      </c>
      <c r="P266" s="9" t="n">
        <v>3.44831994016035</v>
      </c>
      <c r="Q266" s="10" t="n">
        <v>0.289996293079899</v>
      </c>
      <c r="R266" s="9" t="n">
        <v>3.5</v>
      </c>
      <c r="S266" s="12" t="n">
        <f aca="false">IF(AND(ISNUMBER(R266),R266&gt;1,P266&gt;0),R266/P266-1,"")</f>
        <v>0.0149870257796467</v>
      </c>
      <c r="T266" s="9" t="n">
        <f aca="false">IF(AND(ISNUMBER(P266),P266&gt;0),P266*EXP('Read me'!$B$22),"")</f>
        <v>4.21178748593056</v>
      </c>
    </row>
    <row r="267" customFormat="false" ht="15" hidden="false" customHeight="false" outlineLevel="0" collapsed="false">
      <c r="A267" s="14" t="s">
        <v>205</v>
      </c>
      <c r="B267" s="14" t="s">
        <v>56</v>
      </c>
      <c r="C267" s="14" t="s">
        <v>206</v>
      </c>
      <c r="D267" s="14" t="s">
        <v>463</v>
      </c>
      <c r="E267" s="15" t="n">
        <v>15</v>
      </c>
      <c r="F267" s="14" t="s">
        <v>349</v>
      </c>
      <c r="G267" s="8" t="n">
        <v>7</v>
      </c>
      <c r="H267" s="14" t="s">
        <v>209</v>
      </c>
      <c r="I267" s="14" t="s">
        <v>350</v>
      </c>
      <c r="J267" s="14" t="s">
        <v>351</v>
      </c>
      <c r="K267" s="8" t="n">
        <v>2</v>
      </c>
      <c r="L267" s="8" t="n">
        <v>61</v>
      </c>
      <c r="M267" s="8" t="n">
        <v>4</v>
      </c>
      <c r="N267" s="8" t="n">
        <v>11</v>
      </c>
      <c r="O267" s="8" t="n">
        <v>2</v>
      </c>
      <c r="P267" s="9" t="n">
        <v>3.87309166458086</v>
      </c>
      <c r="Q267" s="10" t="n">
        <v>0.25819166872422</v>
      </c>
      <c r="R267" s="9" t="n">
        <v>3</v>
      </c>
      <c r="S267" s="12" t="n">
        <f aca="false">IF(AND(ISNUMBER(R267),R267&gt;1,P267&gt;0),R267/P267-1,"")</f>
        <v>-0.22542499382734</v>
      </c>
      <c r="T267" s="9" t="n">
        <f aca="false">IF(AND(ISNUMBER(P267),P267&gt;0),P267*EXP('Read me'!$B$22),"")</f>
        <v>4.73060484172623</v>
      </c>
    </row>
    <row r="268" customFormat="false" ht="15" hidden="false" customHeight="false" outlineLevel="0" collapsed="false">
      <c r="A268" s="14" t="s">
        <v>205</v>
      </c>
      <c r="B268" s="14" t="s">
        <v>56</v>
      </c>
      <c r="C268" s="14" t="s">
        <v>206</v>
      </c>
      <c r="D268" s="14" t="s">
        <v>463</v>
      </c>
      <c r="E268" s="15" t="n">
        <v>15</v>
      </c>
      <c r="F268" s="14" t="s">
        <v>349</v>
      </c>
      <c r="G268" s="8" t="n">
        <v>7</v>
      </c>
      <c r="H268" s="14" t="s">
        <v>739</v>
      </c>
      <c r="I268" s="14" t="s">
        <v>613</v>
      </c>
      <c r="J268" s="14" t="s">
        <v>351</v>
      </c>
      <c r="K268" s="8" t="n">
        <v>6</v>
      </c>
      <c r="L268" s="8" t="n">
        <v>51</v>
      </c>
      <c r="M268" s="8" t="n">
        <v>8</v>
      </c>
      <c r="N268" s="8" t="n">
        <v>27</v>
      </c>
      <c r="O268" s="8" t="n">
        <v>3</v>
      </c>
      <c r="P268" s="9" t="n">
        <v>5.44542560434064</v>
      </c>
      <c r="Q268" s="10" t="n">
        <v>0.183640374997114</v>
      </c>
      <c r="R268" s="9" t="n">
        <v>5</v>
      </c>
      <c r="S268" s="12" t="n">
        <f aca="false">IF(AND(ISNUMBER(R268),R268&gt;1,P268&gt;0),R268/P268-1,"")</f>
        <v>-0.0817981250144308</v>
      </c>
      <c r="T268" s="9" t="n">
        <f aca="false">IF(AND(ISNUMBER(P268),P268&gt;0),P268*EXP('Read me'!$B$22),"")</f>
        <v>6.65105785249767</v>
      </c>
    </row>
    <row r="269" customFormat="false" ht="15" hidden="false" customHeight="false" outlineLevel="0" collapsed="false">
      <c r="A269" s="14" t="s">
        <v>205</v>
      </c>
      <c r="B269" s="14" t="s">
        <v>56</v>
      </c>
      <c r="C269" s="14" t="s">
        <v>206</v>
      </c>
      <c r="D269" s="14" t="s">
        <v>463</v>
      </c>
      <c r="E269" s="15" t="n">
        <v>15</v>
      </c>
      <c r="F269" s="14" t="s">
        <v>349</v>
      </c>
      <c r="G269" s="8" t="n">
        <v>7</v>
      </c>
      <c r="H269" s="14" t="s">
        <v>740</v>
      </c>
      <c r="I269" s="14" t="s">
        <v>84</v>
      </c>
      <c r="J269" s="14" t="s">
        <v>741</v>
      </c>
      <c r="K269" s="8" t="n">
        <v>7</v>
      </c>
      <c r="L269" s="8" t="n">
        <v>53</v>
      </c>
      <c r="M269" s="8" t="n">
        <v>9</v>
      </c>
      <c r="N269" s="8" t="n">
        <v>11</v>
      </c>
      <c r="O269" s="8" t="n">
        <v>4</v>
      </c>
      <c r="P269" s="9" t="n">
        <v>7.15980845067104</v>
      </c>
      <c r="Q269" s="10" t="n">
        <v>0.139668540979791</v>
      </c>
      <c r="R269" s="9" t="n">
        <v>7</v>
      </c>
      <c r="S269" s="12" t="n">
        <f aca="false">IF(AND(ISNUMBER(R269),R269&gt;1,P269&gt;0),R269/P269-1,"")</f>
        <v>-0.0223202131414653</v>
      </c>
      <c r="T269" s="9" t="n">
        <f aca="false">IF(AND(ISNUMBER(P269),P269&gt;0),P269*EXP('Read me'!$B$22),"")</f>
        <v>8.7450097895481</v>
      </c>
    </row>
    <row r="270" customFormat="false" ht="15" hidden="false" customHeight="false" outlineLevel="0" collapsed="false">
      <c r="A270" s="14" t="s">
        <v>205</v>
      </c>
      <c r="B270" s="14" t="s">
        <v>56</v>
      </c>
      <c r="C270" s="14" t="s">
        <v>206</v>
      </c>
      <c r="D270" s="14" t="s">
        <v>463</v>
      </c>
      <c r="E270" s="15" t="n">
        <v>15</v>
      </c>
      <c r="F270" s="14" t="s">
        <v>349</v>
      </c>
      <c r="G270" s="8" t="n">
        <v>7</v>
      </c>
      <c r="H270" s="14" t="s">
        <v>742</v>
      </c>
      <c r="I270" s="14" t="s">
        <v>743</v>
      </c>
      <c r="J270" s="14" t="s">
        <v>744</v>
      </c>
      <c r="K270" s="8" t="n">
        <v>3</v>
      </c>
      <c r="L270" s="8" t="n">
        <v>65</v>
      </c>
      <c r="M270" s="8" t="n">
        <v>3</v>
      </c>
      <c r="N270" s="8" t="n">
        <v>50</v>
      </c>
      <c r="O270" s="8" t="n">
        <v>5</v>
      </c>
      <c r="P270" s="9" t="n">
        <v>18.245516849369</v>
      </c>
      <c r="Q270" s="10" t="n">
        <v>0.0548079842437887</v>
      </c>
      <c r="R270" s="9" t="n">
        <v>13</v>
      </c>
      <c r="S270" s="12" t="n">
        <f aca="false">IF(AND(ISNUMBER(R270),R270&gt;1,P270&gt;0),R270/P270-1,"")</f>
        <v>-0.287496204830746</v>
      </c>
      <c r="T270" s="9" t="n">
        <f aca="false">IF(AND(ISNUMBER(P270),P270&gt;0),P270*EXP('Read me'!$B$22),"")</f>
        <v>22.2851246038772</v>
      </c>
    </row>
    <row r="271" customFormat="false" ht="15" hidden="false" customHeight="false" outlineLevel="0" collapsed="false">
      <c r="A271" s="14" t="s">
        <v>205</v>
      </c>
      <c r="B271" s="14" t="s">
        <v>56</v>
      </c>
      <c r="C271" s="14" t="s">
        <v>206</v>
      </c>
      <c r="D271" s="14" t="s">
        <v>463</v>
      </c>
      <c r="E271" s="15" t="n">
        <v>15</v>
      </c>
      <c r="F271" s="14" t="s">
        <v>349</v>
      </c>
      <c r="G271" s="8" t="n">
        <v>7</v>
      </c>
      <c r="H271" s="14" t="s">
        <v>745</v>
      </c>
      <c r="I271" s="14" t="s">
        <v>555</v>
      </c>
      <c r="J271" s="14" t="s">
        <v>746</v>
      </c>
      <c r="K271" s="8" t="n">
        <v>5</v>
      </c>
      <c r="L271" s="8" t="n">
        <v>57</v>
      </c>
      <c r="M271" s="8" t="n">
        <v>3</v>
      </c>
      <c r="N271" s="8" t="n">
        <v>57</v>
      </c>
      <c r="O271" s="8" t="n">
        <v>6</v>
      </c>
      <c r="P271" s="9" t="n">
        <v>18.4457395976599</v>
      </c>
      <c r="Q271" s="10" t="n">
        <v>0.0542130606748271</v>
      </c>
      <c r="R271" s="9" t="n">
        <v>15</v>
      </c>
      <c r="S271" s="12" t="n">
        <f aca="false">IF(AND(ISNUMBER(R271),R271&gt;1,P271&gt;0),R271/P271-1,"")</f>
        <v>-0.186804089877592</v>
      </c>
      <c r="T271" s="9" t="n">
        <f aca="false">IF(AND(ISNUMBER(P271),P271&gt;0),P271*EXP('Read me'!$B$22),"")</f>
        <v>22.5296772208861</v>
      </c>
    </row>
    <row r="272" customFormat="false" ht="15" hidden="false" customHeight="false" outlineLevel="0" collapsed="false">
      <c r="A272" s="14" t="s">
        <v>205</v>
      </c>
      <c r="B272" s="14" t="s">
        <v>56</v>
      </c>
      <c r="C272" s="14" t="s">
        <v>206</v>
      </c>
      <c r="D272" s="14" t="s">
        <v>463</v>
      </c>
      <c r="E272" s="15" t="n">
        <v>15</v>
      </c>
      <c r="F272" s="14" t="s">
        <v>349</v>
      </c>
      <c r="G272" s="8" t="n">
        <v>7</v>
      </c>
      <c r="H272" s="14" t="s">
        <v>747</v>
      </c>
      <c r="I272" s="14" t="s">
        <v>553</v>
      </c>
      <c r="J272" s="14" t="s">
        <v>748</v>
      </c>
      <c r="K272" s="8" t="n">
        <v>4</v>
      </c>
      <c r="L272" s="8" t="n">
        <v>45</v>
      </c>
      <c r="M272" s="8" t="n">
        <v>6</v>
      </c>
      <c r="N272" s="8" t="n">
        <v>33</v>
      </c>
      <c r="O272" s="8" t="n">
        <v>7</v>
      </c>
      <c r="P272" s="9" t="n">
        <v>51.3292286332066</v>
      </c>
      <c r="Q272" s="10" t="n">
        <v>0.0194820773003603</v>
      </c>
      <c r="R272" s="9" t="n">
        <v>51</v>
      </c>
      <c r="S272" s="12" t="n">
        <f aca="false">IF(AND(ISNUMBER(R272),R272&gt;1,P272&gt;0),R272/P272-1,"")</f>
        <v>-0.00641405768162362</v>
      </c>
      <c r="T272" s="9" t="n">
        <f aca="false">IF(AND(ISNUMBER(P272),P272&gt;0),P272*EXP('Read me'!$B$22),"")</f>
        <v>62.6936614268326</v>
      </c>
    </row>
    <row r="273" customFormat="false" ht="15" hidden="false" customHeight="false" outlineLevel="0" collapsed="false">
      <c r="A273" s="14" t="s">
        <v>210</v>
      </c>
      <c r="B273" s="14" t="s">
        <v>42</v>
      </c>
      <c r="C273" s="14" t="s">
        <v>211</v>
      </c>
      <c r="D273" s="14"/>
      <c r="E273" s="15" t="n">
        <v>8</v>
      </c>
      <c r="F273" s="14" t="s">
        <v>286</v>
      </c>
      <c r="G273" s="8" t="n">
        <v>18</v>
      </c>
      <c r="H273" s="14" t="s">
        <v>212</v>
      </c>
      <c r="I273" s="14" t="s">
        <v>142</v>
      </c>
      <c r="J273" s="14" t="s">
        <v>213</v>
      </c>
      <c r="K273" s="8" t="n">
        <v>1</v>
      </c>
      <c r="L273" s="8" t="n">
        <v>56</v>
      </c>
      <c r="M273" s="8" t="n">
        <v>4</v>
      </c>
      <c r="N273" s="8" t="n">
        <v>13</v>
      </c>
      <c r="O273" s="8" t="n">
        <v>1</v>
      </c>
      <c r="P273" s="9" t="n">
        <v>8.3424453437415</v>
      </c>
      <c r="Q273" s="10" t="n">
        <v>0.119868930367066</v>
      </c>
      <c r="R273" s="9" t="n">
        <v>7</v>
      </c>
      <c r="S273" s="12" t="n">
        <f aca="false">IF(AND(ISNUMBER(R273),R273&gt;1,P273&gt;0),R273/P273-1,"")</f>
        <v>-0.160917487430541</v>
      </c>
      <c r="T273" s="9" t="n">
        <f aca="false">IF(AND(ISNUMBER(P273),P273&gt;0),P273*EXP('Read me'!$B$22),"")</f>
        <v>10.1894857526463</v>
      </c>
    </row>
    <row r="274" customFormat="false" ht="15" hidden="false" customHeight="false" outlineLevel="0" collapsed="false">
      <c r="A274" s="14" t="s">
        <v>210</v>
      </c>
      <c r="B274" s="14" t="s">
        <v>42</v>
      </c>
      <c r="C274" s="14" t="s">
        <v>211</v>
      </c>
      <c r="D274" s="14"/>
      <c r="E274" s="15" t="n">
        <v>8</v>
      </c>
      <c r="F274" s="14" t="s">
        <v>286</v>
      </c>
      <c r="G274" s="8" t="n">
        <v>18</v>
      </c>
      <c r="H274" s="14" t="s">
        <v>214</v>
      </c>
      <c r="I274" s="14" t="s">
        <v>511</v>
      </c>
      <c r="J274" s="14" t="s">
        <v>581</v>
      </c>
      <c r="K274" s="8" t="n">
        <v>21</v>
      </c>
      <c r="L274" s="8" t="n">
        <v>45</v>
      </c>
      <c r="M274" s="8" t="n">
        <v>4</v>
      </c>
      <c r="N274" s="8" t="n">
        <v>19</v>
      </c>
      <c r="O274" s="8" t="n">
        <v>2</v>
      </c>
      <c r="P274" s="9" t="n">
        <v>9.36249364642243</v>
      </c>
      <c r="Q274" s="10" t="n">
        <v>0.106809151254497</v>
      </c>
      <c r="R274" s="9" t="n">
        <v>12</v>
      </c>
      <c r="S274" s="12" t="n">
        <f aca="false">IF(AND(ISNUMBER(R274),R274&gt;1,P274&gt;0),R274/P274-1,"")</f>
        <v>0.281709815053964</v>
      </c>
      <c r="T274" s="9" t="n">
        <f aca="false">IF(AND(ISNUMBER(P274),P274&gt;0),P274*EXP('Read me'!$B$22),"")</f>
        <v>11.4353755629974</v>
      </c>
    </row>
    <row r="275" customFormat="false" ht="15" hidden="false" customHeight="false" outlineLevel="0" collapsed="false">
      <c r="A275" s="14" t="s">
        <v>210</v>
      </c>
      <c r="B275" s="14" t="s">
        <v>42</v>
      </c>
      <c r="C275" s="14" t="s">
        <v>211</v>
      </c>
      <c r="D275" s="14"/>
      <c r="E275" s="15" t="n">
        <v>8</v>
      </c>
      <c r="F275" s="14" t="s">
        <v>286</v>
      </c>
      <c r="G275" s="8" t="n">
        <v>18</v>
      </c>
      <c r="H275" s="14" t="s">
        <v>749</v>
      </c>
      <c r="I275" s="14" t="s">
        <v>450</v>
      </c>
      <c r="J275" s="14" t="s">
        <v>750</v>
      </c>
      <c r="K275" s="8" t="n">
        <v>11</v>
      </c>
      <c r="L275" s="8" t="n">
        <v>55</v>
      </c>
      <c r="M275" s="8" t="n">
        <v>3</v>
      </c>
      <c r="N275" s="8" t="n">
        <v>13</v>
      </c>
      <c r="O275" s="8" t="n">
        <v>3</v>
      </c>
      <c r="P275" s="9" t="n">
        <v>11.5847101817699</v>
      </c>
      <c r="Q275" s="10" t="n">
        <v>0.0863206747781777</v>
      </c>
      <c r="R275" s="9" t="n">
        <v>8</v>
      </c>
      <c r="S275" s="12" t="n">
        <f aca="false">IF(AND(ISNUMBER(R275),R275&gt;1,P275&gt;0),R275/P275-1,"")</f>
        <v>-0.309434601774578</v>
      </c>
      <c r="T275" s="9" t="n">
        <f aca="false">IF(AND(ISNUMBER(P275),P275&gt;0),P275*EXP('Read me'!$B$22),"")</f>
        <v>14.1495969684999</v>
      </c>
    </row>
    <row r="276" customFormat="false" ht="15" hidden="false" customHeight="false" outlineLevel="0" collapsed="false">
      <c r="A276" s="14" t="s">
        <v>210</v>
      </c>
      <c r="B276" s="14" t="s">
        <v>42</v>
      </c>
      <c r="C276" s="14" t="s">
        <v>211</v>
      </c>
      <c r="D276" s="14"/>
      <c r="E276" s="15" t="n">
        <v>8</v>
      </c>
      <c r="F276" s="14" t="s">
        <v>286</v>
      </c>
      <c r="G276" s="8" t="n">
        <v>18</v>
      </c>
      <c r="H276" s="14" t="s">
        <v>751</v>
      </c>
      <c r="I276" s="14" t="s">
        <v>293</v>
      </c>
      <c r="J276" s="14" t="s">
        <v>752</v>
      </c>
      <c r="K276" s="8" t="n">
        <v>17</v>
      </c>
      <c r="L276" s="8" t="n">
        <v>44</v>
      </c>
      <c r="M276" s="8" t="n">
        <v>5</v>
      </c>
      <c r="N276" s="8" t="n">
        <v>19</v>
      </c>
      <c r="O276" s="8" t="n">
        <v>4</v>
      </c>
      <c r="P276" s="9" t="n">
        <v>11.6227769799536</v>
      </c>
      <c r="Q276" s="10" t="n">
        <v>0.0860379582026528</v>
      </c>
      <c r="R276" s="9" t="n">
        <v>5.5</v>
      </c>
      <c r="S276" s="12" t="n">
        <f aca="false">IF(AND(ISNUMBER(R276),R276&gt;1,P276&gt;0),R276/P276-1,"")</f>
        <v>-0.526791229885409</v>
      </c>
      <c r="T276" s="9" t="n">
        <f aca="false">IF(AND(ISNUMBER(P276),P276&gt;0),P276*EXP('Read me'!$B$22),"")</f>
        <v>14.1960918607958</v>
      </c>
    </row>
    <row r="277" customFormat="false" ht="15" hidden="false" customHeight="false" outlineLevel="0" collapsed="false">
      <c r="A277" s="14" t="s">
        <v>210</v>
      </c>
      <c r="B277" s="14" t="s">
        <v>42</v>
      </c>
      <c r="C277" s="14" t="s">
        <v>211</v>
      </c>
      <c r="D277" s="14"/>
      <c r="E277" s="15" t="n">
        <v>8</v>
      </c>
      <c r="F277" s="14" t="s">
        <v>286</v>
      </c>
      <c r="G277" s="8" t="n">
        <v>18</v>
      </c>
      <c r="H277" s="14" t="s">
        <v>753</v>
      </c>
      <c r="I277" s="14" t="s">
        <v>754</v>
      </c>
      <c r="J277" s="14" t="s">
        <v>755</v>
      </c>
      <c r="K277" s="8" t="n">
        <v>4</v>
      </c>
      <c r="L277" s="8" t="n">
        <v>46</v>
      </c>
      <c r="M277" s="8" t="n">
        <v>4</v>
      </c>
      <c r="N277" s="8" t="n">
        <v>20</v>
      </c>
      <c r="O277" s="8" t="n">
        <v>5</v>
      </c>
      <c r="P277" s="9" t="n">
        <v>11.8880010670014</v>
      </c>
      <c r="Q277" s="10" t="n">
        <v>0.0841184312117692</v>
      </c>
      <c r="R277" s="9" t="n">
        <v>9</v>
      </c>
      <c r="S277" s="12" t="n">
        <f aca="false">IF(AND(ISNUMBER(R277),R277&gt;1,P277&gt;0),R277/P277-1,"")</f>
        <v>-0.242934119094076</v>
      </c>
      <c r="T277" s="9" t="n">
        <f aca="false">IF(AND(ISNUMBER(P277),P277&gt;0),P277*EXP('Read me'!$B$22),"")</f>
        <v>14.5200372922466</v>
      </c>
    </row>
    <row r="278" customFormat="false" ht="15" hidden="false" customHeight="false" outlineLevel="0" collapsed="false">
      <c r="A278" s="14" t="s">
        <v>210</v>
      </c>
      <c r="B278" s="14" t="s">
        <v>42</v>
      </c>
      <c r="C278" s="14" t="s">
        <v>211</v>
      </c>
      <c r="D278" s="14"/>
      <c r="E278" s="15" t="n">
        <v>8</v>
      </c>
      <c r="F278" s="14" t="s">
        <v>286</v>
      </c>
      <c r="G278" s="8" t="n">
        <v>18</v>
      </c>
      <c r="H278" s="14" t="s">
        <v>756</v>
      </c>
      <c r="I278" s="14" t="s">
        <v>391</v>
      </c>
      <c r="J278" s="14" t="s">
        <v>291</v>
      </c>
      <c r="K278" s="8" t="n">
        <v>19</v>
      </c>
      <c r="L278" s="8" t="n">
        <v>58</v>
      </c>
      <c r="M278" s="8" t="n">
        <v>3</v>
      </c>
      <c r="N278" s="8" t="n">
        <v>7</v>
      </c>
      <c r="O278" s="8" t="n">
        <v>6</v>
      </c>
      <c r="P278" s="9" t="n">
        <v>11.9937172476054</v>
      </c>
      <c r="Q278" s="10" t="n">
        <v>0.0833769864134204</v>
      </c>
      <c r="R278" s="9" t="n">
        <v>8.5</v>
      </c>
      <c r="S278" s="12" t="n">
        <f aca="false">IF(AND(ISNUMBER(R278),R278&gt;1,P278&gt;0),R278/P278-1,"")</f>
        <v>-0.291295615485926</v>
      </c>
      <c r="T278" s="9" t="n">
        <f aca="false">IF(AND(ISNUMBER(P278),P278&gt;0),P278*EXP('Read me'!$B$22),"")</f>
        <v>14.6491593268184</v>
      </c>
    </row>
    <row r="279" customFormat="false" ht="15" hidden="false" customHeight="false" outlineLevel="0" collapsed="false">
      <c r="A279" s="14" t="s">
        <v>210</v>
      </c>
      <c r="B279" s="14" t="s">
        <v>42</v>
      </c>
      <c r="C279" s="14" t="s">
        <v>211</v>
      </c>
      <c r="D279" s="14"/>
      <c r="E279" s="15" t="n">
        <v>8</v>
      </c>
      <c r="F279" s="14" t="s">
        <v>286</v>
      </c>
      <c r="G279" s="8" t="n">
        <v>18</v>
      </c>
      <c r="H279" s="14" t="s">
        <v>757</v>
      </c>
      <c r="I279" s="14" t="s">
        <v>758</v>
      </c>
      <c r="J279" s="14" t="s">
        <v>759</v>
      </c>
      <c r="K279" s="8" t="n">
        <v>14</v>
      </c>
      <c r="L279" s="8" t="n">
        <v>40</v>
      </c>
      <c r="M279" s="8" t="n">
        <v>3</v>
      </c>
      <c r="N279" s="8" t="n">
        <v>13</v>
      </c>
      <c r="O279" s="8" t="n">
        <v>7</v>
      </c>
      <c r="P279" s="9" t="n">
        <v>13.8136436075734</v>
      </c>
      <c r="Q279" s="10" t="n">
        <v>0.0723921963247802</v>
      </c>
      <c r="R279" s="9" t="n">
        <v>8.5</v>
      </c>
      <c r="S279" s="12" t="n">
        <f aca="false">IF(AND(ISNUMBER(R279),R279&gt;1,P279&gt;0),R279/P279-1,"")</f>
        <v>-0.384666331239368</v>
      </c>
      <c r="T279" s="9" t="n">
        <f aca="false">IF(AND(ISNUMBER(P279),P279&gt;0),P279*EXP('Read me'!$B$22),"")</f>
        <v>16.8720224025318</v>
      </c>
    </row>
    <row r="280" customFormat="false" ht="15" hidden="false" customHeight="false" outlineLevel="0" collapsed="false">
      <c r="A280" s="14" t="s">
        <v>210</v>
      </c>
      <c r="B280" s="14" t="s">
        <v>42</v>
      </c>
      <c r="C280" s="14" t="s">
        <v>211</v>
      </c>
      <c r="D280" s="14"/>
      <c r="E280" s="15" t="n">
        <v>8</v>
      </c>
      <c r="F280" s="14" t="s">
        <v>286</v>
      </c>
      <c r="G280" s="8" t="n">
        <v>18</v>
      </c>
      <c r="H280" s="14" t="s">
        <v>760</v>
      </c>
      <c r="I280" s="14" t="s">
        <v>302</v>
      </c>
      <c r="J280" s="14" t="s">
        <v>303</v>
      </c>
      <c r="K280" s="8" t="n">
        <v>5</v>
      </c>
      <c r="L280" s="8" t="n">
        <v>41</v>
      </c>
      <c r="M280" s="8" t="n">
        <v>7</v>
      </c>
      <c r="N280" s="8" t="n">
        <v>14</v>
      </c>
      <c r="O280" s="8" t="n">
        <v>8</v>
      </c>
      <c r="P280" s="9" t="n">
        <v>16.760088078026</v>
      </c>
      <c r="Q280" s="10" t="n">
        <v>0.0596655575641688</v>
      </c>
      <c r="R280" s="9" t="n">
        <v>8.5</v>
      </c>
      <c r="S280" s="12" t="n">
        <f aca="false">IF(AND(ISNUMBER(R280),R280&gt;1,P280&gt;0),R280/P280-1,"")</f>
        <v>-0.492842760704565</v>
      </c>
      <c r="T280" s="9" t="n">
        <f aca="false">IF(AND(ISNUMBER(P280),P280&gt;0),P280*EXP('Read me'!$B$22),"")</f>
        <v>20.4708178055083</v>
      </c>
    </row>
    <row r="281" customFormat="false" ht="15" hidden="false" customHeight="false" outlineLevel="0" collapsed="false">
      <c r="A281" s="14" t="s">
        <v>210</v>
      </c>
      <c r="B281" s="14" t="s">
        <v>42</v>
      </c>
      <c r="C281" s="14" t="s">
        <v>211</v>
      </c>
      <c r="D281" s="14"/>
      <c r="E281" s="15" t="n">
        <v>8</v>
      </c>
      <c r="F281" s="14" t="s">
        <v>286</v>
      </c>
      <c r="G281" s="8" t="n">
        <v>18</v>
      </c>
      <c r="H281" s="14" t="s">
        <v>761</v>
      </c>
      <c r="I281" s="14" t="s">
        <v>72</v>
      </c>
      <c r="J281" s="14" t="s">
        <v>306</v>
      </c>
      <c r="K281" s="8" t="n">
        <v>12</v>
      </c>
      <c r="L281" s="8" t="n">
        <v>51</v>
      </c>
      <c r="M281" s="8" t="n">
        <v>3</v>
      </c>
      <c r="N281" s="8" t="n">
        <v>160</v>
      </c>
      <c r="O281" s="8" t="n">
        <v>9</v>
      </c>
      <c r="P281" s="9" t="n">
        <v>17.3246558759044</v>
      </c>
      <c r="Q281" s="10" t="n">
        <v>0.0577212042284097</v>
      </c>
      <c r="R281" s="9" t="n">
        <v>13</v>
      </c>
      <c r="S281" s="12" t="n">
        <f aca="false">IF(AND(ISNUMBER(R281),R281&gt;1,P281&gt;0),R281/P281-1,"")</f>
        <v>-0.249624345030673</v>
      </c>
      <c r="T281" s="9" t="n">
        <f aca="false">IF(AND(ISNUMBER(P281),P281&gt;0),P281*EXP('Read me'!$B$22),"")</f>
        <v>21.1603824710055</v>
      </c>
    </row>
    <row r="282" customFormat="false" ht="15" hidden="false" customHeight="false" outlineLevel="0" collapsed="false">
      <c r="A282" s="14" t="s">
        <v>210</v>
      </c>
      <c r="B282" s="14" t="s">
        <v>42</v>
      </c>
      <c r="C282" s="14" t="s">
        <v>211</v>
      </c>
      <c r="D282" s="14"/>
      <c r="E282" s="15" t="n">
        <v>8</v>
      </c>
      <c r="F282" s="14" t="s">
        <v>286</v>
      </c>
      <c r="G282" s="8" t="n">
        <v>18</v>
      </c>
      <c r="H282" s="14" t="s">
        <v>762</v>
      </c>
      <c r="I282" s="14" t="s">
        <v>95</v>
      </c>
      <c r="J282" s="14" t="s">
        <v>515</v>
      </c>
      <c r="K282" s="8" t="n">
        <v>6</v>
      </c>
      <c r="L282" s="8" t="n">
        <v>51</v>
      </c>
      <c r="M282" s="8" t="n">
        <v>3</v>
      </c>
      <c r="N282" s="8" t="n">
        <v>24</v>
      </c>
      <c r="O282" s="8" t="n">
        <v>10</v>
      </c>
      <c r="P282" s="9" t="n">
        <v>20.4667096938617</v>
      </c>
      <c r="Q282" s="10" t="n">
        <v>0.0488598321351046</v>
      </c>
      <c r="R282" s="9" t="n">
        <v>11</v>
      </c>
      <c r="S282" s="12" t="n">
        <f aca="false">IF(AND(ISNUMBER(R282),R282&gt;1,P282&gt;0),R282/P282-1,"")</f>
        <v>-0.462541846513849</v>
      </c>
      <c r="T282" s="9" t="n">
        <f aca="false">IF(AND(ISNUMBER(P282),P282&gt;0),P282*EXP('Read me'!$B$22),"")</f>
        <v>24.9980956705461</v>
      </c>
    </row>
    <row r="283" customFormat="false" ht="15" hidden="false" customHeight="false" outlineLevel="0" collapsed="false">
      <c r="A283" s="14" t="s">
        <v>210</v>
      </c>
      <c r="B283" s="14" t="s">
        <v>42</v>
      </c>
      <c r="C283" s="14" t="s">
        <v>211</v>
      </c>
      <c r="D283" s="14"/>
      <c r="E283" s="15" t="n">
        <v>8</v>
      </c>
      <c r="F283" s="14" t="s">
        <v>286</v>
      </c>
      <c r="G283" s="8" t="n">
        <v>18</v>
      </c>
      <c r="H283" s="14" t="s">
        <v>763</v>
      </c>
      <c r="I283" s="14" t="s">
        <v>287</v>
      </c>
      <c r="J283" s="14" t="s">
        <v>764</v>
      </c>
      <c r="K283" s="8" t="n">
        <v>2</v>
      </c>
      <c r="L283" s="8" t="n">
        <v>51</v>
      </c>
      <c r="M283" s="8" t="n">
        <v>7</v>
      </c>
      <c r="N283" s="8" t="n">
        <v>21</v>
      </c>
      <c r="O283" s="8" t="n">
        <v>11</v>
      </c>
      <c r="P283" s="9" t="n">
        <v>26.1688264144488</v>
      </c>
      <c r="Q283" s="10" t="n">
        <v>0.0382134064463763</v>
      </c>
      <c r="R283" s="9" t="n">
        <v>17</v>
      </c>
      <c r="S283" s="12" t="n">
        <f aca="false">IF(AND(ISNUMBER(R283),R283&gt;1,P283&gt;0),R283/P283-1,"")</f>
        <v>-0.350372090411603</v>
      </c>
      <c r="T283" s="9" t="n">
        <f aca="false">IF(AND(ISNUMBER(P283),P283&gt;0),P283*EXP('Read me'!$B$22),"")</f>
        <v>31.9626767604224</v>
      </c>
    </row>
    <row r="284" customFormat="false" ht="15" hidden="false" customHeight="false" outlineLevel="0" collapsed="false">
      <c r="A284" s="14" t="s">
        <v>210</v>
      </c>
      <c r="B284" s="14" t="s">
        <v>42</v>
      </c>
      <c r="C284" s="14" t="s">
        <v>211</v>
      </c>
      <c r="D284" s="14"/>
      <c r="E284" s="15" t="n">
        <v>8</v>
      </c>
      <c r="F284" s="14" t="s">
        <v>286</v>
      </c>
      <c r="G284" s="8" t="n">
        <v>18</v>
      </c>
      <c r="H284" s="14" t="s">
        <v>765</v>
      </c>
      <c r="I284" s="14" t="s">
        <v>461</v>
      </c>
      <c r="J284" s="14" t="s">
        <v>766</v>
      </c>
      <c r="K284" s="8" t="n">
        <v>7</v>
      </c>
      <c r="L284" s="8" t="n">
        <v>56</v>
      </c>
      <c r="M284" s="8" t="n">
        <v>3</v>
      </c>
      <c r="N284" s="8" t="n">
        <v>10</v>
      </c>
      <c r="O284" s="8" t="n">
        <v>12</v>
      </c>
      <c r="P284" s="9" t="n">
        <v>27.3685056876746</v>
      </c>
      <c r="Q284" s="10" t="n">
        <v>0.0365383485460205</v>
      </c>
      <c r="R284" s="9" t="n">
        <v>41</v>
      </c>
      <c r="S284" s="12" t="n">
        <f aca="false">IF(AND(ISNUMBER(R284),R284&gt;1,P284&gt;0),R284/P284-1,"")</f>
        <v>0.498072290386842</v>
      </c>
      <c r="T284" s="9" t="n">
        <f aca="false">IF(AND(ISNUMBER(P284),P284&gt;0),P284*EXP('Read me'!$B$22),"")</f>
        <v>33.4279683336481</v>
      </c>
    </row>
    <row r="285" customFormat="false" ht="15" hidden="false" customHeight="false" outlineLevel="0" collapsed="false">
      <c r="A285" s="14" t="s">
        <v>210</v>
      </c>
      <c r="B285" s="14" t="s">
        <v>42</v>
      </c>
      <c r="C285" s="14" t="s">
        <v>211</v>
      </c>
      <c r="D285" s="14"/>
      <c r="E285" s="15" t="n">
        <v>8</v>
      </c>
      <c r="F285" s="14" t="s">
        <v>286</v>
      </c>
      <c r="G285" s="8" t="n">
        <v>18</v>
      </c>
      <c r="H285" s="14" t="s">
        <v>767</v>
      </c>
      <c r="I285" s="14" t="s">
        <v>317</v>
      </c>
      <c r="J285" s="14" t="s">
        <v>448</v>
      </c>
      <c r="K285" s="8" t="n">
        <v>9</v>
      </c>
      <c r="L285" s="8" t="n">
        <v>48</v>
      </c>
      <c r="M285" s="8" t="n">
        <v>3</v>
      </c>
      <c r="N285" s="8" t="n">
        <v>31</v>
      </c>
      <c r="O285" s="8" t="n">
        <v>13</v>
      </c>
      <c r="P285" s="9" t="n">
        <v>32.6713853896119</v>
      </c>
      <c r="Q285" s="10" t="n">
        <v>0.0306078235763445</v>
      </c>
      <c r="R285" s="9" t="n">
        <v>12</v>
      </c>
      <c r="S285" s="12" t="n">
        <f aca="false">IF(AND(ISNUMBER(R285),R285&gt;1,P285&gt;0),R285/P285-1,"")</f>
        <v>-0.632706117083866</v>
      </c>
      <c r="T285" s="9" t="n">
        <f aca="false">IF(AND(ISNUMBER(P285),P285&gt;0),P285*EXP('Read me'!$B$22),"")</f>
        <v>39.9049202277858</v>
      </c>
    </row>
    <row r="286" customFormat="false" ht="15" hidden="false" customHeight="false" outlineLevel="0" collapsed="false">
      <c r="A286" s="14" t="s">
        <v>210</v>
      </c>
      <c r="B286" s="14" t="s">
        <v>42</v>
      </c>
      <c r="C286" s="14" t="s">
        <v>211</v>
      </c>
      <c r="D286" s="14"/>
      <c r="E286" s="15" t="n">
        <v>8</v>
      </c>
      <c r="F286" s="14" t="s">
        <v>286</v>
      </c>
      <c r="G286" s="8" t="n">
        <v>18</v>
      </c>
      <c r="H286" s="14" t="s">
        <v>768</v>
      </c>
      <c r="I286" s="14" t="s">
        <v>769</v>
      </c>
      <c r="J286" s="14" t="s">
        <v>770</v>
      </c>
      <c r="K286" s="8" t="n">
        <v>13</v>
      </c>
      <c r="L286" s="8" t="n">
        <v>58</v>
      </c>
      <c r="M286" s="8" t="n">
        <v>6</v>
      </c>
      <c r="N286" s="8" t="n">
        <v>7</v>
      </c>
      <c r="O286" s="8" t="n">
        <v>14</v>
      </c>
      <c r="P286" s="9" t="n">
        <v>34.4836354293482</v>
      </c>
      <c r="Q286" s="10" t="n">
        <v>0.0289992626226677</v>
      </c>
      <c r="R286" s="9" t="n">
        <v>21</v>
      </c>
      <c r="S286" s="12" t="n">
        <f aca="false">IF(AND(ISNUMBER(R286),R286&gt;1,P286&gt;0),R286/P286-1,"")</f>
        <v>-0.391015484923976</v>
      </c>
      <c r="T286" s="9" t="n">
        <f aca="false">IF(AND(ISNUMBER(P286),P286&gt;0),P286*EXP('Read me'!$B$22),"")</f>
        <v>42.1184074247956</v>
      </c>
    </row>
    <row r="287" customFormat="false" ht="15" hidden="false" customHeight="false" outlineLevel="0" collapsed="false">
      <c r="A287" s="14" t="s">
        <v>210</v>
      </c>
      <c r="B287" s="14" t="s">
        <v>42</v>
      </c>
      <c r="C287" s="14" t="s">
        <v>211</v>
      </c>
      <c r="D287" s="14"/>
      <c r="E287" s="15" t="n">
        <v>8</v>
      </c>
      <c r="F287" s="14" t="s">
        <v>286</v>
      </c>
      <c r="G287" s="8" t="n">
        <v>18</v>
      </c>
      <c r="H287" s="14" t="s">
        <v>771</v>
      </c>
      <c r="I287" s="14" t="s">
        <v>388</v>
      </c>
      <c r="J287" s="14" t="s">
        <v>389</v>
      </c>
      <c r="K287" s="8" t="n">
        <v>15</v>
      </c>
      <c r="L287" s="8" t="n">
        <v>52</v>
      </c>
      <c r="M287" s="8" t="n">
        <v>3</v>
      </c>
      <c r="N287" s="8" t="n">
        <v>55</v>
      </c>
      <c r="O287" s="8" t="n">
        <v>15</v>
      </c>
      <c r="P287" s="9" t="n">
        <v>42.4938502583392</v>
      </c>
      <c r="Q287" s="10" t="n">
        <v>0.0235328169587023</v>
      </c>
      <c r="R287" s="9" t="n">
        <v>41</v>
      </c>
      <c r="S287" s="12" t="n">
        <f aca="false">IF(AND(ISNUMBER(R287),R287&gt;1,P287&gt;0),R287/P287-1,"")</f>
        <v>-0.0351545046932056</v>
      </c>
      <c r="T287" s="9" t="n">
        <f aca="false">IF(AND(ISNUMBER(P287),P287&gt;0),P287*EXP('Read me'!$B$22),"")</f>
        <v>51.9021059103807</v>
      </c>
    </row>
    <row r="288" customFormat="false" ht="15" hidden="false" customHeight="false" outlineLevel="0" collapsed="false">
      <c r="A288" s="14" t="s">
        <v>210</v>
      </c>
      <c r="B288" s="14" t="s">
        <v>42</v>
      </c>
      <c r="C288" s="14" t="s">
        <v>211</v>
      </c>
      <c r="D288" s="14"/>
      <c r="E288" s="15" t="n">
        <v>8</v>
      </c>
      <c r="F288" s="14" t="s">
        <v>286</v>
      </c>
      <c r="G288" s="8" t="n">
        <v>18</v>
      </c>
      <c r="H288" s="14" t="s">
        <v>772</v>
      </c>
      <c r="I288" s="14" t="s">
        <v>458</v>
      </c>
      <c r="J288" s="14" t="s">
        <v>773</v>
      </c>
      <c r="K288" s="8" t="n">
        <v>10</v>
      </c>
      <c r="L288" s="8" t="n">
        <v>53</v>
      </c>
      <c r="M288" s="8" t="n">
        <v>4</v>
      </c>
      <c r="N288" s="8" t="n">
        <v>33</v>
      </c>
      <c r="O288" s="8" t="n">
        <v>16</v>
      </c>
      <c r="P288" s="9" t="n">
        <v>67.5483331739995</v>
      </c>
      <c r="Q288" s="10" t="n">
        <v>0.0148042143012481</v>
      </c>
      <c r="R288" s="9" t="n">
        <v>51</v>
      </c>
      <c r="S288" s="12" t="n">
        <f aca="false">IF(AND(ISNUMBER(R288),R288&gt;1,P288&gt;0),R288/P288-1,"")</f>
        <v>-0.244985070636343</v>
      </c>
      <c r="T288" s="9" t="n">
        <f aca="false">IF(AND(ISNUMBER(P288),P288&gt;0),P288*EXP('Read me'!$B$22),"")</f>
        <v>82.5037204478451</v>
      </c>
    </row>
    <row r="289" customFormat="false" ht="15" hidden="false" customHeight="false" outlineLevel="0" collapsed="false">
      <c r="A289" s="14" t="s">
        <v>210</v>
      </c>
      <c r="B289" s="14" t="s">
        <v>42</v>
      </c>
      <c r="C289" s="14" t="s">
        <v>211</v>
      </c>
      <c r="D289" s="14"/>
      <c r="E289" s="15" t="n">
        <v>8</v>
      </c>
      <c r="F289" s="14" t="s">
        <v>286</v>
      </c>
      <c r="G289" s="8" t="n">
        <v>18</v>
      </c>
      <c r="H289" s="14" t="s">
        <v>774</v>
      </c>
      <c r="I289" s="14" t="s">
        <v>530</v>
      </c>
      <c r="J289" s="14" t="s">
        <v>775</v>
      </c>
      <c r="K289" s="8" t="n">
        <v>8</v>
      </c>
      <c r="L289" s="8" t="n">
        <v>42</v>
      </c>
      <c r="M289" s="8" t="n">
        <v>4</v>
      </c>
      <c r="N289" s="8" t="n">
        <v>321</v>
      </c>
      <c r="O289" s="8" t="n">
        <v>17</v>
      </c>
      <c r="P289" s="9" t="n">
        <v>82.0875218826751</v>
      </c>
      <c r="Q289" s="10" t="n">
        <v>0.0121821194874084</v>
      </c>
      <c r="R289" s="9" t="n">
        <v>67</v>
      </c>
      <c r="S289" s="12" t="n">
        <f aca="false">IF(AND(ISNUMBER(R289),R289&gt;1,P289&gt;0),R289/P289-1,"")</f>
        <v>-0.183797994343637</v>
      </c>
      <c r="T289" s="9" t="n">
        <f aca="false">IF(AND(ISNUMBER(P289),P289&gt;0),P289*EXP('Read me'!$B$22),"")</f>
        <v>100.261925638033</v>
      </c>
    </row>
    <row r="290" customFormat="false" ht="15" hidden="false" customHeight="false" outlineLevel="0" collapsed="false">
      <c r="A290" s="14" t="s">
        <v>210</v>
      </c>
      <c r="B290" s="14" t="s">
        <v>42</v>
      </c>
      <c r="C290" s="14" t="s">
        <v>211</v>
      </c>
      <c r="D290" s="14"/>
      <c r="E290" s="15" t="n">
        <v>8</v>
      </c>
      <c r="F290" s="14" t="s">
        <v>286</v>
      </c>
      <c r="G290" s="8" t="n">
        <v>18</v>
      </c>
      <c r="H290" s="14" t="s">
        <v>776</v>
      </c>
      <c r="I290" s="14" t="s">
        <v>527</v>
      </c>
      <c r="J290" s="14" t="s">
        <v>777</v>
      </c>
      <c r="K290" s="8" t="n">
        <v>20</v>
      </c>
      <c r="L290" s="8" t="n">
        <v>40</v>
      </c>
      <c r="M290" s="8" t="n">
        <v>3</v>
      </c>
      <c r="N290" s="8" t="n">
        <v>77</v>
      </c>
      <c r="O290" s="8" t="n">
        <v>18</v>
      </c>
      <c r="P290" s="9" t="n">
        <v>100.491548569403</v>
      </c>
      <c r="Q290" s="10" t="n">
        <v>0.0099510855811856</v>
      </c>
      <c r="R290" s="9" t="n">
        <v>101</v>
      </c>
      <c r="S290" s="12" t="n">
        <f aca="false">IF(AND(ISNUMBER(R290),R290&gt;1,P290&gt;0),R290/P290-1,"")</f>
        <v>0.0050596436997481</v>
      </c>
      <c r="T290" s="9" t="n">
        <f aca="false">IF(AND(ISNUMBER(P290),P290&gt;0),P290*EXP('Read me'!$B$22),"")</f>
        <v>122.740654594455</v>
      </c>
    </row>
    <row r="291" customFormat="false" ht="15" hidden="false" customHeight="false" outlineLevel="0" collapsed="false">
      <c r="A291" s="14" t="s">
        <v>215</v>
      </c>
      <c r="B291" s="14" t="s">
        <v>166</v>
      </c>
      <c r="C291" s="14" t="s">
        <v>216</v>
      </c>
      <c r="D291" s="14" t="s">
        <v>422</v>
      </c>
      <c r="E291" s="15" t="n">
        <v>7</v>
      </c>
      <c r="F291" s="14" t="s">
        <v>655</v>
      </c>
      <c r="G291" s="8" t="n">
        <v>10</v>
      </c>
      <c r="H291" s="14" t="s">
        <v>217</v>
      </c>
      <c r="I291" s="14" t="s">
        <v>196</v>
      </c>
      <c r="J291" s="14" t="s">
        <v>218</v>
      </c>
      <c r="K291" s="8" t="n">
        <v>1</v>
      </c>
      <c r="L291" s="8" t="n">
        <v>0</v>
      </c>
      <c r="M291" s="8" t="n">
        <v>3</v>
      </c>
      <c r="N291" s="8" t="n">
        <v>19</v>
      </c>
      <c r="O291" s="8" t="n">
        <v>1</v>
      </c>
      <c r="P291" s="9" t="n">
        <v>3.12346500360521</v>
      </c>
      <c r="Q291" s="10" t="n">
        <v>0.320157260877188</v>
      </c>
      <c r="R291" s="9" t="n">
        <v>3.5</v>
      </c>
      <c r="S291" s="12" t="n">
        <f aca="false">IF(AND(ISNUMBER(R291),R291&gt;1,P291&gt;0),R291/P291-1,"")</f>
        <v>0.120550413070156</v>
      </c>
      <c r="T291" s="9" t="n">
        <f aca="false">IF(AND(ISNUMBER(P291),P291&gt;0),P291*EXP('Read me'!$B$22),"")</f>
        <v>3.81500877042017</v>
      </c>
    </row>
    <row r="292" customFormat="false" ht="15" hidden="false" customHeight="false" outlineLevel="0" collapsed="false">
      <c r="A292" s="14" t="s">
        <v>215</v>
      </c>
      <c r="B292" s="14" t="s">
        <v>166</v>
      </c>
      <c r="C292" s="14" t="s">
        <v>216</v>
      </c>
      <c r="D292" s="14" t="s">
        <v>422</v>
      </c>
      <c r="E292" s="15" t="n">
        <v>7</v>
      </c>
      <c r="F292" s="14" t="s">
        <v>655</v>
      </c>
      <c r="G292" s="8" t="n">
        <v>10</v>
      </c>
      <c r="H292" s="14" t="s">
        <v>219</v>
      </c>
      <c r="I292" s="14" t="s">
        <v>249</v>
      </c>
      <c r="J292" s="14" t="s">
        <v>125</v>
      </c>
      <c r="K292" s="8" t="n">
        <v>8</v>
      </c>
      <c r="L292" s="8" t="n">
        <v>0</v>
      </c>
      <c r="M292" s="8" t="n">
        <v>3</v>
      </c>
      <c r="N292" s="8" t="n">
        <v>313</v>
      </c>
      <c r="O292" s="8" t="n">
        <v>2</v>
      </c>
      <c r="P292" s="9" t="n">
        <v>3.55414482527228</v>
      </c>
      <c r="Q292" s="10" t="n">
        <v>0.281361635262961</v>
      </c>
      <c r="R292" s="9" t="n">
        <v>3</v>
      </c>
      <c r="S292" s="12" t="n">
        <f aca="false">IF(AND(ISNUMBER(R292),R292&gt;1,P292&gt;0),R292/P292-1,"")</f>
        <v>-0.155915094211117</v>
      </c>
      <c r="T292" s="9" t="n">
        <f aca="false">IF(AND(ISNUMBER(P292),P292&gt;0),P292*EXP('Read me'!$B$22),"")</f>
        <v>4.34104229248826</v>
      </c>
    </row>
    <row r="293" customFormat="false" ht="15" hidden="false" customHeight="false" outlineLevel="0" collapsed="false">
      <c r="A293" s="14" t="s">
        <v>215</v>
      </c>
      <c r="B293" s="14" t="s">
        <v>166</v>
      </c>
      <c r="C293" s="14" t="s">
        <v>216</v>
      </c>
      <c r="D293" s="14" t="s">
        <v>422</v>
      </c>
      <c r="E293" s="15" t="n">
        <v>7</v>
      </c>
      <c r="F293" s="14" t="s">
        <v>655</v>
      </c>
      <c r="G293" s="8" t="n">
        <v>10</v>
      </c>
      <c r="H293" s="14" t="s">
        <v>778</v>
      </c>
      <c r="I293" s="14" t="s">
        <v>779</v>
      </c>
      <c r="J293" s="14" t="s">
        <v>780</v>
      </c>
      <c r="K293" s="8" t="n">
        <v>11</v>
      </c>
      <c r="L293" s="8" t="n">
        <v>75</v>
      </c>
      <c r="M293" s="8" t="n">
        <v>3</v>
      </c>
      <c r="N293" s="8" t="n">
        <v>28</v>
      </c>
      <c r="O293" s="8" t="n">
        <v>3</v>
      </c>
      <c r="P293" s="9" t="n">
        <v>4.9114565997595</v>
      </c>
      <c r="Q293" s="10" t="n">
        <v>0.203605586181698</v>
      </c>
      <c r="R293" s="9" t="n">
        <v>5</v>
      </c>
      <c r="S293" s="12" t="n">
        <f aca="false">IF(AND(ISNUMBER(R293),R293&gt;1,P293&gt;0),R293/P293-1,"")</f>
        <v>0.0180279309084881</v>
      </c>
      <c r="T293" s="9" t="n">
        <f aca="false">IF(AND(ISNUMBER(P293),P293&gt;0),P293*EXP('Read me'!$B$22),"")</f>
        <v>5.99886663753022</v>
      </c>
    </row>
    <row r="294" customFormat="false" ht="15" hidden="false" customHeight="false" outlineLevel="0" collapsed="false">
      <c r="A294" s="14" t="s">
        <v>215</v>
      </c>
      <c r="B294" s="14" t="s">
        <v>166</v>
      </c>
      <c r="C294" s="14" t="s">
        <v>216</v>
      </c>
      <c r="D294" s="14" t="s">
        <v>422</v>
      </c>
      <c r="E294" s="15" t="n">
        <v>7</v>
      </c>
      <c r="F294" s="14" t="s">
        <v>655</v>
      </c>
      <c r="G294" s="8" t="n">
        <v>10</v>
      </c>
      <c r="H294" s="14" t="s">
        <v>781</v>
      </c>
      <c r="I294" s="14" t="s">
        <v>782</v>
      </c>
      <c r="J294" s="14" t="s">
        <v>783</v>
      </c>
      <c r="K294" s="8" t="n">
        <v>6</v>
      </c>
      <c r="L294" s="8" t="n">
        <v>0</v>
      </c>
      <c r="M294" s="8" t="n">
        <v>3</v>
      </c>
      <c r="N294" s="8"/>
      <c r="O294" s="8" t="n">
        <v>4</v>
      </c>
      <c r="P294" s="9" t="n">
        <v>8.79649774443009</v>
      </c>
      <c r="Q294" s="10" t="n">
        <v>0.113681607050169</v>
      </c>
      <c r="R294" s="9" t="n">
        <v>4.33333333333333</v>
      </c>
      <c r="S294" s="12" t="n">
        <f aca="false">IF(AND(ISNUMBER(R294),R294&gt;1,P294&gt;0),R294/P294-1,"")</f>
        <v>-0.507379702782601</v>
      </c>
      <c r="T294" s="9" t="n">
        <f aca="false">IF(AND(ISNUMBER(P294),P294&gt;0),P294*EXP('Read me'!$B$22),"")</f>
        <v>10.7440666071966</v>
      </c>
    </row>
    <row r="295" customFormat="false" ht="15" hidden="false" customHeight="false" outlineLevel="0" collapsed="false">
      <c r="A295" s="14" t="s">
        <v>215</v>
      </c>
      <c r="B295" s="14" t="s">
        <v>166</v>
      </c>
      <c r="C295" s="14" t="s">
        <v>216</v>
      </c>
      <c r="D295" s="14" t="s">
        <v>422</v>
      </c>
      <c r="E295" s="15" t="n">
        <v>7</v>
      </c>
      <c r="F295" s="14" t="s">
        <v>655</v>
      </c>
      <c r="G295" s="8" t="n">
        <v>10</v>
      </c>
      <c r="H295" s="14" t="s">
        <v>784</v>
      </c>
      <c r="I295" s="14" t="s">
        <v>169</v>
      </c>
      <c r="J295" s="14" t="s">
        <v>342</v>
      </c>
      <c r="K295" s="8" t="n">
        <v>5</v>
      </c>
      <c r="L295" s="8" t="n">
        <v>0</v>
      </c>
      <c r="M295" s="8" t="n">
        <v>4</v>
      </c>
      <c r="N295" s="8" t="n">
        <v>15</v>
      </c>
      <c r="O295" s="8" t="n">
        <v>5</v>
      </c>
      <c r="P295" s="9" t="n">
        <v>36.978696583317</v>
      </c>
      <c r="Q295" s="10" t="n">
        <v>0.0270425972896825</v>
      </c>
      <c r="R295" s="9" t="n">
        <v>13</v>
      </c>
      <c r="S295" s="12" t="n">
        <f aca="false">IF(AND(ISNUMBER(R295),R295&gt;1,P295&gt;0),R295/P295-1,"")</f>
        <v>-0.648446235234127</v>
      </c>
      <c r="T295" s="9" t="n">
        <f aca="false">IF(AND(ISNUMBER(P295),P295&gt;0),P295*EXP('Read me'!$B$22),"")</f>
        <v>45.1658820000314</v>
      </c>
    </row>
    <row r="296" customFormat="false" ht="15" hidden="false" customHeight="false" outlineLevel="0" collapsed="false">
      <c r="A296" s="14" t="s">
        <v>215</v>
      </c>
      <c r="B296" s="14" t="s">
        <v>166</v>
      </c>
      <c r="C296" s="14" t="s">
        <v>216</v>
      </c>
      <c r="D296" s="14" t="s">
        <v>422</v>
      </c>
      <c r="E296" s="15" t="n">
        <v>7</v>
      </c>
      <c r="F296" s="14" t="s">
        <v>655</v>
      </c>
      <c r="G296" s="8" t="n">
        <v>10</v>
      </c>
      <c r="H296" s="14" t="s">
        <v>785</v>
      </c>
      <c r="I296" s="14" t="s">
        <v>679</v>
      </c>
      <c r="J296" s="14" t="s">
        <v>744</v>
      </c>
      <c r="K296" s="8" t="n">
        <v>7</v>
      </c>
      <c r="L296" s="8" t="n">
        <v>0</v>
      </c>
      <c r="M296" s="8" t="n">
        <v>3</v>
      </c>
      <c r="N296" s="8" t="n">
        <v>34</v>
      </c>
      <c r="O296" s="8" t="n">
        <v>6</v>
      </c>
      <c r="P296" s="9" t="n">
        <v>38.1054442699554</v>
      </c>
      <c r="Q296" s="10" t="n">
        <v>0.0262429691913724</v>
      </c>
      <c r="R296" s="9" t="n">
        <v>51</v>
      </c>
      <c r="S296" s="12" t="n">
        <f aca="false">IF(AND(ISNUMBER(R296),R296&gt;1,P296&gt;0),R296/P296-1,"")</f>
        <v>0.338391428759995</v>
      </c>
      <c r="T296" s="9" t="n">
        <f aca="false">IF(AND(ISNUMBER(P296),P296&gt;0),P296*EXP('Read me'!$B$22),"")</f>
        <v>46.5420947322422</v>
      </c>
    </row>
    <row r="297" customFormat="false" ht="15" hidden="false" customHeight="false" outlineLevel="0" collapsed="false">
      <c r="A297" s="14" t="s">
        <v>215</v>
      </c>
      <c r="B297" s="14" t="s">
        <v>166</v>
      </c>
      <c r="C297" s="14" t="s">
        <v>216</v>
      </c>
      <c r="D297" s="14" t="s">
        <v>422</v>
      </c>
      <c r="E297" s="15" t="n">
        <v>7</v>
      </c>
      <c r="F297" s="14" t="s">
        <v>655</v>
      </c>
      <c r="G297" s="8" t="n">
        <v>10</v>
      </c>
      <c r="H297" s="14" t="s">
        <v>786</v>
      </c>
      <c r="I297" s="14" t="s">
        <v>787</v>
      </c>
      <c r="J297" s="14" t="s">
        <v>149</v>
      </c>
      <c r="K297" s="8" t="n">
        <v>4</v>
      </c>
      <c r="L297" s="8" t="n">
        <v>0</v>
      </c>
      <c r="M297" s="8" t="n">
        <v>4</v>
      </c>
      <c r="N297" s="8"/>
      <c r="O297" s="8" t="n">
        <v>7</v>
      </c>
      <c r="P297" s="9" t="n">
        <v>69.464257196038</v>
      </c>
      <c r="Q297" s="10" t="n">
        <v>0.0143958927996287</v>
      </c>
      <c r="R297" s="9" t="n">
        <v>29</v>
      </c>
      <c r="S297" s="12" t="n">
        <f aca="false">IF(AND(ISNUMBER(R297),R297&gt;1,P297&gt;0),R297/P297-1,"")</f>
        <v>-0.582519108810768</v>
      </c>
      <c r="T297" s="9" t="n">
        <f aca="false">IF(AND(ISNUMBER(P297),P297&gt;0),P297*EXP('Read me'!$B$22),"")</f>
        <v>84.8438353327883</v>
      </c>
    </row>
    <row r="298" customFormat="false" ht="15" hidden="false" customHeight="false" outlineLevel="0" collapsed="false">
      <c r="A298" s="14" t="s">
        <v>215</v>
      </c>
      <c r="B298" s="14" t="s">
        <v>166</v>
      </c>
      <c r="C298" s="14" t="s">
        <v>216</v>
      </c>
      <c r="D298" s="14" t="s">
        <v>422</v>
      </c>
      <c r="E298" s="15" t="n">
        <v>7</v>
      </c>
      <c r="F298" s="14" t="s">
        <v>655</v>
      </c>
      <c r="G298" s="8" t="n">
        <v>10</v>
      </c>
      <c r="H298" s="14" t="s">
        <v>788</v>
      </c>
      <c r="I298" s="14" t="s">
        <v>720</v>
      </c>
      <c r="J298" s="14" t="s">
        <v>421</v>
      </c>
      <c r="K298" s="8" t="n">
        <v>2</v>
      </c>
      <c r="L298" s="8" t="n">
        <v>0</v>
      </c>
      <c r="M298" s="8" t="n">
        <v>5</v>
      </c>
      <c r="N298" s="8" t="n">
        <v>20</v>
      </c>
      <c r="O298" s="8" t="n">
        <v>8</v>
      </c>
      <c r="P298" s="9" t="n">
        <v>106.22350529438</v>
      </c>
      <c r="Q298" s="10" t="n">
        <v>0.0094141122271259</v>
      </c>
      <c r="R298" s="9" t="n">
        <v>126</v>
      </c>
      <c r="S298" s="12" t="n">
        <f aca="false">IF(AND(ISNUMBER(R298),R298&gt;1,P298&gt;0),R298/P298-1,"")</f>
        <v>0.186178140617869</v>
      </c>
      <c r="T298" s="9" t="n">
        <f aca="false">IF(AND(ISNUMBER(P298),P298&gt;0),P298*EXP('Read me'!$B$22),"")</f>
        <v>129.741682347997</v>
      </c>
    </row>
    <row r="299" customFormat="false" ht="15" hidden="false" customHeight="false" outlineLevel="0" collapsed="false">
      <c r="A299" s="14" t="s">
        <v>215</v>
      </c>
      <c r="B299" s="14" t="s">
        <v>166</v>
      </c>
      <c r="C299" s="14" t="s">
        <v>216</v>
      </c>
      <c r="D299" s="14" t="s">
        <v>422</v>
      </c>
      <c r="E299" s="15" t="n">
        <v>7</v>
      </c>
      <c r="F299" s="14" t="s">
        <v>655</v>
      </c>
      <c r="G299" s="8" t="n">
        <v>10</v>
      </c>
      <c r="H299" s="14" t="s">
        <v>789</v>
      </c>
      <c r="I299" s="14" t="s">
        <v>668</v>
      </c>
      <c r="J299" s="14" t="s">
        <v>790</v>
      </c>
      <c r="K299" s="8" t="n">
        <v>3</v>
      </c>
      <c r="L299" s="8" t="n">
        <v>0</v>
      </c>
      <c r="M299" s="8" t="n">
        <v>3</v>
      </c>
      <c r="N299" s="8" t="n">
        <v>15</v>
      </c>
      <c r="O299" s="8" t="n">
        <v>9</v>
      </c>
      <c r="P299" s="9" t="n">
        <v>357.814327853079</v>
      </c>
      <c r="Q299" s="10" t="n">
        <v>0.0027947455486204</v>
      </c>
      <c r="R299" s="9" t="n">
        <v>126</v>
      </c>
      <c r="S299" s="12" t="n">
        <f aca="false">IF(AND(ISNUMBER(R299),R299&gt;1,P299&gt;0),R299/P299-1,"")</f>
        <v>-0.647862060873827</v>
      </c>
      <c r="T299" s="9" t="n">
        <f aca="false">IF(AND(ISNUMBER(P299),P299&gt;0),P299*EXP('Read me'!$B$22),"")</f>
        <v>437.035406948978</v>
      </c>
    </row>
    <row r="300" customFormat="false" ht="15" hidden="false" customHeight="false" outlineLevel="0" collapsed="false">
      <c r="A300" s="14" t="s">
        <v>215</v>
      </c>
      <c r="B300" s="14" t="s">
        <v>166</v>
      </c>
      <c r="C300" s="14" t="s">
        <v>216</v>
      </c>
      <c r="D300" s="14" t="s">
        <v>422</v>
      </c>
      <c r="E300" s="15" t="n">
        <v>7</v>
      </c>
      <c r="F300" s="14" t="s">
        <v>655</v>
      </c>
      <c r="G300" s="8" t="n">
        <v>10</v>
      </c>
      <c r="H300" s="14" t="s">
        <v>791</v>
      </c>
      <c r="I300" s="14" t="s">
        <v>671</v>
      </c>
      <c r="J300" s="14" t="s">
        <v>792</v>
      </c>
      <c r="K300" s="8" t="n">
        <v>10</v>
      </c>
      <c r="L300" s="8" t="n">
        <v>0</v>
      </c>
      <c r="M300" s="8" t="n">
        <v>3</v>
      </c>
      <c r="N300" s="8" t="n">
        <v>68</v>
      </c>
      <c r="O300" s="8" t="n">
        <v>10</v>
      </c>
      <c r="P300" s="9" t="n">
        <v>767.110257231046</v>
      </c>
      <c r="Q300" s="10" t="n">
        <v>0.0013035935715546</v>
      </c>
      <c r="R300" s="9" t="n">
        <v>251</v>
      </c>
      <c r="S300" s="12" t="n">
        <f aca="false">IF(AND(ISNUMBER(R300),R300&gt;1,P300&gt;0),R300/P300-1,"")</f>
        <v>-0.672798013539791</v>
      </c>
      <c r="T300" s="9" t="n">
        <f aca="false">IF(AND(ISNUMBER(P300),P300&gt;0),P300*EXP('Read me'!$B$22),"")</f>
        <v>936.950583994957</v>
      </c>
    </row>
    <row r="301" customFormat="false" ht="15" hidden="false" customHeight="false" outlineLevel="0" collapsed="false">
      <c r="A301" s="14" t="s">
        <v>220</v>
      </c>
      <c r="B301" s="14" t="s">
        <v>49</v>
      </c>
      <c r="C301" s="14" t="s">
        <v>221</v>
      </c>
      <c r="D301" s="14" t="s">
        <v>319</v>
      </c>
      <c r="E301" s="15"/>
      <c r="F301" s="14" t="s">
        <v>320</v>
      </c>
      <c r="G301" s="8" t="n">
        <v>9</v>
      </c>
      <c r="H301" s="14" t="s">
        <v>222</v>
      </c>
      <c r="I301" s="14" t="s">
        <v>124</v>
      </c>
      <c r="J301" s="14" t="s">
        <v>223</v>
      </c>
      <c r="K301" s="8" t="n">
        <v>1</v>
      </c>
      <c r="L301" s="8" t="n">
        <v>75</v>
      </c>
      <c r="M301" s="8" t="n">
        <v>3</v>
      </c>
      <c r="N301" s="8" t="n">
        <v>80</v>
      </c>
      <c r="O301" s="8" t="n">
        <v>1</v>
      </c>
      <c r="P301" s="9" t="n">
        <v>4.64715129242333</v>
      </c>
      <c r="Q301" s="10" t="n">
        <v>0.215185591575293</v>
      </c>
      <c r="R301" s="9" t="n">
        <v>3.75</v>
      </c>
      <c r="S301" s="12" t="n">
        <f aca="false">IF(AND(ISNUMBER(R301),R301&gt;1,P301&gt;0),R301/P301-1,"")</f>
        <v>-0.193054031592652</v>
      </c>
      <c r="T301" s="9" t="n">
        <f aca="false">IF(AND(ISNUMBER(P301),P301&gt;0),P301*EXP('Read me'!$B$22),"")</f>
        <v>5.67604340615345</v>
      </c>
    </row>
    <row r="302" customFormat="false" ht="15" hidden="false" customHeight="false" outlineLevel="0" collapsed="false">
      <c r="A302" s="14" t="s">
        <v>220</v>
      </c>
      <c r="B302" s="14" t="s">
        <v>49</v>
      </c>
      <c r="C302" s="14" t="s">
        <v>221</v>
      </c>
      <c r="D302" s="14" t="s">
        <v>319</v>
      </c>
      <c r="E302" s="15"/>
      <c r="F302" s="14" t="s">
        <v>320</v>
      </c>
      <c r="G302" s="8" t="n">
        <v>9</v>
      </c>
      <c r="H302" s="14" t="s">
        <v>224</v>
      </c>
      <c r="I302" s="14" t="s">
        <v>793</v>
      </c>
      <c r="J302" s="14" t="s">
        <v>328</v>
      </c>
      <c r="K302" s="8" t="n">
        <v>7</v>
      </c>
      <c r="L302" s="8" t="n">
        <v>71</v>
      </c>
      <c r="M302" s="8" t="n">
        <v>6</v>
      </c>
      <c r="N302" s="8" t="n">
        <v>31</v>
      </c>
      <c r="O302" s="8" t="n">
        <v>2</v>
      </c>
      <c r="P302" s="9" t="n">
        <v>5.80447065280468</v>
      </c>
      <c r="Q302" s="10" t="n">
        <v>0.172280998529436</v>
      </c>
      <c r="R302" s="9" t="n">
        <v>4.5</v>
      </c>
      <c r="S302" s="12" t="n">
        <f aca="false">IF(AND(ISNUMBER(R302),R302&gt;1,P302&gt;0),R302/P302-1,"")</f>
        <v>-0.224735506617537</v>
      </c>
      <c r="T302" s="9" t="n">
        <f aca="false">IF(AND(ISNUMBER(P302),P302&gt;0),P302*EXP('Read me'!$B$22),"")</f>
        <v>7.0895964649954</v>
      </c>
    </row>
    <row r="303" customFormat="false" ht="15" hidden="false" customHeight="false" outlineLevel="0" collapsed="false">
      <c r="A303" s="14" t="s">
        <v>220</v>
      </c>
      <c r="B303" s="14" t="s">
        <v>49</v>
      </c>
      <c r="C303" s="14" t="s">
        <v>221</v>
      </c>
      <c r="D303" s="14" t="s">
        <v>319</v>
      </c>
      <c r="E303" s="15"/>
      <c r="F303" s="14" t="s">
        <v>320</v>
      </c>
      <c r="G303" s="8" t="n">
        <v>9</v>
      </c>
      <c r="H303" s="14" t="s">
        <v>794</v>
      </c>
      <c r="I303" s="14" t="s">
        <v>795</v>
      </c>
      <c r="J303" s="14" t="s">
        <v>796</v>
      </c>
      <c r="K303" s="8" t="n">
        <v>6</v>
      </c>
      <c r="L303" s="8" t="n">
        <v>72</v>
      </c>
      <c r="M303" s="8" t="n">
        <v>5</v>
      </c>
      <c r="N303" s="8" t="n">
        <v>18</v>
      </c>
      <c r="O303" s="8" t="n">
        <v>3</v>
      </c>
      <c r="P303" s="9" t="n">
        <v>5.87431656227674</v>
      </c>
      <c r="Q303" s="10" t="n">
        <v>0.170232569082458</v>
      </c>
      <c r="R303" s="9" t="n">
        <v>5</v>
      </c>
      <c r="S303" s="12" t="n">
        <f aca="false">IF(AND(ISNUMBER(R303),R303&gt;1,P303&gt;0),R303/P303-1,"")</f>
        <v>-0.148837154587712</v>
      </c>
      <c r="T303" s="9" t="n">
        <f aca="false">IF(AND(ISNUMBER(P303),P303&gt;0),P303*EXP('Read me'!$B$22),"")</f>
        <v>7.17490645147078</v>
      </c>
    </row>
    <row r="304" customFormat="false" ht="15" hidden="false" customHeight="false" outlineLevel="0" collapsed="false">
      <c r="A304" s="14" t="s">
        <v>220</v>
      </c>
      <c r="B304" s="14" t="s">
        <v>49</v>
      </c>
      <c r="C304" s="14" t="s">
        <v>221</v>
      </c>
      <c r="D304" s="14" t="s">
        <v>319</v>
      </c>
      <c r="E304" s="15"/>
      <c r="F304" s="14" t="s">
        <v>320</v>
      </c>
      <c r="G304" s="8" t="n">
        <v>9</v>
      </c>
      <c r="H304" s="14" t="s">
        <v>797</v>
      </c>
      <c r="I304" s="14" t="s">
        <v>798</v>
      </c>
      <c r="J304" s="14" t="s">
        <v>548</v>
      </c>
      <c r="K304" s="8" t="n">
        <v>9</v>
      </c>
      <c r="L304" s="8" t="n">
        <v>70</v>
      </c>
      <c r="M304" s="8" t="n">
        <v>7</v>
      </c>
      <c r="N304" s="8" t="n">
        <v>10</v>
      </c>
      <c r="O304" s="8" t="n">
        <v>4</v>
      </c>
      <c r="P304" s="9" t="n">
        <v>8.70141266294909</v>
      </c>
      <c r="Q304" s="10" t="n">
        <v>0.114923867966639</v>
      </c>
      <c r="R304" s="9" t="n">
        <v>8.5</v>
      </c>
      <c r="S304" s="12" t="n">
        <f aca="false">IF(AND(ISNUMBER(R304),R304&gt;1,P304&gt;0),R304/P304-1,"")</f>
        <v>-0.0231471222835706</v>
      </c>
      <c r="T304" s="9" t="n">
        <f aca="false">IF(AND(ISNUMBER(P304),P304&gt;0),P304*EXP('Read me'!$B$22),"")</f>
        <v>10.6279294264159</v>
      </c>
    </row>
    <row r="305" customFormat="false" ht="15" hidden="false" customHeight="false" outlineLevel="0" collapsed="false">
      <c r="A305" s="14" t="s">
        <v>220</v>
      </c>
      <c r="B305" s="14" t="s">
        <v>49</v>
      </c>
      <c r="C305" s="14" t="s">
        <v>221</v>
      </c>
      <c r="D305" s="14" t="s">
        <v>319</v>
      </c>
      <c r="E305" s="15"/>
      <c r="F305" s="14" t="s">
        <v>320</v>
      </c>
      <c r="G305" s="8" t="n">
        <v>9</v>
      </c>
      <c r="H305" s="14" t="s">
        <v>799</v>
      </c>
      <c r="I305" s="14" t="s">
        <v>413</v>
      </c>
      <c r="J305" s="14" t="s">
        <v>203</v>
      </c>
      <c r="K305" s="8" t="n">
        <v>8</v>
      </c>
      <c r="L305" s="8" t="n">
        <v>64</v>
      </c>
      <c r="M305" s="8" t="n">
        <v>9</v>
      </c>
      <c r="N305" s="8" t="n">
        <v>22</v>
      </c>
      <c r="O305" s="8" t="n">
        <v>5</v>
      </c>
      <c r="P305" s="9" t="n">
        <v>8.77697010812073</v>
      </c>
      <c r="Q305" s="10" t="n">
        <v>0.113934534091072</v>
      </c>
      <c r="R305" s="9" t="n">
        <v>6</v>
      </c>
      <c r="S305" s="12" t="n">
        <f aca="false">IF(AND(ISNUMBER(R305),R305&gt;1,P305&gt;0),R305/P305-1,"")</f>
        <v>-0.316392795453569</v>
      </c>
      <c r="T305" s="9" t="n">
        <f aca="false">IF(AND(ISNUMBER(P305),P305&gt;0),P305*EXP('Read me'!$B$22),"")</f>
        <v>10.720215498348</v>
      </c>
    </row>
    <row r="306" customFormat="false" ht="15" hidden="false" customHeight="false" outlineLevel="0" collapsed="false">
      <c r="A306" s="14" t="s">
        <v>220</v>
      </c>
      <c r="B306" s="14" t="s">
        <v>49</v>
      </c>
      <c r="C306" s="14" t="s">
        <v>221</v>
      </c>
      <c r="D306" s="14" t="s">
        <v>319</v>
      </c>
      <c r="E306" s="15"/>
      <c r="F306" s="14" t="s">
        <v>320</v>
      </c>
      <c r="G306" s="8" t="n">
        <v>9</v>
      </c>
      <c r="H306" s="14" t="s">
        <v>800</v>
      </c>
      <c r="I306" s="14" t="s">
        <v>175</v>
      </c>
      <c r="J306" s="14" t="s">
        <v>633</v>
      </c>
      <c r="K306" s="8" t="n">
        <v>2</v>
      </c>
      <c r="L306" s="8" t="n">
        <v>74</v>
      </c>
      <c r="M306" s="8" t="n">
        <v>3</v>
      </c>
      <c r="N306" s="8" t="n">
        <v>39</v>
      </c>
      <c r="O306" s="8" t="n">
        <v>6</v>
      </c>
      <c r="P306" s="9" t="n">
        <v>13.170265937542</v>
      </c>
      <c r="Q306" s="10" t="n">
        <v>0.0759286110654372</v>
      </c>
      <c r="R306" s="9" t="n">
        <v>11</v>
      </c>
      <c r="S306" s="12" t="n">
        <f aca="false">IF(AND(ISNUMBER(R306),R306&gt;1,P306&gt;0),R306/P306-1,"")</f>
        <v>-0.16478527828019</v>
      </c>
      <c r="T306" s="9" t="n">
        <f aca="false">IF(AND(ISNUMBER(P306),P306&gt;0),P306*EXP('Read me'!$B$22),"")</f>
        <v>16.0861991418167</v>
      </c>
    </row>
    <row r="307" customFormat="false" ht="15" hidden="false" customHeight="false" outlineLevel="0" collapsed="false">
      <c r="A307" s="14" t="s">
        <v>220</v>
      </c>
      <c r="B307" s="14" t="s">
        <v>49</v>
      </c>
      <c r="C307" s="14" t="s">
        <v>221</v>
      </c>
      <c r="D307" s="14" t="s">
        <v>319</v>
      </c>
      <c r="E307" s="15"/>
      <c r="F307" s="14" t="s">
        <v>320</v>
      </c>
      <c r="G307" s="8" t="n">
        <v>9</v>
      </c>
      <c r="H307" s="14" t="s">
        <v>801</v>
      </c>
      <c r="I307" s="14" t="s">
        <v>466</v>
      </c>
      <c r="J307" s="14" t="s">
        <v>604</v>
      </c>
      <c r="K307" s="8" t="n">
        <v>4</v>
      </c>
      <c r="L307" s="8" t="n">
        <v>70</v>
      </c>
      <c r="M307" s="8" t="n">
        <v>3</v>
      </c>
      <c r="N307" s="8" t="n">
        <v>13</v>
      </c>
      <c r="O307" s="8" t="n">
        <v>7</v>
      </c>
      <c r="P307" s="9" t="n">
        <v>18.3194988528801</v>
      </c>
      <c r="Q307" s="10" t="n">
        <v>0.0545866460666189</v>
      </c>
      <c r="R307" s="9" t="n">
        <v>21</v>
      </c>
      <c r="S307" s="12" t="n">
        <f aca="false">IF(AND(ISNUMBER(R307),R307&gt;1,P307&gt;0),R307/P307-1,"")</f>
        <v>0.146319567398999</v>
      </c>
      <c r="T307" s="9" t="n">
        <f aca="false">IF(AND(ISNUMBER(P307),P307&gt;0),P307*EXP('Read me'!$B$22),"")</f>
        <v>22.3754864270199</v>
      </c>
    </row>
    <row r="308" customFormat="false" ht="15" hidden="false" customHeight="false" outlineLevel="0" collapsed="false">
      <c r="A308" s="14" t="s">
        <v>220</v>
      </c>
      <c r="B308" s="14" t="s">
        <v>49</v>
      </c>
      <c r="C308" s="14" t="s">
        <v>221</v>
      </c>
      <c r="D308" s="14" t="s">
        <v>319</v>
      </c>
      <c r="E308" s="15"/>
      <c r="F308" s="14" t="s">
        <v>320</v>
      </c>
      <c r="G308" s="8" t="n">
        <v>9</v>
      </c>
      <c r="H308" s="14" t="s">
        <v>802</v>
      </c>
      <c r="I308" s="14" t="s">
        <v>394</v>
      </c>
      <c r="J308" s="14" t="s">
        <v>803</v>
      </c>
      <c r="K308" s="8" t="n">
        <v>3</v>
      </c>
      <c r="L308" s="8" t="n">
        <v>67</v>
      </c>
      <c r="M308" s="8" t="n">
        <v>3</v>
      </c>
      <c r="N308" s="8" t="n">
        <v>375</v>
      </c>
      <c r="O308" s="8" t="n">
        <v>8</v>
      </c>
      <c r="P308" s="9" t="n">
        <v>19.1782384560792</v>
      </c>
      <c r="Q308" s="10" t="n">
        <v>0.0521424322828261</v>
      </c>
      <c r="R308" s="9" t="n">
        <v>21</v>
      </c>
      <c r="S308" s="12" t="n">
        <f aca="false">IF(AND(ISNUMBER(R308),R308&gt;1,P308&gt;0),R308/P308-1,"")</f>
        <v>0.0949910779393486</v>
      </c>
      <c r="T308" s="9" t="n">
        <f aca="false">IF(AND(ISNUMBER(P308),P308&gt;0),P308*EXP('Read me'!$B$22),"")</f>
        <v>23.4243533469085</v>
      </c>
    </row>
    <row r="309" customFormat="false" ht="15" hidden="false" customHeight="false" outlineLevel="0" collapsed="false">
      <c r="A309" s="14" t="s">
        <v>220</v>
      </c>
      <c r="B309" s="14" t="s">
        <v>49</v>
      </c>
      <c r="C309" s="14" t="s">
        <v>221</v>
      </c>
      <c r="D309" s="14" t="s">
        <v>319</v>
      </c>
      <c r="E309" s="15"/>
      <c r="F309" s="14" t="s">
        <v>320</v>
      </c>
      <c r="G309" s="8" t="n">
        <v>9</v>
      </c>
      <c r="H309" s="14" t="s">
        <v>804</v>
      </c>
      <c r="I309" s="14" t="s">
        <v>324</v>
      </c>
      <c r="J309" s="14" t="s">
        <v>464</v>
      </c>
      <c r="K309" s="8" t="n">
        <v>5</v>
      </c>
      <c r="L309" s="8" t="n">
        <v>61</v>
      </c>
      <c r="M309" s="8" t="n">
        <v>6</v>
      </c>
      <c r="N309" s="8" t="n">
        <v>29</v>
      </c>
      <c r="O309" s="8" t="n">
        <v>9</v>
      </c>
      <c r="P309" s="9" t="n">
        <v>32.4836167723314</v>
      </c>
      <c r="Q309" s="10" t="n">
        <v>0.0307847493402203</v>
      </c>
      <c r="R309" s="9" t="n">
        <v>34</v>
      </c>
      <c r="S309" s="12" t="n">
        <f aca="false">IF(AND(ISNUMBER(R309),R309&gt;1,P309&gt;0),R309/P309-1,"")</f>
        <v>0.0466814775674913</v>
      </c>
      <c r="T309" s="9" t="n">
        <f aca="false">IF(AND(ISNUMBER(P309),P309&gt;0),P309*EXP('Read me'!$B$22),"")</f>
        <v>39.6755791207436</v>
      </c>
    </row>
    <row r="310" customFormat="false" ht="15" hidden="false" customHeight="false" outlineLevel="0" collapsed="false">
      <c r="A310" s="14" t="s">
        <v>225</v>
      </c>
      <c r="B310" s="14" t="s">
        <v>166</v>
      </c>
      <c r="C310" s="14" t="s">
        <v>226</v>
      </c>
      <c r="D310" s="14" t="s">
        <v>463</v>
      </c>
      <c r="E310" s="15" t="n">
        <v>7</v>
      </c>
      <c r="F310" s="14" t="s">
        <v>655</v>
      </c>
      <c r="G310" s="8" t="n">
        <v>10</v>
      </c>
      <c r="H310" s="14" t="s">
        <v>227</v>
      </c>
      <c r="I310" s="14" t="s">
        <v>228</v>
      </c>
      <c r="J310" s="14" t="s">
        <v>229</v>
      </c>
      <c r="K310" s="8" t="n">
        <v>6</v>
      </c>
      <c r="L310" s="8" t="n">
        <v>64</v>
      </c>
      <c r="M310" s="8" t="n">
        <v>3</v>
      </c>
      <c r="N310" s="8" t="n">
        <v>8</v>
      </c>
      <c r="O310" s="8" t="n">
        <v>1</v>
      </c>
      <c r="P310" s="9" t="n">
        <v>1.95554021415647</v>
      </c>
      <c r="Q310" s="10" t="n">
        <v>0.511367648060029</v>
      </c>
      <c r="R310" s="9" t="n">
        <v>2.2</v>
      </c>
      <c r="S310" s="12" t="n">
        <f aca="false">IF(AND(ISNUMBER(R310),R310&gt;1,P310&gt;0),R310/P310-1,"")</f>
        <v>0.125008825732063</v>
      </c>
      <c r="T310" s="9" t="n">
        <f aca="false">IF(AND(ISNUMBER(P310),P310&gt;0),P310*EXP('Read me'!$B$22),"")</f>
        <v>2.38850221126385</v>
      </c>
    </row>
    <row r="311" customFormat="false" ht="15" hidden="false" customHeight="false" outlineLevel="0" collapsed="false">
      <c r="A311" s="14" t="s">
        <v>225</v>
      </c>
      <c r="B311" s="14" t="s">
        <v>166</v>
      </c>
      <c r="C311" s="14" t="s">
        <v>226</v>
      </c>
      <c r="D311" s="14" t="s">
        <v>463</v>
      </c>
      <c r="E311" s="15" t="n">
        <v>7</v>
      </c>
      <c r="F311" s="14" t="s">
        <v>655</v>
      </c>
      <c r="G311" s="8" t="n">
        <v>10</v>
      </c>
      <c r="H311" s="14" t="s">
        <v>230</v>
      </c>
      <c r="I311" s="14" t="s">
        <v>196</v>
      </c>
      <c r="J311" s="14" t="s">
        <v>546</v>
      </c>
      <c r="K311" s="8" t="n">
        <v>2</v>
      </c>
      <c r="L311" s="8" t="n">
        <v>58</v>
      </c>
      <c r="M311" s="8" t="n">
        <v>3</v>
      </c>
      <c r="N311" s="8" t="n">
        <v>17</v>
      </c>
      <c r="O311" s="8" t="n">
        <v>2</v>
      </c>
      <c r="P311" s="9" t="n">
        <v>4.077855402091</v>
      </c>
      <c r="Q311" s="10" t="n">
        <v>0.245226939505317</v>
      </c>
      <c r="R311" s="9" t="n">
        <v>2.5</v>
      </c>
      <c r="S311" s="12" t="n">
        <f aca="false">IF(AND(ISNUMBER(R311),R311&gt;1,P311&gt;0),R311/P311-1,"")</f>
        <v>-0.386932651236708</v>
      </c>
      <c r="T311" s="9" t="n">
        <f aca="false">IF(AND(ISNUMBER(P311),P311&gt;0),P311*EXP('Read me'!$B$22),"")</f>
        <v>4.9807038354923</v>
      </c>
    </row>
    <row r="312" customFormat="false" ht="15" hidden="false" customHeight="false" outlineLevel="0" collapsed="false">
      <c r="A312" s="14" t="s">
        <v>225</v>
      </c>
      <c r="B312" s="14" t="s">
        <v>166</v>
      </c>
      <c r="C312" s="14" t="s">
        <v>226</v>
      </c>
      <c r="D312" s="14" t="s">
        <v>463</v>
      </c>
      <c r="E312" s="15" t="n">
        <v>7</v>
      </c>
      <c r="F312" s="14" t="s">
        <v>655</v>
      </c>
      <c r="G312" s="8" t="n">
        <v>10</v>
      </c>
      <c r="H312" s="14" t="s">
        <v>805</v>
      </c>
      <c r="I312" s="14" t="s">
        <v>239</v>
      </c>
      <c r="J312" s="14" t="s">
        <v>633</v>
      </c>
      <c r="K312" s="8" t="n">
        <v>7</v>
      </c>
      <c r="L312" s="8" t="n">
        <v>60</v>
      </c>
      <c r="M312" s="8" t="n">
        <v>3</v>
      </c>
      <c r="N312" s="8" t="n">
        <v>30</v>
      </c>
      <c r="O312" s="8" t="n">
        <v>3</v>
      </c>
      <c r="P312" s="9" t="n">
        <v>15.1068781487871</v>
      </c>
      <c r="Q312" s="10" t="n">
        <v>0.0661950133012947</v>
      </c>
      <c r="R312" s="9" t="n">
        <v>9</v>
      </c>
      <c r="S312" s="12" t="n">
        <f aca="false">IF(AND(ISNUMBER(R312),R312&gt;1,P312&gt;0),R312/P312-1,"")</f>
        <v>-0.404244880288347</v>
      </c>
      <c r="T312" s="9" t="n">
        <f aca="false">IF(AND(ISNUMBER(P312),P312&gt;0),P312*EXP('Read me'!$B$22),"")</f>
        <v>18.4515826381181</v>
      </c>
    </row>
    <row r="313" customFormat="false" ht="15" hidden="false" customHeight="false" outlineLevel="0" collapsed="false">
      <c r="A313" s="14" t="s">
        <v>225</v>
      </c>
      <c r="B313" s="14" t="s">
        <v>166</v>
      </c>
      <c r="C313" s="14" t="s">
        <v>226</v>
      </c>
      <c r="D313" s="14" t="s">
        <v>463</v>
      </c>
      <c r="E313" s="15" t="n">
        <v>7</v>
      </c>
      <c r="F313" s="14" t="s">
        <v>655</v>
      </c>
      <c r="G313" s="8" t="n">
        <v>10</v>
      </c>
      <c r="H313" s="14" t="s">
        <v>806</v>
      </c>
      <c r="I313" s="14" t="s">
        <v>668</v>
      </c>
      <c r="J313" s="14" t="s">
        <v>807</v>
      </c>
      <c r="K313" s="8" t="n">
        <v>8</v>
      </c>
      <c r="L313" s="8" t="n">
        <v>60</v>
      </c>
      <c r="M313" s="8" t="n">
        <v>3</v>
      </c>
      <c r="N313" s="8" t="n">
        <v>83</v>
      </c>
      <c r="O313" s="8" t="n">
        <v>4</v>
      </c>
      <c r="P313" s="9" t="n">
        <v>19.118969470687</v>
      </c>
      <c r="Q313" s="10" t="n">
        <v>0.0523040743139</v>
      </c>
      <c r="R313" s="9" t="n">
        <v>12</v>
      </c>
      <c r="S313" s="12" t="n">
        <f aca="false">IF(AND(ISNUMBER(R313),R313&gt;1,P313&gt;0),R313/P313-1,"")</f>
        <v>-0.3723511082332</v>
      </c>
      <c r="T313" s="9" t="n">
        <f aca="false">IF(AND(ISNUMBER(P313),P313&gt;0),P313*EXP('Read me'!$B$22),"")</f>
        <v>23.3519620446772</v>
      </c>
    </row>
    <row r="314" customFormat="false" ht="15" hidden="false" customHeight="false" outlineLevel="0" collapsed="false">
      <c r="A314" s="14" t="s">
        <v>225</v>
      </c>
      <c r="B314" s="14" t="s">
        <v>166</v>
      </c>
      <c r="C314" s="14" t="s">
        <v>226</v>
      </c>
      <c r="D314" s="14" t="s">
        <v>463</v>
      </c>
      <c r="E314" s="15" t="n">
        <v>7</v>
      </c>
      <c r="F314" s="14" t="s">
        <v>655</v>
      </c>
      <c r="G314" s="8" t="n">
        <v>10</v>
      </c>
      <c r="H314" s="14" t="s">
        <v>808</v>
      </c>
      <c r="I314" s="14" t="s">
        <v>249</v>
      </c>
      <c r="J314" s="14" t="s">
        <v>223</v>
      </c>
      <c r="K314" s="8" t="n">
        <v>3</v>
      </c>
      <c r="L314" s="8" t="n">
        <v>54</v>
      </c>
      <c r="M314" s="8" t="n">
        <v>3</v>
      </c>
      <c r="N314" s="8" t="n">
        <v>69</v>
      </c>
      <c r="O314" s="8" t="n">
        <v>5</v>
      </c>
      <c r="P314" s="9" t="n">
        <v>30.5337350115971</v>
      </c>
      <c r="Q314" s="10" t="n">
        <v>0.0327506608549588</v>
      </c>
      <c r="R314" s="9" t="n">
        <v>51</v>
      </c>
      <c r="S314" s="12" t="n">
        <f aca="false">IF(AND(ISNUMBER(R314),R314&gt;1,P314&gt;0),R314/P314-1,"")</f>
        <v>0.6702837036029</v>
      </c>
      <c r="T314" s="9" t="n">
        <f aca="false">IF(AND(ISNUMBER(P314),P314&gt;0),P314*EXP('Read me'!$B$22),"")</f>
        <v>37.2939881600965</v>
      </c>
    </row>
    <row r="315" customFormat="false" ht="15" hidden="false" customHeight="false" outlineLevel="0" collapsed="false">
      <c r="A315" s="14" t="s">
        <v>225</v>
      </c>
      <c r="B315" s="14" t="s">
        <v>166</v>
      </c>
      <c r="C315" s="14" t="s">
        <v>226</v>
      </c>
      <c r="D315" s="14" t="s">
        <v>463</v>
      </c>
      <c r="E315" s="15" t="n">
        <v>7</v>
      </c>
      <c r="F315" s="14" t="s">
        <v>655</v>
      </c>
      <c r="G315" s="8" t="n">
        <v>10</v>
      </c>
      <c r="H315" s="14" t="s">
        <v>809</v>
      </c>
      <c r="I315" s="14" t="s">
        <v>787</v>
      </c>
      <c r="J315" s="14" t="s">
        <v>810</v>
      </c>
      <c r="K315" s="8" t="n">
        <v>5</v>
      </c>
      <c r="L315" s="8" t="n">
        <v>50</v>
      </c>
      <c r="M315" s="8" t="n">
        <v>3</v>
      </c>
      <c r="N315" s="8" t="n">
        <v>30</v>
      </c>
      <c r="O315" s="8" t="n">
        <v>6</v>
      </c>
      <c r="P315" s="9" t="n">
        <v>33.185388680094</v>
      </c>
      <c r="Q315" s="10" t="n">
        <v>0.0301337437882667</v>
      </c>
      <c r="R315" s="9" t="n">
        <v>23</v>
      </c>
      <c r="S315" s="12" t="n">
        <f aca="false">IF(AND(ISNUMBER(R315),R315&gt;1,P315&gt;0),R315/P315-1,"")</f>
        <v>-0.306923892869864</v>
      </c>
      <c r="T315" s="9" t="n">
        <f aca="false">IF(AND(ISNUMBER(P315),P315&gt;0),P315*EXP('Read me'!$B$22),"")</f>
        <v>40.5327252644841</v>
      </c>
    </row>
    <row r="316" customFormat="false" ht="15" hidden="false" customHeight="false" outlineLevel="0" collapsed="false">
      <c r="A316" s="14" t="s">
        <v>225</v>
      </c>
      <c r="B316" s="14" t="s">
        <v>166</v>
      </c>
      <c r="C316" s="14" t="s">
        <v>226</v>
      </c>
      <c r="D316" s="14" t="s">
        <v>463</v>
      </c>
      <c r="E316" s="15" t="n">
        <v>7</v>
      </c>
      <c r="F316" s="14" t="s">
        <v>655</v>
      </c>
      <c r="G316" s="8" t="n">
        <v>10</v>
      </c>
      <c r="H316" s="14" t="s">
        <v>811</v>
      </c>
      <c r="I316" s="14" t="s">
        <v>720</v>
      </c>
      <c r="J316" s="14" t="s">
        <v>203</v>
      </c>
      <c r="K316" s="8" t="n">
        <v>1</v>
      </c>
      <c r="L316" s="8" t="n">
        <v>58</v>
      </c>
      <c r="M316" s="8" t="n">
        <v>3</v>
      </c>
      <c r="N316" s="8" t="n">
        <v>36</v>
      </c>
      <c r="O316" s="8" t="n">
        <v>7</v>
      </c>
      <c r="P316" s="9" t="n">
        <v>44.7619519973199</v>
      </c>
      <c r="Q316" s="10" t="n">
        <v>0.0223404019569985</v>
      </c>
      <c r="R316" s="9" t="n">
        <v>26</v>
      </c>
      <c r="S316" s="12" t="n">
        <f aca="false">IF(AND(ISNUMBER(R316),R316&gt;1,P316&gt;0),R316/P316-1,"")</f>
        <v>-0.419149549118038</v>
      </c>
      <c r="T316" s="9" t="n">
        <f aca="false">IF(AND(ISNUMBER(P316),P316&gt;0),P316*EXP('Read me'!$B$22),"")</f>
        <v>54.6723716301597</v>
      </c>
    </row>
    <row r="317" customFormat="false" ht="15" hidden="false" customHeight="false" outlineLevel="0" collapsed="false">
      <c r="A317" s="14" t="s">
        <v>225</v>
      </c>
      <c r="B317" s="14" t="s">
        <v>166</v>
      </c>
      <c r="C317" s="14" t="s">
        <v>226</v>
      </c>
      <c r="D317" s="14" t="s">
        <v>463</v>
      </c>
      <c r="E317" s="15" t="n">
        <v>7</v>
      </c>
      <c r="F317" s="14" t="s">
        <v>655</v>
      </c>
      <c r="G317" s="8" t="n">
        <v>10</v>
      </c>
      <c r="H317" s="14" t="s">
        <v>812</v>
      </c>
      <c r="I317" s="14" t="s">
        <v>679</v>
      </c>
      <c r="J317" s="14" t="s">
        <v>813</v>
      </c>
      <c r="K317" s="8" t="n">
        <v>11</v>
      </c>
      <c r="L317" s="8" t="n">
        <v>54</v>
      </c>
      <c r="M317" s="8" t="n">
        <v>3</v>
      </c>
      <c r="N317" s="8" t="n">
        <v>3</v>
      </c>
      <c r="O317" s="8" t="n">
        <v>8</v>
      </c>
      <c r="P317" s="9" t="n">
        <v>45.0645086747593</v>
      </c>
      <c r="Q317" s="10" t="n">
        <v>0.0221904116877702</v>
      </c>
      <c r="R317" s="9" t="n">
        <v>26</v>
      </c>
      <c r="S317" s="12" t="n">
        <f aca="false">IF(AND(ISNUMBER(R317),R317&gt;1,P317&gt;0),R317/P317-1,"")</f>
        <v>-0.423049296117975</v>
      </c>
      <c r="T317" s="9" t="n">
        <f aca="false">IF(AND(ISNUMBER(P317),P317&gt;0),P317*EXP('Read me'!$B$22),"")</f>
        <v>55.0419151904839</v>
      </c>
    </row>
    <row r="318" customFormat="false" ht="15" hidden="false" customHeight="false" outlineLevel="0" collapsed="false">
      <c r="A318" s="14" t="s">
        <v>225</v>
      </c>
      <c r="B318" s="14" t="s">
        <v>166</v>
      </c>
      <c r="C318" s="14" t="s">
        <v>226</v>
      </c>
      <c r="D318" s="14" t="s">
        <v>463</v>
      </c>
      <c r="E318" s="15" t="n">
        <v>7</v>
      </c>
      <c r="F318" s="14" t="s">
        <v>655</v>
      </c>
      <c r="G318" s="8" t="n">
        <v>10</v>
      </c>
      <c r="H318" s="14" t="s">
        <v>814</v>
      </c>
      <c r="I318" s="14" t="s">
        <v>723</v>
      </c>
      <c r="J318" s="14" t="s">
        <v>815</v>
      </c>
      <c r="K318" s="8" t="n">
        <v>9</v>
      </c>
      <c r="L318" s="8" t="n">
        <v>47</v>
      </c>
      <c r="M318" s="8" t="n">
        <v>3</v>
      </c>
      <c r="N318" s="8" t="n">
        <v>42</v>
      </c>
      <c r="O318" s="8" t="n">
        <v>9</v>
      </c>
      <c r="P318" s="9" t="n">
        <v>67.4023561530539</v>
      </c>
      <c r="Q318" s="10" t="n">
        <v>0.0148362766092219</v>
      </c>
      <c r="R318" s="9" t="n">
        <v>67</v>
      </c>
      <c r="S318" s="12" t="n">
        <f aca="false">IF(AND(ISNUMBER(R318),R318&gt;1,P318&gt;0),R318/P318-1,"")</f>
        <v>-0.00596946718213032</v>
      </c>
      <c r="T318" s="9" t="n">
        <f aca="false">IF(AND(ISNUMBER(P318),P318&gt;0),P318*EXP('Read me'!$B$22),"")</f>
        <v>82.3254237118342</v>
      </c>
    </row>
    <row r="319" customFormat="false" ht="15" hidden="false" customHeight="false" outlineLevel="0" collapsed="false">
      <c r="A319" s="14" t="s">
        <v>225</v>
      </c>
      <c r="B319" s="14" t="s">
        <v>166</v>
      </c>
      <c r="C319" s="14" t="s">
        <v>226</v>
      </c>
      <c r="D319" s="14" t="s">
        <v>463</v>
      </c>
      <c r="E319" s="15" t="n">
        <v>7</v>
      </c>
      <c r="F319" s="14" t="s">
        <v>655</v>
      </c>
      <c r="G319" s="8" t="n">
        <v>10</v>
      </c>
      <c r="H319" s="14" t="s">
        <v>816</v>
      </c>
      <c r="I319" s="14" t="s">
        <v>663</v>
      </c>
      <c r="J319" s="14" t="s">
        <v>813</v>
      </c>
      <c r="K319" s="8" t="n">
        <v>4</v>
      </c>
      <c r="L319" s="8" t="n">
        <v>46</v>
      </c>
      <c r="M319" s="8" t="n">
        <v>3</v>
      </c>
      <c r="N319" s="8" t="n">
        <v>7</v>
      </c>
      <c r="O319" s="8" t="n">
        <v>10</v>
      </c>
      <c r="P319" s="9" t="n">
        <v>376.671963661971</v>
      </c>
      <c r="Q319" s="10" t="n">
        <v>0.0026548299222434</v>
      </c>
      <c r="R319" s="9" t="n">
        <v>201</v>
      </c>
      <c r="S319" s="12" t="n">
        <f aca="false">IF(AND(ISNUMBER(R319),R319&gt;1,P319&gt;0),R319/P319-1,"")</f>
        <v>-0.466379185629066</v>
      </c>
      <c r="T319" s="9" t="n">
        <f aca="false">IF(AND(ISNUMBER(P319),P319&gt;0),P319*EXP('Read me'!$B$22),"")</f>
        <v>460.068175338339</v>
      </c>
    </row>
    <row r="320" customFormat="false" ht="15" hidden="false" customHeight="false" outlineLevel="0" collapsed="false">
      <c r="A320" s="14" t="s">
        <v>231</v>
      </c>
      <c r="B320" s="14" t="s">
        <v>166</v>
      </c>
      <c r="C320" s="14" t="s">
        <v>232</v>
      </c>
      <c r="D320" s="14" t="s">
        <v>422</v>
      </c>
      <c r="E320" s="15" t="n">
        <v>6</v>
      </c>
      <c r="F320" s="14" t="s">
        <v>655</v>
      </c>
      <c r="G320" s="8" t="n">
        <v>8</v>
      </c>
      <c r="H320" s="14" t="s">
        <v>233</v>
      </c>
      <c r="I320" s="14" t="s">
        <v>196</v>
      </c>
      <c r="J320" s="14" t="s">
        <v>234</v>
      </c>
      <c r="K320" s="8" t="n">
        <v>3</v>
      </c>
      <c r="L320" s="8" t="n">
        <v>0</v>
      </c>
      <c r="M320" s="8" t="n">
        <v>2</v>
      </c>
      <c r="N320" s="8"/>
      <c r="O320" s="8" t="n">
        <v>1</v>
      </c>
      <c r="P320" s="9" t="n">
        <v>1.90050609740764</v>
      </c>
      <c r="Q320" s="10" t="n">
        <v>0.526175633618874</v>
      </c>
      <c r="R320" s="9" t="n">
        <v>1.53333333333333</v>
      </c>
      <c r="S320" s="12" t="n">
        <f aca="false">IF(AND(ISNUMBER(R320),R320&gt;1,P320&gt;0),R320/P320-1,"")</f>
        <v>-0.193197361784393</v>
      </c>
      <c r="T320" s="9" t="n">
        <f aca="false">IF(AND(ISNUMBER(P320),P320&gt;0),P320*EXP('Read me'!$B$22),"")</f>
        <v>2.32128338927391</v>
      </c>
    </row>
    <row r="321" customFormat="false" ht="15" hidden="false" customHeight="false" outlineLevel="0" collapsed="false">
      <c r="A321" s="14" t="s">
        <v>231</v>
      </c>
      <c r="B321" s="14" t="s">
        <v>166</v>
      </c>
      <c r="C321" s="14" t="s">
        <v>232</v>
      </c>
      <c r="D321" s="14" t="s">
        <v>422</v>
      </c>
      <c r="E321" s="15" t="n">
        <v>6</v>
      </c>
      <c r="F321" s="14" t="s">
        <v>655</v>
      </c>
      <c r="G321" s="8" t="n">
        <v>8</v>
      </c>
      <c r="H321" s="14" t="s">
        <v>235</v>
      </c>
      <c r="I321" s="14" t="s">
        <v>239</v>
      </c>
      <c r="J321" s="14" t="s">
        <v>817</v>
      </c>
      <c r="K321" s="8" t="n">
        <v>2</v>
      </c>
      <c r="L321" s="8" t="n">
        <v>0</v>
      </c>
      <c r="M321" s="8" t="n">
        <v>2</v>
      </c>
      <c r="N321" s="8" t="n">
        <v>15</v>
      </c>
      <c r="O321" s="8" t="n">
        <v>2</v>
      </c>
      <c r="P321" s="9" t="n">
        <v>5.07781333325716</v>
      </c>
      <c r="Q321" s="10" t="n">
        <v>0.196935163695462</v>
      </c>
      <c r="R321" s="9" t="n">
        <v>9.5</v>
      </c>
      <c r="S321" s="12" t="n">
        <f aca="false">IF(AND(ISNUMBER(R321),R321&gt;1,P321&gt;0),R321/P321-1,"")</f>
        <v>0.870884055106892</v>
      </c>
      <c r="T321" s="9" t="n">
        <f aca="false">IF(AND(ISNUMBER(P321),P321&gt;0),P321*EXP('Read me'!$B$22),"")</f>
        <v>6.20205521066278</v>
      </c>
    </row>
    <row r="322" customFormat="false" ht="15" hidden="false" customHeight="false" outlineLevel="0" collapsed="false">
      <c r="A322" s="14" t="s">
        <v>231</v>
      </c>
      <c r="B322" s="14" t="s">
        <v>166</v>
      </c>
      <c r="C322" s="14" t="s">
        <v>232</v>
      </c>
      <c r="D322" s="14" t="s">
        <v>422</v>
      </c>
      <c r="E322" s="15" t="n">
        <v>6</v>
      </c>
      <c r="F322" s="14" t="s">
        <v>655</v>
      </c>
      <c r="G322" s="8" t="n">
        <v>8</v>
      </c>
      <c r="H322" s="14" t="s">
        <v>818</v>
      </c>
      <c r="I322" s="14" t="s">
        <v>249</v>
      </c>
      <c r="J322" s="14" t="s">
        <v>819</v>
      </c>
      <c r="K322" s="8" t="n">
        <v>8</v>
      </c>
      <c r="L322" s="8" t="n">
        <v>0</v>
      </c>
      <c r="M322" s="8" t="n">
        <v>2</v>
      </c>
      <c r="N322" s="8" t="n">
        <v>8</v>
      </c>
      <c r="O322" s="8" t="n">
        <v>3</v>
      </c>
      <c r="P322" s="9" t="n">
        <v>8.2034104586953</v>
      </c>
      <c r="Q322" s="10" t="n">
        <v>0.121900519916084</v>
      </c>
      <c r="R322" s="9" t="n">
        <v>4.5</v>
      </c>
      <c r="S322" s="12" t="n">
        <f aca="false">IF(AND(ISNUMBER(R322),R322&gt;1,P322&gt;0),R322/P322-1,"")</f>
        <v>-0.451447660377621</v>
      </c>
      <c r="T322" s="9" t="n">
        <f aca="false">IF(AND(ISNUMBER(P322),P322&gt;0),P322*EXP('Read me'!$B$22),"")</f>
        <v>10.0196681605704</v>
      </c>
    </row>
    <row r="323" customFormat="false" ht="15" hidden="false" customHeight="false" outlineLevel="0" collapsed="false">
      <c r="A323" s="14" t="s">
        <v>231</v>
      </c>
      <c r="B323" s="14" t="s">
        <v>166</v>
      </c>
      <c r="C323" s="14" t="s">
        <v>232</v>
      </c>
      <c r="D323" s="14" t="s">
        <v>422</v>
      </c>
      <c r="E323" s="15" t="n">
        <v>6</v>
      </c>
      <c r="F323" s="14" t="s">
        <v>655</v>
      </c>
      <c r="G323" s="8" t="n">
        <v>8</v>
      </c>
      <c r="H323" s="14" t="s">
        <v>820</v>
      </c>
      <c r="I323" s="14" t="s">
        <v>668</v>
      </c>
      <c r="J323" s="14" t="s">
        <v>821</v>
      </c>
      <c r="K323" s="8" t="n">
        <v>1</v>
      </c>
      <c r="L323" s="8" t="n">
        <v>0</v>
      </c>
      <c r="M323" s="8" t="n">
        <v>2</v>
      </c>
      <c r="N323" s="8" t="n">
        <v>67</v>
      </c>
      <c r="O323" s="8" t="n">
        <v>4</v>
      </c>
      <c r="P323" s="9" t="n">
        <v>15.7766552422153</v>
      </c>
      <c r="Q323" s="10" t="n">
        <v>0.0633847913038114</v>
      </c>
      <c r="R323" s="9" t="n">
        <v>8</v>
      </c>
      <c r="S323" s="12" t="n">
        <f aca="false">IF(AND(ISNUMBER(R323),R323&gt;1,P323&gt;0),R323/P323-1,"")</f>
        <v>-0.492921669569508</v>
      </c>
      <c r="T323" s="9" t="n">
        <f aca="false">IF(AND(ISNUMBER(P323),P323&gt;0),P323*EXP('Read me'!$B$22),"")</f>
        <v>19.2696502273839</v>
      </c>
    </row>
    <row r="324" customFormat="false" ht="15" hidden="false" customHeight="false" outlineLevel="0" collapsed="false">
      <c r="A324" s="14" t="s">
        <v>231</v>
      </c>
      <c r="B324" s="14" t="s">
        <v>166</v>
      </c>
      <c r="C324" s="14" t="s">
        <v>232</v>
      </c>
      <c r="D324" s="14" t="s">
        <v>422</v>
      </c>
      <c r="E324" s="15" t="n">
        <v>6</v>
      </c>
      <c r="F324" s="14" t="s">
        <v>655</v>
      </c>
      <c r="G324" s="8" t="n">
        <v>8</v>
      </c>
      <c r="H324" s="14" t="s">
        <v>822</v>
      </c>
      <c r="I324" s="14" t="s">
        <v>823</v>
      </c>
      <c r="J324" s="14" t="s">
        <v>53</v>
      </c>
      <c r="K324" s="8" t="n">
        <v>6</v>
      </c>
      <c r="L324" s="8" t="n">
        <v>0</v>
      </c>
      <c r="M324" s="8" t="n">
        <v>2</v>
      </c>
      <c r="N324" s="8"/>
      <c r="O324" s="8" t="n">
        <v>5</v>
      </c>
      <c r="P324" s="9" t="n">
        <v>19.7154940482416</v>
      </c>
      <c r="Q324" s="10" t="n">
        <v>0.0507215288418901</v>
      </c>
      <c r="R324" s="9" t="n">
        <v>15</v>
      </c>
      <c r="S324" s="12" t="n">
        <f aca="false">IF(AND(ISNUMBER(R324),R324&gt;1,P324&gt;0),R324/P324-1,"")</f>
        <v>-0.239177067371648</v>
      </c>
      <c r="T324" s="9" t="n">
        <f aca="false">IF(AND(ISNUMBER(P324),P324&gt;0),P324*EXP('Read me'!$B$22),"")</f>
        <v>24.0805588090127</v>
      </c>
    </row>
    <row r="325" customFormat="false" ht="15" hidden="false" customHeight="false" outlineLevel="0" collapsed="false">
      <c r="A325" s="14" t="s">
        <v>231</v>
      </c>
      <c r="B325" s="14" t="s">
        <v>166</v>
      </c>
      <c r="C325" s="14" t="s">
        <v>232</v>
      </c>
      <c r="D325" s="14" t="s">
        <v>422</v>
      </c>
      <c r="E325" s="15" t="n">
        <v>6</v>
      </c>
      <c r="F325" s="14" t="s">
        <v>655</v>
      </c>
      <c r="G325" s="8" t="n">
        <v>8</v>
      </c>
      <c r="H325" s="14" t="s">
        <v>824</v>
      </c>
      <c r="I325" s="14" t="s">
        <v>660</v>
      </c>
      <c r="J325" s="14" t="s">
        <v>197</v>
      </c>
      <c r="K325" s="8" t="n">
        <v>4</v>
      </c>
      <c r="L325" s="8" t="n">
        <v>0</v>
      </c>
      <c r="M325" s="8" t="n">
        <v>2</v>
      </c>
      <c r="N325" s="8" t="n">
        <v>11</v>
      </c>
      <c r="O325" s="8" t="n">
        <v>6</v>
      </c>
      <c r="P325" s="9" t="n">
        <v>36.8334245010516</v>
      </c>
      <c r="Q325" s="10" t="n">
        <v>0.0271492540687182</v>
      </c>
      <c r="R325" s="9" t="n">
        <v>34</v>
      </c>
      <c r="S325" s="12" t="n">
        <f aca="false">IF(AND(ISNUMBER(R325),R325&gt;1,P325&gt;0),R325/P325-1,"")</f>
        <v>-0.0769253616635798</v>
      </c>
      <c r="T325" s="9" t="n">
        <f aca="false">IF(AND(ISNUMBER(P325),P325&gt;0),P325*EXP('Read me'!$B$22),"")</f>
        <v>44.9884462780687</v>
      </c>
    </row>
    <row r="326" customFormat="false" ht="15" hidden="false" customHeight="false" outlineLevel="0" collapsed="false">
      <c r="A326" s="14" t="s">
        <v>231</v>
      </c>
      <c r="B326" s="14" t="s">
        <v>166</v>
      </c>
      <c r="C326" s="14" t="s">
        <v>232</v>
      </c>
      <c r="D326" s="14" t="s">
        <v>422</v>
      </c>
      <c r="E326" s="15" t="n">
        <v>6</v>
      </c>
      <c r="F326" s="14" t="s">
        <v>655</v>
      </c>
      <c r="G326" s="8" t="n">
        <v>8</v>
      </c>
      <c r="H326" s="14" t="s">
        <v>825</v>
      </c>
      <c r="I326" s="14" t="s">
        <v>826</v>
      </c>
      <c r="J326" s="14" t="s">
        <v>399</v>
      </c>
      <c r="K326" s="8" t="n">
        <v>7</v>
      </c>
      <c r="L326" s="8" t="n">
        <v>0</v>
      </c>
      <c r="M326" s="8" t="n">
        <v>2</v>
      </c>
      <c r="N326" s="8" t="n">
        <v>31</v>
      </c>
      <c r="O326" s="8" t="n">
        <v>7</v>
      </c>
      <c r="P326" s="9" t="n">
        <v>85.7618231247256</v>
      </c>
      <c r="Q326" s="10" t="n">
        <v>0.0116601998834105</v>
      </c>
      <c r="R326" s="9" t="n">
        <v>51</v>
      </c>
      <c r="S326" s="12" t="n">
        <f aca="false">IF(AND(ISNUMBER(R326),R326&gt;1,P326&gt;0),R326/P326-1,"")</f>
        <v>-0.405329805946063</v>
      </c>
      <c r="T326" s="9" t="n">
        <f aca="false">IF(AND(ISNUMBER(P326),P326&gt;0),P326*EXP('Read me'!$B$22),"")</f>
        <v>104.749727309385</v>
      </c>
    </row>
    <row r="327" customFormat="false" ht="15" hidden="false" customHeight="false" outlineLevel="0" collapsed="false">
      <c r="A327" s="14" t="s">
        <v>231</v>
      </c>
      <c r="B327" s="14" t="s">
        <v>166</v>
      </c>
      <c r="C327" s="14" t="s">
        <v>232</v>
      </c>
      <c r="D327" s="14" t="s">
        <v>422</v>
      </c>
      <c r="E327" s="15" t="n">
        <v>6</v>
      </c>
      <c r="F327" s="14" t="s">
        <v>655</v>
      </c>
      <c r="G327" s="8" t="n">
        <v>8</v>
      </c>
      <c r="H327" s="14" t="s">
        <v>827</v>
      </c>
      <c r="I327" s="14" t="s">
        <v>828</v>
      </c>
      <c r="J327" s="14" t="s">
        <v>102</v>
      </c>
      <c r="K327" s="8" t="n">
        <v>5</v>
      </c>
      <c r="L327" s="8" t="n">
        <v>0</v>
      </c>
      <c r="M327" s="8" t="n">
        <v>2</v>
      </c>
      <c r="N327" s="8" t="n">
        <v>14</v>
      </c>
      <c r="O327" s="8" t="n">
        <v>8</v>
      </c>
      <c r="P327" s="9" t="n">
        <v>482.413920897133</v>
      </c>
      <c r="Q327" s="10" t="n">
        <v>0.0020729086717487</v>
      </c>
      <c r="R327" s="9" t="n">
        <v>201</v>
      </c>
      <c r="S327" s="12" t="n">
        <f aca="false">IF(AND(ISNUMBER(R327),R327&gt;1,P327&gt;0),R327/P327-1,"")</f>
        <v>-0.583345356978494</v>
      </c>
      <c r="T327" s="9" t="n">
        <f aca="false">IF(AND(ISNUMBER(P327),P327&gt;0),P327*EXP('Read me'!$B$22),"")</f>
        <v>589.221693558621</v>
      </c>
    </row>
    <row r="328" customFormat="false" ht="15" hidden="false" customHeight="false" outlineLevel="0" collapsed="false">
      <c r="A328" s="14" t="s">
        <v>236</v>
      </c>
      <c r="B328" s="14" t="s">
        <v>166</v>
      </c>
      <c r="C328" s="14" t="s">
        <v>237</v>
      </c>
      <c r="D328" s="14" t="s">
        <v>463</v>
      </c>
      <c r="E328" s="15" t="n">
        <v>6</v>
      </c>
      <c r="F328" s="14" t="s">
        <v>655</v>
      </c>
      <c r="G328" s="8" t="n">
        <v>11</v>
      </c>
      <c r="H328" s="14" t="s">
        <v>238</v>
      </c>
      <c r="I328" s="14" t="s">
        <v>239</v>
      </c>
      <c r="J328" s="14" t="s">
        <v>218</v>
      </c>
      <c r="K328" s="8" t="n">
        <v>8</v>
      </c>
      <c r="L328" s="8" t="n">
        <v>68</v>
      </c>
      <c r="M328" s="8" t="n">
        <v>4</v>
      </c>
      <c r="N328" s="8" t="n">
        <v>6</v>
      </c>
      <c r="O328" s="8" t="n">
        <v>1</v>
      </c>
      <c r="P328" s="9" t="n">
        <v>4.1194878763523</v>
      </c>
      <c r="Q328" s="10" t="n">
        <v>0.242748620706095</v>
      </c>
      <c r="R328" s="9" t="n">
        <v>1.83333333333333</v>
      </c>
      <c r="S328" s="12" t="n">
        <f aca="false">IF(AND(ISNUMBER(R328),R328&gt;1,P328&gt;0),R328/P328-1,"")</f>
        <v>-0.554960862038827</v>
      </c>
      <c r="T328" s="9" t="n">
        <f aca="false">IF(AND(ISNUMBER(P328),P328&gt;0),P328*EXP('Read me'!$B$22),"")</f>
        <v>5.03155385438408</v>
      </c>
    </row>
    <row r="329" customFormat="false" ht="15" hidden="false" customHeight="false" outlineLevel="0" collapsed="false">
      <c r="A329" s="14" t="s">
        <v>236</v>
      </c>
      <c r="B329" s="14" t="s">
        <v>166</v>
      </c>
      <c r="C329" s="14" t="s">
        <v>237</v>
      </c>
      <c r="D329" s="14" t="s">
        <v>463</v>
      </c>
      <c r="E329" s="15" t="n">
        <v>6</v>
      </c>
      <c r="F329" s="14" t="s">
        <v>655</v>
      </c>
      <c r="G329" s="8" t="n">
        <v>11</v>
      </c>
      <c r="H329" s="14" t="s">
        <v>240</v>
      </c>
      <c r="I329" s="14" t="s">
        <v>196</v>
      </c>
      <c r="J329" s="14" t="s">
        <v>328</v>
      </c>
      <c r="K329" s="8" t="n">
        <v>5</v>
      </c>
      <c r="L329" s="8" t="n">
        <v>61</v>
      </c>
      <c r="M329" s="8" t="n">
        <v>4</v>
      </c>
      <c r="N329" s="8" t="n">
        <v>28</v>
      </c>
      <c r="O329" s="8" t="n">
        <v>2</v>
      </c>
      <c r="P329" s="9" t="n">
        <v>6.02194567595511</v>
      </c>
      <c r="Q329" s="10" t="n">
        <v>0.166059286119581</v>
      </c>
      <c r="R329" s="9" t="n">
        <v>9</v>
      </c>
      <c r="S329" s="12" t="n">
        <f aca="false">IF(AND(ISNUMBER(R329),R329&gt;1,P329&gt;0),R329/P329-1,"")</f>
        <v>0.494533575076225</v>
      </c>
      <c r="T329" s="9" t="n">
        <f aca="false">IF(AND(ISNUMBER(P329),P329&gt;0),P329*EXP('Read me'!$B$22),"")</f>
        <v>7.35522105810228</v>
      </c>
    </row>
    <row r="330" customFormat="false" ht="15" hidden="false" customHeight="false" outlineLevel="0" collapsed="false">
      <c r="A330" s="14" t="s">
        <v>236</v>
      </c>
      <c r="B330" s="14" t="s">
        <v>166</v>
      </c>
      <c r="C330" s="14" t="s">
        <v>237</v>
      </c>
      <c r="D330" s="14" t="s">
        <v>463</v>
      </c>
      <c r="E330" s="15" t="n">
        <v>6</v>
      </c>
      <c r="F330" s="14" t="s">
        <v>655</v>
      </c>
      <c r="G330" s="8" t="n">
        <v>11</v>
      </c>
      <c r="H330" s="14" t="s">
        <v>829</v>
      </c>
      <c r="I330" s="14" t="s">
        <v>658</v>
      </c>
      <c r="J330" s="14" t="s">
        <v>830</v>
      </c>
      <c r="K330" s="8" t="n">
        <v>7</v>
      </c>
      <c r="L330" s="8" t="n">
        <v>58</v>
      </c>
      <c r="M330" s="8" t="n">
        <v>4</v>
      </c>
      <c r="N330" s="8" t="n">
        <v>8</v>
      </c>
      <c r="O330" s="8" t="n">
        <v>3</v>
      </c>
      <c r="P330" s="9" t="n">
        <v>6.05271359291444</v>
      </c>
      <c r="Q330" s="10" t="n">
        <v>0.165215152616942</v>
      </c>
      <c r="R330" s="9" t="n">
        <v>8</v>
      </c>
      <c r="S330" s="12" t="n">
        <f aca="false">IF(AND(ISNUMBER(R330),R330&gt;1,P330&gt;0),R330/P330-1,"")</f>
        <v>0.321721220935538</v>
      </c>
      <c r="T330" s="9" t="n">
        <f aca="false">IF(AND(ISNUMBER(P330),P330&gt;0),P330*EXP('Read me'!$B$22),"")</f>
        <v>7.39280107673925</v>
      </c>
    </row>
    <row r="331" customFormat="false" ht="15" hidden="false" customHeight="false" outlineLevel="0" collapsed="false">
      <c r="A331" s="14" t="s">
        <v>236</v>
      </c>
      <c r="B331" s="14" t="s">
        <v>166</v>
      </c>
      <c r="C331" s="14" t="s">
        <v>237</v>
      </c>
      <c r="D331" s="14" t="s">
        <v>463</v>
      </c>
      <c r="E331" s="15" t="n">
        <v>6</v>
      </c>
      <c r="F331" s="14" t="s">
        <v>655</v>
      </c>
      <c r="G331" s="8" t="n">
        <v>11</v>
      </c>
      <c r="H331" s="14" t="s">
        <v>831</v>
      </c>
      <c r="I331" s="14" t="s">
        <v>787</v>
      </c>
      <c r="J331" s="14" t="s">
        <v>810</v>
      </c>
      <c r="K331" s="8" t="n">
        <v>2</v>
      </c>
      <c r="L331" s="8" t="n">
        <v>63</v>
      </c>
      <c r="M331" s="8" t="n">
        <v>3</v>
      </c>
      <c r="N331" s="8" t="n">
        <v>13</v>
      </c>
      <c r="O331" s="8" t="n">
        <v>4</v>
      </c>
      <c r="P331" s="9" t="n">
        <v>7.23165385628945</v>
      </c>
      <c r="Q331" s="10" t="n">
        <v>0.13828095479574</v>
      </c>
      <c r="R331" s="9" t="n">
        <v>7</v>
      </c>
      <c r="S331" s="12" t="n">
        <f aca="false">IF(AND(ISNUMBER(R331),R331&gt;1,P331&gt;0),R331/P331-1,"")</f>
        <v>-0.0320333164298201</v>
      </c>
      <c r="T331" s="9" t="n">
        <f aca="false">IF(AND(ISNUMBER(P331),P331&gt;0),P331*EXP('Read me'!$B$22),"")</f>
        <v>8.83276196613156</v>
      </c>
    </row>
    <row r="332" customFormat="false" ht="15" hidden="false" customHeight="false" outlineLevel="0" collapsed="false">
      <c r="A332" s="14" t="s">
        <v>236</v>
      </c>
      <c r="B332" s="14" t="s">
        <v>166</v>
      </c>
      <c r="C332" s="14" t="s">
        <v>237</v>
      </c>
      <c r="D332" s="14" t="s">
        <v>463</v>
      </c>
      <c r="E332" s="15" t="n">
        <v>6</v>
      </c>
      <c r="F332" s="14" t="s">
        <v>655</v>
      </c>
      <c r="G332" s="8" t="n">
        <v>11</v>
      </c>
      <c r="H332" s="14" t="s">
        <v>832</v>
      </c>
      <c r="I332" s="14" t="s">
        <v>249</v>
      </c>
      <c r="J332" s="14" t="s">
        <v>833</v>
      </c>
      <c r="K332" s="8" t="n">
        <v>6</v>
      </c>
      <c r="L332" s="8" t="n">
        <v>64</v>
      </c>
      <c r="M332" s="8" t="n">
        <v>3</v>
      </c>
      <c r="N332" s="8" t="n">
        <v>26</v>
      </c>
      <c r="O332" s="8" t="n">
        <v>5</v>
      </c>
      <c r="P332" s="9" t="n">
        <v>11.0290548187633</v>
      </c>
      <c r="Q332" s="10" t="n">
        <v>0.090669601015922</v>
      </c>
      <c r="R332" s="9" t="n">
        <v>15</v>
      </c>
      <c r="S332" s="12" t="n">
        <f aca="false">IF(AND(ISNUMBER(R332),R332&gt;1,P332&gt;0),R332/P332-1,"")</f>
        <v>0.360044015238832</v>
      </c>
      <c r="T332" s="9" t="n">
        <f aca="false">IF(AND(ISNUMBER(P332),P332&gt;0),P332*EXP('Read me'!$B$22),"")</f>
        <v>13.4709179755372</v>
      </c>
    </row>
    <row r="333" customFormat="false" ht="15" hidden="false" customHeight="false" outlineLevel="0" collapsed="false">
      <c r="A333" s="14" t="s">
        <v>236</v>
      </c>
      <c r="B333" s="14" t="s">
        <v>166</v>
      </c>
      <c r="C333" s="14" t="s">
        <v>237</v>
      </c>
      <c r="D333" s="14" t="s">
        <v>463</v>
      </c>
      <c r="E333" s="15" t="n">
        <v>6</v>
      </c>
      <c r="F333" s="14" t="s">
        <v>655</v>
      </c>
      <c r="G333" s="8" t="n">
        <v>11</v>
      </c>
      <c r="H333" s="14" t="s">
        <v>834</v>
      </c>
      <c r="I333" s="14" t="s">
        <v>668</v>
      </c>
      <c r="J333" s="14" t="s">
        <v>546</v>
      </c>
      <c r="K333" s="8" t="n">
        <v>3</v>
      </c>
      <c r="L333" s="8" t="n">
        <v>63</v>
      </c>
      <c r="M333" s="8" t="n">
        <v>3</v>
      </c>
      <c r="N333" s="8" t="n">
        <v>21</v>
      </c>
      <c r="O333" s="8" t="n">
        <v>6</v>
      </c>
      <c r="P333" s="9" t="n">
        <v>14.8480159965694</v>
      </c>
      <c r="Q333" s="10" t="n">
        <v>0.0673490653721716</v>
      </c>
      <c r="R333" s="9" t="n">
        <v>15</v>
      </c>
      <c r="S333" s="12" t="n">
        <f aca="false">IF(AND(ISNUMBER(R333),R333&gt;1,P333&gt;0),R333/P333-1,"")</f>
        <v>0.0102359805825745</v>
      </c>
      <c r="T333" s="9" t="n">
        <f aca="false">IF(AND(ISNUMBER(P333),P333&gt;0),P333*EXP('Read me'!$B$22),"")</f>
        <v>18.1354076914161</v>
      </c>
    </row>
    <row r="334" customFormat="false" ht="15" hidden="false" customHeight="false" outlineLevel="0" collapsed="false">
      <c r="A334" s="14" t="s">
        <v>236</v>
      </c>
      <c r="B334" s="14" t="s">
        <v>166</v>
      </c>
      <c r="C334" s="14" t="s">
        <v>237</v>
      </c>
      <c r="D334" s="14" t="s">
        <v>463</v>
      </c>
      <c r="E334" s="15" t="n">
        <v>6</v>
      </c>
      <c r="F334" s="14" t="s">
        <v>655</v>
      </c>
      <c r="G334" s="8" t="n">
        <v>11</v>
      </c>
      <c r="H334" s="14" t="s">
        <v>835</v>
      </c>
      <c r="I334" s="14" t="s">
        <v>836</v>
      </c>
      <c r="J334" s="14" t="s">
        <v>159</v>
      </c>
      <c r="K334" s="8" t="n">
        <v>4</v>
      </c>
      <c r="L334" s="8" t="n">
        <v>62</v>
      </c>
      <c r="M334" s="8" t="n">
        <v>7</v>
      </c>
      <c r="N334" s="8" t="n">
        <v>12</v>
      </c>
      <c r="O334" s="8" t="n">
        <v>7</v>
      </c>
      <c r="P334" s="9" t="n">
        <v>15.2156652046589</v>
      </c>
      <c r="Q334" s="10" t="n">
        <v>0.0657217404924112</v>
      </c>
      <c r="R334" s="9" t="n">
        <v>17</v>
      </c>
      <c r="S334" s="12" t="n">
        <f aca="false">IF(AND(ISNUMBER(R334),R334&gt;1,P334&gt;0),R334/P334-1,"")</f>
        <v>0.117269588370991</v>
      </c>
      <c r="T334" s="9" t="n">
        <f aca="false">IF(AND(ISNUMBER(P334),P334&gt;0),P334*EXP('Read me'!$B$22),"")</f>
        <v>18.584455448212</v>
      </c>
    </row>
    <row r="335" customFormat="false" ht="15" hidden="false" customHeight="false" outlineLevel="0" collapsed="false">
      <c r="A335" s="14" t="s">
        <v>236</v>
      </c>
      <c r="B335" s="14" t="s">
        <v>166</v>
      </c>
      <c r="C335" s="14" t="s">
        <v>237</v>
      </c>
      <c r="D335" s="14" t="s">
        <v>463</v>
      </c>
      <c r="E335" s="15" t="n">
        <v>6</v>
      </c>
      <c r="F335" s="14" t="s">
        <v>655</v>
      </c>
      <c r="G335" s="8" t="n">
        <v>11</v>
      </c>
      <c r="H335" s="14" t="s">
        <v>837</v>
      </c>
      <c r="I335" s="14" t="s">
        <v>679</v>
      </c>
      <c r="J335" s="14" t="s">
        <v>633</v>
      </c>
      <c r="K335" s="8" t="n">
        <v>12</v>
      </c>
      <c r="L335" s="8" t="n">
        <v>65</v>
      </c>
      <c r="M335" s="8" t="n">
        <v>3</v>
      </c>
      <c r="N335" s="8" t="n">
        <v>32</v>
      </c>
      <c r="O335" s="8" t="n">
        <v>8</v>
      </c>
      <c r="P335" s="9" t="n">
        <v>22.6998386285988</v>
      </c>
      <c r="Q335" s="10" t="n">
        <v>0.0440531766045302</v>
      </c>
      <c r="R335" s="9" t="n">
        <v>34</v>
      </c>
      <c r="S335" s="12" t="n">
        <f aca="false">IF(AND(ISNUMBER(R335),R335&gt;1,P335&gt;0),R335/P335-1,"")</f>
        <v>0.497808004554029</v>
      </c>
      <c r="T335" s="9" t="n">
        <f aca="false">IF(AND(ISNUMBER(P335),P335&gt;0),P335*EXP('Read me'!$B$22),"")</f>
        <v>27.7256455107613</v>
      </c>
    </row>
    <row r="336" customFormat="false" ht="15" hidden="false" customHeight="false" outlineLevel="0" collapsed="false">
      <c r="A336" s="14" t="s">
        <v>236</v>
      </c>
      <c r="B336" s="14" t="s">
        <v>166</v>
      </c>
      <c r="C336" s="14" t="s">
        <v>237</v>
      </c>
      <c r="D336" s="14" t="s">
        <v>463</v>
      </c>
      <c r="E336" s="15" t="n">
        <v>6</v>
      </c>
      <c r="F336" s="14" t="s">
        <v>655</v>
      </c>
      <c r="G336" s="8" t="n">
        <v>11</v>
      </c>
      <c r="H336" s="14" t="s">
        <v>838</v>
      </c>
      <c r="I336" s="14" t="s">
        <v>663</v>
      </c>
      <c r="J336" s="14" t="s">
        <v>839</v>
      </c>
      <c r="K336" s="8" t="n">
        <v>1</v>
      </c>
      <c r="L336" s="8" t="n">
        <v>46</v>
      </c>
      <c r="M336" s="8" t="n">
        <v>3</v>
      </c>
      <c r="N336" s="8" t="n">
        <v>43</v>
      </c>
      <c r="O336" s="8" t="n">
        <v>9</v>
      </c>
      <c r="P336" s="9" t="n">
        <v>94.0324968255174</v>
      </c>
      <c r="Q336" s="10" t="n">
        <v>0.0106346213677124</v>
      </c>
      <c r="R336" s="9" t="n">
        <v>23</v>
      </c>
      <c r="S336" s="12" t="n">
        <f aca="false">IF(AND(ISNUMBER(R336),R336&gt;1,P336&gt;0),R336/P336-1,"")</f>
        <v>-0.755403708542614</v>
      </c>
      <c r="T336" s="9" t="n">
        <f aca="false">IF(AND(ISNUMBER(P336),P336&gt;0),P336*EXP('Read me'!$B$22),"")</f>
        <v>114.851550979374</v>
      </c>
    </row>
    <row r="337" customFormat="false" ht="15" hidden="false" customHeight="false" outlineLevel="0" collapsed="false">
      <c r="A337" s="14" t="s">
        <v>236</v>
      </c>
      <c r="B337" s="14" t="s">
        <v>166</v>
      </c>
      <c r="C337" s="14" t="s">
        <v>237</v>
      </c>
      <c r="D337" s="14" t="s">
        <v>463</v>
      </c>
      <c r="E337" s="15" t="n">
        <v>6</v>
      </c>
      <c r="F337" s="14" t="s">
        <v>655</v>
      </c>
      <c r="G337" s="8" t="n">
        <v>11</v>
      </c>
      <c r="H337" s="14" t="s">
        <v>840</v>
      </c>
      <c r="I337" s="14" t="s">
        <v>841</v>
      </c>
      <c r="J337" s="14" t="s">
        <v>602</v>
      </c>
      <c r="K337" s="8" t="n">
        <v>9</v>
      </c>
      <c r="L337" s="8" t="n">
        <v>52</v>
      </c>
      <c r="M337" s="8" t="n">
        <v>3</v>
      </c>
      <c r="N337" s="8" t="n">
        <v>7</v>
      </c>
      <c r="O337" s="8" t="n">
        <v>10</v>
      </c>
      <c r="P337" s="9" t="n">
        <v>133.45546072116</v>
      </c>
      <c r="Q337" s="10" t="n">
        <v>0.0074931366209838</v>
      </c>
      <c r="R337" s="9" t="n">
        <v>126</v>
      </c>
      <c r="S337" s="12" t="n">
        <f aca="false">IF(AND(ISNUMBER(R337),R337&gt;1,P337&gt;0),R337/P337-1,"")</f>
        <v>-0.0558647857560337</v>
      </c>
      <c r="T337" s="9" t="n">
        <f aca="false">IF(AND(ISNUMBER(P337),P337&gt;0),P337*EXP('Read me'!$B$22),"")</f>
        <v>163.002867816362</v>
      </c>
    </row>
    <row r="338" customFormat="false" ht="15" hidden="false" customHeight="false" outlineLevel="0" collapsed="false">
      <c r="A338" s="14" t="s">
        <v>236</v>
      </c>
      <c r="B338" s="14" t="s">
        <v>166</v>
      </c>
      <c r="C338" s="14" t="s">
        <v>237</v>
      </c>
      <c r="D338" s="14" t="s">
        <v>463</v>
      </c>
      <c r="E338" s="15" t="n">
        <v>6</v>
      </c>
      <c r="F338" s="14" t="s">
        <v>655</v>
      </c>
      <c r="G338" s="8" t="n">
        <v>11</v>
      </c>
      <c r="H338" s="14" t="s">
        <v>842</v>
      </c>
      <c r="I338" s="14" t="s">
        <v>228</v>
      </c>
      <c r="J338" s="14" t="s">
        <v>843</v>
      </c>
      <c r="K338" s="8" t="n">
        <v>11</v>
      </c>
      <c r="L338" s="8" t="n">
        <v>47</v>
      </c>
      <c r="M338" s="8" t="n">
        <v>7</v>
      </c>
      <c r="N338" s="8" t="n">
        <v>31</v>
      </c>
      <c r="O338" s="8" t="n">
        <v>11</v>
      </c>
      <c r="P338" s="9" t="n">
        <v>563.493206391804</v>
      </c>
      <c r="Q338" s="10" t="n">
        <v>0.0017746442879112</v>
      </c>
      <c r="R338" s="9" t="n">
        <v>81</v>
      </c>
      <c r="S338" s="12" t="n">
        <f aca="false">IF(AND(ISNUMBER(R338),R338&gt;1,P338&gt;0),R338/P338-1,"")</f>
        <v>-0.85625381267919</v>
      </c>
      <c r="T338" s="9" t="n">
        <f aca="false">IF(AND(ISNUMBER(P338),P338&gt;0),P338*EXP('Read me'!$B$22),"")</f>
        <v>688.252156491468</v>
      </c>
    </row>
    <row r="339" customFormat="false" ht="15" hidden="false" customHeight="false" outlineLevel="0" collapsed="false">
      <c r="A339" s="14" t="s">
        <v>241</v>
      </c>
      <c r="B339" s="14" t="s">
        <v>166</v>
      </c>
      <c r="C339" s="14" t="s">
        <v>242</v>
      </c>
      <c r="D339" s="14" t="s">
        <v>463</v>
      </c>
      <c r="E339" s="15" t="n">
        <v>16.5</v>
      </c>
      <c r="F339" s="14" t="s">
        <v>655</v>
      </c>
      <c r="G339" s="8" t="n">
        <v>11</v>
      </c>
      <c r="H339" s="14" t="s">
        <v>243</v>
      </c>
      <c r="I339" s="14" t="s">
        <v>196</v>
      </c>
      <c r="J339" s="14" t="s">
        <v>244</v>
      </c>
      <c r="K339" s="8" t="n">
        <v>4</v>
      </c>
      <c r="L339" s="8" t="n">
        <v>49</v>
      </c>
      <c r="M339" s="8" t="n">
        <v>3</v>
      </c>
      <c r="N339" s="8" t="n">
        <v>8</v>
      </c>
      <c r="O339" s="8" t="n">
        <v>1</v>
      </c>
      <c r="P339" s="9" t="n">
        <v>2.64139409550695</v>
      </c>
      <c r="Q339" s="10" t="n">
        <v>0.378587959176942</v>
      </c>
      <c r="R339" s="9" t="n">
        <v>2.25</v>
      </c>
      <c r="S339" s="12" t="n">
        <f aca="false">IF(AND(ISNUMBER(R339),R339&gt;1,P339&gt;0),R339/P339-1,"")</f>
        <v>-0.148177091851882</v>
      </c>
      <c r="T339" s="9" t="n">
        <f aca="false">IF(AND(ISNUMBER(P339),P339&gt;0),P339*EXP('Read me'!$B$22),"")</f>
        <v>3.22620603364018</v>
      </c>
    </row>
    <row r="340" customFormat="false" ht="15" hidden="false" customHeight="false" outlineLevel="0" collapsed="false">
      <c r="A340" s="14" t="s">
        <v>241</v>
      </c>
      <c r="B340" s="14" t="s">
        <v>166</v>
      </c>
      <c r="C340" s="14" t="s">
        <v>242</v>
      </c>
      <c r="D340" s="14" t="s">
        <v>463</v>
      </c>
      <c r="E340" s="15" t="n">
        <v>16.5</v>
      </c>
      <c r="F340" s="14" t="s">
        <v>655</v>
      </c>
      <c r="G340" s="8" t="n">
        <v>11</v>
      </c>
      <c r="H340" s="14" t="s">
        <v>245</v>
      </c>
      <c r="I340" s="14" t="s">
        <v>787</v>
      </c>
      <c r="J340" s="14" t="s">
        <v>159</v>
      </c>
      <c r="K340" s="8" t="n">
        <v>11</v>
      </c>
      <c r="L340" s="8" t="n">
        <v>46</v>
      </c>
      <c r="M340" s="8" t="n">
        <v>4</v>
      </c>
      <c r="N340" s="8" t="n">
        <v>14</v>
      </c>
      <c r="O340" s="8" t="n">
        <v>2</v>
      </c>
      <c r="P340" s="9" t="n">
        <v>3.82011220033712</v>
      </c>
      <c r="Q340" s="10" t="n">
        <v>0.261772415980806</v>
      </c>
      <c r="R340" s="9" t="n">
        <v>3.75</v>
      </c>
      <c r="S340" s="12" t="n">
        <f aca="false">IF(AND(ISNUMBER(R340),R340&gt;1,P340&gt;0),R340/P340-1,"")</f>
        <v>-0.0183534400719777</v>
      </c>
      <c r="T340" s="9" t="n">
        <f aca="false">IF(AND(ISNUMBER(P340),P340&gt;0),P340*EXP('Read me'!$B$22),"")</f>
        <v>4.66589557797307</v>
      </c>
    </row>
    <row r="341" customFormat="false" ht="15" hidden="false" customHeight="false" outlineLevel="0" collapsed="false">
      <c r="A341" s="14" t="s">
        <v>241</v>
      </c>
      <c r="B341" s="14" t="s">
        <v>166</v>
      </c>
      <c r="C341" s="14" t="s">
        <v>242</v>
      </c>
      <c r="D341" s="14" t="s">
        <v>463</v>
      </c>
      <c r="E341" s="15" t="n">
        <v>16.5</v>
      </c>
      <c r="F341" s="14" t="s">
        <v>655</v>
      </c>
      <c r="G341" s="8" t="n">
        <v>11</v>
      </c>
      <c r="H341" s="14" t="s">
        <v>844</v>
      </c>
      <c r="I341" s="14" t="s">
        <v>668</v>
      </c>
      <c r="J341" s="14" t="s">
        <v>741</v>
      </c>
      <c r="K341" s="8" t="n">
        <v>2</v>
      </c>
      <c r="L341" s="8" t="n">
        <v>55</v>
      </c>
      <c r="M341" s="8" t="n">
        <v>10</v>
      </c>
      <c r="N341" s="8" t="n">
        <v>11</v>
      </c>
      <c r="O341" s="8" t="n">
        <v>3</v>
      </c>
      <c r="P341" s="9" t="n">
        <v>10.4362545252044</v>
      </c>
      <c r="Q341" s="10" t="n">
        <v>0.0958198171178098</v>
      </c>
      <c r="R341" s="9" t="n">
        <v>7</v>
      </c>
      <c r="S341" s="12" t="n">
        <f aca="false">IF(AND(ISNUMBER(R341),R341&gt;1,P341&gt;0),R341/P341-1,"")</f>
        <v>-0.32926128017533</v>
      </c>
      <c r="T341" s="9" t="n">
        <f aca="false">IF(AND(ISNUMBER(P341),P341&gt;0),P341*EXP('Read me'!$B$22),"")</f>
        <v>12.7468700619462</v>
      </c>
    </row>
    <row r="342" customFormat="false" ht="15" hidden="false" customHeight="false" outlineLevel="0" collapsed="false">
      <c r="A342" s="14" t="s">
        <v>241</v>
      </c>
      <c r="B342" s="14" t="s">
        <v>166</v>
      </c>
      <c r="C342" s="14" t="s">
        <v>242</v>
      </c>
      <c r="D342" s="14" t="s">
        <v>463</v>
      </c>
      <c r="E342" s="15" t="n">
        <v>16.5</v>
      </c>
      <c r="F342" s="14" t="s">
        <v>655</v>
      </c>
      <c r="G342" s="8" t="n">
        <v>11</v>
      </c>
      <c r="H342" s="14" t="s">
        <v>845</v>
      </c>
      <c r="I342" s="14" t="s">
        <v>681</v>
      </c>
      <c r="J342" s="14" t="s">
        <v>218</v>
      </c>
      <c r="K342" s="8" t="n">
        <v>6</v>
      </c>
      <c r="L342" s="8" t="n">
        <v>46</v>
      </c>
      <c r="M342" s="8" t="n">
        <v>3</v>
      </c>
      <c r="N342" s="8" t="n">
        <v>24</v>
      </c>
      <c r="O342" s="8" t="n">
        <v>4</v>
      </c>
      <c r="P342" s="9" t="n">
        <v>11.378273939324</v>
      </c>
      <c r="Q342" s="10" t="n">
        <v>0.0878867924372902</v>
      </c>
      <c r="R342" s="9" t="n">
        <v>6.5</v>
      </c>
      <c r="S342" s="12" t="n">
        <f aca="false">IF(AND(ISNUMBER(R342),R342&gt;1,P342&gt;0),R342/P342-1,"")</f>
        <v>-0.428735849157614</v>
      </c>
      <c r="T342" s="9" t="n">
        <f aca="false">IF(AND(ISNUMBER(P342),P342&gt;0),P342*EXP('Read me'!$B$22),"")</f>
        <v>13.8974551725924</v>
      </c>
    </row>
    <row r="343" customFormat="false" ht="15" hidden="false" customHeight="false" outlineLevel="0" collapsed="false">
      <c r="A343" s="14" t="s">
        <v>241</v>
      </c>
      <c r="B343" s="14" t="s">
        <v>166</v>
      </c>
      <c r="C343" s="14" t="s">
        <v>242</v>
      </c>
      <c r="D343" s="14" t="s">
        <v>463</v>
      </c>
      <c r="E343" s="15" t="n">
        <v>16.5</v>
      </c>
      <c r="F343" s="14" t="s">
        <v>655</v>
      </c>
      <c r="G343" s="8" t="n">
        <v>11</v>
      </c>
      <c r="H343" s="14" t="s">
        <v>846</v>
      </c>
      <c r="I343" s="14" t="s">
        <v>847</v>
      </c>
      <c r="J343" s="14" t="s">
        <v>848</v>
      </c>
      <c r="K343" s="8" t="n">
        <v>1</v>
      </c>
      <c r="L343" s="8" t="n">
        <v>50</v>
      </c>
      <c r="M343" s="8" t="n">
        <v>3</v>
      </c>
      <c r="N343" s="8" t="n">
        <v>14</v>
      </c>
      <c r="O343" s="8" t="n">
        <v>5</v>
      </c>
      <c r="P343" s="9" t="n">
        <v>15.3753084535973</v>
      </c>
      <c r="Q343" s="10" t="n">
        <v>0.0650393455856839</v>
      </c>
      <c r="R343" s="9" t="n">
        <v>19</v>
      </c>
      <c r="S343" s="12" t="n">
        <f aca="false">IF(AND(ISNUMBER(R343),R343&gt;1,P343&gt;0),R343/P343-1,"")</f>
        <v>0.235747566127996</v>
      </c>
      <c r="T343" s="9" t="n">
        <f aca="false">IF(AND(ISNUMBER(P343),P343&gt;0),P343*EXP('Read me'!$B$22),"")</f>
        <v>18.7794441527871</v>
      </c>
    </row>
    <row r="344" customFormat="false" ht="15" hidden="false" customHeight="false" outlineLevel="0" collapsed="false">
      <c r="A344" s="14" t="s">
        <v>241</v>
      </c>
      <c r="B344" s="14" t="s">
        <v>166</v>
      </c>
      <c r="C344" s="14" t="s">
        <v>242</v>
      </c>
      <c r="D344" s="14" t="s">
        <v>463</v>
      </c>
      <c r="E344" s="15" t="n">
        <v>16.5</v>
      </c>
      <c r="F344" s="14" t="s">
        <v>655</v>
      </c>
      <c r="G344" s="8" t="n">
        <v>11</v>
      </c>
      <c r="H344" s="14" t="s">
        <v>849</v>
      </c>
      <c r="I344" s="14" t="s">
        <v>676</v>
      </c>
      <c r="J344" s="14" t="s">
        <v>677</v>
      </c>
      <c r="K344" s="8" t="n">
        <v>8</v>
      </c>
      <c r="L344" s="8" t="n">
        <v>46</v>
      </c>
      <c r="M344" s="8" t="n">
        <v>6</v>
      </c>
      <c r="N344" s="8" t="n">
        <v>171</v>
      </c>
      <c r="O344" s="8" t="n">
        <v>6</v>
      </c>
      <c r="P344" s="9" t="n">
        <v>22.5907786737704</v>
      </c>
      <c r="Q344" s="10" t="n">
        <v>0.0442658491077634</v>
      </c>
      <c r="R344" s="9" t="n">
        <v>29</v>
      </c>
      <c r="S344" s="12" t="n">
        <f aca="false">IF(AND(ISNUMBER(R344),R344&gt;1,P344&gt;0),R344/P344-1,"")</f>
        <v>0.283709624125139</v>
      </c>
      <c r="T344" s="9" t="n">
        <f aca="false">IF(AND(ISNUMBER(P344),P344&gt;0),P344*EXP('Read me'!$B$22),"")</f>
        <v>27.5924393811291</v>
      </c>
    </row>
    <row r="345" customFormat="false" ht="15" hidden="false" customHeight="false" outlineLevel="0" collapsed="false">
      <c r="A345" s="14" t="s">
        <v>241</v>
      </c>
      <c r="B345" s="14" t="s">
        <v>166</v>
      </c>
      <c r="C345" s="14" t="s">
        <v>242</v>
      </c>
      <c r="D345" s="14" t="s">
        <v>463</v>
      </c>
      <c r="E345" s="15" t="n">
        <v>16.5</v>
      </c>
      <c r="F345" s="14" t="s">
        <v>655</v>
      </c>
      <c r="G345" s="8" t="n">
        <v>11</v>
      </c>
      <c r="H345" s="14" t="s">
        <v>850</v>
      </c>
      <c r="I345" s="14" t="s">
        <v>228</v>
      </c>
      <c r="J345" s="14" t="s">
        <v>851</v>
      </c>
      <c r="K345" s="8" t="n">
        <v>7</v>
      </c>
      <c r="L345" s="8" t="n">
        <v>50</v>
      </c>
      <c r="M345" s="8" t="n">
        <v>8</v>
      </c>
      <c r="N345" s="8" t="n">
        <v>55</v>
      </c>
      <c r="O345" s="8" t="n">
        <v>7</v>
      </c>
      <c r="P345" s="9" t="n">
        <v>39.5200381891184</v>
      </c>
      <c r="Q345" s="10" t="n">
        <v>0.0253036192732056</v>
      </c>
      <c r="R345" s="9" t="n">
        <v>34</v>
      </c>
      <c r="S345" s="12" t="n">
        <f aca="false">IF(AND(ISNUMBER(R345),R345&gt;1,P345&gt;0),R345/P345-1,"")</f>
        <v>-0.139676944711008</v>
      </c>
      <c r="T345" s="9" t="n">
        <f aca="false">IF(AND(ISNUMBER(P345),P345&gt;0),P345*EXP('Read me'!$B$22),"")</f>
        <v>48.2698836467845</v>
      </c>
    </row>
    <row r="346" customFormat="false" ht="15" hidden="false" customHeight="false" outlineLevel="0" collapsed="false">
      <c r="A346" s="14" t="s">
        <v>241</v>
      </c>
      <c r="B346" s="14" t="s">
        <v>166</v>
      </c>
      <c r="C346" s="14" t="s">
        <v>242</v>
      </c>
      <c r="D346" s="14" t="s">
        <v>463</v>
      </c>
      <c r="E346" s="15" t="n">
        <v>16.5</v>
      </c>
      <c r="F346" s="14" t="s">
        <v>655</v>
      </c>
      <c r="G346" s="8" t="n">
        <v>11</v>
      </c>
      <c r="H346" s="14" t="s">
        <v>852</v>
      </c>
      <c r="I346" s="14" t="s">
        <v>658</v>
      </c>
      <c r="J346" s="14" t="s">
        <v>830</v>
      </c>
      <c r="K346" s="8" t="n">
        <v>5</v>
      </c>
      <c r="L346" s="8" t="n">
        <v>46</v>
      </c>
      <c r="M346" s="8" t="n">
        <v>9</v>
      </c>
      <c r="N346" s="8" t="n">
        <v>18</v>
      </c>
      <c r="O346" s="8" t="n">
        <v>8</v>
      </c>
      <c r="P346" s="9" t="n">
        <v>52.4260395794653</v>
      </c>
      <c r="Q346" s="10" t="n">
        <v>0.019074490616142</v>
      </c>
      <c r="R346" s="9" t="n">
        <v>21</v>
      </c>
      <c r="S346" s="12" t="n">
        <f aca="false">IF(AND(ISNUMBER(R346),R346&gt;1,P346&gt;0),R346/P346-1,"")</f>
        <v>-0.599435697061018</v>
      </c>
      <c r="T346" s="9" t="n">
        <f aca="false">IF(AND(ISNUMBER(P346),P346&gt;0),P346*EXP('Read me'!$B$22),"")</f>
        <v>64.0333093417732</v>
      </c>
    </row>
    <row r="347" customFormat="false" ht="15" hidden="false" customHeight="false" outlineLevel="0" collapsed="false">
      <c r="A347" s="14" t="s">
        <v>241</v>
      </c>
      <c r="B347" s="14" t="s">
        <v>166</v>
      </c>
      <c r="C347" s="14" t="s">
        <v>242</v>
      </c>
      <c r="D347" s="14" t="s">
        <v>463</v>
      </c>
      <c r="E347" s="15" t="n">
        <v>16.5</v>
      </c>
      <c r="F347" s="14" t="s">
        <v>655</v>
      </c>
      <c r="G347" s="8" t="n">
        <v>11</v>
      </c>
      <c r="H347" s="14" t="s">
        <v>853</v>
      </c>
      <c r="I347" s="14" t="s">
        <v>679</v>
      </c>
      <c r="J347" s="14" t="s">
        <v>328</v>
      </c>
      <c r="K347" s="8" t="n">
        <v>9</v>
      </c>
      <c r="L347" s="8" t="n">
        <v>48</v>
      </c>
      <c r="M347" s="8" t="n">
        <v>3</v>
      </c>
      <c r="N347" s="8" t="n">
        <v>17</v>
      </c>
      <c r="O347" s="8" t="n">
        <v>9</v>
      </c>
      <c r="P347" s="9" t="n">
        <v>104.912712400695</v>
      </c>
      <c r="Q347" s="10" t="n">
        <v>0.0095317333535395</v>
      </c>
      <c r="R347" s="9" t="n">
        <v>51</v>
      </c>
      <c r="S347" s="12" t="n">
        <f aca="false">IF(AND(ISNUMBER(R347),R347&gt;1,P347&gt;0),R347/P347-1,"")</f>
        <v>-0.513881598969485</v>
      </c>
      <c r="T347" s="9" t="n">
        <f aca="false">IF(AND(ISNUMBER(P347),P347&gt;0),P347*EXP('Read me'!$B$22),"")</f>
        <v>128.140676292273</v>
      </c>
    </row>
    <row r="348" customFormat="false" ht="15" hidden="false" customHeight="false" outlineLevel="0" collapsed="false">
      <c r="A348" s="14" t="s">
        <v>241</v>
      </c>
      <c r="B348" s="14" t="s">
        <v>166</v>
      </c>
      <c r="C348" s="14" t="s">
        <v>242</v>
      </c>
      <c r="D348" s="14" t="s">
        <v>463</v>
      </c>
      <c r="E348" s="15" t="n">
        <v>16.5</v>
      </c>
      <c r="F348" s="14" t="s">
        <v>655</v>
      </c>
      <c r="G348" s="8" t="n">
        <v>11</v>
      </c>
      <c r="H348" s="14" t="s">
        <v>854</v>
      </c>
      <c r="I348" s="14" t="s">
        <v>855</v>
      </c>
      <c r="J348" s="14" t="s">
        <v>856</v>
      </c>
      <c r="K348" s="8" t="n">
        <v>10</v>
      </c>
      <c r="L348" s="8" t="n">
        <v>48</v>
      </c>
      <c r="M348" s="8" t="n">
        <v>8</v>
      </c>
      <c r="N348" s="8" t="n">
        <v>1629</v>
      </c>
      <c r="O348" s="8" t="n">
        <v>10</v>
      </c>
      <c r="P348" s="9" t="n">
        <v>109.211586292363</v>
      </c>
      <c r="Q348" s="10" t="n">
        <v>0.0091565376344132</v>
      </c>
      <c r="R348" s="9" t="n">
        <v>21</v>
      </c>
      <c r="S348" s="12" t="n">
        <f aca="false">IF(AND(ISNUMBER(R348),R348&gt;1,P348&gt;0),R348/P348-1,"")</f>
        <v>-0.807712709677321</v>
      </c>
      <c r="T348" s="9" t="n">
        <f aca="false">IF(AND(ISNUMBER(P348),P348&gt;0),P348*EXP('Read me'!$B$22),"")</f>
        <v>133.39133272054</v>
      </c>
    </row>
    <row r="349" customFormat="false" ht="15" hidden="false" customHeight="false" outlineLevel="0" collapsed="false">
      <c r="A349" s="14" t="s">
        <v>241</v>
      </c>
      <c r="B349" s="14" t="s">
        <v>166</v>
      </c>
      <c r="C349" s="14" t="s">
        <v>242</v>
      </c>
      <c r="D349" s="14" t="s">
        <v>463</v>
      </c>
      <c r="E349" s="15" t="n">
        <v>16.5</v>
      </c>
      <c r="F349" s="14" t="s">
        <v>655</v>
      </c>
      <c r="G349" s="8" t="n">
        <v>11</v>
      </c>
      <c r="H349" s="14" t="s">
        <v>857</v>
      </c>
      <c r="I349" s="14" t="s">
        <v>663</v>
      </c>
      <c r="J349" s="14" t="s">
        <v>858</v>
      </c>
      <c r="K349" s="8" t="n">
        <v>3</v>
      </c>
      <c r="L349" s="8" t="n">
        <v>46</v>
      </c>
      <c r="M349" s="8" t="n">
        <v>8</v>
      </c>
      <c r="N349" s="8" t="n">
        <v>70</v>
      </c>
      <c r="O349" s="8" t="n">
        <v>11</v>
      </c>
      <c r="P349" s="9" t="n">
        <v>280.78532268673</v>
      </c>
      <c r="Q349" s="10" t="n">
        <v>0.0035614397164045</v>
      </c>
      <c r="R349" s="9" t="n">
        <v>151</v>
      </c>
      <c r="S349" s="12" t="n">
        <f aca="false">IF(AND(ISNUMBER(R349),R349&gt;1,P349&gt;0),R349/P349-1,"")</f>
        <v>-0.462222602822906</v>
      </c>
      <c r="T349" s="9" t="n">
        <f aca="false">IF(AND(ISNUMBER(P349),P349&gt;0),P349*EXP('Read me'!$B$22),"")</f>
        <v>342.951967580465</v>
      </c>
    </row>
    <row r="350" customFormat="false" ht="15" hidden="false" customHeight="false" outlineLevel="0" collapsed="false">
      <c r="A350" s="14" t="s">
        <v>246</v>
      </c>
      <c r="B350" s="14" t="s">
        <v>166</v>
      </c>
      <c r="C350" s="14" t="s">
        <v>247</v>
      </c>
      <c r="D350" s="14" t="s">
        <v>463</v>
      </c>
      <c r="E350" s="15" t="n">
        <v>8.5</v>
      </c>
      <c r="F350" s="14" t="s">
        <v>655</v>
      </c>
      <c r="G350" s="8" t="n">
        <v>8</v>
      </c>
      <c r="H350" s="14" t="s">
        <v>248</v>
      </c>
      <c r="I350" s="14" t="s">
        <v>249</v>
      </c>
      <c r="J350" s="14" t="s">
        <v>79</v>
      </c>
      <c r="K350" s="8" t="n">
        <v>1</v>
      </c>
      <c r="L350" s="8" t="n">
        <v>51</v>
      </c>
      <c r="M350" s="8" t="n">
        <v>4</v>
      </c>
      <c r="N350" s="8" t="n">
        <v>16</v>
      </c>
      <c r="O350" s="8" t="n">
        <v>1</v>
      </c>
      <c r="P350" s="9" t="n">
        <v>2.70428837250585</v>
      </c>
      <c r="Q350" s="10" t="n">
        <v>0.369783049088578</v>
      </c>
      <c r="R350" s="9" t="n">
        <v>3.25</v>
      </c>
      <c r="S350" s="12" t="n">
        <f aca="false">IF(AND(ISNUMBER(R350),R350&gt;1,P350&gt;0),R350/P350-1,"")</f>
        <v>0.201794909537878</v>
      </c>
      <c r="T350" s="9" t="n">
        <f aca="false">IF(AND(ISNUMBER(P350),P350&gt;0),P350*EXP('Read me'!$B$22),"")</f>
        <v>3.30302527703912</v>
      </c>
    </row>
    <row r="351" customFormat="false" ht="15" hidden="false" customHeight="false" outlineLevel="0" collapsed="false">
      <c r="A351" s="14" t="s">
        <v>246</v>
      </c>
      <c r="B351" s="14" t="s">
        <v>166</v>
      </c>
      <c r="C351" s="14" t="s">
        <v>247</v>
      </c>
      <c r="D351" s="14" t="s">
        <v>463</v>
      </c>
      <c r="E351" s="15" t="n">
        <v>8.5</v>
      </c>
      <c r="F351" s="14" t="s">
        <v>655</v>
      </c>
      <c r="G351" s="8" t="n">
        <v>8</v>
      </c>
      <c r="H351" s="14" t="s">
        <v>250</v>
      </c>
      <c r="I351" s="14" t="s">
        <v>679</v>
      </c>
      <c r="J351" s="14" t="s">
        <v>328</v>
      </c>
      <c r="K351" s="8" t="n">
        <v>8</v>
      </c>
      <c r="L351" s="8" t="n">
        <v>57</v>
      </c>
      <c r="M351" s="8" t="n">
        <v>8</v>
      </c>
      <c r="N351" s="8" t="n">
        <v>8</v>
      </c>
      <c r="O351" s="8" t="n">
        <v>2</v>
      </c>
      <c r="P351" s="9" t="n">
        <v>6.03955597576754</v>
      </c>
      <c r="Q351" s="10" t="n">
        <v>0.165575085985177</v>
      </c>
      <c r="R351" s="9" t="n">
        <v>3.5</v>
      </c>
      <c r="S351" s="12" t="n">
        <f aca="false">IF(AND(ISNUMBER(R351),R351&gt;1,P351&gt;0),R351/P351-1,"")</f>
        <v>-0.420487199051881</v>
      </c>
      <c r="T351" s="9" t="n">
        <f aca="false">IF(AND(ISNUMBER(P351),P351&gt;0),P351*EXP('Read me'!$B$22),"")</f>
        <v>7.37673032686521</v>
      </c>
    </row>
    <row r="352" customFormat="false" ht="15" hidden="false" customHeight="false" outlineLevel="0" collapsed="false">
      <c r="A352" s="14" t="s">
        <v>246</v>
      </c>
      <c r="B352" s="14" t="s">
        <v>166</v>
      </c>
      <c r="C352" s="14" t="s">
        <v>247</v>
      </c>
      <c r="D352" s="14" t="s">
        <v>463</v>
      </c>
      <c r="E352" s="15" t="n">
        <v>8.5</v>
      </c>
      <c r="F352" s="14" t="s">
        <v>655</v>
      </c>
      <c r="G352" s="8" t="n">
        <v>8</v>
      </c>
      <c r="H352" s="14" t="s">
        <v>859</v>
      </c>
      <c r="I352" s="14" t="s">
        <v>196</v>
      </c>
      <c r="J352" s="14" t="s">
        <v>674</v>
      </c>
      <c r="K352" s="8" t="n">
        <v>5</v>
      </c>
      <c r="L352" s="8" t="n">
        <v>53</v>
      </c>
      <c r="M352" s="8" t="n">
        <v>5</v>
      </c>
      <c r="N352" s="8" t="n">
        <v>15</v>
      </c>
      <c r="O352" s="8" t="n">
        <v>3</v>
      </c>
      <c r="P352" s="9" t="n">
        <v>7.30961782687861</v>
      </c>
      <c r="Q352" s="10" t="n">
        <v>0.136806057947769</v>
      </c>
      <c r="R352" s="9" t="n">
        <v>6</v>
      </c>
      <c r="S352" s="12" t="n">
        <f aca="false">IF(AND(ISNUMBER(R352),R352&gt;1,P352&gt;0),R352/P352-1,"")</f>
        <v>-0.179163652313386</v>
      </c>
      <c r="T352" s="9" t="n">
        <f aca="false">IF(AND(ISNUMBER(P352),P352&gt;0),P352*EXP('Read me'!$B$22),"")</f>
        <v>8.92798737484628</v>
      </c>
    </row>
    <row r="353" customFormat="false" ht="15" hidden="false" customHeight="false" outlineLevel="0" collapsed="false">
      <c r="A353" s="14" t="s">
        <v>246</v>
      </c>
      <c r="B353" s="14" t="s">
        <v>166</v>
      </c>
      <c r="C353" s="14" t="s">
        <v>247</v>
      </c>
      <c r="D353" s="14" t="s">
        <v>463</v>
      </c>
      <c r="E353" s="15" t="n">
        <v>8.5</v>
      </c>
      <c r="F353" s="14" t="s">
        <v>655</v>
      </c>
      <c r="G353" s="8" t="n">
        <v>8</v>
      </c>
      <c r="H353" s="14" t="s">
        <v>860</v>
      </c>
      <c r="I353" s="14" t="s">
        <v>676</v>
      </c>
      <c r="J353" s="14" t="s">
        <v>677</v>
      </c>
      <c r="K353" s="8" t="n">
        <v>7</v>
      </c>
      <c r="L353" s="8" t="n">
        <v>50</v>
      </c>
      <c r="M353" s="8" t="n">
        <v>4</v>
      </c>
      <c r="N353" s="8" t="n">
        <v>28</v>
      </c>
      <c r="O353" s="8" t="n">
        <v>4</v>
      </c>
      <c r="P353" s="9" t="n">
        <v>8.82549042209977</v>
      </c>
      <c r="Q353" s="10" t="n">
        <v>0.113308150841784</v>
      </c>
      <c r="R353" s="9" t="n">
        <v>7</v>
      </c>
      <c r="S353" s="12" t="n">
        <f aca="false">IF(AND(ISNUMBER(R353),R353&gt;1,P353&gt;0),R353/P353-1,"")</f>
        <v>-0.206842944107513</v>
      </c>
      <c r="T353" s="9" t="n">
        <f aca="false">IF(AND(ISNUMBER(P353),P353&gt;0),P353*EXP('Read me'!$B$22),"")</f>
        <v>10.7794783436688</v>
      </c>
    </row>
    <row r="354" customFormat="false" ht="15" hidden="false" customHeight="false" outlineLevel="0" collapsed="false">
      <c r="A354" s="14" t="s">
        <v>246</v>
      </c>
      <c r="B354" s="14" t="s">
        <v>166</v>
      </c>
      <c r="C354" s="14" t="s">
        <v>247</v>
      </c>
      <c r="D354" s="14" t="s">
        <v>463</v>
      </c>
      <c r="E354" s="15" t="n">
        <v>8.5</v>
      </c>
      <c r="F354" s="14" t="s">
        <v>655</v>
      </c>
      <c r="G354" s="8" t="n">
        <v>8</v>
      </c>
      <c r="H354" s="14" t="s">
        <v>861</v>
      </c>
      <c r="I354" s="14" t="s">
        <v>239</v>
      </c>
      <c r="J354" s="14" t="s">
        <v>669</v>
      </c>
      <c r="K354" s="8" t="n">
        <v>4</v>
      </c>
      <c r="L354" s="8" t="n">
        <v>49</v>
      </c>
      <c r="M354" s="8" t="n">
        <v>4</v>
      </c>
      <c r="N354" s="8" t="n">
        <v>92</v>
      </c>
      <c r="O354" s="8" t="n">
        <v>5</v>
      </c>
      <c r="P354" s="9" t="n">
        <v>10.114031670389</v>
      </c>
      <c r="Q354" s="10" t="n">
        <v>0.0988725399118249</v>
      </c>
      <c r="R354" s="9" t="n">
        <v>11</v>
      </c>
      <c r="S354" s="12" t="n">
        <f aca="false">IF(AND(ISNUMBER(R354),R354&gt;1,P354&gt;0),R354/P354-1,"")</f>
        <v>0.0875979390300745</v>
      </c>
      <c r="T354" s="9" t="n">
        <f aca="false">IF(AND(ISNUMBER(P354),P354&gt;0),P354*EXP('Read me'!$B$22),"")</f>
        <v>12.3533061783325</v>
      </c>
    </row>
    <row r="355" customFormat="false" ht="15" hidden="false" customHeight="false" outlineLevel="0" collapsed="false">
      <c r="A355" s="14" t="s">
        <v>246</v>
      </c>
      <c r="B355" s="14" t="s">
        <v>166</v>
      </c>
      <c r="C355" s="14" t="s">
        <v>247</v>
      </c>
      <c r="D355" s="14" t="s">
        <v>463</v>
      </c>
      <c r="E355" s="15" t="n">
        <v>8.5</v>
      </c>
      <c r="F355" s="14" t="s">
        <v>655</v>
      </c>
      <c r="G355" s="8" t="n">
        <v>8</v>
      </c>
      <c r="H355" s="14" t="s">
        <v>862</v>
      </c>
      <c r="I355" s="14" t="s">
        <v>668</v>
      </c>
      <c r="J355" s="14" t="s">
        <v>839</v>
      </c>
      <c r="K355" s="8" t="n">
        <v>9</v>
      </c>
      <c r="L355" s="8" t="n">
        <v>53</v>
      </c>
      <c r="M355" s="8" t="n">
        <v>4</v>
      </c>
      <c r="N355" s="8" t="n">
        <v>5</v>
      </c>
      <c r="O355" s="8" t="n">
        <v>6</v>
      </c>
      <c r="P355" s="9" t="n">
        <v>14.6983207619507</v>
      </c>
      <c r="Q355" s="10" t="n">
        <v>0.0680349827844745</v>
      </c>
      <c r="R355" s="9" t="n">
        <v>8</v>
      </c>
      <c r="S355" s="12" t="n">
        <f aca="false">IF(AND(ISNUMBER(R355),R355&gt;1,P355&gt;0),R355/P355-1,"")</f>
        <v>-0.455720137724204</v>
      </c>
      <c r="T355" s="9" t="n">
        <f aca="false">IF(AND(ISNUMBER(P355),P355&gt;0),P355*EXP('Read me'!$B$22),"")</f>
        <v>17.9525695189695</v>
      </c>
    </row>
    <row r="356" customFormat="false" ht="15" hidden="false" customHeight="false" outlineLevel="0" collapsed="false">
      <c r="A356" s="14" t="s">
        <v>246</v>
      </c>
      <c r="B356" s="14" t="s">
        <v>166</v>
      </c>
      <c r="C356" s="14" t="s">
        <v>247</v>
      </c>
      <c r="D356" s="14" t="s">
        <v>463</v>
      </c>
      <c r="E356" s="15" t="n">
        <v>8.5</v>
      </c>
      <c r="F356" s="14" t="s">
        <v>655</v>
      </c>
      <c r="G356" s="8" t="n">
        <v>8</v>
      </c>
      <c r="H356" s="14" t="s">
        <v>863</v>
      </c>
      <c r="I356" s="14" t="s">
        <v>673</v>
      </c>
      <c r="J356" s="14" t="s">
        <v>864</v>
      </c>
      <c r="K356" s="8" t="n">
        <v>6</v>
      </c>
      <c r="L356" s="8" t="n">
        <v>46</v>
      </c>
      <c r="M356" s="8" t="n">
        <v>4</v>
      </c>
      <c r="N356" s="8" t="n">
        <v>17</v>
      </c>
      <c r="O356" s="8" t="n">
        <v>7</v>
      </c>
      <c r="P356" s="9" t="n">
        <v>27.6791143847292</v>
      </c>
      <c r="Q356" s="10" t="n">
        <v>0.0361283235475087</v>
      </c>
      <c r="R356" s="9" t="n">
        <v>29</v>
      </c>
      <c r="S356" s="12" t="n">
        <f aca="false">IF(AND(ISNUMBER(R356),R356&gt;1,P356&gt;0),R356/P356-1,"")</f>
        <v>0.0477213828777532</v>
      </c>
      <c r="T356" s="9" t="n">
        <f aca="false">IF(AND(ISNUMBER(P356),P356&gt;0),P356*EXP('Read me'!$B$22),"")</f>
        <v>33.8073466529391</v>
      </c>
    </row>
    <row r="357" customFormat="false" ht="15" hidden="false" customHeight="false" outlineLevel="0" collapsed="false">
      <c r="A357" s="14" t="s">
        <v>246</v>
      </c>
      <c r="B357" s="14" t="s">
        <v>166</v>
      </c>
      <c r="C357" s="14" t="s">
        <v>247</v>
      </c>
      <c r="D357" s="14" t="s">
        <v>463</v>
      </c>
      <c r="E357" s="15" t="n">
        <v>8.5</v>
      </c>
      <c r="F357" s="14" t="s">
        <v>655</v>
      </c>
      <c r="G357" s="8" t="n">
        <v>8</v>
      </c>
      <c r="H357" s="14" t="s">
        <v>865</v>
      </c>
      <c r="I357" s="14" t="s">
        <v>720</v>
      </c>
      <c r="J357" s="14" t="s">
        <v>866</v>
      </c>
      <c r="K357" s="8" t="n">
        <v>3</v>
      </c>
      <c r="L357" s="8" t="n">
        <v>45</v>
      </c>
      <c r="M357" s="8" t="n">
        <v>4</v>
      </c>
      <c r="N357" s="8" t="n">
        <v>8</v>
      </c>
      <c r="O357" s="8" t="n">
        <v>8</v>
      </c>
      <c r="P357" s="9" t="n">
        <v>87.0184948516446</v>
      </c>
      <c r="Q357" s="10" t="n">
        <v>0.0114918098928839</v>
      </c>
      <c r="R357" s="9" t="n">
        <v>67</v>
      </c>
      <c r="S357" s="12" t="n">
        <f aca="false">IF(AND(ISNUMBER(R357),R357&gt;1,P357&gt;0),R357/P357-1,"")</f>
        <v>-0.230048737176775</v>
      </c>
      <c r="T357" s="9" t="n">
        <f aca="false">IF(AND(ISNUMBER(P357),P357&gt;0),P357*EXP('Read me'!$B$22),"")</f>
        <v>106.284629622745</v>
      </c>
    </row>
    <row r="358" customFormat="false" ht="15" hidden="false" customHeight="false" outlineLevel="0" collapsed="false">
      <c r="A358" s="14" t="s">
        <v>251</v>
      </c>
      <c r="B358" s="14" t="s">
        <v>166</v>
      </c>
      <c r="C358" s="14" t="s">
        <v>252</v>
      </c>
      <c r="D358" s="14" t="s">
        <v>463</v>
      </c>
      <c r="E358" s="15" t="n">
        <v>8.5</v>
      </c>
      <c r="F358" s="14" t="s">
        <v>655</v>
      </c>
      <c r="G358" s="8" t="n">
        <v>8</v>
      </c>
      <c r="H358" s="14" t="s">
        <v>253</v>
      </c>
      <c r="I358" s="14" t="s">
        <v>196</v>
      </c>
      <c r="J358" s="14" t="s">
        <v>149</v>
      </c>
      <c r="K358" s="8" t="n">
        <v>7</v>
      </c>
      <c r="L358" s="8" t="n">
        <v>51</v>
      </c>
      <c r="M358" s="8" t="n">
        <v>5</v>
      </c>
      <c r="N358" s="8" t="n">
        <v>19</v>
      </c>
      <c r="O358" s="8" t="n">
        <v>1</v>
      </c>
      <c r="P358" s="9" t="n">
        <v>2.62477490766668</v>
      </c>
      <c r="Q358" s="10" t="n">
        <v>0.380985050214824</v>
      </c>
      <c r="R358" s="9" t="n">
        <v>3.5</v>
      </c>
      <c r="S358" s="12" t="n">
        <f aca="false">IF(AND(ISNUMBER(R358),R358&gt;1,P358&gt;0),R358/P358-1,"")</f>
        <v>0.333447675751883</v>
      </c>
      <c r="T358" s="9" t="n">
        <f aca="false">IF(AND(ISNUMBER(P358),P358&gt;0),P358*EXP('Read me'!$B$22),"")</f>
        <v>3.20590731177369</v>
      </c>
    </row>
    <row r="359" customFormat="false" ht="15" hidden="false" customHeight="false" outlineLevel="0" collapsed="false">
      <c r="A359" s="14" t="s">
        <v>251</v>
      </c>
      <c r="B359" s="14" t="s">
        <v>166</v>
      </c>
      <c r="C359" s="14" t="s">
        <v>252</v>
      </c>
      <c r="D359" s="14" t="s">
        <v>463</v>
      </c>
      <c r="E359" s="15" t="n">
        <v>8.5</v>
      </c>
      <c r="F359" s="14" t="s">
        <v>655</v>
      </c>
      <c r="G359" s="8" t="n">
        <v>8</v>
      </c>
      <c r="H359" s="14" t="s">
        <v>254</v>
      </c>
      <c r="I359" s="14" t="s">
        <v>663</v>
      </c>
      <c r="J359" s="14" t="s">
        <v>620</v>
      </c>
      <c r="K359" s="8" t="n">
        <v>5</v>
      </c>
      <c r="L359" s="8" t="n">
        <v>51</v>
      </c>
      <c r="M359" s="8" t="n">
        <v>6</v>
      </c>
      <c r="N359" s="8" t="n">
        <v>13</v>
      </c>
      <c r="O359" s="8" t="n">
        <v>2</v>
      </c>
      <c r="P359" s="9" t="n">
        <v>5.03085556856115</v>
      </c>
      <c r="Q359" s="10" t="n">
        <v>0.198773347072257</v>
      </c>
      <c r="R359" s="9" t="n">
        <v>4.5</v>
      </c>
      <c r="S359" s="12" t="n">
        <f aca="false">IF(AND(ISNUMBER(R359),R359&gt;1,P359&gt;0),R359/P359-1,"")</f>
        <v>-0.105519938174845</v>
      </c>
      <c r="T359" s="9" t="n">
        <f aca="false">IF(AND(ISNUMBER(P359),P359&gt;0),P359*EXP('Read me'!$B$22),"")</f>
        <v>6.14470086734604</v>
      </c>
    </row>
    <row r="360" customFormat="false" ht="15" hidden="false" customHeight="false" outlineLevel="0" collapsed="false">
      <c r="A360" s="14" t="s">
        <v>251</v>
      </c>
      <c r="B360" s="14" t="s">
        <v>166</v>
      </c>
      <c r="C360" s="14" t="s">
        <v>252</v>
      </c>
      <c r="D360" s="14" t="s">
        <v>463</v>
      </c>
      <c r="E360" s="15" t="n">
        <v>8.5</v>
      </c>
      <c r="F360" s="14" t="s">
        <v>655</v>
      </c>
      <c r="G360" s="8" t="n">
        <v>8</v>
      </c>
      <c r="H360" s="14" t="s">
        <v>867</v>
      </c>
      <c r="I360" s="14" t="s">
        <v>868</v>
      </c>
      <c r="J360" s="14" t="s">
        <v>548</v>
      </c>
      <c r="K360" s="8" t="n">
        <v>8</v>
      </c>
      <c r="L360" s="8" t="n">
        <v>53</v>
      </c>
      <c r="M360" s="8" t="n">
        <v>4</v>
      </c>
      <c r="N360" s="8" t="n">
        <v>15</v>
      </c>
      <c r="O360" s="8" t="n">
        <v>3</v>
      </c>
      <c r="P360" s="9" t="n">
        <v>6.71636076968005</v>
      </c>
      <c r="Q360" s="10" t="n">
        <v>0.148890155590561</v>
      </c>
      <c r="R360" s="9" t="n">
        <v>7.5</v>
      </c>
      <c r="S360" s="12" t="n">
        <f aca="false">IF(AND(ISNUMBER(R360),R360&gt;1,P360&gt;0),R360/P360-1,"")</f>
        <v>0.116676166929204</v>
      </c>
      <c r="T360" s="9" t="n">
        <f aca="false">IF(AND(ISNUMBER(P360),P360&gt;0),P360*EXP('Read me'!$B$22),"")</f>
        <v>8.20338156888598</v>
      </c>
    </row>
    <row r="361" customFormat="false" ht="15" hidden="false" customHeight="false" outlineLevel="0" collapsed="false">
      <c r="A361" s="14" t="s">
        <v>251</v>
      </c>
      <c r="B361" s="14" t="s">
        <v>166</v>
      </c>
      <c r="C361" s="14" t="s">
        <v>252</v>
      </c>
      <c r="D361" s="14" t="s">
        <v>463</v>
      </c>
      <c r="E361" s="15" t="n">
        <v>8.5</v>
      </c>
      <c r="F361" s="14" t="s">
        <v>655</v>
      </c>
      <c r="G361" s="8" t="n">
        <v>8</v>
      </c>
      <c r="H361" s="14" t="s">
        <v>869</v>
      </c>
      <c r="I361" s="14" t="s">
        <v>679</v>
      </c>
      <c r="J361" s="14" t="s">
        <v>870</v>
      </c>
      <c r="K361" s="8" t="n">
        <v>6</v>
      </c>
      <c r="L361" s="8" t="n">
        <v>46</v>
      </c>
      <c r="M361" s="8" t="n">
        <v>5</v>
      </c>
      <c r="N361" s="8" t="n">
        <v>55</v>
      </c>
      <c r="O361" s="8" t="n">
        <v>4</v>
      </c>
      <c r="P361" s="9" t="n">
        <v>8.84970882978558</v>
      </c>
      <c r="Q361" s="10" t="n">
        <v>0.112998067985501</v>
      </c>
      <c r="R361" s="9" t="n">
        <v>10</v>
      </c>
      <c r="S361" s="12" t="n">
        <f aca="false">IF(AND(ISNUMBER(R361),R361&gt;1,P361&gt;0),R361/P361-1,"")</f>
        <v>0.129980679855011</v>
      </c>
      <c r="T361" s="9" t="n">
        <f aca="false">IF(AND(ISNUMBER(P361),P361&gt;0),P361*EXP('Read me'!$B$22),"")</f>
        <v>10.8090587736145</v>
      </c>
    </row>
    <row r="362" customFormat="false" ht="15" hidden="false" customHeight="false" outlineLevel="0" collapsed="false">
      <c r="A362" s="14" t="s">
        <v>251</v>
      </c>
      <c r="B362" s="14" t="s">
        <v>166</v>
      </c>
      <c r="C362" s="14" t="s">
        <v>252</v>
      </c>
      <c r="D362" s="14" t="s">
        <v>463</v>
      </c>
      <c r="E362" s="15" t="n">
        <v>8.5</v>
      </c>
      <c r="F362" s="14" t="s">
        <v>655</v>
      </c>
      <c r="G362" s="8" t="n">
        <v>8</v>
      </c>
      <c r="H362" s="14" t="s">
        <v>871</v>
      </c>
      <c r="I362" s="14" t="s">
        <v>828</v>
      </c>
      <c r="J362" s="14" t="s">
        <v>872</v>
      </c>
      <c r="K362" s="8" t="n">
        <v>9</v>
      </c>
      <c r="L362" s="8" t="n">
        <v>47</v>
      </c>
      <c r="M362" s="8" t="n">
        <v>6</v>
      </c>
      <c r="N362" s="8" t="n">
        <v>46</v>
      </c>
      <c r="O362" s="8" t="n">
        <v>5</v>
      </c>
      <c r="P362" s="9" t="n">
        <v>10.5885035392454</v>
      </c>
      <c r="Q362" s="10" t="n">
        <v>0.0944420518247538</v>
      </c>
      <c r="R362" s="9" t="n">
        <v>11</v>
      </c>
      <c r="S362" s="12" t="n">
        <f aca="false">IF(AND(ISNUMBER(R362),R362&gt;1,P362&gt;0),R362/P362-1,"")</f>
        <v>0.0388625700722924</v>
      </c>
      <c r="T362" s="9" t="n">
        <f aca="false">IF(AND(ISNUMBER(P362),P362&gt;0),P362*EXP('Read me'!$B$22),"")</f>
        <v>12.932827427623</v>
      </c>
    </row>
    <row r="363" customFormat="false" ht="15" hidden="false" customHeight="false" outlineLevel="0" collapsed="false">
      <c r="A363" s="14" t="s">
        <v>251</v>
      </c>
      <c r="B363" s="14" t="s">
        <v>166</v>
      </c>
      <c r="C363" s="14" t="s">
        <v>252</v>
      </c>
      <c r="D363" s="14" t="s">
        <v>463</v>
      </c>
      <c r="E363" s="15" t="n">
        <v>8.5</v>
      </c>
      <c r="F363" s="14" t="s">
        <v>655</v>
      </c>
      <c r="G363" s="8" t="n">
        <v>8</v>
      </c>
      <c r="H363" s="14" t="s">
        <v>873</v>
      </c>
      <c r="I363" s="14" t="s">
        <v>228</v>
      </c>
      <c r="J363" s="14" t="s">
        <v>866</v>
      </c>
      <c r="K363" s="8" t="n">
        <v>2</v>
      </c>
      <c r="L363" s="8" t="n">
        <v>47</v>
      </c>
      <c r="M363" s="8" t="n">
        <v>8</v>
      </c>
      <c r="N363" s="8" t="n">
        <v>63</v>
      </c>
      <c r="O363" s="8" t="n">
        <v>6</v>
      </c>
      <c r="P363" s="9" t="n">
        <v>25.0897091095269</v>
      </c>
      <c r="Q363" s="10" t="n">
        <v>0.0398569786375198</v>
      </c>
      <c r="R363" s="9" t="n">
        <v>19</v>
      </c>
      <c r="S363" s="12" t="n">
        <f aca="false">IF(AND(ISNUMBER(R363),R363&gt;1,P363&gt;0),R363/P363-1,"")</f>
        <v>-0.242717405887123</v>
      </c>
      <c r="T363" s="9" t="n">
        <f aca="false">IF(AND(ISNUMBER(P363),P363&gt;0),P363*EXP('Read me'!$B$22),"")</f>
        <v>30.6446399078125</v>
      </c>
    </row>
    <row r="364" customFormat="false" ht="15" hidden="false" customHeight="false" outlineLevel="0" collapsed="false">
      <c r="A364" s="14" t="s">
        <v>251</v>
      </c>
      <c r="B364" s="14" t="s">
        <v>166</v>
      </c>
      <c r="C364" s="14" t="s">
        <v>252</v>
      </c>
      <c r="D364" s="14" t="s">
        <v>463</v>
      </c>
      <c r="E364" s="15" t="n">
        <v>8.5</v>
      </c>
      <c r="F364" s="14" t="s">
        <v>655</v>
      </c>
      <c r="G364" s="8" t="n">
        <v>8</v>
      </c>
      <c r="H364" s="14" t="s">
        <v>874</v>
      </c>
      <c r="I364" s="14" t="s">
        <v>855</v>
      </c>
      <c r="J364" s="14" t="s">
        <v>856</v>
      </c>
      <c r="K364" s="8" t="n">
        <v>3</v>
      </c>
      <c r="L364" s="8" t="n">
        <v>50</v>
      </c>
      <c r="M364" s="8" t="n">
        <v>4</v>
      </c>
      <c r="N364" s="8" t="n">
        <v>306</v>
      </c>
      <c r="O364" s="8" t="n">
        <v>7</v>
      </c>
      <c r="P364" s="9" t="n">
        <v>61.8732051806052</v>
      </c>
      <c r="Q364" s="10" t="n">
        <v>0.0161620849781588</v>
      </c>
      <c r="R364" s="9" t="n">
        <v>34</v>
      </c>
      <c r="S364" s="12" t="n">
        <f aca="false">IF(AND(ISNUMBER(R364),R364&gt;1,P364&gt;0),R364/P364-1,"")</f>
        <v>-0.450489110742599</v>
      </c>
      <c r="T364" s="9" t="n">
        <f aca="false">IF(AND(ISNUMBER(P364),P364&gt;0),P364*EXP('Read me'!$B$22),"")</f>
        <v>75.5721034638013</v>
      </c>
    </row>
    <row r="365" customFormat="false" ht="15" hidden="false" customHeight="false" outlineLevel="0" collapsed="false">
      <c r="A365" s="14" t="s">
        <v>251</v>
      </c>
      <c r="B365" s="14" t="s">
        <v>166</v>
      </c>
      <c r="C365" s="14" t="s">
        <v>252</v>
      </c>
      <c r="D365" s="14" t="s">
        <v>463</v>
      </c>
      <c r="E365" s="15" t="n">
        <v>8.5</v>
      </c>
      <c r="F365" s="14" t="s">
        <v>655</v>
      </c>
      <c r="G365" s="8" t="n">
        <v>8</v>
      </c>
      <c r="H365" s="14" t="s">
        <v>875</v>
      </c>
      <c r="I365" s="14" t="s">
        <v>673</v>
      </c>
      <c r="J365" s="14" t="s">
        <v>876</v>
      </c>
      <c r="K365" s="8" t="n">
        <v>1</v>
      </c>
      <c r="L365" s="8" t="n">
        <v>46</v>
      </c>
      <c r="M365" s="8" t="n">
        <v>5</v>
      </c>
      <c r="N365" s="8" t="n">
        <v>34</v>
      </c>
      <c r="O365" s="8" t="n">
        <v>8</v>
      </c>
      <c r="P365" s="9" t="n">
        <v>126.706359349464</v>
      </c>
      <c r="Q365" s="10" t="n">
        <v>0.0078922636964253</v>
      </c>
      <c r="R365" s="9" t="n">
        <v>201</v>
      </c>
      <c r="S365" s="12" t="n">
        <f aca="false">IF(AND(ISNUMBER(R365),R365&gt;1,P365&gt;0),R365/P365-1,"")</f>
        <v>0.586345002981496</v>
      </c>
      <c r="T365" s="9" t="n">
        <f aca="false">IF(AND(ISNUMBER(P365),P365&gt;0),P365*EXP('Read me'!$B$22),"")</f>
        <v>154.759496785869</v>
      </c>
    </row>
  </sheetData>
  <autoFilter ref="A1:T365"/>
  <conditionalFormatting sqref="A2:T36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279</v>
      </c>
      <c r="E1" s="6" t="s">
        <v>280</v>
      </c>
      <c r="F1" s="6" t="s">
        <v>281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282</v>
      </c>
      <c r="L1" s="6" t="s">
        <v>283</v>
      </c>
      <c r="M1" s="6" t="s">
        <v>284</v>
      </c>
      <c r="N1" s="6" t="s">
        <v>285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41</v>
      </c>
      <c r="B2" s="14" t="s">
        <v>42</v>
      </c>
      <c r="C2" s="14" t="s">
        <v>43</v>
      </c>
      <c r="D2" s="14"/>
      <c r="E2" s="15" t="n">
        <v>5</v>
      </c>
      <c r="F2" s="14" t="s">
        <v>286</v>
      </c>
      <c r="G2" s="8" t="n">
        <v>13</v>
      </c>
      <c r="H2" s="14" t="s">
        <v>44</v>
      </c>
      <c r="I2" s="14" t="s">
        <v>45</v>
      </c>
      <c r="J2" s="14" t="s">
        <v>46</v>
      </c>
      <c r="K2" s="8" t="n">
        <v>4</v>
      </c>
      <c r="L2" s="8" t="n">
        <v>78</v>
      </c>
      <c r="M2" s="8" t="n">
        <v>2</v>
      </c>
      <c r="N2" s="8" t="n">
        <v>12</v>
      </c>
      <c r="O2" s="8" t="n">
        <v>1</v>
      </c>
      <c r="P2" s="9" t="n">
        <v>4.62018215443775</v>
      </c>
      <c r="Q2" s="10" t="n">
        <v>0.216441682724454</v>
      </c>
      <c r="R2" s="9" t="n">
        <v>2.5</v>
      </c>
      <c r="S2" s="12" t="n">
        <f aca="false">IF(AND(ISNUMBER(R2),R2&gt;1,P2&gt;0),R2/P2-1,"")</f>
        <v>-0.458895793188865</v>
      </c>
      <c r="T2" s="9" t="n">
        <f aca="false">IF(AND(ISNUMBER(P2),P2&gt;0),P2*EXP('Read me'!$B$22),"")</f>
        <v>5.64310322663267</v>
      </c>
    </row>
    <row r="3" customFormat="false" ht="15" hidden="false" customHeight="false" outlineLevel="0" collapsed="false">
      <c r="A3" s="14" t="s">
        <v>41</v>
      </c>
      <c r="B3" s="14" t="s">
        <v>42</v>
      </c>
      <c r="C3" s="14" t="s">
        <v>43</v>
      </c>
      <c r="D3" s="14"/>
      <c r="E3" s="15" t="n">
        <v>5</v>
      </c>
      <c r="F3" s="14" t="s">
        <v>286</v>
      </c>
      <c r="G3" s="8" t="n">
        <v>13</v>
      </c>
      <c r="H3" s="14" t="s">
        <v>47</v>
      </c>
      <c r="I3" s="14" t="s">
        <v>287</v>
      </c>
      <c r="J3" s="14" t="s">
        <v>288</v>
      </c>
      <c r="K3" s="8" t="n">
        <v>7</v>
      </c>
      <c r="L3" s="8" t="n">
        <v>0</v>
      </c>
      <c r="M3" s="8" t="n">
        <v>2</v>
      </c>
      <c r="N3" s="8"/>
      <c r="O3" s="8" t="n">
        <v>2</v>
      </c>
      <c r="P3" s="9" t="n">
        <v>5.10993868329247</v>
      </c>
      <c r="Q3" s="10" t="n">
        <v>0.195697064481344</v>
      </c>
      <c r="R3" s="9" t="n">
        <v>6</v>
      </c>
      <c r="S3" s="12" t="n">
        <f aca="false">IF(AND(ISNUMBER(R3),R3&gt;1,P3&gt;0),R3/P3-1,"")</f>
        <v>0.174182386888064</v>
      </c>
      <c r="T3" s="9" t="n">
        <f aca="false">IF(AND(ISNUMBER(P3),P3&gt;0),P3*EXP('Read me'!$B$22),"")</f>
        <v>6.24129320180277</v>
      </c>
    </row>
    <row r="4" customFormat="false" ht="15" hidden="false" customHeight="false" outlineLevel="0" collapsed="false">
      <c r="A4" s="14" t="s">
        <v>41</v>
      </c>
      <c r="B4" s="14" t="s">
        <v>42</v>
      </c>
      <c r="C4" s="14" t="s">
        <v>43</v>
      </c>
      <c r="D4" s="14"/>
      <c r="E4" s="15" t="n">
        <v>5</v>
      </c>
      <c r="F4" s="14" t="s">
        <v>286</v>
      </c>
      <c r="G4" s="8" t="n">
        <v>13</v>
      </c>
      <c r="H4" s="14" t="s">
        <v>289</v>
      </c>
      <c r="I4" s="14" t="s">
        <v>290</v>
      </c>
      <c r="J4" s="14" t="s">
        <v>291</v>
      </c>
      <c r="K4" s="8" t="n">
        <v>9</v>
      </c>
      <c r="L4" s="8" t="n">
        <v>75</v>
      </c>
      <c r="M4" s="8" t="n">
        <v>2</v>
      </c>
      <c r="N4" s="8" t="n">
        <v>20</v>
      </c>
      <c r="O4" s="8" t="n">
        <v>3</v>
      </c>
      <c r="P4" s="9" t="n">
        <v>6.89195539599386</v>
      </c>
      <c r="Q4" s="10" t="n">
        <v>0.145096702248143</v>
      </c>
      <c r="R4" s="9" t="n">
        <v>5.5</v>
      </c>
      <c r="S4" s="12" t="n">
        <f aca="false">IF(AND(ISNUMBER(R4),R4&gt;1,P4&gt;0),R4/P4-1,"")</f>
        <v>-0.201968137635216</v>
      </c>
      <c r="T4" s="9" t="n">
        <f aca="false">IF(AND(ISNUMBER(P4),P4&gt;0),P4*EXP('Read me'!$B$22),"")</f>
        <v>8.41785332978376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/>
      <c r="E5" s="15" t="n">
        <v>5</v>
      </c>
      <c r="F5" s="14" t="s">
        <v>286</v>
      </c>
      <c r="G5" s="8" t="n">
        <v>13</v>
      </c>
      <c r="H5" s="14" t="s">
        <v>292</v>
      </c>
      <c r="I5" s="14" t="s">
        <v>293</v>
      </c>
      <c r="J5" s="14" t="s">
        <v>294</v>
      </c>
      <c r="K5" s="8" t="n">
        <v>5</v>
      </c>
      <c r="L5" s="8" t="n">
        <v>0</v>
      </c>
      <c r="M5" s="8" t="n">
        <v>2</v>
      </c>
      <c r="N5" s="8" t="n">
        <v>12</v>
      </c>
      <c r="O5" s="8" t="n">
        <v>4</v>
      </c>
      <c r="P5" s="9" t="n">
        <v>8.33177332321363</v>
      </c>
      <c r="Q5" s="10" t="n">
        <v>0.120022468351827</v>
      </c>
      <c r="R5" s="9" t="n">
        <v>7</v>
      </c>
      <c r="S5" s="12" t="n">
        <f aca="false">IF(AND(ISNUMBER(R5),R5&gt;1,P5&gt;0),R5/P5-1,"")</f>
        <v>-0.159842721537215</v>
      </c>
      <c r="T5" s="9" t="n">
        <f aca="false">IF(AND(ISNUMBER(P5),P5&gt;0),P5*EXP('Read me'!$B$22),"")</f>
        <v>10.1764509173385</v>
      </c>
    </row>
    <row r="6" customFormat="false" ht="15" hidden="false" customHeight="false" outlineLevel="0" collapsed="false">
      <c r="A6" s="14" t="s">
        <v>41</v>
      </c>
      <c r="B6" s="14" t="s">
        <v>42</v>
      </c>
      <c r="C6" s="14" t="s">
        <v>43</v>
      </c>
      <c r="D6" s="14"/>
      <c r="E6" s="15" t="n">
        <v>5</v>
      </c>
      <c r="F6" s="14" t="s">
        <v>286</v>
      </c>
      <c r="G6" s="8" t="n">
        <v>13</v>
      </c>
      <c r="H6" s="14" t="s">
        <v>295</v>
      </c>
      <c r="I6" s="14" t="s">
        <v>296</v>
      </c>
      <c r="J6" s="14" t="s">
        <v>46</v>
      </c>
      <c r="K6" s="8" t="n">
        <v>12</v>
      </c>
      <c r="L6" s="8" t="n">
        <v>0</v>
      </c>
      <c r="M6" s="8" t="n">
        <v>2</v>
      </c>
      <c r="N6" s="8" t="n">
        <v>109</v>
      </c>
      <c r="O6" s="8" t="n">
        <v>5</v>
      </c>
      <c r="P6" s="9" t="n">
        <v>9.97243550027089</v>
      </c>
      <c r="Q6" s="10" t="n">
        <v>0.100276406899081</v>
      </c>
      <c r="R6" s="9" t="n">
        <v>7</v>
      </c>
      <c r="S6" s="12" t="n">
        <f aca="false">IF(AND(ISNUMBER(R6),R6&gt;1,P6&gt;0),R6/P6-1,"")</f>
        <v>-0.298065151706436</v>
      </c>
      <c r="T6" s="9" t="n">
        <f aca="false">IF(AND(ISNUMBER(P6),P6&gt;0),P6*EXP('Read me'!$B$22),"")</f>
        <v>12.1803602256053</v>
      </c>
    </row>
    <row r="7" customFormat="false" ht="15" hidden="false" customHeight="false" outlineLevel="0" collapsed="false">
      <c r="A7" s="14" t="s">
        <v>41</v>
      </c>
      <c r="B7" s="14" t="s">
        <v>42</v>
      </c>
      <c r="C7" s="14" t="s">
        <v>43</v>
      </c>
      <c r="D7" s="14"/>
      <c r="E7" s="15" t="n">
        <v>5</v>
      </c>
      <c r="F7" s="14" t="s">
        <v>286</v>
      </c>
      <c r="G7" s="8" t="n">
        <v>13</v>
      </c>
      <c r="H7" s="14" t="s">
        <v>297</v>
      </c>
      <c r="I7" s="14"/>
      <c r="J7" s="14" t="s">
        <v>73</v>
      </c>
      <c r="K7" s="8" t="n">
        <v>3</v>
      </c>
      <c r="L7" s="8" t="n">
        <v>0</v>
      </c>
      <c r="M7" s="8" t="n">
        <v>2</v>
      </c>
      <c r="N7" s="8" t="n">
        <v>16</v>
      </c>
      <c r="O7" s="8" t="n">
        <v>6</v>
      </c>
      <c r="P7" s="9" t="n">
        <v>10.8525610114445</v>
      </c>
      <c r="Q7" s="10" t="n">
        <v>0.0921441491041105</v>
      </c>
      <c r="R7" s="9" t="n">
        <v>4</v>
      </c>
      <c r="S7" s="12" t="n">
        <f aca="false">IF(AND(ISNUMBER(R7),R7&gt;1,P7&gt;0),R7/P7-1,"")</f>
        <v>-0.631423403583558</v>
      </c>
      <c r="T7" s="9" t="n">
        <f aca="false">IF(AND(ISNUMBER(P7),P7&gt;0),P7*EXP('Read me'!$B$22),"")</f>
        <v>13.2553479524798</v>
      </c>
    </row>
    <row r="8" customFormat="false" ht="15" hidden="false" customHeight="false" outlineLevel="0" collapsed="false">
      <c r="A8" s="14" t="s">
        <v>41</v>
      </c>
      <c r="B8" s="14" t="s">
        <v>42</v>
      </c>
      <c r="C8" s="14" t="s">
        <v>43</v>
      </c>
      <c r="D8" s="14"/>
      <c r="E8" s="15" t="n">
        <v>5</v>
      </c>
      <c r="F8" s="14" t="s">
        <v>286</v>
      </c>
      <c r="G8" s="8" t="n">
        <v>13</v>
      </c>
      <c r="H8" s="14" t="s">
        <v>298</v>
      </c>
      <c r="I8" s="14" t="s">
        <v>299</v>
      </c>
      <c r="J8" s="14" t="s">
        <v>300</v>
      </c>
      <c r="K8" s="8" t="n">
        <v>8</v>
      </c>
      <c r="L8" s="8" t="n">
        <v>0</v>
      </c>
      <c r="M8" s="8" t="n">
        <v>2</v>
      </c>
      <c r="N8" s="8" t="n">
        <v>44</v>
      </c>
      <c r="O8" s="8" t="n">
        <v>7</v>
      </c>
      <c r="P8" s="9" t="n">
        <v>16.1827220085724</v>
      </c>
      <c r="Q8" s="10" t="n">
        <v>0.0617943013215127</v>
      </c>
      <c r="R8" s="9" t="n">
        <v>12</v>
      </c>
      <c r="S8" s="12" t="n">
        <f aca="false">IF(AND(ISNUMBER(R8),R8&gt;1,P8&gt;0),R8/P8-1,"")</f>
        <v>-0.258468384141848</v>
      </c>
      <c r="T8" s="9" t="n">
        <f aca="false">IF(AND(ISNUMBER(P8),P8&gt;0),P8*EXP('Read me'!$B$22),"")</f>
        <v>19.7656212958096</v>
      </c>
    </row>
    <row r="9" customFormat="false" ht="15" hidden="false" customHeight="false" outlineLevel="0" collapsed="false">
      <c r="A9" s="14" t="s">
        <v>41</v>
      </c>
      <c r="B9" s="14" t="s">
        <v>42</v>
      </c>
      <c r="C9" s="14" t="s">
        <v>43</v>
      </c>
      <c r="D9" s="14"/>
      <c r="E9" s="15" t="n">
        <v>5</v>
      </c>
      <c r="F9" s="14" t="s">
        <v>286</v>
      </c>
      <c r="G9" s="8" t="n">
        <v>13</v>
      </c>
      <c r="H9" s="14" t="s">
        <v>301</v>
      </c>
      <c r="I9" s="14" t="s">
        <v>302</v>
      </c>
      <c r="J9" s="14" t="s">
        <v>303</v>
      </c>
      <c r="K9" s="8" t="n">
        <v>11</v>
      </c>
      <c r="L9" s="8" t="n">
        <v>0</v>
      </c>
      <c r="M9" s="8" t="n">
        <v>2</v>
      </c>
      <c r="N9" s="8" t="n">
        <v>11</v>
      </c>
      <c r="O9" s="8" t="n">
        <v>8</v>
      </c>
      <c r="P9" s="9" t="n">
        <v>30.3755075022692</v>
      </c>
      <c r="Q9" s="10" t="n">
        <v>0.0329212606546671</v>
      </c>
      <c r="R9" s="9" t="n">
        <v>11</v>
      </c>
      <c r="S9" s="12" t="n">
        <f aca="false">IF(AND(ISNUMBER(R9),R9&gt;1,P9&gt;0),R9/P9-1,"")</f>
        <v>-0.637866132798662</v>
      </c>
      <c r="T9" s="9" t="n">
        <f aca="false">IF(AND(ISNUMBER(P9),P9&gt;0),P9*EXP('Read me'!$B$22),"")</f>
        <v>37.1007286437865</v>
      </c>
    </row>
    <row r="10" customFormat="false" ht="15" hidden="false" customHeight="false" outlineLevel="0" collapsed="false">
      <c r="A10" s="14" t="s">
        <v>41</v>
      </c>
      <c r="B10" s="14" t="s">
        <v>42</v>
      </c>
      <c r="C10" s="14" t="s">
        <v>43</v>
      </c>
      <c r="D10" s="14"/>
      <c r="E10" s="15" t="n">
        <v>5</v>
      </c>
      <c r="F10" s="14" t="s">
        <v>286</v>
      </c>
      <c r="G10" s="8" t="n">
        <v>13</v>
      </c>
      <c r="H10" s="14" t="s">
        <v>304</v>
      </c>
      <c r="I10" s="14" t="s">
        <v>305</v>
      </c>
      <c r="J10" s="14" t="s">
        <v>306</v>
      </c>
      <c r="K10" s="8" t="n">
        <v>6</v>
      </c>
      <c r="L10" s="8" t="n">
        <v>0</v>
      </c>
      <c r="M10" s="8" t="n">
        <v>2</v>
      </c>
      <c r="N10" s="8" t="n">
        <v>25</v>
      </c>
      <c r="O10" s="8" t="n">
        <v>9</v>
      </c>
      <c r="P10" s="9" t="n">
        <v>58.1162842855248</v>
      </c>
      <c r="Q10" s="10" t="n">
        <v>0.0172068812088365</v>
      </c>
      <c r="R10" s="9" t="n">
        <v>51</v>
      </c>
      <c r="S10" s="12" t="n">
        <f aca="false">IF(AND(ISNUMBER(R10),R10&gt;1,P10&gt;0),R10/P10-1,"")</f>
        <v>-0.122449058349336</v>
      </c>
      <c r="T10" s="9" t="n">
        <f aca="false">IF(AND(ISNUMBER(P10),P10&gt;0),P10*EXP('Read me'!$B$22),"")</f>
        <v>70.9833899203606</v>
      </c>
    </row>
    <row r="11" customFormat="false" ht="15" hidden="false" customHeight="false" outlineLevel="0" collapsed="false">
      <c r="A11" s="14" t="s">
        <v>41</v>
      </c>
      <c r="B11" s="14" t="s">
        <v>42</v>
      </c>
      <c r="C11" s="14" t="s">
        <v>43</v>
      </c>
      <c r="D11" s="14"/>
      <c r="E11" s="15" t="n">
        <v>5</v>
      </c>
      <c r="F11" s="14" t="s">
        <v>286</v>
      </c>
      <c r="G11" s="8" t="n">
        <v>13</v>
      </c>
      <c r="H11" s="14" t="s">
        <v>307</v>
      </c>
      <c r="I11" s="14" t="s">
        <v>308</v>
      </c>
      <c r="J11" s="14" t="s">
        <v>309</v>
      </c>
      <c r="K11" s="8" t="n">
        <v>1</v>
      </c>
      <c r="L11" s="8" t="n">
        <v>0</v>
      </c>
      <c r="M11" s="8" t="n">
        <v>2</v>
      </c>
      <c r="N11" s="8"/>
      <c r="O11" s="8" t="n">
        <v>10</v>
      </c>
      <c r="P11" s="9" t="n">
        <v>99.0623930541688</v>
      </c>
      <c r="Q11" s="10" t="n">
        <v>0.0100946481219486</v>
      </c>
      <c r="R11" s="9" t="n">
        <v>151</v>
      </c>
      <c r="S11" s="12" t="n">
        <f aca="false">IF(AND(ISNUMBER(R11),R11&gt;1,P11&gt;0),R11/P11-1,"")</f>
        <v>0.524291866414239</v>
      </c>
      <c r="T11" s="9" t="n">
        <f aca="false">IF(AND(ISNUMBER(P11),P11&gt;0),P11*EXP('Read me'!$B$22),"")</f>
        <v>120.995080106309</v>
      </c>
    </row>
    <row r="12" customFormat="false" ht="15" hidden="false" customHeight="false" outlineLevel="0" collapsed="false">
      <c r="A12" s="14" t="s">
        <v>41</v>
      </c>
      <c r="B12" s="14" t="s">
        <v>42</v>
      </c>
      <c r="C12" s="14" t="s">
        <v>43</v>
      </c>
      <c r="D12" s="14"/>
      <c r="E12" s="15" t="n">
        <v>5</v>
      </c>
      <c r="F12" s="14" t="s">
        <v>286</v>
      </c>
      <c r="G12" s="8" t="n">
        <v>13</v>
      </c>
      <c r="H12" s="14" t="s">
        <v>310</v>
      </c>
      <c r="I12" s="14" t="s">
        <v>311</v>
      </c>
      <c r="J12" s="14" t="s">
        <v>312</v>
      </c>
      <c r="K12" s="8" t="n">
        <v>2</v>
      </c>
      <c r="L12" s="8" t="n">
        <v>0</v>
      </c>
      <c r="M12" s="8" t="n">
        <v>2</v>
      </c>
      <c r="N12" s="8" t="n">
        <v>12</v>
      </c>
      <c r="O12" s="8" t="n">
        <v>11</v>
      </c>
      <c r="P12" s="9" t="n">
        <v>334.042850506553</v>
      </c>
      <c r="Q12" s="10" t="n">
        <v>0.0029936279087655</v>
      </c>
      <c r="R12" s="9" t="n">
        <v>81</v>
      </c>
      <c r="S12" s="12" t="n">
        <f aca="false">IF(AND(ISNUMBER(R12),R12&gt;1,P12&gt;0),R12/P12-1,"")</f>
        <v>-0.757516139389994</v>
      </c>
      <c r="T12" s="9" t="n">
        <f aca="false">IF(AND(ISNUMBER(P12),P12&gt;0),P12*EXP('Read me'!$B$22),"")</f>
        <v>408.000858952389</v>
      </c>
    </row>
    <row r="13" customFormat="false" ht="15" hidden="false" customHeight="false" outlineLevel="0" collapsed="false">
      <c r="A13" s="14" t="s">
        <v>41</v>
      </c>
      <c r="B13" s="14" t="s">
        <v>42</v>
      </c>
      <c r="C13" s="14" t="s">
        <v>43</v>
      </c>
      <c r="D13" s="14"/>
      <c r="E13" s="15" t="n">
        <v>5</v>
      </c>
      <c r="F13" s="14" t="s">
        <v>286</v>
      </c>
      <c r="G13" s="8" t="n">
        <v>13</v>
      </c>
      <c r="H13" s="14" t="s">
        <v>313</v>
      </c>
      <c r="I13" s="14" t="s">
        <v>314</v>
      </c>
      <c r="J13" s="14" t="s">
        <v>315</v>
      </c>
      <c r="K13" s="8" t="n">
        <v>10</v>
      </c>
      <c r="L13" s="8" t="n">
        <v>0</v>
      </c>
      <c r="M13" s="8" t="n">
        <v>2</v>
      </c>
      <c r="N13" s="8" t="n">
        <v>12</v>
      </c>
      <c r="O13" s="8" t="n">
        <v>12</v>
      </c>
      <c r="P13" s="9" t="n">
        <v>361.679974668197</v>
      </c>
      <c r="Q13" s="10" t="n">
        <v>0.0027648752212985</v>
      </c>
      <c r="R13" s="9" t="n">
        <v>151</v>
      </c>
      <c r="S13" s="12" t="n">
        <f aca="false">IF(AND(ISNUMBER(R13),R13&gt;1,P13&gt;0),R13/P13-1,"")</f>
        <v>-0.582503841583913</v>
      </c>
      <c r="T13" s="9" t="n">
        <f aca="false">IF(AND(ISNUMBER(P13),P13&gt;0),P13*EXP('Read me'!$B$22),"")</f>
        <v>441.756918631036</v>
      </c>
    </row>
    <row r="14" customFormat="false" ht="15" hidden="false" customHeight="false" outlineLevel="0" collapsed="false">
      <c r="A14" s="14" t="s">
        <v>41</v>
      </c>
      <c r="B14" s="14" t="s">
        <v>42</v>
      </c>
      <c r="C14" s="14" t="s">
        <v>43</v>
      </c>
      <c r="D14" s="14"/>
      <c r="E14" s="15" t="n">
        <v>5</v>
      </c>
      <c r="F14" s="14" t="s">
        <v>286</v>
      </c>
      <c r="G14" s="8" t="n">
        <v>13</v>
      </c>
      <c r="H14" s="14" t="s">
        <v>316</v>
      </c>
      <c r="I14" s="14" t="s">
        <v>317</v>
      </c>
      <c r="J14" s="14" t="s">
        <v>318</v>
      </c>
      <c r="K14" s="8" t="n">
        <v>13</v>
      </c>
      <c r="L14" s="8" t="n">
        <v>0</v>
      </c>
      <c r="M14" s="8" t="n">
        <v>2</v>
      </c>
      <c r="N14" s="8" t="n">
        <v>69</v>
      </c>
      <c r="O14" s="8" t="n">
        <v>13</v>
      </c>
      <c r="P14" s="9" t="n">
        <v>392.783505851584</v>
      </c>
      <c r="Q14" s="10" t="n">
        <v>0.0025459317540127</v>
      </c>
      <c r="R14" s="9" t="n">
        <v>151</v>
      </c>
      <c r="S14" s="12" t="n">
        <f aca="false">IF(AND(ISNUMBER(R14),R14&gt;1,P14&gt;0),R14/P14-1,"")</f>
        <v>-0.615564305144075</v>
      </c>
      <c r="T14" s="9" t="n">
        <f aca="false">IF(AND(ISNUMBER(P14),P14&gt;0),P14*EXP('Read me'!$B$22),"")</f>
        <v>479.746857406946</v>
      </c>
    </row>
    <row r="15" customFormat="false" ht="15" hidden="false" customHeight="false" outlineLevel="0" collapsed="false">
      <c r="A15" s="14" t="s">
        <v>69</v>
      </c>
      <c r="B15" s="14" t="s">
        <v>42</v>
      </c>
      <c r="C15" s="14" t="s">
        <v>70</v>
      </c>
      <c r="D15" s="14"/>
      <c r="E15" s="15" t="n">
        <v>6</v>
      </c>
      <c r="F15" s="14" t="s">
        <v>286</v>
      </c>
      <c r="G15" s="8" t="n">
        <v>7</v>
      </c>
      <c r="H15" s="14" t="s">
        <v>71</v>
      </c>
      <c r="I15" s="14" t="s">
        <v>72</v>
      </c>
      <c r="J15" s="14" t="s">
        <v>73</v>
      </c>
      <c r="K15" s="8" t="n">
        <v>5</v>
      </c>
      <c r="L15" s="8" t="n">
        <v>76</v>
      </c>
      <c r="M15" s="8" t="n">
        <v>2</v>
      </c>
      <c r="N15" s="8" t="n">
        <v>8</v>
      </c>
      <c r="O15" s="8" t="n">
        <v>1</v>
      </c>
      <c r="P15" s="9" t="n">
        <v>2.99689141277286</v>
      </c>
      <c r="Q15" s="10" t="n">
        <v>0.333679090185905</v>
      </c>
      <c r="R15" s="9" t="n">
        <v>2</v>
      </c>
      <c r="S15" s="12" t="n">
        <f aca="false">IF(AND(ISNUMBER(R15),R15&gt;1,P15&gt;0),R15/P15-1,"")</f>
        <v>-0.332641819628189</v>
      </c>
      <c r="T15" s="9" t="n">
        <f aca="false">IF(AND(ISNUMBER(P15),P15&gt;0),P15*EXP('Read me'!$B$22),"")</f>
        <v>3.6604114374673</v>
      </c>
    </row>
    <row r="16" customFormat="false" ht="15" hidden="false" customHeight="false" outlineLevel="0" collapsed="false">
      <c r="A16" s="14" t="s">
        <v>69</v>
      </c>
      <c r="B16" s="14" t="s">
        <v>42</v>
      </c>
      <c r="C16" s="14" t="s">
        <v>70</v>
      </c>
      <c r="D16" s="14"/>
      <c r="E16" s="15" t="n">
        <v>6</v>
      </c>
      <c r="F16" s="14" t="s">
        <v>286</v>
      </c>
      <c r="G16" s="8" t="n">
        <v>7</v>
      </c>
      <c r="H16" s="14" t="s">
        <v>74</v>
      </c>
      <c r="I16" s="14"/>
      <c r="J16" s="14" t="s">
        <v>213</v>
      </c>
      <c r="K16" s="8" t="n">
        <v>6</v>
      </c>
      <c r="L16" s="8" t="n">
        <v>79</v>
      </c>
      <c r="M16" s="8" t="n">
        <v>2</v>
      </c>
      <c r="N16" s="8" t="n">
        <v>2</v>
      </c>
      <c r="O16" s="8" t="n">
        <v>2</v>
      </c>
      <c r="P16" s="9" t="n">
        <v>5.87394022795125</v>
      </c>
      <c r="Q16" s="10" t="n">
        <v>0.170243475621608</v>
      </c>
      <c r="R16" s="9" t="n">
        <v>9.5</v>
      </c>
      <c r="S16" s="12" t="n">
        <f aca="false">IF(AND(ISNUMBER(R16),R16&gt;1,P16&gt;0),R16/P16-1,"")</f>
        <v>0.617313018405274</v>
      </c>
      <c r="T16" s="9" t="n">
        <f aca="false">IF(AND(ISNUMBER(P16),P16&gt;0),P16*EXP('Read me'!$B$22),"")</f>
        <v>7.17444679568763</v>
      </c>
    </row>
    <row r="17" customFormat="false" ht="15" hidden="false" customHeight="false" outlineLevel="0" collapsed="false">
      <c r="A17" s="14" t="s">
        <v>69</v>
      </c>
      <c r="B17" s="14" t="s">
        <v>42</v>
      </c>
      <c r="C17" s="14" t="s">
        <v>70</v>
      </c>
      <c r="D17" s="14"/>
      <c r="E17" s="15" t="n">
        <v>6</v>
      </c>
      <c r="F17" s="14" t="s">
        <v>286</v>
      </c>
      <c r="G17" s="8" t="n">
        <v>7</v>
      </c>
      <c r="H17" s="14" t="s">
        <v>384</v>
      </c>
      <c r="I17" s="14" t="s">
        <v>302</v>
      </c>
      <c r="J17" s="14" t="s">
        <v>385</v>
      </c>
      <c r="K17" s="8" t="n">
        <v>4</v>
      </c>
      <c r="L17" s="8" t="n">
        <v>75</v>
      </c>
      <c r="M17" s="8" t="n">
        <v>2</v>
      </c>
      <c r="N17" s="8" t="n">
        <v>24</v>
      </c>
      <c r="O17" s="8" t="n">
        <v>3</v>
      </c>
      <c r="P17" s="9" t="n">
        <v>7.13240577692741</v>
      </c>
      <c r="Q17" s="10" t="n">
        <v>0.140205146941428</v>
      </c>
      <c r="R17" s="9" t="n">
        <v>6</v>
      </c>
      <c r="S17" s="12" t="n">
        <f aca="false">IF(AND(ISNUMBER(R17),R17&gt;1,P17&gt;0),R17/P17-1,"")</f>
        <v>-0.15876911835143</v>
      </c>
      <c r="T17" s="9" t="n">
        <f aca="false">IF(AND(ISNUMBER(P17),P17&gt;0),P17*EXP('Read me'!$B$22),"")</f>
        <v>8.71154008825667</v>
      </c>
    </row>
    <row r="18" customFormat="false" ht="15" hidden="false" customHeight="false" outlineLevel="0" collapsed="false">
      <c r="A18" s="14" t="s">
        <v>69</v>
      </c>
      <c r="B18" s="14" t="s">
        <v>42</v>
      </c>
      <c r="C18" s="14" t="s">
        <v>70</v>
      </c>
      <c r="D18" s="14"/>
      <c r="E18" s="15" t="n">
        <v>6</v>
      </c>
      <c r="F18" s="14" t="s">
        <v>286</v>
      </c>
      <c r="G18" s="8" t="n">
        <v>7</v>
      </c>
      <c r="H18" s="14" t="s">
        <v>386</v>
      </c>
      <c r="I18" s="14" t="s">
        <v>45</v>
      </c>
      <c r="J18" s="14" t="s">
        <v>46</v>
      </c>
      <c r="K18" s="8" t="n">
        <v>7</v>
      </c>
      <c r="L18" s="8" t="n">
        <v>63</v>
      </c>
      <c r="M18" s="8" t="n">
        <v>2</v>
      </c>
      <c r="N18" s="8" t="n">
        <v>8</v>
      </c>
      <c r="O18" s="8" t="n">
        <v>4</v>
      </c>
      <c r="P18" s="9" t="n">
        <v>8.4926244676964</v>
      </c>
      <c r="Q18" s="10" t="n">
        <v>0.117749230971383</v>
      </c>
      <c r="R18" s="9" t="n">
        <v>5.5</v>
      </c>
      <c r="S18" s="12" t="n">
        <f aca="false">IF(AND(ISNUMBER(R18),R18&gt;1,P18&gt;0),R18/P18-1,"")</f>
        <v>-0.352379229657395</v>
      </c>
      <c r="T18" s="9" t="n">
        <f aca="false">IF(AND(ISNUMBER(P18),P18&gt;0),P18*EXP('Read me'!$B$22),"")</f>
        <v>10.3729149488629</v>
      </c>
    </row>
    <row r="19" customFormat="false" ht="15" hidden="false" customHeight="false" outlineLevel="0" collapsed="false">
      <c r="A19" s="14" t="s">
        <v>69</v>
      </c>
      <c r="B19" s="14" t="s">
        <v>42</v>
      </c>
      <c r="C19" s="14" t="s">
        <v>70</v>
      </c>
      <c r="D19" s="14"/>
      <c r="E19" s="15" t="n">
        <v>6</v>
      </c>
      <c r="F19" s="14" t="s">
        <v>286</v>
      </c>
      <c r="G19" s="8" t="n">
        <v>7</v>
      </c>
      <c r="H19" s="14" t="s">
        <v>387</v>
      </c>
      <c r="I19" s="14" t="s">
        <v>388</v>
      </c>
      <c r="J19" s="14" t="s">
        <v>389</v>
      </c>
      <c r="K19" s="8" t="n">
        <v>3</v>
      </c>
      <c r="L19" s="8" t="n">
        <v>75</v>
      </c>
      <c r="M19" s="8" t="n">
        <v>2</v>
      </c>
      <c r="N19" s="8" t="n">
        <v>27</v>
      </c>
      <c r="O19" s="8" t="n">
        <v>5</v>
      </c>
      <c r="P19" s="9" t="n">
        <v>10.2117334675665</v>
      </c>
      <c r="Q19" s="10" t="n">
        <v>0.0979265668435334</v>
      </c>
      <c r="R19" s="9" t="n">
        <v>12</v>
      </c>
      <c r="S19" s="12" t="n">
        <f aca="false">IF(AND(ISNUMBER(R19),R19&gt;1,P19&gt;0),R19/P19-1,"")</f>
        <v>0.175118802122401</v>
      </c>
      <c r="T19" s="9" t="n">
        <f aca="false">IF(AND(ISNUMBER(P19),P19&gt;0),P19*EXP('Read me'!$B$22),"")</f>
        <v>12.4726394228823</v>
      </c>
    </row>
    <row r="20" customFormat="false" ht="15" hidden="false" customHeight="false" outlineLevel="0" collapsed="false">
      <c r="A20" s="14" t="s">
        <v>69</v>
      </c>
      <c r="B20" s="14" t="s">
        <v>42</v>
      </c>
      <c r="C20" s="14" t="s">
        <v>70</v>
      </c>
      <c r="D20" s="14"/>
      <c r="E20" s="15" t="n">
        <v>6</v>
      </c>
      <c r="F20" s="14" t="s">
        <v>286</v>
      </c>
      <c r="G20" s="8" t="n">
        <v>7</v>
      </c>
      <c r="H20" s="14" t="s">
        <v>390</v>
      </c>
      <c r="I20" s="14" t="s">
        <v>391</v>
      </c>
      <c r="J20" s="14" t="s">
        <v>291</v>
      </c>
      <c r="K20" s="8" t="n">
        <v>1</v>
      </c>
      <c r="L20" s="8" t="n">
        <v>79</v>
      </c>
      <c r="M20" s="8" t="n">
        <v>2</v>
      </c>
      <c r="N20" s="8" t="n">
        <v>25</v>
      </c>
      <c r="O20" s="8" t="n">
        <v>6</v>
      </c>
      <c r="P20" s="9" t="n">
        <v>10.7000933204278</v>
      </c>
      <c r="Q20" s="10" t="n">
        <v>0.093457128835585</v>
      </c>
      <c r="R20" s="9" t="n">
        <v>6</v>
      </c>
      <c r="S20" s="12" t="n">
        <f aca="false">IF(AND(ISNUMBER(R20),R20&gt;1,P20&gt;0),R20/P20-1,"")</f>
        <v>-0.43925722698649</v>
      </c>
      <c r="T20" s="9" t="n">
        <f aca="false">IF(AND(ISNUMBER(P20),P20&gt;0),P20*EXP('Read me'!$B$22),"")</f>
        <v>13.0691234941417</v>
      </c>
    </row>
    <row r="21" customFormat="false" ht="15" hidden="false" customHeight="false" outlineLevel="0" collapsed="false">
      <c r="A21" s="14" t="s">
        <v>69</v>
      </c>
      <c r="B21" s="14" t="s">
        <v>42</v>
      </c>
      <c r="C21" s="14" t="s">
        <v>70</v>
      </c>
      <c r="D21" s="14"/>
      <c r="E21" s="15" t="n">
        <v>6</v>
      </c>
      <c r="F21" s="14" t="s">
        <v>286</v>
      </c>
      <c r="G21" s="8" t="n">
        <v>7</v>
      </c>
      <c r="H21" s="14" t="s">
        <v>392</v>
      </c>
      <c r="I21" s="14" t="s">
        <v>287</v>
      </c>
      <c r="J21" s="14" t="s">
        <v>393</v>
      </c>
      <c r="K21" s="8" t="n">
        <v>2</v>
      </c>
      <c r="L21" s="8" t="n">
        <v>77</v>
      </c>
      <c r="M21" s="8" t="n">
        <v>2</v>
      </c>
      <c r="N21" s="8" t="n">
        <v>12</v>
      </c>
      <c r="O21" s="8" t="n">
        <v>7</v>
      </c>
      <c r="P21" s="9" t="n">
        <v>21.395243476824</v>
      </c>
      <c r="Q21" s="10" t="n">
        <v>0.0467393606005574</v>
      </c>
      <c r="R21" s="9" t="n">
        <v>17</v>
      </c>
      <c r="S21" s="12" t="n">
        <f aca="false">IF(AND(ISNUMBER(R21),R21&gt;1,P21&gt;0),R21/P21-1,"")</f>
        <v>-0.205430869790523</v>
      </c>
      <c r="T21" s="9" t="n">
        <f aca="false">IF(AND(ISNUMBER(P21),P21&gt;0),P21*EXP('Read me'!$B$22),"")</f>
        <v>26.1322093941012</v>
      </c>
    </row>
    <row r="22" customFormat="false" ht="15" hidden="false" customHeight="false" outlineLevel="0" collapsed="false">
      <c r="A22" s="14" t="s">
        <v>92</v>
      </c>
      <c r="B22" s="14" t="s">
        <v>42</v>
      </c>
      <c r="C22" s="14" t="s">
        <v>93</v>
      </c>
      <c r="D22" s="14"/>
      <c r="E22" s="15" t="n">
        <v>6</v>
      </c>
      <c r="F22" s="14" t="s">
        <v>286</v>
      </c>
      <c r="G22" s="8" t="n">
        <v>9</v>
      </c>
      <c r="H22" s="14" t="s">
        <v>94</v>
      </c>
      <c r="I22" s="14" t="s">
        <v>95</v>
      </c>
      <c r="J22" s="14" t="s">
        <v>96</v>
      </c>
      <c r="K22" s="8" t="n">
        <v>6</v>
      </c>
      <c r="L22" s="8" t="n">
        <v>79</v>
      </c>
      <c r="M22" s="8" t="n">
        <v>3</v>
      </c>
      <c r="N22" s="8" t="n">
        <v>33</v>
      </c>
      <c r="O22" s="8" t="n">
        <v>1</v>
      </c>
      <c r="P22" s="9" t="n">
        <v>4.73782353496728</v>
      </c>
      <c r="Q22" s="10" t="n">
        <v>0.211067379909688</v>
      </c>
      <c r="R22" s="9" t="n">
        <v>7.5</v>
      </c>
      <c r="S22" s="12" t="n">
        <f aca="false">IF(AND(ISNUMBER(R22),R22&gt;1,P22&gt;0),R22/P22-1,"")</f>
        <v>0.583005349322661</v>
      </c>
      <c r="T22" s="9" t="n">
        <f aca="false">IF(AND(ISNUMBER(P22),P22&gt;0),P22*EXP('Read me'!$B$22),"")</f>
        <v>5.7867907332852</v>
      </c>
    </row>
    <row r="23" customFormat="false" ht="15" hidden="false" customHeight="false" outlineLevel="0" collapsed="false">
      <c r="A23" s="14" t="s">
        <v>92</v>
      </c>
      <c r="B23" s="14" t="s">
        <v>42</v>
      </c>
      <c r="C23" s="14" t="s">
        <v>93</v>
      </c>
      <c r="D23" s="14"/>
      <c r="E23" s="15" t="n">
        <v>6</v>
      </c>
      <c r="F23" s="14" t="s">
        <v>286</v>
      </c>
      <c r="G23" s="8" t="n">
        <v>9</v>
      </c>
      <c r="H23" s="14" t="s">
        <v>97</v>
      </c>
      <c r="I23" s="14" t="s">
        <v>299</v>
      </c>
      <c r="J23" s="14" t="s">
        <v>448</v>
      </c>
      <c r="K23" s="8" t="n">
        <v>5</v>
      </c>
      <c r="L23" s="8" t="n">
        <v>70</v>
      </c>
      <c r="M23" s="8" t="n">
        <v>3</v>
      </c>
      <c r="N23" s="8" t="n">
        <v>25</v>
      </c>
      <c r="O23" s="8" t="n">
        <v>2</v>
      </c>
      <c r="P23" s="9" t="n">
        <v>6.52930676380189</v>
      </c>
      <c r="Q23" s="10" t="n">
        <v>0.153155616082238</v>
      </c>
      <c r="R23" s="9" t="n">
        <v>5</v>
      </c>
      <c r="S23" s="12" t="n">
        <f aca="false">IF(AND(ISNUMBER(R23),R23&gt;1,P23&gt;0),R23/P23-1,"")</f>
        <v>-0.234221919588811</v>
      </c>
      <c r="T23" s="9" t="n">
        <f aca="false">IF(AND(ISNUMBER(P23),P23&gt;0),P23*EXP('Read me'!$B$22),"")</f>
        <v>7.97491329018148</v>
      </c>
    </row>
    <row r="24" customFormat="false" ht="15" hidden="false" customHeight="false" outlineLevel="0" collapsed="false">
      <c r="A24" s="14" t="s">
        <v>92</v>
      </c>
      <c r="B24" s="14" t="s">
        <v>42</v>
      </c>
      <c r="C24" s="14" t="s">
        <v>93</v>
      </c>
      <c r="D24" s="14"/>
      <c r="E24" s="15" t="n">
        <v>6</v>
      </c>
      <c r="F24" s="14" t="s">
        <v>286</v>
      </c>
      <c r="G24" s="8" t="n">
        <v>9</v>
      </c>
      <c r="H24" s="14" t="s">
        <v>449</v>
      </c>
      <c r="I24" s="14" t="s">
        <v>450</v>
      </c>
      <c r="J24" s="14" t="s">
        <v>451</v>
      </c>
      <c r="K24" s="8" t="n">
        <v>9</v>
      </c>
      <c r="L24" s="8" t="n">
        <v>77</v>
      </c>
      <c r="M24" s="8" t="n">
        <v>3</v>
      </c>
      <c r="N24" s="8" t="n">
        <v>14</v>
      </c>
      <c r="O24" s="8" t="n">
        <v>3</v>
      </c>
      <c r="P24" s="9" t="n">
        <v>8.74980918110934</v>
      </c>
      <c r="Q24" s="10" t="n">
        <v>0.114288206668436</v>
      </c>
      <c r="R24" s="9" t="n">
        <v>5</v>
      </c>
      <c r="S24" s="12" t="n">
        <f aca="false">IF(AND(ISNUMBER(R24),R24&gt;1,P24&gt;0),R24/P24-1,"")</f>
        <v>-0.428558966657822</v>
      </c>
      <c r="T24" s="9" t="n">
        <f aca="false">IF(AND(ISNUMBER(P24),P24&gt;0),P24*EXP('Read me'!$B$22),"")</f>
        <v>10.6870410671821</v>
      </c>
    </row>
    <row r="25" customFormat="false" ht="15" hidden="false" customHeight="false" outlineLevel="0" collapsed="false">
      <c r="A25" s="14" t="s">
        <v>92</v>
      </c>
      <c r="B25" s="14" t="s">
        <v>42</v>
      </c>
      <c r="C25" s="14" t="s">
        <v>93</v>
      </c>
      <c r="D25" s="14"/>
      <c r="E25" s="15" t="n">
        <v>6</v>
      </c>
      <c r="F25" s="14" t="s">
        <v>286</v>
      </c>
      <c r="G25" s="8" t="n">
        <v>9</v>
      </c>
      <c r="H25" s="14" t="s">
        <v>452</v>
      </c>
      <c r="I25" s="14" t="s">
        <v>142</v>
      </c>
      <c r="J25" s="14" t="s">
        <v>143</v>
      </c>
      <c r="K25" s="8" t="n">
        <v>2</v>
      </c>
      <c r="L25" s="8" t="n">
        <v>71</v>
      </c>
      <c r="M25" s="8" t="n">
        <v>3</v>
      </c>
      <c r="N25" s="8" t="n">
        <v>124</v>
      </c>
      <c r="O25" s="8" t="n">
        <v>4</v>
      </c>
      <c r="P25" s="9" t="n">
        <v>9.31772772225356</v>
      </c>
      <c r="Q25" s="10" t="n">
        <v>0.10732230322761</v>
      </c>
      <c r="R25" s="9" t="n">
        <v>11</v>
      </c>
      <c r="S25" s="12" t="n">
        <f aca="false">IF(AND(ISNUMBER(R25),R25&gt;1,P25&gt;0),R25/P25-1,"")</f>
        <v>0.180545335503705</v>
      </c>
      <c r="T25" s="9" t="n">
        <f aca="false">IF(AND(ISNUMBER(P25),P25&gt;0),P25*EXP('Read me'!$B$22),"")</f>
        <v>11.380698339746</v>
      </c>
    </row>
    <row r="26" customFormat="false" ht="15" hidden="false" customHeight="false" outlineLevel="0" collapsed="false">
      <c r="A26" s="14" t="s">
        <v>92</v>
      </c>
      <c r="B26" s="14" t="s">
        <v>42</v>
      </c>
      <c r="C26" s="14" t="s">
        <v>93</v>
      </c>
      <c r="D26" s="14"/>
      <c r="E26" s="15" t="n">
        <v>6</v>
      </c>
      <c r="F26" s="14" t="s">
        <v>286</v>
      </c>
      <c r="G26" s="8" t="n">
        <v>9</v>
      </c>
      <c r="H26" s="14" t="s">
        <v>453</v>
      </c>
      <c r="I26" s="14" t="s">
        <v>454</v>
      </c>
      <c r="J26" s="14" t="s">
        <v>291</v>
      </c>
      <c r="K26" s="8" t="n">
        <v>3</v>
      </c>
      <c r="L26" s="8" t="n">
        <v>84</v>
      </c>
      <c r="M26" s="8" t="n">
        <v>5</v>
      </c>
      <c r="N26" s="8" t="n">
        <v>16</v>
      </c>
      <c r="O26" s="8" t="n">
        <v>5</v>
      </c>
      <c r="P26" s="9" t="n">
        <v>9.77544125486944</v>
      </c>
      <c r="Q26" s="10" t="n">
        <v>0.102297172467981</v>
      </c>
      <c r="R26" s="9" t="n">
        <v>4.5</v>
      </c>
      <c r="S26" s="12" t="n">
        <f aca="false">IF(AND(ISNUMBER(R26),R26&gt;1,P26&gt;0),R26/P26-1,"")</f>
        <v>-0.539662723894084</v>
      </c>
      <c r="T26" s="9" t="n">
        <f aca="false">IF(AND(ISNUMBER(P26),P26&gt;0),P26*EXP('Read me'!$B$22),"")</f>
        <v>11.9397509109303</v>
      </c>
    </row>
    <row r="27" customFormat="false" ht="15" hidden="false" customHeight="false" outlineLevel="0" collapsed="false">
      <c r="A27" s="14" t="s">
        <v>92</v>
      </c>
      <c r="B27" s="14" t="s">
        <v>42</v>
      </c>
      <c r="C27" s="14" t="s">
        <v>93</v>
      </c>
      <c r="D27" s="14"/>
      <c r="E27" s="15" t="n">
        <v>6</v>
      </c>
      <c r="F27" s="14" t="s">
        <v>286</v>
      </c>
      <c r="G27" s="8" t="n">
        <v>9</v>
      </c>
      <c r="H27" s="14" t="s">
        <v>455</v>
      </c>
      <c r="I27" s="14" t="s">
        <v>314</v>
      </c>
      <c r="J27" s="14" t="s">
        <v>315</v>
      </c>
      <c r="K27" s="8" t="n">
        <v>1</v>
      </c>
      <c r="L27" s="8" t="n">
        <v>58</v>
      </c>
      <c r="M27" s="8" t="n">
        <v>5</v>
      </c>
      <c r="N27" s="8" t="n">
        <v>24</v>
      </c>
      <c r="O27" s="8" t="n">
        <v>6</v>
      </c>
      <c r="P27" s="9" t="n">
        <v>10.0381181477446</v>
      </c>
      <c r="Q27" s="10" t="n">
        <v>0.0996202659982319</v>
      </c>
      <c r="R27" s="9" t="n">
        <v>7.5</v>
      </c>
      <c r="S27" s="12" t="n">
        <f aca="false">IF(AND(ISNUMBER(R27),R27&gt;1,P27&gt;0),R27/P27-1,"")</f>
        <v>-0.252848005013261</v>
      </c>
      <c r="T27" s="9" t="n">
        <f aca="false">IF(AND(ISNUMBER(P27),P27&gt;0),P27*EXP('Read me'!$B$22),"")</f>
        <v>12.260585192393</v>
      </c>
    </row>
    <row r="28" customFormat="false" ht="15" hidden="false" customHeight="false" outlineLevel="0" collapsed="false">
      <c r="A28" s="14" t="s">
        <v>92</v>
      </c>
      <c r="B28" s="14" t="s">
        <v>42</v>
      </c>
      <c r="C28" s="14" t="s">
        <v>93</v>
      </c>
      <c r="D28" s="14"/>
      <c r="E28" s="15" t="n">
        <v>6</v>
      </c>
      <c r="F28" s="14" t="s">
        <v>286</v>
      </c>
      <c r="G28" s="8" t="n">
        <v>9</v>
      </c>
      <c r="H28" s="14" t="s">
        <v>456</v>
      </c>
      <c r="I28" s="14" t="s">
        <v>72</v>
      </c>
      <c r="J28" s="14" t="s">
        <v>73</v>
      </c>
      <c r="K28" s="8" t="n">
        <v>8</v>
      </c>
      <c r="L28" s="8" t="n">
        <v>79</v>
      </c>
      <c r="M28" s="8" t="n">
        <v>3</v>
      </c>
      <c r="N28" s="8" t="n">
        <v>14</v>
      </c>
      <c r="O28" s="8" t="n">
        <v>7</v>
      </c>
      <c r="P28" s="9" t="n">
        <v>11.9297588229733</v>
      </c>
      <c r="Q28" s="10" t="n">
        <v>0.0838239913177696</v>
      </c>
      <c r="R28" s="9" t="n">
        <v>8.5</v>
      </c>
      <c r="S28" s="12" t="n">
        <f aca="false">IF(AND(ISNUMBER(R28),R28&gt;1,P28&gt;0),R28/P28-1,"")</f>
        <v>-0.287496073798958</v>
      </c>
      <c r="T28" s="9" t="n">
        <f aca="false">IF(AND(ISNUMBER(P28),P28&gt;0),P28*EXP('Read me'!$B$22),"")</f>
        <v>14.5710403305652</v>
      </c>
    </row>
    <row r="29" customFormat="false" ht="15" hidden="false" customHeight="false" outlineLevel="0" collapsed="false">
      <c r="A29" s="14" t="s">
        <v>92</v>
      </c>
      <c r="B29" s="14" t="s">
        <v>42</v>
      </c>
      <c r="C29" s="14" t="s">
        <v>93</v>
      </c>
      <c r="D29" s="14"/>
      <c r="E29" s="15" t="n">
        <v>6</v>
      </c>
      <c r="F29" s="14" t="s">
        <v>286</v>
      </c>
      <c r="G29" s="8" t="n">
        <v>9</v>
      </c>
      <c r="H29" s="14" t="s">
        <v>457</v>
      </c>
      <c r="I29" s="14" t="s">
        <v>458</v>
      </c>
      <c r="J29" s="14" t="s">
        <v>459</v>
      </c>
      <c r="K29" s="8" t="n">
        <v>7</v>
      </c>
      <c r="L29" s="8" t="n">
        <v>68</v>
      </c>
      <c r="M29" s="8" t="n">
        <v>3</v>
      </c>
      <c r="N29" s="8" t="n">
        <v>30</v>
      </c>
      <c r="O29" s="8" t="n">
        <v>8</v>
      </c>
      <c r="P29" s="9" t="n">
        <v>13.3015505231813</v>
      </c>
      <c r="Q29" s="10" t="n">
        <v>0.0751792054811389</v>
      </c>
      <c r="R29" s="9" t="n">
        <v>15</v>
      </c>
      <c r="S29" s="12" t="n">
        <f aca="false">IF(AND(ISNUMBER(R29),R29&gt;1,P29&gt;0),R29/P29-1,"")</f>
        <v>0.127688082217085</v>
      </c>
      <c r="T29" s="9" t="n">
        <f aca="false">IF(AND(ISNUMBER(P29),P29&gt;0),P29*EXP('Read me'!$B$22),"")</f>
        <v>16.2465504968205</v>
      </c>
    </row>
    <row r="30" customFormat="false" ht="15" hidden="false" customHeight="false" outlineLevel="0" collapsed="false">
      <c r="A30" s="14" t="s">
        <v>92</v>
      </c>
      <c r="B30" s="14" t="s">
        <v>42</v>
      </c>
      <c r="C30" s="14" t="s">
        <v>93</v>
      </c>
      <c r="D30" s="14"/>
      <c r="E30" s="15" t="n">
        <v>6</v>
      </c>
      <c r="F30" s="14" t="s">
        <v>286</v>
      </c>
      <c r="G30" s="8" t="n">
        <v>9</v>
      </c>
      <c r="H30" s="14" t="s">
        <v>460</v>
      </c>
      <c r="I30" s="14" t="s">
        <v>461</v>
      </c>
      <c r="J30" s="14" t="s">
        <v>462</v>
      </c>
      <c r="K30" s="8" t="n">
        <v>4</v>
      </c>
      <c r="L30" s="8" t="n">
        <v>70</v>
      </c>
      <c r="M30" s="8" t="n">
        <v>3</v>
      </c>
      <c r="N30" s="8" t="n">
        <v>319</v>
      </c>
      <c r="O30" s="8" t="n">
        <v>9</v>
      </c>
      <c r="P30" s="9" t="n">
        <v>18.7808032710152</v>
      </c>
      <c r="Q30" s="10" t="n">
        <v>0.0532458588469067</v>
      </c>
      <c r="R30" s="9" t="n">
        <v>19</v>
      </c>
      <c r="S30" s="12" t="n">
        <f aca="false">IF(AND(ISNUMBER(R30),R30&gt;1,P30&gt;0),R30/P30-1,"")</f>
        <v>0.0116713180912293</v>
      </c>
      <c r="T30" s="9" t="n">
        <f aca="false">IF(AND(ISNUMBER(P30),P30&gt;0),P30*EXP('Read me'!$B$22),"")</f>
        <v>22.9389249156815</v>
      </c>
    </row>
    <row r="31" customFormat="false" ht="15" hidden="false" customHeight="false" outlineLevel="0" collapsed="false">
      <c r="A31" s="14" t="s">
        <v>116</v>
      </c>
      <c r="B31" s="14" t="s">
        <v>42</v>
      </c>
      <c r="C31" s="14" t="s">
        <v>117</v>
      </c>
      <c r="D31" s="14"/>
      <c r="E31" s="15" t="n">
        <v>6</v>
      </c>
      <c r="F31" s="14" t="s">
        <v>286</v>
      </c>
      <c r="G31" s="8" t="n">
        <v>19</v>
      </c>
      <c r="H31" s="14" t="s">
        <v>118</v>
      </c>
      <c r="I31" s="14" t="s">
        <v>72</v>
      </c>
      <c r="J31" s="14" t="s">
        <v>119</v>
      </c>
      <c r="K31" s="8" t="n">
        <v>14</v>
      </c>
      <c r="L31" s="8" t="n">
        <v>58</v>
      </c>
      <c r="M31" s="8" t="n">
        <v>3</v>
      </c>
      <c r="N31" s="8" t="n">
        <v>24</v>
      </c>
      <c r="O31" s="8" t="n">
        <v>1</v>
      </c>
      <c r="P31" s="9" t="n">
        <v>7.78369664930408</v>
      </c>
      <c r="Q31" s="10" t="n">
        <v>0.128473660402658</v>
      </c>
      <c r="R31" s="9" t="n">
        <v>7.5</v>
      </c>
      <c r="S31" s="12" t="n">
        <f aca="false">IF(AND(ISNUMBER(R31),R31&gt;1,P31&gt;0),R31/P31-1,"")</f>
        <v>-0.0364475469800641</v>
      </c>
      <c r="T31" s="9" t="n">
        <f aca="false">IF(AND(ISNUMBER(P31),P31&gt;0),P31*EXP('Read me'!$B$22),"")</f>
        <v>9.50702855614207</v>
      </c>
    </row>
    <row r="32" customFormat="false" ht="15" hidden="false" customHeight="false" outlineLevel="0" collapsed="false">
      <c r="A32" s="14" t="s">
        <v>116</v>
      </c>
      <c r="B32" s="14" t="s">
        <v>42</v>
      </c>
      <c r="C32" s="14" t="s">
        <v>117</v>
      </c>
      <c r="D32" s="14"/>
      <c r="E32" s="15" t="n">
        <v>6</v>
      </c>
      <c r="F32" s="14" t="s">
        <v>286</v>
      </c>
      <c r="G32" s="8" t="n">
        <v>19</v>
      </c>
      <c r="H32" s="14" t="s">
        <v>120</v>
      </c>
      <c r="I32" s="14" t="s">
        <v>299</v>
      </c>
      <c r="J32" s="14" t="s">
        <v>502</v>
      </c>
      <c r="K32" s="8" t="n">
        <v>2</v>
      </c>
      <c r="L32" s="8" t="n">
        <v>57</v>
      </c>
      <c r="M32" s="8" t="n">
        <v>4</v>
      </c>
      <c r="N32" s="8" t="n">
        <v>67</v>
      </c>
      <c r="O32" s="8" t="n">
        <v>2</v>
      </c>
      <c r="P32" s="9" t="n">
        <v>9.13058635647639</v>
      </c>
      <c r="Q32" s="10" t="n">
        <v>0.10952199135499</v>
      </c>
      <c r="R32" s="9" t="n">
        <v>5.5</v>
      </c>
      <c r="S32" s="12" t="n">
        <f aca="false">IF(AND(ISNUMBER(R32),R32&gt;1,P32&gt;0),R32/P32-1,"")</f>
        <v>-0.397629047547553</v>
      </c>
      <c r="T32" s="9" t="n">
        <f aca="false">IF(AND(ISNUMBER(P32),P32&gt;0),P32*EXP('Read me'!$B$22),"")</f>
        <v>11.1521233594199</v>
      </c>
    </row>
    <row r="33" customFormat="false" ht="15" hidden="false" customHeight="false" outlineLevel="0" collapsed="false">
      <c r="A33" s="14" t="s">
        <v>116</v>
      </c>
      <c r="B33" s="14" t="s">
        <v>42</v>
      </c>
      <c r="C33" s="14" t="s">
        <v>117</v>
      </c>
      <c r="D33" s="14"/>
      <c r="E33" s="15" t="n">
        <v>6</v>
      </c>
      <c r="F33" s="14" t="s">
        <v>286</v>
      </c>
      <c r="G33" s="8" t="n">
        <v>19</v>
      </c>
      <c r="H33" s="14" t="s">
        <v>503</v>
      </c>
      <c r="I33" s="14" t="s">
        <v>504</v>
      </c>
      <c r="J33" s="14" t="s">
        <v>505</v>
      </c>
      <c r="K33" s="8" t="n">
        <v>6</v>
      </c>
      <c r="L33" s="8" t="n">
        <v>56</v>
      </c>
      <c r="M33" s="8" t="n">
        <v>5</v>
      </c>
      <c r="N33" s="8" t="n">
        <v>73</v>
      </c>
      <c r="O33" s="8" t="n">
        <v>3</v>
      </c>
      <c r="P33" s="9" t="n">
        <v>10.0039280850519</v>
      </c>
      <c r="Q33" s="10" t="n">
        <v>0.0999607345732746</v>
      </c>
      <c r="R33" s="9" t="n">
        <v>11</v>
      </c>
      <c r="S33" s="12" t="n">
        <f aca="false">IF(AND(ISNUMBER(R33),R33&gt;1,P33&gt;0),R33/P33-1,"")</f>
        <v>0.0995680803060204</v>
      </c>
      <c r="T33" s="9" t="n">
        <f aca="false">IF(AND(ISNUMBER(P33),P33&gt;0),P33*EXP('Read me'!$B$22),"")</f>
        <v>12.2188253555184</v>
      </c>
    </row>
    <row r="34" customFormat="false" ht="15" hidden="false" customHeight="false" outlineLevel="0" collapsed="false">
      <c r="A34" s="14" t="s">
        <v>116</v>
      </c>
      <c r="B34" s="14" t="s">
        <v>42</v>
      </c>
      <c r="C34" s="14" t="s">
        <v>117</v>
      </c>
      <c r="D34" s="14"/>
      <c r="E34" s="15" t="n">
        <v>6</v>
      </c>
      <c r="F34" s="14" t="s">
        <v>286</v>
      </c>
      <c r="G34" s="8" t="n">
        <v>19</v>
      </c>
      <c r="H34" s="14" t="s">
        <v>506</v>
      </c>
      <c r="I34" s="14" t="s">
        <v>391</v>
      </c>
      <c r="J34" s="14" t="s">
        <v>507</v>
      </c>
      <c r="K34" s="8" t="n">
        <v>11</v>
      </c>
      <c r="L34" s="8" t="n">
        <v>54</v>
      </c>
      <c r="M34" s="8" t="n">
        <v>10</v>
      </c>
      <c r="N34" s="8" t="n">
        <v>7</v>
      </c>
      <c r="O34" s="8" t="n">
        <v>4</v>
      </c>
      <c r="P34" s="9" t="n">
        <v>10.1572910329183</v>
      </c>
      <c r="Q34" s="10" t="n">
        <v>0.0984514470205833</v>
      </c>
      <c r="R34" s="9" t="n">
        <v>9</v>
      </c>
      <c r="S34" s="12" t="n">
        <f aca="false">IF(AND(ISNUMBER(R34),R34&gt;1,P34&gt;0),R34/P34-1,"")</f>
        <v>-0.11393697681475</v>
      </c>
      <c r="T34" s="9" t="n">
        <f aca="false">IF(AND(ISNUMBER(P34),P34&gt;0),P34*EXP('Read me'!$B$22),"")</f>
        <v>12.406143283042</v>
      </c>
    </row>
    <row r="35" customFormat="false" ht="15" hidden="false" customHeight="false" outlineLevel="0" collapsed="false">
      <c r="A35" s="14" t="s">
        <v>116</v>
      </c>
      <c r="B35" s="14" t="s">
        <v>42</v>
      </c>
      <c r="C35" s="14" t="s">
        <v>117</v>
      </c>
      <c r="D35" s="14"/>
      <c r="E35" s="15" t="n">
        <v>6</v>
      </c>
      <c r="F35" s="14" t="s">
        <v>286</v>
      </c>
      <c r="G35" s="8" t="n">
        <v>19</v>
      </c>
      <c r="H35" s="14" t="s">
        <v>508</v>
      </c>
      <c r="I35" s="14" t="s">
        <v>45</v>
      </c>
      <c r="J35" s="14" t="s">
        <v>509</v>
      </c>
      <c r="K35" s="8" t="n">
        <v>18</v>
      </c>
      <c r="L35" s="8" t="n">
        <v>32</v>
      </c>
      <c r="M35" s="8" t="n">
        <v>8</v>
      </c>
      <c r="N35" s="8" t="n">
        <v>90</v>
      </c>
      <c r="O35" s="8" t="n">
        <v>5</v>
      </c>
      <c r="P35" s="9" t="n">
        <v>13.3829145727615</v>
      </c>
      <c r="Q35" s="10" t="n">
        <v>0.0747221387809887</v>
      </c>
      <c r="R35" s="9" t="n">
        <v>26</v>
      </c>
      <c r="S35" s="12" t="n">
        <f aca="false">IF(AND(ISNUMBER(R35),R35&gt;1,P35&gt;0),R35/P35-1,"")</f>
        <v>0.942775608305707</v>
      </c>
      <c r="T35" s="9" t="n">
        <f aca="false">IF(AND(ISNUMBER(P35),P35&gt;0),P35*EXP('Read me'!$B$22),"")</f>
        <v>16.3459287713928</v>
      </c>
    </row>
    <row r="36" customFormat="false" ht="15" hidden="false" customHeight="false" outlineLevel="0" collapsed="false">
      <c r="A36" s="14" t="s">
        <v>116</v>
      </c>
      <c r="B36" s="14" t="s">
        <v>42</v>
      </c>
      <c r="C36" s="14" t="s">
        <v>117</v>
      </c>
      <c r="D36" s="14"/>
      <c r="E36" s="15" t="n">
        <v>6</v>
      </c>
      <c r="F36" s="14" t="s">
        <v>286</v>
      </c>
      <c r="G36" s="8" t="n">
        <v>19</v>
      </c>
      <c r="H36" s="14" t="s">
        <v>510</v>
      </c>
      <c r="I36" s="14" t="s">
        <v>511</v>
      </c>
      <c r="J36" s="14" t="s">
        <v>512</v>
      </c>
      <c r="K36" s="8" t="n">
        <v>7</v>
      </c>
      <c r="L36" s="8" t="n">
        <v>52</v>
      </c>
      <c r="M36" s="8" t="n">
        <v>5</v>
      </c>
      <c r="N36" s="8" t="n">
        <v>80</v>
      </c>
      <c r="O36" s="8" t="n">
        <v>6</v>
      </c>
      <c r="P36" s="9" t="n">
        <v>13.6898260832805</v>
      </c>
      <c r="Q36" s="10" t="n">
        <v>0.0730469469748276</v>
      </c>
      <c r="R36" s="9" t="n">
        <v>5</v>
      </c>
      <c r="S36" s="12" t="n">
        <f aca="false">IF(AND(ISNUMBER(R36),R36&gt;1,P36&gt;0),R36/P36-1,"")</f>
        <v>-0.634765265125862</v>
      </c>
      <c r="T36" s="9" t="n">
        <f aca="false">IF(AND(ISNUMBER(P36),P36&gt;0),P36*EXP('Read me'!$B$22),"")</f>
        <v>16.7207913368518</v>
      </c>
    </row>
    <row r="37" customFormat="false" ht="15" hidden="false" customHeight="false" outlineLevel="0" collapsed="false">
      <c r="A37" s="14" t="s">
        <v>116</v>
      </c>
      <c r="B37" s="14" t="s">
        <v>42</v>
      </c>
      <c r="C37" s="14" t="s">
        <v>117</v>
      </c>
      <c r="D37" s="14"/>
      <c r="E37" s="15" t="n">
        <v>6</v>
      </c>
      <c r="F37" s="14" t="s">
        <v>286</v>
      </c>
      <c r="G37" s="8" t="n">
        <v>19</v>
      </c>
      <c r="H37" s="14" t="s">
        <v>513</v>
      </c>
      <c r="I37" s="14" t="s">
        <v>514</v>
      </c>
      <c r="J37" s="14" t="s">
        <v>515</v>
      </c>
      <c r="K37" s="8" t="n">
        <v>17</v>
      </c>
      <c r="L37" s="8" t="n">
        <v>42</v>
      </c>
      <c r="M37" s="8" t="n">
        <v>3</v>
      </c>
      <c r="N37" s="8" t="n">
        <v>7</v>
      </c>
      <c r="O37" s="8" t="n">
        <v>7</v>
      </c>
      <c r="P37" s="9" t="n">
        <v>13.7014480826972</v>
      </c>
      <c r="Q37" s="10" t="n">
        <v>0.0729849862557842</v>
      </c>
      <c r="R37" s="9" t="n">
        <v>7.5</v>
      </c>
      <c r="S37" s="12" t="n">
        <f aca="false">IF(AND(ISNUMBER(R37),R37&gt;1,P37&gt;0),R37/P37-1,"")</f>
        <v>-0.452612603081618</v>
      </c>
      <c r="T37" s="9" t="n">
        <f aca="false">IF(AND(ISNUMBER(P37),P37&gt;0),P37*EXP('Read me'!$B$22),"")</f>
        <v>16.7349864789948</v>
      </c>
    </row>
    <row r="38" customFormat="false" ht="15" hidden="false" customHeight="false" outlineLevel="0" collapsed="false">
      <c r="A38" s="14" t="s">
        <v>116</v>
      </c>
      <c r="B38" s="14" t="s">
        <v>42</v>
      </c>
      <c r="C38" s="14" t="s">
        <v>117</v>
      </c>
      <c r="D38" s="14"/>
      <c r="E38" s="15" t="n">
        <v>6</v>
      </c>
      <c r="F38" s="14" t="s">
        <v>286</v>
      </c>
      <c r="G38" s="8" t="n">
        <v>19</v>
      </c>
      <c r="H38" s="14" t="s">
        <v>516</v>
      </c>
      <c r="I38" s="14" t="s">
        <v>142</v>
      </c>
      <c r="J38" s="14" t="s">
        <v>517</v>
      </c>
      <c r="K38" s="8" t="n">
        <v>15</v>
      </c>
      <c r="L38" s="8" t="n">
        <v>45</v>
      </c>
      <c r="M38" s="8" t="n">
        <v>3</v>
      </c>
      <c r="N38" s="8" t="n">
        <v>7</v>
      </c>
      <c r="O38" s="8" t="n">
        <v>8</v>
      </c>
      <c r="P38" s="9" t="n">
        <v>17.4996157446522</v>
      </c>
      <c r="Q38" s="10" t="n">
        <v>0.0571441118817477</v>
      </c>
      <c r="R38" s="9" t="n">
        <v>9.5</v>
      </c>
      <c r="S38" s="12" t="n">
        <f aca="false">IF(AND(ISNUMBER(R38),R38&gt;1,P38&gt;0),R38/P38-1,"")</f>
        <v>-0.457130937123397</v>
      </c>
      <c r="T38" s="9" t="n">
        <f aca="false">IF(AND(ISNUMBER(P38),P38&gt;0),P38*EXP('Read me'!$B$22),"")</f>
        <v>21.3740789372613</v>
      </c>
    </row>
    <row r="39" customFormat="false" ht="15" hidden="false" customHeight="false" outlineLevel="0" collapsed="false">
      <c r="A39" s="14" t="s">
        <v>116</v>
      </c>
      <c r="B39" s="14" t="s">
        <v>42</v>
      </c>
      <c r="C39" s="14" t="s">
        <v>117</v>
      </c>
      <c r="D39" s="14"/>
      <c r="E39" s="15" t="n">
        <v>6</v>
      </c>
      <c r="F39" s="14" t="s">
        <v>286</v>
      </c>
      <c r="G39" s="8" t="n">
        <v>19</v>
      </c>
      <c r="H39" s="14" t="s">
        <v>518</v>
      </c>
      <c r="I39" s="14" t="s">
        <v>519</v>
      </c>
      <c r="J39" s="14" t="s">
        <v>520</v>
      </c>
      <c r="K39" s="8" t="n">
        <v>20</v>
      </c>
      <c r="L39" s="8" t="n">
        <v>43</v>
      </c>
      <c r="M39" s="8" t="n">
        <v>4</v>
      </c>
      <c r="N39" s="8" t="n">
        <v>19</v>
      </c>
      <c r="O39" s="8" t="n">
        <v>9</v>
      </c>
      <c r="P39" s="9" t="n">
        <v>21.4286638169153</v>
      </c>
      <c r="Q39" s="10" t="n">
        <v>0.0466664654662519</v>
      </c>
      <c r="R39" s="9" t="n">
        <v>11</v>
      </c>
      <c r="S39" s="12" t="n">
        <f aca="false">IF(AND(ISNUMBER(R39),R39&gt;1,P39&gt;0),R39/P39-1,"")</f>
        <v>-0.486668879871228</v>
      </c>
      <c r="T39" s="9" t="n">
        <f aca="false">IF(AND(ISNUMBER(P39),P39&gt;0),P39*EXP('Read me'!$B$22),"")</f>
        <v>26.1730290896673</v>
      </c>
    </row>
    <row r="40" customFormat="false" ht="15" hidden="false" customHeight="false" outlineLevel="0" collapsed="false">
      <c r="A40" s="14" t="s">
        <v>116</v>
      </c>
      <c r="B40" s="14" t="s">
        <v>42</v>
      </c>
      <c r="C40" s="14" t="s">
        <v>117</v>
      </c>
      <c r="D40" s="14"/>
      <c r="E40" s="15" t="n">
        <v>6</v>
      </c>
      <c r="F40" s="14" t="s">
        <v>286</v>
      </c>
      <c r="G40" s="8" t="n">
        <v>19</v>
      </c>
      <c r="H40" s="14" t="s">
        <v>521</v>
      </c>
      <c r="I40" s="14" t="s">
        <v>317</v>
      </c>
      <c r="J40" s="14" t="s">
        <v>522</v>
      </c>
      <c r="K40" s="8" t="n">
        <v>10</v>
      </c>
      <c r="L40" s="8" t="n">
        <v>40</v>
      </c>
      <c r="M40" s="8" t="n">
        <v>7</v>
      </c>
      <c r="N40" s="8" t="n">
        <v>102</v>
      </c>
      <c r="O40" s="8" t="n">
        <v>10</v>
      </c>
      <c r="P40" s="9" t="n">
        <v>24.722711706309</v>
      </c>
      <c r="Q40" s="10" t="n">
        <v>0.0404486373452637</v>
      </c>
      <c r="R40" s="9" t="n">
        <v>15</v>
      </c>
      <c r="S40" s="12" t="n">
        <f aca="false">IF(AND(ISNUMBER(R40),R40&gt;1,P40&gt;0),R40/P40-1,"")</f>
        <v>-0.393270439821044</v>
      </c>
      <c r="T40" s="9" t="n">
        <f aca="false">IF(AND(ISNUMBER(P40),P40&gt;0),P40*EXP('Read me'!$B$22),"")</f>
        <v>30.1963882672845</v>
      </c>
    </row>
    <row r="41" customFormat="false" ht="15" hidden="false" customHeight="false" outlineLevel="0" collapsed="false">
      <c r="A41" s="14" t="s">
        <v>116</v>
      </c>
      <c r="B41" s="14" t="s">
        <v>42</v>
      </c>
      <c r="C41" s="14" t="s">
        <v>117</v>
      </c>
      <c r="D41" s="14"/>
      <c r="E41" s="15" t="n">
        <v>6</v>
      </c>
      <c r="F41" s="14" t="s">
        <v>286</v>
      </c>
      <c r="G41" s="8" t="n">
        <v>19</v>
      </c>
      <c r="H41" s="14" t="s">
        <v>523</v>
      </c>
      <c r="I41" s="14" t="s">
        <v>308</v>
      </c>
      <c r="J41" s="14" t="s">
        <v>505</v>
      </c>
      <c r="K41" s="8" t="n">
        <v>16</v>
      </c>
      <c r="L41" s="8" t="n">
        <v>57</v>
      </c>
      <c r="M41" s="8" t="n">
        <v>4</v>
      </c>
      <c r="N41" s="8" t="n">
        <v>87</v>
      </c>
      <c r="O41" s="8" t="n">
        <v>11</v>
      </c>
      <c r="P41" s="9" t="n">
        <v>24.8580362370347</v>
      </c>
      <c r="Q41" s="10" t="n">
        <v>0.0402284392244208</v>
      </c>
      <c r="R41" s="9" t="n">
        <v>13</v>
      </c>
      <c r="S41" s="12" t="n">
        <f aca="false">IF(AND(ISNUMBER(R41),R41&gt;1,P41&gt;0),R41/P41-1,"")</f>
        <v>-0.47703029008253</v>
      </c>
      <c r="T41" s="9" t="n">
        <f aca="false">IF(AND(ISNUMBER(P41),P41&gt;0),P41*EXP('Read me'!$B$22),"")</f>
        <v>30.3616740223596</v>
      </c>
    </row>
    <row r="42" customFormat="false" ht="15" hidden="false" customHeight="false" outlineLevel="0" collapsed="false">
      <c r="A42" s="14" t="s">
        <v>116</v>
      </c>
      <c r="B42" s="14" t="s">
        <v>42</v>
      </c>
      <c r="C42" s="14" t="s">
        <v>117</v>
      </c>
      <c r="D42" s="14"/>
      <c r="E42" s="15" t="n">
        <v>6</v>
      </c>
      <c r="F42" s="14" t="s">
        <v>286</v>
      </c>
      <c r="G42" s="8" t="n">
        <v>19</v>
      </c>
      <c r="H42" s="14" t="s">
        <v>524</v>
      </c>
      <c r="I42" s="14" t="s">
        <v>461</v>
      </c>
      <c r="J42" s="14" t="s">
        <v>525</v>
      </c>
      <c r="K42" s="8" t="n">
        <v>1</v>
      </c>
      <c r="L42" s="8" t="n">
        <v>43</v>
      </c>
      <c r="M42" s="8" t="n">
        <v>7</v>
      </c>
      <c r="N42" s="8" t="n">
        <v>20</v>
      </c>
      <c r="O42" s="8" t="n">
        <v>12</v>
      </c>
      <c r="P42" s="9" t="n">
        <v>26.1932202405612</v>
      </c>
      <c r="Q42" s="10" t="n">
        <v>0.0381778181840911</v>
      </c>
      <c r="R42" s="9" t="n">
        <v>26</v>
      </c>
      <c r="S42" s="12" t="n">
        <f aca="false">IF(AND(ISNUMBER(R42),R42&gt;1,P42&gt;0),R42/P42-1,"")</f>
        <v>-0.00737672721363136</v>
      </c>
      <c r="T42" s="9" t="n">
        <f aca="false">IF(AND(ISNUMBER(P42),P42&gt;0),P42*EXP('Read me'!$B$22),"")</f>
        <v>31.9924714469182</v>
      </c>
    </row>
    <row r="43" customFormat="false" ht="15" hidden="false" customHeight="false" outlineLevel="0" collapsed="false">
      <c r="A43" s="14" t="s">
        <v>116</v>
      </c>
      <c r="B43" s="14" t="s">
        <v>42</v>
      </c>
      <c r="C43" s="14" t="s">
        <v>117</v>
      </c>
      <c r="D43" s="14"/>
      <c r="E43" s="15" t="n">
        <v>6</v>
      </c>
      <c r="F43" s="14" t="s">
        <v>286</v>
      </c>
      <c r="G43" s="8" t="n">
        <v>19</v>
      </c>
      <c r="H43" s="14" t="s">
        <v>526</v>
      </c>
      <c r="I43" s="14" t="s">
        <v>527</v>
      </c>
      <c r="J43" s="14" t="s">
        <v>528</v>
      </c>
      <c r="K43" s="8" t="n">
        <v>19</v>
      </c>
      <c r="L43" s="8" t="n">
        <v>35</v>
      </c>
      <c r="M43" s="8" t="n">
        <v>7</v>
      </c>
      <c r="N43" s="8" t="n">
        <v>13</v>
      </c>
      <c r="O43" s="8" t="n">
        <v>13</v>
      </c>
      <c r="P43" s="9" t="n">
        <v>36.5925769782985</v>
      </c>
      <c r="Q43" s="10" t="n">
        <v>0.0273279468836823</v>
      </c>
      <c r="R43" s="9" t="n">
        <v>21</v>
      </c>
      <c r="S43" s="12" t="n">
        <f aca="false">IF(AND(ISNUMBER(R43),R43&gt;1,P43&gt;0),R43/P43-1,"")</f>
        <v>-0.426113115442671</v>
      </c>
      <c r="T43" s="9" t="n">
        <f aca="false">IF(AND(ISNUMBER(P43),P43&gt;0),P43*EXP('Read me'!$B$22),"")</f>
        <v>44.6942744494822</v>
      </c>
    </row>
    <row r="44" customFormat="false" ht="15" hidden="false" customHeight="false" outlineLevel="0" collapsed="false">
      <c r="A44" s="14" t="s">
        <v>116</v>
      </c>
      <c r="B44" s="14" t="s">
        <v>42</v>
      </c>
      <c r="C44" s="14" t="s">
        <v>117</v>
      </c>
      <c r="D44" s="14"/>
      <c r="E44" s="15" t="n">
        <v>6</v>
      </c>
      <c r="F44" s="14" t="s">
        <v>286</v>
      </c>
      <c r="G44" s="8" t="n">
        <v>19</v>
      </c>
      <c r="H44" s="14" t="s">
        <v>529</v>
      </c>
      <c r="I44" s="14" t="s">
        <v>530</v>
      </c>
      <c r="J44" s="14" t="s">
        <v>531</v>
      </c>
      <c r="K44" s="8" t="n">
        <v>8</v>
      </c>
      <c r="L44" s="8" t="n">
        <v>51</v>
      </c>
      <c r="M44" s="8" t="n">
        <v>5</v>
      </c>
      <c r="N44" s="8" t="n">
        <v>37</v>
      </c>
      <c r="O44" s="8" t="n">
        <v>14</v>
      </c>
      <c r="P44" s="9" t="n">
        <v>40.0922339046044</v>
      </c>
      <c r="Q44" s="10" t="n">
        <v>0.024942486427157</v>
      </c>
      <c r="R44" s="9" t="n">
        <v>51</v>
      </c>
      <c r="S44" s="12" t="n">
        <f aca="false">IF(AND(ISNUMBER(R44),R44&gt;1,P44&gt;0),R44/P44-1,"")</f>
        <v>0.272066807785007</v>
      </c>
      <c r="T44" s="9" t="n">
        <f aca="false">IF(AND(ISNUMBER(P44),P44&gt;0),P44*EXP('Read me'!$B$22),"")</f>
        <v>48.9687650718865</v>
      </c>
    </row>
    <row r="45" customFormat="false" ht="15" hidden="false" customHeight="false" outlineLevel="0" collapsed="false">
      <c r="A45" s="14" t="s">
        <v>116</v>
      </c>
      <c r="B45" s="14" t="s">
        <v>42</v>
      </c>
      <c r="C45" s="14" t="s">
        <v>117</v>
      </c>
      <c r="D45" s="14"/>
      <c r="E45" s="15" t="n">
        <v>6</v>
      </c>
      <c r="F45" s="14" t="s">
        <v>286</v>
      </c>
      <c r="G45" s="8" t="n">
        <v>19</v>
      </c>
      <c r="H45" s="14" t="s">
        <v>532</v>
      </c>
      <c r="I45" s="14" t="s">
        <v>450</v>
      </c>
      <c r="J45" s="14" t="s">
        <v>505</v>
      </c>
      <c r="K45" s="8" t="n">
        <v>3</v>
      </c>
      <c r="L45" s="8" t="n">
        <v>54</v>
      </c>
      <c r="M45" s="8" t="n">
        <v>5</v>
      </c>
      <c r="N45" s="8" t="n">
        <v>24</v>
      </c>
      <c r="O45" s="8" t="n">
        <v>15</v>
      </c>
      <c r="P45" s="9" t="n">
        <v>42.1831873633959</v>
      </c>
      <c r="Q45" s="10" t="n">
        <v>0.0237061270734544</v>
      </c>
      <c r="R45" s="9" t="n">
        <v>29</v>
      </c>
      <c r="S45" s="12" t="n">
        <f aca="false">IF(AND(ISNUMBER(R45),R45&gt;1,P45&gt;0),R45/P45-1,"")</f>
        <v>-0.312522314869822</v>
      </c>
      <c r="T45" s="9" t="n">
        <f aca="false">IF(AND(ISNUMBER(P45),P45&gt;0),P45*EXP('Read me'!$B$22),"")</f>
        <v>51.522661393639</v>
      </c>
    </row>
    <row r="46" customFormat="false" ht="15" hidden="false" customHeight="false" outlineLevel="0" collapsed="false">
      <c r="A46" s="14" t="s">
        <v>116</v>
      </c>
      <c r="B46" s="14" t="s">
        <v>42</v>
      </c>
      <c r="C46" s="14" t="s">
        <v>117</v>
      </c>
      <c r="D46" s="14"/>
      <c r="E46" s="15" t="n">
        <v>6</v>
      </c>
      <c r="F46" s="14" t="s">
        <v>286</v>
      </c>
      <c r="G46" s="8" t="n">
        <v>19</v>
      </c>
      <c r="H46" s="14" t="s">
        <v>533</v>
      </c>
      <c r="I46" s="14" t="s">
        <v>534</v>
      </c>
      <c r="J46" s="14" t="s">
        <v>535</v>
      </c>
      <c r="K46" s="8" t="n">
        <v>9</v>
      </c>
      <c r="L46" s="8" t="n">
        <v>50</v>
      </c>
      <c r="M46" s="8" t="n">
        <v>4</v>
      </c>
      <c r="N46" s="8" t="n">
        <v>163</v>
      </c>
      <c r="O46" s="8" t="n">
        <v>16</v>
      </c>
      <c r="P46" s="9" t="n">
        <v>50.4862263763684</v>
      </c>
      <c r="Q46" s="10" t="n">
        <v>0.0198073825630207</v>
      </c>
      <c r="R46" s="9" t="n">
        <v>34</v>
      </c>
      <c r="S46" s="12" t="n">
        <f aca="false">IF(AND(ISNUMBER(R46),R46&gt;1,P46&gt;0),R46/P46-1,"")</f>
        <v>-0.326548992857293</v>
      </c>
      <c r="T46" s="9" t="n">
        <f aca="false">IF(AND(ISNUMBER(P46),P46&gt;0),P46*EXP('Read me'!$B$22),"")</f>
        <v>61.6640161451951</v>
      </c>
    </row>
    <row r="47" customFormat="false" ht="15" hidden="false" customHeight="false" outlineLevel="0" collapsed="false">
      <c r="A47" s="14" t="s">
        <v>116</v>
      </c>
      <c r="B47" s="14" t="s">
        <v>42</v>
      </c>
      <c r="C47" s="14" t="s">
        <v>117</v>
      </c>
      <c r="D47" s="14"/>
      <c r="E47" s="15" t="n">
        <v>6</v>
      </c>
      <c r="F47" s="14" t="s">
        <v>286</v>
      </c>
      <c r="G47" s="8" t="n">
        <v>19</v>
      </c>
      <c r="H47" s="14" t="s">
        <v>536</v>
      </c>
      <c r="I47" s="14" t="s">
        <v>458</v>
      </c>
      <c r="J47" s="14" t="s">
        <v>318</v>
      </c>
      <c r="K47" s="8" t="n">
        <v>5</v>
      </c>
      <c r="L47" s="8" t="n">
        <v>55</v>
      </c>
      <c r="M47" s="8" t="n">
        <v>3</v>
      </c>
      <c r="N47" s="8" t="n">
        <v>244</v>
      </c>
      <c r="O47" s="8" t="n">
        <v>17</v>
      </c>
      <c r="P47" s="9" t="n">
        <v>98.5385559775286</v>
      </c>
      <c r="Q47" s="10" t="n">
        <v>0.0101483118976093</v>
      </c>
      <c r="R47" s="9" t="n">
        <v>41</v>
      </c>
      <c r="S47" s="12" t="n">
        <f aca="false">IF(AND(ISNUMBER(R47),R47&gt;1,P47&gt;0),R47/P47-1,"")</f>
        <v>-0.583919212198016</v>
      </c>
      <c r="T47" s="9" t="n">
        <f aca="false">IF(AND(ISNUMBER(P47),P47&gt;0),P47*EXP('Read me'!$B$22),"")</f>
        <v>120.355264056074</v>
      </c>
    </row>
    <row r="48" customFormat="false" ht="15" hidden="false" customHeight="false" outlineLevel="0" collapsed="false">
      <c r="A48" s="14" t="s">
        <v>116</v>
      </c>
      <c r="B48" s="14" t="s">
        <v>42</v>
      </c>
      <c r="C48" s="14" t="s">
        <v>117</v>
      </c>
      <c r="D48" s="14"/>
      <c r="E48" s="15" t="n">
        <v>6</v>
      </c>
      <c r="F48" s="14" t="s">
        <v>286</v>
      </c>
      <c r="G48" s="8" t="n">
        <v>19</v>
      </c>
      <c r="H48" s="14" t="s">
        <v>537</v>
      </c>
      <c r="I48" s="14" t="s">
        <v>538</v>
      </c>
      <c r="J48" s="14" t="s">
        <v>300</v>
      </c>
      <c r="K48" s="8" t="n">
        <v>4</v>
      </c>
      <c r="L48" s="8" t="n">
        <v>44</v>
      </c>
      <c r="M48" s="8" t="n">
        <v>3</v>
      </c>
      <c r="N48" s="8" t="n">
        <v>67</v>
      </c>
      <c r="O48" s="8" t="n">
        <v>18</v>
      </c>
      <c r="P48" s="9" t="n">
        <v>117.274540316502</v>
      </c>
      <c r="Q48" s="10" t="n">
        <v>0.0085269999549875</v>
      </c>
      <c r="R48" s="9" t="n">
        <v>41</v>
      </c>
      <c r="S48" s="12" t="n">
        <f aca="false">IF(AND(ISNUMBER(R48),R48&gt;1,P48&gt;0),R48/P48-1,"")</f>
        <v>-0.65039300184551</v>
      </c>
      <c r="T48" s="9" t="n">
        <f aca="false">IF(AND(ISNUMBER(P48),P48&gt;0),P48*EXP('Read me'!$B$22),"")</f>
        <v>143.239447004542</v>
      </c>
    </row>
    <row r="49" customFormat="false" ht="15" hidden="false" customHeight="false" outlineLevel="0" collapsed="false">
      <c r="A49" s="14" t="s">
        <v>116</v>
      </c>
      <c r="B49" s="14" t="s">
        <v>42</v>
      </c>
      <c r="C49" s="14" t="s">
        <v>117</v>
      </c>
      <c r="D49" s="14"/>
      <c r="E49" s="15" t="n">
        <v>6</v>
      </c>
      <c r="F49" s="14" t="s">
        <v>286</v>
      </c>
      <c r="G49" s="8" t="n">
        <v>19</v>
      </c>
      <c r="H49" s="14" t="s">
        <v>539</v>
      </c>
      <c r="I49" s="14" t="s">
        <v>540</v>
      </c>
      <c r="J49" s="14" t="s">
        <v>541</v>
      </c>
      <c r="K49" s="8" t="n">
        <v>12</v>
      </c>
      <c r="L49" s="8" t="n">
        <v>56</v>
      </c>
      <c r="M49" s="8" t="n">
        <v>4</v>
      </c>
      <c r="N49" s="8" t="n">
        <v>114</v>
      </c>
      <c r="O49" s="8" t="n">
        <v>19</v>
      </c>
      <c r="P49" s="9" t="n">
        <v>175.028117626308</v>
      </c>
      <c r="Q49" s="10" t="n">
        <v>0.005713367735206</v>
      </c>
      <c r="R49" s="9" t="n">
        <v>126</v>
      </c>
      <c r="S49" s="12" t="n">
        <f aca="false">IF(AND(ISNUMBER(R49),R49&gt;1,P49&gt;0),R49/P49-1,"")</f>
        <v>-0.280115665364035</v>
      </c>
      <c r="T49" s="9" t="n">
        <f aca="false">IF(AND(ISNUMBER(P49),P49&gt;0),P49*EXP('Read me'!$B$22),"")</f>
        <v>213.779825624355</v>
      </c>
    </row>
    <row r="50" customFormat="false" ht="15" hidden="false" customHeight="false" outlineLevel="0" collapsed="false">
      <c r="A50" s="14" t="s">
        <v>139</v>
      </c>
      <c r="B50" s="14" t="s">
        <v>42</v>
      </c>
      <c r="C50" s="14" t="s">
        <v>140</v>
      </c>
      <c r="D50" s="14"/>
      <c r="E50" s="15" t="n">
        <v>10.5</v>
      </c>
      <c r="F50" s="14" t="s">
        <v>286</v>
      </c>
      <c r="G50" s="8" t="n">
        <v>12</v>
      </c>
      <c r="H50" s="14" t="s">
        <v>141</v>
      </c>
      <c r="I50" s="14" t="s">
        <v>142</v>
      </c>
      <c r="J50" s="14" t="s">
        <v>143</v>
      </c>
      <c r="K50" s="8" t="n">
        <v>7</v>
      </c>
      <c r="L50" s="8" t="n">
        <v>104</v>
      </c>
      <c r="M50" s="8" t="n">
        <v>3</v>
      </c>
      <c r="N50" s="8" t="n">
        <v>16</v>
      </c>
      <c r="O50" s="8" t="n">
        <v>1</v>
      </c>
      <c r="P50" s="9" t="n">
        <v>5.45243251491631</v>
      </c>
      <c r="Q50" s="10" t="n">
        <v>0.18340437910314</v>
      </c>
      <c r="R50" s="9" t="n">
        <v>6</v>
      </c>
      <c r="S50" s="12" t="n">
        <f aca="false">IF(AND(ISNUMBER(R50),R50&gt;1,P50&gt;0),R50/P50-1,"")</f>
        <v>0.100426274618842</v>
      </c>
      <c r="T50" s="9" t="n">
        <f aca="false">IF(AND(ISNUMBER(P50),P50&gt;0),P50*EXP('Read me'!$B$22),"")</f>
        <v>6.65961611240098</v>
      </c>
    </row>
    <row r="51" customFormat="false" ht="15" hidden="false" customHeight="false" outlineLevel="0" collapsed="false">
      <c r="A51" s="14" t="s">
        <v>139</v>
      </c>
      <c r="B51" s="14" t="s">
        <v>42</v>
      </c>
      <c r="C51" s="14" t="s">
        <v>140</v>
      </c>
      <c r="D51" s="14"/>
      <c r="E51" s="15" t="n">
        <v>10.5</v>
      </c>
      <c r="F51" s="14" t="s">
        <v>286</v>
      </c>
      <c r="G51" s="8" t="n">
        <v>12</v>
      </c>
      <c r="H51" s="14" t="s">
        <v>144</v>
      </c>
      <c r="I51" s="14" t="s">
        <v>95</v>
      </c>
      <c r="J51" s="14" t="s">
        <v>579</v>
      </c>
      <c r="K51" s="8" t="n">
        <v>10</v>
      </c>
      <c r="L51" s="8" t="n">
        <v>102</v>
      </c>
      <c r="M51" s="8" t="n">
        <v>3</v>
      </c>
      <c r="N51" s="8" t="n">
        <v>10</v>
      </c>
      <c r="O51" s="8" t="n">
        <v>2</v>
      </c>
      <c r="P51" s="9" t="n">
        <v>6.47796518905636</v>
      </c>
      <c r="Q51" s="10" t="n">
        <v>0.154369461831836</v>
      </c>
      <c r="R51" s="9" t="n">
        <v>8</v>
      </c>
      <c r="S51" s="12" t="n">
        <f aca="false">IF(AND(ISNUMBER(R51),R51&gt;1,P51&gt;0),R51/P51-1,"")</f>
        <v>0.23495569465469</v>
      </c>
      <c r="T51" s="9" t="n">
        <f aca="false">IF(AND(ISNUMBER(P51),P51&gt;0),P51*EXP('Read me'!$B$22),"")</f>
        <v>7.91220454917901</v>
      </c>
    </row>
    <row r="52" customFormat="false" ht="15" hidden="false" customHeight="false" outlineLevel="0" collapsed="false">
      <c r="A52" s="14" t="s">
        <v>139</v>
      </c>
      <c r="B52" s="14" t="s">
        <v>42</v>
      </c>
      <c r="C52" s="14" t="s">
        <v>140</v>
      </c>
      <c r="D52" s="14"/>
      <c r="E52" s="15" t="n">
        <v>10.5</v>
      </c>
      <c r="F52" s="14" t="s">
        <v>286</v>
      </c>
      <c r="G52" s="8" t="n">
        <v>12</v>
      </c>
      <c r="H52" s="14" t="s">
        <v>580</v>
      </c>
      <c r="I52" s="14" t="s">
        <v>461</v>
      </c>
      <c r="J52" s="14" t="s">
        <v>581</v>
      </c>
      <c r="K52" s="8" t="n">
        <v>9</v>
      </c>
      <c r="L52" s="8" t="n">
        <v>97</v>
      </c>
      <c r="M52" s="8" t="n">
        <v>3</v>
      </c>
      <c r="N52" s="8" t="n">
        <v>16</v>
      </c>
      <c r="O52" s="8" t="n">
        <v>3</v>
      </c>
      <c r="P52" s="9" t="n">
        <v>6.49594518178395</v>
      </c>
      <c r="Q52" s="10" t="n">
        <v>0.153942185781404</v>
      </c>
      <c r="R52" s="9" t="n">
        <v>5.5</v>
      </c>
      <c r="S52" s="12" t="n">
        <f aca="false">IF(AND(ISNUMBER(R52),R52&gt;1,P52&gt;0),R52/P52-1,"")</f>
        <v>-0.153317978202279</v>
      </c>
      <c r="T52" s="9" t="n">
        <f aca="false">IF(AND(ISNUMBER(P52),P52&gt;0),P52*EXP('Read me'!$B$22),"")</f>
        <v>7.93416536188818</v>
      </c>
    </row>
    <row r="53" customFormat="false" ht="15" hidden="false" customHeight="false" outlineLevel="0" collapsed="false">
      <c r="A53" s="14" t="s">
        <v>139</v>
      </c>
      <c r="B53" s="14" t="s">
        <v>42</v>
      </c>
      <c r="C53" s="14" t="s">
        <v>140</v>
      </c>
      <c r="D53" s="14"/>
      <c r="E53" s="15" t="n">
        <v>10.5</v>
      </c>
      <c r="F53" s="14" t="s">
        <v>286</v>
      </c>
      <c r="G53" s="8" t="n">
        <v>12</v>
      </c>
      <c r="H53" s="14" t="s">
        <v>582</v>
      </c>
      <c r="I53" s="14" t="s">
        <v>583</v>
      </c>
      <c r="J53" s="14" t="s">
        <v>294</v>
      </c>
      <c r="K53" s="8" t="n">
        <v>6</v>
      </c>
      <c r="L53" s="8" t="n">
        <v>102</v>
      </c>
      <c r="M53" s="8" t="n">
        <v>3</v>
      </c>
      <c r="N53" s="8" t="n">
        <v>61</v>
      </c>
      <c r="O53" s="8" t="n">
        <v>4</v>
      </c>
      <c r="P53" s="9" t="n">
        <v>9.55135447637315</v>
      </c>
      <c r="Q53" s="10" t="n">
        <v>0.104697192683369</v>
      </c>
      <c r="R53" s="9" t="n">
        <v>6.5</v>
      </c>
      <c r="S53" s="12" t="n">
        <f aca="false">IF(AND(ISNUMBER(R53),R53&gt;1,P53&gt;0),R53/P53-1,"")</f>
        <v>-0.319468247558101</v>
      </c>
      <c r="T53" s="9" t="n">
        <f aca="false">IF(AND(ISNUMBER(P53),P53&gt;0),P53*EXP('Read me'!$B$22),"")</f>
        <v>11.6660507016076</v>
      </c>
    </row>
    <row r="54" customFormat="false" ht="15" hidden="false" customHeight="false" outlineLevel="0" collapsed="false">
      <c r="A54" s="14" t="s">
        <v>139</v>
      </c>
      <c r="B54" s="14" t="s">
        <v>42</v>
      </c>
      <c r="C54" s="14" t="s">
        <v>140</v>
      </c>
      <c r="D54" s="14"/>
      <c r="E54" s="15" t="n">
        <v>10.5</v>
      </c>
      <c r="F54" s="14" t="s">
        <v>286</v>
      </c>
      <c r="G54" s="8" t="n">
        <v>12</v>
      </c>
      <c r="H54" s="14" t="s">
        <v>584</v>
      </c>
      <c r="I54" s="14"/>
      <c r="J54" s="14" t="s">
        <v>143</v>
      </c>
      <c r="K54" s="8" t="n">
        <v>8</v>
      </c>
      <c r="L54" s="8" t="n">
        <v>95</v>
      </c>
      <c r="M54" s="8" t="n">
        <v>3</v>
      </c>
      <c r="N54" s="8" t="n">
        <v>42</v>
      </c>
      <c r="O54" s="8" t="n">
        <v>5</v>
      </c>
      <c r="P54" s="9" t="n">
        <v>10.8493395949981</v>
      </c>
      <c r="Q54" s="10" t="n">
        <v>0.0921715088041889</v>
      </c>
      <c r="R54" s="9" t="n">
        <v>10</v>
      </c>
      <c r="S54" s="12" t="n">
        <f aca="false">IF(AND(ISNUMBER(R54),R54&gt;1,P54&gt;0),R54/P54-1,"")</f>
        <v>-0.0782849119581109</v>
      </c>
      <c r="T54" s="9" t="n">
        <f aca="false">IF(AND(ISNUMBER(P54),P54&gt;0),P54*EXP('Read me'!$B$22),"")</f>
        <v>13.251413305547</v>
      </c>
    </row>
    <row r="55" customFormat="false" ht="15" hidden="false" customHeight="false" outlineLevel="0" collapsed="false">
      <c r="A55" s="14" t="s">
        <v>139</v>
      </c>
      <c r="B55" s="14" t="s">
        <v>42</v>
      </c>
      <c r="C55" s="14" t="s">
        <v>140</v>
      </c>
      <c r="D55" s="14"/>
      <c r="E55" s="15" t="n">
        <v>10.5</v>
      </c>
      <c r="F55" s="14" t="s">
        <v>286</v>
      </c>
      <c r="G55" s="8" t="n">
        <v>12</v>
      </c>
      <c r="H55" s="14" t="s">
        <v>585</v>
      </c>
      <c r="I55" s="14" t="s">
        <v>72</v>
      </c>
      <c r="J55" s="14" t="s">
        <v>73</v>
      </c>
      <c r="K55" s="8" t="n">
        <v>1</v>
      </c>
      <c r="L55" s="8" t="n">
        <v>95</v>
      </c>
      <c r="M55" s="8" t="n">
        <v>3</v>
      </c>
      <c r="N55" s="8" t="n">
        <v>135</v>
      </c>
      <c r="O55" s="8" t="n">
        <v>6</v>
      </c>
      <c r="P55" s="9" t="n">
        <v>12.3519653820407</v>
      </c>
      <c r="Q55" s="10" t="n">
        <v>0.0809587761194636</v>
      </c>
      <c r="R55" s="9" t="n">
        <v>9.5</v>
      </c>
      <c r="S55" s="12" t="n">
        <f aca="false">IF(AND(ISNUMBER(R55),R55&gt;1,P55&gt;0),R55/P55-1,"")</f>
        <v>-0.230891626865095</v>
      </c>
      <c r="T55" s="9" t="n">
        <f aca="false">IF(AND(ISNUMBER(P55),P55&gt;0),P55*EXP('Read me'!$B$22),"")</f>
        <v>15.0867245863235</v>
      </c>
    </row>
    <row r="56" customFormat="false" ht="15" hidden="false" customHeight="false" outlineLevel="0" collapsed="false">
      <c r="A56" s="14" t="s">
        <v>139</v>
      </c>
      <c r="B56" s="14" t="s">
        <v>42</v>
      </c>
      <c r="C56" s="14" t="s">
        <v>140</v>
      </c>
      <c r="D56" s="14"/>
      <c r="E56" s="15" t="n">
        <v>10.5</v>
      </c>
      <c r="F56" s="14" t="s">
        <v>286</v>
      </c>
      <c r="G56" s="8" t="n">
        <v>12</v>
      </c>
      <c r="H56" s="14" t="s">
        <v>586</v>
      </c>
      <c r="I56" s="14" t="s">
        <v>458</v>
      </c>
      <c r="J56" s="14" t="s">
        <v>587</v>
      </c>
      <c r="K56" s="8" t="n">
        <v>4</v>
      </c>
      <c r="L56" s="8" t="n">
        <v>88</v>
      </c>
      <c r="M56" s="8" t="n">
        <v>3</v>
      </c>
      <c r="N56" s="8" t="n">
        <v>14</v>
      </c>
      <c r="O56" s="8" t="n">
        <v>7</v>
      </c>
      <c r="P56" s="9" t="n">
        <v>14.0345305718616</v>
      </c>
      <c r="Q56" s="10" t="n">
        <v>0.0712528285060665</v>
      </c>
      <c r="R56" s="9" t="n">
        <v>21</v>
      </c>
      <c r="S56" s="12" t="n">
        <f aca="false">IF(AND(ISNUMBER(R56),R56&gt;1,P56&gt;0),R56/P56-1,"")</f>
        <v>0.496309398627398</v>
      </c>
      <c r="T56" s="9" t="n">
        <f aca="false">IF(AND(ISNUMBER(P56),P56&gt;0),P56*EXP('Read me'!$B$22),"")</f>
        <v>17.1418143499549</v>
      </c>
    </row>
    <row r="57" customFormat="false" ht="15" hidden="false" customHeight="false" outlineLevel="0" collapsed="false">
      <c r="A57" s="14" t="s">
        <v>139</v>
      </c>
      <c r="B57" s="14" t="s">
        <v>42</v>
      </c>
      <c r="C57" s="14" t="s">
        <v>140</v>
      </c>
      <c r="D57" s="14"/>
      <c r="E57" s="15" t="n">
        <v>10.5</v>
      </c>
      <c r="F57" s="14" t="s">
        <v>286</v>
      </c>
      <c r="G57" s="8" t="n">
        <v>12</v>
      </c>
      <c r="H57" s="14" t="s">
        <v>588</v>
      </c>
      <c r="I57" s="14" t="s">
        <v>45</v>
      </c>
      <c r="J57" s="14" t="s">
        <v>46</v>
      </c>
      <c r="K57" s="8" t="n">
        <v>12</v>
      </c>
      <c r="L57" s="8" t="n">
        <v>109</v>
      </c>
      <c r="M57" s="8" t="n">
        <v>3</v>
      </c>
      <c r="N57" s="8" t="n">
        <v>17</v>
      </c>
      <c r="O57" s="8" t="n">
        <v>8</v>
      </c>
      <c r="P57" s="9" t="n">
        <v>17.1767463834707</v>
      </c>
      <c r="Q57" s="10" t="n">
        <v>0.0582182432967808</v>
      </c>
      <c r="R57" s="9" t="n">
        <v>3.25</v>
      </c>
      <c r="S57" s="12" t="n">
        <f aca="false">IF(AND(ISNUMBER(R57),R57&gt;1,P57&gt;0),R57/P57-1,"")</f>
        <v>-0.810790709285462</v>
      </c>
      <c r="T57" s="9" t="n">
        <f aca="false">IF(AND(ISNUMBER(P57),P57&gt;0),P57*EXP('Read me'!$B$22),"")</f>
        <v>20.9797254089889</v>
      </c>
    </row>
    <row r="58" customFormat="false" ht="15" hidden="false" customHeight="false" outlineLevel="0" collapsed="false">
      <c r="A58" s="14" t="s">
        <v>139</v>
      </c>
      <c r="B58" s="14" t="s">
        <v>42</v>
      </c>
      <c r="C58" s="14" t="s">
        <v>140</v>
      </c>
      <c r="D58" s="14"/>
      <c r="E58" s="15" t="n">
        <v>10.5</v>
      </c>
      <c r="F58" s="14" t="s">
        <v>286</v>
      </c>
      <c r="G58" s="8" t="n">
        <v>12</v>
      </c>
      <c r="H58" s="14" t="s">
        <v>589</v>
      </c>
      <c r="I58" s="14" t="s">
        <v>511</v>
      </c>
      <c r="J58" s="14" t="s">
        <v>590</v>
      </c>
      <c r="K58" s="8" t="n">
        <v>2</v>
      </c>
      <c r="L58" s="8" t="n">
        <v>91</v>
      </c>
      <c r="M58" s="8" t="n">
        <v>3</v>
      </c>
      <c r="N58" s="8" t="n">
        <v>8</v>
      </c>
      <c r="O58" s="8" t="n">
        <v>9</v>
      </c>
      <c r="P58" s="9" t="n">
        <v>30.8598729873845</v>
      </c>
      <c r="Q58" s="10" t="n">
        <v>0.032404540368938</v>
      </c>
      <c r="R58" s="9" t="n">
        <v>26</v>
      </c>
      <c r="S58" s="12" t="n">
        <f aca="false">IF(AND(ISNUMBER(R58),R58&gt;1,P58&gt;0),R58/P58-1,"")</f>
        <v>-0.157481950407611</v>
      </c>
      <c r="T58" s="9" t="n">
        <f aca="false">IF(AND(ISNUMBER(P58),P58&gt;0),P58*EXP('Read me'!$B$22),"")</f>
        <v>37.6923339832639</v>
      </c>
    </row>
    <row r="59" customFormat="false" ht="15" hidden="false" customHeight="false" outlineLevel="0" collapsed="false">
      <c r="A59" s="14" t="s">
        <v>139</v>
      </c>
      <c r="B59" s="14" t="s">
        <v>42</v>
      </c>
      <c r="C59" s="14" t="s">
        <v>140</v>
      </c>
      <c r="D59" s="14"/>
      <c r="E59" s="15" t="n">
        <v>10.5</v>
      </c>
      <c r="F59" s="14" t="s">
        <v>286</v>
      </c>
      <c r="G59" s="8" t="n">
        <v>12</v>
      </c>
      <c r="H59" s="14" t="s">
        <v>591</v>
      </c>
      <c r="I59" s="14" t="s">
        <v>299</v>
      </c>
      <c r="J59" s="14" t="s">
        <v>46</v>
      </c>
      <c r="K59" s="8" t="n">
        <v>5</v>
      </c>
      <c r="L59" s="8" t="n">
        <v>85</v>
      </c>
      <c r="M59" s="8" t="n">
        <v>3</v>
      </c>
      <c r="N59" s="8" t="n">
        <v>31</v>
      </c>
      <c r="O59" s="8" t="n">
        <v>10</v>
      </c>
      <c r="P59" s="9" t="n">
        <v>33.5935615389801</v>
      </c>
      <c r="Q59" s="10" t="n">
        <v>0.0297676088568238</v>
      </c>
      <c r="R59" s="9" t="n">
        <v>41</v>
      </c>
      <c r="S59" s="12" t="n">
        <f aca="false">IF(AND(ISNUMBER(R59),R59&gt;1,P59&gt;0),R59/P59-1,"")</f>
        <v>0.220471963129778</v>
      </c>
      <c r="T59" s="9" t="n">
        <f aca="false">IF(AND(ISNUMBER(P59),P59&gt;0),P59*EXP('Read me'!$B$22),"")</f>
        <v>41.0312687201336</v>
      </c>
    </row>
    <row r="60" customFormat="false" ht="15" hidden="false" customHeight="false" outlineLevel="0" collapsed="false">
      <c r="A60" s="14" t="s">
        <v>139</v>
      </c>
      <c r="B60" s="14" t="s">
        <v>42</v>
      </c>
      <c r="C60" s="14" t="s">
        <v>140</v>
      </c>
      <c r="D60" s="14"/>
      <c r="E60" s="15" t="n">
        <v>10.5</v>
      </c>
      <c r="F60" s="14" t="s">
        <v>286</v>
      </c>
      <c r="G60" s="8" t="n">
        <v>12</v>
      </c>
      <c r="H60" s="14" t="s">
        <v>592</v>
      </c>
      <c r="I60" s="14" t="s">
        <v>450</v>
      </c>
      <c r="J60" s="14" t="s">
        <v>451</v>
      </c>
      <c r="K60" s="8" t="n">
        <v>3</v>
      </c>
      <c r="L60" s="8" t="n">
        <v>98</v>
      </c>
      <c r="M60" s="8" t="n">
        <v>3</v>
      </c>
      <c r="N60" s="8" t="n">
        <v>60</v>
      </c>
      <c r="O60" s="8" t="n">
        <v>11</v>
      </c>
      <c r="P60" s="9" t="n">
        <v>42.7575956517784</v>
      </c>
      <c r="Q60" s="10" t="n">
        <v>0.023387657438554</v>
      </c>
      <c r="R60" s="9" t="n">
        <v>41</v>
      </c>
      <c r="S60" s="12" t="n">
        <f aca="false">IF(AND(ISNUMBER(R60),R60&gt;1,P60&gt;0),R60/P60-1,"")</f>
        <v>-0.0411060450192858</v>
      </c>
      <c r="T60" s="9" t="n">
        <f aca="false">IF(AND(ISNUMBER(P60),P60&gt;0),P60*EXP('Read me'!$B$22),"")</f>
        <v>52.2242452613795</v>
      </c>
    </row>
    <row r="61" customFormat="false" ht="15" hidden="false" customHeight="false" outlineLevel="0" collapsed="false">
      <c r="A61" s="14" t="s">
        <v>139</v>
      </c>
      <c r="B61" s="14" t="s">
        <v>42</v>
      </c>
      <c r="C61" s="14" t="s">
        <v>140</v>
      </c>
      <c r="D61" s="14"/>
      <c r="E61" s="15" t="n">
        <v>10.5</v>
      </c>
      <c r="F61" s="14" t="s">
        <v>286</v>
      </c>
      <c r="G61" s="8" t="n">
        <v>12</v>
      </c>
      <c r="H61" s="14" t="s">
        <v>593</v>
      </c>
      <c r="I61" s="14" t="s">
        <v>290</v>
      </c>
      <c r="J61" s="14" t="s">
        <v>291</v>
      </c>
      <c r="K61" s="8" t="n">
        <v>11</v>
      </c>
      <c r="L61" s="8" t="n">
        <v>84</v>
      </c>
      <c r="M61" s="8" t="n">
        <v>3</v>
      </c>
      <c r="N61" s="8" t="n">
        <v>109</v>
      </c>
      <c r="O61" s="8" t="n">
        <v>12</v>
      </c>
      <c r="P61" s="9" t="n">
        <v>64.8272277486821</v>
      </c>
      <c r="Q61" s="10" t="n">
        <v>0.0154256172094344</v>
      </c>
      <c r="R61" s="9" t="n">
        <v>26</v>
      </c>
      <c r="S61" s="12" t="n">
        <f aca="false">IF(AND(ISNUMBER(R61),R61&gt;1,P61&gt;0),R61/P61-1,"")</f>
        <v>-0.598933952554703</v>
      </c>
      <c r="T61" s="9" t="n">
        <f aca="false">IF(AND(ISNUMBER(P61),P61&gt;0),P61*EXP('Read me'!$B$22),"")</f>
        <v>79.1801547761178</v>
      </c>
    </row>
    <row r="62" customFormat="false" ht="15" hidden="false" customHeight="false" outlineLevel="0" collapsed="false">
      <c r="A62" s="14" t="s">
        <v>161</v>
      </c>
      <c r="B62" s="14" t="s">
        <v>42</v>
      </c>
      <c r="C62" s="14" t="s">
        <v>162</v>
      </c>
      <c r="D62" s="14"/>
      <c r="E62" s="15" t="n">
        <v>8</v>
      </c>
      <c r="F62" s="14" t="s">
        <v>286</v>
      </c>
      <c r="G62" s="8" t="n">
        <v>14</v>
      </c>
      <c r="H62" s="14" t="s">
        <v>163</v>
      </c>
      <c r="I62" s="14" t="s">
        <v>45</v>
      </c>
      <c r="J62" s="14" t="s">
        <v>46</v>
      </c>
      <c r="K62" s="8" t="n">
        <v>12</v>
      </c>
      <c r="L62" s="8" t="n">
        <v>0</v>
      </c>
      <c r="M62" s="8" t="n">
        <v>2</v>
      </c>
      <c r="N62" s="8" t="n">
        <v>20</v>
      </c>
      <c r="O62" s="8" t="n">
        <v>1</v>
      </c>
      <c r="P62" s="9" t="n">
        <v>4.18165663712629</v>
      </c>
      <c r="Q62" s="10" t="n">
        <v>0.23913967280853</v>
      </c>
      <c r="R62" s="9" t="n">
        <v>2.2</v>
      </c>
      <c r="S62" s="12" t="n">
        <f aca="false">IF(AND(ISNUMBER(R62),R62&gt;1,P62&gt;0),R62/P62-1,"")</f>
        <v>-0.473892719821234</v>
      </c>
      <c r="T62" s="9" t="n">
        <f aca="false">IF(AND(ISNUMBER(P62),P62&gt;0),P62*EXP('Read me'!$B$22),"")</f>
        <v>5.10748695026483</v>
      </c>
    </row>
    <row r="63" customFormat="false" ht="15" hidden="false" customHeight="false" outlineLevel="0" collapsed="false">
      <c r="A63" s="14" t="s">
        <v>161</v>
      </c>
      <c r="B63" s="14" t="s">
        <v>42</v>
      </c>
      <c r="C63" s="14" t="s">
        <v>162</v>
      </c>
      <c r="D63" s="14"/>
      <c r="E63" s="15" t="n">
        <v>8</v>
      </c>
      <c r="F63" s="14" t="s">
        <v>286</v>
      </c>
      <c r="G63" s="8" t="n">
        <v>14</v>
      </c>
      <c r="H63" s="14" t="s">
        <v>164</v>
      </c>
      <c r="I63" s="14" t="s">
        <v>461</v>
      </c>
      <c r="J63" s="14" t="s">
        <v>637</v>
      </c>
      <c r="K63" s="8" t="n">
        <v>8</v>
      </c>
      <c r="L63" s="8" t="n">
        <v>0</v>
      </c>
      <c r="M63" s="8" t="n">
        <v>2</v>
      </c>
      <c r="N63" s="8"/>
      <c r="O63" s="8" t="n">
        <v>2</v>
      </c>
      <c r="P63" s="9" t="n">
        <v>4.38836363207018</v>
      </c>
      <c r="Q63" s="10" t="n">
        <v>0.227875373109921</v>
      </c>
      <c r="R63" s="9" t="n">
        <v>5</v>
      </c>
      <c r="S63" s="12" t="n">
        <f aca="false">IF(AND(ISNUMBER(R63),R63&gt;1,P63&gt;0),R63/P63-1,"")</f>
        <v>0.139376865549605</v>
      </c>
      <c r="T63" s="9" t="n">
        <f aca="false">IF(AND(ISNUMBER(P63),P63&gt;0),P63*EXP('Read me'!$B$22),"")</f>
        <v>5.3599594440203</v>
      </c>
    </row>
    <row r="64" customFormat="false" ht="15" hidden="false" customHeight="false" outlineLevel="0" collapsed="false">
      <c r="A64" s="14" t="s">
        <v>161</v>
      </c>
      <c r="B64" s="14" t="s">
        <v>42</v>
      </c>
      <c r="C64" s="14" t="s">
        <v>162</v>
      </c>
      <c r="D64" s="14"/>
      <c r="E64" s="15" t="n">
        <v>8</v>
      </c>
      <c r="F64" s="14" t="s">
        <v>286</v>
      </c>
      <c r="G64" s="8" t="n">
        <v>14</v>
      </c>
      <c r="H64" s="14" t="s">
        <v>638</v>
      </c>
      <c r="I64" s="14" t="s">
        <v>95</v>
      </c>
      <c r="J64" s="14" t="s">
        <v>639</v>
      </c>
      <c r="K64" s="8" t="n">
        <v>2</v>
      </c>
      <c r="L64" s="8" t="n">
        <v>0</v>
      </c>
      <c r="M64" s="8" t="n">
        <v>2</v>
      </c>
      <c r="N64" s="8"/>
      <c r="O64" s="8" t="n">
        <v>3</v>
      </c>
      <c r="P64" s="9" t="n">
        <v>7.19369800192232</v>
      </c>
      <c r="Q64" s="10" t="n">
        <v>0.139010561707313</v>
      </c>
      <c r="R64" s="9" t="n">
        <v>6</v>
      </c>
      <c r="S64" s="12" t="n">
        <f aca="false">IF(AND(ISNUMBER(R64),R64&gt;1,P64&gt;0),R64/P64-1,"")</f>
        <v>-0.165936629756119</v>
      </c>
      <c r="T64" s="9" t="n">
        <f aca="false">IF(AND(ISNUMBER(P64),P64&gt;0),P64*EXP('Read me'!$B$22),"")</f>
        <v>8.78640258091923</v>
      </c>
    </row>
    <row r="65" customFormat="false" ht="15" hidden="false" customHeight="false" outlineLevel="0" collapsed="false">
      <c r="A65" s="14" t="s">
        <v>161</v>
      </c>
      <c r="B65" s="14" t="s">
        <v>42</v>
      </c>
      <c r="C65" s="14" t="s">
        <v>162</v>
      </c>
      <c r="D65" s="14"/>
      <c r="E65" s="15" t="n">
        <v>8</v>
      </c>
      <c r="F65" s="14" t="s">
        <v>286</v>
      </c>
      <c r="G65" s="8" t="n">
        <v>14</v>
      </c>
      <c r="H65" s="14" t="s">
        <v>640</v>
      </c>
      <c r="I65" s="14" t="s">
        <v>583</v>
      </c>
      <c r="J65" s="14" t="s">
        <v>641</v>
      </c>
      <c r="K65" s="8" t="n">
        <v>11</v>
      </c>
      <c r="L65" s="8" t="n">
        <v>0</v>
      </c>
      <c r="M65" s="8" t="n">
        <v>2</v>
      </c>
      <c r="N65" s="8"/>
      <c r="O65" s="8" t="n">
        <v>4</v>
      </c>
      <c r="P65" s="9" t="n">
        <v>9.87614298645878</v>
      </c>
      <c r="Q65" s="10" t="n">
        <v>0.101254103081649</v>
      </c>
      <c r="R65" s="9" t="n">
        <v>26</v>
      </c>
      <c r="S65" s="12" t="n">
        <f aca="false">IF(AND(ISNUMBER(R65),R65&gt;1,P65&gt;0),R65/P65-1,"")</f>
        <v>1.63260668012287</v>
      </c>
      <c r="T65" s="9" t="n">
        <f aca="false">IF(AND(ISNUMBER(P65),P65&gt;0),P65*EXP('Read me'!$B$22),"")</f>
        <v>12.062748283645</v>
      </c>
    </row>
    <row r="66" customFormat="false" ht="15" hidden="false" customHeight="false" outlineLevel="0" collapsed="false">
      <c r="A66" s="14" t="s">
        <v>161</v>
      </c>
      <c r="B66" s="14" t="s">
        <v>42</v>
      </c>
      <c r="C66" s="14" t="s">
        <v>162</v>
      </c>
      <c r="D66" s="14"/>
      <c r="E66" s="15" t="n">
        <v>8</v>
      </c>
      <c r="F66" s="14" t="s">
        <v>286</v>
      </c>
      <c r="G66" s="8" t="n">
        <v>14</v>
      </c>
      <c r="H66" s="14" t="s">
        <v>642</v>
      </c>
      <c r="I66" s="14" t="s">
        <v>511</v>
      </c>
      <c r="J66" s="14" t="s">
        <v>590</v>
      </c>
      <c r="K66" s="8" t="n">
        <v>7</v>
      </c>
      <c r="L66" s="8" t="n">
        <v>0</v>
      </c>
      <c r="M66" s="8" t="n">
        <v>2</v>
      </c>
      <c r="N66" s="8" t="n">
        <v>14</v>
      </c>
      <c r="O66" s="8" t="n">
        <v>5</v>
      </c>
      <c r="P66" s="9" t="n">
        <v>13.8740814155918</v>
      </c>
      <c r="Q66" s="10" t="n">
        <v>0.0720768438677453</v>
      </c>
      <c r="R66" s="9" t="n">
        <v>4.5</v>
      </c>
      <c r="S66" s="12" t="n">
        <f aca="false">IF(AND(ISNUMBER(R66),R66&gt;1,P66&gt;0),R66/P66-1,"")</f>
        <v>-0.675654202595146</v>
      </c>
      <c r="T66" s="9" t="n">
        <f aca="false">IF(AND(ISNUMBER(P66),P66&gt;0),P66*EXP('Read me'!$B$22),"")</f>
        <v>16.9458413079426</v>
      </c>
    </row>
    <row r="67" customFormat="false" ht="15" hidden="false" customHeight="false" outlineLevel="0" collapsed="false">
      <c r="A67" s="14" t="s">
        <v>161</v>
      </c>
      <c r="B67" s="14" t="s">
        <v>42</v>
      </c>
      <c r="C67" s="14" t="s">
        <v>162</v>
      </c>
      <c r="D67" s="14"/>
      <c r="E67" s="15" t="n">
        <v>8</v>
      </c>
      <c r="F67" s="14" t="s">
        <v>286</v>
      </c>
      <c r="G67" s="8" t="n">
        <v>14</v>
      </c>
      <c r="H67" s="14" t="s">
        <v>643</v>
      </c>
      <c r="I67" s="14" t="s">
        <v>299</v>
      </c>
      <c r="J67" s="14" t="s">
        <v>46</v>
      </c>
      <c r="K67" s="8" t="n">
        <v>13</v>
      </c>
      <c r="L67" s="8" t="n">
        <v>0</v>
      </c>
      <c r="M67" s="8" t="n">
        <v>2</v>
      </c>
      <c r="N67" s="8"/>
      <c r="O67" s="8" t="n">
        <v>6</v>
      </c>
      <c r="P67" s="9" t="n">
        <v>16.0720146462472</v>
      </c>
      <c r="Q67" s="10" t="n">
        <v>0.0622199532548022</v>
      </c>
      <c r="R67" s="9" t="n">
        <v>17</v>
      </c>
      <c r="S67" s="12" t="n">
        <f aca="false">IF(AND(ISNUMBER(R67),R67&gt;1,P67&gt;0),R67/P67-1,"")</f>
        <v>0.0577392053316392</v>
      </c>
      <c r="T67" s="9" t="n">
        <f aca="false">IF(AND(ISNUMBER(P67),P67&gt;0),P67*EXP('Read me'!$B$22),"")</f>
        <v>19.630403018117</v>
      </c>
    </row>
    <row r="68" customFormat="false" ht="15" hidden="false" customHeight="false" outlineLevel="0" collapsed="false">
      <c r="A68" s="14" t="s">
        <v>161</v>
      </c>
      <c r="B68" s="14" t="s">
        <v>42</v>
      </c>
      <c r="C68" s="14" t="s">
        <v>162</v>
      </c>
      <c r="D68" s="14"/>
      <c r="E68" s="15" t="n">
        <v>8</v>
      </c>
      <c r="F68" s="14" t="s">
        <v>286</v>
      </c>
      <c r="G68" s="8" t="n">
        <v>14</v>
      </c>
      <c r="H68" s="14" t="s">
        <v>644</v>
      </c>
      <c r="I68" s="14" t="s">
        <v>645</v>
      </c>
      <c r="J68" s="14" t="s">
        <v>46</v>
      </c>
      <c r="K68" s="8" t="n">
        <v>6</v>
      </c>
      <c r="L68" s="8" t="n">
        <v>0</v>
      </c>
      <c r="M68" s="8" t="n">
        <v>2</v>
      </c>
      <c r="N68" s="8"/>
      <c r="O68" s="8" t="n">
        <v>7</v>
      </c>
      <c r="P68" s="9" t="n">
        <v>17.6527308760658</v>
      </c>
      <c r="Q68" s="10" t="n">
        <v>0.0566484589280084</v>
      </c>
      <c r="R68" s="9" t="n">
        <v>23</v>
      </c>
      <c r="S68" s="12" t="n">
        <f aca="false">IF(AND(ISNUMBER(R68),R68&gt;1,P68&gt;0),R68/P68-1,"")</f>
        <v>0.302914555344195</v>
      </c>
      <c r="T68" s="9" t="n">
        <f aca="false">IF(AND(ISNUMBER(P68),P68&gt;0),P68*EXP('Read me'!$B$22),"")</f>
        <v>21.5610941810859</v>
      </c>
    </row>
    <row r="69" customFormat="false" ht="15" hidden="false" customHeight="false" outlineLevel="0" collapsed="false">
      <c r="A69" s="14" t="s">
        <v>161</v>
      </c>
      <c r="B69" s="14" t="s">
        <v>42</v>
      </c>
      <c r="C69" s="14" t="s">
        <v>162</v>
      </c>
      <c r="D69" s="14"/>
      <c r="E69" s="15" t="n">
        <v>8</v>
      </c>
      <c r="F69" s="14" t="s">
        <v>286</v>
      </c>
      <c r="G69" s="8" t="n">
        <v>14</v>
      </c>
      <c r="H69" s="14" t="s">
        <v>646</v>
      </c>
      <c r="I69" s="14" t="s">
        <v>293</v>
      </c>
      <c r="J69" s="14" t="s">
        <v>46</v>
      </c>
      <c r="K69" s="8" t="n">
        <v>10</v>
      </c>
      <c r="L69" s="8" t="n">
        <v>0</v>
      </c>
      <c r="M69" s="8" t="n">
        <v>2</v>
      </c>
      <c r="N69" s="8"/>
      <c r="O69" s="8" t="n">
        <v>8</v>
      </c>
      <c r="P69" s="9" t="n">
        <v>28.6540256002789</v>
      </c>
      <c r="Q69" s="10" t="n">
        <v>0.0348991103012858</v>
      </c>
      <c r="R69" s="9" t="n">
        <v>41</v>
      </c>
      <c r="S69" s="12" t="n">
        <f aca="false">IF(AND(ISNUMBER(R69),R69&gt;1,P69&gt;0),R69/P69-1,"")</f>
        <v>0.430863522352718</v>
      </c>
      <c r="T69" s="9" t="n">
        <f aca="false">IF(AND(ISNUMBER(P69),P69&gt;0),P69*EXP('Read me'!$B$22),"")</f>
        <v>34.9981059005728</v>
      </c>
    </row>
    <row r="70" customFormat="false" ht="15" hidden="false" customHeight="false" outlineLevel="0" collapsed="false">
      <c r="A70" s="14" t="s">
        <v>161</v>
      </c>
      <c r="B70" s="14" t="s">
        <v>42</v>
      </c>
      <c r="C70" s="14" t="s">
        <v>162</v>
      </c>
      <c r="D70" s="14"/>
      <c r="E70" s="15" t="n">
        <v>8</v>
      </c>
      <c r="F70" s="14" t="s">
        <v>286</v>
      </c>
      <c r="G70" s="8" t="n">
        <v>14</v>
      </c>
      <c r="H70" s="14" t="s">
        <v>647</v>
      </c>
      <c r="I70" s="14" t="s">
        <v>458</v>
      </c>
      <c r="J70" s="14" t="s">
        <v>451</v>
      </c>
      <c r="K70" s="8" t="n">
        <v>1</v>
      </c>
      <c r="L70" s="8" t="n">
        <v>0</v>
      </c>
      <c r="M70" s="8" t="n">
        <v>2</v>
      </c>
      <c r="N70" s="8"/>
      <c r="O70" s="8" t="n">
        <v>9</v>
      </c>
      <c r="P70" s="9" t="n">
        <v>39.8526967525341</v>
      </c>
      <c r="Q70" s="10" t="n">
        <v>0.0250924048179101</v>
      </c>
      <c r="R70" s="9" t="n">
        <v>26</v>
      </c>
      <c r="S70" s="12" t="n">
        <f aca="false">IF(AND(ISNUMBER(R70),R70&gt;1,P70&gt;0),R70/P70-1,"")</f>
        <v>-0.347597474734336</v>
      </c>
      <c r="T70" s="9" t="n">
        <f aca="false">IF(AND(ISNUMBER(P70),P70&gt;0),P70*EXP('Read me'!$B$22),"")</f>
        <v>48.6761937336661</v>
      </c>
    </row>
    <row r="71" customFormat="false" ht="15" hidden="false" customHeight="false" outlineLevel="0" collapsed="false">
      <c r="A71" s="14" t="s">
        <v>161</v>
      </c>
      <c r="B71" s="14" t="s">
        <v>42</v>
      </c>
      <c r="C71" s="14" t="s">
        <v>162</v>
      </c>
      <c r="D71" s="14"/>
      <c r="E71" s="15" t="n">
        <v>8</v>
      </c>
      <c r="F71" s="14" t="s">
        <v>286</v>
      </c>
      <c r="G71" s="8" t="n">
        <v>14</v>
      </c>
      <c r="H71" s="14" t="s">
        <v>648</v>
      </c>
      <c r="I71" s="14" t="s">
        <v>290</v>
      </c>
      <c r="J71" s="14" t="s">
        <v>291</v>
      </c>
      <c r="K71" s="8" t="n">
        <v>4</v>
      </c>
      <c r="L71" s="8" t="n">
        <v>0</v>
      </c>
      <c r="M71" s="8" t="n">
        <v>2</v>
      </c>
      <c r="N71" s="8" t="n">
        <v>20</v>
      </c>
      <c r="O71" s="8" t="n">
        <v>10</v>
      </c>
      <c r="P71" s="9" t="n">
        <v>48.2336025893221</v>
      </c>
      <c r="Q71" s="10" t="n">
        <v>0.0207324343676824</v>
      </c>
      <c r="R71" s="9" t="n">
        <v>34</v>
      </c>
      <c r="S71" s="12" t="n">
        <f aca="false">IF(AND(ISNUMBER(R71),R71&gt;1,P71&gt;0),R71/P71-1,"")</f>
        <v>-0.295097231498796</v>
      </c>
      <c r="T71" s="9" t="n">
        <f aca="false">IF(AND(ISNUMBER(P71),P71&gt;0),P71*EXP('Read me'!$B$22),"")</f>
        <v>58.9126552385996</v>
      </c>
    </row>
    <row r="72" customFormat="false" ht="15" hidden="false" customHeight="false" outlineLevel="0" collapsed="false">
      <c r="A72" s="14" t="s">
        <v>161</v>
      </c>
      <c r="B72" s="14" t="s">
        <v>42</v>
      </c>
      <c r="C72" s="14" t="s">
        <v>162</v>
      </c>
      <c r="D72" s="14"/>
      <c r="E72" s="15" t="n">
        <v>8</v>
      </c>
      <c r="F72" s="14" t="s">
        <v>286</v>
      </c>
      <c r="G72" s="8" t="n">
        <v>14</v>
      </c>
      <c r="H72" s="14" t="s">
        <v>649</v>
      </c>
      <c r="I72" s="14" t="s">
        <v>72</v>
      </c>
      <c r="J72" s="14" t="s">
        <v>306</v>
      </c>
      <c r="K72" s="8" t="n">
        <v>9</v>
      </c>
      <c r="L72" s="8" t="n">
        <v>0</v>
      </c>
      <c r="M72" s="8" t="n">
        <v>2</v>
      </c>
      <c r="N72" s="8"/>
      <c r="O72" s="8" t="n">
        <v>11</v>
      </c>
      <c r="P72" s="9" t="n">
        <v>135.688916075471</v>
      </c>
      <c r="Q72" s="10" t="n">
        <v>0.0073697987199174</v>
      </c>
      <c r="R72" s="9" t="n">
        <v>151</v>
      </c>
      <c r="S72" s="12" t="n">
        <f aca="false">IF(AND(ISNUMBER(R72),R72&gt;1,P72&gt;0),R72/P72-1,"")</f>
        <v>0.112839606707541</v>
      </c>
      <c r="T72" s="9" t="n">
        <f aca="false">IF(AND(ISNUMBER(P72),P72&gt;0),P72*EXP('Read me'!$B$22),"")</f>
        <v>165.730816346344</v>
      </c>
    </row>
    <row r="73" customFormat="false" ht="15" hidden="false" customHeight="false" outlineLevel="0" collapsed="false">
      <c r="A73" s="14" t="s">
        <v>161</v>
      </c>
      <c r="B73" s="14" t="s">
        <v>42</v>
      </c>
      <c r="C73" s="14" t="s">
        <v>162</v>
      </c>
      <c r="D73" s="14"/>
      <c r="E73" s="15" t="n">
        <v>8</v>
      </c>
      <c r="F73" s="14" t="s">
        <v>286</v>
      </c>
      <c r="G73" s="8" t="n">
        <v>14</v>
      </c>
      <c r="H73" s="14" t="s">
        <v>650</v>
      </c>
      <c r="I73" s="14" t="s">
        <v>651</v>
      </c>
      <c r="J73" s="14" t="s">
        <v>291</v>
      </c>
      <c r="K73" s="8" t="n">
        <v>5</v>
      </c>
      <c r="L73" s="8" t="n">
        <v>0</v>
      </c>
      <c r="M73" s="8" t="n">
        <v>2</v>
      </c>
      <c r="N73" s="8"/>
      <c r="O73" s="8" t="n">
        <v>12</v>
      </c>
      <c r="P73" s="9" t="n">
        <v>162.275211196941</v>
      </c>
      <c r="Q73" s="10" t="n">
        <v>0.0061623706579951</v>
      </c>
      <c r="R73" s="9" t="n">
        <v>101</v>
      </c>
      <c r="S73" s="12" t="n">
        <f aca="false">IF(AND(ISNUMBER(R73),R73&gt;1,P73&gt;0),R73/P73-1,"")</f>
        <v>-0.377600563542485</v>
      </c>
      <c r="T73" s="9" t="n">
        <f aca="false">IF(AND(ISNUMBER(P73),P73&gt;0),P73*EXP('Read me'!$B$22),"")</f>
        <v>198.203390536967</v>
      </c>
    </row>
    <row r="74" customFormat="false" ht="15" hidden="false" customHeight="false" outlineLevel="0" collapsed="false">
      <c r="A74" s="14" t="s">
        <v>161</v>
      </c>
      <c r="B74" s="14" t="s">
        <v>42</v>
      </c>
      <c r="C74" s="14" t="s">
        <v>162</v>
      </c>
      <c r="D74" s="14"/>
      <c r="E74" s="15" t="n">
        <v>8</v>
      </c>
      <c r="F74" s="14" t="s">
        <v>286</v>
      </c>
      <c r="G74" s="8" t="n">
        <v>14</v>
      </c>
      <c r="H74" s="14" t="s">
        <v>652</v>
      </c>
      <c r="I74" s="14" t="s">
        <v>302</v>
      </c>
      <c r="J74" s="14" t="s">
        <v>385</v>
      </c>
      <c r="K74" s="8" t="n">
        <v>3</v>
      </c>
      <c r="L74" s="8" t="n">
        <v>0</v>
      </c>
      <c r="M74" s="8" t="n">
        <v>2</v>
      </c>
      <c r="N74" s="8" t="n">
        <v>28</v>
      </c>
      <c r="O74" s="8" t="n">
        <v>13</v>
      </c>
      <c r="P74" s="9" t="n">
        <v>204.103056002596</v>
      </c>
      <c r="Q74" s="10" t="n">
        <v>0.0048994856793681</v>
      </c>
      <c r="R74" s="9" t="n">
        <v>201</v>
      </c>
      <c r="S74" s="12" t="n">
        <f aca="false">IF(AND(ISNUMBER(R74),R74&gt;1,P74&gt;0),R74/P74-1,"")</f>
        <v>-0.015203378446997</v>
      </c>
      <c r="T74" s="9" t="n">
        <f aca="false">IF(AND(ISNUMBER(P74),P74&gt;0),P74*EXP('Read me'!$B$22),"")</f>
        <v>249.29203555049</v>
      </c>
    </row>
    <row r="75" customFormat="false" ht="15" hidden="false" customHeight="false" outlineLevel="0" collapsed="false">
      <c r="A75" s="14" t="s">
        <v>161</v>
      </c>
      <c r="B75" s="14" t="s">
        <v>42</v>
      </c>
      <c r="C75" s="14" t="s">
        <v>162</v>
      </c>
      <c r="D75" s="14"/>
      <c r="E75" s="15" t="n">
        <v>8</v>
      </c>
      <c r="F75" s="14" t="s">
        <v>286</v>
      </c>
      <c r="G75" s="8" t="n">
        <v>14</v>
      </c>
      <c r="H75" s="14" t="s">
        <v>653</v>
      </c>
      <c r="I75" s="14" t="s">
        <v>654</v>
      </c>
      <c r="J75" s="14" t="s">
        <v>303</v>
      </c>
      <c r="K75" s="8" t="n">
        <v>14</v>
      </c>
      <c r="L75" s="8" t="n">
        <v>0</v>
      </c>
      <c r="M75" s="8" t="n">
        <v>2</v>
      </c>
      <c r="N75" s="8"/>
      <c r="O75" s="8" t="n">
        <v>14</v>
      </c>
      <c r="P75" s="9" t="n">
        <v>381.762634276989</v>
      </c>
      <c r="Q75" s="10" t="n">
        <v>0.002619428697871</v>
      </c>
      <c r="R75" s="9" t="n">
        <v>201</v>
      </c>
      <c r="S75" s="12" t="n">
        <f aca="false">IF(AND(ISNUMBER(R75),R75&gt;1,P75&gt;0),R75/P75-1,"")</f>
        <v>-0.473494831727917</v>
      </c>
      <c r="T75" s="9" t="n">
        <f aca="false">IF(AND(ISNUMBER(P75),P75&gt;0),P75*EXP('Read me'!$B$22),"")</f>
        <v>466.285934468407</v>
      </c>
    </row>
    <row r="76" customFormat="false" ht="15" hidden="false" customHeight="false" outlineLevel="0" collapsed="false">
      <c r="A76" s="14" t="s">
        <v>189</v>
      </c>
      <c r="B76" s="14" t="s">
        <v>42</v>
      </c>
      <c r="C76" s="14" t="s">
        <v>190</v>
      </c>
      <c r="D76" s="14"/>
      <c r="E76" s="15" t="n">
        <v>8</v>
      </c>
      <c r="F76" s="14" t="s">
        <v>286</v>
      </c>
      <c r="G76" s="8" t="n">
        <v>9</v>
      </c>
      <c r="H76" s="14" t="s">
        <v>191</v>
      </c>
      <c r="I76" s="14" t="s">
        <v>72</v>
      </c>
      <c r="J76" s="14" t="s">
        <v>73</v>
      </c>
      <c r="K76" s="8" t="n">
        <v>8</v>
      </c>
      <c r="L76" s="8" t="n">
        <v>77</v>
      </c>
      <c r="M76" s="8" t="n">
        <v>3</v>
      </c>
      <c r="N76" s="8" t="n">
        <v>35</v>
      </c>
      <c r="O76" s="8" t="n">
        <v>1</v>
      </c>
      <c r="P76" s="9" t="n">
        <v>5.8004211336209</v>
      </c>
      <c r="Q76" s="10" t="n">
        <v>0.172401275177024</v>
      </c>
      <c r="R76" s="9" t="n">
        <v>4</v>
      </c>
      <c r="S76" s="12" t="n">
        <f aca="false">IF(AND(ISNUMBER(R76),R76&gt;1,P76&gt;0),R76/P76-1,"")</f>
        <v>-0.310394899291905</v>
      </c>
      <c r="T76" s="9" t="n">
        <f aca="false">IF(AND(ISNUMBER(P76),P76&gt;0),P76*EXP('Read me'!$B$22),"")</f>
        <v>7.0846503710951</v>
      </c>
    </row>
    <row r="77" customFormat="false" ht="15" hidden="false" customHeight="false" outlineLevel="0" collapsed="false">
      <c r="A77" s="14" t="s">
        <v>189</v>
      </c>
      <c r="B77" s="14" t="s">
        <v>42</v>
      </c>
      <c r="C77" s="14" t="s">
        <v>190</v>
      </c>
      <c r="D77" s="14"/>
      <c r="E77" s="15" t="n">
        <v>8</v>
      </c>
      <c r="F77" s="14" t="s">
        <v>286</v>
      </c>
      <c r="G77" s="8" t="n">
        <v>9</v>
      </c>
      <c r="H77" s="14" t="s">
        <v>192</v>
      </c>
      <c r="I77" s="14" t="s">
        <v>458</v>
      </c>
      <c r="J77" s="14" t="s">
        <v>520</v>
      </c>
      <c r="K77" s="8" t="n">
        <v>7</v>
      </c>
      <c r="L77" s="8" t="n">
        <v>86</v>
      </c>
      <c r="M77" s="8" t="n">
        <v>4</v>
      </c>
      <c r="N77" s="8" t="n">
        <v>31</v>
      </c>
      <c r="O77" s="8" t="n">
        <v>2</v>
      </c>
      <c r="P77" s="9" t="n">
        <v>6.36904573746495</v>
      </c>
      <c r="Q77" s="10" t="n">
        <v>0.157009392179059</v>
      </c>
      <c r="R77" s="9" t="n">
        <v>7</v>
      </c>
      <c r="S77" s="12" t="n">
        <f aca="false">IF(AND(ISNUMBER(R77),R77&gt;1,P77&gt;0),R77/P77-1,"")</f>
        <v>0.0990657452534141</v>
      </c>
      <c r="T77" s="9" t="n">
        <f aca="false">IF(AND(ISNUMBER(P77),P77&gt;0),P77*EXP('Read me'!$B$22),"")</f>
        <v>7.77917003058797</v>
      </c>
    </row>
    <row r="78" customFormat="false" ht="15" hidden="false" customHeight="false" outlineLevel="0" collapsed="false">
      <c r="A78" s="14" t="s">
        <v>189</v>
      </c>
      <c r="B78" s="14" t="s">
        <v>42</v>
      </c>
      <c r="C78" s="14" t="s">
        <v>190</v>
      </c>
      <c r="D78" s="14"/>
      <c r="E78" s="15" t="n">
        <v>8</v>
      </c>
      <c r="F78" s="14" t="s">
        <v>286</v>
      </c>
      <c r="G78" s="8" t="n">
        <v>9</v>
      </c>
      <c r="H78" s="14" t="s">
        <v>708</v>
      </c>
      <c r="I78" s="14" t="s">
        <v>450</v>
      </c>
      <c r="J78" s="14" t="s">
        <v>451</v>
      </c>
      <c r="K78" s="8" t="n">
        <v>9</v>
      </c>
      <c r="L78" s="8" t="n">
        <v>84</v>
      </c>
      <c r="M78" s="8" t="n">
        <v>3</v>
      </c>
      <c r="N78" s="8" t="n">
        <v>3</v>
      </c>
      <c r="O78" s="8" t="n">
        <v>3</v>
      </c>
      <c r="P78" s="9" t="n">
        <v>7.11701224674874</v>
      </c>
      <c r="Q78" s="10" t="n">
        <v>0.140508399498235</v>
      </c>
      <c r="R78" s="9" t="n">
        <v>5</v>
      </c>
      <c r="S78" s="12" t="n">
        <f aca="false">IF(AND(ISNUMBER(R78),R78&gt;1,P78&gt;0),R78/P78-1,"")</f>
        <v>-0.297458002508827</v>
      </c>
      <c r="T78" s="9" t="n">
        <f aca="false">IF(AND(ISNUMBER(P78),P78&gt;0),P78*EXP('Read me'!$B$22),"")</f>
        <v>8.69273838803861</v>
      </c>
    </row>
    <row r="79" customFormat="false" ht="15" hidden="false" customHeight="false" outlineLevel="0" collapsed="false">
      <c r="A79" s="14" t="s">
        <v>189</v>
      </c>
      <c r="B79" s="14" t="s">
        <v>42</v>
      </c>
      <c r="C79" s="14" t="s">
        <v>190</v>
      </c>
      <c r="D79" s="14"/>
      <c r="E79" s="15" t="n">
        <v>8</v>
      </c>
      <c r="F79" s="14" t="s">
        <v>286</v>
      </c>
      <c r="G79" s="8" t="n">
        <v>9</v>
      </c>
      <c r="H79" s="14" t="s">
        <v>709</v>
      </c>
      <c r="I79" s="14" t="s">
        <v>95</v>
      </c>
      <c r="J79" s="14" t="s">
        <v>639</v>
      </c>
      <c r="K79" s="8" t="n">
        <v>3</v>
      </c>
      <c r="L79" s="8" t="n">
        <v>81</v>
      </c>
      <c r="M79" s="8" t="n">
        <v>4</v>
      </c>
      <c r="N79" s="8" t="n">
        <v>27</v>
      </c>
      <c r="O79" s="8" t="n">
        <v>4</v>
      </c>
      <c r="P79" s="9" t="n">
        <v>7.17226242555746</v>
      </c>
      <c r="Q79" s="10" t="n">
        <v>0.139426019387777</v>
      </c>
      <c r="R79" s="9" t="n">
        <v>8</v>
      </c>
      <c r="S79" s="12" t="n">
        <f aca="false">IF(AND(ISNUMBER(R79),R79&gt;1,P79&gt;0),R79/P79-1,"")</f>
        <v>0.115408155102217</v>
      </c>
      <c r="T79" s="9" t="n">
        <f aca="false">IF(AND(ISNUMBER(P79),P79&gt;0),P79*EXP('Read me'!$B$22),"")</f>
        <v>8.76022110882443</v>
      </c>
    </row>
    <row r="80" customFormat="false" ht="15" hidden="false" customHeight="false" outlineLevel="0" collapsed="false">
      <c r="A80" s="14" t="s">
        <v>189</v>
      </c>
      <c r="B80" s="14" t="s">
        <v>42</v>
      </c>
      <c r="C80" s="14" t="s">
        <v>190</v>
      </c>
      <c r="D80" s="14"/>
      <c r="E80" s="15" t="n">
        <v>8</v>
      </c>
      <c r="F80" s="14" t="s">
        <v>286</v>
      </c>
      <c r="G80" s="8" t="n">
        <v>9</v>
      </c>
      <c r="H80" s="14" t="s">
        <v>710</v>
      </c>
      <c r="I80" s="14" t="s">
        <v>540</v>
      </c>
      <c r="J80" s="14" t="s">
        <v>448</v>
      </c>
      <c r="K80" s="8" t="n">
        <v>6</v>
      </c>
      <c r="L80" s="8" t="n">
        <v>81</v>
      </c>
      <c r="M80" s="8" t="n">
        <v>4</v>
      </c>
      <c r="N80" s="8" t="n">
        <v>31</v>
      </c>
      <c r="O80" s="8" t="n">
        <v>5</v>
      </c>
      <c r="P80" s="9" t="n">
        <v>7.97105529924713</v>
      </c>
      <c r="Q80" s="10" t="n">
        <v>0.12545390321084</v>
      </c>
      <c r="R80" s="9" t="n">
        <v>5</v>
      </c>
      <c r="S80" s="12" t="n">
        <f aca="false">IF(AND(ISNUMBER(R80),R80&gt;1,P80&gt;0),R80/P80-1,"")</f>
        <v>-0.372730483945802</v>
      </c>
      <c r="T80" s="9" t="n">
        <f aca="false">IF(AND(ISNUMBER(P80),P80&gt;0),P80*EXP('Read me'!$B$22),"")</f>
        <v>9.73586892794769</v>
      </c>
    </row>
    <row r="81" customFormat="false" ht="15" hidden="false" customHeight="false" outlineLevel="0" collapsed="false">
      <c r="A81" s="14" t="s">
        <v>189</v>
      </c>
      <c r="B81" s="14" t="s">
        <v>42</v>
      </c>
      <c r="C81" s="14" t="s">
        <v>190</v>
      </c>
      <c r="D81" s="14"/>
      <c r="E81" s="15" t="n">
        <v>8</v>
      </c>
      <c r="F81" s="14" t="s">
        <v>286</v>
      </c>
      <c r="G81" s="8" t="n">
        <v>9</v>
      </c>
      <c r="H81" s="14" t="s">
        <v>711</v>
      </c>
      <c r="I81" s="14" t="s">
        <v>511</v>
      </c>
      <c r="J81" s="14" t="s">
        <v>590</v>
      </c>
      <c r="K81" s="8" t="n">
        <v>5</v>
      </c>
      <c r="L81" s="8" t="n">
        <v>85</v>
      </c>
      <c r="M81" s="8" t="n">
        <v>4</v>
      </c>
      <c r="N81" s="8" t="n">
        <v>63</v>
      </c>
      <c r="O81" s="8" t="n">
        <v>6</v>
      </c>
      <c r="P81" s="9" t="n">
        <v>10.855755089962</v>
      </c>
      <c r="Q81" s="10" t="n">
        <v>0.0921170376185691</v>
      </c>
      <c r="R81" s="9" t="n">
        <v>9</v>
      </c>
      <c r="S81" s="12" t="n">
        <f aca="false">IF(AND(ISNUMBER(R81),R81&gt;1,P81&gt;0),R81/P81-1,"")</f>
        <v>-0.170946661432878</v>
      </c>
      <c r="T81" s="9" t="n">
        <f aca="false">IF(AND(ISNUMBER(P81),P81&gt;0),P81*EXP('Read me'!$B$22),"")</f>
        <v>13.2592492087909</v>
      </c>
    </row>
    <row r="82" customFormat="false" ht="15" hidden="false" customHeight="false" outlineLevel="0" collapsed="false">
      <c r="A82" s="14" t="s">
        <v>189</v>
      </c>
      <c r="B82" s="14" t="s">
        <v>42</v>
      </c>
      <c r="C82" s="14" t="s">
        <v>190</v>
      </c>
      <c r="D82" s="14"/>
      <c r="E82" s="15" t="n">
        <v>8</v>
      </c>
      <c r="F82" s="14" t="s">
        <v>286</v>
      </c>
      <c r="G82" s="8" t="n">
        <v>9</v>
      </c>
      <c r="H82" s="14" t="s">
        <v>712</v>
      </c>
      <c r="I82" s="14" t="s">
        <v>461</v>
      </c>
      <c r="J82" s="14" t="s">
        <v>462</v>
      </c>
      <c r="K82" s="8" t="n">
        <v>2</v>
      </c>
      <c r="L82" s="8" t="n">
        <v>91</v>
      </c>
      <c r="M82" s="8" t="n">
        <v>3</v>
      </c>
      <c r="N82" s="8" t="n">
        <v>103</v>
      </c>
      <c r="O82" s="8" t="n">
        <v>7</v>
      </c>
      <c r="P82" s="9" t="n">
        <v>12.5174736261091</v>
      </c>
      <c r="Q82" s="10" t="n">
        <v>0.0798883249024136</v>
      </c>
      <c r="R82" s="9" t="n">
        <v>12</v>
      </c>
      <c r="S82" s="12" t="n">
        <f aca="false">IF(AND(ISNUMBER(R82),R82&gt;1,P82&gt;0),R82/P82-1,"")</f>
        <v>-0.0413401011710372</v>
      </c>
      <c r="T82" s="9" t="n">
        <f aca="false">IF(AND(ISNUMBER(P82),P82&gt;0),P82*EXP('Read me'!$B$22),"")</f>
        <v>15.2888768121269</v>
      </c>
    </row>
    <row r="83" customFormat="false" ht="15" hidden="false" customHeight="false" outlineLevel="0" collapsed="false">
      <c r="A83" s="14" t="s">
        <v>189</v>
      </c>
      <c r="B83" s="14" t="s">
        <v>42</v>
      </c>
      <c r="C83" s="14" t="s">
        <v>190</v>
      </c>
      <c r="D83" s="14"/>
      <c r="E83" s="15" t="n">
        <v>8</v>
      </c>
      <c r="F83" s="14" t="s">
        <v>286</v>
      </c>
      <c r="G83" s="8" t="n">
        <v>9</v>
      </c>
      <c r="H83" s="14" t="s">
        <v>713</v>
      </c>
      <c r="I83" s="14" t="s">
        <v>714</v>
      </c>
      <c r="J83" s="14" t="s">
        <v>715</v>
      </c>
      <c r="K83" s="8" t="n">
        <v>4</v>
      </c>
      <c r="L83" s="8" t="n">
        <v>81</v>
      </c>
      <c r="M83" s="8" t="n">
        <v>3</v>
      </c>
      <c r="N83" s="8" t="n">
        <v>109</v>
      </c>
      <c r="O83" s="8" t="n">
        <v>8</v>
      </c>
      <c r="P83" s="9" t="n">
        <v>13.9332565169953</v>
      </c>
      <c r="Q83" s="10" t="n">
        <v>0.0717707306099068</v>
      </c>
      <c r="R83" s="9" t="n">
        <v>15</v>
      </c>
      <c r="S83" s="12" t="n">
        <f aca="false">IF(AND(ISNUMBER(R83),R83&gt;1,P83&gt;0),R83/P83-1,"")</f>
        <v>0.0765609591486027</v>
      </c>
      <c r="T83" s="9" t="n">
        <f aca="false">IF(AND(ISNUMBER(P83),P83&gt;0),P83*EXP('Read me'!$B$22),"")</f>
        <v>17.0181179400112</v>
      </c>
    </row>
    <row r="84" customFormat="false" ht="15" hidden="false" customHeight="false" outlineLevel="0" collapsed="false">
      <c r="A84" s="14" t="s">
        <v>189</v>
      </c>
      <c r="B84" s="14" t="s">
        <v>42</v>
      </c>
      <c r="C84" s="14" t="s">
        <v>190</v>
      </c>
      <c r="D84" s="14"/>
      <c r="E84" s="15" t="n">
        <v>8</v>
      </c>
      <c r="F84" s="14" t="s">
        <v>286</v>
      </c>
      <c r="G84" s="8" t="n">
        <v>9</v>
      </c>
      <c r="H84" s="14" t="s">
        <v>716</v>
      </c>
      <c r="I84" s="14" t="s">
        <v>651</v>
      </c>
      <c r="J84" s="14" t="s">
        <v>291</v>
      </c>
      <c r="K84" s="8" t="n">
        <v>1</v>
      </c>
      <c r="L84" s="8" t="n">
        <v>89</v>
      </c>
      <c r="M84" s="8" t="n">
        <v>5</v>
      </c>
      <c r="N84" s="8" t="n">
        <v>30</v>
      </c>
      <c r="O84" s="8" t="n">
        <v>9</v>
      </c>
      <c r="P84" s="9" t="n">
        <v>46.6746256508315</v>
      </c>
      <c r="Q84" s="10" t="n">
        <v>0.021424917416176</v>
      </c>
      <c r="R84" s="9" t="n">
        <v>67</v>
      </c>
      <c r="S84" s="12" t="n">
        <f aca="false">IF(AND(ISNUMBER(R84),R84&gt;1,P84&gt;0),R84/P84-1,"")</f>
        <v>0.435469466883798</v>
      </c>
      <c r="T84" s="9" t="n">
        <f aca="false">IF(AND(ISNUMBER(P84),P84&gt;0),P84*EXP('Read me'!$B$22),"")</f>
        <v>57.0085165060191</v>
      </c>
    </row>
    <row r="85" customFormat="false" ht="15" hidden="false" customHeight="false" outlineLevel="0" collapsed="false">
      <c r="A85" s="14" t="s">
        <v>210</v>
      </c>
      <c r="B85" s="14" t="s">
        <v>42</v>
      </c>
      <c r="C85" s="14" t="s">
        <v>211</v>
      </c>
      <c r="D85" s="14"/>
      <c r="E85" s="15" t="n">
        <v>8</v>
      </c>
      <c r="F85" s="14" t="s">
        <v>286</v>
      </c>
      <c r="G85" s="8" t="n">
        <v>18</v>
      </c>
      <c r="H85" s="14" t="s">
        <v>212</v>
      </c>
      <c r="I85" s="14" t="s">
        <v>142</v>
      </c>
      <c r="J85" s="14" t="s">
        <v>213</v>
      </c>
      <c r="K85" s="8" t="n">
        <v>1</v>
      </c>
      <c r="L85" s="8" t="n">
        <v>56</v>
      </c>
      <c r="M85" s="8" t="n">
        <v>4</v>
      </c>
      <c r="N85" s="8" t="n">
        <v>13</v>
      </c>
      <c r="O85" s="8" t="n">
        <v>1</v>
      </c>
      <c r="P85" s="9" t="n">
        <v>8.3424453437415</v>
      </c>
      <c r="Q85" s="10" t="n">
        <v>0.119868930367066</v>
      </c>
      <c r="R85" s="9" t="n">
        <v>7</v>
      </c>
      <c r="S85" s="12" t="n">
        <f aca="false">IF(AND(ISNUMBER(R85),R85&gt;1,P85&gt;0),R85/P85-1,"")</f>
        <v>-0.160917487430541</v>
      </c>
      <c r="T85" s="9" t="n">
        <f aca="false">IF(AND(ISNUMBER(P85),P85&gt;0),P85*EXP('Read me'!$B$22),"")</f>
        <v>10.1894857526463</v>
      </c>
    </row>
    <row r="86" customFormat="false" ht="15" hidden="false" customHeight="false" outlineLevel="0" collapsed="false">
      <c r="A86" s="14" t="s">
        <v>210</v>
      </c>
      <c r="B86" s="14" t="s">
        <v>42</v>
      </c>
      <c r="C86" s="14" t="s">
        <v>211</v>
      </c>
      <c r="D86" s="14"/>
      <c r="E86" s="15" t="n">
        <v>8</v>
      </c>
      <c r="F86" s="14" t="s">
        <v>286</v>
      </c>
      <c r="G86" s="8" t="n">
        <v>18</v>
      </c>
      <c r="H86" s="14" t="s">
        <v>214</v>
      </c>
      <c r="I86" s="14" t="s">
        <v>511</v>
      </c>
      <c r="J86" s="14" t="s">
        <v>581</v>
      </c>
      <c r="K86" s="8" t="n">
        <v>21</v>
      </c>
      <c r="L86" s="8" t="n">
        <v>45</v>
      </c>
      <c r="M86" s="8" t="n">
        <v>4</v>
      </c>
      <c r="N86" s="8" t="n">
        <v>19</v>
      </c>
      <c r="O86" s="8" t="n">
        <v>2</v>
      </c>
      <c r="P86" s="9" t="n">
        <v>9.36249364642243</v>
      </c>
      <c r="Q86" s="10" t="n">
        <v>0.106809151254497</v>
      </c>
      <c r="R86" s="9" t="n">
        <v>12</v>
      </c>
      <c r="S86" s="12" t="n">
        <f aca="false">IF(AND(ISNUMBER(R86),R86&gt;1,P86&gt;0),R86/P86-1,"")</f>
        <v>0.281709815053964</v>
      </c>
      <c r="T86" s="9" t="n">
        <f aca="false">IF(AND(ISNUMBER(P86),P86&gt;0),P86*EXP('Read me'!$B$22),"")</f>
        <v>11.4353755629974</v>
      </c>
    </row>
    <row r="87" customFormat="false" ht="15" hidden="false" customHeight="false" outlineLevel="0" collapsed="false">
      <c r="A87" s="14" t="s">
        <v>210</v>
      </c>
      <c r="B87" s="14" t="s">
        <v>42</v>
      </c>
      <c r="C87" s="14" t="s">
        <v>211</v>
      </c>
      <c r="D87" s="14"/>
      <c r="E87" s="15" t="n">
        <v>8</v>
      </c>
      <c r="F87" s="14" t="s">
        <v>286</v>
      </c>
      <c r="G87" s="8" t="n">
        <v>18</v>
      </c>
      <c r="H87" s="14" t="s">
        <v>749</v>
      </c>
      <c r="I87" s="14" t="s">
        <v>450</v>
      </c>
      <c r="J87" s="14" t="s">
        <v>750</v>
      </c>
      <c r="K87" s="8" t="n">
        <v>11</v>
      </c>
      <c r="L87" s="8" t="n">
        <v>55</v>
      </c>
      <c r="M87" s="8" t="n">
        <v>3</v>
      </c>
      <c r="N87" s="8" t="n">
        <v>13</v>
      </c>
      <c r="O87" s="8" t="n">
        <v>3</v>
      </c>
      <c r="P87" s="9" t="n">
        <v>11.5847101817699</v>
      </c>
      <c r="Q87" s="10" t="n">
        <v>0.0863206747781777</v>
      </c>
      <c r="R87" s="9" t="n">
        <v>8</v>
      </c>
      <c r="S87" s="12" t="n">
        <f aca="false">IF(AND(ISNUMBER(R87),R87&gt;1,P87&gt;0),R87/P87-1,"")</f>
        <v>-0.309434601774578</v>
      </c>
      <c r="T87" s="9" t="n">
        <f aca="false">IF(AND(ISNUMBER(P87),P87&gt;0),P87*EXP('Read me'!$B$22),"")</f>
        <v>14.1495969684999</v>
      </c>
    </row>
    <row r="88" customFormat="false" ht="15" hidden="false" customHeight="false" outlineLevel="0" collapsed="false">
      <c r="A88" s="14" t="s">
        <v>210</v>
      </c>
      <c r="B88" s="14" t="s">
        <v>42</v>
      </c>
      <c r="C88" s="14" t="s">
        <v>211</v>
      </c>
      <c r="D88" s="14"/>
      <c r="E88" s="15" t="n">
        <v>8</v>
      </c>
      <c r="F88" s="14" t="s">
        <v>286</v>
      </c>
      <c r="G88" s="8" t="n">
        <v>18</v>
      </c>
      <c r="H88" s="14" t="s">
        <v>751</v>
      </c>
      <c r="I88" s="14" t="s">
        <v>293</v>
      </c>
      <c r="J88" s="14" t="s">
        <v>752</v>
      </c>
      <c r="K88" s="8" t="n">
        <v>17</v>
      </c>
      <c r="L88" s="8" t="n">
        <v>44</v>
      </c>
      <c r="M88" s="8" t="n">
        <v>5</v>
      </c>
      <c r="N88" s="8" t="n">
        <v>19</v>
      </c>
      <c r="O88" s="8" t="n">
        <v>4</v>
      </c>
      <c r="P88" s="9" t="n">
        <v>11.6227769799536</v>
      </c>
      <c r="Q88" s="10" t="n">
        <v>0.0860379582026528</v>
      </c>
      <c r="R88" s="9" t="n">
        <v>5.5</v>
      </c>
      <c r="S88" s="12" t="n">
        <f aca="false">IF(AND(ISNUMBER(R88),R88&gt;1,P88&gt;0),R88/P88-1,"")</f>
        <v>-0.526791229885409</v>
      </c>
      <c r="T88" s="9" t="n">
        <f aca="false">IF(AND(ISNUMBER(P88),P88&gt;0),P88*EXP('Read me'!$B$22),"")</f>
        <v>14.1960918607958</v>
      </c>
    </row>
    <row r="89" customFormat="false" ht="15" hidden="false" customHeight="false" outlineLevel="0" collapsed="false">
      <c r="A89" s="14" t="s">
        <v>210</v>
      </c>
      <c r="B89" s="14" t="s">
        <v>42</v>
      </c>
      <c r="C89" s="14" t="s">
        <v>211</v>
      </c>
      <c r="D89" s="14"/>
      <c r="E89" s="15" t="n">
        <v>8</v>
      </c>
      <c r="F89" s="14" t="s">
        <v>286</v>
      </c>
      <c r="G89" s="8" t="n">
        <v>18</v>
      </c>
      <c r="H89" s="14" t="s">
        <v>753</v>
      </c>
      <c r="I89" s="14" t="s">
        <v>754</v>
      </c>
      <c r="J89" s="14" t="s">
        <v>755</v>
      </c>
      <c r="K89" s="8" t="n">
        <v>4</v>
      </c>
      <c r="L89" s="8" t="n">
        <v>46</v>
      </c>
      <c r="M89" s="8" t="n">
        <v>4</v>
      </c>
      <c r="N89" s="8" t="n">
        <v>20</v>
      </c>
      <c r="O89" s="8" t="n">
        <v>5</v>
      </c>
      <c r="P89" s="9" t="n">
        <v>11.8880010670014</v>
      </c>
      <c r="Q89" s="10" t="n">
        <v>0.0841184312117692</v>
      </c>
      <c r="R89" s="9" t="n">
        <v>9</v>
      </c>
      <c r="S89" s="12" t="n">
        <f aca="false">IF(AND(ISNUMBER(R89),R89&gt;1,P89&gt;0),R89/P89-1,"")</f>
        <v>-0.242934119094076</v>
      </c>
      <c r="T89" s="9" t="n">
        <f aca="false">IF(AND(ISNUMBER(P89),P89&gt;0),P89*EXP('Read me'!$B$22),"")</f>
        <v>14.5200372922466</v>
      </c>
    </row>
    <row r="90" customFormat="false" ht="15" hidden="false" customHeight="false" outlineLevel="0" collapsed="false">
      <c r="A90" s="14" t="s">
        <v>210</v>
      </c>
      <c r="B90" s="14" t="s">
        <v>42</v>
      </c>
      <c r="C90" s="14" t="s">
        <v>211</v>
      </c>
      <c r="D90" s="14"/>
      <c r="E90" s="15" t="n">
        <v>8</v>
      </c>
      <c r="F90" s="14" t="s">
        <v>286</v>
      </c>
      <c r="G90" s="8" t="n">
        <v>18</v>
      </c>
      <c r="H90" s="14" t="s">
        <v>756</v>
      </c>
      <c r="I90" s="14" t="s">
        <v>391</v>
      </c>
      <c r="J90" s="14" t="s">
        <v>291</v>
      </c>
      <c r="K90" s="8" t="n">
        <v>19</v>
      </c>
      <c r="L90" s="8" t="n">
        <v>58</v>
      </c>
      <c r="M90" s="8" t="n">
        <v>3</v>
      </c>
      <c r="N90" s="8" t="n">
        <v>7</v>
      </c>
      <c r="O90" s="8" t="n">
        <v>6</v>
      </c>
      <c r="P90" s="9" t="n">
        <v>11.9937172476054</v>
      </c>
      <c r="Q90" s="10" t="n">
        <v>0.0833769864134204</v>
      </c>
      <c r="R90" s="9" t="n">
        <v>8.5</v>
      </c>
      <c r="S90" s="12" t="n">
        <f aca="false">IF(AND(ISNUMBER(R90),R90&gt;1,P90&gt;0),R90/P90-1,"")</f>
        <v>-0.291295615485926</v>
      </c>
      <c r="T90" s="9" t="n">
        <f aca="false">IF(AND(ISNUMBER(P90),P90&gt;0),P90*EXP('Read me'!$B$22),"")</f>
        <v>14.6491593268184</v>
      </c>
    </row>
    <row r="91" customFormat="false" ht="15" hidden="false" customHeight="false" outlineLevel="0" collapsed="false">
      <c r="A91" s="14" t="s">
        <v>210</v>
      </c>
      <c r="B91" s="14" t="s">
        <v>42</v>
      </c>
      <c r="C91" s="14" t="s">
        <v>211</v>
      </c>
      <c r="D91" s="14"/>
      <c r="E91" s="15" t="n">
        <v>8</v>
      </c>
      <c r="F91" s="14" t="s">
        <v>286</v>
      </c>
      <c r="G91" s="8" t="n">
        <v>18</v>
      </c>
      <c r="H91" s="14" t="s">
        <v>757</v>
      </c>
      <c r="I91" s="14" t="s">
        <v>758</v>
      </c>
      <c r="J91" s="14" t="s">
        <v>759</v>
      </c>
      <c r="K91" s="8" t="n">
        <v>14</v>
      </c>
      <c r="L91" s="8" t="n">
        <v>40</v>
      </c>
      <c r="M91" s="8" t="n">
        <v>3</v>
      </c>
      <c r="N91" s="8" t="n">
        <v>13</v>
      </c>
      <c r="O91" s="8" t="n">
        <v>7</v>
      </c>
      <c r="P91" s="9" t="n">
        <v>13.8136436075734</v>
      </c>
      <c r="Q91" s="10" t="n">
        <v>0.0723921963247802</v>
      </c>
      <c r="R91" s="9" t="n">
        <v>8.5</v>
      </c>
      <c r="S91" s="12" t="n">
        <f aca="false">IF(AND(ISNUMBER(R91),R91&gt;1,P91&gt;0),R91/P91-1,"")</f>
        <v>-0.384666331239368</v>
      </c>
      <c r="T91" s="9" t="n">
        <f aca="false">IF(AND(ISNUMBER(P91),P91&gt;0),P91*EXP('Read me'!$B$22),"")</f>
        <v>16.8720224025318</v>
      </c>
    </row>
    <row r="92" customFormat="false" ht="15" hidden="false" customHeight="false" outlineLevel="0" collapsed="false">
      <c r="A92" s="14" t="s">
        <v>210</v>
      </c>
      <c r="B92" s="14" t="s">
        <v>42</v>
      </c>
      <c r="C92" s="14" t="s">
        <v>211</v>
      </c>
      <c r="D92" s="14"/>
      <c r="E92" s="15" t="n">
        <v>8</v>
      </c>
      <c r="F92" s="14" t="s">
        <v>286</v>
      </c>
      <c r="G92" s="8" t="n">
        <v>18</v>
      </c>
      <c r="H92" s="14" t="s">
        <v>760</v>
      </c>
      <c r="I92" s="14" t="s">
        <v>302</v>
      </c>
      <c r="J92" s="14" t="s">
        <v>303</v>
      </c>
      <c r="K92" s="8" t="n">
        <v>5</v>
      </c>
      <c r="L92" s="8" t="n">
        <v>41</v>
      </c>
      <c r="M92" s="8" t="n">
        <v>7</v>
      </c>
      <c r="N92" s="8" t="n">
        <v>14</v>
      </c>
      <c r="O92" s="8" t="n">
        <v>8</v>
      </c>
      <c r="P92" s="9" t="n">
        <v>16.760088078026</v>
      </c>
      <c r="Q92" s="10" t="n">
        <v>0.0596655575641688</v>
      </c>
      <c r="R92" s="9" t="n">
        <v>8.5</v>
      </c>
      <c r="S92" s="12" t="n">
        <f aca="false">IF(AND(ISNUMBER(R92),R92&gt;1,P92&gt;0),R92/P92-1,"")</f>
        <v>-0.492842760704565</v>
      </c>
      <c r="T92" s="9" t="n">
        <f aca="false">IF(AND(ISNUMBER(P92),P92&gt;0),P92*EXP('Read me'!$B$22),"")</f>
        <v>20.4708178055083</v>
      </c>
    </row>
    <row r="93" customFormat="false" ht="15" hidden="false" customHeight="false" outlineLevel="0" collapsed="false">
      <c r="A93" s="14" t="s">
        <v>210</v>
      </c>
      <c r="B93" s="14" t="s">
        <v>42</v>
      </c>
      <c r="C93" s="14" t="s">
        <v>211</v>
      </c>
      <c r="D93" s="14"/>
      <c r="E93" s="15" t="n">
        <v>8</v>
      </c>
      <c r="F93" s="14" t="s">
        <v>286</v>
      </c>
      <c r="G93" s="8" t="n">
        <v>18</v>
      </c>
      <c r="H93" s="14" t="s">
        <v>761</v>
      </c>
      <c r="I93" s="14" t="s">
        <v>72</v>
      </c>
      <c r="J93" s="14" t="s">
        <v>306</v>
      </c>
      <c r="K93" s="8" t="n">
        <v>12</v>
      </c>
      <c r="L93" s="8" t="n">
        <v>51</v>
      </c>
      <c r="M93" s="8" t="n">
        <v>3</v>
      </c>
      <c r="N93" s="8" t="n">
        <v>160</v>
      </c>
      <c r="O93" s="8" t="n">
        <v>9</v>
      </c>
      <c r="P93" s="9" t="n">
        <v>17.3246558759044</v>
      </c>
      <c r="Q93" s="10" t="n">
        <v>0.0577212042284097</v>
      </c>
      <c r="R93" s="9" t="n">
        <v>13</v>
      </c>
      <c r="S93" s="12" t="n">
        <f aca="false">IF(AND(ISNUMBER(R93),R93&gt;1,P93&gt;0),R93/P93-1,"")</f>
        <v>-0.249624345030673</v>
      </c>
      <c r="T93" s="9" t="n">
        <f aca="false">IF(AND(ISNUMBER(P93),P93&gt;0),P93*EXP('Read me'!$B$22),"")</f>
        <v>21.1603824710055</v>
      </c>
    </row>
    <row r="94" customFormat="false" ht="15" hidden="false" customHeight="false" outlineLevel="0" collapsed="false">
      <c r="A94" s="14" t="s">
        <v>210</v>
      </c>
      <c r="B94" s="14" t="s">
        <v>42</v>
      </c>
      <c r="C94" s="14" t="s">
        <v>211</v>
      </c>
      <c r="D94" s="14"/>
      <c r="E94" s="15" t="n">
        <v>8</v>
      </c>
      <c r="F94" s="14" t="s">
        <v>286</v>
      </c>
      <c r="G94" s="8" t="n">
        <v>18</v>
      </c>
      <c r="H94" s="14" t="s">
        <v>762</v>
      </c>
      <c r="I94" s="14" t="s">
        <v>95</v>
      </c>
      <c r="J94" s="14" t="s">
        <v>515</v>
      </c>
      <c r="K94" s="8" t="n">
        <v>6</v>
      </c>
      <c r="L94" s="8" t="n">
        <v>51</v>
      </c>
      <c r="M94" s="8" t="n">
        <v>3</v>
      </c>
      <c r="N94" s="8" t="n">
        <v>24</v>
      </c>
      <c r="O94" s="8" t="n">
        <v>10</v>
      </c>
      <c r="P94" s="9" t="n">
        <v>20.4667096938617</v>
      </c>
      <c r="Q94" s="10" t="n">
        <v>0.0488598321351046</v>
      </c>
      <c r="R94" s="9" t="n">
        <v>11</v>
      </c>
      <c r="S94" s="12" t="n">
        <f aca="false">IF(AND(ISNUMBER(R94),R94&gt;1,P94&gt;0),R94/P94-1,"")</f>
        <v>-0.462541846513849</v>
      </c>
      <c r="T94" s="9" t="n">
        <f aca="false">IF(AND(ISNUMBER(P94),P94&gt;0),P94*EXP('Read me'!$B$22),"")</f>
        <v>24.9980956705461</v>
      </c>
    </row>
    <row r="95" customFormat="false" ht="15" hidden="false" customHeight="false" outlineLevel="0" collapsed="false">
      <c r="A95" s="14" t="s">
        <v>210</v>
      </c>
      <c r="B95" s="14" t="s">
        <v>42</v>
      </c>
      <c r="C95" s="14" t="s">
        <v>211</v>
      </c>
      <c r="D95" s="14"/>
      <c r="E95" s="15" t="n">
        <v>8</v>
      </c>
      <c r="F95" s="14" t="s">
        <v>286</v>
      </c>
      <c r="G95" s="8" t="n">
        <v>18</v>
      </c>
      <c r="H95" s="14" t="s">
        <v>763</v>
      </c>
      <c r="I95" s="14" t="s">
        <v>287</v>
      </c>
      <c r="J95" s="14" t="s">
        <v>764</v>
      </c>
      <c r="K95" s="8" t="n">
        <v>2</v>
      </c>
      <c r="L95" s="8" t="n">
        <v>51</v>
      </c>
      <c r="M95" s="8" t="n">
        <v>7</v>
      </c>
      <c r="N95" s="8" t="n">
        <v>21</v>
      </c>
      <c r="O95" s="8" t="n">
        <v>11</v>
      </c>
      <c r="P95" s="9" t="n">
        <v>26.1688264144488</v>
      </c>
      <c r="Q95" s="10" t="n">
        <v>0.0382134064463763</v>
      </c>
      <c r="R95" s="9" t="n">
        <v>17</v>
      </c>
      <c r="S95" s="12" t="n">
        <f aca="false">IF(AND(ISNUMBER(R95),R95&gt;1,P95&gt;0),R95/P95-1,"")</f>
        <v>-0.350372090411603</v>
      </c>
      <c r="T95" s="9" t="n">
        <f aca="false">IF(AND(ISNUMBER(P95),P95&gt;0),P95*EXP('Read me'!$B$22),"")</f>
        <v>31.9626767604224</v>
      </c>
    </row>
    <row r="96" customFormat="false" ht="15" hidden="false" customHeight="false" outlineLevel="0" collapsed="false">
      <c r="A96" s="14" t="s">
        <v>210</v>
      </c>
      <c r="B96" s="14" t="s">
        <v>42</v>
      </c>
      <c r="C96" s="14" t="s">
        <v>211</v>
      </c>
      <c r="D96" s="14"/>
      <c r="E96" s="15" t="n">
        <v>8</v>
      </c>
      <c r="F96" s="14" t="s">
        <v>286</v>
      </c>
      <c r="G96" s="8" t="n">
        <v>18</v>
      </c>
      <c r="H96" s="14" t="s">
        <v>765</v>
      </c>
      <c r="I96" s="14" t="s">
        <v>461</v>
      </c>
      <c r="J96" s="14" t="s">
        <v>766</v>
      </c>
      <c r="K96" s="8" t="n">
        <v>7</v>
      </c>
      <c r="L96" s="8" t="n">
        <v>56</v>
      </c>
      <c r="M96" s="8" t="n">
        <v>3</v>
      </c>
      <c r="N96" s="8" t="n">
        <v>10</v>
      </c>
      <c r="O96" s="8" t="n">
        <v>12</v>
      </c>
      <c r="P96" s="9" t="n">
        <v>27.3685056876746</v>
      </c>
      <c r="Q96" s="10" t="n">
        <v>0.0365383485460205</v>
      </c>
      <c r="R96" s="9" t="n">
        <v>41</v>
      </c>
      <c r="S96" s="12" t="n">
        <f aca="false">IF(AND(ISNUMBER(R96),R96&gt;1,P96&gt;0),R96/P96-1,"")</f>
        <v>0.498072290386842</v>
      </c>
      <c r="T96" s="9" t="n">
        <f aca="false">IF(AND(ISNUMBER(P96),P96&gt;0),P96*EXP('Read me'!$B$22),"")</f>
        <v>33.4279683336481</v>
      </c>
    </row>
    <row r="97" customFormat="false" ht="15" hidden="false" customHeight="false" outlineLevel="0" collapsed="false">
      <c r="A97" s="14" t="s">
        <v>210</v>
      </c>
      <c r="B97" s="14" t="s">
        <v>42</v>
      </c>
      <c r="C97" s="14" t="s">
        <v>211</v>
      </c>
      <c r="D97" s="14"/>
      <c r="E97" s="15" t="n">
        <v>8</v>
      </c>
      <c r="F97" s="14" t="s">
        <v>286</v>
      </c>
      <c r="G97" s="8" t="n">
        <v>18</v>
      </c>
      <c r="H97" s="14" t="s">
        <v>767</v>
      </c>
      <c r="I97" s="14" t="s">
        <v>317</v>
      </c>
      <c r="J97" s="14" t="s">
        <v>448</v>
      </c>
      <c r="K97" s="8" t="n">
        <v>9</v>
      </c>
      <c r="L97" s="8" t="n">
        <v>48</v>
      </c>
      <c r="M97" s="8" t="n">
        <v>3</v>
      </c>
      <c r="N97" s="8" t="n">
        <v>31</v>
      </c>
      <c r="O97" s="8" t="n">
        <v>13</v>
      </c>
      <c r="P97" s="9" t="n">
        <v>32.6713853896119</v>
      </c>
      <c r="Q97" s="10" t="n">
        <v>0.0306078235763445</v>
      </c>
      <c r="R97" s="9" t="n">
        <v>12</v>
      </c>
      <c r="S97" s="12" t="n">
        <f aca="false">IF(AND(ISNUMBER(R97),R97&gt;1,P97&gt;0),R97/P97-1,"")</f>
        <v>-0.632706117083866</v>
      </c>
      <c r="T97" s="9" t="n">
        <f aca="false">IF(AND(ISNUMBER(P97),P97&gt;0),P97*EXP('Read me'!$B$22),"")</f>
        <v>39.9049202277858</v>
      </c>
    </row>
    <row r="98" customFormat="false" ht="15" hidden="false" customHeight="false" outlineLevel="0" collapsed="false">
      <c r="A98" s="14" t="s">
        <v>210</v>
      </c>
      <c r="B98" s="14" t="s">
        <v>42</v>
      </c>
      <c r="C98" s="14" t="s">
        <v>211</v>
      </c>
      <c r="D98" s="14"/>
      <c r="E98" s="15" t="n">
        <v>8</v>
      </c>
      <c r="F98" s="14" t="s">
        <v>286</v>
      </c>
      <c r="G98" s="8" t="n">
        <v>18</v>
      </c>
      <c r="H98" s="14" t="s">
        <v>768</v>
      </c>
      <c r="I98" s="14" t="s">
        <v>769</v>
      </c>
      <c r="J98" s="14" t="s">
        <v>770</v>
      </c>
      <c r="K98" s="8" t="n">
        <v>13</v>
      </c>
      <c r="L98" s="8" t="n">
        <v>58</v>
      </c>
      <c r="M98" s="8" t="n">
        <v>6</v>
      </c>
      <c r="N98" s="8" t="n">
        <v>7</v>
      </c>
      <c r="O98" s="8" t="n">
        <v>14</v>
      </c>
      <c r="P98" s="9" t="n">
        <v>34.4836354293482</v>
      </c>
      <c r="Q98" s="10" t="n">
        <v>0.0289992626226677</v>
      </c>
      <c r="R98" s="9" t="n">
        <v>21</v>
      </c>
      <c r="S98" s="12" t="n">
        <f aca="false">IF(AND(ISNUMBER(R98),R98&gt;1,P98&gt;0),R98/P98-1,"")</f>
        <v>-0.391015484923976</v>
      </c>
      <c r="T98" s="9" t="n">
        <f aca="false">IF(AND(ISNUMBER(P98),P98&gt;0),P98*EXP('Read me'!$B$22),"")</f>
        <v>42.1184074247956</v>
      </c>
    </row>
    <row r="99" customFormat="false" ht="15" hidden="false" customHeight="false" outlineLevel="0" collapsed="false">
      <c r="A99" s="14" t="s">
        <v>210</v>
      </c>
      <c r="B99" s="14" t="s">
        <v>42</v>
      </c>
      <c r="C99" s="14" t="s">
        <v>211</v>
      </c>
      <c r="D99" s="14"/>
      <c r="E99" s="15" t="n">
        <v>8</v>
      </c>
      <c r="F99" s="14" t="s">
        <v>286</v>
      </c>
      <c r="G99" s="8" t="n">
        <v>18</v>
      </c>
      <c r="H99" s="14" t="s">
        <v>771</v>
      </c>
      <c r="I99" s="14" t="s">
        <v>388</v>
      </c>
      <c r="J99" s="14" t="s">
        <v>389</v>
      </c>
      <c r="K99" s="8" t="n">
        <v>15</v>
      </c>
      <c r="L99" s="8" t="n">
        <v>52</v>
      </c>
      <c r="M99" s="8" t="n">
        <v>3</v>
      </c>
      <c r="N99" s="8" t="n">
        <v>55</v>
      </c>
      <c r="O99" s="8" t="n">
        <v>15</v>
      </c>
      <c r="P99" s="9" t="n">
        <v>42.4938502583392</v>
      </c>
      <c r="Q99" s="10" t="n">
        <v>0.0235328169587023</v>
      </c>
      <c r="R99" s="9" t="n">
        <v>41</v>
      </c>
      <c r="S99" s="12" t="n">
        <f aca="false">IF(AND(ISNUMBER(R99),R99&gt;1,P99&gt;0),R99/P99-1,"")</f>
        <v>-0.0351545046932056</v>
      </c>
      <c r="T99" s="9" t="n">
        <f aca="false">IF(AND(ISNUMBER(P99),P99&gt;0),P99*EXP('Read me'!$B$22),"")</f>
        <v>51.9021059103807</v>
      </c>
    </row>
    <row r="100" customFormat="false" ht="15" hidden="false" customHeight="false" outlineLevel="0" collapsed="false">
      <c r="A100" s="14" t="s">
        <v>210</v>
      </c>
      <c r="B100" s="14" t="s">
        <v>42</v>
      </c>
      <c r="C100" s="14" t="s">
        <v>211</v>
      </c>
      <c r="D100" s="14"/>
      <c r="E100" s="15" t="n">
        <v>8</v>
      </c>
      <c r="F100" s="14" t="s">
        <v>286</v>
      </c>
      <c r="G100" s="8" t="n">
        <v>18</v>
      </c>
      <c r="H100" s="14" t="s">
        <v>772</v>
      </c>
      <c r="I100" s="14" t="s">
        <v>458</v>
      </c>
      <c r="J100" s="14" t="s">
        <v>773</v>
      </c>
      <c r="K100" s="8" t="n">
        <v>10</v>
      </c>
      <c r="L100" s="8" t="n">
        <v>53</v>
      </c>
      <c r="M100" s="8" t="n">
        <v>4</v>
      </c>
      <c r="N100" s="8" t="n">
        <v>33</v>
      </c>
      <c r="O100" s="8" t="n">
        <v>16</v>
      </c>
      <c r="P100" s="9" t="n">
        <v>67.5483331739995</v>
      </c>
      <c r="Q100" s="10" t="n">
        <v>0.0148042143012481</v>
      </c>
      <c r="R100" s="9" t="n">
        <v>51</v>
      </c>
      <c r="S100" s="12" t="n">
        <f aca="false">IF(AND(ISNUMBER(R100),R100&gt;1,P100&gt;0),R100/P100-1,"")</f>
        <v>-0.244985070636343</v>
      </c>
      <c r="T100" s="9" t="n">
        <f aca="false">IF(AND(ISNUMBER(P100),P100&gt;0),P100*EXP('Read me'!$B$22),"")</f>
        <v>82.5037204478451</v>
      </c>
    </row>
    <row r="101" customFormat="false" ht="15" hidden="false" customHeight="false" outlineLevel="0" collapsed="false">
      <c r="A101" s="14" t="s">
        <v>210</v>
      </c>
      <c r="B101" s="14" t="s">
        <v>42</v>
      </c>
      <c r="C101" s="14" t="s">
        <v>211</v>
      </c>
      <c r="D101" s="14"/>
      <c r="E101" s="15" t="n">
        <v>8</v>
      </c>
      <c r="F101" s="14" t="s">
        <v>286</v>
      </c>
      <c r="G101" s="8" t="n">
        <v>18</v>
      </c>
      <c r="H101" s="14" t="s">
        <v>774</v>
      </c>
      <c r="I101" s="14" t="s">
        <v>530</v>
      </c>
      <c r="J101" s="14" t="s">
        <v>775</v>
      </c>
      <c r="K101" s="8" t="n">
        <v>8</v>
      </c>
      <c r="L101" s="8" t="n">
        <v>42</v>
      </c>
      <c r="M101" s="8" t="n">
        <v>4</v>
      </c>
      <c r="N101" s="8" t="n">
        <v>321</v>
      </c>
      <c r="O101" s="8" t="n">
        <v>17</v>
      </c>
      <c r="P101" s="9" t="n">
        <v>82.0875218826751</v>
      </c>
      <c r="Q101" s="10" t="n">
        <v>0.0121821194874084</v>
      </c>
      <c r="R101" s="9" t="n">
        <v>67</v>
      </c>
      <c r="S101" s="12" t="n">
        <f aca="false">IF(AND(ISNUMBER(R101),R101&gt;1,P101&gt;0),R101/P101-1,"")</f>
        <v>-0.183797994343637</v>
      </c>
      <c r="T101" s="9" t="n">
        <f aca="false">IF(AND(ISNUMBER(P101),P101&gt;0),P101*EXP('Read me'!$B$22),"")</f>
        <v>100.261925638033</v>
      </c>
    </row>
    <row r="102" customFormat="false" ht="15" hidden="false" customHeight="false" outlineLevel="0" collapsed="false">
      <c r="A102" s="14" t="s">
        <v>210</v>
      </c>
      <c r="B102" s="14" t="s">
        <v>42</v>
      </c>
      <c r="C102" s="14" t="s">
        <v>211</v>
      </c>
      <c r="D102" s="14"/>
      <c r="E102" s="15" t="n">
        <v>8</v>
      </c>
      <c r="F102" s="14" t="s">
        <v>286</v>
      </c>
      <c r="G102" s="8" t="n">
        <v>18</v>
      </c>
      <c r="H102" s="14" t="s">
        <v>776</v>
      </c>
      <c r="I102" s="14" t="s">
        <v>527</v>
      </c>
      <c r="J102" s="14" t="s">
        <v>777</v>
      </c>
      <c r="K102" s="8" t="n">
        <v>20</v>
      </c>
      <c r="L102" s="8" t="n">
        <v>40</v>
      </c>
      <c r="M102" s="8" t="n">
        <v>3</v>
      </c>
      <c r="N102" s="8" t="n">
        <v>77</v>
      </c>
      <c r="O102" s="8" t="n">
        <v>18</v>
      </c>
      <c r="P102" s="9" t="n">
        <v>100.491548569403</v>
      </c>
      <c r="Q102" s="10" t="n">
        <v>0.0099510855811856</v>
      </c>
      <c r="R102" s="9" t="n">
        <v>101</v>
      </c>
      <c r="S102" s="12" t="n">
        <f aca="false">IF(AND(ISNUMBER(R102),R102&gt;1,P102&gt;0),R102/P102-1,"")</f>
        <v>0.0050596436997481</v>
      </c>
      <c r="T102" s="9" t="n">
        <f aca="false">IF(AND(ISNUMBER(P102),P102&gt;0),P102*EXP('Read me'!$B$22),"")</f>
        <v>122.740654594455</v>
      </c>
    </row>
  </sheetData>
  <autoFilter ref="A1:T102"/>
  <conditionalFormatting sqref="A2:T102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279</v>
      </c>
      <c r="E1" s="6" t="s">
        <v>280</v>
      </c>
      <c r="F1" s="6" t="s">
        <v>281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282</v>
      </c>
      <c r="L1" s="6" t="s">
        <v>283</v>
      </c>
      <c r="M1" s="6" t="s">
        <v>284</v>
      </c>
      <c r="N1" s="6" t="s">
        <v>285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48</v>
      </c>
      <c r="B2" s="14" t="s">
        <v>49</v>
      </c>
      <c r="C2" s="14" t="s">
        <v>50</v>
      </c>
      <c r="D2" s="14" t="s">
        <v>319</v>
      </c>
      <c r="E2" s="15" t="n">
        <v>10</v>
      </c>
      <c r="F2" s="14" t="s">
        <v>320</v>
      </c>
      <c r="G2" s="8" t="n">
        <v>11</v>
      </c>
      <c r="H2" s="14" t="s">
        <v>51</v>
      </c>
      <c r="I2" s="14" t="s">
        <v>52</v>
      </c>
      <c r="J2" s="14" t="s">
        <v>53</v>
      </c>
      <c r="K2" s="8" t="n">
        <v>1</v>
      </c>
      <c r="L2" s="8" t="n">
        <v>73</v>
      </c>
      <c r="M2" s="8" t="n">
        <v>3</v>
      </c>
      <c r="N2" s="8" t="n">
        <v>15</v>
      </c>
      <c r="O2" s="8" t="n">
        <v>1</v>
      </c>
      <c r="P2" s="9" t="n">
        <v>5.55613859469599</v>
      </c>
      <c r="Q2" s="10" t="n">
        <v>0.179981111514141</v>
      </c>
      <c r="R2" s="9" t="n">
        <v>4.5</v>
      </c>
      <c r="S2" s="12" t="n">
        <f aca="false">IF(AND(ISNUMBER(R2),R2&gt;1,P2&gt;0),R2/P2-1,"")</f>
        <v>-0.190084998186367</v>
      </c>
      <c r="T2" s="9" t="n">
        <f aca="false">IF(AND(ISNUMBER(P2),P2&gt;0),P2*EXP('Read me'!$B$22),"")</f>
        <v>6.78628300428186</v>
      </c>
    </row>
    <row r="3" customFormat="false" ht="15" hidden="false" customHeight="false" outlineLevel="0" collapsed="false">
      <c r="A3" s="14" t="s">
        <v>48</v>
      </c>
      <c r="B3" s="14" t="s">
        <v>49</v>
      </c>
      <c r="C3" s="14" t="s">
        <v>50</v>
      </c>
      <c r="D3" s="14" t="s">
        <v>319</v>
      </c>
      <c r="E3" s="15" t="n">
        <v>10</v>
      </c>
      <c r="F3" s="14" t="s">
        <v>320</v>
      </c>
      <c r="G3" s="8" t="n">
        <v>11</v>
      </c>
      <c r="H3" s="14" t="s">
        <v>54</v>
      </c>
      <c r="I3" s="14" t="s">
        <v>321</v>
      </c>
      <c r="J3" s="14" t="s">
        <v>322</v>
      </c>
      <c r="K3" s="8" t="n">
        <v>3</v>
      </c>
      <c r="L3" s="8" t="n">
        <v>56</v>
      </c>
      <c r="M3" s="8" t="n">
        <v>3</v>
      </c>
      <c r="N3" s="8" t="n">
        <v>13</v>
      </c>
      <c r="O3" s="8" t="n">
        <v>2</v>
      </c>
      <c r="P3" s="9" t="n">
        <v>6.4064337523687</v>
      </c>
      <c r="Q3" s="10" t="n">
        <v>0.156093083711396</v>
      </c>
      <c r="R3" s="9" t="n">
        <v>6</v>
      </c>
      <c r="S3" s="12" t="n">
        <f aca="false">IF(AND(ISNUMBER(R3),R3&gt;1,P3&gt;0),R3/P3-1,"")</f>
        <v>-0.0634414977316249</v>
      </c>
      <c r="T3" s="9" t="n">
        <f aca="false">IF(AND(ISNUMBER(P3),P3&gt;0),P3*EXP('Read me'!$B$22),"")</f>
        <v>7.82483585511354</v>
      </c>
    </row>
    <row r="4" customFormat="false" ht="15" hidden="false" customHeight="false" outlineLevel="0" collapsed="false">
      <c r="A4" s="14" t="s">
        <v>48</v>
      </c>
      <c r="B4" s="14" t="s">
        <v>49</v>
      </c>
      <c r="C4" s="14" t="s">
        <v>50</v>
      </c>
      <c r="D4" s="14" t="s">
        <v>319</v>
      </c>
      <c r="E4" s="15" t="n">
        <v>10</v>
      </c>
      <c r="F4" s="14" t="s">
        <v>320</v>
      </c>
      <c r="G4" s="8" t="n">
        <v>11</v>
      </c>
      <c r="H4" s="14" t="s">
        <v>323</v>
      </c>
      <c r="I4" s="14" t="s">
        <v>324</v>
      </c>
      <c r="J4" s="14" t="s">
        <v>325</v>
      </c>
      <c r="K4" s="8" t="n">
        <v>4</v>
      </c>
      <c r="L4" s="8" t="n">
        <v>74</v>
      </c>
      <c r="M4" s="8" t="n">
        <v>5</v>
      </c>
      <c r="N4" s="8" t="n">
        <v>32</v>
      </c>
      <c r="O4" s="8" t="n">
        <v>3</v>
      </c>
      <c r="P4" s="9" t="n">
        <v>6.61281691181277</v>
      </c>
      <c r="Q4" s="10" t="n">
        <v>0.1512214859924</v>
      </c>
      <c r="R4" s="9" t="n">
        <v>4</v>
      </c>
      <c r="S4" s="12" t="n">
        <f aca="false">IF(AND(ISNUMBER(R4),R4&gt;1,P4&gt;0),R4/P4-1,"")</f>
        <v>-0.3951140560304</v>
      </c>
      <c r="T4" s="9" t="n">
        <f aca="false">IF(AND(ISNUMBER(P4),P4&gt;0),P4*EXP('Read me'!$B$22),"")</f>
        <v>8.07691281529633</v>
      </c>
    </row>
    <row r="5" customFormat="false" ht="15" hidden="false" customHeight="false" outlineLevel="0" collapsed="false">
      <c r="A5" s="14" t="s">
        <v>48</v>
      </c>
      <c r="B5" s="14" t="s">
        <v>49</v>
      </c>
      <c r="C5" s="14" t="s">
        <v>50</v>
      </c>
      <c r="D5" s="14" t="s">
        <v>319</v>
      </c>
      <c r="E5" s="15" t="n">
        <v>10</v>
      </c>
      <c r="F5" s="14" t="s">
        <v>320</v>
      </c>
      <c r="G5" s="8" t="n">
        <v>11</v>
      </c>
      <c r="H5" s="14" t="s">
        <v>326</v>
      </c>
      <c r="I5" s="14" t="s">
        <v>327</v>
      </c>
      <c r="J5" s="14" t="s">
        <v>328</v>
      </c>
      <c r="K5" s="8" t="n">
        <v>2</v>
      </c>
      <c r="L5" s="8" t="n">
        <v>68</v>
      </c>
      <c r="M5" s="8" t="n">
        <v>8</v>
      </c>
      <c r="N5" s="8" t="n">
        <v>18</v>
      </c>
      <c r="O5" s="8" t="n">
        <v>4</v>
      </c>
      <c r="P5" s="9" t="n">
        <v>10.638227470604</v>
      </c>
      <c r="Q5" s="10" t="n">
        <v>0.0940006220738601</v>
      </c>
      <c r="R5" s="9" t="n">
        <v>7.5</v>
      </c>
      <c r="S5" s="12" t="n">
        <f aca="false">IF(AND(ISNUMBER(R5),R5&gt;1,P5&gt;0),R5/P5-1,"")</f>
        <v>-0.294995334446049</v>
      </c>
      <c r="T5" s="9" t="n">
        <f aca="false">IF(AND(ISNUMBER(P5),P5&gt;0),P5*EXP('Read me'!$B$22),"")</f>
        <v>12.993560374531</v>
      </c>
    </row>
    <row r="6" customFormat="false" ht="15" hidden="false" customHeight="false" outlineLevel="0" collapsed="false">
      <c r="A6" s="14" t="s">
        <v>48</v>
      </c>
      <c r="B6" s="14" t="s">
        <v>49</v>
      </c>
      <c r="C6" s="14" t="s">
        <v>50</v>
      </c>
      <c r="D6" s="14" t="s">
        <v>319</v>
      </c>
      <c r="E6" s="15" t="n">
        <v>10</v>
      </c>
      <c r="F6" s="14" t="s">
        <v>320</v>
      </c>
      <c r="G6" s="8" t="n">
        <v>11</v>
      </c>
      <c r="H6" s="14" t="s">
        <v>329</v>
      </c>
      <c r="I6" s="14" t="s">
        <v>330</v>
      </c>
      <c r="J6" s="14" t="s">
        <v>331</v>
      </c>
      <c r="K6" s="8" t="n">
        <v>6</v>
      </c>
      <c r="L6" s="8" t="n">
        <v>75</v>
      </c>
      <c r="M6" s="8" t="n">
        <v>3</v>
      </c>
      <c r="N6" s="8" t="n">
        <v>52</v>
      </c>
      <c r="O6" s="8" t="n">
        <v>5</v>
      </c>
      <c r="P6" s="9" t="n">
        <v>11.1723390622937</v>
      </c>
      <c r="Q6" s="10" t="n">
        <v>0.0895067715385555</v>
      </c>
      <c r="R6" s="9" t="n">
        <v>8</v>
      </c>
      <c r="S6" s="12" t="n">
        <f aca="false">IF(AND(ISNUMBER(R6),R6&gt;1,P6&gt;0),R6/P6-1,"")</f>
        <v>-0.283945827691555</v>
      </c>
      <c r="T6" s="9" t="n">
        <f aca="false">IF(AND(ISNUMBER(P6),P6&gt;0),P6*EXP('Read me'!$B$22),"")</f>
        <v>13.6459257457861</v>
      </c>
    </row>
    <row r="7" customFormat="false" ht="15" hidden="false" customHeight="false" outlineLevel="0" collapsed="false">
      <c r="A7" s="14" t="s">
        <v>48</v>
      </c>
      <c r="B7" s="14" t="s">
        <v>49</v>
      </c>
      <c r="C7" s="14" t="s">
        <v>50</v>
      </c>
      <c r="D7" s="14" t="s">
        <v>319</v>
      </c>
      <c r="E7" s="15" t="n">
        <v>10</v>
      </c>
      <c r="F7" s="14" t="s">
        <v>320</v>
      </c>
      <c r="G7" s="8" t="n">
        <v>11</v>
      </c>
      <c r="H7" s="14" t="s">
        <v>332</v>
      </c>
      <c r="I7" s="14" t="s">
        <v>333</v>
      </c>
      <c r="J7" s="14" t="s">
        <v>334</v>
      </c>
      <c r="K7" s="8" t="n">
        <v>11</v>
      </c>
      <c r="L7" s="8" t="n">
        <v>72</v>
      </c>
      <c r="M7" s="8" t="n">
        <v>3</v>
      </c>
      <c r="N7" s="8" t="n">
        <v>17</v>
      </c>
      <c r="O7" s="8" t="n">
        <v>6</v>
      </c>
      <c r="P7" s="9" t="n">
        <v>12.0595936530556</v>
      </c>
      <c r="Q7" s="10" t="n">
        <v>0.0829215335747754</v>
      </c>
      <c r="R7" s="9" t="n">
        <v>8.5</v>
      </c>
      <c r="S7" s="12" t="n">
        <f aca="false">IF(AND(ISNUMBER(R7),R7&gt;1,P7&gt;0),R7/P7-1,"")</f>
        <v>-0.295166964614408</v>
      </c>
      <c r="T7" s="9" t="n">
        <f aca="false">IF(AND(ISNUMBER(P7),P7&gt;0),P7*EXP('Read me'!$B$22),"")</f>
        <v>14.729620950133</v>
      </c>
    </row>
    <row r="8" customFormat="false" ht="15" hidden="false" customHeight="false" outlineLevel="0" collapsed="false">
      <c r="A8" s="14" t="s">
        <v>48</v>
      </c>
      <c r="B8" s="14" t="s">
        <v>49</v>
      </c>
      <c r="C8" s="14" t="s">
        <v>50</v>
      </c>
      <c r="D8" s="14" t="s">
        <v>319</v>
      </c>
      <c r="E8" s="15" t="n">
        <v>10</v>
      </c>
      <c r="F8" s="14" t="s">
        <v>320</v>
      </c>
      <c r="G8" s="8" t="n">
        <v>11</v>
      </c>
      <c r="H8" s="14" t="s">
        <v>335</v>
      </c>
      <c r="I8" s="14"/>
      <c r="J8" s="14" t="s">
        <v>336</v>
      </c>
      <c r="K8" s="8" t="n">
        <v>5</v>
      </c>
      <c r="L8" s="8" t="n">
        <v>56</v>
      </c>
      <c r="M8" s="8" t="n">
        <v>4</v>
      </c>
      <c r="N8" s="8" t="n">
        <v>36</v>
      </c>
      <c r="O8" s="8" t="n">
        <v>7</v>
      </c>
      <c r="P8" s="9" t="n">
        <v>13.0083171980658</v>
      </c>
      <c r="Q8" s="10" t="n">
        <v>0.0768738941996808</v>
      </c>
      <c r="R8" s="9" t="n">
        <v>13</v>
      </c>
      <c r="S8" s="12" t="n">
        <f aca="false">IF(AND(ISNUMBER(R8),R8&gt;1,P8&gt;0),R8/P8-1,"")</f>
        <v>-0.000639375404148934</v>
      </c>
      <c r="T8" s="9" t="n">
        <f aca="false">IF(AND(ISNUMBER(P8),P8&gt;0),P8*EXP('Read me'!$B$22),"")</f>
        <v>15.88839450474</v>
      </c>
    </row>
    <row r="9" customFormat="false" ht="15" hidden="false" customHeight="false" outlineLevel="0" collapsed="false">
      <c r="A9" s="14" t="s">
        <v>48</v>
      </c>
      <c r="B9" s="14" t="s">
        <v>49</v>
      </c>
      <c r="C9" s="14" t="s">
        <v>50</v>
      </c>
      <c r="D9" s="14" t="s">
        <v>319</v>
      </c>
      <c r="E9" s="15" t="n">
        <v>10</v>
      </c>
      <c r="F9" s="14" t="s">
        <v>320</v>
      </c>
      <c r="G9" s="8" t="n">
        <v>11</v>
      </c>
      <c r="H9" s="14" t="s">
        <v>337</v>
      </c>
      <c r="I9" s="14" t="s">
        <v>338</v>
      </c>
      <c r="J9" s="14" t="s">
        <v>339</v>
      </c>
      <c r="K9" s="8" t="n">
        <v>7</v>
      </c>
      <c r="L9" s="8" t="n">
        <v>72</v>
      </c>
      <c r="M9" s="8" t="n">
        <v>4</v>
      </c>
      <c r="N9" s="8" t="n">
        <v>26</v>
      </c>
      <c r="O9" s="8" t="n">
        <v>8</v>
      </c>
      <c r="P9" s="9" t="n">
        <v>14.1591918986906</v>
      </c>
      <c r="Q9" s="10" t="n">
        <v>0.0706254994744775</v>
      </c>
      <c r="R9" s="9" t="n">
        <v>13</v>
      </c>
      <c r="S9" s="12" t="n">
        <f aca="false">IF(AND(ISNUMBER(R9),R9&gt;1,P9&gt;0),R9/P9-1,"")</f>
        <v>-0.0818685068317923</v>
      </c>
      <c r="T9" s="9" t="n">
        <f aca="false">IF(AND(ISNUMBER(P9),P9&gt;0),P9*EXP('Read me'!$B$22),"")</f>
        <v>17.2940760383798</v>
      </c>
    </row>
    <row r="10" customFormat="false" ht="15" hidden="false" customHeight="false" outlineLevel="0" collapsed="false">
      <c r="A10" s="14" t="s">
        <v>48</v>
      </c>
      <c r="B10" s="14" t="s">
        <v>49</v>
      </c>
      <c r="C10" s="14" t="s">
        <v>50</v>
      </c>
      <c r="D10" s="14" t="s">
        <v>319</v>
      </c>
      <c r="E10" s="15" t="n">
        <v>10</v>
      </c>
      <c r="F10" s="14" t="s">
        <v>320</v>
      </c>
      <c r="G10" s="8" t="n">
        <v>11</v>
      </c>
      <c r="H10" s="14" t="s">
        <v>340</v>
      </c>
      <c r="I10" s="14" t="s">
        <v>341</v>
      </c>
      <c r="J10" s="14" t="s">
        <v>342</v>
      </c>
      <c r="K10" s="8" t="n">
        <v>8</v>
      </c>
      <c r="L10" s="8" t="n">
        <v>64</v>
      </c>
      <c r="M10" s="8" t="n">
        <v>3</v>
      </c>
      <c r="N10" s="8" t="n">
        <v>43</v>
      </c>
      <c r="O10" s="8" t="n">
        <v>9</v>
      </c>
      <c r="P10" s="9" t="n">
        <v>18.8457407188205</v>
      </c>
      <c r="Q10" s="10" t="n">
        <v>0.053062387672634</v>
      </c>
      <c r="R10" s="9" t="n">
        <v>17</v>
      </c>
      <c r="S10" s="12" t="n">
        <f aca="false">IF(AND(ISNUMBER(R10),R10&gt;1,P10&gt;0),R10/P10-1,"")</f>
        <v>-0.0979394095652217</v>
      </c>
      <c r="T10" s="9" t="n">
        <f aca="false">IF(AND(ISNUMBER(P10),P10&gt;0),P10*EXP('Read me'!$B$22),"")</f>
        <v>23.0182396935388</v>
      </c>
    </row>
    <row r="11" customFormat="false" ht="15" hidden="false" customHeight="false" outlineLevel="0" collapsed="false">
      <c r="A11" s="14" t="s">
        <v>48</v>
      </c>
      <c r="B11" s="14" t="s">
        <v>49</v>
      </c>
      <c r="C11" s="14" t="s">
        <v>50</v>
      </c>
      <c r="D11" s="14" t="s">
        <v>319</v>
      </c>
      <c r="E11" s="15" t="n">
        <v>10</v>
      </c>
      <c r="F11" s="14" t="s">
        <v>320</v>
      </c>
      <c r="G11" s="8" t="n">
        <v>11</v>
      </c>
      <c r="H11" s="14" t="s">
        <v>343</v>
      </c>
      <c r="I11" s="14" t="s">
        <v>344</v>
      </c>
      <c r="J11" s="14" t="s">
        <v>345</v>
      </c>
      <c r="K11" s="8" t="n">
        <v>10</v>
      </c>
      <c r="L11" s="8" t="n">
        <v>70</v>
      </c>
      <c r="M11" s="8" t="n">
        <v>7</v>
      </c>
      <c r="N11" s="8" t="n">
        <v>508</v>
      </c>
      <c r="O11" s="8" t="n">
        <v>10</v>
      </c>
      <c r="P11" s="9" t="n">
        <v>43.2189030390084</v>
      </c>
      <c r="Q11" s="10" t="n">
        <v>0.0231380236351075</v>
      </c>
      <c r="R11" s="9" t="n">
        <v>26</v>
      </c>
      <c r="S11" s="12" t="n">
        <f aca="false">IF(AND(ISNUMBER(R11),R11&gt;1,P11&gt;0),R11/P11-1,"")</f>
        <v>-0.398411385487203</v>
      </c>
      <c r="T11" s="9" t="n">
        <f aca="false">IF(AND(ISNUMBER(P11),P11&gt;0),P11*EXP('Read me'!$B$22),"")</f>
        <v>52.7876873765018</v>
      </c>
    </row>
    <row r="12" customFormat="false" ht="15" hidden="false" customHeight="false" outlineLevel="0" collapsed="false">
      <c r="A12" s="14" t="s">
        <v>48</v>
      </c>
      <c r="B12" s="14" t="s">
        <v>49</v>
      </c>
      <c r="C12" s="14" t="s">
        <v>50</v>
      </c>
      <c r="D12" s="14" t="s">
        <v>319</v>
      </c>
      <c r="E12" s="15" t="n">
        <v>10</v>
      </c>
      <c r="F12" s="14" t="s">
        <v>320</v>
      </c>
      <c r="G12" s="8" t="n">
        <v>11</v>
      </c>
      <c r="H12" s="14" t="s">
        <v>346</v>
      </c>
      <c r="I12" s="14" t="s">
        <v>347</v>
      </c>
      <c r="J12" s="14" t="s">
        <v>348</v>
      </c>
      <c r="K12" s="8" t="n">
        <v>9</v>
      </c>
      <c r="L12" s="8" t="n">
        <v>72</v>
      </c>
      <c r="M12" s="8" t="n">
        <v>8</v>
      </c>
      <c r="N12" s="8" t="n">
        <v>26</v>
      </c>
      <c r="O12" s="8" t="n">
        <v>11</v>
      </c>
      <c r="P12" s="9" t="n">
        <v>44.2956374575613</v>
      </c>
      <c r="Q12" s="10" t="n">
        <v>0.0225755866129724</v>
      </c>
      <c r="R12" s="9" t="n">
        <v>51</v>
      </c>
      <c r="S12" s="12" t="n">
        <f aca="false">IF(AND(ISNUMBER(R12),R12&gt;1,P12&gt;0),R12/P12-1,"")</f>
        <v>0.151354917261594</v>
      </c>
      <c r="T12" s="9" t="n">
        <f aca="false">IF(AND(ISNUMBER(P12),P12&gt;0),P12*EXP('Read me'!$B$22),"")</f>
        <v>54.1028137651283</v>
      </c>
    </row>
    <row r="13" customFormat="false" ht="15" hidden="false" customHeight="false" outlineLevel="0" collapsed="false">
      <c r="A13" s="14" t="s">
        <v>75</v>
      </c>
      <c r="B13" s="14" t="s">
        <v>49</v>
      </c>
      <c r="C13" s="14" t="s">
        <v>76</v>
      </c>
      <c r="D13" s="14" t="s">
        <v>319</v>
      </c>
      <c r="E13" s="15" t="n">
        <v>13</v>
      </c>
      <c r="F13" s="14" t="s">
        <v>320</v>
      </c>
      <c r="G13" s="8" t="n">
        <v>13</v>
      </c>
      <c r="H13" s="14" t="s">
        <v>77</v>
      </c>
      <c r="I13" s="14" t="s">
        <v>78</v>
      </c>
      <c r="J13" s="14" t="s">
        <v>79</v>
      </c>
      <c r="K13" s="8" t="n">
        <v>13</v>
      </c>
      <c r="L13" s="8" t="n">
        <v>69</v>
      </c>
      <c r="M13" s="8" t="n">
        <v>3</v>
      </c>
      <c r="N13" s="8" t="n">
        <v>34</v>
      </c>
      <c r="O13" s="8" t="n">
        <v>1</v>
      </c>
      <c r="P13" s="9" t="n">
        <v>6.05474824053142</v>
      </c>
      <c r="Q13" s="10" t="n">
        <v>0.165159633443691</v>
      </c>
      <c r="R13" s="9" t="n">
        <v>6</v>
      </c>
      <c r="S13" s="12" t="n">
        <f aca="false">IF(AND(ISNUMBER(R13),R13&gt;1,P13&gt;0),R13/P13-1,"")</f>
        <v>-0.00904219933785699</v>
      </c>
      <c r="T13" s="9" t="n">
        <f aca="false">IF(AND(ISNUMBER(P13),P13&gt;0),P13*EXP('Read me'!$B$22),"")</f>
        <v>7.39528620095052</v>
      </c>
    </row>
    <row r="14" customFormat="false" ht="15" hidden="false" customHeight="false" outlineLevel="0" collapsed="false">
      <c r="A14" s="14" t="s">
        <v>75</v>
      </c>
      <c r="B14" s="14" t="s">
        <v>49</v>
      </c>
      <c r="C14" s="14" t="s">
        <v>76</v>
      </c>
      <c r="D14" s="14" t="s">
        <v>319</v>
      </c>
      <c r="E14" s="15" t="n">
        <v>13</v>
      </c>
      <c r="F14" s="14" t="s">
        <v>320</v>
      </c>
      <c r="G14" s="8" t="n">
        <v>13</v>
      </c>
      <c r="H14" s="14" t="s">
        <v>80</v>
      </c>
      <c r="I14" s="14" t="s">
        <v>394</v>
      </c>
      <c r="J14" s="14" t="s">
        <v>395</v>
      </c>
      <c r="K14" s="8" t="n">
        <v>14</v>
      </c>
      <c r="L14" s="8" t="n">
        <v>67</v>
      </c>
      <c r="M14" s="8" t="n">
        <v>3</v>
      </c>
      <c r="N14" s="8" t="n">
        <v>17</v>
      </c>
      <c r="O14" s="8" t="n">
        <v>2</v>
      </c>
      <c r="P14" s="9" t="n">
        <v>7.04232394445074</v>
      </c>
      <c r="Q14" s="10" t="n">
        <v>0.141998579998295</v>
      </c>
      <c r="R14" s="9" t="n">
        <v>6.5</v>
      </c>
      <c r="S14" s="12" t="n">
        <f aca="false">IF(AND(ISNUMBER(R14),R14&gt;1,P14&gt;0),R14/P14-1,"")</f>
        <v>-0.0770092300110801</v>
      </c>
      <c r="T14" s="9" t="n">
        <f aca="false">IF(AND(ISNUMBER(P14),P14&gt;0),P14*EXP('Read me'!$B$22),"")</f>
        <v>8.60151388960955</v>
      </c>
    </row>
    <row r="15" customFormat="false" ht="15" hidden="false" customHeight="false" outlineLevel="0" collapsed="false">
      <c r="A15" s="14" t="s">
        <v>75</v>
      </c>
      <c r="B15" s="14" t="s">
        <v>49</v>
      </c>
      <c r="C15" s="14" t="s">
        <v>76</v>
      </c>
      <c r="D15" s="14" t="s">
        <v>319</v>
      </c>
      <c r="E15" s="15" t="n">
        <v>13</v>
      </c>
      <c r="F15" s="14" t="s">
        <v>320</v>
      </c>
      <c r="G15" s="8" t="n">
        <v>13</v>
      </c>
      <c r="H15" s="14" t="s">
        <v>396</v>
      </c>
      <c r="I15" s="14" t="s">
        <v>101</v>
      </c>
      <c r="J15" s="14" t="s">
        <v>345</v>
      </c>
      <c r="K15" s="8" t="n">
        <v>6</v>
      </c>
      <c r="L15" s="8" t="n">
        <v>62</v>
      </c>
      <c r="M15" s="8" t="n">
        <v>6</v>
      </c>
      <c r="N15" s="8" t="n">
        <v>23</v>
      </c>
      <c r="O15" s="8" t="n">
        <v>3</v>
      </c>
      <c r="P15" s="9" t="n">
        <v>7.26703250589067</v>
      </c>
      <c r="Q15" s="10" t="n">
        <v>0.137607751057863</v>
      </c>
      <c r="R15" s="9" t="n">
        <v>7</v>
      </c>
      <c r="S15" s="12" t="n">
        <f aca="false">IF(AND(ISNUMBER(R15),R15&gt;1,P15&gt;0),R15/P15-1,"")</f>
        <v>-0.0367457425949609</v>
      </c>
      <c r="T15" s="9" t="n">
        <f aca="false">IF(AND(ISNUMBER(P15),P15&gt;0),P15*EXP('Read me'!$B$22),"")</f>
        <v>8.87597354633448</v>
      </c>
    </row>
    <row r="16" customFormat="false" ht="15" hidden="false" customHeight="false" outlineLevel="0" collapsed="false">
      <c r="A16" s="14" t="s">
        <v>75</v>
      </c>
      <c r="B16" s="14" t="s">
        <v>49</v>
      </c>
      <c r="C16" s="14" t="s">
        <v>76</v>
      </c>
      <c r="D16" s="14" t="s">
        <v>319</v>
      </c>
      <c r="E16" s="15" t="n">
        <v>13</v>
      </c>
      <c r="F16" s="14" t="s">
        <v>320</v>
      </c>
      <c r="G16" s="8" t="n">
        <v>13</v>
      </c>
      <c r="H16" s="14" t="s">
        <v>397</v>
      </c>
      <c r="I16" s="14" t="s">
        <v>398</v>
      </c>
      <c r="J16" s="14" t="s">
        <v>399</v>
      </c>
      <c r="K16" s="8" t="n">
        <v>1</v>
      </c>
      <c r="L16" s="8" t="n">
        <v>70</v>
      </c>
      <c r="M16" s="8" t="n">
        <v>3</v>
      </c>
      <c r="N16" s="8" t="n">
        <v>40</v>
      </c>
      <c r="O16" s="8" t="n">
        <v>4</v>
      </c>
      <c r="P16" s="9" t="n">
        <v>8.05484542367063</v>
      </c>
      <c r="Q16" s="10" t="n">
        <v>0.124148875292047</v>
      </c>
      <c r="R16" s="9" t="n">
        <v>7</v>
      </c>
      <c r="S16" s="12" t="n">
        <f aca="false">IF(AND(ISNUMBER(R16),R16&gt;1,P16&gt;0),R16/P16-1,"")</f>
        <v>-0.130957872955671</v>
      </c>
      <c r="T16" s="9" t="n">
        <f aca="false">IF(AND(ISNUMBER(P16),P16&gt;0),P16*EXP('Read me'!$B$22),"")</f>
        <v>9.83821041702512</v>
      </c>
    </row>
    <row r="17" customFormat="false" ht="15" hidden="false" customHeight="false" outlineLevel="0" collapsed="false">
      <c r="A17" s="14" t="s">
        <v>75</v>
      </c>
      <c r="B17" s="14" t="s">
        <v>49</v>
      </c>
      <c r="C17" s="14" t="s">
        <v>76</v>
      </c>
      <c r="D17" s="14" t="s">
        <v>319</v>
      </c>
      <c r="E17" s="15" t="n">
        <v>13</v>
      </c>
      <c r="F17" s="14" t="s">
        <v>320</v>
      </c>
      <c r="G17" s="8" t="n">
        <v>13</v>
      </c>
      <c r="H17" s="14" t="s">
        <v>400</v>
      </c>
      <c r="I17" s="14" t="s">
        <v>401</v>
      </c>
      <c r="J17" s="14" t="s">
        <v>348</v>
      </c>
      <c r="K17" s="8" t="n">
        <v>10</v>
      </c>
      <c r="L17" s="8" t="n">
        <v>70</v>
      </c>
      <c r="M17" s="8" t="n">
        <v>7</v>
      </c>
      <c r="N17" s="8" t="n">
        <v>16</v>
      </c>
      <c r="O17" s="8" t="n">
        <v>5</v>
      </c>
      <c r="P17" s="9" t="n">
        <v>11.5155308701937</v>
      </c>
      <c r="Q17" s="10" t="n">
        <v>0.086839244431914</v>
      </c>
      <c r="R17" s="9" t="n">
        <v>10</v>
      </c>
      <c r="S17" s="12" t="n">
        <f aca="false">IF(AND(ISNUMBER(R17),R17&gt;1,P17&gt;0),R17/P17-1,"")</f>
        <v>-0.131607555680859</v>
      </c>
      <c r="T17" s="9" t="n">
        <f aca="false">IF(AND(ISNUMBER(P17),P17&gt;0),P17*EXP('Read me'!$B$22),"")</f>
        <v>14.0651011665331</v>
      </c>
    </row>
    <row r="18" customFormat="false" ht="15" hidden="false" customHeight="false" outlineLevel="0" collapsed="false">
      <c r="A18" s="14" t="s">
        <v>75</v>
      </c>
      <c r="B18" s="14" t="s">
        <v>49</v>
      </c>
      <c r="C18" s="14" t="s">
        <v>76</v>
      </c>
      <c r="D18" s="14" t="s">
        <v>319</v>
      </c>
      <c r="E18" s="15" t="n">
        <v>13</v>
      </c>
      <c r="F18" s="14" t="s">
        <v>320</v>
      </c>
      <c r="G18" s="8" t="n">
        <v>13</v>
      </c>
      <c r="H18" s="14" t="s">
        <v>402</v>
      </c>
      <c r="I18" s="14" t="s">
        <v>124</v>
      </c>
      <c r="J18" s="14" t="s">
        <v>403</v>
      </c>
      <c r="K18" s="8" t="n">
        <v>7</v>
      </c>
      <c r="L18" s="8" t="n">
        <v>59</v>
      </c>
      <c r="M18" s="8" t="n">
        <v>6</v>
      </c>
      <c r="N18" s="8" t="n">
        <v>16</v>
      </c>
      <c r="O18" s="8" t="n">
        <v>6</v>
      </c>
      <c r="P18" s="9" t="n">
        <v>12.2080957886544</v>
      </c>
      <c r="Q18" s="10" t="n">
        <v>0.0819128566249743</v>
      </c>
      <c r="R18" s="9" t="n">
        <v>8</v>
      </c>
      <c r="S18" s="12" t="n">
        <f aca="false">IF(AND(ISNUMBER(R18),R18&gt;1,P18&gt;0),R18/P18-1,"")</f>
        <v>-0.344697147000205</v>
      </c>
      <c r="T18" s="9" t="n">
        <f aca="false">IF(AND(ISNUMBER(P18),P18&gt;0),P18*EXP('Read me'!$B$22),"")</f>
        <v>14.911001868146</v>
      </c>
    </row>
    <row r="19" customFormat="false" ht="15" hidden="false" customHeight="false" outlineLevel="0" collapsed="false">
      <c r="A19" s="14" t="s">
        <v>75</v>
      </c>
      <c r="B19" s="14" t="s">
        <v>49</v>
      </c>
      <c r="C19" s="14" t="s">
        <v>76</v>
      </c>
      <c r="D19" s="14" t="s">
        <v>319</v>
      </c>
      <c r="E19" s="15" t="n">
        <v>13</v>
      </c>
      <c r="F19" s="14" t="s">
        <v>320</v>
      </c>
      <c r="G19" s="8" t="n">
        <v>13</v>
      </c>
      <c r="H19" s="14" t="s">
        <v>404</v>
      </c>
      <c r="I19" s="14" t="s">
        <v>405</v>
      </c>
      <c r="J19" s="14" t="s">
        <v>406</v>
      </c>
      <c r="K19" s="8" t="n">
        <v>8</v>
      </c>
      <c r="L19" s="8" t="n">
        <v>68</v>
      </c>
      <c r="M19" s="8" t="n">
        <v>5</v>
      </c>
      <c r="N19" s="8" t="n">
        <v>16</v>
      </c>
      <c r="O19" s="8" t="n">
        <v>7</v>
      </c>
      <c r="P19" s="9" t="n">
        <v>13.0115338443477</v>
      </c>
      <c r="Q19" s="10" t="n">
        <v>0.0768548898202658</v>
      </c>
      <c r="R19" s="9" t="n">
        <v>10</v>
      </c>
      <c r="S19" s="12" t="n">
        <f aca="false">IF(AND(ISNUMBER(R19),R19&gt;1,P19&gt;0),R19/P19-1,"")</f>
        <v>-0.231451101797341</v>
      </c>
      <c r="T19" s="9" t="n">
        <f aca="false">IF(AND(ISNUMBER(P19),P19&gt;0),P19*EXP('Read me'!$B$22),"")</f>
        <v>15.8923233253806</v>
      </c>
    </row>
    <row r="20" customFormat="false" ht="15" hidden="false" customHeight="false" outlineLevel="0" collapsed="false">
      <c r="A20" s="14" t="s">
        <v>75</v>
      </c>
      <c r="B20" s="14" t="s">
        <v>49</v>
      </c>
      <c r="C20" s="14" t="s">
        <v>76</v>
      </c>
      <c r="D20" s="14" t="s">
        <v>319</v>
      </c>
      <c r="E20" s="15" t="n">
        <v>13</v>
      </c>
      <c r="F20" s="14" t="s">
        <v>320</v>
      </c>
      <c r="G20" s="8" t="n">
        <v>13</v>
      </c>
      <c r="H20" s="14" t="s">
        <v>407</v>
      </c>
      <c r="I20" s="14" t="s">
        <v>408</v>
      </c>
      <c r="J20" s="14" t="s">
        <v>409</v>
      </c>
      <c r="K20" s="8" t="n">
        <v>5</v>
      </c>
      <c r="L20" s="8" t="n">
        <v>67</v>
      </c>
      <c r="M20" s="8" t="n">
        <v>5</v>
      </c>
      <c r="N20" s="8" t="n">
        <v>17</v>
      </c>
      <c r="O20" s="8" t="n">
        <v>8</v>
      </c>
      <c r="P20" s="9" t="n">
        <v>13.0193346409558</v>
      </c>
      <c r="Q20" s="10" t="n">
        <v>0.0768088406648854</v>
      </c>
      <c r="R20" s="9" t="n">
        <v>7</v>
      </c>
      <c r="S20" s="12" t="n">
        <f aca="false">IF(AND(ISNUMBER(R20),R20&gt;1,P20&gt;0),R20/P20-1,"")</f>
        <v>-0.462338115345802</v>
      </c>
      <c r="T20" s="9" t="n">
        <f aca="false">IF(AND(ISNUMBER(P20),P20&gt;0),P20*EXP('Read me'!$B$22),"")</f>
        <v>15.9018512398737</v>
      </c>
    </row>
    <row r="21" customFormat="false" ht="15" hidden="false" customHeight="false" outlineLevel="0" collapsed="false">
      <c r="A21" s="14" t="s">
        <v>75</v>
      </c>
      <c r="B21" s="14" t="s">
        <v>49</v>
      </c>
      <c r="C21" s="14" t="s">
        <v>76</v>
      </c>
      <c r="D21" s="14" t="s">
        <v>319</v>
      </c>
      <c r="E21" s="15" t="n">
        <v>13</v>
      </c>
      <c r="F21" s="14" t="s">
        <v>320</v>
      </c>
      <c r="G21" s="8" t="n">
        <v>13</v>
      </c>
      <c r="H21" s="14" t="s">
        <v>410</v>
      </c>
      <c r="I21" s="14" t="s">
        <v>148</v>
      </c>
      <c r="J21" s="14" t="s">
        <v>411</v>
      </c>
      <c r="K21" s="8" t="n">
        <v>9</v>
      </c>
      <c r="L21" s="8" t="n">
        <v>58</v>
      </c>
      <c r="M21" s="8" t="n">
        <v>9</v>
      </c>
      <c r="N21" s="8" t="n">
        <v>45</v>
      </c>
      <c r="O21" s="8" t="n">
        <v>9</v>
      </c>
      <c r="P21" s="9" t="n">
        <v>29.4663689147946</v>
      </c>
      <c r="Q21" s="10" t="n">
        <v>0.033936994506911</v>
      </c>
      <c r="R21" s="9" t="n">
        <v>21</v>
      </c>
      <c r="S21" s="12" t="n">
        <f aca="false">IF(AND(ISNUMBER(R21),R21&gt;1,P21&gt;0),R21/P21-1,"")</f>
        <v>-0.287323115354867</v>
      </c>
      <c r="T21" s="9" t="n">
        <f aca="false">IF(AND(ISNUMBER(P21),P21&gt;0),P21*EXP('Read me'!$B$22),"")</f>
        <v>35.9903042654952</v>
      </c>
    </row>
    <row r="22" customFormat="false" ht="15" hidden="false" customHeight="false" outlineLevel="0" collapsed="false">
      <c r="A22" s="14" t="s">
        <v>75</v>
      </c>
      <c r="B22" s="14" t="s">
        <v>49</v>
      </c>
      <c r="C22" s="14" t="s">
        <v>76</v>
      </c>
      <c r="D22" s="14" t="s">
        <v>319</v>
      </c>
      <c r="E22" s="15" t="n">
        <v>13</v>
      </c>
      <c r="F22" s="14" t="s">
        <v>320</v>
      </c>
      <c r="G22" s="8" t="n">
        <v>13</v>
      </c>
      <c r="H22" s="14" t="s">
        <v>412</v>
      </c>
      <c r="I22" s="14" t="s">
        <v>413</v>
      </c>
      <c r="J22" s="14" t="s">
        <v>203</v>
      </c>
      <c r="K22" s="8" t="n">
        <v>4</v>
      </c>
      <c r="L22" s="8" t="n">
        <v>63</v>
      </c>
      <c r="M22" s="8" t="n">
        <v>7</v>
      </c>
      <c r="N22" s="8" t="n">
        <v>19</v>
      </c>
      <c r="O22" s="8" t="n">
        <v>10</v>
      </c>
      <c r="P22" s="9" t="n">
        <v>36.7076635602192</v>
      </c>
      <c r="Q22" s="10" t="n">
        <v>0.0272422677722185</v>
      </c>
      <c r="R22" s="9" t="n">
        <v>19</v>
      </c>
      <c r="S22" s="12" t="n">
        <f aca="false">IF(AND(ISNUMBER(R22),R22&gt;1,P22&gt;0),R22/P22-1,"")</f>
        <v>-0.482396912327847</v>
      </c>
      <c r="T22" s="9" t="n">
        <f aca="false">IF(AND(ISNUMBER(P22),P22&gt;0),P22*EXP('Read me'!$B$22),"")</f>
        <v>44.8348415180673</v>
      </c>
    </row>
    <row r="23" customFormat="false" ht="15" hidden="false" customHeight="false" outlineLevel="0" collapsed="false">
      <c r="A23" s="14" t="s">
        <v>75</v>
      </c>
      <c r="B23" s="14" t="s">
        <v>49</v>
      </c>
      <c r="C23" s="14" t="s">
        <v>76</v>
      </c>
      <c r="D23" s="14" t="s">
        <v>319</v>
      </c>
      <c r="E23" s="15" t="n">
        <v>13</v>
      </c>
      <c r="F23" s="14" t="s">
        <v>320</v>
      </c>
      <c r="G23" s="8" t="n">
        <v>13</v>
      </c>
      <c r="H23" s="14" t="s">
        <v>414</v>
      </c>
      <c r="I23" s="14" t="s">
        <v>415</v>
      </c>
      <c r="J23" s="14" t="s">
        <v>416</v>
      </c>
      <c r="K23" s="8" t="n">
        <v>3</v>
      </c>
      <c r="L23" s="8" t="n">
        <v>60</v>
      </c>
      <c r="M23" s="8" t="n">
        <v>6</v>
      </c>
      <c r="N23" s="8" t="n">
        <v>158</v>
      </c>
      <c r="O23" s="8" t="n">
        <v>11</v>
      </c>
      <c r="P23" s="9" t="n">
        <v>55.2893438697476</v>
      </c>
      <c r="Q23" s="10" t="n">
        <v>0.0180866678822565</v>
      </c>
      <c r="R23" s="9" t="n">
        <v>15</v>
      </c>
      <c r="S23" s="12" t="n">
        <f aca="false">IF(AND(ISNUMBER(R23),R23&gt;1,P23&gt;0),R23/P23-1,"")</f>
        <v>-0.728699981766153</v>
      </c>
      <c r="T23" s="9" t="n">
        <f aca="false">IF(AND(ISNUMBER(P23),P23&gt;0),P23*EXP('Read me'!$B$22),"")</f>
        <v>67.5305570993758</v>
      </c>
    </row>
    <row r="24" customFormat="false" ht="15" hidden="false" customHeight="false" outlineLevel="0" collapsed="false">
      <c r="A24" s="14" t="s">
        <v>75</v>
      </c>
      <c r="B24" s="14" t="s">
        <v>49</v>
      </c>
      <c r="C24" s="14" t="s">
        <v>76</v>
      </c>
      <c r="D24" s="14" t="s">
        <v>319</v>
      </c>
      <c r="E24" s="15" t="n">
        <v>13</v>
      </c>
      <c r="F24" s="14" t="s">
        <v>320</v>
      </c>
      <c r="G24" s="8" t="n">
        <v>13</v>
      </c>
      <c r="H24" s="14" t="s">
        <v>417</v>
      </c>
      <c r="I24" s="14" t="s">
        <v>175</v>
      </c>
      <c r="J24" s="14" t="s">
        <v>418</v>
      </c>
      <c r="K24" s="8" t="n">
        <v>12</v>
      </c>
      <c r="L24" s="8" t="n">
        <v>65</v>
      </c>
      <c r="M24" s="8" t="n">
        <v>3</v>
      </c>
      <c r="N24" s="8" t="n">
        <v>38</v>
      </c>
      <c r="O24" s="8" t="n">
        <v>12</v>
      </c>
      <c r="P24" s="9" t="n">
        <v>59.4875027908114</v>
      </c>
      <c r="Q24" s="10" t="n">
        <v>0.0168102534664551</v>
      </c>
      <c r="R24" s="9" t="n">
        <v>41</v>
      </c>
      <c r="S24" s="12" t="n">
        <f aca="false">IF(AND(ISNUMBER(R24),R24&gt;1,P24&gt;0),R24/P24-1,"")</f>
        <v>-0.310779607875338</v>
      </c>
      <c r="T24" s="9" t="n">
        <f aca="false">IF(AND(ISNUMBER(P24),P24&gt;0),P24*EXP('Read me'!$B$22),"")</f>
        <v>72.6581999847579</v>
      </c>
    </row>
    <row r="25" customFormat="false" ht="15" hidden="false" customHeight="false" outlineLevel="0" collapsed="false">
      <c r="A25" s="14" t="s">
        <v>75</v>
      </c>
      <c r="B25" s="14" t="s">
        <v>49</v>
      </c>
      <c r="C25" s="14" t="s">
        <v>76</v>
      </c>
      <c r="D25" s="14" t="s">
        <v>319</v>
      </c>
      <c r="E25" s="15" t="n">
        <v>13</v>
      </c>
      <c r="F25" s="14" t="s">
        <v>320</v>
      </c>
      <c r="G25" s="8" t="n">
        <v>13</v>
      </c>
      <c r="H25" s="14" t="s">
        <v>419</v>
      </c>
      <c r="I25" s="14" t="s">
        <v>420</v>
      </c>
      <c r="J25" s="14" t="s">
        <v>421</v>
      </c>
      <c r="K25" s="8" t="n">
        <v>2</v>
      </c>
      <c r="L25" s="8" t="n">
        <v>62</v>
      </c>
      <c r="M25" s="8" t="n">
        <v>5</v>
      </c>
      <c r="N25" s="8" t="n">
        <v>34</v>
      </c>
      <c r="O25" s="8" t="n">
        <v>13</v>
      </c>
      <c r="P25" s="9" t="n">
        <v>79.4082810104026</v>
      </c>
      <c r="Q25" s="10" t="n">
        <v>0.0125931450382233</v>
      </c>
      <c r="R25" s="9" t="n">
        <v>51</v>
      </c>
      <c r="S25" s="12" t="n">
        <f aca="false">IF(AND(ISNUMBER(R25),R25&gt;1,P25&gt;0),R25/P25-1,"")</f>
        <v>-0.357749603050607</v>
      </c>
      <c r="T25" s="9" t="n">
        <f aca="false">IF(AND(ISNUMBER(P25),P25&gt;0),P25*EXP('Read me'!$B$22),"")</f>
        <v>96.9894934468636</v>
      </c>
    </row>
    <row r="26" customFormat="false" ht="15" hidden="false" customHeight="false" outlineLevel="0" collapsed="false">
      <c r="A26" s="14" t="s">
        <v>98</v>
      </c>
      <c r="B26" s="14" t="s">
        <v>49</v>
      </c>
      <c r="C26" s="14" t="s">
        <v>99</v>
      </c>
      <c r="D26" s="14" t="s">
        <v>463</v>
      </c>
      <c r="E26" s="15" t="n">
        <v>8</v>
      </c>
      <c r="F26" s="14" t="s">
        <v>320</v>
      </c>
      <c r="G26" s="8" t="n">
        <v>12</v>
      </c>
      <c r="H26" s="14" t="s">
        <v>100</v>
      </c>
      <c r="I26" s="14" t="s">
        <v>101</v>
      </c>
      <c r="J26" s="14" t="s">
        <v>102</v>
      </c>
      <c r="K26" s="8" t="n">
        <v>13</v>
      </c>
      <c r="L26" s="8" t="n">
        <v>63</v>
      </c>
      <c r="M26" s="8" t="n">
        <v>3</v>
      </c>
      <c r="N26" s="8" t="n">
        <v>7</v>
      </c>
      <c r="O26" s="8" t="n">
        <v>1</v>
      </c>
      <c r="P26" s="9" t="n">
        <v>3.22662870772974</v>
      </c>
      <c r="Q26" s="10" t="n">
        <v>0.309921001323887</v>
      </c>
      <c r="R26" s="9" t="n">
        <v>2.875</v>
      </c>
      <c r="S26" s="12" t="n">
        <f aca="false">IF(AND(ISNUMBER(R26),R26&gt;1,P26&gt;0),R26/P26-1,"")</f>
        <v>-0.108977121193825</v>
      </c>
      <c r="T26" s="9" t="n">
        <f aca="false">IF(AND(ISNUMBER(P26),P26&gt;0),P26*EXP('Read me'!$B$22),"")</f>
        <v>3.94101320317989</v>
      </c>
    </row>
    <row r="27" customFormat="false" ht="15" hidden="false" customHeight="false" outlineLevel="0" collapsed="false">
      <c r="A27" s="14" t="s">
        <v>98</v>
      </c>
      <c r="B27" s="14" t="s">
        <v>49</v>
      </c>
      <c r="C27" s="14" t="s">
        <v>99</v>
      </c>
      <c r="D27" s="14" t="s">
        <v>463</v>
      </c>
      <c r="E27" s="15" t="n">
        <v>8</v>
      </c>
      <c r="F27" s="14" t="s">
        <v>320</v>
      </c>
      <c r="G27" s="8" t="n">
        <v>12</v>
      </c>
      <c r="H27" s="14" t="s">
        <v>103</v>
      </c>
      <c r="I27" s="14" t="s">
        <v>124</v>
      </c>
      <c r="J27" s="14" t="s">
        <v>464</v>
      </c>
      <c r="K27" s="8" t="n">
        <v>2</v>
      </c>
      <c r="L27" s="8" t="n">
        <v>65</v>
      </c>
      <c r="M27" s="8" t="n">
        <v>5</v>
      </c>
      <c r="N27" s="8" t="n">
        <v>16</v>
      </c>
      <c r="O27" s="8" t="n">
        <v>2</v>
      </c>
      <c r="P27" s="9" t="n">
        <v>6.93810408977375</v>
      </c>
      <c r="Q27" s="10" t="n">
        <v>0.144131593740994</v>
      </c>
      <c r="R27" s="9" t="n">
        <v>5.5</v>
      </c>
      <c r="S27" s="12" t="n">
        <f aca="false">IF(AND(ISNUMBER(R27),R27&gt;1,P27&gt;0),R27/P27-1,"")</f>
        <v>-0.207276234424532</v>
      </c>
      <c r="T27" s="9" t="n">
        <f aca="false">IF(AND(ISNUMBER(P27),P27&gt;0),P27*EXP('Read me'!$B$22),"")</f>
        <v>8.47421947165201</v>
      </c>
    </row>
    <row r="28" customFormat="false" ht="15" hidden="false" customHeight="false" outlineLevel="0" collapsed="false">
      <c r="A28" s="14" t="s">
        <v>98</v>
      </c>
      <c r="B28" s="14" t="s">
        <v>49</v>
      </c>
      <c r="C28" s="14" t="s">
        <v>99</v>
      </c>
      <c r="D28" s="14" t="s">
        <v>463</v>
      </c>
      <c r="E28" s="15" t="n">
        <v>8</v>
      </c>
      <c r="F28" s="14" t="s">
        <v>320</v>
      </c>
      <c r="G28" s="8" t="n">
        <v>12</v>
      </c>
      <c r="H28" s="14" t="s">
        <v>465</v>
      </c>
      <c r="I28" s="14" t="s">
        <v>466</v>
      </c>
      <c r="J28" s="14" t="s">
        <v>467</v>
      </c>
      <c r="K28" s="8" t="n">
        <v>6</v>
      </c>
      <c r="L28" s="8" t="n">
        <v>62</v>
      </c>
      <c r="M28" s="8" t="n">
        <v>4</v>
      </c>
      <c r="N28" s="8" t="n">
        <v>14</v>
      </c>
      <c r="O28" s="8" t="n">
        <v>3</v>
      </c>
      <c r="P28" s="9" t="n">
        <v>7.99668216729064</v>
      </c>
      <c r="Q28" s="10" t="n">
        <v>0.125051862645031</v>
      </c>
      <c r="R28" s="9" t="n">
        <v>5</v>
      </c>
      <c r="S28" s="12" t="n">
        <f aca="false">IF(AND(ISNUMBER(R28),R28&gt;1,P28&gt;0),R28/P28-1,"")</f>
        <v>-0.374740686774843</v>
      </c>
      <c r="T28" s="9" t="n">
        <f aca="false">IF(AND(ISNUMBER(P28),P28&gt;0),P28*EXP('Read me'!$B$22),"")</f>
        <v>9.76716965525903</v>
      </c>
    </row>
    <row r="29" customFormat="false" ht="15" hidden="false" customHeight="false" outlineLevel="0" collapsed="false">
      <c r="A29" s="14" t="s">
        <v>98</v>
      </c>
      <c r="B29" s="14" t="s">
        <v>49</v>
      </c>
      <c r="C29" s="14" t="s">
        <v>99</v>
      </c>
      <c r="D29" s="14" t="s">
        <v>463</v>
      </c>
      <c r="E29" s="15" t="n">
        <v>8</v>
      </c>
      <c r="F29" s="14" t="s">
        <v>320</v>
      </c>
      <c r="G29" s="8" t="n">
        <v>12</v>
      </c>
      <c r="H29" s="14" t="s">
        <v>468</v>
      </c>
      <c r="I29" s="14" t="s">
        <v>469</v>
      </c>
      <c r="J29" s="14" t="s">
        <v>149</v>
      </c>
      <c r="K29" s="8" t="n">
        <v>9</v>
      </c>
      <c r="L29" s="8" t="n">
        <v>65</v>
      </c>
      <c r="M29" s="8" t="n">
        <v>4</v>
      </c>
      <c r="N29" s="8" t="n">
        <v>18</v>
      </c>
      <c r="O29" s="8" t="n">
        <v>4</v>
      </c>
      <c r="P29" s="9" t="n">
        <v>10.5517107219965</v>
      </c>
      <c r="Q29" s="10" t="n">
        <v>0.0947713623266191</v>
      </c>
      <c r="R29" s="9" t="n">
        <v>7.5</v>
      </c>
      <c r="S29" s="12" t="n">
        <f aca="false">IF(AND(ISNUMBER(R29),R29&gt;1,P29&gt;0),R29/P29-1,"")</f>
        <v>-0.289214782550356</v>
      </c>
      <c r="T29" s="9" t="n">
        <f aca="false">IF(AND(ISNUMBER(P29),P29&gt;0),P29*EXP('Read me'!$B$22),"")</f>
        <v>12.8878885791547</v>
      </c>
    </row>
    <row r="30" customFormat="false" ht="15" hidden="false" customHeight="false" outlineLevel="0" collapsed="false">
      <c r="A30" s="14" t="s">
        <v>98</v>
      </c>
      <c r="B30" s="14" t="s">
        <v>49</v>
      </c>
      <c r="C30" s="14" t="s">
        <v>99</v>
      </c>
      <c r="D30" s="14" t="s">
        <v>463</v>
      </c>
      <c r="E30" s="15" t="n">
        <v>8</v>
      </c>
      <c r="F30" s="14" t="s">
        <v>320</v>
      </c>
      <c r="G30" s="8" t="n">
        <v>12</v>
      </c>
      <c r="H30" s="14" t="s">
        <v>470</v>
      </c>
      <c r="I30" s="14" t="s">
        <v>338</v>
      </c>
      <c r="J30" s="14" t="s">
        <v>471</v>
      </c>
      <c r="K30" s="8" t="n">
        <v>10</v>
      </c>
      <c r="L30" s="8" t="n">
        <v>58</v>
      </c>
      <c r="M30" s="8" t="n">
        <v>3</v>
      </c>
      <c r="N30" s="8" t="n">
        <v>19</v>
      </c>
      <c r="O30" s="8" t="n">
        <v>5</v>
      </c>
      <c r="P30" s="9" t="n">
        <v>11.1930644196088</v>
      </c>
      <c r="Q30" s="10" t="n">
        <v>0.0893410385674303</v>
      </c>
      <c r="R30" s="9" t="n">
        <v>10</v>
      </c>
      <c r="S30" s="12" t="n">
        <f aca="false">IF(AND(ISNUMBER(R30),R30&gt;1,P30&gt;0),R30/P30-1,"")</f>
        <v>-0.106589614325697</v>
      </c>
      <c r="T30" s="9" t="n">
        <f aca="false">IF(AND(ISNUMBER(P30),P30&gt;0),P30*EXP('Read me'!$B$22),"")</f>
        <v>13.6712397543746</v>
      </c>
    </row>
    <row r="31" customFormat="false" ht="15" hidden="false" customHeight="false" outlineLevel="0" collapsed="false">
      <c r="A31" s="14" t="s">
        <v>98</v>
      </c>
      <c r="B31" s="14" t="s">
        <v>49</v>
      </c>
      <c r="C31" s="14" t="s">
        <v>99</v>
      </c>
      <c r="D31" s="14" t="s">
        <v>463</v>
      </c>
      <c r="E31" s="15" t="n">
        <v>8</v>
      </c>
      <c r="F31" s="14" t="s">
        <v>320</v>
      </c>
      <c r="G31" s="8" t="n">
        <v>12</v>
      </c>
      <c r="H31" s="14" t="s">
        <v>472</v>
      </c>
      <c r="I31" s="14" t="s">
        <v>413</v>
      </c>
      <c r="J31" s="14" t="s">
        <v>203</v>
      </c>
      <c r="K31" s="8" t="n">
        <v>12</v>
      </c>
      <c r="L31" s="8" t="n">
        <v>64</v>
      </c>
      <c r="M31" s="8" t="n">
        <v>6</v>
      </c>
      <c r="N31" s="8" t="n">
        <v>16</v>
      </c>
      <c r="O31" s="8" t="n">
        <v>6</v>
      </c>
      <c r="P31" s="9" t="n">
        <v>18.8332813601386</v>
      </c>
      <c r="Q31" s="10" t="n">
        <v>0.0530974916626339</v>
      </c>
      <c r="R31" s="9" t="n">
        <v>17</v>
      </c>
      <c r="S31" s="12" t="n">
        <f aca="false">IF(AND(ISNUMBER(R31),R31&gt;1,P31&gt;0),R31/P31-1,"")</f>
        <v>-0.0973426417352232</v>
      </c>
      <c r="T31" s="9" t="n">
        <f aca="false">IF(AND(ISNUMBER(P31),P31&gt;0),P31*EXP('Read me'!$B$22),"")</f>
        <v>23.0030217984798</v>
      </c>
    </row>
    <row r="32" customFormat="false" ht="15" hidden="false" customHeight="false" outlineLevel="0" collapsed="false">
      <c r="A32" s="14" t="s">
        <v>98</v>
      </c>
      <c r="B32" s="14" t="s">
        <v>49</v>
      </c>
      <c r="C32" s="14" t="s">
        <v>99</v>
      </c>
      <c r="D32" s="14" t="s">
        <v>463</v>
      </c>
      <c r="E32" s="15" t="n">
        <v>8</v>
      </c>
      <c r="F32" s="14" t="s">
        <v>320</v>
      </c>
      <c r="G32" s="8" t="n">
        <v>12</v>
      </c>
      <c r="H32" s="14" t="s">
        <v>473</v>
      </c>
      <c r="I32" s="14" t="s">
        <v>401</v>
      </c>
      <c r="J32" s="14" t="s">
        <v>406</v>
      </c>
      <c r="K32" s="8" t="n">
        <v>3</v>
      </c>
      <c r="L32" s="8" t="n">
        <v>65</v>
      </c>
      <c r="M32" s="8" t="n">
        <v>4</v>
      </c>
      <c r="N32" s="8" t="n">
        <v>26</v>
      </c>
      <c r="O32" s="8" t="n">
        <v>7</v>
      </c>
      <c r="P32" s="9" t="n">
        <v>26.3506551462234</v>
      </c>
      <c r="Q32" s="10" t="n">
        <v>0.0379497205838285</v>
      </c>
      <c r="R32" s="9" t="n">
        <v>21</v>
      </c>
      <c r="S32" s="12" t="n">
        <f aca="false">IF(AND(ISNUMBER(R32),R32&gt;1,P32&gt;0),R32/P32-1,"")</f>
        <v>-0.203055867739601</v>
      </c>
      <c r="T32" s="9" t="n">
        <f aca="false">IF(AND(ISNUMBER(P32),P32&gt;0),P32*EXP('Read me'!$B$22),"")</f>
        <v>32.1847628749247</v>
      </c>
    </row>
    <row r="33" customFormat="false" ht="15" hidden="false" customHeight="false" outlineLevel="0" collapsed="false">
      <c r="A33" s="14" t="s">
        <v>98</v>
      </c>
      <c r="B33" s="14" t="s">
        <v>49</v>
      </c>
      <c r="C33" s="14" t="s">
        <v>99</v>
      </c>
      <c r="D33" s="14" t="s">
        <v>463</v>
      </c>
      <c r="E33" s="15" t="n">
        <v>8</v>
      </c>
      <c r="F33" s="14" t="s">
        <v>320</v>
      </c>
      <c r="G33" s="8" t="n">
        <v>12</v>
      </c>
      <c r="H33" s="14" t="s">
        <v>474</v>
      </c>
      <c r="I33" s="14" t="s">
        <v>475</v>
      </c>
      <c r="J33" s="14" t="s">
        <v>342</v>
      </c>
      <c r="K33" s="8" t="n">
        <v>5</v>
      </c>
      <c r="L33" s="8" t="n">
        <v>59</v>
      </c>
      <c r="M33" s="8" t="n">
        <v>3</v>
      </c>
      <c r="N33" s="8" t="n">
        <v>16</v>
      </c>
      <c r="O33" s="8" t="n">
        <v>8</v>
      </c>
      <c r="P33" s="9" t="n">
        <v>28.2384221354645</v>
      </c>
      <c r="Q33" s="10" t="n">
        <v>0.0354127435025522</v>
      </c>
      <c r="R33" s="9" t="n">
        <v>19</v>
      </c>
      <c r="S33" s="12" t="n">
        <f aca="false">IF(AND(ISNUMBER(R33),R33&gt;1,P33&gt;0),R33/P33-1,"")</f>
        <v>-0.327157873451507</v>
      </c>
      <c r="T33" s="9" t="n">
        <f aca="false">IF(AND(ISNUMBER(P33),P33&gt;0),P33*EXP('Read me'!$B$22),"")</f>
        <v>34.4904866823476</v>
      </c>
    </row>
    <row r="34" customFormat="false" ht="15" hidden="false" customHeight="false" outlineLevel="0" collapsed="false">
      <c r="A34" s="14" t="s">
        <v>98</v>
      </c>
      <c r="B34" s="14" t="s">
        <v>49</v>
      </c>
      <c r="C34" s="14" t="s">
        <v>99</v>
      </c>
      <c r="D34" s="14" t="s">
        <v>463</v>
      </c>
      <c r="E34" s="15" t="n">
        <v>8</v>
      </c>
      <c r="F34" s="14" t="s">
        <v>320</v>
      </c>
      <c r="G34" s="8" t="n">
        <v>12</v>
      </c>
      <c r="H34" s="14" t="s">
        <v>476</v>
      </c>
      <c r="I34" s="14" t="s">
        <v>333</v>
      </c>
      <c r="J34" s="14" t="s">
        <v>203</v>
      </c>
      <c r="K34" s="8" t="n">
        <v>8</v>
      </c>
      <c r="L34" s="8" t="n">
        <v>56</v>
      </c>
      <c r="M34" s="8" t="n">
        <v>4</v>
      </c>
      <c r="N34" s="8" t="n">
        <v>27</v>
      </c>
      <c r="O34" s="8" t="n">
        <v>9</v>
      </c>
      <c r="P34" s="9" t="n">
        <v>29.1678297010801</v>
      </c>
      <c r="Q34" s="10" t="n">
        <v>0.0342843471814075</v>
      </c>
      <c r="R34" s="9" t="n">
        <v>26</v>
      </c>
      <c r="S34" s="12" t="n">
        <f aca="false">IF(AND(ISNUMBER(R34),R34&gt;1,P34&gt;0),R34/P34-1,"")</f>
        <v>-0.108606973283403</v>
      </c>
      <c r="T34" s="9" t="n">
        <f aca="false">IF(AND(ISNUMBER(P34),P34&gt;0),P34*EXP('Read me'!$B$22),"")</f>
        <v>35.6256676464453</v>
      </c>
    </row>
    <row r="35" customFormat="false" ht="15" hidden="false" customHeight="false" outlineLevel="0" collapsed="false">
      <c r="A35" s="14" t="s">
        <v>98</v>
      </c>
      <c r="B35" s="14" t="s">
        <v>49</v>
      </c>
      <c r="C35" s="14" t="s">
        <v>99</v>
      </c>
      <c r="D35" s="14" t="s">
        <v>463</v>
      </c>
      <c r="E35" s="15" t="n">
        <v>8</v>
      </c>
      <c r="F35" s="14" t="s">
        <v>320</v>
      </c>
      <c r="G35" s="8" t="n">
        <v>12</v>
      </c>
      <c r="H35" s="14" t="s">
        <v>477</v>
      </c>
      <c r="I35" s="14" t="s">
        <v>202</v>
      </c>
      <c r="J35" s="14" t="s">
        <v>203</v>
      </c>
      <c r="K35" s="8" t="n">
        <v>14</v>
      </c>
      <c r="L35" s="8" t="n">
        <v>59</v>
      </c>
      <c r="M35" s="8" t="n">
        <v>8</v>
      </c>
      <c r="N35" s="8" t="n">
        <v>16</v>
      </c>
      <c r="O35" s="8" t="n">
        <v>10</v>
      </c>
      <c r="P35" s="9" t="n">
        <v>31.9462780025371</v>
      </c>
      <c r="Q35" s="10" t="n">
        <v>0.0313025511116062</v>
      </c>
      <c r="R35" s="9" t="n">
        <v>13</v>
      </c>
      <c r="S35" s="12" t="n">
        <f aca="false">IF(AND(ISNUMBER(R35),R35&gt;1,P35&gt;0),R35/P35-1,"")</f>
        <v>-0.593066835549118</v>
      </c>
      <c r="T35" s="9" t="n">
        <f aca="false">IF(AND(ISNUMBER(P35),P35&gt;0),P35*EXP('Read me'!$B$22),"")</f>
        <v>39.0192720652503</v>
      </c>
    </row>
    <row r="36" customFormat="false" ht="15" hidden="false" customHeight="false" outlineLevel="0" collapsed="false">
      <c r="A36" s="14" t="s">
        <v>98</v>
      </c>
      <c r="B36" s="14" t="s">
        <v>49</v>
      </c>
      <c r="C36" s="14" t="s">
        <v>99</v>
      </c>
      <c r="D36" s="14" t="s">
        <v>463</v>
      </c>
      <c r="E36" s="15" t="n">
        <v>8</v>
      </c>
      <c r="F36" s="14" t="s">
        <v>320</v>
      </c>
      <c r="G36" s="8" t="n">
        <v>12</v>
      </c>
      <c r="H36" s="14" t="s">
        <v>478</v>
      </c>
      <c r="I36" s="14" t="s">
        <v>479</v>
      </c>
      <c r="J36" s="14" t="s">
        <v>480</v>
      </c>
      <c r="K36" s="8" t="n">
        <v>4</v>
      </c>
      <c r="L36" s="8" t="n">
        <v>62</v>
      </c>
      <c r="M36" s="8" t="n">
        <v>4</v>
      </c>
      <c r="N36" s="8" t="n">
        <v>111</v>
      </c>
      <c r="O36" s="8" t="n">
        <v>11</v>
      </c>
      <c r="P36" s="9" t="n">
        <v>42.8530406442602</v>
      </c>
      <c r="Q36" s="10" t="n">
        <v>0.0233355669741475</v>
      </c>
      <c r="R36" s="9" t="n">
        <v>51</v>
      </c>
      <c r="S36" s="12" t="n">
        <f aca="false">IF(AND(ISNUMBER(R36),R36&gt;1,P36&gt;0),R36/P36-1,"")</f>
        <v>0.190113915681525</v>
      </c>
      <c r="T36" s="9" t="n">
        <f aca="false">IF(AND(ISNUMBER(P36),P36&gt;0),P36*EXP('Read me'!$B$22),"")</f>
        <v>52.3408220384492</v>
      </c>
    </row>
    <row r="37" customFormat="false" ht="15" hidden="false" customHeight="false" outlineLevel="0" collapsed="false">
      <c r="A37" s="14" t="s">
        <v>98</v>
      </c>
      <c r="B37" s="14" t="s">
        <v>49</v>
      </c>
      <c r="C37" s="14" t="s">
        <v>99</v>
      </c>
      <c r="D37" s="14" t="s">
        <v>463</v>
      </c>
      <c r="E37" s="15" t="n">
        <v>8</v>
      </c>
      <c r="F37" s="14" t="s">
        <v>320</v>
      </c>
      <c r="G37" s="8" t="n">
        <v>12</v>
      </c>
      <c r="H37" s="14" t="s">
        <v>481</v>
      </c>
      <c r="I37" s="14" t="s">
        <v>408</v>
      </c>
      <c r="J37" s="14" t="s">
        <v>336</v>
      </c>
      <c r="K37" s="8" t="n">
        <v>11</v>
      </c>
      <c r="L37" s="8" t="n">
        <v>59</v>
      </c>
      <c r="M37" s="8" t="n">
        <v>8</v>
      </c>
      <c r="N37" s="8" t="n">
        <v>396</v>
      </c>
      <c r="O37" s="8" t="n">
        <v>12</v>
      </c>
      <c r="P37" s="9" t="n">
        <v>46.7273989963905</v>
      </c>
      <c r="Q37" s="10" t="n">
        <v>0.021400720379862</v>
      </c>
      <c r="R37" s="9" t="n">
        <v>67</v>
      </c>
      <c r="S37" s="12" t="n">
        <f aca="false">IF(AND(ISNUMBER(R37),R37&gt;1,P37&gt;0),R37/P37-1,"")</f>
        <v>0.433848265450759</v>
      </c>
      <c r="T37" s="9" t="n">
        <f aca="false">IF(AND(ISNUMBER(P37),P37&gt;0),P37*EXP('Read me'!$B$22),"")</f>
        <v>57.0729740158421</v>
      </c>
    </row>
    <row r="38" customFormat="false" ht="15" hidden="false" customHeight="false" outlineLevel="0" collapsed="false">
      <c r="A38" s="14" t="s">
        <v>121</v>
      </c>
      <c r="B38" s="14" t="s">
        <v>49</v>
      </c>
      <c r="C38" s="14" t="s">
        <v>122</v>
      </c>
      <c r="D38" s="14" t="s">
        <v>542</v>
      </c>
      <c r="E38" s="15" t="n">
        <v>8</v>
      </c>
      <c r="F38" s="14" t="s">
        <v>320</v>
      </c>
      <c r="G38" s="8" t="n">
        <v>6</v>
      </c>
      <c r="H38" s="14" t="s">
        <v>123</v>
      </c>
      <c r="I38" s="14" t="s">
        <v>124</v>
      </c>
      <c r="J38" s="14" t="s">
        <v>125</v>
      </c>
      <c r="K38" s="8" t="n">
        <v>2</v>
      </c>
      <c r="L38" s="8" t="n">
        <v>0</v>
      </c>
      <c r="M38" s="8" t="n">
        <v>2</v>
      </c>
      <c r="N38" s="8" t="n">
        <v>25</v>
      </c>
      <c r="O38" s="8" t="n">
        <v>1</v>
      </c>
      <c r="P38" s="9" t="n">
        <v>1.69807356750882</v>
      </c>
      <c r="Q38" s="10" t="n">
        <v>0.588902635983588</v>
      </c>
      <c r="R38" s="9" t="n">
        <v>1.25</v>
      </c>
      <c r="S38" s="12" t="n">
        <f aca="false">IF(AND(ISNUMBER(R38),R38&gt;1,P38&gt;0),R38/P38-1,"")</f>
        <v>-0.263871705020515</v>
      </c>
      <c r="T38" s="9" t="n">
        <f aca="false">IF(AND(ISNUMBER(P38),P38&gt;0),P38*EXP('Read me'!$B$22),"")</f>
        <v>2.07403173891415</v>
      </c>
    </row>
    <row r="39" customFormat="false" ht="15" hidden="false" customHeight="false" outlineLevel="0" collapsed="false">
      <c r="A39" s="14" t="s">
        <v>121</v>
      </c>
      <c r="B39" s="14" t="s">
        <v>49</v>
      </c>
      <c r="C39" s="14" t="s">
        <v>122</v>
      </c>
      <c r="D39" s="14" t="s">
        <v>542</v>
      </c>
      <c r="E39" s="15" t="n">
        <v>8</v>
      </c>
      <c r="F39" s="14" t="s">
        <v>320</v>
      </c>
      <c r="G39" s="8" t="n">
        <v>6</v>
      </c>
      <c r="H39" s="14" t="s">
        <v>126</v>
      </c>
      <c r="I39" s="14" t="s">
        <v>101</v>
      </c>
      <c r="J39" s="14" t="s">
        <v>543</v>
      </c>
      <c r="K39" s="8" t="n">
        <v>3</v>
      </c>
      <c r="L39" s="8" t="n">
        <v>82</v>
      </c>
      <c r="M39" s="8" t="n">
        <v>2</v>
      </c>
      <c r="N39" s="8" t="n">
        <v>21</v>
      </c>
      <c r="O39" s="8" t="n">
        <v>2</v>
      </c>
      <c r="P39" s="9" t="n">
        <v>3.70444686580578</v>
      </c>
      <c r="Q39" s="10" t="n">
        <v>0.2699458343513</v>
      </c>
      <c r="R39" s="9" t="n">
        <v>5</v>
      </c>
      <c r="S39" s="12" t="n">
        <f aca="false">IF(AND(ISNUMBER(R39),R39&gt;1,P39&gt;0),R39/P39-1,"")</f>
        <v>0.349729171756501</v>
      </c>
      <c r="T39" s="9" t="n">
        <f aca="false">IF(AND(ISNUMBER(P39),P39&gt;0),P39*EXP('Read me'!$B$22),"")</f>
        <v>4.52462161935298</v>
      </c>
    </row>
    <row r="40" customFormat="false" ht="15" hidden="false" customHeight="false" outlineLevel="0" collapsed="false">
      <c r="A40" s="14" t="s">
        <v>121</v>
      </c>
      <c r="B40" s="14" t="s">
        <v>49</v>
      </c>
      <c r="C40" s="14" t="s">
        <v>122</v>
      </c>
      <c r="D40" s="14" t="s">
        <v>542</v>
      </c>
      <c r="E40" s="15" t="n">
        <v>8</v>
      </c>
      <c r="F40" s="14" t="s">
        <v>320</v>
      </c>
      <c r="G40" s="8" t="n">
        <v>6</v>
      </c>
      <c r="H40" s="14" t="s">
        <v>544</v>
      </c>
      <c r="I40" s="14" t="s">
        <v>148</v>
      </c>
      <c r="J40" s="14" t="s">
        <v>409</v>
      </c>
      <c r="K40" s="8" t="n">
        <v>4</v>
      </c>
      <c r="L40" s="8" t="n">
        <v>0</v>
      </c>
      <c r="M40" s="8" t="n">
        <v>2</v>
      </c>
      <c r="N40" s="8"/>
      <c r="O40" s="8" t="n">
        <v>3</v>
      </c>
      <c r="P40" s="9" t="n">
        <v>11.9380327755405</v>
      </c>
      <c r="Q40" s="10" t="n">
        <v>0.083765895001467</v>
      </c>
      <c r="R40" s="9" t="n">
        <v>11</v>
      </c>
      <c r="S40" s="12" t="n">
        <f aca="false">IF(AND(ISNUMBER(R40),R40&gt;1,P40&gt;0),R40/P40-1,"")</f>
        <v>-0.078575154983862</v>
      </c>
      <c r="T40" s="9" t="n">
        <f aca="false">IF(AND(ISNUMBER(P40),P40&gt;0),P40*EXP('Read me'!$B$22),"")</f>
        <v>14.5811461590517</v>
      </c>
    </row>
    <row r="41" customFormat="false" ht="15" hidden="false" customHeight="false" outlineLevel="0" collapsed="false">
      <c r="A41" s="14" t="s">
        <v>121</v>
      </c>
      <c r="B41" s="14" t="s">
        <v>49</v>
      </c>
      <c r="C41" s="14" t="s">
        <v>122</v>
      </c>
      <c r="D41" s="14" t="s">
        <v>542</v>
      </c>
      <c r="E41" s="15" t="n">
        <v>8</v>
      </c>
      <c r="F41" s="14" t="s">
        <v>320</v>
      </c>
      <c r="G41" s="8" t="n">
        <v>6</v>
      </c>
      <c r="H41" s="14" t="s">
        <v>545</v>
      </c>
      <c r="I41" s="14" t="s">
        <v>415</v>
      </c>
      <c r="J41" s="14" t="s">
        <v>546</v>
      </c>
      <c r="K41" s="8" t="n">
        <v>6</v>
      </c>
      <c r="L41" s="8" t="n">
        <v>0</v>
      </c>
      <c r="M41" s="8" t="n">
        <v>2</v>
      </c>
      <c r="N41" s="8"/>
      <c r="O41" s="8" t="n">
        <v>4</v>
      </c>
      <c r="P41" s="9" t="n">
        <v>19.0017024235909</v>
      </c>
      <c r="Q41" s="10" t="n">
        <v>0.0526268635150545</v>
      </c>
      <c r="R41" s="9" t="n">
        <v>21</v>
      </c>
      <c r="S41" s="12" t="n">
        <f aca="false">IF(AND(ISNUMBER(R41),R41&gt;1,P41&gt;0),R41/P41-1,"")</f>
        <v>0.105164133816146</v>
      </c>
      <c r="T41" s="9" t="n">
        <f aca="false">IF(AND(ISNUMBER(P41),P41&gt;0),P41*EXP('Read me'!$B$22),"")</f>
        <v>23.2087317499127</v>
      </c>
    </row>
    <row r="42" customFormat="false" ht="15" hidden="false" customHeight="false" outlineLevel="0" collapsed="false">
      <c r="A42" s="14" t="s">
        <v>121</v>
      </c>
      <c r="B42" s="14" t="s">
        <v>49</v>
      </c>
      <c r="C42" s="14" t="s">
        <v>122</v>
      </c>
      <c r="D42" s="14" t="s">
        <v>542</v>
      </c>
      <c r="E42" s="15" t="n">
        <v>8</v>
      </c>
      <c r="F42" s="14" t="s">
        <v>320</v>
      </c>
      <c r="G42" s="8" t="n">
        <v>6</v>
      </c>
      <c r="H42" s="14" t="s">
        <v>547</v>
      </c>
      <c r="I42" s="14" t="s">
        <v>420</v>
      </c>
      <c r="J42" s="14" t="s">
        <v>548</v>
      </c>
      <c r="K42" s="8" t="n">
        <v>5</v>
      </c>
      <c r="L42" s="8" t="n">
        <v>0</v>
      </c>
      <c r="M42" s="8" t="n">
        <v>2</v>
      </c>
      <c r="N42" s="8" t="n">
        <v>8</v>
      </c>
      <c r="O42" s="8" t="n">
        <v>5</v>
      </c>
      <c r="P42" s="9" t="n">
        <v>329.746910393534</v>
      </c>
      <c r="Q42" s="10" t="n">
        <v>0.0030326288692335</v>
      </c>
      <c r="R42" s="9" t="n">
        <v>101</v>
      </c>
      <c r="S42" s="12" t="n">
        <f aca="false">IF(AND(ISNUMBER(R42),R42&gt;1,P42&gt;0),R42/P42-1,"")</f>
        <v>-0.693704484207411</v>
      </c>
      <c r="T42" s="9" t="n">
        <f aca="false">IF(AND(ISNUMBER(P42),P42&gt;0),P42*EXP('Read me'!$B$22),"")</f>
        <v>402.753785849457</v>
      </c>
    </row>
    <row r="43" customFormat="false" ht="15" hidden="false" customHeight="false" outlineLevel="0" collapsed="false">
      <c r="A43" s="14" t="s">
        <v>121</v>
      </c>
      <c r="B43" s="14" t="s">
        <v>49</v>
      </c>
      <c r="C43" s="14" t="s">
        <v>122</v>
      </c>
      <c r="D43" s="14" t="s">
        <v>542</v>
      </c>
      <c r="E43" s="15" t="n">
        <v>8</v>
      </c>
      <c r="F43" s="14" t="s">
        <v>320</v>
      </c>
      <c r="G43" s="8" t="n">
        <v>6</v>
      </c>
      <c r="H43" s="14" t="s">
        <v>549</v>
      </c>
      <c r="I43" s="14" t="s">
        <v>550</v>
      </c>
      <c r="J43" s="14" t="s">
        <v>551</v>
      </c>
      <c r="K43" s="8" t="n">
        <v>1</v>
      </c>
      <c r="L43" s="8" t="n">
        <v>0</v>
      </c>
      <c r="M43" s="8" t="n">
        <v>2</v>
      </c>
      <c r="N43" s="8" t="n">
        <v>40</v>
      </c>
      <c r="O43" s="8" t="n">
        <v>6</v>
      </c>
      <c r="P43" s="9" t="n">
        <v>579.326520159466</v>
      </c>
      <c r="Q43" s="10" t="n">
        <v>0.0017261422793569</v>
      </c>
      <c r="R43" s="9" t="n">
        <v>201</v>
      </c>
      <c r="S43" s="12" t="n">
        <f aca="false">IF(AND(ISNUMBER(R43),R43&gt;1,P43&gt;0),R43/P43-1,"")</f>
        <v>-0.65304540184925</v>
      </c>
      <c r="T43" s="9" t="n">
        <f aca="false">IF(AND(ISNUMBER(P43),P43&gt;0),P43*EXP('Read me'!$B$22),"")</f>
        <v>707.591009598105</v>
      </c>
    </row>
    <row r="44" customFormat="false" ht="15" hidden="false" customHeight="false" outlineLevel="0" collapsed="false">
      <c r="A44" s="14" t="s">
        <v>145</v>
      </c>
      <c r="B44" s="14" t="s">
        <v>49</v>
      </c>
      <c r="C44" s="14" t="s">
        <v>146</v>
      </c>
      <c r="D44" s="14" t="s">
        <v>422</v>
      </c>
      <c r="E44" s="15" t="n">
        <v>5</v>
      </c>
      <c r="F44" s="14" t="s">
        <v>320</v>
      </c>
      <c r="G44" s="8" t="n">
        <v>12</v>
      </c>
      <c r="H44" s="14" t="s">
        <v>147</v>
      </c>
      <c r="I44" s="14" t="s">
        <v>148</v>
      </c>
      <c r="J44" s="14" t="s">
        <v>149</v>
      </c>
      <c r="K44" s="8" t="n">
        <v>8</v>
      </c>
      <c r="L44" s="8" t="n">
        <v>72</v>
      </c>
      <c r="M44" s="8" t="n">
        <v>6</v>
      </c>
      <c r="N44" s="8" t="n">
        <v>16</v>
      </c>
      <c r="O44" s="8" t="n">
        <v>1</v>
      </c>
      <c r="P44" s="9" t="n">
        <v>4.95019000404464</v>
      </c>
      <c r="Q44" s="10" t="n">
        <v>0.202012447841988</v>
      </c>
      <c r="R44" s="9" t="n">
        <v>5</v>
      </c>
      <c r="S44" s="12" t="n">
        <f aca="false">IF(AND(ISNUMBER(R44),R44&gt;1,P44&gt;0),R44/P44-1,"")</f>
        <v>0.0100622392099419</v>
      </c>
      <c r="T44" s="9" t="n">
        <f aca="false">IF(AND(ISNUMBER(P44),P44&gt;0),P44*EXP('Read me'!$B$22),"")</f>
        <v>6.04617572435703</v>
      </c>
    </row>
    <row r="45" customFormat="false" ht="15" hidden="false" customHeight="false" outlineLevel="0" collapsed="false">
      <c r="A45" s="14" t="s">
        <v>145</v>
      </c>
      <c r="B45" s="14" t="s">
        <v>49</v>
      </c>
      <c r="C45" s="14" t="s">
        <v>146</v>
      </c>
      <c r="D45" s="14" t="s">
        <v>422</v>
      </c>
      <c r="E45" s="15" t="n">
        <v>5</v>
      </c>
      <c r="F45" s="14" t="s">
        <v>320</v>
      </c>
      <c r="G45" s="8" t="n">
        <v>12</v>
      </c>
      <c r="H45" s="14" t="s">
        <v>150</v>
      </c>
      <c r="I45" s="14" t="s">
        <v>101</v>
      </c>
      <c r="J45" s="14" t="s">
        <v>594</v>
      </c>
      <c r="K45" s="8" t="n">
        <v>2</v>
      </c>
      <c r="L45" s="8" t="n">
        <v>75</v>
      </c>
      <c r="M45" s="8" t="n">
        <v>5</v>
      </c>
      <c r="N45" s="8" t="n">
        <v>32</v>
      </c>
      <c r="O45" s="8" t="n">
        <v>2</v>
      </c>
      <c r="P45" s="9" t="n">
        <v>5.29907351885155</v>
      </c>
      <c r="Q45" s="10" t="n">
        <v>0.188712233646595</v>
      </c>
      <c r="R45" s="9" t="n">
        <v>4</v>
      </c>
      <c r="S45" s="12" t="n">
        <f aca="false">IF(AND(ISNUMBER(R45),R45&gt;1,P45&gt;0),R45/P45-1,"")</f>
        <v>-0.245151065413619</v>
      </c>
      <c r="T45" s="9" t="n">
        <f aca="false">IF(AND(ISNUMBER(P45),P45&gt;0),P45*EXP('Read me'!$B$22),"")</f>
        <v>6.4723030116188</v>
      </c>
    </row>
    <row r="46" customFormat="false" ht="15" hidden="false" customHeight="false" outlineLevel="0" collapsed="false">
      <c r="A46" s="14" t="s">
        <v>145</v>
      </c>
      <c r="B46" s="14" t="s">
        <v>49</v>
      </c>
      <c r="C46" s="14" t="s">
        <v>146</v>
      </c>
      <c r="D46" s="14" t="s">
        <v>422</v>
      </c>
      <c r="E46" s="15" t="n">
        <v>5</v>
      </c>
      <c r="F46" s="14" t="s">
        <v>320</v>
      </c>
      <c r="G46" s="8" t="n">
        <v>12</v>
      </c>
      <c r="H46" s="14" t="s">
        <v>595</v>
      </c>
      <c r="I46" s="14" t="s">
        <v>596</v>
      </c>
      <c r="J46" s="14" t="s">
        <v>597</v>
      </c>
      <c r="K46" s="8" t="n">
        <v>3</v>
      </c>
      <c r="L46" s="8" t="n">
        <v>77</v>
      </c>
      <c r="M46" s="8" t="n">
        <v>6</v>
      </c>
      <c r="N46" s="8" t="n">
        <v>21</v>
      </c>
      <c r="O46" s="8" t="n">
        <v>3</v>
      </c>
      <c r="P46" s="9" t="n">
        <v>7.08772359420782</v>
      </c>
      <c r="Q46" s="10" t="n">
        <v>0.141089023394932</v>
      </c>
      <c r="R46" s="9" t="n">
        <v>7</v>
      </c>
      <c r="S46" s="12" t="n">
        <f aca="false">IF(AND(ISNUMBER(R46),R46&gt;1,P46&gt;0),R46/P46-1,"")</f>
        <v>-0.0123768362354741</v>
      </c>
      <c r="T46" s="9" t="n">
        <f aca="false">IF(AND(ISNUMBER(P46),P46&gt;0),P46*EXP('Read me'!$B$22),"")</f>
        <v>8.65696514704234</v>
      </c>
    </row>
    <row r="47" customFormat="false" ht="15" hidden="false" customHeight="false" outlineLevel="0" collapsed="false">
      <c r="A47" s="14" t="s">
        <v>145</v>
      </c>
      <c r="B47" s="14" t="s">
        <v>49</v>
      </c>
      <c r="C47" s="14" t="s">
        <v>146</v>
      </c>
      <c r="D47" s="14" t="s">
        <v>422</v>
      </c>
      <c r="E47" s="15" t="n">
        <v>5</v>
      </c>
      <c r="F47" s="14" t="s">
        <v>320</v>
      </c>
      <c r="G47" s="8" t="n">
        <v>12</v>
      </c>
      <c r="H47" s="14" t="s">
        <v>598</v>
      </c>
      <c r="I47" s="14" t="s">
        <v>405</v>
      </c>
      <c r="J47" s="14" t="s">
        <v>599</v>
      </c>
      <c r="K47" s="8" t="n">
        <v>10</v>
      </c>
      <c r="L47" s="8" t="n">
        <v>79</v>
      </c>
      <c r="M47" s="8" t="n">
        <v>4</v>
      </c>
      <c r="N47" s="8" t="n">
        <v>26</v>
      </c>
      <c r="O47" s="8" t="n">
        <v>4</v>
      </c>
      <c r="P47" s="9" t="n">
        <v>11.5781927928626</v>
      </c>
      <c r="Q47" s="10" t="n">
        <v>0.0863692648663141</v>
      </c>
      <c r="R47" s="9" t="n">
        <v>9.5</v>
      </c>
      <c r="S47" s="12" t="n">
        <f aca="false">IF(AND(ISNUMBER(R47),R47&gt;1,P47&gt;0),R47/P47-1,"")</f>
        <v>-0.179491983770016</v>
      </c>
      <c r="T47" s="9" t="n">
        <f aca="false">IF(AND(ISNUMBER(P47),P47&gt;0),P47*EXP('Read me'!$B$22),"")</f>
        <v>14.1416366117126</v>
      </c>
    </row>
    <row r="48" customFormat="false" ht="15" hidden="false" customHeight="false" outlineLevel="0" collapsed="false">
      <c r="A48" s="14" t="s">
        <v>145</v>
      </c>
      <c r="B48" s="14" t="s">
        <v>49</v>
      </c>
      <c r="C48" s="14" t="s">
        <v>146</v>
      </c>
      <c r="D48" s="14" t="s">
        <v>422</v>
      </c>
      <c r="E48" s="15" t="n">
        <v>5</v>
      </c>
      <c r="F48" s="14" t="s">
        <v>320</v>
      </c>
      <c r="G48" s="8" t="n">
        <v>12</v>
      </c>
      <c r="H48" s="14" t="s">
        <v>600</v>
      </c>
      <c r="I48" s="14" t="s">
        <v>415</v>
      </c>
      <c r="J48" s="14" t="s">
        <v>546</v>
      </c>
      <c r="K48" s="8" t="n">
        <v>4</v>
      </c>
      <c r="L48" s="8" t="n">
        <v>73</v>
      </c>
      <c r="M48" s="8" t="n">
        <v>3</v>
      </c>
      <c r="N48" s="8" t="n">
        <v>39</v>
      </c>
      <c r="O48" s="8" t="n">
        <v>5</v>
      </c>
      <c r="P48" s="9" t="n">
        <v>14.2796896507758</v>
      </c>
      <c r="Q48" s="10" t="n">
        <v>0.0700295331660566</v>
      </c>
      <c r="R48" s="9" t="n">
        <v>11</v>
      </c>
      <c r="S48" s="12" t="n">
        <f aca="false">IF(AND(ISNUMBER(R48),R48&gt;1,P48&gt;0),R48/P48-1,"")</f>
        <v>-0.229675135173377</v>
      </c>
      <c r="T48" s="9" t="n">
        <f aca="false">IF(AND(ISNUMBER(P48),P48&gt;0),P48*EXP('Read me'!$B$22),"")</f>
        <v>17.4412523251288</v>
      </c>
    </row>
    <row r="49" customFormat="false" ht="15" hidden="false" customHeight="false" outlineLevel="0" collapsed="false">
      <c r="A49" s="14" t="s">
        <v>145</v>
      </c>
      <c r="B49" s="14" t="s">
        <v>49</v>
      </c>
      <c r="C49" s="14" t="s">
        <v>146</v>
      </c>
      <c r="D49" s="14" t="s">
        <v>422</v>
      </c>
      <c r="E49" s="15" t="n">
        <v>5</v>
      </c>
      <c r="F49" s="14" t="s">
        <v>320</v>
      </c>
      <c r="G49" s="8" t="n">
        <v>12</v>
      </c>
      <c r="H49" s="14" t="s">
        <v>601</v>
      </c>
      <c r="I49" s="14" t="s">
        <v>550</v>
      </c>
      <c r="J49" s="14" t="s">
        <v>602</v>
      </c>
      <c r="K49" s="8" t="n">
        <v>6</v>
      </c>
      <c r="L49" s="8" t="n">
        <v>76</v>
      </c>
      <c r="M49" s="8" t="n">
        <v>4</v>
      </c>
      <c r="N49" s="8" t="n">
        <v>88</v>
      </c>
      <c r="O49" s="8" t="n">
        <v>6</v>
      </c>
      <c r="P49" s="9" t="n">
        <v>18.1980252289049</v>
      </c>
      <c r="Q49" s="10" t="n">
        <v>0.0549510173450933</v>
      </c>
      <c r="R49" s="9" t="n">
        <v>10</v>
      </c>
      <c r="S49" s="12" t="n">
        <f aca="false">IF(AND(ISNUMBER(R49),R49&gt;1,P49&gt;0),R49/P49-1,"")</f>
        <v>-0.450489826549067</v>
      </c>
      <c r="T49" s="9" t="n">
        <f aca="false">IF(AND(ISNUMBER(P49),P49&gt;0),P49*EXP('Read me'!$B$22),"")</f>
        <v>22.2271182076528</v>
      </c>
    </row>
    <row r="50" customFormat="false" ht="15" hidden="false" customHeight="false" outlineLevel="0" collapsed="false">
      <c r="A50" s="14" t="s">
        <v>145</v>
      </c>
      <c r="B50" s="14" t="s">
        <v>49</v>
      </c>
      <c r="C50" s="14" t="s">
        <v>146</v>
      </c>
      <c r="D50" s="14" t="s">
        <v>422</v>
      </c>
      <c r="E50" s="15" t="n">
        <v>5</v>
      </c>
      <c r="F50" s="14" t="s">
        <v>320</v>
      </c>
      <c r="G50" s="8" t="n">
        <v>12</v>
      </c>
      <c r="H50" s="14" t="s">
        <v>603</v>
      </c>
      <c r="I50" s="14" t="s">
        <v>466</v>
      </c>
      <c r="J50" s="14" t="s">
        <v>604</v>
      </c>
      <c r="K50" s="8" t="n">
        <v>7</v>
      </c>
      <c r="L50" s="8" t="n">
        <v>77</v>
      </c>
      <c r="M50" s="8" t="n">
        <v>4</v>
      </c>
      <c r="N50" s="8" t="n">
        <v>26</v>
      </c>
      <c r="O50" s="8" t="n">
        <v>7</v>
      </c>
      <c r="P50" s="9" t="n">
        <v>19.2211976909673</v>
      </c>
      <c r="Q50" s="10" t="n">
        <v>0.052025894331753</v>
      </c>
      <c r="R50" s="9" t="n">
        <v>17</v>
      </c>
      <c r="S50" s="12" t="n">
        <f aca="false">IF(AND(ISNUMBER(R50),R50&gt;1,P50&gt;0),R50/P50-1,"")</f>
        <v>-0.115559796360198</v>
      </c>
      <c r="T50" s="9" t="n">
        <f aca="false">IF(AND(ISNUMBER(P50),P50&gt;0),P50*EXP('Read me'!$B$22),"")</f>
        <v>23.4768238748893</v>
      </c>
    </row>
    <row r="51" customFormat="false" ht="15" hidden="false" customHeight="false" outlineLevel="0" collapsed="false">
      <c r="A51" s="14" t="s">
        <v>145</v>
      </c>
      <c r="B51" s="14" t="s">
        <v>49</v>
      </c>
      <c r="C51" s="14" t="s">
        <v>146</v>
      </c>
      <c r="D51" s="14" t="s">
        <v>422</v>
      </c>
      <c r="E51" s="15" t="n">
        <v>5</v>
      </c>
      <c r="F51" s="14" t="s">
        <v>320</v>
      </c>
      <c r="G51" s="8" t="n">
        <v>12</v>
      </c>
      <c r="H51" s="14" t="s">
        <v>605</v>
      </c>
      <c r="I51" s="14" t="s">
        <v>324</v>
      </c>
      <c r="J51" s="14" t="s">
        <v>406</v>
      </c>
      <c r="K51" s="8" t="n">
        <v>9</v>
      </c>
      <c r="L51" s="8" t="n">
        <v>67</v>
      </c>
      <c r="M51" s="8" t="n">
        <v>3</v>
      </c>
      <c r="N51" s="8" t="n">
        <v>52</v>
      </c>
      <c r="O51" s="8" t="n">
        <v>8</v>
      </c>
      <c r="P51" s="9" t="n">
        <v>20.148844770514</v>
      </c>
      <c r="Q51" s="10" t="n">
        <v>0.0496306369615497</v>
      </c>
      <c r="R51" s="9" t="n">
        <v>19</v>
      </c>
      <c r="S51" s="12" t="n">
        <f aca="false">IF(AND(ISNUMBER(R51),R51&gt;1,P51&gt;0),R51/P51-1,"")</f>
        <v>-0.0570178977305548</v>
      </c>
      <c r="T51" s="9" t="n">
        <f aca="false">IF(AND(ISNUMBER(P51),P51&gt;0),P51*EXP('Read me'!$B$22),"")</f>
        <v>24.6098545764469</v>
      </c>
    </row>
    <row r="52" customFormat="false" ht="15" hidden="false" customHeight="false" outlineLevel="0" collapsed="false">
      <c r="A52" s="14" t="s">
        <v>145</v>
      </c>
      <c r="B52" s="14" t="s">
        <v>49</v>
      </c>
      <c r="C52" s="14" t="s">
        <v>146</v>
      </c>
      <c r="D52" s="14" t="s">
        <v>422</v>
      </c>
      <c r="E52" s="15" t="n">
        <v>5</v>
      </c>
      <c r="F52" s="14" t="s">
        <v>320</v>
      </c>
      <c r="G52" s="8" t="n">
        <v>12</v>
      </c>
      <c r="H52" s="14" t="s">
        <v>606</v>
      </c>
      <c r="I52" s="14" t="s">
        <v>420</v>
      </c>
      <c r="J52" s="14" t="s">
        <v>551</v>
      </c>
      <c r="K52" s="8" t="n">
        <v>5</v>
      </c>
      <c r="L52" s="8" t="n">
        <v>76</v>
      </c>
      <c r="M52" s="8" t="n">
        <v>6</v>
      </c>
      <c r="N52" s="8" t="n">
        <v>32</v>
      </c>
      <c r="O52" s="8" t="n">
        <v>9</v>
      </c>
      <c r="P52" s="9" t="n">
        <v>20.5548444019769</v>
      </c>
      <c r="Q52" s="10" t="n">
        <v>0.0486503317876648</v>
      </c>
      <c r="R52" s="9" t="n">
        <v>15</v>
      </c>
      <c r="S52" s="12" t="n">
        <f aca="false">IF(AND(ISNUMBER(R52),R52&gt;1,P52&gt;0),R52/P52-1,"")</f>
        <v>-0.270245023185027</v>
      </c>
      <c r="T52" s="9" t="n">
        <f aca="false">IF(AND(ISNUMBER(P52),P52&gt;0),P52*EXP('Read me'!$B$22),"")</f>
        <v>25.1057436461277</v>
      </c>
    </row>
    <row r="53" customFormat="false" ht="15" hidden="false" customHeight="false" outlineLevel="0" collapsed="false">
      <c r="A53" s="14" t="s">
        <v>145</v>
      </c>
      <c r="B53" s="14" t="s">
        <v>49</v>
      </c>
      <c r="C53" s="14" t="s">
        <v>146</v>
      </c>
      <c r="D53" s="14" t="s">
        <v>422</v>
      </c>
      <c r="E53" s="15" t="n">
        <v>5</v>
      </c>
      <c r="F53" s="14" t="s">
        <v>320</v>
      </c>
      <c r="G53" s="8" t="n">
        <v>12</v>
      </c>
      <c r="H53" s="14" t="s">
        <v>607</v>
      </c>
      <c r="I53" s="14" t="s">
        <v>124</v>
      </c>
      <c r="J53" s="14" t="s">
        <v>328</v>
      </c>
      <c r="K53" s="8" t="n">
        <v>1</v>
      </c>
      <c r="L53" s="8" t="n">
        <v>67</v>
      </c>
      <c r="M53" s="8" t="n">
        <v>4</v>
      </c>
      <c r="N53" s="8" t="n">
        <v>68</v>
      </c>
      <c r="O53" s="8" t="n">
        <v>10</v>
      </c>
      <c r="P53" s="9" t="n">
        <v>23.6612142665963</v>
      </c>
      <c r="Q53" s="10" t="n">
        <v>0.0422632578671902</v>
      </c>
      <c r="R53" s="9" t="n">
        <v>15</v>
      </c>
      <c r="S53" s="12" t="n">
        <f aca="false">IF(AND(ISNUMBER(R53),R53&gt;1,P53&gt;0),R53/P53-1,"")</f>
        <v>-0.366051131992147</v>
      </c>
      <c r="T53" s="9" t="n">
        <f aca="false">IF(AND(ISNUMBER(P53),P53&gt;0),P53*EXP('Read me'!$B$22),"")</f>
        <v>28.8998723666395</v>
      </c>
    </row>
    <row r="54" customFormat="false" ht="15" hidden="false" customHeight="false" outlineLevel="0" collapsed="false">
      <c r="A54" s="14" t="s">
        <v>145</v>
      </c>
      <c r="B54" s="14" t="s">
        <v>49</v>
      </c>
      <c r="C54" s="14" t="s">
        <v>146</v>
      </c>
      <c r="D54" s="14" t="s">
        <v>422</v>
      </c>
      <c r="E54" s="15" t="n">
        <v>5</v>
      </c>
      <c r="F54" s="14" t="s">
        <v>320</v>
      </c>
      <c r="G54" s="8" t="n">
        <v>12</v>
      </c>
      <c r="H54" s="14" t="s">
        <v>608</v>
      </c>
      <c r="I54" s="14" t="s">
        <v>609</v>
      </c>
      <c r="J54" s="14" t="s">
        <v>406</v>
      </c>
      <c r="K54" s="8" t="n">
        <v>11</v>
      </c>
      <c r="L54" s="8" t="n">
        <v>60</v>
      </c>
      <c r="M54" s="8" t="n">
        <v>3</v>
      </c>
      <c r="N54" s="8" t="n">
        <v>15</v>
      </c>
      <c r="O54" s="8" t="n">
        <v>11</v>
      </c>
      <c r="P54" s="9" t="n">
        <v>31.0583037486163</v>
      </c>
      <c r="Q54" s="10" t="n">
        <v>0.0321975085340761</v>
      </c>
      <c r="R54" s="9" t="n">
        <v>41</v>
      </c>
      <c r="S54" s="12" t="n">
        <f aca="false">IF(AND(ISNUMBER(R54),R54&gt;1,P54&gt;0),R54/P54-1,"")</f>
        <v>0.320097849897121</v>
      </c>
      <c r="T54" s="9" t="n">
        <f aca="false">IF(AND(ISNUMBER(P54),P54&gt;0),P54*EXP('Read me'!$B$22),"")</f>
        <v>37.9346978623362</v>
      </c>
    </row>
    <row r="55" customFormat="false" ht="15" hidden="false" customHeight="false" outlineLevel="0" collapsed="false">
      <c r="A55" s="14" t="s">
        <v>145</v>
      </c>
      <c r="B55" s="14" t="s">
        <v>49</v>
      </c>
      <c r="C55" s="14" t="s">
        <v>146</v>
      </c>
      <c r="D55" s="14" t="s">
        <v>422</v>
      </c>
      <c r="E55" s="15" t="n">
        <v>5</v>
      </c>
      <c r="F55" s="14" t="s">
        <v>320</v>
      </c>
      <c r="G55" s="8" t="n">
        <v>12</v>
      </c>
      <c r="H55" s="14" t="s">
        <v>610</v>
      </c>
      <c r="I55" s="14" t="s">
        <v>344</v>
      </c>
      <c r="J55" s="14" t="s">
        <v>203</v>
      </c>
      <c r="K55" s="8" t="n">
        <v>12</v>
      </c>
      <c r="L55" s="8" t="n">
        <v>79</v>
      </c>
      <c r="M55" s="8" t="n">
        <v>7</v>
      </c>
      <c r="N55" s="8" t="n">
        <v>18</v>
      </c>
      <c r="O55" s="8" t="n">
        <v>12</v>
      </c>
      <c r="P55" s="9" t="n">
        <v>31.1829077747617</v>
      </c>
      <c r="Q55" s="10" t="n">
        <v>0.0320688502567859</v>
      </c>
      <c r="R55" s="9" t="n">
        <v>12</v>
      </c>
      <c r="S55" s="12" t="n">
        <f aca="false">IF(AND(ISNUMBER(R55),R55&gt;1,P55&gt;0),R55/P55-1,"")</f>
        <v>-0.615173796918569</v>
      </c>
      <c r="T55" s="9" t="n">
        <f aca="false">IF(AND(ISNUMBER(P55),P55&gt;0),P55*EXP('Read me'!$B$22),"")</f>
        <v>38.0868895635482</v>
      </c>
    </row>
    <row r="56" customFormat="false" ht="15" hidden="false" customHeight="false" outlineLevel="0" collapsed="false">
      <c r="A56" s="14" t="s">
        <v>172</v>
      </c>
      <c r="B56" s="14" t="s">
        <v>49</v>
      </c>
      <c r="C56" s="14" t="s">
        <v>173</v>
      </c>
      <c r="D56" s="14" t="s">
        <v>463</v>
      </c>
      <c r="E56" s="15"/>
      <c r="F56" s="14" t="s">
        <v>320</v>
      </c>
      <c r="G56" s="8" t="n">
        <v>12</v>
      </c>
      <c r="H56" s="14" t="s">
        <v>174</v>
      </c>
      <c r="I56" s="14" t="s">
        <v>175</v>
      </c>
      <c r="J56" s="14" t="s">
        <v>176</v>
      </c>
      <c r="K56" s="8" t="n">
        <v>2</v>
      </c>
      <c r="L56" s="8" t="n">
        <v>64</v>
      </c>
      <c r="M56" s="8" t="n">
        <v>2</v>
      </c>
      <c r="N56" s="8" t="n">
        <v>22</v>
      </c>
      <c r="O56" s="8" t="n">
        <v>1</v>
      </c>
      <c r="P56" s="9" t="n">
        <v>4.63015746065306</v>
      </c>
      <c r="Q56" s="10" t="n">
        <v>0.215975376323153</v>
      </c>
      <c r="R56" s="9" t="n">
        <v>4.5</v>
      </c>
      <c r="S56" s="12" t="n">
        <f aca="false">IF(AND(ISNUMBER(R56),R56&gt;1,P56&gt;0),R56/P56-1,"")</f>
        <v>-0.0281108065458103</v>
      </c>
      <c r="T56" s="9" t="n">
        <f aca="false">IF(AND(ISNUMBER(P56),P56&gt;0),P56*EXP('Read me'!$B$22),"")</f>
        <v>5.65528709315753</v>
      </c>
    </row>
    <row r="57" customFormat="false" ht="15" hidden="false" customHeight="false" outlineLevel="0" collapsed="false">
      <c r="A57" s="14" t="s">
        <v>172</v>
      </c>
      <c r="B57" s="14" t="s">
        <v>49</v>
      </c>
      <c r="C57" s="14" t="s">
        <v>173</v>
      </c>
      <c r="D57" s="14" t="s">
        <v>463</v>
      </c>
      <c r="E57" s="15"/>
      <c r="F57" s="14" t="s">
        <v>320</v>
      </c>
      <c r="G57" s="8" t="n">
        <v>12</v>
      </c>
      <c r="H57" s="14" t="s">
        <v>177</v>
      </c>
      <c r="I57" s="14" t="s">
        <v>469</v>
      </c>
      <c r="J57" s="14" t="s">
        <v>682</v>
      </c>
      <c r="K57" s="8" t="n">
        <v>3</v>
      </c>
      <c r="L57" s="8" t="n">
        <v>48</v>
      </c>
      <c r="M57" s="8" t="n">
        <v>2</v>
      </c>
      <c r="N57" s="8" t="n">
        <v>22</v>
      </c>
      <c r="O57" s="8" t="n">
        <v>2</v>
      </c>
      <c r="P57" s="9" t="n">
        <v>5.84069861564328</v>
      </c>
      <c r="Q57" s="10" t="n">
        <v>0.1712123952641</v>
      </c>
      <c r="R57" s="9" t="n">
        <v>5.5</v>
      </c>
      <c r="S57" s="12" t="n">
        <f aca="false">IF(AND(ISNUMBER(R57),R57&gt;1,P57&gt;0),R57/P57-1,"")</f>
        <v>-0.0583318260474494</v>
      </c>
      <c r="T57" s="9" t="n">
        <f aca="false">IF(AND(ISNUMBER(P57),P57&gt;0),P57*EXP('Read me'!$B$22),"")</f>
        <v>7.13384539872899</v>
      </c>
    </row>
    <row r="58" customFormat="false" ht="15" hidden="false" customHeight="false" outlineLevel="0" collapsed="false">
      <c r="A58" s="14" t="s">
        <v>172</v>
      </c>
      <c r="B58" s="14" t="s">
        <v>49</v>
      </c>
      <c r="C58" s="14" t="s">
        <v>173</v>
      </c>
      <c r="D58" s="14" t="s">
        <v>463</v>
      </c>
      <c r="E58" s="15"/>
      <c r="F58" s="14" t="s">
        <v>320</v>
      </c>
      <c r="G58" s="8" t="n">
        <v>12</v>
      </c>
      <c r="H58" s="14" t="s">
        <v>683</v>
      </c>
      <c r="I58" s="14" t="s">
        <v>202</v>
      </c>
      <c r="J58" s="14" t="s">
        <v>322</v>
      </c>
      <c r="K58" s="8" t="n">
        <v>4</v>
      </c>
      <c r="L58" s="8" t="n">
        <v>63</v>
      </c>
      <c r="M58" s="8" t="n">
        <v>2</v>
      </c>
      <c r="N58" s="8" t="n">
        <v>21</v>
      </c>
      <c r="O58" s="8" t="n">
        <v>3</v>
      </c>
      <c r="P58" s="9" t="n">
        <v>7.0349040418531</v>
      </c>
      <c r="Q58" s="10" t="n">
        <v>0.142148349721709</v>
      </c>
      <c r="R58" s="9" t="n">
        <v>2.875</v>
      </c>
      <c r="S58" s="12" t="n">
        <f aca="false">IF(AND(ISNUMBER(R58),R58&gt;1,P58&gt;0),R58/P58-1,"")</f>
        <v>-0.591323494550086</v>
      </c>
      <c r="T58" s="9" t="n">
        <f aca="false">IF(AND(ISNUMBER(P58),P58&gt;0),P58*EXP('Read me'!$B$22),"")</f>
        <v>8.5924512001115</v>
      </c>
    </row>
    <row r="59" customFormat="false" ht="15" hidden="false" customHeight="false" outlineLevel="0" collapsed="false">
      <c r="A59" s="14" t="s">
        <v>172</v>
      </c>
      <c r="B59" s="14" t="s">
        <v>49</v>
      </c>
      <c r="C59" s="14" t="s">
        <v>173</v>
      </c>
      <c r="D59" s="14" t="s">
        <v>463</v>
      </c>
      <c r="E59" s="15"/>
      <c r="F59" s="14" t="s">
        <v>320</v>
      </c>
      <c r="G59" s="8" t="n">
        <v>12</v>
      </c>
      <c r="H59" s="14" t="s">
        <v>684</v>
      </c>
      <c r="I59" s="14" t="s">
        <v>124</v>
      </c>
      <c r="J59" s="14" t="s">
        <v>159</v>
      </c>
      <c r="K59" s="8" t="n">
        <v>10</v>
      </c>
      <c r="L59" s="8" t="n">
        <v>62</v>
      </c>
      <c r="M59" s="8" t="n">
        <v>2</v>
      </c>
      <c r="N59" s="8" t="n">
        <v>27</v>
      </c>
      <c r="O59" s="8" t="n">
        <v>4</v>
      </c>
      <c r="P59" s="9" t="n">
        <v>10.0490608771781</v>
      </c>
      <c r="Q59" s="10" t="n">
        <v>0.099511786446736</v>
      </c>
      <c r="R59" s="9" t="n">
        <v>6</v>
      </c>
      <c r="S59" s="12" t="n">
        <f aca="false">IF(AND(ISNUMBER(R59),R59&gt;1,P59&gt;0),R59/P59-1,"")</f>
        <v>-0.402929281319584</v>
      </c>
      <c r="T59" s="9" t="n">
        <f aca="false">IF(AND(ISNUMBER(P59),P59&gt;0),P59*EXP('Read me'!$B$22),"")</f>
        <v>12.2739506723048</v>
      </c>
    </row>
    <row r="60" customFormat="false" ht="15" hidden="false" customHeight="false" outlineLevel="0" collapsed="false">
      <c r="A60" s="14" t="s">
        <v>172</v>
      </c>
      <c r="B60" s="14" t="s">
        <v>49</v>
      </c>
      <c r="C60" s="14" t="s">
        <v>173</v>
      </c>
      <c r="D60" s="14" t="s">
        <v>463</v>
      </c>
      <c r="E60" s="15"/>
      <c r="F60" s="14" t="s">
        <v>320</v>
      </c>
      <c r="G60" s="8" t="n">
        <v>12</v>
      </c>
      <c r="H60" s="14" t="s">
        <v>685</v>
      </c>
      <c r="I60" s="14" t="s">
        <v>338</v>
      </c>
      <c r="J60" s="14" t="s">
        <v>686</v>
      </c>
      <c r="K60" s="8" t="n">
        <v>5</v>
      </c>
      <c r="L60" s="8" t="n">
        <v>59</v>
      </c>
      <c r="M60" s="8" t="n">
        <v>2</v>
      </c>
      <c r="N60" s="8" t="n">
        <v>30</v>
      </c>
      <c r="O60" s="8" t="n">
        <v>5</v>
      </c>
      <c r="P60" s="9" t="n">
        <v>10.2113003066964</v>
      </c>
      <c r="Q60" s="10" t="n">
        <v>0.09793072086463</v>
      </c>
      <c r="R60" s="9" t="n">
        <v>19</v>
      </c>
      <c r="S60" s="12" t="n">
        <f aca="false">IF(AND(ISNUMBER(R60),R60&gt;1,P60&gt;0),R60/P60-1,"")</f>
        <v>0.86068369642797</v>
      </c>
      <c r="T60" s="9" t="n">
        <f aca="false">IF(AND(ISNUMBER(P60),P60&gt;0),P60*EXP('Read me'!$B$22),"")</f>
        <v>12.4721103590008</v>
      </c>
    </row>
    <row r="61" customFormat="false" ht="15" hidden="false" customHeight="false" outlineLevel="0" collapsed="false">
      <c r="A61" s="14" t="s">
        <v>172</v>
      </c>
      <c r="B61" s="14" t="s">
        <v>49</v>
      </c>
      <c r="C61" s="14" t="s">
        <v>173</v>
      </c>
      <c r="D61" s="14" t="s">
        <v>463</v>
      </c>
      <c r="E61" s="15"/>
      <c r="F61" s="14" t="s">
        <v>320</v>
      </c>
      <c r="G61" s="8" t="n">
        <v>12</v>
      </c>
      <c r="H61" s="14" t="s">
        <v>687</v>
      </c>
      <c r="I61" s="14" t="s">
        <v>688</v>
      </c>
      <c r="J61" s="14" t="s">
        <v>689</v>
      </c>
      <c r="K61" s="8" t="n">
        <v>9</v>
      </c>
      <c r="L61" s="8" t="n">
        <v>62</v>
      </c>
      <c r="M61" s="8" t="n">
        <v>2</v>
      </c>
      <c r="N61" s="8" t="n">
        <v>12</v>
      </c>
      <c r="O61" s="8" t="n">
        <v>6</v>
      </c>
      <c r="P61" s="9" t="n">
        <v>15.7617791333579</v>
      </c>
      <c r="Q61" s="10" t="n">
        <v>0.0634446144397251</v>
      </c>
      <c r="R61" s="9" t="n">
        <v>11</v>
      </c>
      <c r="S61" s="12" t="n">
        <f aca="false">IF(AND(ISNUMBER(R61),R61&gt;1,P61&gt;0),R61/P61-1,"")</f>
        <v>-0.302109241163023</v>
      </c>
      <c r="T61" s="9" t="n">
        <f aca="false">IF(AND(ISNUMBER(P61),P61&gt;0),P61*EXP('Read me'!$B$22),"")</f>
        <v>19.2514805069948</v>
      </c>
    </row>
    <row r="62" customFormat="false" ht="15" hidden="false" customHeight="false" outlineLevel="0" collapsed="false">
      <c r="A62" s="14" t="s">
        <v>172</v>
      </c>
      <c r="B62" s="14" t="s">
        <v>49</v>
      </c>
      <c r="C62" s="14" t="s">
        <v>173</v>
      </c>
      <c r="D62" s="14" t="s">
        <v>463</v>
      </c>
      <c r="E62" s="15"/>
      <c r="F62" s="14" t="s">
        <v>320</v>
      </c>
      <c r="G62" s="8" t="n">
        <v>12</v>
      </c>
      <c r="H62" s="14" t="s">
        <v>690</v>
      </c>
      <c r="I62" s="14" t="s">
        <v>324</v>
      </c>
      <c r="J62" s="14" t="s">
        <v>325</v>
      </c>
      <c r="K62" s="8" t="n">
        <v>6</v>
      </c>
      <c r="L62" s="8" t="n">
        <v>50</v>
      </c>
      <c r="M62" s="8" t="n">
        <v>2</v>
      </c>
      <c r="N62" s="8" t="n">
        <v>22</v>
      </c>
      <c r="O62" s="8" t="n">
        <v>7</v>
      </c>
      <c r="P62" s="9" t="n">
        <v>17.1138585907973</v>
      </c>
      <c r="Q62" s="10" t="n">
        <v>0.0584321761626413</v>
      </c>
      <c r="R62" s="9" t="n">
        <v>12</v>
      </c>
      <c r="S62" s="12" t="n">
        <f aca="false">IF(AND(ISNUMBER(R62),R62&gt;1,P62&gt;0),R62/P62-1,"")</f>
        <v>-0.298813886048303</v>
      </c>
      <c r="T62" s="9" t="n">
        <f aca="false">IF(AND(ISNUMBER(P62),P62&gt;0),P62*EXP('Read me'!$B$22),"")</f>
        <v>20.9029140855629</v>
      </c>
    </row>
    <row r="63" customFormat="false" ht="15" hidden="false" customHeight="false" outlineLevel="0" collapsed="false">
      <c r="A63" s="14" t="s">
        <v>172</v>
      </c>
      <c r="B63" s="14" t="s">
        <v>49</v>
      </c>
      <c r="C63" s="14" t="s">
        <v>173</v>
      </c>
      <c r="D63" s="14" t="s">
        <v>463</v>
      </c>
      <c r="E63" s="15"/>
      <c r="F63" s="14" t="s">
        <v>320</v>
      </c>
      <c r="G63" s="8" t="n">
        <v>12</v>
      </c>
      <c r="H63" s="14" t="s">
        <v>691</v>
      </c>
      <c r="I63" s="14" t="s">
        <v>692</v>
      </c>
      <c r="J63" s="14" t="s">
        <v>693</v>
      </c>
      <c r="K63" s="8" t="n">
        <v>7</v>
      </c>
      <c r="L63" s="8" t="n">
        <v>46</v>
      </c>
      <c r="M63" s="8" t="n">
        <v>2</v>
      </c>
      <c r="N63" s="8" t="n">
        <v>22</v>
      </c>
      <c r="O63" s="8" t="n">
        <v>8</v>
      </c>
      <c r="P63" s="9" t="n">
        <v>17.4359029250476</v>
      </c>
      <c r="Q63" s="10" t="n">
        <v>0.0573529231206862</v>
      </c>
      <c r="R63" s="9" t="n">
        <v>26</v>
      </c>
      <c r="S63" s="12" t="n">
        <f aca="false">IF(AND(ISNUMBER(R63),R63&gt;1,P63&gt;0),R63/P63-1,"")</f>
        <v>0.491176001137841</v>
      </c>
      <c r="T63" s="9" t="n">
        <f aca="false">IF(AND(ISNUMBER(P63),P63&gt;0),P63*EXP('Read me'!$B$22),"")</f>
        <v>21.2962599236661</v>
      </c>
    </row>
    <row r="64" customFormat="false" ht="15" hidden="false" customHeight="false" outlineLevel="0" collapsed="false">
      <c r="A64" s="14" t="s">
        <v>172</v>
      </c>
      <c r="B64" s="14" t="s">
        <v>49</v>
      </c>
      <c r="C64" s="14" t="s">
        <v>173</v>
      </c>
      <c r="D64" s="14" t="s">
        <v>463</v>
      </c>
      <c r="E64" s="15"/>
      <c r="F64" s="14" t="s">
        <v>320</v>
      </c>
      <c r="G64" s="8" t="n">
        <v>12</v>
      </c>
      <c r="H64" s="14" t="s">
        <v>694</v>
      </c>
      <c r="I64" s="14" t="s">
        <v>401</v>
      </c>
      <c r="J64" s="14" t="s">
        <v>406</v>
      </c>
      <c r="K64" s="8" t="n">
        <v>8</v>
      </c>
      <c r="L64" s="8" t="n">
        <v>61</v>
      </c>
      <c r="M64" s="8" t="n">
        <v>2</v>
      </c>
      <c r="N64" s="8" t="n">
        <v>14</v>
      </c>
      <c r="O64" s="8" t="n">
        <v>9</v>
      </c>
      <c r="P64" s="9" t="n">
        <v>22.4882315421082</v>
      </c>
      <c r="Q64" s="10" t="n">
        <v>0.0444677029462074</v>
      </c>
      <c r="R64" s="9" t="n">
        <v>23</v>
      </c>
      <c r="S64" s="12" t="n">
        <f aca="false">IF(AND(ISNUMBER(R64),R64&gt;1,P64&gt;0),R64/P64-1,"")</f>
        <v>0.022757167762772</v>
      </c>
      <c r="T64" s="9" t="n">
        <f aca="false">IF(AND(ISNUMBER(P64),P64&gt;0),P64*EXP('Read me'!$B$22),"")</f>
        <v>27.4671880316755</v>
      </c>
    </row>
    <row r="65" customFormat="false" ht="15" hidden="false" customHeight="false" outlineLevel="0" collapsed="false">
      <c r="A65" s="14" t="s">
        <v>172</v>
      </c>
      <c r="B65" s="14" t="s">
        <v>49</v>
      </c>
      <c r="C65" s="14" t="s">
        <v>173</v>
      </c>
      <c r="D65" s="14" t="s">
        <v>463</v>
      </c>
      <c r="E65" s="15"/>
      <c r="F65" s="14" t="s">
        <v>320</v>
      </c>
      <c r="G65" s="8" t="n">
        <v>12</v>
      </c>
      <c r="H65" s="14" t="s">
        <v>695</v>
      </c>
      <c r="I65" s="14" t="s">
        <v>479</v>
      </c>
      <c r="J65" s="14" t="s">
        <v>480</v>
      </c>
      <c r="K65" s="8" t="n">
        <v>12</v>
      </c>
      <c r="L65" s="8" t="n">
        <v>52</v>
      </c>
      <c r="M65" s="8" t="n">
        <v>2</v>
      </c>
      <c r="N65" s="8" t="n">
        <v>42</v>
      </c>
      <c r="O65" s="8" t="n">
        <v>10</v>
      </c>
      <c r="P65" s="9" t="n">
        <v>41.001259385793</v>
      </c>
      <c r="Q65" s="10" t="n">
        <v>0.0243894947369958</v>
      </c>
      <c r="R65" s="9" t="n">
        <v>41</v>
      </c>
      <c r="S65" s="12" t="n">
        <f aca="false">IF(AND(ISNUMBER(R65),R65&gt;1,P65&gt;0),R65/P65-1,"")</f>
        <v>-3.07157831689331E-005</v>
      </c>
      <c r="T65" s="9" t="n">
        <f aca="false">IF(AND(ISNUMBER(P65),P65&gt;0),P65*EXP('Read me'!$B$22),"")</f>
        <v>50.0790513018481</v>
      </c>
    </row>
    <row r="66" customFormat="false" ht="15" hidden="false" customHeight="false" outlineLevel="0" collapsed="false">
      <c r="A66" s="14" t="s">
        <v>172</v>
      </c>
      <c r="B66" s="14" t="s">
        <v>49</v>
      </c>
      <c r="C66" s="14" t="s">
        <v>173</v>
      </c>
      <c r="D66" s="14" t="s">
        <v>463</v>
      </c>
      <c r="E66" s="15"/>
      <c r="F66" s="14" t="s">
        <v>320</v>
      </c>
      <c r="G66" s="8" t="n">
        <v>12</v>
      </c>
      <c r="H66" s="14" t="s">
        <v>696</v>
      </c>
      <c r="I66" s="14" t="s">
        <v>415</v>
      </c>
      <c r="J66" s="14" t="s">
        <v>697</v>
      </c>
      <c r="K66" s="8" t="n">
        <v>11</v>
      </c>
      <c r="L66" s="8" t="n">
        <v>61</v>
      </c>
      <c r="M66" s="8" t="n">
        <v>2</v>
      </c>
      <c r="N66" s="8" t="n">
        <v>29</v>
      </c>
      <c r="O66" s="8" t="n">
        <v>11</v>
      </c>
      <c r="P66" s="9" t="n">
        <v>59.5790647204618</v>
      </c>
      <c r="Q66" s="10" t="n">
        <v>0.0167844192367216</v>
      </c>
      <c r="R66" s="9" t="n">
        <v>34</v>
      </c>
      <c r="S66" s="12" t="n">
        <f aca="false">IF(AND(ISNUMBER(R66),R66&gt;1,P66&gt;0),R66/P66-1,"")</f>
        <v>-0.429329745951465</v>
      </c>
      <c r="T66" s="9" t="n">
        <f aca="false">IF(AND(ISNUMBER(P66),P66&gt;0),P66*EXP('Read me'!$B$22),"")</f>
        <v>72.7700339781753</v>
      </c>
    </row>
    <row r="67" customFormat="false" ht="15" hidden="false" customHeight="false" outlineLevel="0" collapsed="false">
      <c r="A67" s="14" t="s">
        <v>172</v>
      </c>
      <c r="B67" s="14" t="s">
        <v>49</v>
      </c>
      <c r="C67" s="14" t="s">
        <v>173</v>
      </c>
      <c r="D67" s="14" t="s">
        <v>463</v>
      </c>
      <c r="E67" s="15"/>
      <c r="F67" s="14" t="s">
        <v>320</v>
      </c>
      <c r="G67" s="8" t="n">
        <v>12</v>
      </c>
      <c r="H67" s="14" t="s">
        <v>698</v>
      </c>
      <c r="I67" s="14" t="s">
        <v>699</v>
      </c>
      <c r="J67" s="14" t="s">
        <v>700</v>
      </c>
      <c r="K67" s="8" t="n">
        <v>1</v>
      </c>
      <c r="L67" s="8" t="n">
        <v>45</v>
      </c>
      <c r="M67" s="8" t="n">
        <v>2</v>
      </c>
      <c r="N67" s="8" t="n">
        <v>29</v>
      </c>
      <c r="O67" s="8" t="n">
        <v>12</v>
      </c>
      <c r="P67" s="9" t="n">
        <v>119.759894775793</v>
      </c>
      <c r="Q67" s="10" t="n">
        <v>0.0083500407366935</v>
      </c>
      <c r="R67" s="9" t="n">
        <v>51</v>
      </c>
      <c r="S67" s="12" t="n">
        <f aca="false">IF(AND(ISNUMBER(R67),R67&gt;1,P67&gt;0),R67/P67-1,"")</f>
        <v>-0.574147922428629</v>
      </c>
      <c r="T67" s="9" t="n">
        <f aca="false">IF(AND(ISNUMBER(P67),P67&gt;0),P67*EXP('Read me'!$B$22),"")</f>
        <v>146.275065796125</v>
      </c>
    </row>
    <row r="68" customFormat="false" ht="15" hidden="false" customHeight="false" outlineLevel="0" collapsed="false">
      <c r="A68" s="14" t="s">
        <v>199</v>
      </c>
      <c r="B68" s="14" t="s">
        <v>49</v>
      </c>
      <c r="C68" s="14" t="s">
        <v>200</v>
      </c>
      <c r="D68" s="14" t="s">
        <v>319</v>
      </c>
      <c r="E68" s="15"/>
      <c r="F68" s="14" t="s">
        <v>320</v>
      </c>
      <c r="G68" s="8" t="n">
        <v>10</v>
      </c>
      <c r="H68" s="14" t="s">
        <v>201</v>
      </c>
      <c r="I68" s="14" t="s">
        <v>202</v>
      </c>
      <c r="J68" s="14" t="s">
        <v>203</v>
      </c>
      <c r="K68" s="8" t="n">
        <v>6</v>
      </c>
      <c r="L68" s="8" t="n">
        <v>59</v>
      </c>
      <c r="M68" s="8" t="n">
        <v>4</v>
      </c>
      <c r="N68" s="8" t="n">
        <v>16</v>
      </c>
      <c r="O68" s="8" t="n">
        <v>1</v>
      </c>
      <c r="P68" s="9" t="n">
        <v>4.54615628172129</v>
      </c>
      <c r="Q68" s="10" t="n">
        <v>0.219966041207315</v>
      </c>
      <c r="R68" s="9" t="n">
        <v>4.5</v>
      </c>
      <c r="S68" s="12" t="n">
        <f aca="false">IF(AND(ISNUMBER(R68),R68&gt;1,P68&gt;0),R68/P68-1,"")</f>
        <v>-0.0101528145670816</v>
      </c>
      <c r="T68" s="9" t="n">
        <f aca="false">IF(AND(ISNUMBER(P68),P68&gt;0),P68*EXP('Read me'!$B$22),"")</f>
        <v>5.55268782152157</v>
      </c>
    </row>
    <row r="69" customFormat="false" ht="15" hidden="false" customHeight="false" outlineLevel="0" collapsed="false">
      <c r="A69" s="14" t="s">
        <v>199</v>
      </c>
      <c r="B69" s="14" t="s">
        <v>49</v>
      </c>
      <c r="C69" s="14" t="s">
        <v>200</v>
      </c>
      <c r="D69" s="14" t="s">
        <v>319</v>
      </c>
      <c r="E69" s="15"/>
      <c r="F69" s="14" t="s">
        <v>320</v>
      </c>
      <c r="G69" s="8" t="n">
        <v>10</v>
      </c>
      <c r="H69" s="14" t="s">
        <v>204</v>
      </c>
      <c r="I69" s="14" t="s">
        <v>78</v>
      </c>
      <c r="J69" s="14" t="s">
        <v>322</v>
      </c>
      <c r="K69" s="8" t="n">
        <v>9</v>
      </c>
      <c r="L69" s="8" t="n">
        <v>75</v>
      </c>
      <c r="M69" s="8" t="n">
        <v>4</v>
      </c>
      <c r="N69" s="8" t="n">
        <v>15</v>
      </c>
      <c r="O69" s="8" t="n">
        <v>2</v>
      </c>
      <c r="P69" s="9" t="n">
        <v>4.96880902014355</v>
      </c>
      <c r="Q69" s="10" t="n">
        <v>0.201255471068822</v>
      </c>
      <c r="R69" s="9" t="n">
        <v>4.5</v>
      </c>
      <c r="S69" s="12" t="n">
        <f aca="false">IF(AND(ISNUMBER(R69),R69&gt;1,P69&gt;0),R69/P69-1,"")</f>
        <v>-0.0943503801903021</v>
      </c>
      <c r="T69" s="9" t="n">
        <f aca="false">IF(AND(ISNUMBER(P69),P69&gt;0),P69*EXP('Read me'!$B$22),"")</f>
        <v>6.06891704197446</v>
      </c>
    </row>
    <row r="70" customFormat="false" ht="15" hidden="false" customHeight="false" outlineLevel="0" collapsed="false">
      <c r="A70" s="14" t="s">
        <v>199</v>
      </c>
      <c r="B70" s="14" t="s">
        <v>49</v>
      </c>
      <c r="C70" s="14" t="s">
        <v>200</v>
      </c>
      <c r="D70" s="14" t="s">
        <v>319</v>
      </c>
      <c r="E70" s="15"/>
      <c r="F70" s="14" t="s">
        <v>320</v>
      </c>
      <c r="G70" s="8" t="n">
        <v>10</v>
      </c>
      <c r="H70" s="14" t="s">
        <v>726</v>
      </c>
      <c r="I70" s="14" t="s">
        <v>415</v>
      </c>
      <c r="J70" s="14" t="s">
        <v>727</v>
      </c>
      <c r="K70" s="8" t="n">
        <v>7</v>
      </c>
      <c r="L70" s="8" t="n">
        <v>72</v>
      </c>
      <c r="M70" s="8" t="n">
        <v>4</v>
      </c>
      <c r="N70" s="8" t="n">
        <v>32</v>
      </c>
      <c r="O70" s="8" t="n">
        <v>3</v>
      </c>
      <c r="P70" s="9" t="n">
        <v>8.73678284080821</v>
      </c>
      <c r="Q70" s="10" t="n">
        <v>0.114458607730199</v>
      </c>
      <c r="R70" s="9" t="n">
        <v>6.5</v>
      </c>
      <c r="S70" s="12" t="n">
        <f aca="false">IF(AND(ISNUMBER(R70),R70&gt;1,P70&gt;0),R70/P70-1,"")</f>
        <v>-0.256019049753707</v>
      </c>
      <c r="T70" s="9" t="n">
        <f aca="false">IF(AND(ISNUMBER(P70),P70&gt;0),P70*EXP('Read me'!$B$22),"")</f>
        <v>10.6711306592096</v>
      </c>
    </row>
    <row r="71" customFormat="false" ht="15" hidden="false" customHeight="false" outlineLevel="0" collapsed="false">
      <c r="A71" s="14" t="s">
        <v>199</v>
      </c>
      <c r="B71" s="14" t="s">
        <v>49</v>
      </c>
      <c r="C71" s="14" t="s">
        <v>200</v>
      </c>
      <c r="D71" s="14" t="s">
        <v>319</v>
      </c>
      <c r="E71" s="15"/>
      <c r="F71" s="14" t="s">
        <v>320</v>
      </c>
      <c r="G71" s="8" t="n">
        <v>10</v>
      </c>
      <c r="H71" s="14" t="s">
        <v>728</v>
      </c>
      <c r="I71" s="14" t="s">
        <v>729</v>
      </c>
      <c r="J71" s="14" t="s">
        <v>464</v>
      </c>
      <c r="K71" s="8" t="n">
        <v>5</v>
      </c>
      <c r="L71" s="8" t="n">
        <v>67</v>
      </c>
      <c r="M71" s="8" t="n">
        <v>3</v>
      </c>
      <c r="N71" s="8" t="n">
        <v>13</v>
      </c>
      <c r="O71" s="8" t="n">
        <v>4</v>
      </c>
      <c r="P71" s="9" t="n">
        <v>9.21142284441631</v>
      </c>
      <c r="Q71" s="10" t="n">
        <v>0.108560861540101</v>
      </c>
      <c r="R71" s="9" t="n">
        <v>8</v>
      </c>
      <c r="S71" s="12" t="n">
        <f aca="false">IF(AND(ISNUMBER(R71),R71&gt;1,P71&gt;0),R71/P71-1,"")</f>
        <v>-0.131513107679194</v>
      </c>
      <c r="T71" s="9" t="n">
        <f aca="false">IF(AND(ISNUMBER(P71),P71&gt;0),P71*EXP('Read me'!$B$22),"")</f>
        <v>11.2508572687497</v>
      </c>
    </row>
    <row r="72" customFormat="false" ht="15" hidden="false" customHeight="false" outlineLevel="0" collapsed="false">
      <c r="A72" s="14" t="s">
        <v>199</v>
      </c>
      <c r="B72" s="14" t="s">
        <v>49</v>
      </c>
      <c r="C72" s="14" t="s">
        <v>200</v>
      </c>
      <c r="D72" s="14" t="s">
        <v>319</v>
      </c>
      <c r="E72" s="15"/>
      <c r="F72" s="14" t="s">
        <v>320</v>
      </c>
      <c r="G72" s="8" t="n">
        <v>10</v>
      </c>
      <c r="H72" s="14" t="s">
        <v>730</v>
      </c>
      <c r="I72" s="14" t="s">
        <v>469</v>
      </c>
      <c r="J72" s="14" t="s">
        <v>731</v>
      </c>
      <c r="K72" s="8" t="n">
        <v>10</v>
      </c>
      <c r="L72" s="8" t="n">
        <v>74</v>
      </c>
      <c r="M72" s="8" t="n">
        <v>3</v>
      </c>
      <c r="N72" s="8" t="n">
        <v>24</v>
      </c>
      <c r="O72" s="8" t="n">
        <v>5</v>
      </c>
      <c r="P72" s="9" t="n">
        <v>9.33773831588829</v>
      </c>
      <c r="Q72" s="10" t="n">
        <v>0.107092313595733</v>
      </c>
      <c r="R72" s="9" t="n">
        <v>11</v>
      </c>
      <c r="S72" s="12" t="n">
        <f aca="false">IF(AND(ISNUMBER(R72),R72&gt;1,P72&gt;0),R72/P72-1,"")</f>
        <v>0.178015449553062</v>
      </c>
      <c r="T72" s="9" t="n">
        <f aca="false">IF(AND(ISNUMBER(P72),P72&gt;0),P72*EXP('Read me'!$B$22),"")</f>
        <v>11.4051393340039</v>
      </c>
    </row>
    <row r="73" customFormat="false" ht="15" hidden="false" customHeight="false" outlineLevel="0" collapsed="false">
      <c r="A73" s="14" t="s">
        <v>199</v>
      </c>
      <c r="B73" s="14" t="s">
        <v>49</v>
      </c>
      <c r="C73" s="14" t="s">
        <v>200</v>
      </c>
      <c r="D73" s="14" t="s">
        <v>319</v>
      </c>
      <c r="E73" s="15"/>
      <c r="F73" s="14" t="s">
        <v>320</v>
      </c>
      <c r="G73" s="8" t="n">
        <v>10</v>
      </c>
      <c r="H73" s="14" t="s">
        <v>732</v>
      </c>
      <c r="I73" s="14" t="s">
        <v>550</v>
      </c>
      <c r="J73" s="14" t="s">
        <v>733</v>
      </c>
      <c r="K73" s="8" t="n">
        <v>1</v>
      </c>
      <c r="L73" s="8" t="n">
        <v>69</v>
      </c>
      <c r="M73" s="8" t="n">
        <v>5</v>
      </c>
      <c r="N73" s="8" t="n">
        <v>15</v>
      </c>
      <c r="O73" s="8" t="n">
        <v>6</v>
      </c>
      <c r="P73" s="9" t="n">
        <v>10.820028230378</v>
      </c>
      <c r="Q73" s="10" t="n">
        <v>0.0924212006390545</v>
      </c>
      <c r="R73" s="9" t="n">
        <v>9</v>
      </c>
      <c r="S73" s="12" t="n">
        <f aca="false">IF(AND(ISNUMBER(R73),R73&gt;1,P73&gt;0),R73/P73-1,"")</f>
        <v>-0.168209194248509</v>
      </c>
      <c r="T73" s="9" t="n">
        <f aca="false">IF(AND(ISNUMBER(P73),P73&gt;0),P73*EXP('Read me'!$B$22),"")</f>
        <v>13.2156123239546</v>
      </c>
    </row>
    <row r="74" customFormat="false" ht="15" hidden="false" customHeight="false" outlineLevel="0" collapsed="false">
      <c r="A74" s="14" t="s">
        <v>199</v>
      </c>
      <c r="B74" s="14" t="s">
        <v>49</v>
      </c>
      <c r="C74" s="14" t="s">
        <v>200</v>
      </c>
      <c r="D74" s="14" t="s">
        <v>319</v>
      </c>
      <c r="E74" s="15"/>
      <c r="F74" s="14" t="s">
        <v>320</v>
      </c>
      <c r="G74" s="8" t="n">
        <v>10</v>
      </c>
      <c r="H74" s="14" t="s">
        <v>734</v>
      </c>
      <c r="I74" s="14" t="s">
        <v>124</v>
      </c>
      <c r="J74" s="14" t="s">
        <v>223</v>
      </c>
      <c r="K74" s="8" t="n">
        <v>3</v>
      </c>
      <c r="L74" s="8" t="n">
        <v>72</v>
      </c>
      <c r="M74" s="8" t="n">
        <v>3</v>
      </c>
      <c r="N74" s="8" t="n">
        <v>42</v>
      </c>
      <c r="O74" s="8" t="n">
        <v>7</v>
      </c>
      <c r="P74" s="9" t="n">
        <v>14.6240385715768</v>
      </c>
      <c r="Q74" s="10" t="n">
        <v>0.0683805636251255</v>
      </c>
      <c r="R74" s="9" t="n">
        <v>12</v>
      </c>
      <c r="S74" s="12" t="n">
        <f aca="false">IF(AND(ISNUMBER(R74),R74&gt;1,P74&gt;0),R74/P74-1,"")</f>
        <v>-0.179433236498493</v>
      </c>
      <c r="T74" s="9" t="n">
        <f aca="false">IF(AND(ISNUMBER(P74),P74&gt;0),P74*EXP('Read me'!$B$22),"")</f>
        <v>17.8618410467647</v>
      </c>
    </row>
    <row r="75" customFormat="false" ht="15" hidden="false" customHeight="false" outlineLevel="0" collapsed="false">
      <c r="A75" s="14" t="s">
        <v>199</v>
      </c>
      <c r="B75" s="14" t="s">
        <v>49</v>
      </c>
      <c r="C75" s="14" t="s">
        <v>200</v>
      </c>
      <c r="D75" s="14" t="s">
        <v>319</v>
      </c>
      <c r="E75" s="15"/>
      <c r="F75" s="14" t="s">
        <v>320</v>
      </c>
      <c r="G75" s="8" t="n">
        <v>10</v>
      </c>
      <c r="H75" s="14" t="s">
        <v>735</v>
      </c>
      <c r="I75" s="14" t="s">
        <v>413</v>
      </c>
      <c r="J75" s="14" t="s">
        <v>334</v>
      </c>
      <c r="K75" s="8" t="n">
        <v>4</v>
      </c>
      <c r="L75" s="8" t="n">
        <v>72</v>
      </c>
      <c r="M75" s="8" t="n">
        <v>6</v>
      </c>
      <c r="N75" s="8" t="n">
        <v>45</v>
      </c>
      <c r="O75" s="8" t="n">
        <v>8</v>
      </c>
      <c r="P75" s="9" t="n">
        <v>17.1726424837209</v>
      </c>
      <c r="Q75" s="10" t="n">
        <v>0.0582321562303512</v>
      </c>
      <c r="R75" s="9" t="n">
        <v>11</v>
      </c>
      <c r="S75" s="12" t="n">
        <f aca="false">IF(AND(ISNUMBER(R75),R75&gt;1,P75&gt;0),R75/P75-1,"")</f>
        <v>-0.359446281466136</v>
      </c>
      <c r="T75" s="9" t="n">
        <f aca="false">IF(AND(ISNUMBER(P75),P75&gt;0),P75*EXP('Read me'!$B$22),"")</f>
        <v>20.9747128945152</v>
      </c>
    </row>
    <row r="76" customFormat="false" ht="15" hidden="false" customHeight="false" outlineLevel="0" collapsed="false">
      <c r="A76" s="14" t="s">
        <v>199</v>
      </c>
      <c r="B76" s="14" t="s">
        <v>49</v>
      </c>
      <c r="C76" s="14" t="s">
        <v>200</v>
      </c>
      <c r="D76" s="14" t="s">
        <v>319</v>
      </c>
      <c r="E76" s="15"/>
      <c r="F76" s="14" t="s">
        <v>320</v>
      </c>
      <c r="G76" s="8" t="n">
        <v>10</v>
      </c>
      <c r="H76" s="14" t="s">
        <v>736</v>
      </c>
      <c r="I76" s="14" t="s">
        <v>324</v>
      </c>
      <c r="J76" s="14" t="s">
        <v>464</v>
      </c>
      <c r="K76" s="8" t="n">
        <v>8</v>
      </c>
      <c r="L76" s="8" t="n">
        <v>65</v>
      </c>
      <c r="M76" s="8" t="n">
        <v>3</v>
      </c>
      <c r="N76" s="8" t="n">
        <v>18</v>
      </c>
      <c r="O76" s="8" t="n">
        <v>9</v>
      </c>
      <c r="P76" s="9" t="n">
        <v>46.9130535190141</v>
      </c>
      <c r="Q76" s="10" t="n">
        <v>0.0213160288019771</v>
      </c>
      <c r="R76" s="9" t="n">
        <v>17</v>
      </c>
      <c r="S76" s="12" t="n">
        <f aca="false">IF(AND(ISNUMBER(R76),R76&gt;1,P76&gt;0),R76/P76-1,"")</f>
        <v>-0.637627510366388</v>
      </c>
      <c r="T76" s="9" t="n">
        <f aca="false">IF(AND(ISNUMBER(P76),P76&gt;0),P76*EXP('Read me'!$B$22),"")</f>
        <v>57.2997329618394</v>
      </c>
    </row>
    <row r="77" customFormat="false" ht="15" hidden="false" customHeight="false" outlineLevel="0" collapsed="false">
      <c r="A77" s="14" t="s">
        <v>199</v>
      </c>
      <c r="B77" s="14" t="s">
        <v>49</v>
      </c>
      <c r="C77" s="14" t="s">
        <v>200</v>
      </c>
      <c r="D77" s="14" t="s">
        <v>319</v>
      </c>
      <c r="E77" s="15"/>
      <c r="F77" s="14" t="s">
        <v>320</v>
      </c>
      <c r="G77" s="8" t="n">
        <v>10</v>
      </c>
      <c r="H77" s="14" t="s">
        <v>737</v>
      </c>
      <c r="I77" s="14" t="s">
        <v>738</v>
      </c>
      <c r="J77" s="14" t="s">
        <v>546</v>
      </c>
      <c r="K77" s="8" t="n">
        <v>2</v>
      </c>
      <c r="L77" s="8" t="n">
        <v>67</v>
      </c>
      <c r="M77" s="8" t="n">
        <v>3</v>
      </c>
      <c r="N77" s="8" t="n">
        <v>42</v>
      </c>
      <c r="O77" s="8" t="n">
        <v>10</v>
      </c>
      <c r="P77" s="9" t="n">
        <v>120.239195756891</v>
      </c>
      <c r="Q77" s="10" t="n">
        <v>0.0083167555613219</v>
      </c>
      <c r="R77" s="9" t="n">
        <v>41</v>
      </c>
      <c r="S77" s="12" t="n">
        <f aca="false">IF(AND(ISNUMBER(R77),R77&gt;1,P77&gt;0),R77/P77-1,"")</f>
        <v>-0.6590130219858</v>
      </c>
      <c r="T77" s="9" t="n">
        <f aca="false">IF(AND(ISNUMBER(P77),P77&gt;0),P77*EXP('Read me'!$B$22),"")</f>
        <v>146.860485336427</v>
      </c>
    </row>
    <row r="78" customFormat="false" ht="15" hidden="false" customHeight="false" outlineLevel="0" collapsed="false">
      <c r="A78" s="14" t="s">
        <v>220</v>
      </c>
      <c r="B78" s="14" t="s">
        <v>49</v>
      </c>
      <c r="C78" s="14" t="s">
        <v>221</v>
      </c>
      <c r="D78" s="14" t="s">
        <v>319</v>
      </c>
      <c r="E78" s="15"/>
      <c r="F78" s="14" t="s">
        <v>320</v>
      </c>
      <c r="G78" s="8" t="n">
        <v>9</v>
      </c>
      <c r="H78" s="14" t="s">
        <v>222</v>
      </c>
      <c r="I78" s="14" t="s">
        <v>124</v>
      </c>
      <c r="J78" s="14" t="s">
        <v>223</v>
      </c>
      <c r="K78" s="8" t="n">
        <v>1</v>
      </c>
      <c r="L78" s="8" t="n">
        <v>75</v>
      </c>
      <c r="M78" s="8" t="n">
        <v>3</v>
      </c>
      <c r="N78" s="8" t="n">
        <v>80</v>
      </c>
      <c r="O78" s="8" t="n">
        <v>1</v>
      </c>
      <c r="P78" s="9" t="n">
        <v>4.64715129242333</v>
      </c>
      <c r="Q78" s="10" t="n">
        <v>0.215185591575293</v>
      </c>
      <c r="R78" s="9" t="n">
        <v>3.75</v>
      </c>
      <c r="S78" s="12" t="n">
        <f aca="false">IF(AND(ISNUMBER(R78),R78&gt;1,P78&gt;0),R78/P78-1,"")</f>
        <v>-0.193054031592652</v>
      </c>
      <c r="T78" s="9" t="n">
        <f aca="false">IF(AND(ISNUMBER(P78),P78&gt;0),P78*EXP('Read me'!$B$22),"")</f>
        <v>5.67604340615345</v>
      </c>
    </row>
    <row r="79" customFormat="false" ht="15" hidden="false" customHeight="false" outlineLevel="0" collapsed="false">
      <c r="A79" s="14" t="s">
        <v>220</v>
      </c>
      <c r="B79" s="14" t="s">
        <v>49</v>
      </c>
      <c r="C79" s="14" t="s">
        <v>221</v>
      </c>
      <c r="D79" s="14" t="s">
        <v>319</v>
      </c>
      <c r="E79" s="15"/>
      <c r="F79" s="14" t="s">
        <v>320</v>
      </c>
      <c r="G79" s="8" t="n">
        <v>9</v>
      </c>
      <c r="H79" s="14" t="s">
        <v>224</v>
      </c>
      <c r="I79" s="14" t="s">
        <v>793</v>
      </c>
      <c r="J79" s="14" t="s">
        <v>328</v>
      </c>
      <c r="K79" s="8" t="n">
        <v>7</v>
      </c>
      <c r="L79" s="8" t="n">
        <v>71</v>
      </c>
      <c r="M79" s="8" t="n">
        <v>6</v>
      </c>
      <c r="N79" s="8" t="n">
        <v>31</v>
      </c>
      <c r="O79" s="8" t="n">
        <v>2</v>
      </c>
      <c r="P79" s="9" t="n">
        <v>5.80447065280468</v>
      </c>
      <c r="Q79" s="10" t="n">
        <v>0.172280998529436</v>
      </c>
      <c r="R79" s="9" t="n">
        <v>4.5</v>
      </c>
      <c r="S79" s="12" t="n">
        <f aca="false">IF(AND(ISNUMBER(R79),R79&gt;1,P79&gt;0),R79/P79-1,"")</f>
        <v>-0.224735506617537</v>
      </c>
      <c r="T79" s="9" t="n">
        <f aca="false">IF(AND(ISNUMBER(P79),P79&gt;0),P79*EXP('Read me'!$B$22),"")</f>
        <v>7.0895964649954</v>
      </c>
    </row>
    <row r="80" customFormat="false" ht="15" hidden="false" customHeight="false" outlineLevel="0" collapsed="false">
      <c r="A80" s="14" t="s">
        <v>220</v>
      </c>
      <c r="B80" s="14" t="s">
        <v>49</v>
      </c>
      <c r="C80" s="14" t="s">
        <v>221</v>
      </c>
      <c r="D80" s="14" t="s">
        <v>319</v>
      </c>
      <c r="E80" s="15"/>
      <c r="F80" s="14" t="s">
        <v>320</v>
      </c>
      <c r="G80" s="8" t="n">
        <v>9</v>
      </c>
      <c r="H80" s="14" t="s">
        <v>794</v>
      </c>
      <c r="I80" s="14" t="s">
        <v>795</v>
      </c>
      <c r="J80" s="14" t="s">
        <v>796</v>
      </c>
      <c r="K80" s="8" t="n">
        <v>6</v>
      </c>
      <c r="L80" s="8" t="n">
        <v>72</v>
      </c>
      <c r="M80" s="8" t="n">
        <v>5</v>
      </c>
      <c r="N80" s="8" t="n">
        <v>18</v>
      </c>
      <c r="O80" s="8" t="n">
        <v>3</v>
      </c>
      <c r="P80" s="9" t="n">
        <v>5.87431656227674</v>
      </c>
      <c r="Q80" s="10" t="n">
        <v>0.170232569082458</v>
      </c>
      <c r="R80" s="9" t="n">
        <v>5</v>
      </c>
      <c r="S80" s="12" t="n">
        <f aca="false">IF(AND(ISNUMBER(R80),R80&gt;1,P80&gt;0),R80/P80-1,"")</f>
        <v>-0.148837154587712</v>
      </c>
      <c r="T80" s="9" t="n">
        <f aca="false">IF(AND(ISNUMBER(P80),P80&gt;0),P80*EXP('Read me'!$B$22),"")</f>
        <v>7.17490645147078</v>
      </c>
    </row>
    <row r="81" customFormat="false" ht="15" hidden="false" customHeight="false" outlineLevel="0" collapsed="false">
      <c r="A81" s="14" t="s">
        <v>220</v>
      </c>
      <c r="B81" s="14" t="s">
        <v>49</v>
      </c>
      <c r="C81" s="14" t="s">
        <v>221</v>
      </c>
      <c r="D81" s="14" t="s">
        <v>319</v>
      </c>
      <c r="E81" s="15"/>
      <c r="F81" s="14" t="s">
        <v>320</v>
      </c>
      <c r="G81" s="8" t="n">
        <v>9</v>
      </c>
      <c r="H81" s="14" t="s">
        <v>797</v>
      </c>
      <c r="I81" s="14" t="s">
        <v>798</v>
      </c>
      <c r="J81" s="14" t="s">
        <v>548</v>
      </c>
      <c r="K81" s="8" t="n">
        <v>9</v>
      </c>
      <c r="L81" s="8" t="n">
        <v>70</v>
      </c>
      <c r="M81" s="8" t="n">
        <v>7</v>
      </c>
      <c r="N81" s="8" t="n">
        <v>10</v>
      </c>
      <c r="O81" s="8" t="n">
        <v>4</v>
      </c>
      <c r="P81" s="9" t="n">
        <v>8.70141266294909</v>
      </c>
      <c r="Q81" s="10" t="n">
        <v>0.114923867966639</v>
      </c>
      <c r="R81" s="9" t="n">
        <v>8.5</v>
      </c>
      <c r="S81" s="12" t="n">
        <f aca="false">IF(AND(ISNUMBER(R81),R81&gt;1,P81&gt;0),R81/P81-1,"")</f>
        <v>-0.0231471222835706</v>
      </c>
      <c r="T81" s="9" t="n">
        <f aca="false">IF(AND(ISNUMBER(P81),P81&gt;0),P81*EXP('Read me'!$B$22),"")</f>
        <v>10.6279294264159</v>
      </c>
    </row>
    <row r="82" customFormat="false" ht="15" hidden="false" customHeight="false" outlineLevel="0" collapsed="false">
      <c r="A82" s="14" t="s">
        <v>220</v>
      </c>
      <c r="B82" s="14" t="s">
        <v>49</v>
      </c>
      <c r="C82" s="14" t="s">
        <v>221</v>
      </c>
      <c r="D82" s="14" t="s">
        <v>319</v>
      </c>
      <c r="E82" s="15"/>
      <c r="F82" s="14" t="s">
        <v>320</v>
      </c>
      <c r="G82" s="8" t="n">
        <v>9</v>
      </c>
      <c r="H82" s="14" t="s">
        <v>799</v>
      </c>
      <c r="I82" s="14" t="s">
        <v>413</v>
      </c>
      <c r="J82" s="14" t="s">
        <v>203</v>
      </c>
      <c r="K82" s="8" t="n">
        <v>8</v>
      </c>
      <c r="L82" s="8" t="n">
        <v>64</v>
      </c>
      <c r="M82" s="8" t="n">
        <v>9</v>
      </c>
      <c r="N82" s="8" t="n">
        <v>22</v>
      </c>
      <c r="O82" s="8" t="n">
        <v>5</v>
      </c>
      <c r="P82" s="9" t="n">
        <v>8.77697010812073</v>
      </c>
      <c r="Q82" s="10" t="n">
        <v>0.113934534091072</v>
      </c>
      <c r="R82" s="9" t="n">
        <v>6</v>
      </c>
      <c r="S82" s="12" t="n">
        <f aca="false">IF(AND(ISNUMBER(R82),R82&gt;1,P82&gt;0),R82/P82-1,"")</f>
        <v>-0.316392795453569</v>
      </c>
      <c r="T82" s="9" t="n">
        <f aca="false">IF(AND(ISNUMBER(P82),P82&gt;0),P82*EXP('Read me'!$B$22),"")</f>
        <v>10.720215498348</v>
      </c>
    </row>
    <row r="83" customFormat="false" ht="15" hidden="false" customHeight="false" outlineLevel="0" collapsed="false">
      <c r="A83" s="14" t="s">
        <v>220</v>
      </c>
      <c r="B83" s="14" t="s">
        <v>49</v>
      </c>
      <c r="C83" s="14" t="s">
        <v>221</v>
      </c>
      <c r="D83" s="14" t="s">
        <v>319</v>
      </c>
      <c r="E83" s="15"/>
      <c r="F83" s="14" t="s">
        <v>320</v>
      </c>
      <c r="G83" s="8" t="n">
        <v>9</v>
      </c>
      <c r="H83" s="14" t="s">
        <v>800</v>
      </c>
      <c r="I83" s="14" t="s">
        <v>175</v>
      </c>
      <c r="J83" s="14" t="s">
        <v>633</v>
      </c>
      <c r="K83" s="8" t="n">
        <v>2</v>
      </c>
      <c r="L83" s="8" t="n">
        <v>74</v>
      </c>
      <c r="M83" s="8" t="n">
        <v>3</v>
      </c>
      <c r="N83" s="8" t="n">
        <v>39</v>
      </c>
      <c r="O83" s="8" t="n">
        <v>6</v>
      </c>
      <c r="P83" s="9" t="n">
        <v>13.170265937542</v>
      </c>
      <c r="Q83" s="10" t="n">
        <v>0.0759286110654372</v>
      </c>
      <c r="R83" s="9" t="n">
        <v>11</v>
      </c>
      <c r="S83" s="12" t="n">
        <f aca="false">IF(AND(ISNUMBER(R83),R83&gt;1,P83&gt;0),R83/P83-1,"")</f>
        <v>-0.16478527828019</v>
      </c>
      <c r="T83" s="9" t="n">
        <f aca="false">IF(AND(ISNUMBER(P83),P83&gt;0),P83*EXP('Read me'!$B$22),"")</f>
        <v>16.0861991418167</v>
      </c>
    </row>
    <row r="84" customFormat="false" ht="15" hidden="false" customHeight="false" outlineLevel="0" collapsed="false">
      <c r="A84" s="14" t="s">
        <v>220</v>
      </c>
      <c r="B84" s="14" t="s">
        <v>49</v>
      </c>
      <c r="C84" s="14" t="s">
        <v>221</v>
      </c>
      <c r="D84" s="14" t="s">
        <v>319</v>
      </c>
      <c r="E84" s="15"/>
      <c r="F84" s="14" t="s">
        <v>320</v>
      </c>
      <c r="G84" s="8" t="n">
        <v>9</v>
      </c>
      <c r="H84" s="14" t="s">
        <v>801</v>
      </c>
      <c r="I84" s="14" t="s">
        <v>466</v>
      </c>
      <c r="J84" s="14" t="s">
        <v>604</v>
      </c>
      <c r="K84" s="8" t="n">
        <v>4</v>
      </c>
      <c r="L84" s="8" t="n">
        <v>70</v>
      </c>
      <c r="M84" s="8" t="n">
        <v>3</v>
      </c>
      <c r="N84" s="8" t="n">
        <v>13</v>
      </c>
      <c r="O84" s="8" t="n">
        <v>7</v>
      </c>
      <c r="P84" s="9" t="n">
        <v>18.3194988528801</v>
      </c>
      <c r="Q84" s="10" t="n">
        <v>0.0545866460666189</v>
      </c>
      <c r="R84" s="9" t="n">
        <v>21</v>
      </c>
      <c r="S84" s="12" t="n">
        <f aca="false">IF(AND(ISNUMBER(R84),R84&gt;1,P84&gt;0),R84/P84-1,"")</f>
        <v>0.146319567398999</v>
      </c>
      <c r="T84" s="9" t="n">
        <f aca="false">IF(AND(ISNUMBER(P84),P84&gt;0),P84*EXP('Read me'!$B$22),"")</f>
        <v>22.3754864270199</v>
      </c>
    </row>
    <row r="85" customFormat="false" ht="15" hidden="false" customHeight="false" outlineLevel="0" collapsed="false">
      <c r="A85" s="14" t="s">
        <v>220</v>
      </c>
      <c r="B85" s="14" t="s">
        <v>49</v>
      </c>
      <c r="C85" s="14" t="s">
        <v>221</v>
      </c>
      <c r="D85" s="14" t="s">
        <v>319</v>
      </c>
      <c r="E85" s="15"/>
      <c r="F85" s="14" t="s">
        <v>320</v>
      </c>
      <c r="G85" s="8" t="n">
        <v>9</v>
      </c>
      <c r="H85" s="14" t="s">
        <v>802</v>
      </c>
      <c r="I85" s="14" t="s">
        <v>394</v>
      </c>
      <c r="J85" s="14" t="s">
        <v>803</v>
      </c>
      <c r="K85" s="8" t="n">
        <v>3</v>
      </c>
      <c r="L85" s="8" t="n">
        <v>67</v>
      </c>
      <c r="M85" s="8" t="n">
        <v>3</v>
      </c>
      <c r="N85" s="8" t="n">
        <v>375</v>
      </c>
      <c r="O85" s="8" t="n">
        <v>8</v>
      </c>
      <c r="P85" s="9" t="n">
        <v>19.1782384560792</v>
      </c>
      <c r="Q85" s="10" t="n">
        <v>0.0521424322828261</v>
      </c>
      <c r="R85" s="9" t="n">
        <v>21</v>
      </c>
      <c r="S85" s="12" t="n">
        <f aca="false">IF(AND(ISNUMBER(R85),R85&gt;1,P85&gt;0),R85/P85-1,"")</f>
        <v>0.0949910779393486</v>
      </c>
      <c r="T85" s="9" t="n">
        <f aca="false">IF(AND(ISNUMBER(P85),P85&gt;0),P85*EXP('Read me'!$B$22),"")</f>
        <v>23.4243533469085</v>
      </c>
    </row>
    <row r="86" customFormat="false" ht="15" hidden="false" customHeight="false" outlineLevel="0" collapsed="false">
      <c r="A86" s="14" t="s">
        <v>220</v>
      </c>
      <c r="B86" s="14" t="s">
        <v>49</v>
      </c>
      <c r="C86" s="14" t="s">
        <v>221</v>
      </c>
      <c r="D86" s="14" t="s">
        <v>319</v>
      </c>
      <c r="E86" s="15"/>
      <c r="F86" s="14" t="s">
        <v>320</v>
      </c>
      <c r="G86" s="8" t="n">
        <v>9</v>
      </c>
      <c r="H86" s="14" t="s">
        <v>804</v>
      </c>
      <c r="I86" s="14" t="s">
        <v>324</v>
      </c>
      <c r="J86" s="14" t="s">
        <v>464</v>
      </c>
      <c r="K86" s="8" t="n">
        <v>5</v>
      </c>
      <c r="L86" s="8" t="n">
        <v>61</v>
      </c>
      <c r="M86" s="8" t="n">
        <v>6</v>
      </c>
      <c r="N86" s="8" t="n">
        <v>29</v>
      </c>
      <c r="O86" s="8" t="n">
        <v>9</v>
      </c>
      <c r="P86" s="9" t="n">
        <v>32.4836167723314</v>
      </c>
      <c r="Q86" s="10" t="n">
        <v>0.0307847493402203</v>
      </c>
      <c r="R86" s="9" t="n">
        <v>34</v>
      </c>
      <c r="S86" s="12" t="n">
        <f aca="false">IF(AND(ISNUMBER(R86),R86&gt;1,P86&gt;0),R86/P86-1,"")</f>
        <v>0.0466814775674913</v>
      </c>
      <c r="T86" s="9" t="n">
        <f aca="false">IF(AND(ISNUMBER(P86),P86&gt;0),P86*EXP('Read me'!$B$22),"")</f>
        <v>39.6755791207436</v>
      </c>
    </row>
  </sheetData>
  <autoFilter ref="A1:T86"/>
  <conditionalFormatting sqref="A2:T8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279</v>
      </c>
      <c r="E1" s="6" t="s">
        <v>280</v>
      </c>
      <c r="F1" s="6" t="s">
        <v>281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282</v>
      </c>
      <c r="L1" s="6" t="s">
        <v>283</v>
      </c>
      <c r="M1" s="6" t="s">
        <v>284</v>
      </c>
      <c r="N1" s="6" t="s">
        <v>285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55</v>
      </c>
      <c r="B2" s="14" t="s">
        <v>56</v>
      </c>
      <c r="C2" s="14" t="s">
        <v>57</v>
      </c>
      <c r="D2" s="14" t="s">
        <v>319</v>
      </c>
      <c r="E2" s="15" t="n">
        <v>8</v>
      </c>
      <c r="F2" s="14" t="s">
        <v>349</v>
      </c>
      <c r="G2" s="8" t="n">
        <v>8</v>
      </c>
      <c r="H2" s="14" t="s">
        <v>58</v>
      </c>
      <c r="I2" s="14" t="s">
        <v>59</v>
      </c>
      <c r="J2" s="14" t="s">
        <v>60</v>
      </c>
      <c r="K2" s="8" t="n">
        <v>2</v>
      </c>
      <c r="L2" s="8" t="n">
        <v>71</v>
      </c>
      <c r="M2" s="8" t="n">
        <v>8</v>
      </c>
      <c r="N2" s="8" t="n">
        <v>9</v>
      </c>
      <c r="O2" s="8" t="n">
        <v>1</v>
      </c>
      <c r="P2" s="9" t="n">
        <v>3.21350367828449</v>
      </c>
      <c r="Q2" s="10" t="n">
        <v>0.311186822892901</v>
      </c>
      <c r="R2" s="9" t="n">
        <v>2.75</v>
      </c>
      <c r="S2" s="12" t="n">
        <f aca="false">IF(AND(ISNUMBER(R2),R2&gt;1,P2&gt;0),R2/P2-1,"")</f>
        <v>-0.144236237044524</v>
      </c>
      <c r="T2" s="9" t="n">
        <f aca="false">IF(AND(ISNUMBER(P2),P2&gt;0),P2*EXP('Read me'!$B$22),"")</f>
        <v>3.92498225601453</v>
      </c>
    </row>
    <row r="3" customFormat="false" ht="15" hidden="false" customHeight="false" outlineLevel="0" collapsed="false">
      <c r="A3" s="14" t="s">
        <v>55</v>
      </c>
      <c r="B3" s="14" t="s">
        <v>56</v>
      </c>
      <c r="C3" s="14" t="s">
        <v>57</v>
      </c>
      <c r="D3" s="14" t="s">
        <v>319</v>
      </c>
      <c r="E3" s="15" t="n">
        <v>8</v>
      </c>
      <c r="F3" s="14" t="s">
        <v>349</v>
      </c>
      <c r="G3" s="8" t="n">
        <v>8</v>
      </c>
      <c r="H3" s="14" t="s">
        <v>61</v>
      </c>
      <c r="I3" s="14" t="s">
        <v>350</v>
      </c>
      <c r="J3" s="14" t="s">
        <v>351</v>
      </c>
      <c r="K3" s="8" t="n">
        <v>3</v>
      </c>
      <c r="L3" s="8" t="n">
        <v>60</v>
      </c>
      <c r="M3" s="8" t="n">
        <v>4</v>
      </c>
      <c r="N3" s="8" t="n">
        <v>9</v>
      </c>
      <c r="O3" s="8" t="n">
        <v>2</v>
      </c>
      <c r="P3" s="9" t="n">
        <v>5.16496239026594</v>
      </c>
      <c r="Q3" s="10" t="n">
        <v>0.193612252024261</v>
      </c>
      <c r="R3" s="9" t="n">
        <v>3.75</v>
      </c>
      <c r="S3" s="12" t="n">
        <f aca="false">IF(AND(ISNUMBER(R3),R3&gt;1,P3&gt;0),R3/P3-1,"")</f>
        <v>-0.27395405490902</v>
      </c>
      <c r="T3" s="9" t="n">
        <f aca="false">IF(AND(ISNUMBER(P3),P3&gt;0),P3*EXP('Read me'!$B$22),"")</f>
        <v>6.30849930926436</v>
      </c>
    </row>
    <row r="4" customFormat="false" ht="15" hidden="false" customHeight="false" outlineLevel="0" collapsed="false">
      <c r="A4" s="14" t="s">
        <v>55</v>
      </c>
      <c r="B4" s="14" t="s">
        <v>56</v>
      </c>
      <c r="C4" s="14" t="s">
        <v>57</v>
      </c>
      <c r="D4" s="14" t="s">
        <v>319</v>
      </c>
      <c r="E4" s="15" t="n">
        <v>8</v>
      </c>
      <c r="F4" s="14" t="s">
        <v>349</v>
      </c>
      <c r="G4" s="8" t="n">
        <v>8</v>
      </c>
      <c r="H4" s="14" t="s">
        <v>352</v>
      </c>
      <c r="I4" s="14" t="s">
        <v>353</v>
      </c>
      <c r="J4" s="14" t="s">
        <v>351</v>
      </c>
      <c r="K4" s="8" t="n">
        <v>6</v>
      </c>
      <c r="L4" s="8" t="n">
        <v>57</v>
      </c>
      <c r="M4" s="8" t="n">
        <v>6</v>
      </c>
      <c r="N4" s="8" t="n">
        <v>11</v>
      </c>
      <c r="O4" s="8" t="n">
        <v>3</v>
      </c>
      <c r="P4" s="9" t="n">
        <v>7.82951425875266</v>
      </c>
      <c r="Q4" s="10" t="n">
        <v>0.127721844159374</v>
      </c>
      <c r="R4" s="9" t="n">
        <v>5</v>
      </c>
      <c r="S4" s="12" t="n">
        <f aca="false">IF(AND(ISNUMBER(R4),R4&gt;1,P4&gt;0),R4/P4-1,"")</f>
        <v>-0.361390779203132</v>
      </c>
      <c r="T4" s="9" t="n">
        <f aca="false">IF(AND(ISNUMBER(P4),P4&gt;0),P4*EXP('Read me'!$B$22),"")</f>
        <v>9.56299031069488</v>
      </c>
    </row>
    <row r="5" customFormat="false" ht="15" hidden="false" customHeight="false" outlineLevel="0" collapsed="false">
      <c r="A5" s="14" t="s">
        <v>55</v>
      </c>
      <c r="B5" s="14" t="s">
        <v>56</v>
      </c>
      <c r="C5" s="14" t="s">
        <v>57</v>
      </c>
      <c r="D5" s="14" t="s">
        <v>319</v>
      </c>
      <c r="E5" s="15" t="n">
        <v>8</v>
      </c>
      <c r="F5" s="14" t="s">
        <v>349</v>
      </c>
      <c r="G5" s="8" t="n">
        <v>8</v>
      </c>
      <c r="H5" s="14" t="s">
        <v>354</v>
      </c>
      <c r="I5" s="14" t="s">
        <v>355</v>
      </c>
      <c r="J5" s="14" t="s">
        <v>208</v>
      </c>
      <c r="K5" s="8" t="n">
        <v>8</v>
      </c>
      <c r="L5" s="8" t="n">
        <v>72</v>
      </c>
      <c r="M5" s="8" t="n">
        <v>3</v>
      </c>
      <c r="N5" s="8" t="n">
        <v>20</v>
      </c>
      <c r="O5" s="8" t="n">
        <v>4</v>
      </c>
      <c r="P5" s="9" t="n">
        <v>9.90093268207496</v>
      </c>
      <c r="Q5" s="10" t="n">
        <v>0.10100058571355</v>
      </c>
      <c r="R5" s="9" t="n">
        <v>7.5</v>
      </c>
      <c r="S5" s="12" t="n">
        <f aca="false">IF(AND(ISNUMBER(R5),R5&gt;1,P5&gt;0),R5/P5-1,"")</f>
        <v>-0.242495607148375</v>
      </c>
      <c r="T5" s="9" t="n">
        <f aca="false">IF(AND(ISNUMBER(P5),P5&gt;0),P5*EXP('Read me'!$B$22),"")</f>
        <v>12.0930264862445</v>
      </c>
    </row>
    <row r="6" customFormat="false" ht="15" hidden="false" customHeight="false" outlineLevel="0" collapsed="false">
      <c r="A6" s="14" t="s">
        <v>55</v>
      </c>
      <c r="B6" s="14" t="s">
        <v>56</v>
      </c>
      <c r="C6" s="14" t="s">
        <v>57</v>
      </c>
      <c r="D6" s="14" t="s">
        <v>319</v>
      </c>
      <c r="E6" s="15" t="n">
        <v>8</v>
      </c>
      <c r="F6" s="14" t="s">
        <v>349</v>
      </c>
      <c r="G6" s="8" t="n">
        <v>8</v>
      </c>
      <c r="H6" s="14" t="s">
        <v>356</v>
      </c>
      <c r="I6" s="14" t="s">
        <v>357</v>
      </c>
      <c r="J6" s="14" t="s">
        <v>358</v>
      </c>
      <c r="K6" s="8" t="n">
        <v>5</v>
      </c>
      <c r="L6" s="8" t="n">
        <v>69</v>
      </c>
      <c r="M6" s="8" t="n">
        <v>5</v>
      </c>
      <c r="N6" s="8" t="n">
        <v>17</v>
      </c>
      <c r="O6" s="8" t="n">
        <v>5</v>
      </c>
      <c r="P6" s="9" t="n">
        <v>11.5096290348887</v>
      </c>
      <c r="Q6" s="10" t="n">
        <v>0.0868837733143911</v>
      </c>
      <c r="R6" s="9" t="n">
        <v>26</v>
      </c>
      <c r="S6" s="12" t="n">
        <f aca="false">IF(AND(ISNUMBER(R6),R6&gt;1,P6&gt;0),R6/P6-1,"")</f>
        <v>1.25897810617417</v>
      </c>
      <c r="T6" s="9" t="n">
        <f aca="false">IF(AND(ISNUMBER(P6),P6&gt;0),P6*EXP('Read me'!$B$22),"")</f>
        <v>14.0578926486134</v>
      </c>
    </row>
    <row r="7" customFormat="false" ht="15" hidden="false" customHeight="false" outlineLevel="0" collapsed="false">
      <c r="A7" s="14" t="s">
        <v>55</v>
      </c>
      <c r="B7" s="14" t="s">
        <v>56</v>
      </c>
      <c r="C7" s="14" t="s">
        <v>57</v>
      </c>
      <c r="D7" s="14" t="s">
        <v>319</v>
      </c>
      <c r="E7" s="15" t="n">
        <v>8</v>
      </c>
      <c r="F7" s="14" t="s">
        <v>349</v>
      </c>
      <c r="G7" s="8" t="n">
        <v>8</v>
      </c>
      <c r="H7" s="14" t="s">
        <v>359</v>
      </c>
      <c r="I7" s="14" t="s">
        <v>360</v>
      </c>
      <c r="J7" s="14" t="s">
        <v>361</v>
      </c>
      <c r="K7" s="8" t="n">
        <v>1</v>
      </c>
      <c r="L7" s="8" t="n">
        <v>72</v>
      </c>
      <c r="M7" s="8" t="n">
        <v>5</v>
      </c>
      <c r="N7" s="8" t="n">
        <v>20</v>
      </c>
      <c r="O7" s="8" t="n">
        <v>6</v>
      </c>
      <c r="P7" s="9" t="n">
        <v>12.6823620046044</v>
      </c>
      <c r="Q7" s="10" t="n">
        <v>0.078849665357048</v>
      </c>
      <c r="R7" s="9" t="n">
        <v>13</v>
      </c>
      <c r="S7" s="12" t="n">
        <f aca="false">IF(AND(ISNUMBER(R7),R7&gt;1,P7&gt;0),R7/P7-1,"")</f>
        <v>0.0250456496416251</v>
      </c>
      <c r="T7" s="9" t="n">
        <f aca="false">IF(AND(ISNUMBER(P7),P7&gt;0),P7*EXP('Read me'!$B$22),"")</f>
        <v>15.4902719324096</v>
      </c>
    </row>
    <row r="8" customFormat="false" ht="15" hidden="false" customHeight="false" outlineLevel="0" collapsed="false">
      <c r="A8" s="14" t="s">
        <v>55</v>
      </c>
      <c r="B8" s="14" t="s">
        <v>56</v>
      </c>
      <c r="C8" s="14" t="s">
        <v>57</v>
      </c>
      <c r="D8" s="14" t="s">
        <v>319</v>
      </c>
      <c r="E8" s="15" t="n">
        <v>8</v>
      </c>
      <c r="F8" s="14" t="s">
        <v>349</v>
      </c>
      <c r="G8" s="8" t="n">
        <v>8</v>
      </c>
      <c r="H8" s="14" t="s">
        <v>362</v>
      </c>
      <c r="I8" s="14" t="s">
        <v>363</v>
      </c>
      <c r="J8" s="14" t="s">
        <v>364</v>
      </c>
      <c r="K8" s="8" t="n">
        <v>4</v>
      </c>
      <c r="L8" s="8" t="n">
        <v>70</v>
      </c>
      <c r="M8" s="8" t="n">
        <v>4</v>
      </c>
      <c r="N8" s="8" t="n">
        <v>12</v>
      </c>
      <c r="O8" s="8" t="n">
        <v>7</v>
      </c>
      <c r="P8" s="9" t="n">
        <v>13.8516060433531</v>
      </c>
      <c r="Q8" s="10" t="n">
        <v>0.0721937944863701</v>
      </c>
      <c r="R8" s="9" t="n">
        <v>19</v>
      </c>
      <c r="S8" s="12" t="n">
        <f aca="false">IF(AND(ISNUMBER(R8),R8&gt;1,P8&gt;0),R8/P8-1,"")</f>
        <v>0.371682095241034</v>
      </c>
      <c r="T8" s="9" t="n">
        <f aca="false">IF(AND(ISNUMBER(P8),P8&gt;0),P8*EXP('Read me'!$B$22),"")</f>
        <v>16.9183898262996</v>
      </c>
    </row>
    <row r="9" customFormat="false" ht="15" hidden="false" customHeight="false" outlineLevel="0" collapsed="false">
      <c r="A9" s="14" t="s">
        <v>55</v>
      </c>
      <c r="B9" s="14" t="s">
        <v>56</v>
      </c>
      <c r="C9" s="14" t="s">
        <v>57</v>
      </c>
      <c r="D9" s="14" t="s">
        <v>319</v>
      </c>
      <c r="E9" s="15" t="n">
        <v>8</v>
      </c>
      <c r="F9" s="14" t="s">
        <v>349</v>
      </c>
      <c r="G9" s="8" t="n">
        <v>8</v>
      </c>
      <c r="H9" s="14" t="s">
        <v>365</v>
      </c>
      <c r="I9" s="14" t="s">
        <v>366</v>
      </c>
      <c r="J9" s="14" t="s">
        <v>367</v>
      </c>
      <c r="K9" s="8" t="n">
        <v>7</v>
      </c>
      <c r="L9" s="8" t="n">
        <v>69</v>
      </c>
      <c r="M9" s="8" t="n">
        <v>6</v>
      </c>
      <c r="N9" s="8" t="n">
        <v>20</v>
      </c>
      <c r="O9" s="8" t="n">
        <v>8</v>
      </c>
      <c r="P9" s="9" t="n">
        <v>35.0247214352567</v>
      </c>
      <c r="Q9" s="10" t="n">
        <v>0.0285512620521052</v>
      </c>
      <c r="R9" s="9" t="n">
        <v>23</v>
      </c>
      <c r="S9" s="12" t="n">
        <f aca="false">IF(AND(ISNUMBER(R9),R9&gt;1,P9&gt;0),R9/P9-1,"")</f>
        <v>-0.34332097280158</v>
      </c>
      <c r="T9" s="9" t="n">
        <f aca="false">IF(AND(ISNUMBER(P9),P9&gt;0),P9*EXP('Read me'!$B$22),"")</f>
        <v>42.7792913648141</v>
      </c>
    </row>
    <row r="10" customFormat="false" ht="15" hidden="false" customHeight="false" outlineLevel="0" collapsed="false">
      <c r="A10" s="14" t="s">
        <v>81</v>
      </c>
      <c r="B10" s="14" t="s">
        <v>56</v>
      </c>
      <c r="C10" s="14" t="s">
        <v>82</v>
      </c>
      <c r="D10" s="14" t="s">
        <v>422</v>
      </c>
      <c r="E10" s="15" t="n">
        <v>6</v>
      </c>
      <c r="F10" s="14" t="s">
        <v>349</v>
      </c>
      <c r="G10" s="8" t="n">
        <v>6</v>
      </c>
      <c r="H10" s="14" t="s">
        <v>83</v>
      </c>
      <c r="I10" s="14" t="s">
        <v>84</v>
      </c>
      <c r="J10" s="14" t="s">
        <v>60</v>
      </c>
      <c r="K10" s="8" t="n">
        <v>2</v>
      </c>
      <c r="L10" s="8" t="n">
        <v>0</v>
      </c>
      <c r="M10" s="8" t="n">
        <v>2</v>
      </c>
      <c r="N10" s="8" t="n">
        <v>46</v>
      </c>
      <c r="O10" s="8" t="n">
        <v>1</v>
      </c>
      <c r="P10" s="9" t="n">
        <v>3.08851813183901</v>
      </c>
      <c r="Q10" s="10" t="n">
        <v>0.323779870252717</v>
      </c>
      <c r="R10" s="9" t="n">
        <v>7</v>
      </c>
      <c r="S10" s="12" t="n">
        <f aca="false">IF(AND(ISNUMBER(R10),R10&gt;1,P10&gt;0),R10/P10-1,"")</f>
        <v>1.26645909176902</v>
      </c>
      <c r="T10" s="9" t="n">
        <f aca="false">IF(AND(ISNUMBER(P10),P10&gt;0),P10*EXP('Read me'!$B$22),"")</f>
        <v>3.77232456485586</v>
      </c>
    </row>
    <row r="11" customFormat="false" ht="15" hidden="false" customHeight="false" outlineLevel="0" collapsed="false">
      <c r="A11" s="14" t="s">
        <v>81</v>
      </c>
      <c r="B11" s="14" t="s">
        <v>56</v>
      </c>
      <c r="C11" s="14" t="s">
        <v>82</v>
      </c>
      <c r="D11" s="14" t="s">
        <v>422</v>
      </c>
      <c r="E11" s="15" t="n">
        <v>6</v>
      </c>
      <c r="F11" s="14" t="s">
        <v>349</v>
      </c>
      <c r="G11" s="8" t="n">
        <v>6</v>
      </c>
      <c r="H11" s="14" t="s">
        <v>85</v>
      </c>
      <c r="I11" s="14" t="s">
        <v>423</v>
      </c>
      <c r="J11" s="14" t="s">
        <v>424</v>
      </c>
      <c r="K11" s="8" t="n">
        <v>6</v>
      </c>
      <c r="L11" s="8" t="n">
        <v>75</v>
      </c>
      <c r="M11" s="8" t="n">
        <v>2</v>
      </c>
      <c r="N11" s="8" t="n">
        <v>12</v>
      </c>
      <c r="O11" s="8" t="n">
        <v>2</v>
      </c>
      <c r="P11" s="9" t="n">
        <v>3.94482111071107</v>
      </c>
      <c r="Q11" s="10" t="n">
        <v>0.253496919615639</v>
      </c>
      <c r="R11" s="9" t="n">
        <v>3</v>
      </c>
      <c r="S11" s="12" t="n">
        <f aca="false">IF(AND(ISNUMBER(R11),R11&gt;1,P11&gt;0),R11/P11-1,"")</f>
        <v>-0.239509241153082</v>
      </c>
      <c r="T11" s="9" t="n">
        <f aca="false">IF(AND(ISNUMBER(P11),P11&gt;0),P11*EXP('Read me'!$B$22),"")</f>
        <v>4.81821538507096</v>
      </c>
    </row>
    <row r="12" customFormat="false" ht="15" hidden="false" customHeight="false" outlineLevel="0" collapsed="false">
      <c r="A12" s="14" t="s">
        <v>81</v>
      </c>
      <c r="B12" s="14" t="s">
        <v>56</v>
      </c>
      <c r="C12" s="14" t="s">
        <v>82</v>
      </c>
      <c r="D12" s="14" t="s">
        <v>422</v>
      </c>
      <c r="E12" s="15" t="n">
        <v>6</v>
      </c>
      <c r="F12" s="14" t="s">
        <v>349</v>
      </c>
      <c r="G12" s="8" t="n">
        <v>6</v>
      </c>
      <c r="H12" s="14" t="s">
        <v>425</v>
      </c>
      <c r="I12" s="14" t="s">
        <v>426</v>
      </c>
      <c r="J12" s="14" t="s">
        <v>90</v>
      </c>
      <c r="K12" s="8" t="n">
        <v>4</v>
      </c>
      <c r="L12" s="8" t="n">
        <v>0</v>
      </c>
      <c r="M12" s="8" t="n">
        <v>2</v>
      </c>
      <c r="N12" s="8"/>
      <c r="O12" s="8" t="n">
        <v>3</v>
      </c>
      <c r="P12" s="9" t="n">
        <v>4.48235513953898</v>
      </c>
      <c r="Q12" s="10" t="n">
        <v>0.22309700344334</v>
      </c>
      <c r="R12" s="9" t="n">
        <v>2</v>
      </c>
      <c r="S12" s="12" t="n">
        <f aca="false">IF(AND(ISNUMBER(R12),R12&gt;1,P12&gt;0),R12/P12-1,"")</f>
        <v>-0.55380599311332</v>
      </c>
      <c r="T12" s="9" t="n">
        <f aca="false">IF(AND(ISNUMBER(P12),P12&gt;0),P12*EXP('Read me'!$B$22),"")</f>
        <v>5.47476093048632</v>
      </c>
    </row>
    <row r="13" customFormat="false" ht="15" hidden="false" customHeight="false" outlineLevel="0" collapsed="false">
      <c r="A13" s="14" t="s">
        <v>81</v>
      </c>
      <c r="B13" s="14" t="s">
        <v>56</v>
      </c>
      <c r="C13" s="14" t="s">
        <v>82</v>
      </c>
      <c r="D13" s="14" t="s">
        <v>422</v>
      </c>
      <c r="E13" s="15" t="n">
        <v>6</v>
      </c>
      <c r="F13" s="14" t="s">
        <v>349</v>
      </c>
      <c r="G13" s="8" t="n">
        <v>6</v>
      </c>
      <c r="H13" s="14" t="s">
        <v>427</v>
      </c>
      <c r="I13" s="14" t="s">
        <v>428</v>
      </c>
      <c r="J13" s="14" t="s">
        <v>429</v>
      </c>
      <c r="K13" s="8" t="n">
        <v>3</v>
      </c>
      <c r="L13" s="8" t="n">
        <v>0</v>
      </c>
      <c r="M13" s="8" t="n">
        <v>2</v>
      </c>
      <c r="N13" s="8" t="n">
        <v>17</v>
      </c>
      <c r="O13" s="8" t="n">
        <v>4</v>
      </c>
      <c r="P13" s="9" t="n">
        <v>5.33395009250331</v>
      </c>
      <c r="Q13" s="10" t="n">
        <v>0.187478319567607</v>
      </c>
      <c r="R13" s="9" t="n">
        <v>8</v>
      </c>
      <c r="S13" s="12" t="n">
        <f aca="false">IF(AND(ISNUMBER(R13),R13&gt;1,P13&gt;0),R13/P13-1,"")</f>
        <v>0.499826556540853</v>
      </c>
      <c r="T13" s="9" t="n">
        <f aca="false">IF(AND(ISNUMBER(P13),P13&gt;0),P13*EXP('Read me'!$B$22),"")</f>
        <v>6.51490135487223</v>
      </c>
    </row>
    <row r="14" customFormat="false" ht="15" hidden="false" customHeight="false" outlineLevel="0" collapsed="false">
      <c r="A14" s="14" t="s">
        <v>81</v>
      </c>
      <c r="B14" s="14" t="s">
        <v>56</v>
      </c>
      <c r="C14" s="14" t="s">
        <v>82</v>
      </c>
      <c r="D14" s="14" t="s">
        <v>422</v>
      </c>
      <c r="E14" s="15" t="n">
        <v>6</v>
      </c>
      <c r="F14" s="14" t="s">
        <v>349</v>
      </c>
      <c r="G14" s="8" t="n">
        <v>6</v>
      </c>
      <c r="H14" s="14" t="s">
        <v>430</v>
      </c>
      <c r="I14" s="14" t="s">
        <v>366</v>
      </c>
      <c r="J14" s="14" t="s">
        <v>431</v>
      </c>
      <c r="K14" s="8" t="n">
        <v>5</v>
      </c>
      <c r="L14" s="8" t="n">
        <v>0</v>
      </c>
      <c r="M14" s="8" t="n">
        <v>2</v>
      </c>
      <c r="N14" s="8" t="n">
        <v>17</v>
      </c>
      <c r="O14" s="8" t="n">
        <v>5</v>
      </c>
      <c r="P14" s="9" t="n">
        <v>135.757229147947</v>
      </c>
      <c r="Q14" s="10" t="n">
        <v>0.0073660902353141</v>
      </c>
      <c r="R14" s="9" t="n">
        <v>41</v>
      </c>
      <c r="S14" s="12" t="n">
        <f aca="false">IF(AND(ISNUMBER(R14),R14&gt;1,P14&gt;0),R14/P14-1,"")</f>
        <v>-0.697990300352118</v>
      </c>
      <c r="T14" s="9" t="n">
        <f aca="false">IF(AND(ISNUMBER(P14),P14&gt;0),P14*EXP('Read me'!$B$22),"")</f>
        <v>165.814254121484</v>
      </c>
    </row>
    <row r="15" customFormat="false" ht="15" hidden="false" customHeight="false" outlineLevel="0" collapsed="false">
      <c r="A15" s="14" t="s">
        <v>81</v>
      </c>
      <c r="B15" s="14" t="s">
        <v>56</v>
      </c>
      <c r="C15" s="14" t="s">
        <v>82</v>
      </c>
      <c r="D15" s="14" t="s">
        <v>422</v>
      </c>
      <c r="E15" s="15" t="n">
        <v>6</v>
      </c>
      <c r="F15" s="14" t="s">
        <v>349</v>
      </c>
      <c r="G15" s="8" t="n">
        <v>6</v>
      </c>
      <c r="H15" s="14" t="s">
        <v>432</v>
      </c>
      <c r="I15" s="14" t="s">
        <v>433</v>
      </c>
      <c r="J15" s="14" t="s">
        <v>431</v>
      </c>
      <c r="K15" s="8" t="n">
        <v>1</v>
      </c>
      <c r="L15" s="8" t="n">
        <v>0</v>
      </c>
      <c r="M15" s="8" t="n">
        <v>2</v>
      </c>
      <c r="N15" s="8" t="n">
        <v>27</v>
      </c>
      <c r="O15" s="8" t="n">
        <v>6</v>
      </c>
      <c r="P15" s="9" t="n">
        <v>209.126406656227</v>
      </c>
      <c r="Q15" s="10" t="n">
        <v>0.0047817968853825</v>
      </c>
      <c r="R15" s="9" t="n">
        <v>101</v>
      </c>
      <c r="S15" s="12" t="n">
        <f aca="false">IF(AND(ISNUMBER(R15),R15&gt;1,P15&gt;0),R15/P15-1,"")</f>
        <v>-0.517038514576357</v>
      </c>
      <c r="T15" s="9" t="n">
        <f aca="false">IF(AND(ISNUMBER(P15),P15&gt;0),P15*EXP('Read me'!$B$22),"")</f>
        <v>255.427569894041</v>
      </c>
    </row>
    <row r="16" customFormat="false" ht="15" hidden="false" customHeight="false" outlineLevel="0" collapsed="false">
      <c r="A16" s="14" t="s">
        <v>104</v>
      </c>
      <c r="B16" s="14" t="s">
        <v>56</v>
      </c>
      <c r="C16" s="14" t="s">
        <v>105</v>
      </c>
      <c r="D16" s="14" t="s">
        <v>422</v>
      </c>
      <c r="E16" s="15" t="n">
        <v>10</v>
      </c>
      <c r="F16" s="14" t="s">
        <v>349</v>
      </c>
      <c r="G16" s="8" t="n">
        <v>9</v>
      </c>
      <c r="H16" s="14" t="s">
        <v>106</v>
      </c>
      <c r="I16" s="14" t="s">
        <v>107</v>
      </c>
      <c r="J16" s="14" t="s">
        <v>108</v>
      </c>
      <c r="K16" s="8" t="n">
        <v>7</v>
      </c>
      <c r="L16" s="8" t="n">
        <v>80</v>
      </c>
      <c r="M16" s="8" t="n">
        <v>4</v>
      </c>
      <c r="N16" s="8" t="n">
        <v>17</v>
      </c>
      <c r="O16" s="8" t="n">
        <v>1</v>
      </c>
      <c r="P16" s="9" t="n">
        <v>5.25882334118722</v>
      </c>
      <c r="Q16" s="10" t="n">
        <v>0.190156606358684</v>
      </c>
      <c r="R16" s="9" t="n">
        <v>4</v>
      </c>
      <c r="S16" s="12" t="n">
        <f aca="false">IF(AND(ISNUMBER(R16),R16&gt;1,P16&gt;0),R16/P16-1,"")</f>
        <v>-0.239373574565262</v>
      </c>
      <c r="T16" s="9" t="n">
        <f aca="false">IF(AND(ISNUMBER(P16),P16&gt;0),P16*EXP('Read me'!$B$22),"")</f>
        <v>6.42314133360315</v>
      </c>
    </row>
    <row r="17" customFormat="false" ht="15" hidden="false" customHeight="false" outlineLevel="0" collapsed="false">
      <c r="A17" s="14" t="s">
        <v>104</v>
      </c>
      <c r="B17" s="14" t="s">
        <v>56</v>
      </c>
      <c r="C17" s="14" t="s">
        <v>105</v>
      </c>
      <c r="D17" s="14" t="s">
        <v>422</v>
      </c>
      <c r="E17" s="15" t="n">
        <v>10</v>
      </c>
      <c r="F17" s="14" t="s">
        <v>349</v>
      </c>
      <c r="G17" s="8" t="n">
        <v>9</v>
      </c>
      <c r="H17" s="14" t="s">
        <v>109</v>
      </c>
      <c r="I17" s="14" t="s">
        <v>482</v>
      </c>
      <c r="J17" s="14" t="s">
        <v>483</v>
      </c>
      <c r="K17" s="8" t="n">
        <v>1</v>
      </c>
      <c r="L17" s="8" t="n">
        <v>76</v>
      </c>
      <c r="M17" s="8" t="n">
        <v>3</v>
      </c>
      <c r="N17" s="8" t="n">
        <v>41</v>
      </c>
      <c r="O17" s="8" t="n">
        <v>2</v>
      </c>
      <c r="P17" s="9" t="n">
        <v>5.32881442972078</v>
      </c>
      <c r="Q17" s="10" t="n">
        <v>0.187659002426999</v>
      </c>
      <c r="R17" s="9" t="n">
        <v>5</v>
      </c>
      <c r="S17" s="12" t="n">
        <f aca="false">IF(AND(ISNUMBER(R17),R17&gt;1,P17&gt;0),R17/P17-1,"")</f>
        <v>-0.0617049878650044</v>
      </c>
      <c r="T17" s="9" t="n">
        <f aca="false">IF(AND(ISNUMBER(P17),P17&gt;0),P17*EXP('Read me'!$B$22),"")</f>
        <v>6.50862864218468</v>
      </c>
    </row>
    <row r="18" customFormat="false" ht="15" hidden="false" customHeight="false" outlineLevel="0" collapsed="false">
      <c r="A18" s="14" t="s">
        <v>104</v>
      </c>
      <c r="B18" s="14" t="s">
        <v>56</v>
      </c>
      <c r="C18" s="14" t="s">
        <v>105</v>
      </c>
      <c r="D18" s="14" t="s">
        <v>422</v>
      </c>
      <c r="E18" s="15" t="n">
        <v>10</v>
      </c>
      <c r="F18" s="14" t="s">
        <v>349</v>
      </c>
      <c r="G18" s="8" t="n">
        <v>9</v>
      </c>
      <c r="H18" s="14" t="s">
        <v>484</v>
      </c>
      <c r="I18" s="14" t="s">
        <v>130</v>
      </c>
      <c r="J18" s="14" t="s">
        <v>131</v>
      </c>
      <c r="K18" s="8" t="n">
        <v>3</v>
      </c>
      <c r="L18" s="8" t="n">
        <v>80</v>
      </c>
      <c r="M18" s="8" t="n">
        <v>4</v>
      </c>
      <c r="N18" s="8" t="n">
        <v>26</v>
      </c>
      <c r="O18" s="8" t="n">
        <v>3</v>
      </c>
      <c r="P18" s="9" t="n">
        <v>6.25053374552242</v>
      </c>
      <c r="Q18" s="10" t="n">
        <v>0.159986337281412</v>
      </c>
      <c r="R18" s="9" t="n">
        <v>7</v>
      </c>
      <c r="S18" s="12" t="n">
        <f aca="false">IF(AND(ISNUMBER(R18),R18&gt;1,P18&gt;0),R18/P18-1,"")</f>
        <v>0.119904360969886</v>
      </c>
      <c r="T18" s="9" t="n">
        <f aca="false">IF(AND(ISNUMBER(P18),P18&gt;0),P18*EXP('Read me'!$B$22),"")</f>
        <v>7.63441915675431</v>
      </c>
    </row>
    <row r="19" customFormat="false" ht="15" hidden="false" customHeight="false" outlineLevel="0" collapsed="false">
      <c r="A19" s="14" t="s">
        <v>104</v>
      </c>
      <c r="B19" s="14" t="s">
        <v>56</v>
      </c>
      <c r="C19" s="14" t="s">
        <v>105</v>
      </c>
      <c r="D19" s="14" t="s">
        <v>422</v>
      </c>
      <c r="E19" s="15" t="n">
        <v>10</v>
      </c>
      <c r="F19" s="14" t="s">
        <v>349</v>
      </c>
      <c r="G19" s="8" t="n">
        <v>9</v>
      </c>
      <c r="H19" s="14" t="s">
        <v>485</v>
      </c>
      <c r="I19" s="14" t="s">
        <v>486</v>
      </c>
      <c r="J19" s="14" t="s">
        <v>487</v>
      </c>
      <c r="K19" s="8" t="n">
        <v>8</v>
      </c>
      <c r="L19" s="8" t="n">
        <v>74</v>
      </c>
      <c r="M19" s="8" t="n">
        <v>5</v>
      </c>
      <c r="N19" s="8" t="n">
        <v>18</v>
      </c>
      <c r="O19" s="8" t="n">
        <v>4</v>
      </c>
      <c r="P19" s="9" t="n">
        <v>8.46253073183432</v>
      </c>
      <c r="Q19" s="10" t="n">
        <v>0.118167960825029</v>
      </c>
      <c r="R19" s="9" t="n">
        <v>4.33333333333333</v>
      </c>
      <c r="S19" s="12" t="n">
        <f aca="false">IF(AND(ISNUMBER(R19),R19&gt;1,P19&gt;0),R19/P19-1,"")</f>
        <v>-0.487938836424875</v>
      </c>
      <c r="T19" s="9" t="n">
        <f aca="false">IF(AND(ISNUMBER(P19),P19&gt;0),P19*EXP('Read me'!$B$22),"")</f>
        <v>10.3361583768776</v>
      </c>
    </row>
    <row r="20" customFormat="false" ht="15" hidden="false" customHeight="false" outlineLevel="0" collapsed="false">
      <c r="A20" s="14" t="s">
        <v>104</v>
      </c>
      <c r="B20" s="14" t="s">
        <v>56</v>
      </c>
      <c r="C20" s="14" t="s">
        <v>105</v>
      </c>
      <c r="D20" s="14" t="s">
        <v>422</v>
      </c>
      <c r="E20" s="15" t="n">
        <v>10</v>
      </c>
      <c r="F20" s="14" t="s">
        <v>349</v>
      </c>
      <c r="G20" s="8" t="n">
        <v>9</v>
      </c>
      <c r="H20" s="14" t="s">
        <v>488</v>
      </c>
      <c r="I20" s="14" t="s">
        <v>366</v>
      </c>
      <c r="J20" s="14" t="s">
        <v>351</v>
      </c>
      <c r="K20" s="8" t="n">
        <v>4</v>
      </c>
      <c r="L20" s="8" t="n">
        <v>76</v>
      </c>
      <c r="M20" s="8" t="n">
        <v>5</v>
      </c>
      <c r="N20" s="8" t="n">
        <v>9</v>
      </c>
      <c r="O20" s="8" t="n">
        <v>5</v>
      </c>
      <c r="P20" s="9" t="n">
        <v>9.96344610907339</v>
      </c>
      <c r="Q20" s="10" t="n">
        <v>0.100366879998411</v>
      </c>
      <c r="R20" s="9" t="n">
        <v>9.5</v>
      </c>
      <c r="S20" s="12" t="n">
        <f aca="false">IF(AND(ISNUMBER(R20),R20&gt;1,P20&gt;0),R20/P20-1,"")</f>
        <v>-0.0465146400150994</v>
      </c>
      <c r="T20" s="9" t="n">
        <f aca="false">IF(AND(ISNUMBER(P20),P20&gt;0),P20*EXP('Read me'!$B$22),"")</f>
        <v>12.1693805584025</v>
      </c>
    </row>
    <row r="21" customFormat="false" ht="15" hidden="false" customHeight="false" outlineLevel="0" collapsed="false">
      <c r="A21" s="14" t="s">
        <v>104</v>
      </c>
      <c r="B21" s="14" t="s">
        <v>56</v>
      </c>
      <c r="C21" s="14" t="s">
        <v>105</v>
      </c>
      <c r="D21" s="14" t="s">
        <v>422</v>
      </c>
      <c r="E21" s="15" t="n">
        <v>10</v>
      </c>
      <c r="F21" s="14" t="s">
        <v>349</v>
      </c>
      <c r="G21" s="8" t="n">
        <v>9</v>
      </c>
      <c r="H21" s="14" t="s">
        <v>489</v>
      </c>
      <c r="I21" s="14" t="s">
        <v>84</v>
      </c>
      <c r="J21" s="14" t="s">
        <v>60</v>
      </c>
      <c r="K21" s="8" t="n">
        <v>2</v>
      </c>
      <c r="L21" s="8" t="n">
        <v>75</v>
      </c>
      <c r="M21" s="8" t="n">
        <v>4</v>
      </c>
      <c r="N21" s="8" t="n">
        <v>12</v>
      </c>
      <c r="O21" s="8" t="n">
        <v>6</v>
      </c>
      <c r="P21" s="9" t="n">
        <v>11.1754787825748</v>
      </c>
      <c r="Q21" s="10" t="n">
        <v>0.089481624855235</v>
      </c>
      <c r="R21" s="9" t="n">
        <v>13</v>
      </c>
      <c r="S21" s="12" t="n">
        <f aca="false">IF(AND(ISNUMBER(R21),R21&gt;1,P21&gt;0),R21/P21-1,"")</f>
        <v>0.163261123118056</v>
      </c>
      <c r="T21" s="9" t="n">
        <f aca="false">IF(AND(ISNUMBER(P21),P21&gt;0),P21*EXP('Read me'!$B$22),"")</f>
        <v>13.6497606087974</v>
      </c>
    </row>
    <row r="22" customFormat="false" ht="15" hidden="false" customHeight="false" outlineLevel="0" collapsed="false">
      <c r="A22" s="14" t="s">
        <v>104</v>
      </c>
      <c r="B22" s="14" t="s">
        <v>56</v>
      </c>
      <c r="C22" s="14" t="s">
        <v>105</v>
      </c>
      <c r="D22" s="14" t="s">
        <v>422</v>
      </c>
      <c r="E22" s="15" t="n">
        <v>10</v>
      </c>
      <c r="F22" s="14" t="s">
        <v>349</v>
      </c>
      <c r="G22" s="8" t="n">
        <v>9</v>
      </c>
      <c r="H22" s="14" t="s">
        <v>490</v>
      </c>
      <c r="I22" s="14" t="s">
        <v>423</v>
      </c>
      <c r="J22" s="14" t="s">
        <v>197</v>
      </c>
      <c r="K22" s="8" t="n">
        <v>5</v>
      </c>
      <c r="L22" s="8" t="n">
        <v>76</v>
      </c>
      <c r="M22" s="8" t="n">
        <v>4</v>
      </c>
      <c r="N22" s="8" t="n">
        <v>14</v>
      </c>
      <c r="O22" s="8" t="n">
        <v>7</v>
      </c>
      <c r="P22" s="9" t="n">
        <v>17.2473436201292</v>
      </c>
      <c r="Q22" s="10" t="n">
        <v>0.0579799430002027</v>
      </c>
      <c r="R22" s="9" t="n">
        <v>12</v>
      </c>
      <c r="S22" s="12" t="n">
        <f aca="false">IF(AND(ISNUMBER(R22),R22&gt;1,P22&gt;0),R22/P22-1,"")</f>
        <v>-0.304240683997567</v>
      </c>
      <c r="T22" s="9" t="n">
        <f aca="false">IF(AND(ISNUMBER(P22),P22&gt;0),P22*EXP('Read me'!$B$22),"")</f>
        <v>21.065953068562</v>
      </c>
    </row>
    <row r="23" customFormat="false" ht="15" hidden="false" customHeight="false" outlineLevel="0" collapsed="false">
      <c r="A23" s="14" t="s">
        <v>104</v>
      </c>
      <c r="B23" s="14" t="s">
        <v>56</v>
      </c>
      <c r="C23" s="14" t="s">
        <v>105</v>
      </c>
      <c r="D23" s="14" t="s">
        <v>422</v>
      </c>
      <c r="E23" s="15" t="n">
        <v>10</v>
      </c>
      <c r="F23" s="14" t="s">
        <v>349</v>
      </c>
      <c r="G23" s="8" t="n">
        <v>9</v>
      </c>
      <c r="H23" s="14" t="s">
        <v>491</v>
      </c>
      <c r="I23" s="14" t="s">
        <v>433</v>
      </c>
      <c r="J23" s="14" t="s">
        <v>492</v>
      </c>
      <c r="K23" s="8" t="n">
        <v>6</v>
      </c>
      <c r="L23" s="8" t="n">
        <v>78</v>
      </c>
      <c r="M23" s="8" t="n">
        <v>4</v>
      </c>
      <c r="N23" s="8" t="n">
        <v>17</v>
      </c>
      <c r="O23" s="8" t="n">
        <v>8</v>
      </c>
      <c r="P23" s="9" t="n">
        <v>17.7452052955489</v>
      </c>
      <c r="Q23" s="10" t="n">
        <v>0.0563532505454211</v>
      </c>
      <c r="R23" s="9" t="n">
        <v>15</v>
      </c>
      <c r="S23" s="12" t="n">
        <f aca="false">IF(AND(ISNUMBER(R23),R23&gt;1,P23&gt;0),R23/P23-1,"")</f>
        <v>-0.154701241818683</v>
      </c>
      <c r="T23" s="9" t="n">
        <f aca="false">IF(AND(ISNUMBER(P23),P23&gt;0),P23*EXP('Read me'!$B$22),"")</f>
        <v>21.6740426921018</v>
      </c>
    </row>
    <row r="24" customFormat="false" ht="15" hidden="false" customHeight="false" outlineLevel="0" collapsed="false">
      <c r="A24" s="14" t="s">
        <v>104</v>
      </c>
      <c r="B24" s="14" t="s">
        <v>56</v>
      </c>
      <c r="C24" s="14" t="s">
        <v>105</v>
      </c>
      <c r="D24" s="14" t="s">
        <v>422</v>
      </c>
      <c r="E24" s="15" t="n">
        <v>10</v>
      </c>
      <c r="F24" s="14" t="s">
        <v>349</v>
      </c>
      <c r="G24" s="8" t="n">
        <v>9</v>
      </c>
      <c r="H24" s="14" t="s">
        <v>493</v>
      </c>
      <c r="I24" s="14" t="s">
        <v>494</v>
      </c>
      <c r="J24" s="14" t="s">
        <v>495</v>
      </c>
      <c r="K24" s="8" t="n">
        <v>9</v>
      </c>
      <c r="L24" s="8" t="n">
        <v>73</v>
      </c>
      <c r="M24" s="8" t="n">
        <v>8</v>
      </c>
      <c r="N24" s="8" t="n">
        <v>17</v>
      </c>
      <c r="O24" s="8" t="n">
        <v>9</v>
      </c>
      <c r="P24" s="9" t="n">
        <v>25.0951138010093</v>
      </c>
      <c r="Q24" s="10" t="n">
        <v>0.0398483947086058</v>
      </c>
      <c r="R24" s="9" t="n">
        <v>26</v>
      </c>
      <c r="S24" s="12" t="n">
        <f aca="false">IF(AND(ISNUMBER(R24),R24&gt;1,P24&gt;0),R24/P24-1,"")</f>
        <v>0.0360582624237531</v>
      </c>
      <c r="T24" s="9" t="n">
        <f aca="false">IF(AND(ISNUMBER(P24),P24&gt;0),P24*EXP('Read me'!$B$22),"")</f>
        <v>30.6512412128961</v>
      </c>
    </row>
    <row r="25" customFormat="false" ht="15" hidden="false" customHeight="false" outlineLevel="0" collapsed="false">
      <c r="A25" s="14" t="s">
        <v>127</v>
      </c>
      <c r="B25" s="14" t="s">
        <v>56</v>
      </c>
      <c r="C25" s="14" t="s">
        <v>128</v>
      </c>
      <c r="D25" s="14" t="s">
        <v>422</v>
      </c>
      <c r="E25" s="15" t="n">
        <v>7</v>
      </c>
      <c r="F25" s="14" t="s">
        <v>349</v>
      </c>
      <c r="G25" s="8" t="n">
        <v>10</v>
      </c>
      <c r="H25" s="14" t="s">
        <v>129</v>
      </c>
      <c r="I25" s="14" t="s">
        <v>130</v>
      </c>
      <c r="J25" s="14" t="s">
        <v>131</v>
      </c>
      <c r="K25" s="8" t="n">
        <v>5</v>
      </c>
      <c r="L25" s="8" t="n">
        <v>81</v>
      </c>
      <c r="M25" s="8" t="n">
        <v>4</v>
      </c>
      <c r="N25" s="8" t="n">
        <v>7</v>
      </c>
      <c r="O25" s="8" t="n">
        <v>1</v>
      </c>
      <c r="P25" s="9" t="n">
        <v>4.48027259490629</v>
      </c>
      <c r="Q25" s="10" t="n">
        <v>0.22320070460376</v>
      </c>
      <c r="R25" s="9" t="n">
        <v>4.5</v>
      </c>
      <c r="S25" s="12" t="n">
        <f aca="false">IF(AND(ISNUMBER(R25),R25&gt;1,P25&gt;0),R25/P25-1,"")</f>
        <v>0.00440317071691965</v>
      </c>
      <c r="T25" s="9" t="n">
        <f aca="false">IF(AND(ISNUMBER(P25),P25&gt;0),P25*EXP('Read me'!$B$22),"")</f>
        <v>5.47221730472797</v>
      </c>
    </row>
    <row r="26" customFormat="false" ht="15" hidden="false" customHeight="false" outlineLevel="0" collapsed="false">
      <c r="A26" s="14" t="s">
        <v>127</v>
      </c>
      <c r="B26" s="14" t="s">
        <v>56</v>
      </c>
      <c r="C26" s="14" t="s">
        <v>128</v>
      </c>
      <c r="D26" s="14" t="s">
        <v>422</v>
      </c>
      <c r="E26" s="15" t="n">
        <v>7</v>
      </c>
      <c r="F26" s="14" t="s">
        <v>349</v>
      </c>
      <c r="G26" s="8" t="n">
        <v>10</v>
      </c>
      <c r="H26" s="14" t="s">
        <v>132</v>
      </c>
      <c r="I26" s="14" t="s">
        <v>494</v>
      </c>
      <c r="J26" s="14" t="s">
        <v>495</v>
      </c>
      <c r="K26" s="8" t="n">
        <v>2</v>
      </c>
      <c r="L26" s="8" t="n">
        <v>77</v>
      </c>
      <c r="M26" s="8" t="n">
        <v>8</v>
      </c>
      <c r="N26" s="8" t="n">
        <v>10</v>
      </c>
      <c r="O26" s="8" t="n">
        <v>2</v>
      </c>
      <c r="P26" s="9" t="n">
        <v>4.99174514066143</v>
      </c>
      <c r="Q26" s="10" t="n">
        <v>0.200330740416666</v>
      </c>
      <c r="R26" s="9" t="n">
        <v>4.5</v>
      </c>
      <c r="S26" s="12" t="n">
        <f aca="false">IF(AND(ISNUMBER(R26),R26&gt;1,P26&gt;0),R26/P26-1,"")</f>
        <v>-0.098511668125001</v>
      </c>
      <c r="T26" s="9" t="n">
        <f aca="false">IF(AND(ISNUMBER(P26),P26&gt;0),P26*EXP('Read me'!$B$22),"")</f>
        <v>6.09693128283649</v>
      </c>
    </row>
    <row r="27" customFormat="false" ht="15" hidden="false" customHeight="false" outlineLevel="0" collapsed="false">
      <c r="A27" s="14" t="s">
        <v>127</v>
      </c>
      <c r="B27" s="14" t="s">
        <v>56</v>
      </c>
      <c r="C27" s="14" t="s">
        <v>128</v>
      </c>
      <c r="D27" s="14" t="s">
        <v>422</v>
      </c>
      <c r="E27" s="15" t="n">
        <v>7</v>
      </c>
      <c r="F27" s="14" t="s">
        <v>349</v>
      </c>
      <c r="G27" s="8" t="n">
        <v>10</v>
      </c>
      <c r="H27" s="14" t="s">
        <v>552</v>
      </c>
      <c r="I27" s="14" t="s">
        <v>553</v>
      </c>
      <c r="J27" s="14" t="s">
        <v>380</v>
      </c>
      <c r="K27" s="8" t="n">
        <v>7</v>
      </c>
      <c r="L27" s="8" t="n">
        <v>79</v>
      </c>
      <c r="M27" s="8" t="n">
        <v>3</v>
      </c>
      <c r="N27" s="8" t="n">
        <v>10</v>
      </c>
      <c r="O27" s="8" t="n">
        <v>3</v>
      </c>
      <c r="P27" s="9" t="n">
        <v>8.11607966736919</v>
      </c>
      <c r="Q27" s="10" t="n">
        <v>0.123212196156787</v>
      </c>
      <c r="R27" s="9" t="n">
        <v>7</v>
      </c>
      <c r="S27" s="12" t="n">
        <f aca="false">IF(AND(ISNUMBER(R27),R27&gt;1,P27&gt;0),R27/P27-1,"")</f>
        <v>-0.137514626902493</v>
      </c>
      <c r="T27" s="9" t="n">
        <f aca="false">IF(AND(ISNUMBER(P27),P27&gt;0),P27*EXP('Read me'!$B$22),"")</f>
        <v>9.9130020911724</v>
      </c>
    </row>
    <row r="28" customFormat="false" ht="15" hidden="false" customHeight="false" outlineLevel="0" collapsed="false">
      <c r="A28" s="14" t="s">
        <v>127</v>
      </c>
      <c r="B28" s="14" t="s">
        <v>56</v>
      </c>
      <c r="C28" s="14" t="s">
        <v>128</v>
      </c>
      <c r="D28" s="14" t="s">
        <v>422</v>
      </c>
      <c r="E28" s="15" t="n">
        <v>7</v>
      </c>
      <c r="F28" s="14" t="s">
        <v>349</v>
      </c>
      <c r="G28" s="8" t="n">
        <v>10</v>
      </c>
      <c r="H28" s="14" t="s">
        <v>554</v>
      </c>
      <c r="I28" s="14" t="s">
        <v>555</v>
      </c>
      <c r="J28" s="14" t="s">
        <v>108</v>
      </c>
      <c r="K28" s="8" t="n">
        <v>8</v>
      </c>
      <c r="L28" s="8" t="n">
        <v>70</v>
      </c>
      <c r="M28" s="8" t="n">
        <v>6</v>
      </c>
      <c r="N28" s="8" t="n">
        <v>20</v>
      </c>
      <c r="O28" s="8" t="n">
        <v>4</v>
      </c>
      <c r="P28" s="9" t="n">
        <v>10.3499391660717</v>
      </c>
      <c r="Q28" s="10" t="n">
        <v>0.0966189253824907</v>
      </c>
      <c r="R28" s="9" t="n">
        <v>7.5</v>
      </c>
      <c r="S28" s="12" t="n">
        <f aca="false">IF(AND(ISNUMBER(R28),R28&gt;1,P28&gt;0),R28/P28-1,"")</f>
        <v>-0.275358059631319</v>
      </c>
      <c r="T28" s="9" t="n">
        <f aca="false">IF(AND(ISNUMBER(P28),P28&gt;0),P28*EXP('Read me'!$B$22),"")</f>
        <v>12.6414442442299</v>
      </c>
    </row>
    <row r="29" customFormat="false" ht="15" hidden="false" customHeight="false" outlineLevel="0" collapsed="false">
      <c r="A29" s="14" t="s">
        <v>127</v>
      </c>
      <c r="B29" s="14" t="s">
        <v>56</v>
      </c>
      <c r="C29" s="14" t="s">
        <v>128</v>
      </c>
      <c r="D29" s="14" t="s">
        <v>422</v>
      </c>
      <c r="E29" s="15" t="n">
        <v>7</v>
      </c>
      <c r="F29" s="14" t="s">
        <v>349</v>
      </c>
      <c r="G29" s="8" t="n">
        <v>10</v>
      </c>
      <c r="H29" s="14" t="s">
        <v>556</v>
      </c>
      <c r="I29" s="14" t="s">
        <v>557</v>
      </c>
      <c r="J29" s="14" t="s">
        <v>367</v>
      </c>
      <c r="K29" s="8" t="n">
        <v>3</v>
      </c>
      <c r="L29" s="8" t="n">
        <v>81</v>
      </c>
      <c r="M29" s="8" t="n">
        <v>5</v>
      </c>
      <c r="N29" s="8" t="n">
        <v>7</v>
      </c>
      <c r="O29" s="8" t="n">
        <v>5</v>
      </c>
      <c r="P29" s="9" t="n">
        <v>11.6942747508637</v>
      </c>
      <c r="Q29" s="10" t="n">
        <v>0.0855119296667925</v>
      </c>
      <c r="R29" s="9" t="n">
        <v>9.5</v>
      </c>
      <c r="S29" s="12" t="n">
        <f aca="false">IF(AND(ISNUMBER(R29),R29&gt;1,P29&gt;0),R29/P29-1,"")</f>
        <v>-0.187636668165471</v>
      </c>
      <c r="T29" s="9" t="n">
        <f aca="false">IF(AND(ISNUMBER(P29),P29&gt;0),P29*EXP('Read me'!$B$22),"")</f>
        <v>14.2834194353877</v>
      </c>
    </row>
    <row r="30" customFormat="false" ht="15" hidden="false" customHeight="false" outlineLevel="0" collapsed="false">
      <c r="A30" s="14" t="s">
        <v>127</v>
      </c>
      <c r="B30" s="14" t="s">
        <v>56</v>
      </c>
      <c r="C30" s="14" t="s">
        <v>128</v>
      </c>
      <c r="D30" s="14" t="s">
        <v>422</v>
      </c>
      <c r="E30" s="15" t="n">
        <v>7</v>
      </c>
      <c r="F30" s="14" t="s">
        <v>349</v>
      </c>
      <c r="G30" s="8" t="n">
        <v>10</v>
      </c>
      <c r="H30" s="14" t="s">
        <v>558</v>
      </c>
      <c r="I30" s="14" t="s">
        <v>107</v>
      </c>
      <c r="J30" s="14" t="s">
        <v>351</v>
      </c>
      <c r="K30" s="8" t="n">
        <v>9</v>
      </c>
      <c r="L30" s="8" t="n">
        <v>74</v>
      </c>
      <c r="M30" s="8" t="n">
        <v>8</v>
      </c>
      <c r="N30" s="8" t="n">
        <v>8</v>
      </c>
      <c r="O30" s="8" t="n">
        <v>6</v>
      </c>
      <c r="P30" s="9" t="n">
        <v>14.9778697847922</v>
      </c>
      <c r="Q30" s="10" t="n">
        <v>0.0667651685031575</v>
      </c>
      <c r="R30" s="9" t="n">
        <v>9.5</v>
      </c>
      <c r="S30" s="12" t="n">
        <f aca="false">IF(AND(ISNUMBER(R30),R30&gt;1,P30&gt;0),R30/P30-1,"")</f>
        <v>-0.365730899220003</v>
      </c>
      <c r="T30" s="9" t="n">
        <f aca="false">IF(AND(ISNUMBER(P30),P30&gt;0),P30*EXP('Read me'!$B$22),"")</f>
        <v>18.294011466509</v>
      </c>
    </row>
    <row r="31" customFormat="false" ht="15" hidden="false" customHeight="false" outlineLevel="0" collapsed="false">
      <c r="A31" s="14" t="s">
        <v>127</v>
      </c>
      <c r="B31" s="14" t="s">
        <v>56</v>
      </c>
      <c r="C31" s="14" t="s">
        <v>128</v>
      </c>
      <c r="D31" s="14" t="s">
        <v>422</v>
      </c>
      <c r="E31" s="15" t="n">
        <v>7</v>
      </c>
      <c r="F31" s="14" t="s">
        <v>349</v>
      </c>
      <c r="G31" s="8" t="n">
        <v>10</v>
      </c>
      <c r="H31" s="14" t="s">
        <v>559</v>
      </c>
      <c r="I31" s="14" t="s">
        <v>560</v>
      </c>
      <c r="J31" s="14" t="s">
        <v>441</v>
      </c>
      <c r="K31" s="8" t="n">
        <v>10</v>
      </c>
      <c r="L31" s="8" t="n">
        <v>71</v>
      </c>
      <c r="M31" s="8" t="n">
        <v>5</v>
      </c>
      <c r="N31" s="8" t="n">
        <v>82</v>
      </c>
      <c r="O31" s="8" t="n">
        <v>7</v>
      </c>
      <c r="P31" s="9" t="n">
        <v>16.0167385796165</v>
      </c>
      <c r="Q31" s="10" t="n">
        <v>0.0624346832552186</v>
      </c>
      <c r="R31" s="9" t="n">
        <v>12</v>
      </c>
      <c r="S31" s="12" t="n">
        <f aca="false">IF(AND(ISNUMBER(R31),R31&gt;1,P31&gt;0),R31/P31-1,"")</f>
        <v>-0.250783800937376</v>
      </c>
      <c r="T31" s="9" t="n">
        <f aca="false">IF(AND(ISNUMBER(P31),P31&gt;0),P31*EXP('Read me'!$B$22),"")</f>
        <v>19.562888677874</v>
      </c>
    </row>
    <row r="32" customFormat="false" ht="15" hidden="false" customHeight="false" outlineLevel="0" collapsed="false">
      <c r="A32" s="14" t="s">
        <v>127</v>
      </c>
      <c r="B32" s="14" t="s">
        <v>56</v>
      </c>
      <c r="C32" s="14" t="s">
        <v>128</v>
      </c>
      <c r="D32" s="14" t="s">
        <v>422</v>
      </c>
      <c r="E32" s="15" t="n">
        <v>7</v>
      </c>
      <c r="F32" s="14" t="s">
        <v>349</v>
      </c>
      <c r="G32" s="8" t="n">
        <v>10</v>
      </c>
      <c r="H32" s="14" t="s">
        <v>561</v>
      </c>
      <c r="I32" s="14" t="s">
        <v>426</v>
      </c>
      <c r="J32" s="14" t="s">
        <v>90</v>
      </c>
      <c r="K32" s="8" t="n">
        <v>4</v>
      </c>
      <c r="L32" s="8" t="n">
        <v>70</v>
      </c>
      <c r="M32" s="8" t="n">
        <v>8</v>
      </c>
      <c r="N32" s="8" t="n">
        <v>28</v>
      </c>
      <c r="O32" s="8" t="n">
        <v>8</v>
      </c>
      <c r="P32" s="9" t="n">
        <v>17.001131500565</v>
      </c>
      <c r="Q32" s="10" t="n">
        <v>0.0588196144454717</v>
      </c>
      <c r="R32" s="9" t="n">
        <v>13</v>
      </c>
      <c r="S32" s="12" t="n">
        <f aca="false">IF(AND(ISNUMBER(R32),R32&gt;1,P32&gt;0),R32/P32-1,"")</f>
        <v>-0.235345012208867</v>
      </c>
      <c r="T32" s="9" t="n">
        <f aca="false">IF(AND(ISNUMBER(P32),P32&gt;0),P32*EXP('Read me'!$B$22),"")</f>
        <v>20.7652289066339</v>
      </c>
    </row>
    <row r="33" customFormat="false" ht="15" hidden="false" customHeight="false" outlineLevel="0" collapsed="false">
      <c r="A33" s="14" t="s">
        <v>127</v>
      </c>
      <c r="B33" s="14" t="s">
        <v>56</v>
      </c>
      <c r="C33" s="14" t="s">
        <v>128</v>
      </c>
      <c r="D33" s="14" t="s">
        <v>422</v>
      </c>
      <c r="E33" s="15" t="n">
        <v>7</v>
      </c>
      <c r="F33" s="14" t="s">
        <v>349</v>
      </c>
      <c r="G33" s="8" t="n">
        <v>10</v>
      </c>
      <c r="H33" s="14" t="s">
        <v>562</v>
      </c>
      <c r="I33" s="14" t="s">
        <v>563</v>
      </c>
      <c r="J33" s="14" t="s">
        <v>564</v>
      </c>
      <c r="K33" s="8" t="n">
        <v>1</v>
      </c>
      <c r="L33" s="8" t="n">
        <v>68</v>
      </c>
      <c r="M33" s="8" t="n">
        <v>3</v>
      </c>
      <c r="N33" s="8" t="n">
        <v>52</v>
      </c>
      <c r="O33" s="8" t="n">
        <v>9</v>
      </c>
      <c r="P33" s="9" t="n">
        <v>19.3743269643713</v>
      </c>
      <c r="Q33" s="10" t="n">
        <v>0.0516146961821674</v>
      </c>
      <c r="R33" s="9" t="n">
        <v>17</v>
      </c>
      <c r="S33" s="12" t="n">
        <f aca="false">IF(AND(ISNUMBER(R33),R33&gt;1,P33&gt;0),R33/P33-1,"")</f>
        <v>-0.122550164903153</v>
      </c>
      <c r="T33" s="9" t="n">
        <f aca="false">IF(AND(ISNUMBER(P33),P33&gt;0),P33*EXP('Read me'!$B$22),"")</f>
        <v>23.6638563917801</v>
      </c>
    </row>
    <row r="34" customFormat="false" ht="15" hidden="false" customHeight="false" outlineLevel="0" collapsed="false">
      <c r="A34" s="14" t="s">
        <v>127</v>
      </c>
      <c r="B34" s="14" t="s">
        <v>56</v>
      </c>
      <c r="C34" s="14" t="s">
        <v>128</v>
      </c>
      <c r="D34" s="14" t="s">
        <v>422</v>
      </c>
      <c r="E34" s="15" t="n">
        <v>7</v>
      </c>
      <c r="F34" s="14" t="s">
        <v>349</v>
      </c>
      <c r="G34" s="8" t="n">
        <v>10</v>
      </c>
      <c r="H34" s="14" t="s">
        <v>565</v>
      </c>
      <c r="I34" s="14" t="s">
        <v>482</v>
      </c>
      <c r="J34" s="14" t="s">
        <v>361</v>
      </c>
      <c r="K34" s="8" t="n">
        <v>6</v>
      </c>
      <c r="L34" s="8" t="n">
        <v>75</v>
      </c>
      <c r="M34" s="8" t="n">
        <v>3</v>
      </c>
      <c r="N34" s="8" t="n">
        <v>25</v>
      </c>
      <c r="O34" s="8" t="n">
        <v>10</v>
      </c>
      <c r="P34" s="9" t="n">
        <v>31.7547603862093</v>
      </c>
      <c r="Q34" s="10" t="n">
        <v>0.031491341387488</v>
      </c>
      <c r="R34" s="9" t="n">
        <v>21</v>
      </c>
      <c r="S34" s="12" t="n">
        <f aca="false">IF(AND(ISNUMBER(R34),R34&gt;1,P34&gt;0),R34/P34-1,"")</f>
        <v>-0.338681830862751</v>
      </c>
      <c r="T34" s="9" t="n">
        <f aca="false">IF(AND(ISNUMBER(P34),P34&gt;0),P34*EXP('Read me'!$B$22),"")</f>
        <v>38.7853519204314</v>
      </c>
    </row>
    <row r="35" customFormat="false" ht="15" hidden="false" customHeight="false" outlineLevel="0" collapsed="false">
      <c r="A35" s="14" t="s">
        <v>151</v>
      </c>
      <c r="B35" s="14" t="s">
        <v>56</v>
      </c>
      <c r="C35" s="14" t="s">
        <v>152</v>
      </c>
      <c r="D35" s="14" t="s">
        <v>463</v>
      </c>
      <c r="E35" s="15" t="n">
        <v>7</v>
      </c>
      <c r="F35" s="14" t="s">
        <v>349</v>
      </c>
      <c r="G35" s="8" t="n">
        <v>11</v>
      </c>
      <c r="H35" s="14" t="s">
        <v>153</v>
      </c>
      <c r="I35" s="14" t="s">
        <v>84</v>
      </c>
      <c r="J35" s="14" t="s">
        <v>60</v>
      </c>
      <c r="K35" s="8" t="n">
        <v>3</v>
      </c>
      <c r="L35" s="8" t="n">
        <v>62</v>
      </c>
      <c r="M35" s="8" t="n">
        <v>6</v>
      </c>
      <c r="N35" s="8" t="n">
        <v>12</v>
      </c>
      <c r="O35" s="8" t="n">
        <v>1</v>
      </c>
      <c r="P35" s="9" t="n">
        <v>5.19453070385553</v>
      </c>
      <c r="Q35" s="10" t="n">
        <v>0.192510172142745</v>
      </c>
      <c r="R35" s="9" t="n">
        <v>6</v>
      </c>
      <c r="S35" s="12" t="n">
        <f aca="false">IF(AND(ISNUMBER(R35),R35&gt;1,P35&gt;0),R35/P35-1,"")</f>
        <v>0.155061032856468</v>
      </c>
      <c r="T35" s="9" t="n">
        <f aca="false">IF(AND(ISNUMBER(P35),P35&gt;0),P35*EXP('Read me'!$B$22),"")</f>
        <v>6.34461412903683</v>
      </c>
    </row>
    <row r="36" customFormat="false" ht="15" hidden="false" customHeight="false" outlineLevel="0" collapsed="false">
      <c r="A36" s="14" t="s">
        <v>151</v>
      </c>
      <c r="B36" s="14" t="s">
        <v>56</v>
      </c>
      <c r="C36" s="14" t="s">
        <v>152</v>
      </c>
      <c r="D36" s="14" t="s">
        <v>463</v>
      </c>
      <c r="E36" s="15" t="n">
        <v>7</v>
      </c>
      <c r="F36" s="14" t="s">
        <v>349</v>
      </c>
      <c r="G36" s="8" t="n">
        <v>11</v>
      </c>
      <c r="H36" s="14" t="s">
        <v>154</v>
      </c>
      <c r="I36" s="14" t="s">
        <v>611</v>
      </c>
      <c r="J36" s="14" t="s">
        <v>441</v>
      </c>
      <c r="K36" s="8" t="n">
        <v>10</v>
      </c>
      <c r="L36" s="8" t="n">
        <v>65</v>
      </c>
      <c r="M36" s="8" t="n">
        <v>3</v>
      </c>
      <c r="N36" s="8" t="n">
        <v>28</v>
      </c>
      <c r="O36" s="8" t="n">
        <v>2</v>
      </c>
      <c r="P36" s="9" t="n">
        <v>5.51414712675809</v>
      </c>
      <c r="Q36" s="10" t="n">
        <v>0.181351708072382</v>
      </c>
      <c r="R36" s="9" t="n">
        <v>6.5</v>
      </c>
      <c r="S36" s="12" t="n">
        <f aca="false">IF(AND(ISNUMBER(R36),R36&gt;1,P36&gt;0),R36/P36-1,"")</f>
        <v>0.178786102470486</v>
      </c>
      <c r="T36" s="9" t="n">
        <f aca="false">IF(AND(ISNUMBER(P36),P36&gt;0),P36*EXP('Read me'!$B$22),"")</f>
        <v>6.73499450952331</v>
      </c>
    </row>
    <row r="37" customFormat="false" ht="15" hidden="false" customHeight="false" outlineLevel="0" collapsed="false">
      <c r="A37" s="14" t="s">
        <v>151</v>
      </c>
      <c r="B37" s="14" t="s">
        <v>56</v>
      </c>
      <c r="C37" s="14" t="s">
        <v>152</v>
      </c>
      <c r="D37" s="14" t="s">
        <v>463</v>
      </c>
      <c r="E37" s="15" t="n">
        <v>7</v>
      </c>
      <c r="F37" s="14" t="s">
        <v>349</v>
      </c>
      <c r="G37" s="8" t="n">
        <v>11</v>
      </c>
      <c r="H37" s="14" t="s">
        <v>612</v>
      </c>
      <c r="I37" s="14" t="s">
        <v>613</v>
      </c>
      <c r="J37" s="14" t="s">
        <v>351</v>
      </c>
      <c r="K37" s="8" t="n">
        <v>1</v>
      </c>
      <c r="L37" s="8" t="n">
        <v>54</v>
      </c>
      <c r="M37" s="8" t="n">
        <v>6</v>
      </c>
      <c r="N37" s="8" t="n">
        <v>11</v>
      </c>
      <c r="O37" s="8" t="n">
        <v>3</v>
      </c>
      <c r="P37" s="9" t="n">
        <v>8.18533767167478</v>
      </c>
      <c r="Q37" s="10" t="n">
        <v>0.122169669732806</v>
      </c>
      <c r="R37" s="9" t="n">
        <v>5</v>
      </c>
      <c r="S37" s="12" t="n">
        <f aca="false">IF(AND(ISNUMBER(R37),R37&gt;1,P37&gt;0),R37/P37-1,"")</f>
        <v>-0.389151651335972</v>
      </c>
      <c r="T37" s="9" t="n">
        <f aca="false">IF(AND(ISNUMBER(P37),P37&gt;0),P37*EXP('Read me'!$B$22),"")</f>
        <v>9.99759400865591</v>
      </c>
    </row>
    <row r="38" customFormat="false" ht="15" hidden="false" customHeight="false" outlineLevel="0" collapsed="false">
      <c r="A38" s="14" t="s">
        <v>151</v>
      </c>
      <c r="B38" s="14" t="s">
        <v>56</v>
      </c>
      <c r="C38" s="14" t="s">
        <v>152</v>
      </c>
      <c r="D38" s="14" t="s">
        <v>463</v>
      </c>
      <c r="E38" s="15" t="n">
        <v>7</v>
      </c>
      <c r="F38" s="14" t="s">
        <v>349</v>
      </c>
      <c r="G38" s="8" t="n">
        <v>11</v>
      </c>
      <c r="H38" s="14" t="s">
        <v>614</v>
      </c>
      <c r="I38" s="14" t="s">
        <v>494</v>
      </c>
      <c r="J38" s="14" t="s">
        <v>495</v>
      </c>
      <c r="K38" s="8" t="n">
        <v>7</v>
      </c>
      <c r="L38" s="8" t="n">
        <v>58</v>
      </c>
      <c r="M38" s="8" t="n">
        <v>3</v>
      </c>
      <c r="N38" s="8" t="n">
        <v>21</v>
      </c>
      <c r="O38" s="8" t="n">
        <v>4</v>
      </c>
      <c r="P38" s="9" t="n">
        <v>8.33933299872066</v>
      </c>
      <c r="Q38" s="10" t="n">
        <v>0.119913666974734</v>
      </c>
      <c r="R38" s="9" t="n">
        <v>11</v>
      </c>
      <c r="S38" s="12" t="n">
        <f aca="false">IF(AND(ISNUMBER(R38),R38&gt;1,P38&gt;0),R38/P38-1,"")</f>
        <v>0.319050336722075</v>
      </c>
      <c r="T38" s="9" t="n">
        <f aca="false">IF(AND(ISNUMBER(P38),P38&gt;0),P38*EXP('Read me'!$B$22),"")</f>
        <v>10.1856843258535</v>
      </c>
    </row>
    <row r="39" customFormat="false" ht="15" hidden="false" customHeight="false" outlineLevel="0" collapsed="false">
      <c r="A39" s="14" t="s">
        <v>151</v>
      </c>
      <c r="B39" s="14" t="s">
        <v>56</v>
      </c>
      <c r="C39" s="14" t="s">
        <v>152</v>
      </c>
      <c r="D39" s="14" t="s">
        <v>463</v>
      </c>
      <c r="E39" s="15" t="n">
        <v>7</v>
      </c>
      <c r="F39" s="14" t="s">
        <v>349</v>
      </c>
      <c r="G39" s="8" t="n">
        <v>11</v>
      </c>
      <c r="H39" s="14" t="s">
        <v>615</v>
      </c>
      <c r="I39" s="14" t="s">
        <v>350</v>
      </c>
      <c r="J39" s="14" t="s">
        <v>351</v>
      </c>
      <c r="K39" s="8" t="n">
        <v>6</v>
      </c>
      <c r="L39" s="8" t="n">
        <v>50</v>
      </c>
      <c r="M39" s="8" t="n">
        <v>4</v>
      </c>
      <c r="N39" s="8" t="n">
        <v>11</v>
      </c>
      <c r="O39" s="8" t="n">
        <v>5</v>
      </c>
      <c r="P39" s="9" t="n">
        <v>12.4494077475792</v>
      </c>
      <c r="Q39" s="10" t="n">
        <v>0.0803251062440662</v>
      </c>
      <c r="R39" s="9" t="n">
        <v>8.5</v>
      </c>
      <c r="S39" s="12" t="n">
        <f aca="false">IF(AND(ISNUMBER(R39),R39&gt;1,P39&gt;0),R39/P39-1,"")</f>
        <v>-0.317236596925436</v>
      </c>
      <c r="T39" s="9" t="n">
        <f aca="false">IF(AND(ISNUMBER(P39),P39&gt;0),P39*EXP('Read me'!$B$22),"")</f>
        <v>15.2057409603538</v>
      </c>
    </row>
    <row r="40" customFormat="false" ht="15" hidden="false" customHeight="false" outlineLevel="0" collapsed="false">
      <c r="A40" s="14" t="s">
        <v>151</v>
      </c>
      <c r="B40" s="14" t="s">
        <v>56</v>
      </c>
      <c r="C40" s="14" t="s">
        <v>152</v>
      </c>
      <c r="D40" s="14" t="s">
        <v>463</v>
      </c>
      <c r="E40" s="15" t="n">
        <v>7</v>
      </c>
      <c r="F40" s="14" t="s">
        <v>349</v>
      </c>
      <c r="G40" s="8" t="n">
        <v>11</v>
      </c>
      <c r="H40" s="14" t="s">
        <v>616</v>
      </c>
      <c r="I40" s="14" t="s">
        <v>617</v>
      </c>
      <c r="J40" s="14" t="s">
        <v>564</v>
      </c>
      <c r="K40" s="8" t="n">
        <v>9</v>
      </c>
      <c r="L40" s="8" t="n">
        <v>65</v>
      </c>
      <c r="M40" s="8" t="n">
        <v>3</v>
      </c>
      <c r="N40" s="8" t="n">
        <v>15</v>
      </c>
      <c r="O40" s="8" t="n">
        <v>6</v>
      </c>
      <c r="P40" s="9" t="n">
        <v>13.0929446944052</v>
      </c>
      <c r="Q40" s="10" t="n">
        <v>0.0763770124552132</v>
      </c>
      <c r="R40" s="9" t="n">
        <v>19</v>
      </c>
      <c r="S40" s="12" t="n">
        <f aca="false">IF(AND(ISNUMBER(R40),R40&gt;1,P40&gt;0),R40/P40-1,"")</f>
        <v>0.451163236649051</v>
      </c>
      <c r="T40" s="9" t="n">
        <f aca="false">IF(AND(ISNUMBER(P40),P40&gt;0),P40*EXP('Read me'!$B$22),"")</f>
        <v>15.991758762185</v>
      </c>
    </row>
    <row r="41" customFormat="false" ht="15" hidden="false" customHeight="false" outlineLevel="0" collapsed="false">
      <c r="A41" s="14" t="s">
        <v>151</v>
      </c>
      <c r="B41" s="14" t="s">
        <v>56</v>
      </c>
      <c r="C41" s="14" t="s">
        <v>152</v>
      </c>
      <c r="D41" s="14" t="s">
        <v>463</v>
      </c>
      <c r="E41" s="15" t="n">
        <v>7</v>
      </c>
      <c r="F41" s="14" t="s">
        <v>349</v>
      </c>
      <c r="G41" s="8" t="n">
        <v>11</v>
      </c>
      <c r="H41" s="14" t="s">
        <v>618</v>
      </c>
      <c r="I41" s="14" t="s">
        <v>555</v>
      </c>
      <c r="J41" s="14" t="s">
        <v>361</v>
      </c>
      <c r="K41" s="8" t="n">
        <v>5</v>
      </c>
      <c r="L41" s="8" t="n">
        <v>60</v>
      </c>
      <c r="M41" s="8" t="n">
        <v>3</v>
      </c>
      <c r="N41" s="8" t="n">
        <v>20</v>
      </c>
      <c r="O41" s="8" t="n">
        <v>7</v>
      </c>
      <c r="P41" s="9" t="n">
        <v>14.1082771371718</v>
      </c>
      <c r="Q41" s="10" t="n">
        <v>0.070880376836747</v>
      </c>
      <c r="R41" s="9" t="n">
        <v>13</v>
      </c>
      <c r="S41" s="12" t="n">
        <f aca="false">IF(AND(ISNUMBER(R41),R41&gt;1,P41&gt;0),R41/P41-1,"")</f>
        <v>-0.0785551011222884</v>
      </c>
      <c r="T41" s="9" t="n">
        <f aca="false">IF(AND(ISNUMBER(P41),P41&gt;0),P41*EXP('Read me'!$B$22),"")</f>
        <v>17.2318886082297</v>
      </c>
    </row>
    <row r="42" customFormat="false" ht="15" hidden="false" customHeight="false" outlineLevel="0" collapsed="false">
      <c r="A42" s="14" t="s">
        <v>151</v>
      </c>
      <c r="B42" s="14" t="s">
        <v>56</v>
      </c>
      <c r="C42" s="14" t="s">
        <v>152</v>
      </c>
      <c r="D42" s="14" t="s">
        <v>463</v>
      </c>
      <c r="E42" s="15" t="n">
        <v>7</v>
      </c>
      <c r="F42" s="14" t="s">
        <v>349</v>
      </c>
      <c r="G42" s="8" t="n">
        <v>11</v>
      </c>
      <c r="H42" s="14" t="s">
        <v>619</v>
      </c>
      <c r="I42" s="14" t="s">
        <v>486</v>
      </c>
      <c r="J42" s="14" t="s">
        <v>620</v>
      </c>
      <c r="K42" s="8" t="n">
        <v>2</v>
      </c>
      <c r="L42" s="8" t="n">
        <v>64</v>
      </c>
      <c r="M42" s="8" t="n">
        <v>3</v>
      </c>
      <c r="N42" s="8" t="n">
        <v>12</v>
      </c>
      <c r="O42" s="8" t="n">
        <v>8</v>
      </c>
      <c r="P42" s="9" t="n">
        <v>14.4043471998186</v>
      </c>
      <c r="Q42" s="10" t="n">
        <v>0.0694234862661872</v>
      </c>
      <c r="R42" s="9" t="n">
        <v>7</v>
      </c>
      <c r="S42" s="12" t="n">
        <f aca="false">IF(AND(ISNUMBER(R42),R42&gt;1,P42&gt;0),R42/P42-1,"")</f>
        <v>-0.514035596136689</v>
      </c>
      <c r="T42" s="9" t="n">
        <f aca="false">IF(AND(ISNUMBER(P42),P42&gt;0),P42*EXP('Read me'!$B$22),"")</f>
        <v>17.5935093993552</v>
      </c>
    </row>
    <row r="43" customFormat="false" ht="15" hidden="false" customHeight="false" outlineLevel="0" collapsed="false">
      <c r="A43" s="14" t="s">
        <v>151</v>
      </c>
      <c r="B43" s="14" t="s">
        <v>56</v>
      </c>
      <c r="C43" s="14" t="s">
        <v>152</v>
      </c>
      <c r="D43" s="14" t="s">
        <v>463</v>
      </c>
      <c r="E43" s="15" t="n">
        <v>7</v>
      </c>
      <c r="F43" s="14" t="s">
        <v>349</v>
      </c>
      <c r="G43" s="8" t="n">
        <v>11</v>
      </c>
      <c r="H43" s="14" t="s">
        <v>621</v>
      </c>
      <c r="I43" s="14" t="s">
        <v>622</v>
      </c>
      <c r="J43" s="14" t="s">
        <v>492</v>
      </c>
      <c r="K43" s="8" t="n">
        <v>8</v>
      </c>
      <c r="L43" s="8" t="n">
        <v>65</v>
      </c>
      <c r="M43" s="8" t="n">
        <v>7</v>
      </c>
      <c r="N43" s="8" t="n">
        <v>15</v>
      </c>
      <c r="O43" s="8" t="n">
        <v>9</v>
      </c>
      <c r="P43" s="9" t="n">
        <v>18.3666548003514</v>
      </c>
      <c r="Q43" s="10" t="n">
        <v>0.0544464961567671</v>
      </c>
      <c r="R43" s="9" t="n">
        <v>9</v>
      </c>
      <c r="S43" s="12" t="n">
        <f aca="false">IF(AND(ISNUMBER(R43),R43&gt;1,P43&gt;0),R43/P43-1,"")</f>
        <v>-0.509981534589095</v>
      </c>
      <c r="T43" s="9" t="n">
        <f aca="false">IF(AND(ISNUMBER(P43),P43&gt;0),P43*EXP('Read me'!$B$22),"")</f>
        <v>22.4330828313249</v>
      </c>
    </row>
    <row r="44" customFormat="false" ht="15" hidden="false" customHeight="false" outlineLevel="0" collapsed="false">
      <c r="A44" s="14" t="s">
        <v>151</v>
      </c>
      <c r="B44" s="14" t="s">
        <v>56</v>
      </c>
      <c r="C44" s="14" t="s">
        <v>152</v>
      </c>
      <c r="D44" s="14" t="s">
        <v>463</v>
      </c>
      <c r="E44" s="15" t="n">
        <v>7</v>
      </c>
      <c r="F44" s="14" t="s">
        <v>349</v>
      </c>
      <c r="G44" s="8" t="n">
        <v>11</v>
      </c>
      <c r="H44" s="14" t="s">
        <v>623</v>
      </c>
      <c r="I44" s="14" t="s">
        <v>624</v>
      </c>
      <c r="J44" s="14" t="s">
        <v>625</v>
      </c>
      <c r="K44" s="8" t="n">
        <v>11</v>
      </c>
      <c r="L44" s="8" t="n">
        <v>50</v>
      </c>
      <c r="M44" s="8" t="n">
        <v>4</v>
      </c>
      <c r="N44" s="8" t="n">
        <v>8</v>
      </c>
      <c r="O44" s="8" t="n">
        <v>10</v>
      </c>
      <c r="P44" s="9" t="n">
        <v>37.0607082953544</v>
      </c>
      <c r="Q44" s="10" t="n">
        <v>0.0269827546745875</v>
      </c>
      <c r="R44" s="9" t="n">
        <v>15</v>
      </c>
      <c r="S44" s="12" t="n">
        <f aca="false">IF(AND(ISNUMBER(R44),R44&gt;1,P44&gt;0),R44/P44-1,"")</f>
        <v>-0.595258679881186</v>
      </c>
      <c r="T44" s="9" t="n">
        <f aca="false">IF(AND(ISNUMBER(P44),P44&gt;0),P44*EXP('Read me'!$B$22),"")</f>
        <v>45.2660513313153</v>
      </c>
    </row>
    <row r="45" customFormat="false" ht="15" hidden="false" customHeight="false" outlineLevel="0" collapsed="false">
      <c r="A45" s="14" t="s">
        <v>151</v>
      </c>
      <c r="B45" s="14" t="s">
        <v>56</v>
      </c>
      <c r="C45" s="14" t="s">
        <v>152</v>
      </c>
      <c r="D45" s="14" t="s">
        <v>463</v>
      </c>
      <c r="E45" s="15" t="n">
        <v>7</v>
      </c>
      <c r="F45" s="14" t="s">
        <v>349</v>
      </c>
      <c r="G45" s="8" t="n">
        <v>11</v>
      </c>
      <c r="H45" s="14" t="s">
        <v>626</v>
      </c>
      <c r="I45" s="14" t="s">
        <v>433</v>
      </c>
      <c r="J45" s="14" t="s">
        <v>627</v>
      </c>
      <c r="K45" s="8" t="n">
        <v>4</v>
      </c>
      <c r="L45" s="8" t="n">
        <v>46</v>
      </c>
      <c r="M45" s="8" t="n">
        <v>3</v>
      </c>
      <c r="N45" s="8" t="n">
        <v>10</v>
      </c>
      <c r="O45" s="8" t="n">
        <v>11</v>
      </c>
      <c r="P45" s="9" t="n">
        <v>177.950177688963</v>
      </c>
      <c r="Q45" s="10" t="n">
        <v>0.0056195504437645</v>
      </c>
      <c r="R45" s="9" t="n">
        <v>101</v>
      </c>
      <c r="S45" s="12" t="n">
        <f aca="false">IF(AND(ISNUMBER(R45),R45&gt;1,P45&gt;0),R45/P45-1,"")</f>
        <v>-0.432425405179777</v>
      </c>
      <c r="T45" s="9" t="n">
        <f aca="false">IF(AND(ISNUMBER(P45),P45&gt;0),P45*EXP('Read me'!$B$22),"")</f>
        <v>217.348837844392</v>
      </c>
    </row>
    <row r="46" customFormat="false" ht="15" hidden="false" customHeight="false" outlineLevel="0" collapsed="false">
      <c r="A46" s="14" t="s">
        <v>178</v>
      </c>
      <c r="B46" s="14" t="s">
        <v>56</v>
      </c>
      <c r="C46" s="14" t="s">
        <v>179</v>
      </c>
      <c r="D46" s="14" t="s">
        <v>422</v>
      </c>
      <c r="E46" s="15" t="n">
        <v>6</v>
      </c>
      <c r="F46" s="14" t="s">
        <v>349</v>
      </c>
      <c r="G46" s="8" t="n">
        <v>8</v>
      </c>
      <c r="H46" s="14" t="s">
        <v>180</v>
      </c>
      <c r="I46" s="14" t="s">
        <v>181</v>
      </c>
      <c r="J46" s="14" t="s">
        <v>131</v>
      </c>
      <c r="K46" s="8" t="n">
        <v>5</v>
      </c>
      <c r="L46" s="8" t="n">
        <v>75</v>
      </c>
      <c r="M46" s="8" t="n">
        <v>6</v>
      </c>
      <c r="N46" s="8" t="n">
        <v>25</v>
      </c>
      <c r="O46" s="8" t="n">
        <v>1</v>
      </c>
      <c r="P46" s="9" t="n">
        <v>3.85756585275573</v>
      </c>
      <c r="Q46" s="10" t="n">
        <v>0.259230830573023</v>
      </c>
      <c r="R46" s="9" t="n">
        <v>5</v>
      </c>
      <c r="S46" s="12" t="n">
        <f aca="false">IF(AND(ISNUMBER(R46),R46&gt;1,P46&gt;0),R46/P46-1,"")</f>
        <v>0.296154152865116</v>
      </c>
      <c r="T46" s="9" t="n">
        <f aca="false">IF(AND(ISNUMBER(P46),P46&gt;0),P46*EXP('Read me'!$B$22),"")</f>
        <v>4.71164157234033</v>
      </c>
    </row>
    <row r="47" customFormat="false" ht="15" hidden="false" customHeight="false" outlineLevel="0" collapsed="false">
      <c r="A47" s="14" t="s">
        <v>178</v>
      </c>
      <c r="B47" s="14" t="s">
        <v>56</v>
      </c>
      <c r="C47" s="14" t="s">
        <v>179</v>
      </c>
      <c r="D47" s="14" t="s">
        <v>422</v>
      </c>
      <c r="E47" s="15" t="n">
        <v>6</v>
      </c>
      <c r="F47" s="14" t="s">
        <v>349</v>
      </c>
      <c r="G47" s="8" t="n">
        <v>8</v>
      </c>
      <c r="H47" s="14" t="s">
        <v>182</v>
      </c>
      <c r="I47" s="14" t="s">
        <v>555</v>
      </c>
      <c r="J47" s="14" t="s">
        <v>367</v>
      </c>
      <c r="K47" s="8" t="n">
        <v>3</v>
      </c>
      <c r="L47" s="8" t="n">
        <v>81</v>
      </c>
      <c r="M47" s="8" t="n">
        <v>10</v>
      </c>
      <c r="N47" s="8" t="n">
        <v>11</v>
      </c>
      <c r="O47" s="8" t="n">
        <v>2</v>
      </c>
      <c r="P47" s="9" t="n">
        <v>5.69872963854315</v>
      </c>
      <c r="Q47" s="10" t="n">
        <v>0.17547770528304</v>
      </c>
      <c r="R47" s="9" t="n">
        <v>5.5</v>
      </c>
      <c r="S47" s="12" t="n">
        <f aca="false">IF(AND(ISNUMBER(R47),R47&gt;1,P47&gt;0),R47/P47-1,"")</f>
        <v>-0.0348726209432804</v>
      </c>
      <c r="T47" s="9" t="n">
        <f aca="false">IF(AND(ISNUMBER(P47),P47&gt;0),P47*EXP('Read me'!$B$22),"")</f>
        <v>6.96044409852571</v>
      </c>
    </row>
    <row r="48" customFormat="false" ht="15" hidden="false" customHeight="false" outlineLevel="0" collapsed="false">
      <c r="A48" s="14" t="s">
        <v>178</v>
      </c>
      <c r="B48" s="14" t="s">
        <v>56</v>
      </c>
      <c r="C48" s="14" t="s">
        <v>179</v>
      </c>
      <c r="D48" s="14" t="s">
        <v>422</v>
      </c>
      <c r="E48" s="15" t="n">
        <v>6</v>
      </c>
      <c r="F48" s="14" t="s">
        <v>349</v>
      </c>
      <c r="G48" s="8" t="n">
        <v>8</v>
      </c>
      <c r="H48" s="14" t="s">
        <v>701</v>
      </c>
      <c r="I48" s="14" t="s">
        <v>613</v>
      </c>
      <c r="J48" s="14" t="s">
        <v>351</v>
      </c>
      <c r="K48" s="8" t="n">
        <v>1</v>
      </c>
      <c r="L48" s="8" t="n">
        <v>67</v>
      </c>
      <c r="M48" s="8" t="n">
        <v>4</v>
      </c>
      <c r="N48" s="8" t="n">
        <v>8</v>
      </c>
      <c r="O48" s="8" t="n">
        <v>3</v>
      </c>
      <c r="P48" s="9" t="n">
        <v>6.45536916913797</v>
      </c>
      <c r="Q48" s="10" t="n">
        <v>0.154909808223027</v>
      </c>
      <c r="R48" s="9" t="n">
        <v>5</v>
      </c>
      <c r="S48" s="12" t="n">
        <f aca="false">IF(AND(ISNUMBER(R48),R48&gt;1,P48&gt;0),R48/P48-1,"")</f>
        <v>-0.225450958884868</v>
      </c>
      <c r="T48" s="9" t="n">
        <f aca="false">IF(AND(ISNUMBER(P48),P48&gt;0),P48*EXP('Read me'!$B$22),"")</f>
        <v>7.88460570812724</v>
      </c>
    </row>
    <row r="49" customFormat="false" ht="15" hidden="false" customHeight="false" outlineLevel="0" collapsed="false">
      <c r="A49" s="14" t="s">
        <v>178</v>
      </c>
      <c r="B49" s="14" t="s">
        <v>56</v>
      </c>
      <c r="C49" s="14" t="s">
        <v>179</v>
      </c>
      <c r="D49" s="14" t="s">
        <v>422</v>
      </c>
      <c r="E49" s="15" t="n">
        <v>6</v>
      </c>
      <c r="F49" s="14" t="s">
        <v>349</v>
      </c>
      <c r="G49" s="8" t="n">
        <v>8</v>
      </c>
      <c r="H49" s="14" t="s">
        <v>702</v>
      </c>
      <c r="I49" s="14" t="s">
        <v>357</v>
      </c>
      <c r="J49" s="14" t="s">
        <v>492</v>
      </c>
      <c r="K49" s="8" t="n">
        <v>4</v>
      </c>
      <c r="L49" s="8" t="n">
        <v>75</v>
      </c>
      <c r="M49" s="8" t="n">
        <v>7</v>
      </c>
      <c r="N49" s="8" t="n">
        <v>1</v>
      </c>
      <c r="O49" s="8" t="n">
        <v>4</v>
      </c>
      <c r="P49" s="9" t="n">
        <v>6.65952597803004</v>
      </c>
      <c r="Q49" s="10" t="n">
        <v>0.150160837768188</v>
      </c>
      <c r="R49" s="9" t="n">
        <v>6.5</v>
      </c>
      <c r="S49" s="12" t="n">
        <f aca="false">IF(AND(ISNUMBER(R49),R49&gt;1,P49&gt;0),R49/P49-1,"")</f>
        <v>-0.0239545545067804</v>
      </c>
      <c r="T49" s="9" t="n">
        <f aca="false">IF(AND(ISNUMBER(P49),P49&gt;0),P49*EXP('Read me'!$B$22),"")</f>
        <v>8.1339633976052</v>
      </c>
    </row>
    <row r="50" customFormat="false" ht="15" hidden="false" customHeight="false" outlineLevel="0" collapsed="false">
      <c r="A50" s="14" t="s">
        <v>178</v>
      </c>
      <c r="B50" s="14" t="s">
        <v>56</v>
      </c>
      <c r="C50" s="14" t="s">
        <v>179</v>
      </c>
      <c r="D50" s="14" t="s">
        <v>422</v>
      </c>
      <c r="E50" s="15" t="n">
        <v>6</v>
      </c>
      <c r="F50" s="14" t="s">
        <v>349</v>
      </c>
      <c r="G50" s="8" t="n">
        <v>8</v>
      </c>
      <c r="H50" s="14" t="s">
        <v>703</v>
      </c>
      <c r="I50" s="14" t="s">
        <v>617</v>
      </c>
      <c r="J50" s="14" t="s">
        <v>564</v>
      </c>
      <c r="K50" s="8" t="n">
        <v>2</v>
      </c>
      <c r="L50" s="8" t="n">
        <v>82</v>
      </c>
      <c r="M50" s="8" t="n">
        <v>6</v>
      </c>
      <c r="N50" s="8" t="n">
        <v>8</v>
      </c>
      <c r="O50" s="8" t="n">
        <v>5</v>
      </c>
      <c r="P50" s="9" t="n">
        <v>10.2875671914842</v>
      </c>
      <c r="Q50" s="10" t="n">
        <v>0.0972047114139652</v>
      </c>
      <c r="R50" s="9" t="n">
        <v>10</v>
      </c>
      <c r="S50" s="12" t="n">
        <f aca="false">IF(AND(ISNUMBER(R50),R50&gt;1,P50&gt;0),R50/P50-1,"")</f>
        <v>-0.0279528858603481</v>
      </c>
      <c r="T50" s="9" t="n">
        <f aca="false">IF(AND(ISNUMBER(P50),P50&gt;0),P50*EXP('Read me'!$B$22),"")</f>
        <v>12.5652629424369</v>
      </c>
    </row>
    <row r="51" customFormat="false" ht="15" hidden="false" customHeight="false" outlineLevel="0" collapsed="false">
      <c r="A51" s="14" t="s">
        <v>178</v>
      </c>
      <c r="B51" s="14" t="s">
        <v>56</v>
      </c>
      <c r="C51" s="14" t="s">
        <v>179</v>
      </c>
      <c r="D51" s="14" t="s">
        <v>422</v>
      </c>
      <c r="E51" s="15" t="n">
        <v>6</v>
      </c>
      <c r="F51" s="14" t="s">
        <v>349</v>
      </c>
      <c r="G51" s="8" t="n">
        <v>8</v>
      </c>
      <c r="H51" s="14" t="s">
        <v>704</v>
      </c>
      <c r="I51" s="14" t="s">
        <v>426</v>
      </c>
      <c r="J51" s="14" t="s">
        <v>90</v>
      </c>
      <c r="K51" s="8" t="n">
        <v>8</v>
      </c>
      <c r="L51" s="8" t="n">
        <v>76</v>
      </c>
      <c r="M51" s="8" t="n">
        <v>5</v>
      </c>
      <c r="N51" s="8" t="n">
        <v>8</v>
      </c>
      <c r="O51" s="8" t="n">
        <v>6</v>
      </c>
      <c r="P51" s="9" t="n">
        <v>12.0277895183653</v>
      </c>
      <c r="Q51" s="10" t="n">
        <v>0.0831407964425293</v>
      </c>
      <c r="R51" s="9" t="n">
        <v>11</v>
      </c>
      <c r="S51" s="12" t="n">
        <f aca="false">IF(AND(ISNUMBER(R51),R51&gt;1,P51&gt;0),R51/P51-1,"")</f>
        <v>-0.085451239132178</v>
      </c>
      <c r="T51" s="9" t="n">
        <f aca="false">IF(AND(ISNUMBER(P51),P51&gt;0),P51*EXP('Read me'!$B$22),"")</f>
        <v>14.6907752923014</v>
      </c>
    </row>
    <row r="52" customFormat="false" ht="15" hidden="false" customHeight="false" outlineLevel="0" collapsed="false">
      <c r="A52" s="14" t="s">
        <v>178</v>
      </c>
      <c r="B52" s="14" t="s">
        <v>56</v>
      </c>
      <c r="C52" s="14" t="s">
        <v>179</v>
      </c>
      <c r="D52" s="14" t="s">
        <v>422</v>
      </c>
      <c r="E52" s="15" t="n">
        <v>6</v>
      </c>
      <c r="F52" s="14" t="s">
        <v>349</v>
      </c>
      <c r="G52" s="8" t="n">
        <v>8</v>
      </c>
      <c r="H52" s="14" t="s">
        <v>705</v>
      </c>
      <c r="I52" s="14" t="s">
        <v>486</v>
      </c>
      <c r="J52" s="14" t="s">
        <v>487</v>
      </c>
      <c r="K52" s="8" t="n">
        <v>6</v>
      </c>
      <c r="L52" s="8" t="n">
        <v>78</v>
      </c>
      <c r="M52" s="8" t="n">
        <v>3</v>
      </c>
      <c r="N52" s="8" t="n">
        <v>111</v>
      </c>
      <c r="O52" s="8" t="n">
        <v>7</v>
      </c>
      <c r="P52" s="9" t="n">
        <v>20.6143289010185</v>
      </c>
      <c r="Q52" s="10" t="n">
        <v>0.0485099468821705</v>
      </c>
      <c r="R52" s="9" t="n">
        <v>5</v>
      </c>
      <c r="S52" s="12" t="n">
        <f aca="false">IF(AND(ISNUMBER(R52),R52&gt;1,P52&gt;0),R52/P52-1,"")</f>
        <v>-0.757450265589147</v>
      </c>
      <c r="T52" s="9" t="n">
        <f aca="false">IF(AND(ISNUMBER(P52),P52&gt;0),P52*EXP('Read me'!$B$22),"")</f>
        <v>25.1783981773249</v>
      </c>
    </row>
    <row r="53" customFormat="false" ht="15" hidden="false" customHeight="false" outlineLevel="0" collapsed="false">
      <c r="A53" s="14" t="s">
        <v>178</v>
      </c>
      <c r="B53" s="14" t="s">
        <v>56</v>
      </c>
      <c r="C53" s="14" t="s">
        <v>179</v>
      </c>
      <c r="D53" s="14" t="s">
        <v>422</v>
      </c>
      <c r="E53" s="15" t="n">
        <v>6</v>
      </c>
      <c r="F53" s="14" t="s">
        <v>349</v>
      </c>
      <c r="G53" s="8" t="n">
        <v>8</v>
      </c>
      <c r="H53" s="14" t="s">
        <v>706</v>
      </c>
      <c r="I53" s="14" t="s">
        <v>494</v>
      </c>
      <c r="J53" s="14" t="s">
        <v>495</v>
      </c>
      <c r="K53" s="8" t="n">
        <v>7</v>
      </c>
      <c r="L53" s="8" t="n">
        <v>73</v>
      </c>
      <c r="M53" s="8" t="n">
        <v>4</v>
      </c>
      <c r="N53" s="8" t="n">
        <v>8</v>
      </c>
      <c r="O53" s="8" t="n">
        <v>8</v>
      </c>
      <c r="P53" s="9" t="n">
        <v>31.8823023600554</v>
      </c>
      <c r="Q53" s="10" t="n">
        <v>0.0313653634140575</v>
      </c>
      <c r="R53" s="9" t="n">
        <v>29</v>
      </c>
      <c r="S53" s="12" t="n">
        <f aca="false">IF(AND(ISNUMBER(R53),R53&gt;1,P53&gt;0),R53/P53-1,"")</f>
        <v>-0.090404460992332</v>
      </c>
      <c r="T53" s="9" t="n">
        <f aca="false">IF(AND(ISNUMBER(P53),P53&gt;0),P53*EXP('Read me'!$B$22),"")</f>
        <v>38.9411320390681</v>
      </c>
    </row>
    <row r="54" customFormat="false" ht="15" hidden="false" customHeight="false" outlineLevel="0" collapsed="false">
      <c r="A54" s="14" t="s">
        <v>205</v>
      </c>
      <c r="B54" s="14" t="s">
        <v>56</v>
      </c>
      <c r="C54" s="14" t="s">
        <v>206</v>
      </c>
      <c r="D54" s="14" t="s">
        <v>463</v>
      </c>
      <c r="E54" s="15" t="n">
        <v>15</v>
      </c>
      <c r="F54" s="14" t="s">
        <v>349</v>
      </c>
      <c r="G54" s="8" t="n">
        <v>7</v>
      </c>
      <c r="H54" s="14" t="s">
        <v>207</v>
      </c>
      <c r="I54" s="14" t="s">
        <v>130</v>
      </c>
      <c r="J54" s="14" t="s">
        <v>208</v>
      </c>
      <c r="K54" s="8" t="n">
        <v>1</v>
      </c>
      <c r="L54" s="8" t="n">
        <v>64</v>
      </c>
      <c r="M54" s="8" t="n">
        <v>4</v>
      </c>
      <c r="N54" s="8" t="n">
        <v>30</v>
      </c>
      <c r="O54" s="8" t="n">
        <v>1</v>
      </c>
      <c r="P54" s="9" t="n">
        <v>3.44831994016035</v>
      </c>
      <c r="Q54" s="10" t="n">
        <v>0.289996293079899</v>
      </c>
      <c r="R54" s="9" t="n">
        <v>3.5</v>
      </c>
      <c r="S54" s="12" t="n">
        <f aca="false">IF(AND(ISNUMBER(R54),R54&gt;1,P54&gt;0),R54/P54-1,"")</f>
        <v>0.0149870257796467</v>
      </c>
      <c r="T54" s="9" t="n">
        <f aca="false">IF(AND(ISNUMBER(P54),P54&gt;0),P54*EXP('Read me'!$B$22),"")</f>
        <v>4.21178748593056</v>
      </c>
    </row>
    <row r="55" customFormat="false" ht="15" hidden="false" customHeight="false" outlineLevel="0" collapsed="false">
      <c r="A55" s="14" t="s">
        <v>205</v>
      </c>
      <c r="B55" s="14" t="s">
        <v>56</v>
      </c>
      <c r="C55" s="14" t="s">
        <v>206</v>
      </c>
      <c r="D55" s="14" t="s">
        <v>463</v>
      </c>
      <c r="E55" s="15" t="n">
        <v>15</v>
      </c>
      <c r="F55" s="14" t="s">
        <v>349</v>
      </c>
      <c r="G55" s="8" t="n">
        <v>7</v>
      </c>
      <c r="H55" s="14" t="s">
        <v>209</v>
      </c>
      <c r="I55" s="14" t="s">
        <v>350</v>
      </c>
      <c r="J55" s="14" t="s">
        <v>351</v>
      </c>
      <c r="K55" s="8" t="n">
        <v>2</v>
      </c>
      <c r="L55" s="8" t="n">
        <v>61</v>
      </c>
      <c r="M55" s="8" t="n">
        <v>4</v>
      </c>
      <c r="N55" s="8" t="n">
        <v>11</v>
      </c>
      <c r="O55" s="8" t="n">
        <v>2</v>
      </c>
      <c r="P55" s="9" t="n">
        <v>3.87309166458086</v>
      </c>
      <c r="Q55" s="10" t="n">
        <v>0.25819166872422</v>
      </c>
      <c r="R55" s="9" t="n">
        <v>3</v>
      </c>
      <c r="S55" s="12" t="n">
        <f aca="false">IF(AND(ISNUMBER(R55),R55&gt;1,P55&gt;0),R55/P55-1,"")</f>
        <v>-0.22542499382734</v>
      </c>
      <c r="T55" s="9" t="n">
        <f aca="false">IF(AND(ISNUMBER(P55),P55&gt;0),P55*EXP('Read me'!$B$22),"")</f>
        <v>4.73060484172623</v>
      </c>
    </row>
    <row r="56" customFormat="false" ht="15" hidden="false" customHeight="false" outlineLevel="0" collapsed="false">
      <c r="A56" s="14" t="s">
        <v>205</v>
      </c>
      <c r="B56" s="14" t="s">
        <v>56</v>
      </c>
      <c r="C56" s="14" t="s">
        <v>206</v>
      </c>
      <c r="D56" s="14" t="s">
        <v>463</v>
      </c>
      <c r="E56" s="15" t="n">
        <v>15</v>
      </c>
      <c r="F56" s="14" t="s">
        <v>349</v>
      </c>
      <c r="G56" s="8" t="n">
        <v>7</v>
      </c>
      <c r="H56" s="14" t="s">
        <v>739</v>
      </c>
      <c r="I56" s="14" t="s">
        <v>613</v>
      </c>
      <c r="J56" s="14" t="s">
        <v>351</v>
      </c>
      <c r="K56" s="8" t="n">
        <v>6</v>
      </c>
      <c r="L56" s="8" t="n">
        <v>51</v>
      </c>
      <c r="M56" s="8" t="n">
        <v>8</v>
      </c>
      <c r="N56" s="8" t="n">
        <v>27</v>
      </c>
      <c r="O56" s="8" t="n">
        <v>3</v>
      </c>
      <c r="P56" s="9" t="n">
        <v>5.44542560434064</v>
      </c>
      <c r="Q56" s="10" t="n">
        <v>0.183640374997114</v>
      </c>
      <c r="R56" s="9" t="n">
        <v>5</v>
      </c>
      <c r="S56" s="12" t="n">
        <f aca="false">IF(AND(ISNUMBER(R56),R56&gt;1,P56&gt;0),R56/P56-1,"")</f>
        <v>-0.0817981250144308</v>
      </c>
      <c r="T56" s="9" t="n">
        <f aca="false">IF(AND(ISNUMBER(P56),P56&gt;0),P56*EXP('Read me'!$B$22),"")</f>
        <v>6.65105785249767</v>
      </c>
    </row>
    <row r="57" customFormat="false" ht="15" hidden="false" customHeight="false" outlineLevel="0" collapsed="false">
      <c r="A57" s="14" t="s">
        <v>205</v>
      </c>
      <c r="B57" s="14" t="s">
        <v>56</v>
      </c>
      <c r="C57" s="14" t="s">
        <v>206</v>
      </c>
      <c r="D57" s="14" t="s">
        <v>463</v>
      </c>
      <c r="E57" s="15" t="n">
        <v>15</v>
      </c>
      <c r="F57" s="14" t="s">
        <v>349</v>
      </c>
      <c r="G57" s="8" t="n">
        <v>7</v>
      </c>
      <c r="H57" s="14" t="s">
        <v>740</v>
      </c>
      <c r="I57" s="14" t="s">
        <v>84</v>
      </c>
      <c r="J57" s="14" t="s">
        <v>741</v>
      </c>
      <c r="K57" s="8" t="n">
        <v>7</v>
      </c>
      <c r="L57" s="8" t="n">
        <v>53</v>
      </c>
      <c r="M57" s="8" t="n">
        <v>9</v>
      </c>
      <c r="N57" s="8" t="n">
        <v>11</v>
      </c>
      <c r="O57" s="8" t="n">
        <v>4</v>
      </c>
      <c r="P57" s="9" t="n">
        <v>7.15980845067104</v>
      </c>
      <c r="Q57" s="10" t="n">
        <v>0.139668540979791</v>
      </c>
      <c r="R57" s="9" t="n">
        <v>7</v>
      </c>
      <c r="S57" s="12" t="n">
        <f aca="false">IF(AND(ISNUMBER(R57),R57&gt;1,P57&gt;0),R57/P57-1,"")</f>
        <v>-0.0223202131414653</v>
      </c>
      <c r="T57" s="9" t="n">
        <f aca="false">IF(AND(ISNUMBER(P57),P57&gt;0),P57*EXP('Read me'!$B$22),"")</f>
        <v>8.7450097895481</v>
      </c>
    </row>
    <row r="58" customFormat="false" ht="15" hidden="false" customHeight="false" outlineLevel="0" collapsed="false">
      <c r="A58" s="14" t="s">
        <v>205</v>
      </c>
      <c r="B58" s="14" t="s">
        <v>56</v>
      </c>
      <c r="C58" s="14" t="s">
        <v>206</v>
      </c>
      <c r="D58" s="14" t="s">
        <v>463</v>
      </c>
      <c r="E58" s="15" t="n">
        <v>15</v>
      </c>
      <c r="F58" s="14" t="s">
        <v>349</v>
      </c>
      <c r="G58" s="8" t="n">
        <v>7</v>
      </c>
      <c r="H58" s="14" t="s">
        <v>742</v>
      </c>
      <c r="I58" s="14" t="s">
        <v>743</v>
      </c>
      <c r="J58" s="14" t="s">
        <v>744</v>
      </c>
      <c r="K58" s="8" t="n">
        <v>3</v>
      </c>
      <c r="L58" s="8" t="n">
        <v>65</v>
      </c>
      <c r="M58" s="8" t="n">
        <v>3</v>
      </c>
      <c r="N58" s="8" t="n">
        <v>50</v>
      </c>
      <c r="O58" s="8" t="n">
        <v>5</v>
      </c>
      <c r="P58" s="9" t="n">
        <v>18.245516849369</v>
      </c>
      <c r="Q58" s="10" t="n">
        <v>0.0548079842437887</v>
      </c>
      <c r="R58" s="9" t="n">
        <v>13</v>
      </c>
      <c r="S58" s="12" t="n">
        <f aca="false">IF(AND(ISNUMBER(R58),R58&gt;1,P58&gt;0),R58/P58-1,"")</f>
        <v>-0.287496204830746</v>
      </c>
      <c r="T58" s="9" t="n">
        <f aca="false">IF(AND(ISNUMBER(P58),P58&gt;0),P58*EXP('Read me'!$B$22),"")</f>
        <v>22.2851246038772</v>
      </c>
    </row>
    <row r="59" customFormat="false" ht="15" hidden="false" customHeight="false" outlineLevel="0" collapsed="false">
      <c r="A59" s="14" t="s">
        <v>205</v>
      </c>
      <c r="B59" s="14" t="s">
        <v>56</v>
      </c>
      <c r="C59" s="14" t="s">
        <v>206</v>
      </c>
      <c r="D59" s="14" t="s">
        <v>463</v>
      </c>
      <c r="E59" s="15" t="n">
        <v>15</v>
      </c>
      <c r="F59" s="14" t="s">
        <v>349</v>
      </c>
      <c r="G59" s="8" t="n">
        <v>7</v>
      </c>
      <c r="H59" s="14" t="s">
        <v>745</v>
      </c>
      <c r="I59" s="14" t="s">
        <v>555</v>
      </c>
      <c r="J59" s="14" t="s">
        <v>746</v>
      </c>
      <c r="K59" s="8" t="n">
        <v>5</v>
      </c>
      <c r="L59" s="8" t="n">
        <v>57</v>
      </c>
      <c r="M59" s="8" t="n">
        <v>3</v>
      </c>
      <c r="N59" s="8" t="n">
        <v>57</v>
      </c>
      <c r="O59" s="8" t="n">
        <v>6</v>
      </c>
      <c r="P59" s="9" t="n">
        <v>18.4457395976599</v>
      </c>
      <c r="Q59" s="10" t="n">
        <v>0.0542130606748271</v>
      </c>
      <c r="R59" s="9" t="n">
        <v>15</v>
      </c>
      <c r="S59" s="12" t="n">
        <f aca="false">IF(AND(ISNUMBER(R59),R59&gt;1,P59&gt;0),R59/P59-1,"")</f>
        <v>-0.186804089877592</v>
      </c>
      <c r="T59" s="9" t="n">
        <f aca="false">IF(AND(ISNUMBER(P59),P59&gt;0),P59*EXP('Read me'!$B$22),"")</f>
        <v>22.5296772208861</v>
      </c>
    </row>
    <row r="60" customFormat="false" ht="15" hidden="false" customHeight="false" outlineLevel="0" collapsed="false">
      <c r="A60" s="14" t="s">
        <v>205</v>
      </c>
      <c r="B60" s="14" t="s">
        <v>56</v>
      </c>
      <c r="C60" s="14" t="s">
        <v>206</v>
      </c>
      <c r="D60" s="14" t="s">
        <v>463</v>
      </c>
      <c r="E60" s="15" t="n">
        <v>15</v>
      </c>
      <c r="F60" s="14" t="s">
        <v>349</v>
      </c>
      <c r="G60" s="8" t="n">
        <v>7</v>
      </c>
      <c r="H60" s="14" t="s">
        <v>747</v>
      </c>
      <c r="I60" s="14" t="s">
        <v>553</v>
      </c>
      <c r="J60" s="14" t="s">
        <v>748</v>
      </c>
      <c r="K60" s="8" t="n">
        <v>4</v>
      </c>
      <c r="L60" s="8" t="n">
        <v>45</v>
      </c>
      <c r="M60" s="8" t="n">
        <v>6</v>
      </c>
      <c r="N60" s="8" t="n">
        <v>33</v>
      </c>
      <c r="O60" s="8" t="n">
        <v>7</v>
      </c>
      <c r="P60" s="9" t="n">
        <v>51.3292286332066</v>
      </c>
      <c r="Q60" s="10" t="n">
        <v>0.0194820773003603</v>
      </c>
      <c r="R60" s="9" t="n">
        <v>51</v>
      </c>
      <c r="S60" s="12" t="n">
        <f aca="false">IF(AND(ISNUMBER(R60),R60&gt;1,P60&gt;0),R60/P60-1,"")</f>
        <v>-0.00641405768162362</v>
      </c>
      <c r="T60" s="9" t="n">
        <f aca="false">IF(AND(ISNUMBER(P60),P60&gt;0),P60*EXP('Read me'!$B$22),"")</f>
        <v>62.6936614268326</v>
      </c>
    </row>
  </sheetData>
  <autoFilter ref="A1:T60"/>
  <conditionalFormatting sqref="A2:T60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279</v>
      </c>
      <c r="E1" s="6" t="s">
        <v>280</v>
      </c>
      <c r="F1" s="6" t="s">
        <v>281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282</v>
      </c>
      <c r="L1" s="6" t="s">
        <v>283</v>
      </c>
      <c r="M1" s="6" t="s">
        <v>284</v>
      </c>
      <c r="N1" s="6" t="s">
        <v>285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62</v>
      </c>
      <c r="B2" s="14" t="s">
        <v>63</v>
      </c>
      <c r="C2" s="14" t="s">
        <v>64</v>
      </c>
      <c r="D2" s="14" t="s">
        <v>319</v>
      </c>
      <c r="E2" s="15" t="n">
        <v>16.5</v>
      </c>
      <c r="F2" s="14" t="s">
        <v>368</v>
      </c>
      <c r="G2" s="8" t="n">
        <v>7</v>
      </c>
      <c r="H2" s="14" t="s">
        <v>65</v>
      </c>
      <c r="I2" s="14" t="s">
        <v>66</v>
      </c>
      <c r="J2" s="14" t="s">
        <v>67</v>
      </c>
      <c r="K2" s="8" t="n">
        <v>1</v>
      </c>
      <c r="L2" s="8" t="n">
        <v>105</v>
      </c>
      <c r="M2" s="8" t="n">
        <v>5</v>
      </c>
      <c r="N2" s="8" t="n">
        <v>10</v>
      </c>
      <c r="O2" s="8" t="n">
        <v>1</v>
      </c>
      <c r="P2" s="9" t="n">
        <v>3.37066594549794</v>
      </c>
      <c r="Q2" s="10" t="n">
        <v>0.296677278665262</v>
      </c>
      <c r="R2" s="9" t="n">
        <v>2.875</v>
      </c>
      <c r="S2" s="12" t="n">
        <f aca="false">IF(AND(ISNUMBER(R2),R2&gt;1,P2&gt;0),R2/P2-1,"")</f>
        <v>-0.147052823837373</v>
      </c>
      <c r="T2" s="9" t="n">
        <f aca="false">IF(AND(ISNUMBER(P2),P2&gt;0),P2*EXP('Read me'!$B$22),"")</f>
        <v>4.11694068266774</v>
      </c>
    </row>
    <row r="3" customFormat="false" ht="15" hidden="false" customHeight="false" outlineLevel="0" collapsed="false">
      <c r="A3" s="14" t="s">
        <v>62</v>
      </c>
      <c r="B3" s="14" t="s">
        <v>63</v>
      </c>
      <c r="C3" s="14" t="s">
        <v>64</v>
      </c>
      <c r="D3" s="14" t="s">
        <v>319</v>
      </c>
      <c r="E3" s="15" t="n">
        <v>16.5</v>
      </c>
      <c r="F3" s="14" t="s">
        <v>368</v>
      </c>
      <c r="G3" s="8" t="n">
        <v>7</v>
      </c>
      <c r="H3" s="14" t="s">
        <v>68</v>
      </c>
      <c r="I3" s="14" t="s">
        <v>369</v>
      </c>
      <c r="J3" s="14" t="s">
        <v>370</v>
      </c>
      <c r="K3" s="8" t="n">
        <v>3</v>
      </c>
      <c r="L3" s="8" t="n">
        <v>102</v>
      </c>
      <c r="M3" s="8" t="n">
        <v>7</v>
      </c>
      <c r="N3" s="8" t="n">
        <v>32</v>
      </c>
      <c r="O3" s="8" t="n">
        <v>2</v>
      </c>
      <c r="P3" s="9" t="n">
        <v>5.21060779714147</v>
      </c>
      <c r="Q3" s="10" t="n">
        <v>0.191916190765423</v>
      </c>
      <c r="R3" s="9" t="n">
        <v>4.5</v>
      </c>
      <c r="S3" s="12" t="n">
        <f aca="false">IF(AND(ISNUMBER(R3),R3&gt;1,P3&gt;0),R3/P3-1,"")</f>
        <v>-0.136377141555598</v>
      </c>
      <c r="T3" s="9" t="n">
        <f aca="false">IF(AND(ISNUMBER(P3),P3&gt;0),P3*EXP('Read me'!$B$22),"")</f>
        <v>6.36425073511947</v>
      </c>
    </row>
    <row r="4" customFormat="false" ht="15" hidden="false" customHeight="false" outlineLevel="0" collapsed="false">
      <c r="A4" s="14" t="s">
        <v>62</v>
      </c>
      <c r="B4" s="14" t="s">
        <v>63</v>
      </c>
      <c r="C4" s="14" t="s">
        <v>64</v>
      </c>
      <c r="D4" s="14" t="s">
        <v>319</v>
      </c>
      <c r="E4" s="15" t="n">
        <v>16.5</v>
      </c>
      <c r="F4" s="14" t="s">
        <v>368</v>
      </c>
      <c r="G4" s="8" t="n">
        <v>7</v>
      </c>
      <c r="H4" s="14" t="s">
        <v>371</v>
      </c>
      <c r="I4" s="14" t="s">
        <v>372</v>
      </c>
      <c r="J4" s="14" t="s">
        <v>373</v>
      </c>
      <c r="K4" s="8" t="n">
        <v>6</v>
      </c>
      <c r="L4" s="8" t="n">
        <v>83</v>
      </c>
      <c r="M4" s="8" t="n">
        <v>7</v>
      </c>
      <c r="N4" s="8" t="n">
        <v>13</v>
      </c>
      <c r="O4" s="8" t="n">
        <v>3</v>
      </c>
      <c r="P4" s="9" t="n">
        <v>5.84619958994512</v>
      </c>
      <c r="Q4" s="10" t="n">
        <v>0.171051293171704</v>
      </c>
      <c r="R4" s="9" t="n">
        <v>4.5</v>
      </c>
      <c r="S4" s="12" t="n">
        <f aca="false">IF(AND(ISNUMBER(R4),R4&gt;1,P4&gt;0),R4/P4-1,"")</f>
        <v>-0.230269180727331</v>
      </c>
      <c r="T4" s="9" t="n">
        <f aca="false">IF(AND(ISNUMBER(P4),P4&gt;0),P4*EXP('Read me'!$B$22),"")</f>
        <v>7.14056430391382</v>
      </c>
    </row>
    <row r="5" customFormat="false" ht="15" hidden="false" customHeight="false" outlineLevel="0" collapsed="false">
      <c r="A5" s="14" t="s">
        <v>62</v>
      </c>
      <c r="B5" s="14" t="s">
        <v>63</v>
      </c>
      <c r="C5" s="14" t="s">
        <v>64</v>
      </c>
      <c r="D5" s="14" t="s">
        <v>319</v>
      </c>
      <c r="E5" s="15" t="n">
        <v>16.5</v>
      </c>
      <c r="F5" s="14" t="s">
        <v>368</v>
      </c>
      <c r="G5" s="8" t="n">
        <v>7</v>
      </c>
      <c r="H5" s="14" t="s">
        <v>374</v>
      </c>
      <c r="I5" s="14" t="s">
        <v>375</v>
      </c>
      <c r="J5" s="14" t="s">
        <v>218</v>
      </c>
      <c r="K5" s="8" t="n">
        <v>2</v>
      </c>
      <c r="L5" s="8" t="n">
        <v>105</v>
      </c>
      <c r="M5" s="8" t="n">
        <v>4</v>
      </c>
      <c r="N5" s="8" t="n">
        <v>18</v>
      </c>
      <c r="O5" s="8" t="n">
        <v>4</v>
      </c>
      <c r="P5" s="9" t="n">
        <v>6.72476290105224</v>
      </c>
      <c r="Q5" s="10" t="n">
        <v>0.148704127522998</v>
      </c>
      <c r="R5" s="9" t="n">
        <v>11</v>
      </c>
      <c r="S5" s="12" t="n">
        <f aca="false">IF(AND(ISNUMBER(R5),R5&gt;1,P5&gt;0),R5/P5-1,"")</f>
        <v>0.635745402752982</v>
      </c>
      <c r="T5" s="9" t="n">
        <f aca="false">IF(AND(ISNUMBER(P5),P5&gt;0),P5*EXP('Read me'!$B$22),"")</f>
        <v>8.21364395531839</v>
      </c>
    </row>
    <row r="6" customFormat="false" ht="15" hidden="false" customHeight="false" outlineLevel="0" collapsed="false">
      <c r="A6" s="14" t="s">
        <v>62</v>
      </c>
      <c r="B6" s="14" t="s">
        <v>63</v>
      </c>
      <c r="C6" s="14" t="s">
        <v>64</v>
      </c>
      <c r="D6" s="14" t="s">
        <v>319</v>
      </c>
      <c r="E6" s="15" t="n">
        <v>16.5</v>
      </c>
      <c r="F6" s="14" t="s">
        <v>368</v>
      </c>
      <c r="G6" s="8" t="n">
        <v>7</v>
      </c>
      <c r="H6" s="14" t="s">
        <v>376</v>
      </c>
      <c r="I6" s="14" t="s">
        <v>377</v>
      </c>
      <c r="J6" s="14" t="s">
        <v>114</v>
      </c>
      <c r="K6" s="8" t="n">
        <v>5</v>
      </c>
      <c r="L6" s="8" t="n">
        <v>94</v>
      </c>
      <c r="M6" s="8" t="n">
        <v>5</v>
      </c>
      <c r="N6" s="8" t="n">
        <v>25</v>
      </c>
      <c r="O6" s="8" t="n">
        <v>5</v>
      </c>
      <c r="P6" s="9" t="n">
        <v>12.0886650099054</v>
      </c>
      <c r="Q6" s="10" t="n">
        <v>0.0827221201994269</v>
      </c>
      <c r="R6" s="9" t="n">
        <v>7</v>
      </c>
      <c r="S6" s="12" t="n">
        <f aca="false">IF(AND(ISNUMBER(R6),R6&gt;1,P6&gt;0),R6/P6-1,"")</f>
        <v>-0.420945158604012</v>
      </c>
      <c r="T6" s="9" t="n">
        <f aca="false">IF(AND(ISNUMBER(P6),P6&gt;0),P6*EXP('Read me'!$B$22),"")</f>
        <v>14.7651287855728</v>
      </c>
    </row>
    <row r="7" customFormat="false" ht="15" hidden="false" customHeight="false" outlineLevel="0" collapsed="false">
      <c r="A7" s="14" t="s">
        <v>62</v>
      </c>
      <c r="B7" s="14" t="s">
        <v>63</v>
      </c>
      <c r="C7" s="14" t="s">
        <v>64</v>
      </c>
      <c r="D7" s="14" t="s">
        <v>319</v>
      </c>
      <c r="E7" s="15" t="n">
        <v>16.5</v>
      </c>
      <c r="F7" s="14" t="s">
        <v>368</v>
      </c>
      <c r="G7" s="8" t="n">
        <v>7</v>
      </c>
      <c r="H7" s="14" t="s">
        <v>378</v>
      </c>
      <c r="I7" s="14" t="s">
        <v>379</v>
      </c>
      <c r="J7" s="14" t="s">
        <v>380</v>
      </c>
      <c r="K7" s="8" t="n">
        <v>4</v>
      </c>
      <c r="L7" s="8" t="n">
        <v>94</v>
      </c>
      <c r="M7" s="8" t="n">
        <v>7</v>
      </c>
      <c r="N7" s="8" t="n">
        <v>24</v>
      </c>
      <c r="O7" s="8" t="n">
        <v>6</v>
      </c>
      <c r="P7" s="9" t="n">
        <v>16.6056640361522</v>
      </c>
      <c r="Q7" s="10" t="n">
        <v>0.060220416228035</v>
      </c>
      <c r="R7" s="9" t="n">
        <v>15</v>
      </c>
      <c r="S7" s="12" t="n">
        <f aca="false">IF(AND(ISNUMBER(R7),R7&gt;1,P7&gt;0),R7/P7-1,"")</f>
        <v>-0.0966937565794747</v>
      </c>
      <c r="T7" s="9" t="n">
        <f aca="false">IF(AND(ISNUMBER(P7),P7&gt;0),P7*EXP('Read me'!$B$22),"")</f>
        <v>20.2822038548375</v>
      </c>
    </row>
    <row r="8" customFormat="false" ht="15" hidden="false" customHeight="false" outlineLevel="0" collapsed="false">
      <c r="A8" s="14" t="s">
        <v>62</v>
      </c>
      <c r="B8" s="14" t="s">
        <v>63</v>
      </c>
      <c r="C8" s="14" t="s">
        <v>64</v>
      </c>
      <c r="D8" s="14" t="s">
        <v>319</v>
      </c>
      <c r="E8" s="15" t="n">
        <v>16.5</v>
      </c>
      <c r="F8" s="14" t="s">
        <v>368</v>
      </c>
      <c r="G8" s="8" t="n">
        <v>7</v>
      </c>
      <c r="H8" s="14" t="s">
        <v>381</v>
      </c>
      <c r="I8" s="14" t="s">
        <v>382</v>
      </c>
      <c r="J8" s="14" t="s">
        <v>383</v>
      </c>
      <c r="K8" s="8" t="n">
        <v>7</v>
      </c>
      <c r="L8" s="8" t="n">
        <v>79</v>
      </c>
      <c r="M8" s="8" t="n">
        <v>7</v>
      </c>
      <c r="N8" s="8" t="n">
        <v>15</v>
      </c>
      <c r="O8" s="8" t="n">
        <v>7</v>
      </c>
      <c r="P8" s="9" t="n">
        <v>20.5302666292414</v>
      </c>
      <c r="Q8" s="10" t="n">
        <v>0.0487085734471511</v>
      </c>
      <c r="R8" s="9" t="n">
        <v>21</v>
      </c>
      <c r="S8" s="12" t="n">
        <f aca="false">IF(AND(ISNUMBER(R8),R8&gt;1,P8&gt;0),R8/P8-1,"")</f>
        <v>0.0228800423901736</v>
      </c>
      <c r="T8" s="9" t="n">
        <f aca="false">IF(AND(ISNUMBER(P8),P8&gt;0),P8*EXP('Read me'!$B$22),"")</f>
        <v>25.0757242867191</v>
      </c>
    </row>
    <row r="9" customFormat="false" ht="15" hidden="false" customHeight="false" outlineLevel="0" collapsed="false">
      <c r="A9" s="14" t="s">
        <v>86</v>
      </c>
      <c r="B9" s="14" t="s">
        <v>63</v>
      </c>
      <c r="C9" s="14" t="s">
        <v>87</v>
      </c>
      <c r="D9" s="14" t="s">
        <v>422</v>
      </c>
      <c r="E9" s="15" t="n">
        <v>16.5</v>
      </c>
      <c r="F9" s="14" t="s">
        <v>368</v>
      </c>
      <c r="G9" s="8" t="n">
        <v>7</v>
      </c>
      <c r="H9" s="14" t="s">
        <v>88</v>
      </c>
      <c r="I9" s="14" t="s">
        <v>89</v>
      </c>
      <c r="J9" s="14" t="s">
        <v>90</v>
      </c>
      <c r="K9" s="8" t="n">
        <v>4</v>
      </c>
      <c r="L9" s="8" t="n">
        <v>0</v>
      </c>
      <c r="M9" s="8" t="n">
        <v>3</v>
      </c>
      <c r="N9" s="8" t="n">
        <v>12</v>
      </c>
      <c r="O9" s="8" t="n">
        <v>1</v>
      </c>
      <c r="P9" s="9" t="n">
        <v>1.37306853927239</v>
      </c>
      <c r="Q9" s="10" t="n">
        <v>0.728295763392782</v>
      </c>
      <c r="R9" s="9" t="n">
        <v>1.61538461538462</v>
      </c>
      <c r="S9" s="12" t="n">
        <f aca="false">IF(AND(ISNUMBER(R9),R9&gt;1,P9&gt;0),R9/P9-1,"")</f>
        <v>0.176477771634493</v>
      </c>
      <c r="T9" s="9" t="n">
        <f aca="false">IF(AND(ISNUMBER(P9),P9&gt;0),P9*EXP('Read me'!$B$22),"")</f>
        <v>1.67706970101026</v>
      </c>
    </row>
    <row r="10" customFormat="false" ht="15" hidden="false" customHeight="false" outlineLevel="0" collapsed="false">
      <c r="A10" s="14" t="s">
        <v>86</v>
      </c>
      <c r="B10" s="14" t="s">
        <v>63</v>
      </c>
      <c r="C10" s="14" t="s">
        <v>87</v>
      </c>
      <c r="D10" s="14" t="s">
        <v>422</v>
      </c>
      <c r="E10" s="15" t="n">
        <v>16.5</v>
      </c>
      <c r="F10" s="14" t="s">
        <v>368</v>
      </c>
      <c r="G10" s="8" t="n">
        <v>7</v>
      </c>
      <c r="H10" s="14" t="s">
        <v>91</v>
      </c>
      <c r="I10" s="14" t="s">
        <v>434</v>
      </c>
      <c r="J10" s="14" t="s">
        <v>435</v>
      </c>
      <c r="K10" s="8" t="n">
        <v>2</v>
      </c>
      <c r="L10" s="8" t="n">
        <v>0</v>
      </c>
      <c r="M10" s="8" t="n">
        <v>3</v>
      </c>
      <c r="N10" s="8" t="n">
        <v>22</v>
      </c>
      <c r="O10" s="8" t="n">
        <v>2</v>
      </c>
      <c r="P10" s="9" t="n">
        <v>9.92720146478843</v>
      </c>
      <c r="Q10" s="10" t="n">
        <v>0.100733323842271</v>
      </c>
      <c r="R10" s="9" t="n">
        <v>4.33333333333333</v>
      </c>
      <c r="S10" s="12" t="n">
        <f aca="false">IF(AND(ISNUMBER(R10),R10&gt;1,P10&gt;0),R10/P10-1,"")</f>
        <v>-0.563488930016826</v>
      </c>
      <c r="T10" s="9" t="n">
        <f aca="false">IF(AND(ISNUMBER(P10),P10&gt;0),P10*EXP('Read me'!$B$22),"")</f>
        <v>12.1251112499043</v>
      </c>
    </row>
    <row r="11" customFormat="false" ht="15" hidden="false" customHeight="false" outlineLevel="0" collapsed="false">
      <c r="A11" s="14" t="s">
        <v>86</v>
      </c>
      <c r="B11" s="14" t="s">
        <v>63</v>
      </c>
      <c r="C11" s="14" t="s">
        <v>87</v>
      </c>
      <c r="D11" s="14" t="s">
        <v>422</v>
      </c>
      <c r="E11" s="15" t="n">
        <v>16.5</v>
      </c>
      <c r="F11" s="14" t="s">
        <v>368</v>
      </c>
      <c r="G11" s="8" t="n">
        <v>7</v>
      </c>
      <c r="H11" s="14" t="s">
        <v>436</v>
      </c>
      <c r="I11" s="14" t="s">
        <v>437</v>
      </c>
      <c r="J11" s="14" t="s">
        <v>438</v>
      </c>
      <c r="K11" s="8" t="n">
        <v>6</v>
      </c>
      <c r="L11" s="8" t="n">
        <v>0</v>
      </c>
      <c r="M11" s="8" t="n">
        <v>3</v>
      </c>
      <c r="N11" s="8" t="n">
        <v>29</v>
      </c>
      <c r="O11" s="8" t="n">
        <v>3</v>
      </c>
      <c r="P11" s="9" t="n">
        <v>11.0840378176803</v>
      </c>
      <c r="Q11" s="10" t="n">
        <v>0.0902198293121017</v>
      </c>
      <c r="R11" s="9" t="n">
        <v>10</v>
      </c>
      <c r="S11" s="12" t="n">
        <f aca="false">IF(AND(ISNUMBER(R11),R11&gt;1,P11&gt;0),R11/P11-1,"")</f>
        <v>-0.0978017068789818</v>
      </c>
      <c r="T11" s="9" t="n">
        <f aca="false">IF(AND(ISNUMBER(P11),P11&gt;0),P11*EXP('Read me'!$B$22),"")</f>
        <v>13.5380743620664</v>
      </c>
    </row>
    <row r="12" customFormat="false" ht="15" hidden="false" customHeight="false" outlineLevel="0" collapsed="false">
      <c r="A12" s="14" t="s">
        <v>86</v>
      </c>
      <c r="B12" s="14" t="s">
        <v>63</v>
      </c>
      <c r="C12" s="14" t="s">
        <v>87</v>
      </c>
      <c r="D12" s="14" t="s">
        <v>422</v>
      </c>
      <c r="E12" s="15" t="n">
        <v>16.5</v>
      </c>
      <c r="F12" s="14" t="s">
        <v>368</v>
      </c>
      <c r="G12" s="8" t="n">
        <v>7</v>
      </c>
      <c r="H12" s="14" t="s">
        <v>439</v>
      </c>
      <c r="I12" s="14" t="s">
        <v>440</v>
      </c>
      <c r="J12" s="14" t="s">
        <v>441</v>
      </c>
      <c r="K12" s="8" t="n">
        <v>5</v>
      </c>
      <c r="L12" s="8" t="n">
        <v>0</v>
      </c>
      <c r="M12" s="8" t="n">
        <v>3</v>
      </c>
      <c r="N12" s="8" t="n">
        <v>15</v>
      </c>
      <c r="O12" s="8" t="n">
        <v>4</v>
      </c>
      <c r="P12" s="9" t="n">
        <v>31.2099125080841</v>
      </c>
      <c r="Q12" s="10" t="n">
        <v>0.0320411023177644</v>
      </c>
      <c r="R12" s="9" t="n">
        <v>15</v>
      </c>
      <c r="S12" s="12" t="n">
        <f aca="false">IF(AND(ISNUMBER(R12),R12&gt;1,P12&gt;0),R12/P12-1,"")</f>
        <v>-0.519383465233533</v>
      </c>
      <c r="T12" s="9" t="n">
        <f aca="false">IF(AND(ISNUMBER(P12),P12&gt;0),P12*EXP('Read me'!$B$22),"")</f>
        <v>38.1198732193116</v>
      </c>
    </row>
    <row r="13" customFormat="false" ht="15" hidden="false" customHeight="false" outlineLevel="0" collapsed="false">
      <c r="A13" s="14" t="s">
        <v>86</v>
      </c>
      <c r="B13" s="14" t="s">
        <v>63</v>
      </c>
      <c r="C13" s="14" t="s">
        <v>87</v>
      </c>
      <c r="D13" s="14" t="s">
        <v>422</v>
      </c>
      <c r="E13" s="15" t="n">
        <v>16.5</v>
      </c>
      <c r="F13" s="14" t="s">
        <v>368</v>
      </c>
      <c r="G13" s="8" t="n">
        <v>7</v>
      </c>
      <c r="H13" s="14" t="s">
        <v>442</v>
      </c>
      <c r="I13" s="14" t="s">
        <v>443</v>
      </c>
      <c r="J13" s="14" t="s">
        <v>444</v>
      </c>
      <c r="K13" s="8" t="n">
        <v>1</v>
      </c>
      <c r="L13" s="8" t="n">
        <v>0</v>
      </c>
      <c r="M13" s="8" t="n">
        <v>3</v>
      </c>
      <c r="N13" s="8" t="n">
        <v>330</v>
      </c>
      <c r="O13" s="8" t="n">
        <v>5</v>
      </c>
      <c r="P13" s="9" t="n">
        <v>31.440401134097</v>
      </c>
      <c r="Q13" s="10" t="n">
        <v>0.0318062099696147</v>
      </c>
      <c r="R13" s="9" t="n">
        <v>15</v>
      </c>
      <c r="S13" s="12" t="n">
        <f aca="false">IF(AND(ISNUMBER(R13),R13&gt;1,P13&gt;0),R13/P13-1,"")</f>
        <v>-0.522906850455779</v>
      </c>
      <c r="T13" s="9" t="n">
        <f aca="false">IF(AND(ISNUMBER(P13),P13&gt;0),P13*EXP('Read me'!$B$22),"")</f>
        <v>38.4013926628482</v>
      </c>
    </row>
    <row r="14" customFormat="false" ht="15" hidden="false" customHeight="false" outlineLevel="0" collapsed="false">
      <c r="A14" s="14" t="s">
        <v>86</v>
      </c>
      <c r="B14" s="14" t="s">
        <v>63</v>
      </c>
      <c r="C14" s="14" t="s">
        <v>87</v>
      </c>
      <c r="D14" s="14" t="s">
        <v>422</v>
      </c>
      <c r="E14" s="15" t="n">
        <v>16.5</v>
      </c>
      <c r="F14" s="14" t="s">
        <v>368</v>
      </c>
      <c r="G14" s="8" t="n">
        <v>7</v>
      </c>
      <c r="H14" s="14" t="s">
        <v>445</v>
      </c>
      <c r="I14" s="14" t="s">
        <v>372</v>
      </c>
      <c r="J14" s="14" t="s">
        <v>431</v>
      </c>
      <c r="K14" s="8" t="n">
        <v>7</v>
      </c>
      <c r="L14" s="8" t="n">
        <v>0</v>
      </c>
      <c r="M14" s="8" t="n">
        <v>3</v>
      </c>
      <c r="N14" s="8" t="n">
        <v>116</v>
      </c>
      <c r="O14" s="8" t="n">
        <v>6</v>
      </c>
      <c r="P14" s="9" t="n">
        <v>105.298264390559</v>
      </c>
      <c r="Q14" s="10" t="n">
        <v>0.0094968326950853</v>
      </c>
      <c r="R14" s="9" t="n">
        <v>101</v>
      </c>
      <c r="S14" s="12" t="n">
        <f aca="false">IF(AND(ISNUMBER(R14),R14&gt;1,P14&gt;0),R14/P14-1,"")</f>
        <v>-0.0408198977963772</v>
      </c>
      <c r="T14" s="9" t="n">
        <f aca="false">IF(AND(ISNUMBER(P14),P14&gt;0),P14*EXP('Read me'!$B$22),"")</f>
        <v>128.611590556107</v>
      </c>
    </row>
    <row r="15" customFormat="false" ht="15" hidden="false" customHeight="false" outlineLevel="0" collapsed="false">
      <c r="A15" s="14" t="s">
        <v>86</v>
      </c>
      <c r="B15" s="14" t="s">
        <v>63</v>
      </c>
      <c r="C15" s="14" t="s">
        <v>87</v>
      </c>
      <c r="D15" s="14" t="s">
        <v>422</v>
      </c>
      <c r="E15" s="15" t="n">
        <v>16.5</v>
      </c>
      <c r="F15" s="14" t="s">
        <v>368</v>
      </c>
      <c r="G15" s="8" t="n">
        <v>7</v>
      </c>
      <c r="H15" s="14" t="s">
        <v>446</v>
      </c>
      <c r="I15" s="14" t="s">
        <v>447</v>
      </c>
      <c r="J15" s="14" t="s">
        <v>373</v>
      </c>
      <c r="K15" s="8" t="n">
        <v>3</v>
      </c>
      <c r="L15" s="8" t="n">
        <v>0</v>
      </c>
      <c r="M15" s="8" t="n">
        <v>3</v>
      </c>
      <c r="N15" s="8" t="n">
        <v>65</v>
      </c>
      <c r="O15" s="8" t="n">
        <v>7</v>
      </c>
      <c r="P15" s="9" t="n">
        <v>135.008546918386</v>
      </c>
      <c r="Q15" s="10" t="n">
        <v>0.0074069384703807</v>
      </c>
      <c r="R15" s="9" t="n">
        <v>26</v>
      </c>
      <c r="S15" s="12" t="n">
        <f aca="false">IF(AND(ISNUMBER(R15),R15&gt;1,P15&gt;0),R15/P15-1,"")</f>
        <v>-0.8074195997701</v>
      </c>
      <c r="T15" s="9" t="n">
        <f aca="false">IF(AND(ISNUMBER(P15),P15&gt;0),P15*EXP('Read me'!$B$22),"")</f>
        <v>164.899811581313</v>
      </c>
    </row>
    <row r="16" customFormat="false" ht="15" hidden="false" customHeight="false" outlineLevel="0" collapsed="false">
      <c r="A16" s="14" t="s">
        <v>110</v>
      </c>
      <c r="B16" s="14" t="s">
        <v>63</v>
      </c>
      <c r="C16" s="14" t="s">
        <v>111</v>
      </c>
      <c r="D16" s="14" t="s">
        <v>422</v>
      </c>
      <c r="E16" s="15" t="n">
        <v>21.5</v>
      </c>
      <c r="F16" s="14" t="s">
        <v>368</v>
      </c>
      <c r="G16" s="8" t="n">
        <v>4</v>
      </c>
      <c r="H16" s="14" t="s">
        <v>112</v>
      </c>
      <c r="I16" s="14" t="s">
        <v>113</v>
      </c>
      <c r="J16" s="14" t="s">
        <v>114</v>
      </c>
      <c r="K16" s="8" t="n">
        <v>1</v>
      </c>
      <c r="L16" s="8" t="n">
        <v>108</v>
      </c>
      <c r="M16" s="8" t="n">
        <v>7</v>
      </c>
      <c r="N16" s="8" t="n">
        <v>7</v>
      </c>
      <c r="O16" s="8" t="n">
        <v>1</v>
      </c>
      <c r="P16" s="9" t="n">
        <v>2.55049997755041</v>
      </c>
      <c r="Q16" s="10" t="n">
        <v>0.392079987767902</v>
      </c>
      <c r="R16" s="9" t="n">
        <v>2.5</v>
      </c>
      <c r="S16" s="12" t="n">
        <f aca="false">IF(AND(ISNUMBER(R16),R16&gt;1,P16&gt;0),R16/P16-1,"")</f>
        <v>-0.0198000305802445</v>
      </c>
      <c r="T16" s="9" t="n">
        <f aca="false">IF(AND(ISNUMBER(P16),P16&gt;0),P16*EXP('Read me'!$B$22),"")</f>
        <v>3.11518770726752</v>
      </c>
    </row>
    <row r="17" customFormat="false" ht="15" hidden="false" customHeight="false" outlineLevel="0" collapsed="false">
      <c r="A17" s="14" t="s">
        <v>110</v>
      </c>
      <c r="B17" s="14" t="s">
        <v>63</v>
      </c>
      <c r="C17" s="14" t="s">
        <v>111</v>
      </c>
      <c r="D17" s="14" t="s">
        <v>422</v>
      </c>
      <c r="E17" s="15" t="n">
        <v>21.5</v>
      </c>
      <c r="F17" s="14" t="s">
        <v>368</v>
      </c>
      <c r="G17" s="8" t="n">
        <v>4</v>
      </c>
      <c r="H17" s="14" t="s">
        <v>115</v>
      </c>
      <c r="I17" s="14" t="s">
        <v>496</v>
      </c>
      <c r="J17" s="14" t="s">
        <v>67</v>
      </c>
      <c r="K17" s="8" t="n">
        <v>3</v>
      </c>
      <c r="L17" s="8" t="n">
        <v>105</v>
      </c>
      <c r="M17" s="8" t="n">
        <v>9</v>
      </c>
      <c r="N17" s="8" t="n">
        <v>20</v>
      </c>
      <c r="O17" s="8" t="n">
        <v>2</v>
      </c>
      <c r="P17" s="9" t="n">
        <v>3.50146556040314</v>
      </c>
      <c r="Q17" s="10" t="n">
        <v>0.285594698205418</v>
      </c>
      <c r="R17" s="9" t="n">
        <v>3</v>
      </c>
      <c r="S17" s="12" t="n">
        <f aca="false">IF(AND(ISNUMBER(R17),R17&gt;1,P17&gt;0),R17/P17-1,"")</f>
        <v>-0.143215905383746</v>
      </c>
      <c r="T17" s="9" t="n">
        <f aca="false">IF(AND(ISNUMBER(P17),P17&gt;0),P17*EXP('Read me'!$B$22),"")</f>
        <v>4.27669969307924</v>
      </c>
    </row>
    <row r="18" customFormat="false" ht="15" hidden="false" customHeight="false" outlineLevel="0" collapsed="false">
      <c r="A18" s="14" t="s">
        <v>110</v>
      </c>
      <c r="B18" s="14" t="s">
        <v>63</v>
      </c>
      <c r="C18" s="14" t="s">
        <v>111</v>
      </c>
      <c r="D18" s="14" t="s">
        <v>422</v>
      </c>
      <c r="E18" s="15" t="n">
        <v>21.5</v>
      </c>
      <c r="F18" s="14" t="s">
        <v>368</v>
      </c>
      <c r="G18" s="8" t="n">
        <v>4</v>
      </c>
      <c r="H18" s="14" t="s">
        <v>497</v>
      </c>
      <c r="I18" s="14" t="s">
        <v>89</v>
      </c>
      <c r="J18" s="14" t="s">
        <v>498</v>
      </c>
      <c r="K18" s="8" t="n">
        <v>2</v>
      </c>
      <c r="L18" s="8" t="n">
        <v>106</v>
      </c>
      <c r="M18" s="8" t="n">
        <v>7</v>
      </c>
      <c r="N18" s="8" t="n">
        <v>31</v>
      </c>
      <c r="O18" s="8" t="n">
        <v>3</v>
      </c>
      <c r="P18" s="9" t="n">
        <v>4.34466036417393</v>
      </c>
      <c r="Q18" s="10" t="n">
        <v>0.230167588759296</v>
      </c>
      <c r="R18" s="9" t="n">
        <v>4.33333333333333</v>
      </c>
      <c r="S18" s="12" t="n">
        <f aca="false">IF(AND(ISNUMBER(R18),R18&gt;1,P18&gt;0),R18/P18-1,"")</f>
        <v>-0.00260711537638225</v>
      </c>
      <c r="T18" s="9" t="n">
        <f aca="false">IF(AND(ISNUMBER(P18),P18&gt;0),P18*EXP('Read me'!$B$22),"")</f>
        <v>5.30658015207121</v>
      </c>
    </row>
    <row r="19" customFormat="false" ht="15" hidden="false" customHeight="false" outlineLevel="0" collapsed="false">
      <c r="A19" s="14" t="s">
        <v>110</v>
      </c>
      <c r="B19" s="14" t="s">
        <v>63</v>
      </c>
      <c r="C19" s="14" t="s">
        <v>111</v>
      </c>
      <c r="D19" s="14" t="s">
        <v>422</v>
      </c>
      <c r="E19" s="15" t="n">
        <v>21.5</v>
      </c>
      <c r="F19" s="14" t="s">
        <v>368</v>
      </c>
      <c r="G19" s="8" t="n">
        <v>4</v>
      </c>
      <c r="H19" s="14" t="s">
        <v>499</v>
      </c>
      <c r="I19" s="14" t="s">
        <v>500</v>
      </c>
      <c r="J19" s="14" t="s">
        <v>501</v>
      </c>
      <c r="K19" s="8" t="n">
        <v>4</v>
      </c>
      <c r="L19" s="8" t="n">
        <v>89</v>
      </c>
      <c r="M19" s="8" t="n">
        <v>5</v>
      </c>
      <c r="N19" s="8" t="n">
        <v>25</v>
      </c>
      <c r="O19" s="8" t="n">
        <v>4</v>
      </c>
      <c r="P19" s="9" t="n">
        <v>10.8509622725456</v>
      </c>
      <c r="Q19" s="10" t="n">
        <v>0.0921577252673834</v>
      </c>
      <c r="R19" s="9" t="n">
        <v>8</v>
      </c>
      <c r="S19" s="12" t="n">
        <f aca="false">IF(AND(ISNUMBER(R19),R19&gt;1,P19&gt;0),R19/P19-1,"")</f>
        <v>-0.262738197860932</v>
      </c>
      <c r="T19" s="9" t="n">
        <f aca="false">IF(AND(ISNUMBER(P19),P19&gt;0),P19*EXP('Read me'!$B$22),"")</f>
        <v>13.2533952483791</v>
      </c>
    </row>
    <row r="20" customFormat="false" ht="15" hidden="false" customHeight="false" outlineLevel="0" collapsed="false">
      <c r="A20" s="14" t="s">
        <v>133</v>
      </c>
      <c r="B20" s="14" t="s">
        <v>63</v>
      </c>
      <c r="C20" s="14" t="s">
        <v>134</v>
      </c>
      <c r="D20" s="14" t="s">
        <v>319</v>
      </c>
      <c r="E20" s="15" t="n">
        <v>19.5</v>
      </c>
      <c r="F20" s="14" t="s">
        <v>368</v>
      </c>
      <c r="G20" s="8" t="n">
        <v>8</v>
      </c>
      <c r="H20" s="14" t="s">
        <v>135</v>
      </c>
      <c r="I20" s="14" t="s">
        <v>136</v>
      </c>
      <c r="J20" s="14" t="s">
        <v>137</v>
      </c>
      <c r="K20" s="8" t="n">
        <v>4</v>
      </c>
      <c r="L20" s="8" t="n">
        <v>95</v>
      </c>
      <c r="M20" s="8" t="n">
        <v>7</v>
      </c>
      <c r="N20" s="8" t="n">
        <v>124</v>
      </c>
      <c r="O20" s="8" t="n">
        <v>1</v>
      </c>
      <c r="P20" s="9" t="n">
        <v>2.82480188429645</v>
      </c>
      <c r="Q20" s="10" t="n">
        <v>0.354007127210998</v>
      </c>
      <c r="R20" s="9" t="n">
        <v>1.83333333333333</v>
      </c>
      <c r="S20" s="12" t="n">
        <f aca="false">IF(AND(ISNUMBER(R20),R20&gt;1,P20&gt;0),R20/P20-1,"")</f>
        <v>-0.350986933446503</v>
      </c>
      <c r="T20" s="9" t="n">
        <f aca="false">IF(AND(ISNUMBER(P20),P20&gt;0),P20*EXP('Read me'!$B$22),"")</f>
        <v>3.45022081273573</v>
      </c>
    </row>
    <row r="21" customFormat="false" ht="15" hidden="false" customHeight="false" outlineLevel="0" collapsed="false">
      <c r="A21" s="14" t="s">
        <v>133</v>
      </c>
      <c r="B21" s="14" t="s">
        <v>63</v>
      </c>
      <c r="C21" s="14" t="s">
        <v>134</v>
      </c>
      <c r="D21" s="14" t="s">
        <v>319</v>
      </c>
      <c r="E21" s="15" t="n">
        <v>19.5</v>
      </c>
      <c r="F21" s="14" t="s">
        <v>368</v>
      </c>
      <c r="G21" s="8" t="n">
        <v>8</v>
      </c>
      <c r="H21" s="14" t="s">
        <v>138</v>
      </c>
      <c r="I21" s="14" t="s">
        <v>89</v>
      </c>
      <c r="J21" s="14" t="s">
        <v>566</v>
      </c>
      <c r="K21" s="8" t="n">
        <v>7</v>
      </c>
      <c r="L21" s="8" t="n">
        <v>78</v>
      </c>
      <c r="M21" s="8" t="n">
        <v>6</v>
      </c>
      <c r="N21" s="8" t="n">
        <v>32</v>
      </c>
      <c r="O21" s="8" t="n">
        <v>2</v>
      </c>
      <c r="P21" s="9" t="n">
        <v>6.19920738315574</v>
      </c>
      <c r="Q21" s="10" t="n">
        <v>0.161310944801938</v>
      </c>
      <c r="R21" s="9" t="n">
        <v>7.5</v>
      </c>
      <c r="S21" s="12" t="n">
        <f aca="false">IF(AND(ISNUMBER(R21),R21&gt;1,P21&gt;0),R21/P21-1,"")</f>
        <v>0.209832086014532</v>
      </c>
      <c r="T21" s="9" t="n">
        <f aca="false">IF(AND(ISNUMBER(P21),P21&gt;0),P21*EXP('Read me'!$B$22),"")</f>
        <v>7.57172899619331</v>
      </c>
    </row>
    <row r="22" customFormat="false" ht="15" hidden="false" customHeight="false" outlineLevel="0" collapsed="false">
      <c r="A22" s="14" t="s">
        <v>133</v>
      </c>
      <c r="B22" s="14" t="s">
        <v>63</v>
      </c>
      <c r="C22" s="14" t="s">
        <v>134</v>
      </c>
      <c r="D22" s="14" t="s">
        <v>319</v>
      </c>
      <c r="E22" s="15" t="n">
        <v>19.5</v>
      </c>
      <c r="F22" s="14" t="s">
        <v>368</v>
      </c>
      <c r="G22" s="8" t="n">
        <v>8</v>
      </c>
      <c r="H22" s="14" t="s">
        <v>567</v>
      </c>
      <c r="I22" s="14" t="s">
        <v>568</v>
      </c>
      <c r="J22" s="14" t="s">
        <v>444</v>
      </c>
      <c r="K22" s="8" t="n">
        <v>1</v>
      </c>
      <c r="L22" s="8" t="n">
        <v>99</v>
      </c>
      <c r="M22" s="8" t="n">
        <v>10</v>
      </c>
      <c r="N22" s="8" t="n">
        <v>21</v>
      </c>
      <c r="O22" s="8" t="n">
        <v>3</v>
      </c>
      <c r="P22" s="9" t="n">
        <v>6.29168438203154</v>
      </c>
      <c r="Q22" s="10" t="n">
        <v>0.158939949825822</v>
      </c>
      <c r="R22" s="9" t="n">
        <v>6</v>
      </c>
      <c r="S22" s="12" t="n">
        <f aca="false">IF(AND(ISNUMBER(R22),R22&gt;1,P22&gt;0),R22/P22-1,"")</f>
        <v>-0.0463603010450684</v>
      </c>
      <c r="T22" s="9" t="n">
        <f aca="false">IF(AND(ISNUMBER(P22),P22&gt;0),P22*EXP('Read me'!$B$22),"")</f>
        <v>7.68468065768658</v>
      </c>
    </row>
    <row r="23" customFormat="false" ht="15" hidden="false" customHeight="false" outlineLevel="0" collapsed="false">
      <c r="A23" s="14" t="s">
        <v>133</v>
      </c>
      <c r="B23" s="14" t="s">
        <v>63</v>
      </c>
      <c r="C23" s="14" t="s">
        <v>134</v>
      </c>
      <c r="D23" s="14" t="s">
        <v>319</v>
      </c>
      <c r="E23" s="15" t="n">
        <v>19.5</v>
      </c>
      <c r="F23" s="14" t="s">
        <v>368</v>
      </c>
      <c r="G23" s="8" t="n">
        <v>8</v>
      </c>
      <c r="H23" s="14" t="s">
        <v>569</v>
      </c>
      <c r="I23" s="14" t="s">
        <v>570</v>
      </c>
      <c r="J23" s="14" t="s">
        <v>571</v>
      </c>
      <c r="K23" s="8" t="n">
        <v>3</v>
      </c>
      <c r="L23" s="8" t="n">
        <v>97</v>
      </c>
      <c r="M23" s="8" t="n">
        <v>7</v>
      </c>
      <c r="N23" s="8" t="n">
        <v>128</v>
      </c>
      <c r="O23" s="8" t="n">
        <v>4</v>
      </c>
      <c r="P23" s="9" t="n">
        <v>9.53983560106889</v>
      </c>
      <c r="Q23" s="10" t="n">
        <v>0.10482360931754</v>
      </c>
      <c r="R23" s="9" t="n">
        <v>13</v>
      </c>
      <c r="S23" s="12" t="n">
        <f aca="false">IF(AND(ISNUMBER(R23),R23&gt;1,P23&gt;0),R23/P23-1,"")</f>
        <v>0.362706921128014</v>
      </c>
      <c r="T23" s="9" t="n">
        <f aca="false">IF(AND(ISNUMBER(P23),P23&gt;0),P23*EXP('Read me'!$B$22),"")</f>
        <v>11.6519815155401</v>
      </c>
    </row>
    <row r="24" customFormat="false" ht="15" hidden="false" customHeight="false" outlineLevel="0" collapsed="false">
      <c r="A24" s="14" t="s">
        <v>133</v>
      </c>
      <c r="B24" s="14" t="s">
        <v>63</v>
      </c>
      <c r="C24" s="14" t="s">
        <v>134</v>
      </c>
      <c r="D24" s="14" t="s">
        <v>319</v>
      </c>
      <c r="E24" s="15" t="n">
        <v>19.5</v>
      </c>
      <c r="F24" s="14" t="s">
        <v>368</v>
      </c>
      <c r="G24" s="8" t="n">
        <v>8</v>
      </c>
      <c r="H24" s="14" t="s">
        <v>572</v>
      </c>
      <c r="I24" s="14" t="s">
        <v>573</v>
      </c>
      <c r="J24" s="14" t="s">
        <v>574</v>
      </c>
      <c r="K24" s="8" t="n">
        <v>6</v>
      </c>
      <c r="L24" s="8" t="n">
        <v>86</v>
      </c>
      <c r="M24" s="8" t="n">
        <v>6</v>
      </c>
      <c r="N24" s="8" t="n">
        <v>13</v>
      </c>
      <c r="O24" s="8" t="n">
        <v>5</v>
      </c>
      <c r="P24" s="9" t="n">
        <v>12.7393452738063</v>
      </c>
      <c r="Q24" s="10" t="n">
        <v>0.0784969697034686</v>
      </c>
      <c r="R24" s="9" t="n">
        <v>15</v>
      </c>
      <c r="S24" s="12" t="n">
        <f aca="false">IF(AND(ISNUMBER(R24),R24&gt;1,P24&gt;0),R24/P24-1,"")</f>
        <v>0.177454545552029</v>
      </c>
      <c r="T24" s="9" t="n">
        <f aca="false">IF(AND(ISNUMBER(P24),P24&gt;0),P24*EXP('Read me'!$B$22),"")</f>
        <v>15.5598714545818</v>
      </c>
    </row>
    <row r="25" customFormat="false" ht="15" hidden="false" customHeight="false" outlineLevel="0" collapsed="false">
      <c r="A25" s="14" t="s">
        <v>133</v>
      </c>
      <c r="B25" s="14" t="s">
        <v>63</v>
      </c>
      <c r="C25" s="14" t="s">
        <v>134</v>
      </c>
      <c r="D25" s="14" t="s">
        <v>319</v>
      </c>
      <c r="E25" s="15" t="n">
        <v>19.5</v>
      </c>
      <c r="F25" s="14" t="s">
        <v>368</v>
      </c>
      <c r="G25" s="8" t="n">
        <v>8</v>
      </c>
      <c r="H25" s="14" t="s">
        <v>575</v>
      </c>
      <c r="I25" s="14" t="s">
        <v>576</v>
      </c>
      <c r="J25" s="14" t="s">
        <v>431</v>
      </c>
      <c r="K25" s="8" t="n">
        <v>8</v>
      </c>
      <c r="L25" s="8" t="n">
        <v>74</v>
      </c>
      <c r="M25" s="8" t="n">
        <v>5</v>
      </c>
      <c r="N25" s="8" t="n">
        <v>32</v>
      </c>
      <c r="O25" s="8" t="n">
        <v>6</v>
      </c>
      <c r="P25" s="9" t="n">
        <v>16.0785069185876</v>
      </c>
      <c r="Q25" s="10" t="n">
        <v>0.0621948297228982</v>
      </c>
      <c r="R25" s="9" t="n">
        <v>13</v>
      </c>
      <c r="S25" s="12" t="n">
        <f aca="false">IF(AND(ISNUMBER(R25),R25&gt;1,P25&gt;0),R25/P25-1,"")</f>
        <v>-0.191467213602322</v>
      </c>
      <c r="T25" s="9" t="n">
        <f aca="false">IF(AND(ISNUMBER(P25),P25&gt;0),P25*EXP('Read me'!$B$22),"")</f>
        <v>19.6383326974603</v>
      </c>
    </row>
    <row r="26" customFormat="false" ht="15" hidden="false" customHeight="false" outlineLevel="0" collapsed="false">
      <c r="A26" s="14" t="s">
        <v>133</v>
      </c>
      <c r="B26" s="14" t="s">
        <v>63</v>
      </c>
      <c r="C26" s="14" t="s">
        <v>134</v>
      </c>
      <c r="D26" s="14" t="s">
        <v>319</v>
      </c>
      <c r="E26" s="15" t="n">
        <v>19.5</v>
      </c>
      <c r="F26" s="14" t="s">
        <v>368</v>
      </c>
      <c r="G26" s="8" t="n">
        <v>8</v>
      </c>
      <c r="H26" s="14" t="s">
        <v>577</v>
      </c>
      <c r="I26" s="14" t="s">
        <v>440</v>
      </c>
      <c r="J26" s="14" t="s">
        <v>441</v>
      </c>
      <c r="K26" s="8" t="n">
        <v>2</v>
      </c>
      <c r="L26" s="8" t="n">
        <v>97</v>
      </c>
      <c r="M26" s="8" t="n">
        <v>5</v>
      </c>
      <c r="N26" s="8" t="n">
        <v>25</v>
      </c>
      <c r="O26" s="8" t="n">
        <v>7</v>
      </c>
      <c r="P26" s="9" t="n">
        <v>23.0475911756041</v>
      </c>
      <c r="Q26" s="10" t="n">
        <v>0.0433884822227539</v>
      </c>
      <c r="R26" s="9" t="n">
        <v>17</v>
      </c>
      <c r="S26" s="12" t="n">
        <f aca="false">IF(AND(ISNUMBER(R26),R26&gt;1,P26&gt;0),R26/P26-1,"")</f>
        <v>-0.262395802213182</v>
      </c>
      <c r="T26" s="9" t="n">
        <f aca="false">IF(AND(ISNUMBER(P26),P26&gt;0),P26*EXP('Read me'!$B$22),"")</f>
        <v>28.1503914308308</v>
      </c>
    </row>
    <row r="27" customFormat="false" ht="15" hidden="false" customHeight="false" outlineLevel="0" collapsed="false">
      <c r="A27" s="14" t="s">
        <v>133</v>
      </c>
      <c r="B27" s="14" t="s">
        <v>63</v>
      </c>
      <c r="C27" s="14" t="s">
        <v>134</v>
      </c>
      <c r="D27" s="14" t="s">
        <v>319</v>
      </c>
      <c r="E27" s="15" t="n">
        <v>19.5</v>
      </c>
      <c r="F27" s="14" t="s">
        <v>368</v>
      </c>
      <c r="G27" s="8" t="n">
        <v>8</v>
      </c>
      <c r="H27" s="14" t="s">
        <v>578</v>
      </c>
      <c r="I27" s="14" t="s">
        <v>437</v>
      </c>
      <c r="J27" s="14" t="s">
        <v>438</v>
      </c>
      <c r="K27" s="8" t="n">
        <v>5</v>
      </c>
      <c r="L27" s="8" t="n">
        <v>97</v>
      </c>
      <c r="M27" s="8" t="n">
        <v>4</v>
      </c>
      <c r="N27" s="8" t="n">
        <v>15</v>
      </c>
      <c r="O27" s="8" t="n">
        <v>8</v>
      </c>
      <c r="P27" s="9" t="n">
        <v>27.1458177162653</v>
      </c>
      <c r="Q27" s="10" t="n">
        <v>0.0368380871945816</v>
      </c>
      <c r="R27" s="9" t="n">
        <v>26</v>
      </c>
      <c r="S27" s="12" t="n">
        <f aca="false">IF(AND(ISNUMBER(R27),R27&gt;1,P27&gt;0),R27/P27-1,"")</f>
        <v>-0.0422097329408768</v>
      </c>
      <c r="T27" s="9" t="n">
        <f aca="false">IF(AND(ISNUMBER(P27),P27&gt;0),P27*EXP('Read me'!$B$22),"")</f>
        <v>33.1559766311596</v>
      </c>
    </row>
    <row r="28" customFormat="false" ht="15" hidden="false" customHeight="false" outlineLevel="0" collapsed="false">
      <c r="A28" s="14" t="s">
        <v>155</v>
      </c>
      <c r="B28" s="14" t="s">
        <v>63</v>
      </c>
      <c r="C28" s="14" t="s">
        <v>156</v>
      </c>
      <c r="D28" s="14" t="s">
        <v>422</v>
      </c>
      <c r="E28" s="15" t="n">
        <v>16.5</v>
      </c>
      <c r="F28" s="14" t="s">
        <v>368</v>
      </c>
      <c r="G28" s="8" t="n">
        <v>5</v>
      </c>
      <c r="H28" s="14" t="s">
        <v>157</v>
      </c>
      <c r="I28" s="14" t="s">
        <v>158</v>
      </c>
      <c r="J28" s="14" t="s">
        <v>159</v>
      </c>
      <c r="K28" s="8" t="n">
        <v>1</v>
      </c>
      <c r="L28" s="8" t="n">
        <v>110</v>
      </c>
      <c r="M28" s="8" t="n">
        <v>6</v>
      </c>
      <c r="N28" s="8" t="n">
        <v>14</v>
      </c>
      <c r="O28" s="8" t="n">
        <v>1</v>
      </c>
      <c r="P28" s="9" t="n">
        <v>2.62230526983567</v>
      </c>
      <c r="Q28" s="10" t="n">
        <v>0.381343854776552</v>
      </c>
      <c r="R28" s="9" t="n">
        <v>3</v>
      </c>
      <c r="S28" s="12" t="n">
        <f aca="false">IF(AND(ISNUMBER(R28),R28&gt;1,P28&gt;0),R28/P28-1,"")</f>
        <v>0.144031564329656</v>
      </c>
      <c r="T28" s="9" t="n">
        <f aca="false">IF(AND(ISNUMBER(P28),P28&gt;0),P28*EXP('Read me'!$B$22),"")</f>
        <v>3.20289088931523</v>
      </c>
    </row>
    <row r="29" customFormat="false" ht="15" hidden="false" customHeight="false" outlineLevel="0" collapsed="false">
      <c r="A29" s="14" t="s">
        <v>155</v>
      </c>
      <c r="B29" s="14" t="s">
        <v>63</v>
      </c>
      <c r="C29" s="14" t="s">
        <v>156</v>
      </c>
      <c r="D29" s="14" t="s">
        <v>422</v>
      </c>
      <c r="E29" s="15" t="n">
        <v>16.5</v>
      </c>
      <c r="F29" s="14" t="s">
        <v>368</v>
      </c>
      <c r="G29" s="8" t="n">
        <v>5</v>
      </c>
      <c r="H29" s="14" t="s">
        <v>160</v>
      </c>
      <c r="I29" s="14" t="s">
        <v>66</v>
      </c>
      <c r="J29" s="14" t="s">
        <v>628</v>
      </c>
      <c r="K29" s="8" t="n">
        <v>3</v>
      </c>
      <c r="L29" s="8" t="n">
        <v>105</v>
      </c>
      <c r="M29" s="8" t="n">
        <v>5</v>
      </c>
      <c r="N29" s="8" t="n">
        <v>14</v>
      </c>
      <c r="O29" s="8" t="n">
        <v>2</v>
      </c>
      <c r="P29" s="9" t="n">
        <v>4.36026469948184</v>
      </c>
      <c r="Q29" s="10" t="n">
        <v>0.229343874494325</v>
      </c>
      <c r="R29" s="9" t="n">
        <v>5.5</v>
      </c>
      <c r="S29" s="12" t="n">
        <f aca="false">IF(AND(ISNUMBER(R29),R29&gt;1,P29&gt;0),R29/P29-1,"")</f>
        <v>0.261391309718788</v>
      </c>
      <c r="T29" s="9" t="n">
        <f aca="false">IF(AND(ISNUMBER(P29),P29&gt;0),P29*EXP('Read me'!$B$22),"")</f>
        <v>5.32563933025555</v>
      </c>
    </row>
    <row r="30" customFormat="false" ht="15" hidden="false" customHeight="false" outlineLevel="0" collapsed="false">
      <c r="A30" s="14" t="s">
        <v>155</v>
      </c>
      <c r="B30" s="14" t="s">
        <v>63</v>
      </c>
      <c r="C30" s="14" t="s">
        <v>156</v>
      </c>
      <c r="D30" s="14" t="s">
        <v>422</v>
      </c>
      <c r="E30" s="15" t="n">
        <v>16.5</v>
      </c>
      <c r="F30" s="14" t="s">
        <v>368</v>
      </c>
      <c r="G30" s="8" t="n">
        <v>5</v>
      </c>
      <c r="H30" s="14" t="s">
        <v>629</v>
      </c>
      <c r="I30" s="14" t="s">
        <v>630</v>
      </c>
      <c r="J30" s="14" t="s">
        <v>149</v>
      </c>
      <c r="K30" s="8" t="n">
        <v>4</v>
      </c>
      <c r="L30" s="8" t="n">
        <v>102</v>
      </c>
      <c r="M30" s="8" t="n">
        <v>7</v>
      </c>
      <c r="N30" s="8" t="n">
        <v>72</v>
      </c>
      <c r="O30" s="8" t="n">
        <v>3</v>
      </c>
      <c r="P30" s="9" t="n">
        <v>5.50361987214266</v>
      </c>
      <c r="Q30" s="10" t="n">
        <v>0.181698595330255</v>
      </c>
      <c r="R30" s="9" t="n">
        <v>4</v>
      </c>
      <c r="S30" s="12" t="n">
        <f aca="false">IF(AND(ISNUMBER(R30),R30&gt;1,P30&gt;0),R30/P30-1,"")</f>
        <v>-0.273205618678979</v>
      </c>
      <c r="T30" s="9" t="n">
        <f aca="false">IF(AND(ISNUMBER(P30),P30&gt;0),P30*EXP('Read me'!$B$22),"")</f>
        <v>6.72213649170016</v>
      </c>
    </row>
    <row r="31" customFormat="false" ht="15" hidden="false" customHeight="false" outlineLevel="0" collapsed="false">
      <c r="A31" s="14" t="s">
        <v>155</v>
      </c>
      <c r="B31" s="14" t="s">
        <v>63</v>
      </c>
      <c r="C31" s="14" t="s">
        <v>156</v>
      </c>
      <c r="D31" s="14" t="s">
        <v>422</v>
      </c>
      <c r="E31" s="15" t="n">
        <v>16.5</v>
      </c>
      <c r="F31" s="14" t="s">
        <v>368</v>
      </c>
      <c r="G31" s="8" t="n">
        <v>5</v>
      </c>
      <c r="H31" s="14" t="s">
        <v>631</v>
      </c>
      <c r="I31" s="14" t="s">
        <v>632</v>
      </c>
      <c r="J31" s="14" t="s">
        <v>633</v>
      </c>
      <c r="K31" s="8" t="n">
        <v>2</v>
      </c>
      <c r="L31" s="8" t="n">
        <v>110</v>
      </c>
      <c r="M31" s="8" t="n">
        <v>8</v>
      </c>
      <c r="N31" s="8" t="n">
        <v>14</v>
      </c>
      <c r="O31" s="8" t="n">
        <v>4</v>
      </c>
      <c r="P31" s="9" t="n">
        <v>5.82522587260057</v>
      </c>
      <c r="Q31" s="10" t="n">
        <v>0.171667163105826</v>
      </c>
      <c r="R31" s="9" t="n">
        <v>4</v>
      </c>
      <c r="S31" s="12" t="n">
        <f aca="false">IF(AND(ISNUMBER(R31),R31&gt;1,P31&gt;0),R31/P31-1,"")</f>
        <v>-0.313331347576696</v>
      </c>
      <c r="T31" s="9" t="n">
        <f aca="false">IF(AND(ISNUMBER(P31),P31&gt;0),P31*EXP('Read me'!$B$22),"")</f>
        <v>7.11494694770032</v>
      </c>
    </row>
    <row r="32" customFormat="false" ht="15" hidden="false" customHeight="false" outlineLevel="0" collapsed="false">
      <c r="A32" s="14" t="s">
        <v>155</v>
      </c>
      <c r="B32" s="14" t="s">
        <v>63</v>
      </c>
      <c r="C32" s="14" t="s">
        <v>156</v>
      </c>
      <c r="D32" s="14" t="s">
        <v>422</v>
      </c>
      <c r="E32" s="15" t="n">
        <v>16.5</v>
      </c>
      <c r="F32" s="14" t="s">
        <v>368</v>
      </c>
      <c r="G32" s="8" t="n">
        <v>5</v>
      </c>
      <c r="H32" s="14" t="s">
        <v>634</v>
      </c>
      <c r="I32" s="14" t="s">
        <v>635</v>
      </c>
      <c r="J32" s="14" t="s">
        <v>636</v>
      </c>
      <c r="K32" s="8" t="n">
        <v>5</v>
      </c>
      <c r="L32" s="8" t="n">
        <v>90</v>
      </c>
      <c r="M32" s="8" t="n">
        <v>7</v>
      </c>
      <c r="N32" s="8" t="n">
        <v>22</v>
      </c>
      <c r="O32" s="8" t="n">
        <v>5</v>
      </c>
      <c r="P32" s="9" t="n">
        <v>27.8191105676081</v>
      </c>
      <c r="Q32" s="10" t="n">
        <v>0.0359465122930412</v>
      </c>
      <c r="R32" s="9" t="n">
        <v>13</v>
      </c>
      <c r="S32" s="12" t="n">
        <f aca="false">IF(AND(ISNUMBER(R32),R32&gt;1,P32&gt;0),R32/P32-1,"")</f>
        <v>-0.532695340190464</v>
      </c>
      <c r="T32" s="9" t="n">
        <f aca="false">IF(AND(ISNUMBER(P32),P32&gt;0),P32*EXP('Read me'!$B$22),"")</f>
        <v>33.9783383768393</v>
      </c>
    </row>
    <row r="33" customFormat="false" ht="15" hidden="false" customHeight="false" outlineLevel="0" collapsed="false">
      <c r="A33" s="14" t="s">
        <v>183</v>
      </c>
      <c r="B33" s="14" t="s">
        <v>63</v>
      </c>
      <c r="C33" s="14" t="s">
        <v>184</v>
      </c>
      <c r="D33" s="14" t="s">
        <v>422</v>
      </c>
      <c r="E33" s="15" t="n">
        <v>16.5</v>
      </c>
      <c r="F33" s="14" t="s">
        <v>368</v>
      </c>
      <c r="G33" s="8" t="n">
        <v>3</v>
      </c>
      <c r="H33" s="14" t="s">
        <v>185</v>
      </c>
      <c r="I33" s="14" t="s">
        <v>186</v>
      </c>
      <c r="J33" s="14" t="s">
        <v>187</v>
      </c>
      <c r="K33" s="8" t="n">
        <v>2</v>
      </c>
      <c r="L33" s="8" t="n">
        <v>0</v>
      </c>
      <c r="M33" s="8" t="n">
        <v>4</v>
      </c>
      <c r="N33" s="8" t="n">
        <v>57</v>
      </c>
      <c r="O33" s="8" t="n">
        <v>1</v>
      </c>
      <c r="P33" s="9" t="n">
        <v>1.71742741958234</v>
      </c>
      <c r="Q33" s="10" t="n">
        <v>0.582266236463833</v>
      </c>
      <c r="R33" s="9" t="n">
        <v>2.625</v>
      </c>
      <c r="S33" s="12" t="n">
        <f aca="false">IF(AND(ISNUMBER(R33),R33&gt;1,P33&gt;0),R33/P33-1,"")</f>
        <v>0.528448870717561</v>
      </c>
      <c r="T33" s="9" t="n">
        <f aca="false">IF(AND(ISNUMBER(P33),P33&gt;0),P33*EXP('Read me'!$B$22),"")</f>
        <v>2.09767058721777</v>
      </c>
    </row>
    <row r="34" customFormat="false" ht="15" hidden="false" customHeight="false" outlineLevel="0" collapsed="false">
      <c r="A34" s="14" t="s">
        <v>183</v>
      </c>
      <c r="B34" s="14" t="s">
        <v>63</v>
      </c>
      <c r="C34" s="14" t="s">
        <v>184</v>
      </c>
      <c r="D34" s="14" t="s">
        <v>422</v>
      </c>
      <c r="E34" s="15" t="n">
        <v>16.5</v>
      </c>
      <c r="F34" s="14" t="s">
        <v>368</v>
      </c>
      <c r="G34" s="8" t="n">
        <v>3</v>
      </c>
      <c r="H34" s="14" t="s">
        <v>188</v>
      </c>
      <c r="I34" s="14" t="s">
        <v>570</v>
      </c>
      <c r="J34" s="14" t="s">
        <v>571</v>
      </c>
      <c r="K34" s="8" t="n">
        <v>1</v>
      </c>
      <c r="L34" s="8" t="n">
        <v>0</v>
      </c>
      <c r="M34" s="8" t="n">
        <v>5</v>
      </c>
      <c r="N34" s="8" t="n">
        <v>164</v>
      </c>
      <c r="O34" s="8" t="n">
        <v>2</v>
      </c>
      <c r="P34" s="9" t="n">
        <v>3.20149264458906</v>
      </c>
      <c r="Q34" s="10" t="n">
        <v>0.312354301887943</v>
      </c>
      <c r="R34" s="9" t="n">
        <v>1.90909090909091</v>
      </c>
      <c r="S34" s="12" t="n">
        <f aca="false">IF(AND(ISNUMBER(R34),R34&gt;1,P34&gt;0),R34/P34-1,"")</f>
        <v>-0.403687241850291</v>
      </c>
      <c r="T34" s="9" t="n">
        <f aca="false">IF(AND(ISNUMBER(P34),P34&gt;0),P34*EXP('Read me'!$B$22),"")</f>
        <v>3.91031194633058</v>
      </c>
    </row>
    <row r="35" customFormat="false" ht="15" hidden="false" customHeight="false" outlineLevel="0" collapsed="false">
      <c r="A35" s="14" t="s">
        <v>183</v>
      </c>
      <c r="B35" s="14" t="s">
        <v>63</v>
      </c>
      <c r="C35" s="14" t="s">
        <v>184</v>
      </c>
      <c r="D35" s="14" t="s">
        <v>422</v>
      </c>
      <c r="E35" s="15" t="n">
        <v>16.5</v>
      </c>
      <c r="F35" s="14" t="s">
        <v>368</v>
      </c>
      <c r="G35" s="8" t="n">
        <v>3</v>
      </c>
      <c r="H35" s="14" t="s">
        <v>707</v>
      </c>
      <c r="I35" s="14" t="s">
        <v>443</v>
      </c>
      <c r="J35" s="14" t="s">
        <v>444</v>
      </c>
      <c r="K35" s="8" t="n">
        <v>3</v>
      </c>
      <c r="L35" s="8" t="n">
        <v>0</v>
      </c>
      <c r="M35" s="8" t="n">
        <v>4</v>
      </c>
      <c r="N35" s="8"/>
      <c r="O35" s="8" t="n">
        <v>3</v>
      </c>
      <c r="P35" s="9" t="n">
        <v>9.48951517078515</v>
      </c>
      <c r="Q35" s="10" t="n">
        <v>0.105379461648225</v>
      </c>
      <c r="R35" s="9" t="n">
        <v>6</v>
      </c>
      <c r="S35" s="12" t="n">
        <f aca="false">IF(AND(ISNUMBER(R35),R35&gt;1,P35&gt;0),R35/P35-1,"")</f>
        <v>-0.367723230110652</v>
      </c>
      <c r="T35" s="9" t="n">
        <f aca="false">IF(AND(ISNUMBER(P35),P35&gt;0),P35*EXP('Read me'!$B$22),"")</f>
        <v>11.5905200031998</v>
      </c>
    </row>
  </sheetData>
  <autoFilter ref="A1:T35"/>
  <conditionalFormatting sqref="A2:T3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279</v>
      </c>
      <c r="E1" s="6" t="s">
        <v>280</v>
      </c>
      <c r="F1" s="6" t="s">
        <v>281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282</v>
      </c>
      <c r="L1" s="6" t="s">
        <v>283</v>
      </c>
      <c r="M1" s="6" t="s">
        <v>284</v>
      </c>
      <c r="N1" s="6" t="s">
        <v>285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165</v>
      </c>
      <c r="B2" s="14" t="s">
        <v>166</v>
      </c>
      <c r="C2" s="14" t="s">
        <v>167</v>
      </c>
      <c r="D2" s="14" t="s">
        <v>463</v>
      </c>
      <c r="E2" s="15" t="n">
        <v>9.5</v>
      </c>
      <c r="F2" s="14" t="s">
        <v>655</v>
      </c>
      <c r="G2" s="8" t="n">
        <v>13</v>
      </c>
      <c r="H2" s="14" t="s">
        <v>168</v>
      </c>
      <c r="I2" s="14" t="s">
        <v>169</v>
      </c>
      <c r="J2" s="14" t="s">
        <v>170</v>
      </c>
      <c r="K2" s="8" t="n">
        <v>5</v>
      </c>
      <c r="L2" s="8" t="n">
        <v>54</v>
      </c>
      <c r="M2" s="8" t="n">
        <v>4</v>
      </c>
      <c r="N2" s="8" t="n">
        <v>14</v>
      </c>
      <c r="O2" s="8" t="n">
        <v>1</v>
      </c>
      <c r="P2" s="9" t="n">
        <v>6.33843485313557</v>
      </c>
      <c r="Q2" s="10" t="n">
        <v>0.157767654503116</v>
      </c>
      <c r="R2" s="9" t="n">
        <v>4</v>
      </c>
      <c r="S2" s="12" t="n">
        <f aca="false">IF(AND(ISNUMBER(R2),R2&gt;1,P2&gt;0),R2/P2-1,"")</f>
        <v>-0.368929381987537</v>
      </c>
      <c r="T2" s="9" t="n">
        <f aca="false">IF(AND(ISNUMBER(P2),P2&gt;0),P2*EXP('Read me'!$B$22),"")</f>
        <v>7.74178181203833</v>
      </c>
    </row>
    <row r="3" customFormat="false" ht="15" hidden="false" customHeight="false" outlineLevel="0" collapsed="false">
      <c r="A3" s="14" t="s">
        <v>165</v>
      </c>
      <c r="B3" s="14" t="s">
        <v>166</v>
      </c>
      <c r="C3" s="14" t="s">
        <v>167</v>
      </c>
      <c r="D3" s="14" t="s">
        <v>463</v>
      </c>
      <c r="E3" s="15" t="n">
        <v>9.5</v>
      </c>
      <c r="F3" s="14" t="s">
        <v>655</v>
      </c>
      <c r="G3" s="8" t="n">
        <v>13</v>
      </c>
      <c r="H3" s="14" t="s">
        <v>171</v>
      </c>
      <c r="I3" s="14" t="s">
        <v>196</v>
      </c>
      <c r="J3" s="14" t="s">
        <v>467</v>
      </c>
      <c r="K3" s="8" t="n">
        <v>13</v>
      </c>
      <c r="L3" s="8" t="n">
        <v>52</v>
      </c>
      <c r="M3" s="8" t="n">
        <v>4</v>
      </c>
      <c r="N3" s="8" t="n">
        <v>13</v>
      </c>
      <c r="O3" s="8" t="n">
        <v>2</v>
      </c>
      <c r="P3" s="9" t="n">
        <v>8.57125948438185</v>
      </c>
      <c r="Q3" s="10" t="n">
        <v>0.116668968174649</v>
      </c>
      <c r="R3" s="9" t="n">
        <v>6.5</v>
      </c>
      <c r="S3" s="12" t="n">
        <f aca="false">IF(AND(ISNUMBER(R3),R3&gt;1,P3&gt;0),R3/P3-1,"")</f>
        <v>-0.241651706864785</v>
      </c>
      <c r="T3" s="9" t="n">
        <f aca="false">IF(AND(ISNUMBER(P3),P3&gt;0),P3*EXP('Read me'!$B$22),"")</f>
        <v>10.4689599751305</v>
      </c>
    </row>
    <row r="4" customFormat="false" ht="15" hidden="false" customHeight="false" outlineLevel="0" collapsed="false">
      <c r="A4" s="14" t="s">
        <v>165</v>
      </c>
      <c r="B4" s="14" t="s">
        <v>166</v>
      </c>
      <c r="C4" s="14" t="s">
        <v>167</v>
      </c>
      <c r="D4" s="14" t="s">
        <v>463</v>
      </c>
      <c r="E4" s="15" t="n">
        <v>9.5</v>
      </c>
      <c r="F4" s="14" t="s">
        <v>655</v>
      </c>
      <c r="G4" s="8" t="n">
        <v>13</v>
      </c>
      <c r="H4" s="14" t="s">
        <v>656</v>
      </c>
      <c r="I4" s="14" t="s">
        <v>249</v>
      </c>
      <c r="J4" s="14" t="s">
        <v>79</v>
      </c>
      <c r="K4" s="8" t="n">
        <v>11</v>
      </c>
      <c r="L4" s="8" t="n">
        <v>49</v>
      </c>
      <c r="M4" s="8" t="n">
        <v>4</v>
      </c>
      <c r="N4" s="8" t="n">
        <v>51</v>
      </c>
      <c r="O4" s="8" t="n">
        <v>3</v>
      </c>
      <c r="P4" s="9" t="n">
        <v>8.736687259552</v>
      </c>
      <c r="Q4" s="10" t="n">
        <v>0.114459859932228</v>
      </c>
      <c r="R4" s="9" t="n">
        <v>8</v>
      </c>
      <c r="S4" s="12" t="n">
        <f aca="false">IF(AND(ISNUMBER(R4),R4&gt;1,P4&gt;0),R4/P4-1,"")</f>
        <v>-0.0843211205421786</v>
      </c>
      <c r="T4" s="9" t="n">
        <f aca="false">IF(AND(ISNUMBER(P4),P4&gt;0),P4*EXP('Read me'!$B$22),"")</f>
        <v>10.6710139159996</v>
      </c>
    </row>
    <row r="5" customFormat="false" ht="15" hidden="false" customHeight="false" outlineLevel="0" collapsed="false">
      <c r="A5" s="14" t="s">
        <v>165</v>
      </c>
      <c r="B5" s="14" t="s">
        <v>166</v>
      </c>
      <c r="C5" s="14" t="s">
        <v>167</v>
      </c>
      <c r="D5" s="14" t="s">
        <v>463</v>
      </c>
      <c r="E5" s="15" t="n">
        <v>9.5</v>
      </c>
      <c r="F5" s="14" t="s">
        <v>655</v>
      </c>
      <c r="G5" s="8" t="n">
        <v>13</v>
      </c>
      <c r="H5" s="14" t="s">
        <v>657</v>
      </c>
      <c r="I5" s="14" t="s">
        <v>658</v>
      </c>
      <c r="J5" s="14" t="s">
        <v>114</v>
      </c>
      <c r="K5" s="8" t="n">
        <v>10</v>
      </c>
      <c r="L5" s="8" t="n">
        <v>55</v>
      </c>
      <c r="M5" s="8" t="n">
        <v>8</v>
      </c>
      <c r="N5" s="8" t="n">
        <v>27</v>
      </c>
      <c r="O5" s="8" t="n">
        <v>4</v>
      </c>
      <c r="P5" s="9" t="n">
        <v>10.2275440091452</v>
      </c>
      <c r="Q5" s="10" t="n">
        <v>0.0977751842579048</v>
      </c>
      <c r="R5" s="9" t="n">
        <v>7.5</v>
      </c>
      <c r="S5" s="12" t="n">
        <f aca="false">IF(AND(ISNUMBER(R5),R5&gt;1,P5&gt;0),R5/P5-1,"")</f>
        <v>-0.266686118065714</v>
      </c>
      <c r="T5" s="9" t="n">
        <f aca="false">IF(AND(ISNUMBER(P5),P5&gt;0),P5*EXP('Read me'!$B$22),"")</f>
        <v>12.4919504619744</v>
      </c>
    </row>
    <row r="6" customFormat="false" ht="15" hidden="false" customHeight="false" outlineLevel="0" collapsed="false">
      <c r="A6" s="14" t="s">
        <v>165</v>
      </c>
      <c r="B6" s="14" t="s">
        <v>166</v>
      </c>
      <c r="C6" s="14" t="s">
        <v>167</v>
      </c>
      <c r="D6" s="14" t="s">
        <v>463</v>
      </c>
      <c r="E6" s="15" t="n">
        <v>9.5</v>
      </c>
      <c r="F6" s="14" t="s">
        <v>655</v>
      </c>
      <c r="G6" s="8" t="n">
        <v>13</v>
      </c>
      <c r="H6" s="14" t="s">
        <v>659</v>
      </c>
      <c r="I6" s="14" t="s">
        <v>660</v>
      </c>
      <c r="J6" s="14" t="s">
        <v>661</v>
      </c>
      <c r="K6" s="8" t="n">
        <v>12</v>
      </c>
      <c r="L6" s="8" t="n">
        <v>51</v>
      </c>
      <c r="M6" s="8" t="n">
        <v>3</v>
      </c>
      <c r="N6" s="8" t="n">
        <v>17</v>
      </c>
      <c r="O6" s="8" t="n">
        <v>5</v>
      </c>
      <c r="P6" s="9" t="n">
        <v>11.1023773118382</v>
      </c>
      <c r="Q6" s="10" t="n">
        <v>0.0900707994254276</v>
      </c>
      <c r="R6" s="9" t="n">
        <v>5.5</v>
      </c>
      <c r="S6" s="12" t="n">
        <f aca="false">IF(AND(ISNUMBER(R6),R6&gt;1,P6&gt;0),R6/P6-1,"")</f>
        <v>-0.504610603160148</v>
      </c>
      <c r="T6" s="9" t="n">
        <f aca="false">IF(AND(ISNUMBER(P6),P6&gt;0),P6*EXP('Read me'!$B$22),"")</f>
        <v>13.5604742708141</v>
      </c>
    </row>
    <row r="7" customFormat="false" ht="15" hidden="false" customHeight="false" outlineLevel="0" collapsed="false">
      <c r="A7" s="14" t="s">
        <v>165</v>
      </c>
      <c r="B7" s="14" t="s">
        <v>166</v>
      </c>
      <c r="C7" s="14" t="s">
        <v>167</v>
      </c>
      <c r="D7" s="14" t="s">
        <v>463</v>
      </c>
      <c r="E7" s="15" t="n">
        <v>9.5</v>
      </c>
      <c r="F7" s="14" t="s">
        <v>655</v>
      </c>
      <c r="G7" s="8" t="n">
        <v>13</v>
      </c>
      <c r="H7" s="14" t="s">
        <v>662</v>
      </c>
      <c r="I7" s="14" t="s">
        <v>663</v>
      </c>
      <c r="J7" s="14" t="s">
        <v>620</v>
      </c>
      <c r="K7" s="8" t="n">
        <v>4</v>
      </c>
      <c r="L7" s="8" t="n">
        <v>50</v>
      </c>
      <c r="M7" s="8" t="n">
        <v>4</v>
      </c>
      <c r="N7" s="8" t="n">
        <v>14</v>
      </c>
      <c r="O7" s="8" t="n">
        <v>6</v>
      </c>
      <c r="P7" s="9" t="n">
        <v>12.3221085808296</v>
      </c>
      <c r="Q7" s="10" t="n">
        <v>0.0811549414160961</v>
      </c>
      <c r="R7" s="9" t="n">
        <v>11</v>
      </c>
      <c r="S7" s="12" t="n">
        <f aca="false">IF(AND(ISNUMBER(R7),R7&gt;1,P7&gt;0),R7/P7-1,"")</f>
        <v>-0.107295644422943</v>
      </c>
      <c r="T7" s="9" t="n">
        <f aca="false">IF(AND(ISNUMBER(P7),P7&gt;0),P7*EXP('Read me'!$B$22),"")</f>
        <v>15.0502574069743</v>
      </c>
    </row>
    <row r="8" customFormat="false" ht="15" hidden="false" customHeight="false" outlineLevel="0" collapsed="false">
      <c r="A8" s="14" t="s">
        <v>165</v>
      </c>
      <c r="B8" s="14" t="s">
        <v>166</v>
      </c>
      <c r="C8" s="14" t="s">
        <v>167</v>
      </c>
      <c r="D8" s="14" t="s">
        <v>463</v>
      </c>
      <c r="E8" s="15" t="n">
        <v>9.5</v>
      </c>
      <c r="F8" s="14" t="s">
        <v>655</v>
      </c>
      <c r="G8" s="8" t="n">
        <v>13</v>
      </c>
      <c r="H8" s="14" t="s">
        <v>664</v>
      </c>
      <c r="I8" s="14" t="s">
        <v>665</v>
      </c>
      <c r="J8" s="14" t="s">
        <v>666</v>
      </c>
      <c r="K8" s="8" t="n">
        <v>9</v>
      </c>
      <c r="L8" s="8" t="n">
        <v>50</v>
      </c>
      <c r="M8" s="8" t="n">
        <v>3</v>
      </c>
      <c r="N8" s="8" t="n">
        <v>22</v>
      </c>
      <c r="O8" s="8" t="n">
        <v>7</v>
      </c>
      <c r="P8" s="9" t="n">
        <v>12.9566439007527</v>
      </c>
      <c r="Q8" s="10" t="n">
        <v>0.0771804803512357</v>
      </c>
      <c r="R8" s="9" t="n">
        <v>13</v>
      </c>
      <c r="S8" s="12" t="n">
        <f aca="false">IF(AND(ISNUMBER(R8),R8&gt;1,P8&gt;0),R8/P8-1,"")</f>
        <v>0.00334624456606414</v>
      </c>
      <c r="T8" s="9" t="n">
        <f aca="false">IF(AND(ISNUMBER(P8),P8&gt;0),P8*EXP('Read me'!$B$22),"")</f>
        <v>15.8252805968785</v>
      </c>
    </row>
    <row r="9" customFormat="false" ht="15" hidden="false" customHeight="false" outlineLevel="0" collapsed="false">
      <c r="A9" s="14" t="s">
        <v>165</v>
      </c>
      <c r="B9" s="14" t="s">
        <v>166</v>
      </c>
      <c r="C9" s="14" t="s">
        <v>167</v>
      </c>
      <c r="D9" s="14" t="s">
        <v>463</v>
      </c>
      <c r="E9" s="15" t="n">
        <v>9.5</v>
      </c>
      <c r="F9" s="14" t="s">
        <v>655</v>
      </c>
      <c r="G9" s="8" t="n">
        <v>13</v>
      </c>
      <c r="H9" s="14" t="s">
        <v>667</v>
      </c>
      <c r="I9" s="14" t="s">
        <v>668</v>
      </c>
      <c r="J9" s="14" t="s">
        <v>669</v>
      </c>
      <c r="K9" s="8" t="n">
        <v>6</v>
      </c>
      <c r="L9" s="8" t="n">
        <v>48</v>
      </c>
      <c r="M9" s="8" t="n">
        <v>3</v>
      </c>
      <c r="N9" s="8" t="n">
        <v>22</v>
      </c>
      <c r="O9" s="8" t="n">
        <v>8</v>
      </c>
      <c r="P9" s="9" t="n">
        <v>14.0016953367429</v>
      </c>
      <c r="Q9" s="10" t="n">
        <v>0.0714199227986215</v>
      </c>
      <c r="R9" s="9" t="n">
        <v>23</v>
      </c>
      <c r="S9" s="12" t="n">
        <f aca="false">IF(AND(ISNUMBER(R9),R9&gt;1,P9&gt;0),R9/P9-1,"")</f>
        <v>0.642658224368295</v>
      </c>
      <c r="T9" s="9" t="n">
        <f aca="false">IF(AND(ISNUMBER(P9),P9&gt;0),P9*EXP('Read me'!$B$22),"")</f>
        <v>17.1017093032162</v>
      </c>
    </row>
    <row r="10" customFormat="false" ht="15" hidden="false" customHeight="false" outlineLevel="0" collapsed="false">
      <c r="A10" s="14" t="s">
        <v>165</v>
      </c>
      <c r="B10" s="14" t="s">
        <v>166</v>
      </c>
      <c r="C10" s="14" t="s">
        <v>167</v>
      </c>
      <c r="D10" s="14" t="s">
        <v>463</v>
      </c>
      <c r="E10" s="15" t="n">
        <v>9.5</v>
      </c>
      <c r="F10" s="14" t="s">
        <v>655</v>
      </c>
      <c r="G10" s="8" t="n">
        <v>13</v>
      </c>
      <c r="H10" s="14" t="s">
        <v>670</v>
      </c>
      <c r="I10" s="14" t="s">
        <v>671</v>
      </c>
      <c r="J10" s="14" t="s">
        <v>67</v>
      </c>
      <c r="K10" s="8" t="n">
        <v>1</v>
      </c>
      <c r="L10" s="8" t="n">
        <v>50</v>
      </c>
      <c r="M10" s="8" t="n">
        <v>4</v>
      </c>
      <c r="N10" s="8" t="n">
        <v>44</v>
      </c>
      <c r="O10" s="8" t="n">
        <v>9</v>
      </c>
      <c r="P10" s="9" t="n">
        <v>18.3201322881974</v>
      </c>
      <c r="Q10" s="10" t="n">
        <v>0.0545847586834426</v>
      </c>
      <c r="R10" s="9" t="n">
        <v>8.5</v>
      </c>
      <c r="S10" s="12" t="n">
        <f aca="false">IF(AND(ISNUMBER(R10),R10&gt;1,P10&gt;0),R10/P10-1,"")</f>
        <v>-0.536029551190738</v>
      </c>
      <c r="T10" s="9" t="n">
        <f aca="false">IF(AND(ISNUMBER(P10),P10&gt;0),P10*EXP('Read me'!$B$22),"")</f>
        <v>22.3762601066635</v>
      </c>
    </row>
    <row r="11" customFormat="false" ht="15" hidden="false" customHeight="false" outlineLevel="0" collapsed="false">
      <c r="A11" s="14" t="s">
        <v>165</v>
      </c>
      <c r="B11" s="14" t="s">
        <v>166</v>
      </c>
      <c r="C11" s="14" t="s">
        <v>167</v>
      </c>
      <c r="D11" s="14" t="s">
        <v>463</v>
      </c>
      <c r="E11" s="15" t="n">
        <v>9.5</v>
      </c>
      <c r="F11" s="14" t="s">
        <v>655</v>
      </c>
      <c r="G11" s="8" t="n">
        <v>13</v>
      </c>
      <c r="H11" s="14" t="s">
        <v>672</v>
      </c>
      <c r="I11" s="14" t="s">
        <v>673</v>
      </c>
      <c r="J11" s="14" t="s">
        <v>674</v>
      </c>
      <c r="K11" s="8" t="n">
        <v>7</v>
      </c>
      <c r="L11" s="8" t="n">
        <v>50</v>
      </c>
      <c r="M11" s="8" t="n">
        <v>9</v>
      </c>
      <c r="N11" s="8" t="n">
        <v>16</v>
      </c>
      <c r="O11" s="8" t="n">
        <v>10</v>
      </c>
      <c r="P11" s="9" t="n">
        <v>19.3018063340382</v>
      </c>
      <c r="Q11" s="10" t="n">
        <v>0.0518086226073322</v>
      </c>
      <c r="R11" s="9" t="n">
        <v>26</v>
      </c>
      <c r="S11" s="12" t="n">
        <f aca="false">IF(AND(ISNUMBER(R11),R11&gt;1,P11&gt;0),R11/P11-1,"")</f>
        <v>0.347024187790638</v>
      </c>
      <c r="T11" s="9" t="n">
        <f aca="false">IF(AND(ISNUMBER(P11),P11&gt;0),P11*EXP('Read me'!$B$22),"")</f>
        <v>23.5752794938677</v>
      </c>
    </row>
    <row r="12" customFormat="false" ht="15" hidden="false" customHeight="false" outlineLevel="0" collapsed="false">
      <c r="A12" s="14" t="s">
        <v>165</v>
      </c>
      <c r="B12" s="14" t="s">
        <v>166</v>
      </c>
      <c r="C12" s="14" t="s">
        <v>167</v>
      </c>
      <c r="D12" s="14" t="s">
        <v>463</v>
      </c>
      <c r="E12" s="15" t="n">
        <v>9.5</v>
      </c>
      <c r="F12" s="14" t="s">
        <v>655</v>
      </c>
      <c r="G12" s="8" t="n">
        <v>13</v>
      </c>
      <c r="H12" s="14" t="s">
        <v>675</v>
      </c>
      <c r="I12" s="14" t="s">
        <v>676</v>
      </c>
      <c r="J12" s="14" t="s">
        <v>677</v>
      </c>
      <c r="K12" s="8" t="n">
        <v>2</v>
      </c>
      <c r="L12" s="8" t="n">
        <v>46</v>
      </c>
      <c r="M12" s="8" t="n">
        <v>6</v>
      </c>
      <c r="N12" s="8" t="n">
        <v>27</v>
      </c>
      <c r="O12" s="8" t="n">
        <v>11</v>
      </c>
      <c r="P12" s="9" t="n">
        <v>20.8474687431376</v>
      </c>
      <c r="Q12" s="10" t="n">
        <v>0.0479674540981946</v>
      </c>
      <c r="R12" s="9" t="n">
        <v>34</v>
      </c>
      <c r="S12" s="12" t="n">
        <f aca="false">IF(AND(ISNUMBER(R12),R12&gt;1,P12&gt;0),R12/P12-1,"")</f>
        <v>0.630893439338617</v>
      </c>
      <c r="T12" s="9" t="n">
        <f aca="false">IF(AND(ISNUMBER(P12),P12&gt;0),P12*EXP('Read me'!$B$22),"")</f>
        <v>25.4631558235262</v>
      </c>
    </row>
    <row r="13" customFormat="false" ht="15" hidden="false" customHeight="false" outlineLevel="0" collapsed="false">
      <c r="A13" s="14" t="s">
        <v>165</v>
      </c>
      <c r="B13" s="14" t="s">
        <v>166</v>
      </c>
      <c r="C13" s="14" t="s">
        <v>167</v>
      </c>
      <c r="D13" s="14" t="s">
        <v>463</v>
      </c>
      <c r="E13" s="15" t="n">
        <v>9.5</v>
      </c>
      <c r="F13" s="14" t="s">
        <v>655</v>
      </c>
      <c r="G13" s="8" t="n">
        <v>13</v>
      </c>
      <c r="H13" s="14" t="s">
        <v>678</v>
      </c>
      <c r="I13" s="14" t="s">
        <v>679</v>
      </c>
      <c r="J13" s="14" t="s">
        <v>421</v>
      </c>
      <c r="K13" s="8" t="n">
        <v>3</v>
      </c>
      <c r="L13" s="8" t="n">
        <v>53</v>
      </c>
      <c r="M13" s="8" t="n">
        <v>9</v>
      </c>
      <c r="N13" s="8" t="n">
        <v>119</v>
      </c>
      <c r="O13" s="8" t="n">
        <v>12</v>
      </c>
      <c r="P13" s="9" t="n">
        <v>37.5054245039908</v>
      </c>
      <c r="Q13" s="10" t="n">
        <v>0.0266628097995156</v>
      </c>
      <c r="R13" s="9" t="n">
        <v>34</v>
      </c>
      <c r="S13" s="12" t="n">
        <f aca="false">IF(AND(ISNUMBER(R13),R13&gt;1,P13&gt;0),R13/P13-1,"")</f>
        <v>-0.0934644668164677</v>
      </c>
      <c r="T13" s="9" t="n">
        <f aca="false">IF(AND(ISNUMBER(P13),P13&gt;0),P13*EXP('Read me'!$B$22),"")</f>
        <v>45.8092289351424</v>
      </c>
    </row>
    <row r="14" customFormat="false" ht="15" hidden="false" customHeight="false" outlineLevel="0" collapsed="false">
      <c r="A14" s="14" t="s">
        <v>165</v>
      </c>
      <c r="B14" s="14" t="s">
        <v>166</v>
      </c>
      <c r="C14" s="14" t="s">
        <v>167</v>
      </c>
      <c r="D14" s="14" t="s">
        <v>463</v>
      </c>
      <c r="E14" s="15" t="n">
        <v>9.5</v>
      </c>
      <c r="F14" s="14" t="s">
        <v>655</v>
      </c>
      <c r="G14" s="8" t="n">
        <v>13</v>
      </c>
      <c r="H14" s="14" t="s">
        <v>680</v>
      </c>
      <c r="I14" s="14" t="s">
        <v>681</v>
      </c>
      <c r="J14" s="14" t="s">
        <v>548</v>
      </c>
      <c r="K14" s="8" t="n">
        <v>8</v>
      </c>
      <c r="L14" s="8" t="n">
        <v>46</v>
      </c>
      <c r="M14" s="8" t="n">
        <v>3</v>
      </c>
      <c r="N14" s="8" t="n">
        <v>29</v>
      </c>
      <c r="O14" s="8" t="n">
        <v>13</v>
      </c>
      <c r="P14" s="9" t="n">
        <v>80.1375548162996</v>
      </c>
      <c r="Q14" s="10" t="n">
        <v>0.012478543952237</v>
      </c>
      <c r="R14" s="9" t="n">
        <v>51</v>
      </c>
      <c r="S14" s="12" t="n">
        <f aca="false">IF(AND(ISNUMBER(R14),R14&gt;1,P14&gt;0),R14/P14-1,"")</f>
        <v>-0.36359425843591</v>
      </c>
      <c r="T14" s="9" t="n">
        <f aca="false">IF(AND(ISNUMBER(P14),P14&gt;0),P14*EXP('Read me'!$B$22),"")</f>
        <v>97.8802304848401</v>
      </c>
    </row>
    <row r="15" customFormat="false" ht="15" hidden="false" customHeight="false" outlineLevel="0" collapsed="false">
      <c r="A15" s="14" t="s">
        <v>193</v>
      </c>
      <c r="B15" s="14" t="s">
        <v>166</v>
      </c>
      <c r="C15" s="14" t="s">
        <v>194</v>
      </c>
      <c r="D15" s="14" t="s">
        <v>463</v>
      </c>
      <c r="E15" s="15" t="n">
        <v>12</v>
      </c>
      <c r="F15" s="14" t="s">
        <v>655</v>
      </c>
      <c r="G15" s="8" t="n">
        <v>6</v>
      </c>
      <c r="H15" s="14" t="s">
        <v>195</v>
      </c>
      <c r="I15" s="14" t="s">
        <v>196</v>
      </c>
      <c r="J15" s="14" t="s">
        <v>197</v>
      </c>
      <c r="K15" s="8" t="n">
        <v>6</v>
      </c>
      <c r="L15" s="8" t="n">
        <v>70</v>
      </c>
      <c r="M15" s="8" t="n">
        <v>4</v>
      </c>
      <c r="N15" s="8" t="n">
        <v>6</v>
      </c>
      <c r="O15" s="8" t="n">
        <v>1</v>
      </c>
      <c r="P15" s="9" t="n">
        <v>3.04429512783709</v>
      </c>
      <c r="Q15" s="10" t="n">
        <v>0.328483263943756</v>
      </c>
      <c r="R15" s="9" t="n">
        <v>2.25</v>
      </c>
      <c r="S15" s="12" t="n">
        <f aca="false">IF(AND(ISNUMBER(R15),R15&gt;1,P15&gt;0),R15/P15-1,"")</f>
        <v>-0.260912656126549</v>
      </c>
      <c r="T15" s="9" t="n">
        <f aca="false">IF(AND(ISNUMBER(P15),P15&gt;0),P15*EXP('Read me'!$B$22),"")</f>
        <v>3.71831046579379</v>
      </c>
    </row>
    <row r="16" customFormat="false" ht="15" hidden="false" customHeight="false" outlineLevel="0" collapsed="false">
      <c r="A16" s="14" t="s">
        <v>193</v>
      </c>
      <c r="B16" s="14" t="s">
        <v>166</v>
      </c>
      <c r="C16" s="14" t="s">
        <v>194</v>
      </c>
      <c r="D16" s="14" t="s">
        <v>463</v>
      </c>
      <c r="E16" s="15" t="n">
        <v>12</v>
      </c>
      <c r="F16" s="14" t="s">
        <v>655</v>
      </c>
      <c r="G16" s="8" t="n">
        <v>6</v>
      </c>
      <c r="H16" s="14" t="s">
        <v>198</v>
      </c>
      <c r="I16" s="14" t="s">
        <v>679</v>
      </c>
      <c r="J16" s="14" t="s">
        <v>717</v>
      </c>
      <c r="K16" s="8" t="n">
        <v>2</v>
      </c>
      <c r="L16" s="8" t="n">
        <v>57</v>
      </c>
      <c r="M16" s="8" t="n">
        <v>4</v>
      </c>
      <c r="N16" s="8" t="n">
        <v>28</v>
      </c>
      <c r="O16" s="8" t="n">
        <v>2</v>
      </c>
      <c r="P16" s="9" t="n">
        <v>4.20360160249669</v>
      </c>
      <c r="Q16" s="10" t="n">
        <v>0.237891240550974</v>
      </c>
      <c r="R16" s="9" t="n">
        <v>3</v>
      </c>
      <c r="S16" s="12" t="n">
        <f aca="false">IF(AND(ISNUMBER(R16),R16&gt;1,P16&gt;0),R16/P16-1,"")</f>
        <v>-0.286326278347078</v>
      </c>
      <c r="T16" s="9" t="n">
        <f aca="false">IF(AND(ISNUMBER(P16),P16&gt;0),P16*EXP('Read me'!$B$22),"")</f>
        <v>5.13429059149597</v>
      </c>
    </row>
    <row r="17" customFormat="false" ht="15" hidden="false" customHeight="false" outlineLevel="0" collapsed="false">
      <c r="A17" s="14" t="s">
        <v>193</v>
      </c>
      <c r="B17" s="14" t="s">
        <v>166</v>
      </c>
      <c r="C17" s="14" t="s">
        <v>194</v>
      </c>
      <c r="D17" s="14" t="s">
        <v>463</v>
      </c>
      <c r="E17" s="15" t="n">
        <v>12</v>
      </c>
      <c r="F17" s="14" t="s">
        <v>655</v>
      </c>
      <c r="G17" s="8" t="n">
        <v>6</v>
      </c>
      <c r="H17" s="14" t="s">
        <v>718</v>
      </c>
      <c r="I17" s="14" t="s">
        <v>676</v>
      </c>
      <c r="J17" s="14" t="s">
        <v>677</v>
      </c>
      <c r="K17" s="8" t="n">
        <v>1</v>
      </c>
      <c r="L17" s="8" t="n">
        <v>62</v>
      </c>
      <c r="M17" s="8" t="n">
        <v>6</v>
      </c>
      <c r="N17" s="8" t="n">
        <v>12</v>
      </c>
      <c r="O17" s="8" t="n">
        <v>3</v>
      </c>
      <c r="P17" s="9" t="n">
        <v>6.17890790157996</v>
      </c>
      <c r="Q17" s="10" t="n">
        <v>0.161840897441488</v>
      </c>
      <c r="R17" s="9" t="n">
        <v>9</v>
      </c>
      <c r="S17" s="12" t="n">
        <f aca="false">IF(AND(ISNUMBER(R17),R17&gt;1,P17&gt;0),R17/P17-1,"")</f>
        <v>0.456568076973389</v>
      </c>
      <c r="T17" s="9" t="n">
        <f aca="false">IF(AND(ISNUMBER(P17),P17&gt;0),P17*EXP('Read me'!$B$22),"")</f>
        <v>7.54693515340743</v>
      </c>
    </row>
    <row r="18" customFormat="false" ht="15" hidden="false" customHeight="false" outlineLevel="0" collapsed="false">
      <c r="A18" s="14" t="s">
        <v>193</v>
      </c>
      <c r="B18" s="14" t="s">
        <v>166</v>
      </c>
      <c r="C18" s="14" t="s">
        <v>194</v>
      </c>
      <c r="D18" s="14" t="s">
        <v>463</v>
      </c>
      <c r="E18" s="15" t="n">
        <v>12</v>
      </c>
      <c r="F18" s="14" t="s">
        <v>655</v>
      </c>
      <c r="G18" s="8" t="n">
        <v>6</v>
      </c>
      <c r="H18" s="14" t="s">
        <v>719</v>
      </c>
      <c r="I18" s="14" t="s">
        <v>720</v>
      </c>
      <c r="J18" s="14" t="s">
        <v>721</v>
      </c>
      <c r="K18" s="8" t="n">
        <v>3</v>
      </c>
      <c r="L18" s="8" t="n">
        <v>64</v>
      </c>
      <c r="M18" s="8" t="n">
        <v>5</v>
      </c>
      <c r="N18" s="8" t="n">
        <v>33</v>
      </c>
      <c r="O18" s="8" t="n">
        <v>4</v>
      </c>
      <c r="P18" s="9" t="n">
        <v>6.98511735315054</v>
      </c>
      <c r="Q18" s="10" t="n">
        <v>0.143161517472425</v>
      </c>
      <c r="R18" s="9" t="n">
        <v>7.5</v>
      </c>
      <c r="S18" s="12" t="n">
        <f aca="false">IF(AND(ISNUMBER(R18),R18&gt;1,P18&gt;0),R18/P18-1,"")</f>
        <v>0.0737113810431873</v>
      </c>
      <c r="T18" s="9" t="n">
        <f aca="false">IF(AND(ISNUMBER(P18),P18&gt;0),P18*EXP('Read me'!$B$22),"")</f>
        <v>8.53164160121054</v>
      </c>
    </row>
    <row r="19" customFormat="false" ht="15" hidden="false" customHeight="false" outlineLevel="0" collapsed="false">
      <c r="A19" s="14" t="s">
        <v>193</v>
      </c>
      <c r="B19" s="14" t="s">
        <v>166</v>
      </c>
      <c r="C19" s="14" t="s">
        <v>194</v>
      </c>
      <c r="D19" s="14" t="s">
        <v>463</v>
      </c>
      <c r="E19" s="15" t="n">
        <v>12</v>
      </c>
      <c r="F19" s="14" t="s">
        <v>655</v>
      </c>
      <c r="G19" s="8" t="n">
        <v>6</v>
      </c>
      <c r="H19" s="14" t="s">
        <v>722</v>
      </c>
      <c r="I19" s="14" t="s">
        <v>723</v>
      </c>
      <c r="J19" s="14" t="s">
        <v>724</v>
      </c>
      <c r="K19" s="8" t="n">
        <v>4</v>
      </c>
      <c r="L19" s="8" t="n">
        <v>61</v>
      </c>
      <c r="M19" s="8" t="n">
        <v>4</v>
      </c>
      <c r="N19" s="8" t="n">
        <v>38</v>
      </c>
      <c r="O19" s="8" t="n">
        <v>5</v>
      </c>
      <c r="P19" s="9" t="n">
        <v>9.86098564500944</v>
      </c>
      <c r="Q19" s="10" t="n">
        <v>0.101409740973114</v>
      </c>
      <c r="R19" s="9" t="n">
        <v>13</v>
      </c>
      <c r="S19" s="12" t="n">
        <f aca="false">IF(AND(ISNUMBER(R19),R19&gt;1,P19&gt;0),R19/P19-1,"")</f>
        <v>0.318326632650478</v>
      </c>
      <c r="T19" s="9" t="n">
        <f aca="false">IF(AND(ISNUMBER(P19),P19&gt;0),P19*EXP('Read me'!$B$22),"")</f>
        <v>12.0442350649924</v>
      </c>
    </row>
    <row r="20" customFormat="false" ht="15" hidden="false" customHeight="false" outlineLevel="0" collapsed="false">
      <c r="A20" s="14" t="s">
        <v>193</v>
      </c>
      <c r="B20" s="14" t="s">
        <v>166</v>
      </c>
      <c r="C20" s="14" t="s">
        <v>194</v>
      </c>
      <c r="D20" s="14" t="s">
        <v>463</v>
      </c>
      <c r="E20" s="15" t="n">
        <v>12</v>
      </c>
      <c r="F20" s="14" t="s">
        <v>655</v>
      </c>
      <c r="G20" s="8" t="n">
        <v>6</v>
      </c>
      <c r="H20" s="14" t="s">
        <v>725</v>
      </c>
      <c r="I20" s="14" t="s">
        <v>668</v>
      </c>
      <c r="J20" s="14" t="s">
        <v>149</v>
      </c>
      <c r="K20" s="8" t="n">
        <v>5</v>
      </c>
      <c r="L20" s="8" t="n">
        <v>60</v>
      </c>
      <c r="M20" s="8" t="n">
        <v>5</v>
      </c>
      <c r="N20" s="8" t="n">
        <v>623</v>
      </c>
      <c r="O20" s="8" t="n">
        <v>6</v>
      </c>
      <c r="P20" s="9" t="n">
        <v>36.7466843110135</v>
      </c>
      <c r="Q20" s="10" t="n">
        <v>0.0272133396182437</v>
      </c>
      <c r="R20" s="9" t="n">
        <v>29</v>
      </c>
      <c r="S20" s="12" t="n">
        <f aca="false">IF(AND(ISNUMBER(R20),R20&gt;1,P20&gt;0),R20/P20-1,"")</f>
        <v>-0.210813151070931</v>
      </c>
      <c r="T20" s="9" t="n">
        <f aca="false">IF(AND(ISNUMBER(P20),P20&gt;0),P20*EXP('Read me'!$B$22),"")</f>
        <v>44.8825015707129</v>
      </c>
    </row>
    <row r="21" customFormat="false" ht="15" hidden="false" customHeight="false" outlineLevel="0" collapsed="false">
      <c r="A21" s="14" t="s">
        <v>215</v>
      </c>
      <c r="B21" s="14" t="s">
        <v>166</v>
      </c>
      <c r="C21" s="14" t="s">
        <v>216</v>
      </c>
      <c r="D21" s="14" t="s">
        <v>422</v>
      </c>
      <c r="E21" s="15" t="n">
        <v>7</v>
      </c>
      <c r="F21" s="14" t="s">
        <v>655</v>
      </c>
      <c r="G21" s="8" t="n">
        <v>10</v>
      </c>
      <c r="H21" s="14" t="s">
        <v>217</v>
      </c>
      <c r="I21" s="14" t="s">
        <v>196</v>
      </c>
      <c r="J21" s="14" t="s">
        <v>218</v>
      </c>
      <c r="K21" s="8" t="n">
        <v>1</v>
      </c>
      <c r="L21" s="8" t="n">
        <v>0</v>
      </c>
      <c r="M21" s="8" t="n">
        <v>3</v>
      </c>
      <c r="N21" s="8" t="n">
        <v>19</v>
      </c>
      <c r="O21" s="8" t="n">
        <v>1</v>
      </c>
      <c r="P21" s="9" t="n">
        <v>3.12346500360521</v>
      </c>
      <c r="Q21" s="10" t="n">
        <v>0.320157260877188</v>
      </c>
      <c r="R21" s="9" t="n">
        <v>3.5</v>
      </c>
      <c r="S21" s="12" t="n">
        <f aca="false">IF(AND(ISNUMBER(R21),R21&gt;1,P21&gt;0),R21/P21-1,"")</f>
        <v>0.120550413070156</v>
      </c>
      <c r="T21" s="9" t="n">
        <f aca="false">IF(AND(ISNUMBER(P21),P21&gt;0),P21*EXP('Read me'!$B$22),"")</f>
        <v>3.81500877042017</v>
      </c>
    </row>
    <row r="22" customFormat="false" ht="15" hidden="false" customHeight="false" outlineLevel="0" collapsed="false">
      <c r="A22" s="14" t="s">
        <v>215</v>
      </c>
      <c r="B22" s="14" t="s">
        <v>166</v>
      </c>
      <c r="C22" s="14" t="s">
        <v>216</v>
      </c>
      <c r="D22" s="14" t="s">
        <v>422</v>
      </c>
      <c r="E22" s="15" t="n">
        <v>7</v>
      </c>
      <c r="F22" s="14" t="s">
        <v>655</v>
      </c>
      <c r="G22" s="8" t="n">
        <v>10</v>
      </c>
      <c r="H22" s="14" t="s">
        <v>219</v>
      </c>
      <c r="I22" s="14" t="s">
        <v>249</v>
      </c>
      <c r="J22" s="14" t="s">
        <v>125</v>
      </c>
      <c r="K22" s="8" t="n">
        <v>8</v>
      </c>
      <c r="L22" s="8" t="n">
        <v>0</v>
      </c>
      <c r="M22" s="8" t="n">
        <v>3</v>
      </c>
      <c r="N22" s="8" t="n">
        <v>313</v>
      </c>
      <c r="O22" s="8" t="n">
        <v>2</v>
      </c>
      <c r="P22" s="9" t="n">
        <v>3.55414482527228</v>
      </c>
      <c r="Q22" s="10" t="n">
        <v>0.281361635262961</v>
      </c>
      <c r="R22" s="9" t="n">
        <v>3</v>
      </c>
      <c r="S22" s="12" t="n">
        <f aca="false">IF(AND(ISNUMBER(R22),R22&gt;1,P22&gt;0),R22/P22-1,"")</f>
        <v>-0.155915094211117</v>
      </c>
      <c r="T22" s="9" t="n">
        <f aca="false">IF(AND(ISNUMBER(P22),P22&gt;0),P22*EXP('Read me'!$B$22),"")</f>
        <v>4.34104229248826</v>
      </c>
    </row>
    <row r="23" customFormat="false" ht="15" hidden="false" customHeight="false" outlineLevel="0" collapsed="false">
      <c r="A23" s="14" t="s">
        <v>215</v>
      </c>
      <c r="B23" s="14" t="s">
        <v>166</v>
      </c>
      <c r="C23" s="14" t="s">
        <v>216</v>
      </c>
      <c r="D23" s="14" t="s">
        <v>422</v>
      </c>
      <c r="E23" s="15" t="n">
        <v>7</v>
      </c>
      <c r="F23" s="14" t="s">
        <v>655</v>
      </c>
      <c r="G23" s="8" t="n">
        <v>10</v>
      </c>
      <c r="H23" s="14" t="s">
        <v>778</v>
      </c>
      <c r="I23" s="14" t="s">
        <v>779</v>
      </c>
      <c r="J23" s="14" t="s">
        <v>780</v>
      </c>
      <c r="K23" s="8" t="n">
        <v>11</v>
      </c>
      <c r="L23" s="8" t="n">
        <v>75</v>
      </c>
      <c r="M23" s="8" t="n">
        <v>3</v>
      </c>
      <c r="N23" s="8" t="n">
        <v>28</v>
      </c>
      <c r="O23" s="8" t="n">
        <v>3</v>
      </c>
      <c r="P23" s="9" t="n">
        <v>4.9114565997595</v>
      </c>
      <c r="Q23" s="10" t="n">
        <v>0.203605586181698</v>
      </c>
      <c r="R23" s="9" t="n">
        <v>5</v>
      </c>
      <c r="S23" s="12" t="n">
        <f aca="false">IF(AND(ISNUMBER(R23),R23&gt;1,P23&gt;0),R23/P23-1,"")</f>
        <v>0.0180279309084881</v>
      </c>
      <c r="T23" s="9" t="n">
        <f aca="false">IF(AND(ISNUMBER(P23),P23&gt;0),P23*EXP('Read me'!$B$22),"")</f>
        <v>5.99886663753022</v>
      </c>
    </row>
    <row r="24" customFormat="false" ht="15" hidden="false" customHeight="false" outlineLevel="0" collapsed="false">
      <c r="A24" s="14" t="s">
        <v>215</v>
      </c>
      <c r="B24" s="14" t="s">
        <v>166</v>
      </c>
      <c r="C24" s="14" t="s">
        <v>216</v>
      </c>
      <c r="D24" s="14" t="s">
        <v>422</v>
      </c>
      <c r="E24" s="15" t="n">
        <v>7</v>
      </c>
      <c r="F24" s="14" t="s">
        <v>655</v>
      </c>
      <c r="G24" s="8" t="n">
        <v>10</v>
      </c>
      <c r="H24" s="14" t="s">
        <v>781</v>
      </c>
      <c r="I24" s="14" t="s">
        <v>782</v>
      </c>
      <c r="J24" s="14" t="s">
        <v>783</v>
      </c>
      <c r="K24" s="8" t="n">
        <v>6</v>
      </c>
      <c r="L24" s="8" t="n">
        <v>0</v>
      </c>
      <c r="M24" s="8" t="n">
        <v>3</v>
      </c>
      <c r="N24" s="8"/>
      <c r="O24" s="8" t="n">
        <v>4</v>
      </c>
      <c r="P24" s="9" t="n">
        <v>8.79649774443009</v>
      </c>
      <c r="Q24" s="10" t="n">
        <v>0.113681607050169</v>
      </c>
      <c r="R24" s="9" t="n">
        <v>4.33333333333333</v>
      </c>
      <c r="S24" s="12" t="n">
        <f aca="false">IF(AND(ISNUMBER(R24),R24&gt;1,P24&gt;0),R24/P24-1,"")</f>
        <v>-0.507379702782601</v>
      </c>
      <c r="T24" s="9" t="n">
        <f aca="false">IF(AND(ISNUMBER(P24),P24&gt;0),P24*EXP('Read me'!$B$22),"")</f>
        <v>10.7440666071966</v>
      </c>
    </row>
    <row r="25" customFormat="false" ht="15" hidden="false" customHeight="false" outlineLevel="0" collapsed="false">
      <c r="A25" s="14" t="s">
        <v>215</v>
      </c>
      <c r="B25" s="14" t="s">
        <v>166</v>
      </c>
      <c r="C25" s="14" t="s">
        <v>216</v>
      </c>
      <c r="D25" s="14" t="s">
        <v>422</v>
      </c>
      <c r="E25" s="15" t="n">
        <v>7</v>
      </c>
      <c r="F25" s="14" t="s">
        <v>655</v>
      </c>
      <c r="G25" s="8" t="n">
        <v>10</v>
      </c>
      <c r="H25" s="14" t="s">
        <v>784</v>
      </c>
      <c r="I25" s="14" t="s">
        <v>169</v>
      </c>
      <c r="J25" s="14" t="s">
        <v>342</v>
      </c>
      <c r="K25" s="8" t="n">
        <v>5</v>
      </c>
      <c r="L25" s="8" t="n">
        <v>0</v>
      </c>
      <c r="M25" s="8" t="n">
        <v>4</v>
      </c>
      <c r="N25" s="8" t="n">
        <v>15</v>
      </c>
      <c r="O25" s="8" t="n">
        <v>5</v>
      </c>
      <c r="P25" s="9" t="n">
        <v>36.978696583317</v>
      </c>
      <c r="Q25" s="10" t="n">
        <v>0.0270425972896825</v>
      </c>
      <c r="R25" s="9" t="n">
        <v>13</v>
      </c>
      <c r="S25" s="12" t="n">
        <f aca="false">IF(AND(ISNUMBER(R25),R25&gt;1,P25&gt;0),R25/P25-1,"")</f>
        <v>-0.648446235234127</v>
      </c>
      <c r="T25" s="9" t="n">
        <f aca="false">IF(AND(ISNUMBER(P25),P25&gt;0),P25*EXP('Read me'!$B$22),"")</f>
        <v>45.1658820000314</v>
      </c>
    </row>
    <row r="26" customFormat="false" ht="15" hidden="false" customHeight="false" outlineLevel="0" collapsed="false">
      <c r="A26" s="14" t="s">
        <v>215</v>
      </c>
      <c r="B26" s="14" t="s">
        <v>166</v>
      </c>
      <c r="C26" s="14" t="s">
        <v>216</v>
      </c>
      <c r="D26" s="14" t="s">
        <v>422</v>
      </c>
      <c r="E26" s="15" t="n">
        <v>7</v>
      </c>
      <c r="F26" s="14" t="s">
        <v>655</v>
      </c>
      <c r="G26" s="8" t="n">
        <v>10</v>
      </c>
      <c r="H26" s="14" t="s">
        <v>785</v>
      </c>
      <c r="I26" s="14" t="s">
        <v>679</v>
      </c>
      <c r="J26" s="14" t="s">
        <v>744</v>
      </c>
      <c r="K26" s="8" t="n">
        <v>7</v>
      </c>
      <c r="L26" s="8" t="n">
        <v>0</v>
      </c>
      <c r="M26" s="8" t="n">
        <v>3</v>
      </c>
      <c r="N26" s="8" t="n">
        <v>34</v>
      </c>
      <c r="O26" s="8" t="n">
        <v>6</v>
      </c>
      <c r="P26" s="9" t="n">
        <v>38.1054442699554</v>
      </c>
      <c r="Q26" s="10" t="n">
        <v>0.0262429691913724</v>
      </c>
      <c r="R26" s="9" t="n">
        <v>51</v>
      </c>
      <c r="S26" s="12" t="n">
        <f aca="false">IF(AND(ISNUMBER(R26),R26&gt;1,P26&gt;0),R26/P26-1,"")</f>
        <v>0.338391428759995</v>
      </c>
      <c r="T26" s="9" t="n">
        <f aca="false">IF(AND(ISNUMBER(P26),P26&gt;0),P26*EXP('Read me'!$B$22),"")</f>
        <v>46.5420947322422</v>
      </c>
    </row>
    <row r="27" customFormat="false" ht="15" hidden="false" customHeight="false" outlineLevel="0" collapsed="false">
      <c r="A27" s="14" t="s">
        <v>215</v>
      </c>
      <c r="B27" s="14" t="s">
        <v>166</v>
      </c>
      <c r="C27" s="14" t="s">
        <v>216</v>
      </c>
      <c r="D27" s="14" t="s">
        <v>422</v>
      </c>
      <c r="E27" s="15" t="n">
        <v>7</v>
      </c>
      <c r="F27" s="14" t="s">
        <v>655</v>
      </c>
      <c r="G27" s="8" t="n">
        <v>10</v>
      </c>
      <c r="H27" s="14" t="s">
        <v>786</v>
      </c>
      <c r="I27" s="14" t="s">
        <v>787</v>
      </c>
      <c r="J27" s="14" t="s">
        <v>149</v>
      </c>
      <c r="K27" s="8" t="n">
        <v>4</v>
      </c>
      <c r="L27" s="8" t="n">
        <v>0</v>
      </c>
      <c r="M27" s="8" t="n">
        <v>4</v>
      </c>
      <c r="N27" s="8"/>
      <c r="O27" s="8" t="n">
        <v>7</v>
      </c>
      <c r="P27" s="9" t="n">
        <v>69.464257196038</v>
      </c>
      <c r="Q27" s="10" t="n">
        <v>0.0143958927996287</v>
      </c>
      <c r="R27" s="9" t="n">
        <v>29</v>
      </c>
      <c r="S27" s="12" t="n">
        <f aca="false">IF(AND(ISNUMBER(R27),R27&gt;1,P27&gt;0),R27/P27-1,"")</f>
        <v>-0.582519108810768</v>
      </c>
      <c r="T27" s="9" t="n">
        <f aca="false">IF(AND(ISNUMBER(P27),P27&gt;0),P27*EXP('Read me'!$B$22),"")</f>
        <v>84.8438353327883</v>
      </c>
    </row>
    <row r="28" customFormat="false" ht="15" hidden="false" customHeight="false" outlineLevel="0" collapsed="false">
      <c r="A28" s="14" t="s">
        <v>215</v>
      </c>
      <c r="B28" s="14" t="s">
        <v>166</v>
      </c>
      <c r="C28" s="14" t="s">
        <v>216</v>
      </c>
      <c r="D28" s="14" t="s">
        <v>422</v>
      </c>
      <c r="E28" s="15" t="n">
        <v>7</v>
      </c>
      <c r="F28" s="14" t="s">
        <v>655</v>
      </c>
      <c r="G28" s="8" t="n">
        <v>10</v>
      </c>
      <c r="H28" s="14" t="s">
        <v>788</v>
      </c>
      <c r="I28" s="14" t="s">
        <v>720</v>
      </c>
      <c r="J28" s="14" t="s">
        <v>421</v>
      </c>
      <c r="K28" s="8" t="n">
        <v>2</v>
      </c>
      <c r="L28" s="8" t="n">
        <v>0</v>
      </c>
      <c r="M28" s="8" t="n">
        <v>5</v>
      </c>
      <c r="N28" s="8" t="n">
        <v>20</v>
      </c>
      <c r="O28" s="8" t="n">
        <v>8</v>
      </c>
      <c r="P28" s="9" t="n">
        <v>106.22350529438</v>
      </c>
      <c r="Q28" s="10" t="n">
        <v>0.0094141122271259</v>
      </c>
      <c r="R28" s="9" t="n">
        <v>126</v>
      </c>
      <c r="S28" s="12" t="n">
        <f aca="false">IF(AND(ISNUMBER(R28),R28&gt;1,P28&gt;0),R28/P28-1,"")</f>
        <v>0.186178140617869</v>
      </c>
      <c r="T28" s="9" t="n">
        <f aca="false">IF(AND(ISNUMBER(P28),P28&gt;0),P28*EXP('Read me'!$B$22),"")</f>
        <v>129.741682347997</v>
      </c>
    </row>
    <row r="29" customFormat="false" ht="15" hidden="false" customHeight="false" outlineLevel="0" collapsed="false">
      <c r="A29" s="14" t="s">
        <v>215</v>
      </c>
      <c r="B29" s="14" t="s">
        <v>166</v>
      </c>
      <c r="C29" s="14" t="s">
        <v>216</v>
      </c>
      <c r="D29" s="14" t="s">
        <v>422</v>
      </c>
      <c r="E29" s="15" t="n">
        <v>7</v>
      </c>
      <c r="F29" s="14" t="s">
        <v>655</v>
      </c>
      <c r="G29" s="8" t="n">
        <v>10</v>
      </c>
      <c r="H29" s="14" t="s">
        <v>789</v>
      </c>
      <c r="I29" s="14" t="s">
        <v>668</v>
      </c>
      <c r="J29" s="14" t="s">
        <v>790</v>
      </c>
      <c r="K29" s="8" t="n">
        <v>3</v>
      </c>
      <c r="L29" s="8" t="n">
        <v>0</v>
      </c>
      <c r="M29" s="8" t="n">
        <v>3</v>
      </c>
      <c r="N29" s="8" t="n">
        <v>15</v>
      </c>
      <c r="O29" s="8" t="n">
        <v>9</v>
      </c>
      <c r="P29" s="9" t="n">
        <v>357.814327853079</v>
      </c>
      <c r="Q29" s="10" t="n">
        <v>0.0027947455486204</v>
      </c>
      <c r="R29" s="9" t="n">
        <v>126</v>
      </c>
      <c r="S29" s="12" t="n">
        <f aca="false">IF(AND(ISNUMBER(R29),R29&gt;1,P29&gt;0),R29/P29-1,"")</f>
        <v>-0.647862060873827</v>
      </c>
      <c r="T29" s="9" t="n">
        <f aca="false">IF(AND(ISNUMBER(P29),P29&gt;0),P29*EXP('Read me'!$B$22),"")</f>
        <v>437.035406948978</v>
      </c>
    </row>
    <row r="30" customFormat="false" ht="15" hidden="false" customHeight="false" outlineLevel="0" collapsed="false">
      <c r="A30" s="14" t="s">
        <v>215</v>
      </c>
      <c r="B30" s="14" t="s">
        <v>166</v>
      </c>
      <c r="C30" s="14" t="s">
        <v>216</v>
      </c>
      <c r="D30" s="14" t="s">
        <v>422</v>
      </c>
      <c r="E30" s="15" t="n">
        <v>7</v>
      </c>
      <c r="F30" s="14" t="s">
        <v>655</v>
      </c>
      <c r="G30" s="8" t="n">
        <v>10</v>
      </c>
      <c r="H30" s="14" t="s">
        <v>791</v>
      </c>
      <c r="I30" s="14" t="s">
        <v>671</v>
      </c>
      <c r="J30" s="14" t="s">
        <v>792</v>
      </c>
      <c r="K30" s="8" t="n">
        <v>10</v>
      </c>
      <c r="L30" s="8" t="n">
        <v>0</v>
      </c>
      <c r="M30" s="8" t="n">
        <v>3</v>
      </c>
      <c r="N30" s="8" t="n">
        <v>68</v>
      </c>
      <c r="O30" s="8" t="n">
        <v>10</v>
      </c>
      <c r="P30" s="9" t="n">
        <v>767.110257231046</v>
      </c>
      <c r="Q30" s="10" t="n">
        <v>0.0013035935715546</v>
      </c>
      <c r="R30" s="9" t="n">
        <v>251</v>
      </c>
      <c r="S30" s="12" t="n">
        <f aca="false">IF(AND(ISNUMBER(R30),R30&gt;1,P30&gt;0),R30/P30-1,"")</f>
        <v>-0.672798013539791</v>
      </c>
      <c r="T30" s="9" t="n">
        <f aca="false">IF(AND(ISNUMBER(P30),P30&gt;0),P30*EXP('Read me'!$B$22),"")</f>
        <v>936.950583994957</v>
      </c>
    </row>
    <row r="31" customFormat="false" ht="15" hidden="false" customHeight="false" outlineLevel="0" collapsed="false">
      <c r="A31" s="14" t="s">
        <v>225</v>
      </c>
      <c r="B31" s="14" t="s">
        <v>166</v>
      </c>
      <c r="C31" s="14" t="s">
        <v>226</v>
      </c>
      <c r="D31" s="14" t="s">
        <v>463</v>
      </c>
      <c r="E31" s="15" t="n">
        <v>7</v>
      </c>
      <c r="F31" s="14" t="s">
        <v>655</v>
      </c>
      <c r="G31" s="8" t="n">
        <v>10</v>
      </c>
      <c r="H31" s="14" t="s">
        <v>227</v>
      </c>
      <c r="I31" s="14" t="s">
        <v>228</v>
      </c>
      <c r="J31" s="14" t="s">
        <v>229</v>
      </c>
      <c r="K31" s="8" t="n">
        <v>6</v>
      </c>
      <c r="L31" s="8" t="n">
        <v>64</v>
      </c>
      <c r="M31" s="8" t="n">
        <v>3</v>
      </c>
      <c r="N31" s="8" t="n">
        <v>8</v>
      </c>
      <c r="O31" s="8" t="n">
        <v>1</v>
      </c>
      <c r="P31" s="9" t="n">
        <v>1.95554021415647</v>
      </c>
      <c r="Q31" s="10" t="n">
        <v>0.511367648060029</v>
      </c>
      <c r="R31" s="9" t="n">
        <v>2.2</v>
      </c>
      <c r="S31" s="12" t="n">
        <f aca="false">IF(AND(ISNUMBER(R31),R31&gt;1,P31&gt;0),R31/P31-1,"")</f>
        <v>0.125008825732063</v>
      </c>
      <c r="T31" s="9" t="n">
        <f aca="false">IF(AND(ISNUMBER(P31),P31&gt;0),P31*EXP('Read me'!$B$22),"")</f>
        <v>2.38850221126385</v>
      </c>
    </row>
    <row r="32" customFormat="false" ht="15" hidden="false" customHeight="false" outlineLevel="0" collapsed="false">
      <c r="A32" s="14" t="s">
        <v>225</v>
      </c>
      <c r="B32" s="14" t="s">
        <v>166</v>
      </c>
      <c r="C32" s="14" t="s">
        <v>226</v>
      </c>
      <c r="D32" s="14" t="s">
        <v>463</v>
      </c>
      <c r="E32" s="15" t="n">
        <v>7</v>
      </c>
      <c r="F32" s="14" t="s">
        <v>655</v>
      </c>
      <c r="G32" s="8" t="n">
        <v>10</v>
      </c>
      <c r="H32" s="14" t="s">
        <v>230</v>
      </c>
      <c r="I32" s="14" t="s">
        <v>196</v>
      </c>
      <c r="J32" s="14" t="s">
        <v>546</v>
      </c>
      <c r="K32" s="8" t="n">
        <v>2</v>
      </c>
      <c r="L32" s="8" t="n">
        <v>58</v>
      </c>
      <c r="M32" s="8" t="n">
        <v>3</v>
      </c>
      <c r="N32" s="8" t="n">
        <v>17</v>
      </c>
      <c r="O32" s="8" t="n">
        <v>2</v>
      </c>
      <c r="P32" s="9" t="n">
        <v>4.077855402091</v>
      </c>
      <c r="Q32" s="10" t="n">
        <v>0.245226939505317</v>
      </c>
      <c r="R32" s="9" t="n">
        <v>2.5</v>
      </c>
      <c r="S32" s="12" t="n">
        <f aca="false">IF(AND(ISNUMBER(R32),R32&gt;1,P32&gt;0),R32/P32-1,"")</f>
        <v>-0.386932651236708</v>
      </c>
      <c r="T32" s="9" t="n">
        <f aca="false">IF(AND(ISNUMBER(P32),P32&gt;0),P32*EXP('Read me'!$B$22),"")</f>
        <v>4.9807038354923</v>
      </c>
    </row>
    <row r="33" customFormat="false" ht="15" hidden="false" customHeight="false" outlineLevel="0" collapsed="false">
      <c r="A33" s="14" t="s">
        <v>225</v>
      </c>
      <c r="B33" s="14" t="s">
        <v>166</v>
      </c>
      <c r="C33" s="14" t="s">
        <v>226</v>
      </c>
      <c r="D33" s="14" t="s">
        <v>463</v>
      </c>
      <c r="E33" s="15" t="n">
        <v>7</v>
      </c>
      <c r="F33" s="14" t="s">
        <v>655</v>
      </c>
      <c r="G33" s="8" t="n">
        <v>10</v>
      </c>
      <c r="H33" s="14" t="s">
        <v>805</v>
      </c>
      <c r="I33" s="14" t="s">
        <v>239</v>
      </c>
      <c r="J33" s="14" t="s">
        <v>633</v>
      </c>
      <c r="K33" s="8" t="n">
        <v>7</v>
      </c>
      <c r="L33" s="8" t="n">
        <v>60</v>
      </c>
      <c r="M33" s="8" t="n">
        <v>3</v>
      </c>
      <c r="N33" s="8" t="n">
        <v>30</v>
      </c>
      <c r="O33" s="8" t="n">
        <v>3</v>
      </c>
      <c r="P33" s="9" t="n">
        <v>15.1068781487871</v>
      </c>
      <c r="Q33" s="10" t="n">
        <v>0.0661950133012947</v>
      </c>
      <c r="R33" s="9" t="n">
        <v>9</v>
      </c>
      <c r="S33" s="12" t="n">
        <f aca="false">IF(AND(ISNUMBER(R33),R33&gt;1,P33&gt;0),R33/P33-1,"")</f>
        <v>-0.404244880288347</v>
      </c>
      <c r="T33" s="9" t="n">
        <f aca="false">IF(AND(ISNUMBER(P33),P33&gt;0),P33*EXP('Read me'!$B$22),"")</f>
        <v>18.4515826381181</v>
      </c>
    </row>
    <row r="34" customFormat="false" ht="15" hidden="false" customHeight="false" outlineLevel="0" collapsed="false">
      <c r="A34" s="14" t="s">
        <v>225</v>
      </c>
      <c r="B34" s="14" t="s">
        <v>166</v>
      </c>
      <c r="C34" s="14" t="s">
        <v>226</v>
      </c>
      <c r="D34" s="14" t="s">
        <v>463</v>
      </c>
      <c r="E34" s="15" t="n">
        <v>7</v>
      </c>
      <c r="F34" s="14" t="s">
        <v>655</v>
      </c>
      <c r="G34" s="8" t="n">
        <v>10</v>
      </c>
      <c r="H34" s="14" t="s">
        <v>806</v>
      </c>
      <c r="I34" s="14" t="s">
        <v>668</v>
      </c>
      <c r="J34" s="14" t="s">
        <v>807</v>
      </c>
      <c r="K34" s="8" t="n">
        <v>8</v>
      </c>
      <c r="L34" s="8" t="n">
        <v>60</v>
      </c>
      <c r="M34" s="8" t="n">
        <v>3</v>
      </c>
      <c r="N34" s="8" t="n">
        <v>83</v>
      </c>
      <c r="O34" s="8" t="n">
        <v>4</v>
      </c>
      <c r="P34" s="9" t="n">
        <v>19.118969470687</v>
      </c>
      <c r="Q34" s="10" t="n">
        <v>0.0523040743139</v>
      </c>
      <c r="R34" s="9" t="n">
        <v>12</v>
      </c>
      <c r="S34" s="12" t="n">
        <f aca="false">IF(AND(ISNUMBER(R34),R34&gt;1,P34&gt;0),R34/P34-1,"")</f>
        <v>-0.3723511082332</v>
      </c>
      <c r="T34" s="9" t="n">
        <f aca="false">IF(AND(ISNUMBER(P34),P34&gt;0),P34*EXP('Read me'!$B$22),"")</f>
        <v>23.3519620446772</v>
      </c>
    </row>
    <row r="35" customFormat="false" ht="15" hidden="false" customHeight="false" outlineLevel="0" collapsed="false">
      <c r="A35" s="14" t="s">
        <v>225</v>
      </c>
      <c r="B35" s="14" t="s">
        <v>166</v>
      </c>
      <c r="C35" s="14" t="s">
        <v>226</v>
      </c>
      <c r="D35" s="14" t="s">
        <v>463</v>
      </c>
      <c r="E35" s="15" t="n">
        <v>7</v>
      </c>
      <c r="F35" s="14" t="s">
        <v>655</v>
      </c>
      <c r="G35" s="8" t="n">
        <v>10</v>
      </c>
      <c r="H35" s="14" t="s">
        <v>808</v>
      </c>
      <c r="I35" s="14" t="s">
        <v>249</v>
      </c>
      <c r="J35" s="14" t="s">
        <v>223</v>
      </c>
      <c r="K35" s="8" t="n">
        <v>3</v>
      </c>
      <c r="L35" s="8" t="n">
        <v>54</v>
      </c>
      <c r="M35" s="8" t="n">
        <v>3</v>
      </c>
      <c r="N35" s="8" t="n">
        <v>69</v>
      </c>
      <c r="O35" s="8" t="n">
        <v>5</v>
      </c>
      <c r="P35" s="9" t="n">
        <v>30.5337350115971</v>
      </c>
      <c r="Q35" s="10" t="n">
        <v>0.0327506608549588</v>
      </c>
      <c r="R35" s="9" t="n">
        <v>51</v>
      </c>
      <c r="S35" s="12" t="n">
        <f aca="false">IF(AND(ISNUMBER(R35),R35&gt;1,P35&gt;0),R35/P35-1,"")</f>
        <v>0.6702837036029</v>
      </c>
      <c r="T35" s="9" t="n">
        <f aca="false">IF(AND(ISNUMBER(P35),P35&gt;0),P35*EXP('Read me'!$B$22),"")</f>
        <v>37.2939881600965</v>
      </c>
    </row>
    <row r="36" customFormat="false" ht="15" hidden="false" customHeight="false" outlineLevel="0" collapsed="false">
      <c r="A36" s="14" t="s">
        <v>225</v>
      </c>
      <c r="B36" s="14" t="s">
        <v>166</v>
      </c>
      <c r="C36" s="14" t="s">
        <v>226</v>
      </c>
      <c r="D36" s="14" t="s">
        <v>463</v>
      </c>
      <c r="E36" s="15" t="n">
        <v>7</v>
      </c>
      <c r="F36" s="14" t="s">
        <v>655</v>
      </c>
      <c r="G36" s="8" t="n">
        <v>10</v>
      </c>
      <c r="H36" s="14" t="s">
        <v>809</v>
      </c>
      <c r="I36" s="14" t="s">
        <v>787</v>
      </c>
      <c r="J36" s="14" t="s">
        <v>810</v>
      </c>
      <c r="K36" s="8" t="n">
        <v>5</v>
      </c>
      <c r="L36" s="8" t="n">
        <v>50</v>
      </c>
      <c r="M36" s="8" t="n">
        <v>3</v>
      </c>
      <c r="N36" s="8" t="n">
        <v>30</v>
      </c>
      <c r="O36" s="8" t="n">
        <v>6</v>
      </c>
      <c r="P36" s="9" t="n">
        <v>33.185388680094</v>
      </c>
      <c r="Q36" s="10" t="n">
        <v>0.0301337437882667</v>
      </c>
      <c r="R36" s="9" t="n">
        <v>23</v>
      </c>
      <c r="S36" s="12" t="n">
        <f aca="false">IF(AND(ISNUMBER(R36),R36&gt;1,P36&gt;0),R36/P36-1,"")</f>
        <v>-0.306923892869864</v>
      </c>
      <c r="T36" s="9" t="n">
        <f aca="false">IF(AND(ISNUMBER(P36),P36&gt;0),P36*EXP('Read me'!$B$22),"")</f>
        <v>40.5327252644841</v>
      </c>
    </row>
    <row r="37" customFormat="false" ht="15" hidden="false" customHeight="false" outlineLevel="0" collapsed="false">
      <c r="A37" s="14" t="s">
        <v>225</v>
      </c>
      <c r="B37" s="14" t="s">
        <v>166</v>
      </c>
      <c r="C37" s="14" t="s">
        <v>226</v>
      </c>
      <c r="D37" s="14" t="s">
        <v>463</v>
      </c>
      <c r="E37" s="15" t="n">
        <v>7</v>
      </c>
      <c r="F37" s="14" t="s">
        <v>655</v>
      </c>
      <c r="G37" s="8" t="n">
        <v>10</v>
      </c>
      <c r="H37" s="14" t="s">
        <v>811</v>
      </c>
      <c r="I37" s="14" t="s">
        <v>720</v>
      </c>
      <c r="J37" s="14" t="s">
        <v>203</v>
      </c>
      <c r="K37" s="8" t="n">
        <v>1</v>
      </c>
      <c r="L37" s="8" t="n">
        <v>58</v>
      </c>
      <c r="M37" s="8" t="n">
        <v>3</v>
      </c>
      <c r="N37" s="8" t="n">
        <v>36</v>
      </c>
      <c r="O37" s="8" t="n">
        <v>7</v>
      </c>
      <c r="P37" s="9" t="n">
        <v>44.7619519973199</v>
      </c>
      <c r="Q37" s="10" t="n">
        <v>0.0223404019569985</v>
      </c>
      <c r="R37" s="9" t="n">
        <v>26</v>
      </c>
      <c r="S37" s="12" t="n">
        <f aca="false">IF(AND(ISNUMBER(R37),R37&gt;1,P37&gt;0),R37/P37-1,"")</f>
        <v>-0.419149549118038</v>
      </c>
      <c r="T37" s="9" t="n">
        <f aca="false">IF(AND(ISNUMBER(P37),P37&gt;0),P37*EXP('Read me'!$B$22),"")</f>
        <v>54.6723716301597</v>
      </c>
    </row>
    <row r="38" customFormat="false" ht="15" hidden="false" customHeight="false" outlineLevel="0" collapsed="false">
      <c r="A38" s="14" t="s">
        <v>225</v>
      </c>
      <c r="B38" s="14" t="s">
        <v>166</v>
      </c>
      <c r="C38" s="14" t="s">
        <v>226</v>
      </c>
      <c r="D38" s="14" t="s">
        <v>463</v>
      </c>
      <c r="E38" s="15" t="n">
        <v>7</v>
      </c>
      <c r="F38" s="14" t="s">
        <v>655</v>
      </c>
      <c r="G38" s="8" t="n">
        <v>10</v>
      </c>
      <c r="H38" s="14" t="s">
        <v>812</v>
      </c>
      <c r="I38" s="14" t="s">
        <v>679</v>
      </c>
      <c r="J38" s="14" t="s">
        <v>813</v>
      </c>
      <c r="K38" s="8" t="n">
        <v>11</v>
      </c>
      <c r="L38" s="8" t="n">
        <v>54</v>
      </c>
      <c r="M38" s="8" t="n">
        <v>3</v>
      </c>
      <c r="N38" s="8" t="n">
        <v>3</v>
      </c>
      <c r="O38" s="8" t="n">
        <v>8</v>
      </c>
      <c r="P38" s="9" t="n">
        <v>45.0645086747593</v>
      </c>
      <c r="Q38" s="10" t="n">
        <v>0.0221904116877702</v>
      </c>
      <c r="R38" s="9" t="n">
        <v>26</v>
      </c>
      <c r="S38" s="12" t="n">
        <f aca="false">IF(AND(ISNUMBER(R38),R38&gt;1,P38&gt;0),R38/P38-1,"")</f>
        <v>-0.423049296117975</v>
      </c>
      <c r="T38" s="9" t="n">
        <f aca="false">IF(AND(ISNUMBER(P38),P38&gt;0),P38*EXP('Read me'!$B$22),"")</f>
        <v>55.0419151904839</v>
      </c>
    </row>
    <row r="39" customFormat="false" ht="15" hidden="false" customHeight="false" outlineLevel="0" collapsed="false">
      <c r="A39" s="14" t="s">
        <v>225</v>
      </c>
      <c r="B39" s="14" t="s">
        <v>166</v>
      </c>
      <c r="C39" s="14" t="s">
        <v>226</v>
      </c>
      <c r="D39" s="14" t="s">
        <v>463</v>
      </c>
      <c r="E39" s="15" t="n">
        <v>7</v>
      </c>
      <c r="F39" s="14" t="s">
        <v>655</v>
      </c>
      <c r="G39" s="8" t="n">
        <v>10</v>
      </c>
      <c r="H39" s="14" t="s">
        <v>814</v>
      </c>
      <c r="I39" s="14" t="s">
        <v>723</v>
      </c>
      <c r="J39" s="14" t="s">
        <v>815</v>
      </c>
      <c r="K39" s="8" t="n">
        <v>9</v>
      </c>
      <c r="L39" s="8" t="n">
        <v>47</v>
      </c>
      <c r="M39" s="8" t="n">
        <v>3</v>
      </c>
      <c r="N39" s="8" t="n">
        <v>42</v>
      </c>
      <c r="O39" s="8" t="n">
        <v>9</v>
      </c>
      <c r="P39" s="9" t="n">
        <v>67.4023561530539</v>
      </c>
      <c r="Q39" s="10" t="n">
        <v>0.0148362766092219</v>
      </c>
      <c r="R39" s="9" t="n">
        <v>67</v>
      </c>
      <c r="S39" s="12" t="n">
        <f aca="false">IF(AND(ISNUMBER(R39),R39&gt;1,P39&gt;0),R39/P39-1,"")</f>
        <v>-0.00596946718213032</v>
      </c>
      <c r="T39" s="9" t="n">
        <f aca="false">IF(AND(ISNUMBER(P39),P39&gt;0),P39*EXP('Read me'!$B$22),"")</f>
        <v>82.3254237118342</v>
      </c>
    </row>
    <row r="40" customFormat="false" ht="15" hidden="false" customHeight="false" outlineLevel="0" collapsed="false">
      <c r="A40" s="14" t="s">
        <v>225</v>
      </c>
      <c r="B40" s="14" t="s">
        <v>166</v>
      </c>
      <c r="C40" s="14" t="s">
        <v>226</v>
      </c>
      <c r="D40" s="14" t="s">
        <v>463</v>
      </c>
      <c r="E40" s="15" t="n">
        <v>7</v>
      </c>
      <c r="F40" s="14" t="s">
        <v>655</v>
      </c>
      <c r="G40" s="8" t="n">
        <v>10</v>
      </c>
      <c r="H40" s="14" t="s">
        <v>816</v>
      </c>
      <c r="I40" s="14" t="s">
        <v>663</v>
      </c>
      <c r="J40" s="14" t="s">
        <v>813</v>
      </c>
      <c r="K40" s="8" t="n">
        <v>4</v>
      </c>
      <c r="L40" s="8" t="n">
        <v>46</v>
      </c>
      <c r="M40" s="8" t="n">
        <v>3</v>
      </c>
      <c r="N40" s="8" t="n">
        <v>7</v>
      </c>
      <c r="O40" s="8" t="n">
        <v>10</v>
      </c>
      <c r="P40" s="9" t="n">
        <v>376.671963661971</v>
      </c>
      <c r="Q40" s="10" t="n">
        <v>0.0026548299222434</v>
      </c>
      <c r="R40" s="9" t="n">
        <v>201</v>
      </c>
      <c r="S40" s="12" t="n">
        <f aca="false">IF(AND(ISNUMBER(R40),R40&gt;1,P40&gt;0),R40/P40-1,"")</f>
        <v>-0.466379185629066</v>
      </c>
      <c r="T40" s="9" t="n">
        <f aca="false">IF(AND(ISNUMBER(P40),P40&gt;0),P40*EXP('Read me'!$B$22),"")</f>
        <v>460.068175338339</v>
      </c>
    </row>
    <row r="41" customFormat="false" ht="15" hidden="false" customHeight="false" outlineLevel="0" collapsed="false">
      <c r="A41" s="14" t="s">
        <v>231</v>
      </c>
      <c r="B41" s="14" t="s">
        <v>166</v>
      </c>
      <c r="C41" s="14" t="s">
        <v>232</v>
      </c>
      <c r="D41" s="14" t="s">
        <v>422</v>
      </c>
      <c r="E41" s="15" t="n">
        <v>6</v>
      </c>
      <c r="F41" s="14" t="s">
        <v>655</v>
      </c>
      <c r="G41" s="8" t="n">
        <v>8</v>
      </c>
      <c r="H41" s="14" t="s">
        <v>233</v>
      </c>
      <c r="I41" s="14" t="s">
        <v>196</v>
      </c>
      <c r="J41" s="14" t="s">
        <v>234</v>
      </c>
      <c r="K41" s="8" t="n">
        <v>3</v>
      </c>
      <c r="L41" s="8" t="n">
        <v>0</v>
      </c>
      <c r="M41" s="8" t="n">
        <v>2</v>
      </c>
      <c r="N41" s="8"/>
      <c r="O41" s="8" t="n">
        <v>1</v>
      </c>
      <c r="P41" s="9" t="n">
        <v>1.90050609740764</v>
      </c>
      <c r="Q41" s="10" t="n">
        <v>0.526175633618874</v>
      </c>
      <c r="R41" s="9" t="n">
        <v>1.53333333333333</v>
      </c>
      <c r="S41" s="12" t="n">
        <f aca="false">IF(AND(ISNUMBER(R41),R41&gt;1,P41&gt;0),R41/P41-1,"")</f>
        <v>-0.193197361784393</v>
      </c>
      <c r="T41" s="9" t="n">
        <f aca="false">IF(AND(ISNUMBER(P41),P41&gt;0),P41*EXP('Read me'!$B$22),"")</f>
        <v>2.32128338927391</v>
      </c>
    </row>
    <row r="42" customFormat="false" ht="15" hidden="false" customHeight="false" outlineLevel="0" collapsed="false">
      <c r="A42" s="14" t="s">
        <v>231</v>
      </c>
      <c r="B42" s="14" t="s">
        <v>166</v>
      </c>
      <c r="C42" s="14" t="s">
        <v>232</v>
      </c>
      <c r="D42" s="14" t="s">
        <v>422</v>
      </c>
      <c r="E42" s="15" t="n">
        <v>6</v>
      </c>
      <c r="F42" s="14" t="s">
        <v>655</v>
      </c>
      <c r="G42" s="8" t="n">
        <v>8</v>
      </c>
      <c r="H42" s="14" t="s">
        <v>235</v>
      </c>
      <c r="I42" s="14" t="s">
        <v>239</v>
      </c>
      <c r="J42" s="14" t="s">
        <v>817</v>
      </c>
      <c r="K42" s="8" t="n">
        <v>2</v>
      </c>
      <c r="L42" s="8" t="n">
        <v>0</v>
      </c>
      <c r="M42" s="8" t="n">
        <v>2</v>
      </c>
      <c r="N42" s="8" t="n">
        <v>15</v>
      </c>
      <c r="O42" s="8" t="n">
        <v>2</v>
      </c>
      <c r="P42" s="9" t="n">
        <v>5.07781333325716</v>
      </c>
      <c r="Q42" s="10" t="n">
        <v>0.196935163695462</v>
      </c>
      <c r="R42" s="9" t="n">
        <v>9.5</v>
      </c>
      <c r="S42" s="12" t="n">
        <f aca="false">IF(AND(ISNUMBER(R42),R42&gt;1,P42&gt;0),R42/P42-1,"")</f>
        <v>0.870884055106892</v>
      </c>
      <c r="T42" s="9" t="n">
        <f aca="false">IF(AND(ISNUMBER(P42),P42&gt;0),P42*EXP('Read me'!$B$22),"")</f>
        <v>6.20205521066278</v>
      </c>
    </row>
    <row r="43" customFormat="false" ht="15" hidden="false" customHeight="false" outlineLevel="0" collapsed="false">
      <c r="A43" s="14" t="s">
        <v>231</v>
      </c>
      <c r="B43" s="14" t="s">
        <v>166</v>
      </c>
      <c r="C43" s="14" t="s">
        <v>232</v>
      </c>
      <c r="D43" s="14" t="s">
        <v>422</v>
      </c>
      <c r="E43" s="15" t="n">
        <v>6</v>
      </c>
      <c r="F43" s="14" t="s">
        <v>655</v>
      </c>
      <c r="G43" s="8" t="n">
        <v>8</v>
      </c>
      <c r="H43" s="14" t="s">
        <v>818</v>
      </c>
      <c r="I43" s="14" t="s">
        <v>249</v>
      </c>
      <c r="J43" s="14" t="s">
        <v>819</v>
      </c>
      <c r="K43" s="8" t="n">
        <v>8</v>
      </c>
      <c r="L43" s="8" t="n">
        <v>0</v>
      </c>
      <c r="M43" s="8" t="n">
        <v>2</v>
      </c>
      <c r="N43" s="8" t="n">
        <v>8</v>
      </c>
      <c r="O43" s="8" t="n">
        <v>3</v>
      </c>
      <c r="P43" s="9" t="n">
        <v>8.2034104586953</v>
      </c>
      <c r="Q43" s="10" t="n">
        <v>0.121900519916084</v>
      </c>
      <c r="R43" s="9" t="n">
        <v>4.5</v>
      </c>
      <c r="S43" s="12" t="n">
        <f aca="false">IF(AND(ISNUMBER(R43),R43&gt;1,P43&gt;0),R43/P43-1,"")</f>
        <v>-0.451447660377621</v>
      </c>
      <c r="T43" s="9" t="n">
        <f aca="false">IF(AND(ISNUMBER(P43),P43&gt;0),P43*EXP('Read me'!$B$22),"")</f>
        <v>10.0196681605704</v>
      </c>
    </row>
    <row r="44" customFormat="false" ht="15" hidden="false" customHeight="false" outlineLevel="0" collapsed="false">
      <c r="A44" s="14" t="s">
        <v>231</v>
      </c>
      <c r="B44" s="14" t="s">
        <v>166</v>
      </c>
      <c r="C44" s="14" t="s">
        <v>232</v>
      </c>
      <c r="D44" s="14" t="s">
        <v>422</v>
      </c>
      <c r="E44" s="15" t="n">
        <v>6</v>
      </c>
      <c r="F44" s="14" t="s">
        <v>655</v>
      </c>
      <c r="G44" s="8" t="n">
        <v>8</v>
      </c>
      <c r="H44" s="14" t="s">
        <v>820</v>
      </c>
      <c r="I44" s="14" t="s">
        <v>668</v>
      </c>
      <c r="J44" s="14" t="s">
        <v>821</v>
      </c>
      <c r="K44" s="8" t="n">
        <v>1</v>
      </c>
      <c r="L44" s="8" t="n">
        <v>0</v>
      </c>
      <c r="M44" s="8" t="n">
        <v>2</v>
      </c>
      <c r="N44" s="8" t="n">
        <v>67</v>
      </c>
      <c r="O44" s="8" t="n">
        <v>4</v>
      </c>
      <c r="P44" s="9" t="n">
        <v>15.7766552422153</v>
      </c>
      <c r="Q44" s="10" t="n">
        <v>0.0633847913038114</v>
      </c>
      <c r="R44" s="9" t="n">
        <v>8</v>
      </c>
      <c r="S44" s="12" t="n">
        <f aca="false">IF(AND(ISNUMBER(R44),R44&gt;1,P44&gt;0),R44/P44-1,"")</f>
        <v>-0.492921669569508</v>
      </c>
      <c r="T44" s="9" t="n">
        <f aca="false">IF(AND(ISNUMBER(P44),P44&gt;0),P44*EXP('Read me'!$B$22),"")</f>
        <v>19.2696502273839</v>
      </c>
    </row>
    <row r="45" customFormat="false" ht="15" hidden="false" customHeight="false" outlineLevel="0" collapsed="false">
      <c r="A45" s="14" t="s">
        <v>231</v>
      </c>
      <c r="B45" s="14" t="s">
        <v>166</v>
      </c>
      <c r="C45" s="14" t="s">
        <v>232</v>
      </c>
      <c r="D45" s="14" t="s">
        <v>422</v>
      </c>
      <c r="E45" s="15" t="n">
        <v>6</v>
      </c>
      <c r="F45" s="14" t="s">
        <v>655</v>
      </c>
      <c r="G45" s="8" t="n">
        <v>8</v>
      </c>
      <c r="H45" s="14" t="s">
        <v>822</v>
      </c>
      <c r="I45" s="14" t="s">
        <v>823</v>
      </c>
      <c r="J45" s="14" t="s">
        <v>53</v>
      </c>
      <c r="K45" s="8" t="n">
        <v>6</v>
      </c>
      <c r="L45" s="8" t="n">
        <v>0</v>
      </c>
      <c r="M45" s="8" t="n">
        <v>2</v>
      </c>
      <c r="N45" s="8"/>
      <c r="O45" s="8" t="n">
        <v>5</v>
      </c>
      <c r="P45" s="9" t="n">
        <v>19.7154940482416</v>
      </c>
      <c r="Q45" s="10" t="n">
        <v>0.0507215288418901</v>
      </c>
      <c r="R45" s="9" t="n">
        <v>15</v>
      </c>
      <c r="S45" s="12" t="n">
        <f aca="false">IF(AND(ISNUMBER(R45),R45&gt;1,P45&gt;0),R45/P45-1,"")</f>
        <v>-0.239177067371648</v>
      </c>
      <c r="T45" s="9" t="n">
        <f aca="false">IF(AND(ISNUMBER(P45),P45&gt;0),P45*EXP('Read me'!$B$22),"")</f>
        <v>24.0805588090127</v>
      </c>
    </row>
    <row r="46" customFormat="false" ht="15" hidden="false" customHeight="false" outlineLevel="0" collapsed="false">
      <c r="A46" s="14" t="s">
        <v>231</v>
      </c>
      <c r="B46" s="14" t="s">
        <v>166</v>
      </c>
      <c r="C46" s="14" t="s">
        <v>232</v>
      </c>
      <c r="D46" s="14" t="s">
        <v>422</v>
      </c>
      <c r="E46" s="15" t="n">
        <v>6</v>
      </c>
      <c r="F46" s="14" t="s">
        <v>655</v>
      </c>
      <c r="G46" s="8" t="n">
        <v>8</v>
      </c>
      <c r="H46" s="14" t="s">
        <v>824</v>
      </c>
      <c r="I46" s="14" t="s">
        <v>660</v>
      </c>
      <c r="J46" s="14" t="s">
        <v>197</v>
      </c>
      <c r="K46" s="8" t="n">
        <v>4</v>
      </c>
      <c r="L46" s="8" t="n">
        <v>0</v>
      </c>
      <c r="M46" s="8" t="n">
        <v>2</v>
      </c>
      <c r="N46" s="8" t="n">
        <v>11</v>
      </c>
      <c r="O46" s="8" t="n">
        <v>6</v>
      </c>
      <c r="P46" s="9" t="n">
        <v>36.8334245010516</v>
      </c>
      <c r="Q46" s="10" t="n">
        <v>0.0271492540687182</v>
      </c>
      <c r="R46" s="9" t="n">
        <v>34</v>
      </c>
      <c r="S46" s="12" t="n">
        <f aca="false">IF(AND(ISNUMBER(R46),R46&gt;1,P46&gt;0),R46/P46-1,"")</f>
        <v>-0.0769253616635798</v>
      </c>
      <c r="T46" s="9" t="n">
        <f aca="false">IF(AND(ISNUMBER(P46),P46&gt;0),P46*EXP('Read me'!$B$22),"")</f>
        <v>44.9884462780687</v>
      </c>
    </row>
    <row r="47" customFormat="false" ht="15" hidden="false" customHeight="false" outlineLevel="0" collapsed="false">
      <c r="A47" s="14" t="s">
        <v>231</v>
      </c>
      <c r="B47" s="14" t="s">
        <v>166</v>
      </c>
      <c r="C47" s="14" t="s">
        <v>232</v>
      </c>
      <c r="D47" s="14" t="s">
        <v>422</v>
      </c>
      <c r="E47" s="15" t="n">
        <v>6</v>
      </c>
      <c r="F47" s="14" t="s">
        <v>655</v>
      </c>
      <c r="G47" s="8" t="n">
        <v>8</v>
      </c>
      <c r="H47" s="14" t="s">
        <v>825</v>
      </c>
      <c r="I47" s="14" t="s">
        <v>826</v>
      </c>
      <c r="J47" s="14" t="s">
        <v>399</v>
      </c>
      <c r="K47" s="8" t="n">
        <v>7</v>
      </c>
      <c r="L47" s="8" t="n">
        <v>0</v>
      </c>
      <c r="M47" s="8" t="n">
        <v>2</v>
      </c>
      <c r="N47" s="8" t="n">
        <v>31</v>
      </c>
      <c r="O47" s="8" t="n">
        <v>7</v>
      </c>
      <c r="P47" s="9" t="n">
        <v>85.7618231247256</v>
      </c>
      <c r="Q47" s="10" t="n">
        <v>0.0116601998834105</v>
      </c>
      <c r="R47" s="9" t="n">
        <v>51</v>
      </c>
      <c r="S47" s="12" t="n">
        <f aca="false">IF(AND(ISNUMBER(R47),R47&gt;1,P47&gt;0),R47/P47-1,"")</f>
        <v>-0.405329805946063</v>
      </c>
      <c r="T47" s="9" t="n">
        <f aca="false">IF(AND(ISNUMBER(P47),P47&gt;0),P47*EXP('Read me'!$B$22),"")</f>
        <v>104.749727309385</v>
      </c>
    </row>
    <row r="48" customFormat="false" ht="15" hidden="false" customHeight="false" outlineLevel="0" collapsed="false">
      <c r="A48" s="14" t="s">
        <v>231</v>
      </c>
      <c r="B48" s="14" t="s">
        <v>166</v>
      </c>
      <c r="C48" s="14" t="s">
        <v>232</v>
      </c>
      <c r="D48" s="14" t="s">
        <v>422</v>
      </c>
      <c r="E48" s="15" t="n">
        <v>6</v>
      </c>
      <c r="F48" s="14" t="s">
        <v>655</v>
      </c>
      <c r="G48" s="8" t="n">
        <v>8</v>
      </c>
      <c r="H48" s="14" t="s">
        <v>827</v>
      </c>
      <c r="I48" s="14" t="s">
        <v>828</v>
      </c>
      <c r="J48" s="14" t="s">
        <v>102</v>
      </c>
      <c r="K48" s="8" t="n">
        <v>5</v>
      </c>
      <c r="L48" s="8" t="n">
        <v>0</v>
      </c>
      <c r="M48" s="8" t="n">
        <v>2</v>
      </c>
      <c r="N48" s="8" t="n">
        <v>14</v>
      </c>
      <c r="O48" s="8" t="n">
        <v>8</v>
      </c>
      <c r="P48" s="9" t="n">
        <v>482.413920897133</v>
      </c>
      <c r="Q48" s="10" t="n">
        <v>0.0020729086717487</v>
      </c>
      <c r="R48" s="9" t="n">
        <v>201</v>
      </c>
      <c r="S48" s="12" t="n">
        <f aca="false">IF(AND(ISNUMBER(R48),R48&gt;1,P48&gt;0),R48/P48-1,"")</f>
        <v>-0.583345356978494</v>
      </c>
      <c r="T48" s="9" t="n">
        <f aca="false">IF(AND(ISNUMBER(P48),P48&gt;0),P48*EXP('Read me'!$B$22),"")</f>
        <v>589.221693558621</v>
      </c>
    </row>
    <row r="49" customFormat="false" ht="15" hidden="false" customHeight="false" outlineLevel="0" collapsed="false">
      <c r="A49" s="14" t="s">
        <v>236</v>
      </c>
      <c r="B49" s="14" t="s">
        <v>166</v>
      </c>
      <c r="C49" s="14" t="s">
        <v>237</v>
      </c>
      <c r="D49" s="14" t="s">
        <v>463</v>
      </c>
      <c r="E49" s="15" t="n">
        <v>6</v>
      </c>
      <c r="F49" s="14" t="s">
        <v>655</v>
      </c>
      <c r="G49" s="8" t="n">
        <v>11</v>
      </c>
      <c r="H49" s="14" t="s">
        <v>238</v>
      </c>
      <c r="I49" s="14" t="s">
        <v>239</v>
      </c>
      <c r="J49" s="14" t="s">
        <v>218</v>
      </c>
      <c r="K49" s="8" t="n">
        <v>8</v>
      </c>
      <c r="L49" s="8" t="n">
        <v>68</v>
      </c>
      <c r="M49" s="8" t="n">
        <v>4</v>
      </c>
      <c r="N49" s="8" t="n">
        <v>6</v>
      </c>
      <c r="O49" s="8" t="n">
        <v>1</v>
      </c>
      <c r="P49" s="9" t="n">
        <v>4.1194878763523</v>
      </c>
      <c r="Q49" s="10" t="n">
        <v>0.242748620706095</v>
      </c>
      <c r="R49" s="9" t="n">
        <v>1.83333333333333</v>
      </c>
      <c r="S49" s="12" t="n">
        <f aca="false">IF(AND(ISNUMBER(R49),R49&gt;1,P49&gt;0),R49/P49-1,"")</f>
        <v>-0.554960862038827</v>
      </c>
      <c r="T49" s="9" t="n">
        <f aca="false">IF(AND(ISNUMBER(P49),P49&gt;0),P49*EXP('Read me'!$B$22),"")</f>
        <v>5.03155385438408</v>
      </c>
    </row>
    <row r="50" customFormat="false" ht="15" hidden="false" customHeight="false" outlineLevel="0" collapsed="false">
      <c r="A50" s="14" t="s">
        <v>236</v>
      </c>
      <c r="B50" s="14" t="s">
        <v>166</v>
      </c>
      <c r="C50" s="14" t="s">
        <v>237</v>
      </c>
      <c r="D50" s="14" t="s">
        <v>463</v>
      </c>
      <c r="E50" s="15" t="n">
        <v>6</v>
      </c>
      <c r="F50" s="14" t="s">
        <v>655</v>
      </c>
      <c r="G50" s="8" t="n">
        <v>11</v>
      </c>
      <c r="H50" s="14" t="s">
        <v>240</v>
      </c>
      <c r="I50" s="14" t="s">
        <v>196</v>
      </c>
      <c r="J50" s="14" t="s">
        <v>328</v>
      </c>
      <c r="K50" s="8" t="n">
        <v>5</v>
      </c>
      <c r="L50" s="8" t="n">
        <v>61</v>
      </c>
      <c r="M50" s="8" t="n">
        <v>4</v>
      </c>
      <c r="N50" s="8" t="n">
        <v>28</v>
      </c>
      <c r="O50" s="8" t="n">
        <v>2</v>
      </c>
      <c r="P50" s="9" t="n">
        <v>6.02194567595511</v>
      </c>
      <c r="Q50" s="10" t="n">
        <v>0.166059286119581</v>
      </c>
      <c r="R50" s="9" t="n">
        <v>9</v>
      </c>
      <c r="S50" s="12" t="n">
        <f aca="false">IF(AND(ISNUMBER(R50),R50&gt;1,P50&gt;0),R50/P50-1,"")</f>
        <v>0.494533575076225</v>
      </c>
      <c r="T50" s="9" t="n">
        <f aca="false">IF(AND(ISNUMBER(P50),P50&gt;0),P50*EXP('Read me'!$B$22),"")</f>
        <v>7.35522105810228</v>
      </c>
    </row>
    <row r="51" customFormat="false" ht="15" hidden="false" customHeight="false" outlineLevel="0" collapsed="false">
      <c r="A51" s="14" t="s">
        <v>236</v>
      </c>
      <c r="B51" s="14" t="s">
        <v>166</v>
      </c>
      <c r="C51" s="14" t="s">
        <v>237</v>
      </c>
      <c r="D51" s="14" t="s">
        <v>463</v>
      </c>
      <c r="E51" s="15" t="n">
        <v>6</v>
      </c>
      <c r="F51" s="14" t="s">
        <v>655</v>
      </c>
      <c r="G51" s="8" t="n">
        <v>11</v>
      </c>
      <c r="H51" s="14" t="s">
        <v>829</v>
      </c>
      <c r="I51" s="14" t="s">
        <v>658</v>
      </c>
      <c r="J51" s="14" t="s">
        <v>830</v>
      </c>
      <c r="K51" s="8" t="n">
        <v>7</v>
      </c>
      <c r="L51" s="8" t="n">
        <v>58</v>
      </c>
      <c r="M51" s="8" t="n">
        <v>4</v>
      </c>
      <c r="N51" s="8" t="n">
        <v>8</v>
      </c>
      <c r="O51" s="8" t="n">
        <v>3</v>
      </c>
      <c r="P51" s="9" t="n">
        <v>6.05271359291444</v>
      </c>
      <c r="Q51" s="10" t="n">
        <v>0.165215152616942</v>
      </c>
      <c r="R51" s="9" t="n">
        <v>8</v>
      </c>
      <c r="S51" s="12" t="n">
        <f aca="false">IF(AND(ISNUMBER(R51),R51&gt;1,P51&gt;0),R51/P51-1,"")</f>
        <v>0.321721220935538</v>
      </c>
      <c r="T51" s="9" t="n">
        <f aca="false">IF(AND(ISNUMBER(P51),P51&gt;0),P51*EXP('Read me'!$B$22),"")</f>
        <v>7.39280107673925</v>
      </c>
    </row>
    <row r="52" customFormat="false" ht="15" hidden="false" customHeight="false" outlineLevel="0" collapsed="false">
      <c r="A52" s="14" t="s">
        <v>236</v>
      </c>
      <c r="B52" s="14" t="s">
        <v>166</v>
      </c>
      <c r="C52" s="14" t="s">
        <v>237</v>
      </c>
      <c r="D52" s="14" t="s">
        <v>463</v>
      </c>
      <c r="E52" s="15" t="n">
        <v>6</v>
      </c>
      <c r="F52" s="14" t="s">
        <v>655</v>
      </c>
      <c r="G52" s="8" t="n">
        <v>11</v>
      </c>
      <c r="H52" s="14" t="s">
        <v>831</v>
      </c>
      <c r="I52" s="14" t="s">
        <v>787</v>
      </c>
      <c r="J52" s="14" t="s">
        <v>810</v>
      </c>
      <c r="K52" s="8" t="n">
        <v>2</v>
      </c>
      <c r="L52" s="8" t="n">
        <v>63</v>
      </c>
      <c r="M52" s="8" t="n">
        <v>3</v>
      </c>
      <c r="N52" s="8" t="n">
        <v>13</v>
      </c>
      <c r="O52" s="8" t="n">
        <v>4</v>
      </c>
      <c r="P52" s="9" t="n">
        <v>7.23165385628945</v>
      </c>
      <c r="Q52" s="10" t="n">
        <v>0.13828095479574</v>
      </c>
      <c r="R52" s="9" t="n">
        <v>7</v>
      </c>
      <c r="S52" s="12" t="n">
        <f aca="false">IF(AND(ISNUMBER(R52),R52&gt;1,P52&gt;0),R52/P52-1,"")</f>
        <v>-0.0320333164298201</v>
      </c>
      <c r="T52" s="9" t="n">
        <f aca="false">IF(AND(ISNUMBER(P52),P52&gt;0),P52*EXP('Read me'!$B$22),"")</f>
        <v>8.83276196613156</v>
      </c>
    </row>
    <row r="53" customFormat="false" ht="15" hidden="false" customHeight="false" outlineLevel="0" collapsed="false">
      <c r="A53" s="14" t="s">
        <v>236</v>
      </c>
      <c r="B53" s="14" t="s">
        <v>166</v>
      </c>
      <c r="C53" s="14" t="s">
        <v>237</v>
      </c>
      <c r="D53" s="14" t="s">
        <v>463</v>
      </c>
      <c r="E53" s="15" t="n">
        <v>6</v>
      </c>
      <c r="F53" s="14" t="s">
        <v>655</v>
      </c>
      <c r="G53" s="8" t="n">
        <v>11</v>
      </c>
      <c r="H53" s="14" t="s">
        <v>832</v>
      </c>
      <c r="I53" s="14" t="s">
        <v>249</v>
      </c>
      <c r="J53" s="14" t="s">
        <v>833</v>
      </c>
      <c r="K53" s="8" t="n">
        <v>6</v>
      </c>
      <c r="L53" s="8" t="n">
        <v>64</v>
      </c>
      <c r="M53" s="8" t="n">
        <v>3</v>
      </c>
      <c r="N53" s="8" t="n">
        <v>26</v>
      </c>
      <c r="O53" s="8" t="n">
        <v>5</v>
      </c>
      <c r="P53" s="9" t="n">
        <v>11.0290548187633</v>
      </c>
      <c r="Q53" s="10" t="n">
        <v>0.090669601015922</v>
      </c>
      <c r="R53" s="9" t="n">
        <v>15</v>
      </c>
      <c r="S53" s="12" t="n">
        <f aca="false">IF(AND(ISNUMBER(R53),R53&gt;1,P53&gt;0),R53/P53-1,"")</f>
        <v>0.360044015238832</v>
      </c>
      <c r="T53" s="9" t="n">
        <f aca="false">IF(AND(ISNUMBER(P53),P53&gt;0),P53*EXP('Read me'!$B$22),"")</f>
        <v>13.4709179755372</v>
      </c>
    </row>
    <row r="54" customFormat="false" ht="15" hidden="false" customHeight="false" outlineLevel="0" collapsed="false">
      <c r="A54" s="14" t="s">
        <v>236</v>
      </c>
      <c r="B54" s="14" t="s">
        <v>166</v>
      </c>
      <c r="C54" s="14" t="s">
        <v>237</v>
      </c>
      <c r="D54" s="14" t="s">
        <v>463</v>
      </c>
      <c r="E54" s="15" t="n">
        <v>6</v>
      </c>
      <c r="F54" s="14" t="s">
        <v>655</v>
      </c>
      <c r="G54" s="8" t="n">
        <v>11</v>
      </c>
      <c r="H54" s="14" t="s">
        <v>834</v>
      </c>
      <c r="I54" s="14" t="s">
        <v>668</v>
      </c>
      <c r="J54" s="14" t="s">
        <v>546</v>
      </c>
      <c r="K54" s="8" t="n">
        <v>3</v>
      </c>
      <c r="L54" s="8" t="n">
        <v>63</v>
      </c>
      <c r="M54" s="8" t="n">
        <v>3</v>
      </c>
      <c r="N54" s="8" t="n">
        <v>21</v>
      </c>
      <c r="O54" s="8" t="n">
        <v>6</v>
      </c>
      <c r="P54" s="9" t="n">
        <v>14.8480159965694</v>
      </c>
      <c r="Q54" s="10" t="n">
        <v>0.0673490653721716</v>
      </c>
      <c r="R54" s="9" t="n">
        <v>15</v>
      </c>
      <c r="S54" s="12" t="n">
        <f aca="false">IF(AND(ISNUMBER(R54),R54&gt;1,P54&gt;0),R54/P54-1,"")</f>
        <v>0.0102359805825745</v>
      </c>
      <c r="T54" s="9" t="n">
        <f aca="false">IF(AND(ISNUMBER(P54),P54&gt;0),P54*EXP('Read me'!$B$22),"")</f>
        <v>18.1354076914161</v>
      </c>
    </row>
    <row r="55" customFormat="false" ht="15" hidden="false" customHeight="false" outlineLevel="0" collapsed="false">
      <c r="A55" s="14" t="s">
        <v>236</v>
      </c>
      <c r="B55" s="14" t="s">
        <v>166</v>
      </c>
      <c r="C55" s="14" t="s">
        <v>237</v>
      </c>
      <c r="D55" s="14" t="s">
        <v>463</v>
      </c>
      <c r="E55" s="15" t="n">
        <v>6</v>
      </c>
      <c r="F55" s="14" t="s">
        <v>655</v>
      </c>
      <c r="G55" s="8" t="n">
        <v>11</v>
      </c>
      <c r="H55" s="14" t="s">
        <v>835</v>
      </c>
      <c r="I55" s="14" t="s">
        <v>836</v>
      </c>
      <c r="J55" s="14" t="s">
        <v>159</v>
      </c>
      <c r="K55" s="8" t="n">
        <v>4</v>
      </c>
      <c r="L55" s="8" t="n">
        <v>62</v>
      </c>
      <c r="M55" s="8" t="n">
        <v>7</v>
      </c>
      <c r="N55" s="8" t="n">
        <v>12</v>
      </c>
      <c r="O55" s="8" t="n">
        <v>7</v>
      </c>
      <c r="P55" s="9" t="n">
        <v>15.2156652046589</v>
      </c>
      <c r="Q55" s="10" t="n">
        <v>0.0657217404924112</v>
      </c>
      <c r="R55" s="9" t="n">
        <v>17</v>
      </c>
      <c r="S55" s="12" t="n">
        <f aca="false">IF(AND(ISNUMBER(R55),R55&gt;1,P55&gt;0),R55/P55-1,"")</f>
        <v>0.117269588370991</v>
      </c>
      <c r="T55" s="9" t="n">
        <f aca="false">IF(AND(ISNUMBER(P55),P55&gt;0),P55*EXP('Read me'!$B$22),"")</f>
        <v>18.584455448212</v>
      </c>
    </row>
    <row r="56" customFormat="false" ht="15" hidden="false" customHeight="false" outlineLevel="0" collapsed="false">
      <c r="A56" s="14" t="s">
        <v>236</v>
      </c>
      <c r="B56" s="14" t="s">
        <v>166</v>
      </c>
      <c r="C56" s="14" t="s">
        <v>237</v>
      </c>
      <c r="D56" s="14" t="s">
        <v>463</v>
      </c>
      <c r="E56" s="15" t="n">
        <v>6</v>
      </c>
      <c r="F56" s="14" t="s">
        <v>655</v>
      </c>
      <c r="G56" s="8" t="n">
        <v>11</v>
      </c>
      <c r="H56" s="14" t="s">
        <v>837</v>
      </c>
      <c r="I56" s="14" t="s">
        <v>679</v>
      </c>
      <c r="J56" s="14" t="s">
        <v>633</v>
      </c>
      <c r="K56" s="8" t="n">
        <v>12</v>
      </c>
      <c r="L56" s="8" t="n">
        <v>65</v>
      </c>
      <c r="M56" s="8" t="n">
        <v>3</v>
      </c>
      <c r="N56" s="8" t="n">
        <v>32</v>
      </c>
      <c r="O56" s="8" t="n">
        <v>8</v>
      </c>
      <c r="P56" s="9" t="n">
        <v>22.6998386285988</v>
      </c>
      <c r="Q56" s="10" t="n">
        <v>0.0440531766045302</v>
      </c>
      <c r="R56" s="9" t="n">
        <v>34</v>
      </c>
      <c r="S56" s="12" t="n">
        <f aca="false">IF(AND(ISNUMBER(R56),R56&gt;1,P56&gt;0),R56/P56-1,"")</f>
        <v>0.497808004554029</v>
      </c>
      <c r="T56" s="9" t="n">
        <f aca="false">IF(AND(ISNUMBER(P56),P56&gt;0),P56*EXP('Read me'!$B$22),"")</f>
        <v>27.7256455107613</v>
      </c>
    </row>
    <row r="57" customFormat="false" ht="15" hidden="false" customHeight="false" outlineLevel="0" collapsed="false">
      <c r="A57" s="14" t="s">
        <v>236</v>
      </c>
      <c r="B57" s="14" t="s">
        <v>166</v>
      </c>
      <c r="C57" s="14" t="s">
        <v>237</v>
      </c>
      <c r="D57" s="14" t="s">
        <v>463</v>
      </c>
      <c r="E57" s="15" t="n">
        <v>6</v>
      </c>
      <c r="F57" s="14" t="s">
        <v>655</v>
      </c>
      <c r="G57" s="8" t="n">
        <v>11</v>
      </c>
      <c r="H57" s="14" t="s">
        <v>838</v>
      </c>
      <c r="I57" s="14" t="s">
        <v>663</v>
      </c>
      <c r="J57" s="14" t="s">
        <v>839</v>
      </c>
      <c r="K57" s="8" t="n">
        <v>1</v>
      </c>
      <c r="L57" s="8" t="n">
        <v>46</v>
      </c>
      <c r="M57" s="8" t="n">
        <v>3</v>
      </c>
      <c r="N57" s="8" t="n">
        <v>43</v>
      </c>
      <c r="O57" s="8" t="n">
        <v>9</v>
      </c>
      <c r="P57" s="9" t="n">
        <v>94.0324968255174</v>
      </c>
      <c r="Q57" s="10" t="n">
        <v>0.0106346213677124</v>
      </c>
      <c r="R57" s="9" t="n">
        <v>23</v>
      </c>
      <c r="S57" s="12" t="n">
        <f aca="false">IF(AND(ISNUMBER(R57),R57&gt;1,P57&gt;0),R57/P57-1,"")</f>
        <v>-0.755403708542614</v>
      </c>
      <c r="T57" s="9" t="n">
        <f aca="false">IF(AND(ISNUMBER(P57),P57&gt;0),P57*EXP('Read me'!$B$22),"")</f>
        <v>114.851550979374</v>
      </c>
    </row>
    <row r="58" customFormat="false" ht="15" hidden="false" customHeight="false" outlineLevel="0" collapsed="false">
      <c r="A58" s="14" t="s">
        <v>236</v>
      </c>
      <c r="B58" s="14" t="s">
        <v>166</v>
      </c>
      <c r="C58" s="14" t="s">
        <v>237</v>
      </c>
      <c r="D58" s="14" t="s">
        <v>463</v>
      </c>
      <c r="E58" s="15" t="n">
        <v>6</v>
      </c>
      <c r="F58" s="14" t="s">
        <v>655</v>
      </c>
      <c r="G58" s="8" t="n">
        <v>11</v>
      </c>
      <c r="H58" s="14" t="s">
        <v>840</v>
      </c>
      <c r="I58" s="14" t="s">
        <v>841</v>
      </c>
      <c r="J58" s="14" t="s">
        <v>602</v>
      </c>
      <c r="K58" s="8" t="n">
        <v>9</v>
      </c>
      <c r="L58" s="8" t="n">
        <v>52</v>
      </c>
      <c r="M58" s="8" t="n">
        <v>3</v>
      </c>
      <c r="N58" s="8" t="n">
        <v>7</v>
      </c>
      <c r="O58" s="8" t="n">
        <v>10</v>
      </c>
      <c r="P58" s="9" t="n">
        <v>133.45546072116</v>
      </c>
      <c r="Q58" s="10" t="n">
        <v>0.0074931366209838</v>
      </c>
      <c r="R58" s="9" t="n">
        <v>126</v>
      </c>
      <c r="S58" s="12" t="n">
        <f aca="false">IF(AND(ISNUMBER(R58),R58&gt;1,P58&gt;0),R58/P58-1,"")</f>
        <v>-0.0558647857560337</v>
      </c>
      <c r="T58" s="9" t="n">
        <f aca="false">IF(AND(ISNUMBER(P58),P58&gt;0),P58*EXP('Read me'!$B$22),"")</f>
        <v>163.002867816362</v>
      </c>
    </row>
    <row r="59" customFormat="false" ht="15" hidden="false" customHeight="false" outlineLevel="0" collapsed="false">
      <c r="A59" s="14" t="s">
        <v>236</v>
      </c>
      <c r="B59" s="14" t="s">
        <v>166</v>
      </c>
      <c r="C59" s="14" t="s">
        <v>237</v>
      </c>
      <c r="D59" s="14" t="s">
        <v>463</v>
      </c>
      <c r="E59" s="15" t="n">
        <v>6</v>
      </c>
      <c r="F59" s="14" t="s">
        <v>655</v>
      </c>
      <c r="G59" s="8" t="n">
        <v>11</v>
      </c>
      <c r="H59" s="14" t="s">
        <v>842</v>
      </c>
      <c r="I59" s="14" t="s">
        <v>228</v>
      </c>
      <c r="J59" s="14" t="s">
        <v>843</v>
      </c>
      <c r="K59" s="8" t="n">
        <v>11</v>
      </c>
      <c r="L59" s="8" t="n">
        <v>47</v>
      </c>
      <c r="M59" s="8" t="n">
        <v>7</v>
      </c>
      <c r="N59" s="8" t="n">
        <v>31</v>
      </c>
      <c r="O59" s="8" t="n">
        <v>11</v>
      </c>
      <c r="P59" s="9" t="n">
        <v>563.493206391804</v>
      </c>
      <c r="Q59" s="10" t="n">
        <v>0.0017746442879112</v>
      </c>
      <c r="R59" s="9" t="n">
        <v>81</v>
      </c>
      <c r="S59" s="12" t="n">
        <f aca="false">IF(AND(ISNUMBER(R59),R59&gt;1,P59&gt;0),R59/P59-1,"")</f>
        <v>-0.85625381267919</v>
      </c>
      <c r="T59" s="9" t="n">
        <f aca="false">IF(AND(ISNUMBER(P59),P59&gt;0),P59*EXP('Read me'!$B$22),"")</f>
        <v>688.252156491468</v>
      </c>
    </row>
    <row r="60" customFormat="false" ht="15" hidden="false" customHeight="false" outlineLevel="0" collapsed="false">
      <c r="A60" s="14" t="s">
        <v>241</v>
      </c>
      <c r="B60" s="14" t="s">
        <v>166</v>
      </c>
      <c r="C60" s="14" t="s">
        <v>242</v>
      </c>
      <c r="D60" s="14" t="s">
        <v>463</v>
      </c>
      <c r="E60" s="15" t="n">
        <v>16.5</v>
      </c>
      <c r="F60" s="14" t="s">
        <v>655</v>
      </c>
      <c r="G60" s="8" t="n">
        <v>11</v>
      </c>
      <c r="H60" s="14" t="s">
        <v>243</v>
      </c>
      <c r="I60" s="14" t="s">
        <v>196</v>
      </c>
      <c r="J60" s="14" t="s">
        <v>244</v>
      </c>
      <c r="K60" s="8" t="n">
        <v>4</v>
      </c>
      <c r="L60" s="8" t="n">
        <v>49</v>
      </c>
      <c r="M60" s="8" t="n">
        <v>3</v>
      </c>
      <c r="N60" s="8" t="n">
        <v>8</v>
      </c>
      <c r="O60" s="8" t="n">
        <v>1</v>
      </c>
      <c r="P60" s="9" t="n">
        <v>2.64139409550695</v>
      </c>
      <c r="Q60" s="10" t="n">
        <v>0.378587959176942</v>
      </c>
      <c r="R60" s="9" t="n">
        <v>2.25</v>
      </c>
      <c r="S60" s="12" t="n">
        <f aca="false">IF(AND(ISNUMBER(R60),R60&gt;1,P60&gt;0),R60/P60-1,"")</f>
        <v>-0.148177091851882</v>
      </c>
      <c r="T60" s="9" t="n">
        <f aca="false">IF(AND(ISNUMBER(P60),P60&gt;0),P60*EXP('Read me'!$B$22),"")</f>
        <v>3.22620603364018</v>
      </c>
    </row>
    <row r="61" customFormat="false" ht="15" hidden="false" customHeight="false" outlineLevel="0" collapsed="false">
      <c r="A61" s="14" t="s">
        <v>241</v>
      </c>
      <c r="B61" s="14" t="s">
        <v>166</v>
      </c>
      <c r="C61" s="14" t="s">
        <v>242</v>
      </c>
      <c r="D61" s="14" t="s">
        <v>463</v>
      </c>
      <c r="E61" s="15" t="n">
        <v>16.5</v>
      </c>
      <c r="F61" s="14" t="s">
        <v>655</v>
      </c>
      <c r="G61" s="8" t="n">
        <v>11</v>
      </c>
      <c r="H61" s="14" t="s">
        <v>245</v>
      </c>
      <c r="I61" s="14" t="s">
        <v>787</v>
      </c>
      <c r="J61" s="14" t="s">
        <v>159</v>
      </c>
      <c r="K61" s="8" t="n">
        <v>11</v>
      </c>
      <c r="L61" s="8" t="n">
        <v>46</v>
      </c>
      <c r="M61" s="8" t="n">
        <v>4</v>
      </c>
      <c r="N61" s="8" t="n">
        <v>14</v>
      </c>
      <c r="O61" s="8" t="n">
        <v>2</v>
      </c>
      <c r="P61" s="9" t="n">
        <v>3.82011220033712</v>
      </c>
      <c r="Q61" s="10" t="n">
        <v>0.261772415980806</v>
      </c>
      <c r="R61" s="9" t="n">
        <v>3.75</v>
      </c>
      <c r="S61" s="12" t="n">
        <f aca="false">IF(AND(ISNUMBER(R61),R61&gt;1,P61&gt;0),R61/P61-1,"")</f>
        <v>-0.0183534400719777</v>
      </c>
      <c r="T61" s="9" t="n">
        <f aca="false">IF(AND(ISNUMBER(P61),P61&gt;0),P61*EXP('Read me'!$B$22),"")</f>
        <v>4.66589557797307</v>
      </c>
    </row>
    <row r="62" customFormat="false" ht="15" hidden="false" customHeight="false" outlineLevel="0" collapsed="false">
      <c r="A62" s="14" t="s">
        <v>241</v>
      </c>
      <c r="B62" s="14" t="s">
        <v>166</v>
      </c>
      <c r="C62" s="14" t="s">
        <v>242</v>
      </c>
      <c r="D62" s="14" t="s">
        <v>463</v>
      </c>
      <c r="E62" s="15" t="n">
        <v>16.5</v>
      </c>
      <c r="F62" s="14" t="s">
        <v>655</v>
      </c>
      <c r="G62" s="8" t="n">
        <v>11</v>
      </c>
      <c r="H62" s="14" t="s">
        <v>844</v>
      </c>
      <c r="I62" s="14" t="s">
        <v>668</v>
      </c>
      <c r="J62" s="14" t="s">
        <v>741</v>
      </c>
      <c r="K62" s="8" t="n">
        <v>2</v>
      </c>
      <c r="L62" s="8" t="n">
        <v>55</v>
      </c>
      <c r="M62" s="8" t="n">
        <v>10</v>
      </c>
      <c r="N62" s="8" t="n">
        <v>11</v>
      </c>
      <c r="O62" s="8" t="n">
        <v>3</v>
      </c>
      <c r="P62" s="9" t="n">
        <v>10.4362545252044</v>
      </c>
      <c r="Q62" s="10" t="n">
        <v>0.0958198171178098</v>
      </c>
      <c r="R62" s="9" t="n">
        <v>7</v>
      </c>
      <c r="S62" s="12" t="n">
        <f aca="false">IF(AND(ISNUMBER(R62),R62&gt;1,P62&gt;0),R62/P62-1,"")</f>
        <v>-0.32926128017533</v>
      </c>
      <c r="T62" s="9" t="n">
        <f aca="false">IF(AND(ISNUMBER(P62),P62&gt;0),P62*EXP('Read me'!$B$22),"")</f>
        <v>12.7468700619462</v>
      </c>
    </row>
    <row r="63" customFormat="false" ht="15" hidden="false" customHeight="false" outlineLevel="0" collapsed="false">
      <c r="A63" s="14" t="s">
        <v>241</v>
      </c>
      <c r="B63" s="14" t="s">
        <v>166</v>
      </c>
      <c r="C63" s="14" t="s">
        <v>242</v>
      </c>
      <c r="D63" s="14" t="s">
        <v>463</v>
      </c>
      <c r="E63" s="15" t="n">
        <v>16.5</v>
      </c>
      <c r="F63" s="14" t="s">
        <v>655</v>
      </c>
      <c r="G63" s="8" t="n">
        <v>11</v>
      </c>
      <c r="H63" s="14" t="s">
        <v>845</v>
      </c>
      <c r="I63" s="14" t="s">
        <v>681</v>
      </c>
      <c r="J63" s="14" t="s">
        <v>218</v>
      </c>
      <c r="K63" s="8" t="n">
        <v>6</v>
      </c>
      <c r="L63" s="8" t="n">
        <v>46</v>
      </c>
      <c r="M63" s="8" t="n">
        <v>3</v>
      </c>
      <c r="N63" s="8" t="n">
        <v>24</v>
      </c>
      <c r="O63" s="8" t="n">
        <v>4</v>
      </c>
      <c r="P63" s="9" t="n">
        <v>11.378273939324</v>
      </c>
      <c r="Q63" s="10" t="n">
        <v>0.0878867924372902</v>
      </c>
      <c r="R63" s="9" t="n">
        <v>6.5</v>
      </c>
      <c r="S63" s="12" t="n">
        <f aca="false">IF(AND(ISNUMBER(R63),R63&gt;1,P63&gt;0),R63/P63-1,"")</f>
        <v>-0.428735849157614</v>
      </c>
      <c r="T63" s="9" t="n">
        <f aca="false">IF(AND(ISNUMBER(P63),P63&gt;0),P63*EXP('Read me'!$B$22),"")</f>
        <v>13.8974551725924</v>
      </c>
    </row>
    <row r="64" customFormat="false" ht="15" hidden="false" customHeight="false" outlineLevel="0" collapsed="false">
      <c r="A64" s="14" t="s">
        <v>241</v>
      </c>
      <c r="B64" s="14" t="s">
        <v>166</v>
      </c>
      <c r="C64" s="14" t="s">
        <v>242</v>
      </c>
      <c r="D64" s="14" t="s">
        <v>463</v>
      </c>
      <c r="E64" s="15" t="n">
        <v>16.5</v>
      </c>
      <c r="F64" s="14" t="s">
        <v>655</v>
      </c>
      <c r="G64" s="8" t="n">
        <v>11</v>
      </c>
      <c r="H64" s="14" t="s">
        <v>846</v>
      </c>
      <c r="I64" s="14" t="s">
        <v>847</v>
      </c>
      <c r="J64" s="14" t="s">
        <v>848</v>
      </c>
      <c r="K64" s="8" t="n">
        <v>1</v>
      </c>
      <c r="L64" s="8" t="n">
        <v>50</v>
      </c>
      <c r="M64" s="8" t="n">
        <v>3</v>
      </c>
      <c r="N64" s="8" t="n">
        <v>14</v>
      </c>
      <c r="O64" s="8" t="n">
        <v>5</v>
      </c>
      <c r="P64" s="9" t="n">
        <v>15.3753084535973</v>
      </c>
      <c r="Q64" s="10" t="n">
        <v>0.0650393455856839</v>
      </c>
      <c r="R64" s="9" t="n">
        <v>19</v>
      </c>
      <c r="S64" s="12" t="n">
        <f aca="false">IF(AND(ISNUMBER(R64),R64&gt;1,P64&gt;0),R64/P64-1,"")</f>
        <v>0.235747566127996</v>
      </c>
      <c r="T64" s="9" t="n">
        <f aca="false">IF(AND(ISNUMBER(P64),P64&gt;0),P64*EXP('Read me'!$B$22),"")</f>
        <v>18.7794441527871</v>
      </c>
    </row>
    <row r="65" customFormat="false" ht="15" hidden="false" customHeight="false" outlineLevel="0" collapsed="false">
      <c r="A65" s="14" t="s">
        <v>241</v>
      </c>
      <c r="B65" s="14" t="s">
        <v>166</v>
      </c>
      <c r="C65" s="14" t="s">
        <v>242</v>
      </c>
      <c r="D65" s="14" t="s">
        <v>463</v>
      </c>
      <c r="E65" s="15" t="n">
        <v>16.5</v>
      </c>
      <c r="F65" s="14" t="s">
        <v>655</v>
      </c>
      <c r="G65" s="8" t="n">
        <v>11</v>
      </c>
      <c r="H65" s="14" t="s">
        <v>849</v>
      </c>
      <c r="I65" s="14" t="s">
        <v>676</v>
      </c>
      <c r="J65" s="14" t="s">
        <v>677</v>
      </c>
      <c r="K65" s="8" t="n">
        <v>8</v>
      </c>
      <c r="L65" s="8" t="n">
        <v>46</v>
      </c>
      <c r="M65" s="8" t="n">
        <v>6</v>
      </c>
      <c r="N65" s="8" t="n">
        <v>171</v>
      </c>
      <c r="O65" s="8" t="n">
        <v>6</v>
      </c>
      <c r="P65" s="9" t="n">
        <v>22.5907786737704</v>
      </c>
      <c r="Q65" s="10" t="n">
        <v>0.0442658491077634</v>
      </c>
      <c r="R65" s="9" t="n">
        <v>29</v>
      </c>
      <c r="S65" s="12" t="n">
        <f aca="false">IF(AND(ISNUMBER(R65),R65&gt;1,P65&gt;0),R65/P65-1,"")</f>
        <v>0.283709624125139</v>
      </c>
      <c r="T65" s="9" t="n">
        <f aca="false">IF(AND(ISNUMBER(P65),P65&gt;0),P65*EXP('Read me'!$B$22),"")</f>
        <v>27.5924393811291</v>
      </c>
    </row>
    <row r="66" customFormat="false" ht="15" hidden="false" customHeight="false" outlineLevel="0" collapsed="false">
      <c r="A66" s="14" t="s">
        <v>241</v>
      </c>
      <c r="B66" s="14" t="s">
        <v>166</v>
      </c>
      <c r="C66" s="14" t="s">
        <v>242</v>
      </c>
      <c r="D66" s="14" t="s">
        <v>463</v>
      </c>
      <c r="E66" s="15" t="n">
        <v>16.5</v>
      </c>
      <c r="F66" s="14" t="s">
        <v>655</v>
      </c>
      <c r="G66" s="8" t="n">
        <v>11</v>
      </c>
      <c r="H66" s="14" t="s">
        <v>850</v>
      </c>
      <c r="I66" s="14" t="s">
        <v>228</v>
      </c>
      <c r="J66" s="14" t="s">
        <v>851</v>
      </c>
      <c r="K66" s="8" t="n">
        <v>7</v>
      </c>
      <c r="L66" s="8" t="n">
        <v>50</v>
      </c>
      <c r="M66" s="8" t="n">
        <v>8</v>
      </c>
      <c r="N66" s="8" t="n">
        <v>55</v>
      </c>
      <c r="O66" s="8" t="n">
        <v>7</v>
      </c>
      <c r="P66" s="9" t="n">
        <v>39.5200381891184</v>
      </c>
      <c r="Q66" s="10" t="n">
        <v>0.0253036192732056</v>
      </c>
      <c r="R66" s="9" t="n">
        <v>34</v>
      </c>
      <c r="S66" s="12" t="n">
        <f aca="false">IF(AND(ISNUMBER(R66),R66&gt;1,P66&gt;0),R66/P66-1,"")</f>
        <v>-0.139676944711008</v>
      </c>
      <c r="T66" s="9" t="n">
        <f aca="false">IF(AND(ISNUMBER(P66),P66&gt;0),P66*EXP('Read me'!$B$22),"")</f>
        <v>48.2698836467845</v>
      </c>
    </row>
    <row r="67" customFormat="false" ht="15" hidden="false" customHeight="false" outlineLevel="0" collapsed="false">
      <c r="A67" s="14" t="s">
        <v>241</v>
      </c>
      <c r="B67" s="14" t="s">
        <v>166</v>
      </c>
      <c r="C67" s="14" t="s">
        <v>242</v>
      </c>
      <c r="D67" s="14" t="s">
        <v>463</v>
      </c>
      <c r="E67" s="15" t="n">
        <v>16.5</v>
      </c>
      <c r="F67" s="14" t="s">
        <v>655</v>
      </c>
      <c r="G67" s="8" t="n">
        <v>11</v>
      </c>
      <c r="H67" s="14" t="s">
        <v>852</v>
      </c>
      <c r="I67" s="14" t="s">
        <v>658</v>
      </c>
      <c r="J67" s="14" t="s">
        <v>830</v>
      </c>
      <c r="K67" s="8" t="n">
        <v>5</v>
      </c>
      <c r="L67" s="8" t="n">
        <v>46</v>
      </c>
      <c r="M67" s="8" t="n">
        <v>9</v>
      </c>
      <c r="N67" s="8" t="n">
        <v>18</v>
      </c>
      <c r="O67" s="8" t="n">
        <v>8</v>
      </c>
      <c r="P67" s="9" t="n">
        <v>52.4260395794653</v>
      </c>
      <c r="Q67" s="10" t="n">
        <v>0.019074490616142</v>
      </c>
      <c r="R67" s="9" t="n">
        <v>21</v>
      </c>
      <c r="S67" s="12" t="n">
        <f aca="false">IF(AND(ISNUMBER(R67),R67&gt;1,P67&gt;0),R67/P67-1,"")</f>
        <v>-0.599435697061018</v>
      </c>
      <c r="T67" s="9" t="n">
        <f aca="false">IF(AND(ISNUMBER(P67),P67&gt;0),P67*EXP('Read me'!$B$22),"")</f>
        <v>64.0333093417732</v>
      </c>
    </row>
    <row r="68" customFormat="false" ht="15" hidden="false" customHeight="false" outlineLevel="0" collapsed="false">
      <c r="A68" s="14" t="s">
        <v>241</v>
      </c>
      <c r="B68" s="14" t="s">
        <v>166</v>
      </c>
      <c r="C68" s="14" t="s">
        <v>242</v>
      </c>
      <c r="D68" s="14" t="s">
        <v>463</v>
      </c>
      <c r="E68" s="15" t="n">
        <v>16.5</v>
      </c>
      <c r="F68" s="14" t="s">
        <v>655</v>
      </c>
      <c r="G68" s="8" t="n">
        <v>11</v>
      </c>
      <c r="H68" s="14" t="s">
        <v>853</v>
      </c>
      <c r="I68" s="14" t="s">
        <v>679</v>
      </c>
      <c r="J68" s="14" t="s">
        <v>328</v>
      </c>
      <c r="K68" s="8" t="n">
        <v>9</v>
      </c>
      <c r="L68" s="8" t="n">
        <v>48</v>
      </c>
      <c r="M68" s="8" t="n">
        <v>3</v>
      </c>
      <c r="N68" s="8" t="n">
        <v>17</v>
      </c>
      <c r="O68" s="8" t="n">
        <v>9</v>
      </c>
      <c r="P68" s="9" t="n">
        <v>104.912712400695</v>
      </c>
      <c r="Q68" s="10" t="n">
        <v>0.0095317333535395</v>
      </c>
      <c r="R68" s="9" t="n">
        <v>51</v>
      </c>
      <c r="S68" s="12" t="n">
        <f aca="false">IF(AND(ISNUMBER(R68),R68&gt;1,P68&gt;0),R68/P68-1,"")</f>
        <v>-0.513881598969485</v>
      </c>
      <c r="T68" s="9" t="n">
        <f aca="false">IF(AND(ISNUMBER(P68),P68&gt;0),P68*EXP('Read me'!$B$22),"")</f>
        <v>128.140676292273</v>
      </c>
    </row>
    <row r="69" customFormat="false" ht="15" hidden="false" customHeight="false" outlineLevel="0" collapsed="false">
      <c r="A69" s="14" t="s">
        <v>241</v>
      </c>
      <c r="B69" s="14" t="s">
        <v>166</v>
      </c>
      <c r="C69" s="14" t="s">
        <v>242</v>
      </c>
      <c r="D69" s="14" t="s">
        <v>463</v>
      </c>
      <c r="E69" s="15" t="n">
        <v>16.5</v>
      </c>
      <c r="F69" s="14" t="s">
        <v>655</v>
      </c>
      <c r="G69" s="8" t="n">
        <v>11</v>
      </c>
      <c r="H69" s="14" t="s">
        <v>854</v>
      </c>
      <c r="I69" s="14" t="s">
        <v>855</v>
      </c>
      <c r="J69" s="14" t="s">
        <v>856</v>
      </c>
      <c r="K69" s="8" t="n">
        <v>10</v>
      </c>
      <c r="L69" s="8" t="n">
        <v>48</v>
      </c>
      <c r="M69" s="8" t="n">
        <v>8</v>
      </c>
      <c r="N69" s="8" t="n">
        <v>1629</v>
      </c>
      <c r="O69" s="8" t="n">
        <v>10</v>
      </c>
      <c r="P69" s="9" t="n">
        <v>109.211586292363</v>
      </c>
      <c r="Q69" s="10" t="n">
        <v>0.0091565376344132</v>
      </c>
      <c r="R69" s="9" t="n">
        <v>21</v>
      </c>
      <c r="S69" s="12" t="n">
        <f aca="false">IF(AND(ISNUMBER(R69),R69&gt;1,P69&gt;0),R69/P69-1,"")</f>
        <v>-0.807712709677321</v>
      </c>
      <c r="T69" s="9" t="n">
        <f aca="false">IF(AND(ISNUMBER(P69),P69&gt;0),P69*EXP('Read me'!$B$22),"")</f>
        <v>133.39133272054</v>
      </c>
    </row>
    <row r="70" customFormat="false" ht="15" hidden="false" customHeight="false" outlineLevel="0" collapsed="false">
      <c r="A70" s="14" t="s">
        <v>241</v>
      </c>
      <c r="B70" s="14" t="s">
        <v>166</v>
      </c>
      <c r="C70" s="14" t="s">
        <v>242</v>
      </c>
      <c r="D70" s="14" t="s">
        <v>463</v>
      </c>
      <c r="E70" s="15" t="n">
        <v>16.5</v>
      </c>
      <c r="F70" s="14" t="s">
        <v>655</v>
      </c>
      <c r="G70" s="8" t="n">
        <v>11</v>
      </c>
      <c r="H70" s="14" t="s">
        <v>857</v>
      </c>
      <c r="I70" s="14" t="s">
        <v>663</v>
      </c>
      <c r="J70" s="14" t="s">
        <v>858</v>
      </c>
      <c r="K70" s="8" t="n">
        <v>3</v>
      </c>
      <c r="L70" s="8" t="n">
        <v>46</v>
      </c>
      <c r="M70" s="8" t="n">
        <v>8</v>
      </c>
      <c r="N70" s="8" t="n">
        <v>70</v>
      </c>
      <c r="O70" s="8" t="n">
        <v>11</v>
      </c>
      <c r="P70" s="9" t="n">
        <v>280.78532268673</v>
      </c>
      <c r="Q70" s="10" t="n">
        <v>0.0035614397164045</v>
      </c>
      <c r="R70" s="9" t="n">
        <v>151</v>
      </c>
      <c r="S70" s="12" t="n">
        <f aca="false">IF(AND(ISNUMBER(R70),R70&gt;1,P70&gt;0),R70/P70-1,"")</f>
        <v>-0.462222602822906</v>
      </c>
      <c r="T70" s="9" t="n">
        <f aca="false">IF(AND(ISNUMBER(P70),P70&gt;0),P70*EXP('Read me'!$B$22),"")</f>
        <v>342.951967580465</v>
      </c>
    </row>
    <row r="71" customFormat="false" ht="15" hidden="false" customHeight="false" outlineLevel="0" collapsed="false">
      <c r="A71" s="14" t="s">
        <v>246</v>
      </c>
      <c r="B71" s="14" t="s">
        <v>166</v>
      </c>
      <c r="C71" s="14" t="s">
        <v>247</v>
      </c>
      <c r="D71" s="14" t="s">
        <v>463</v>
      </c>
      <c r="E71" s="15" t="n">
        <v>8.5</v>
      </c>
      <c r="F71" s="14" t="s">
        <v>655</v>
      </c>
      <c r="G71" s="8" t="n">
        <v>8</v>
      </c>
      <c r="H71" s="14" t="s">
        <v>248</v>
      </c>
      <c r="I71" s="14" t="s">
        <v>249</v>
      </c>
      <c r="J71" s="14" t="s">
        <v>79</v>
      </c>
      <c r="K71" s="8" t="n">
        <v>1</v>
      </c>
      <c r="L71" s="8" t="n">
        <v>51</v>
      </c>
      <c r="M71" s="8" t="n">
        <v>4</v>
      </c>
      <c r="N71" s="8" t="n">
        <v>16</v>
      </c>
      <c r="O71" s="8" t="n">
        <v>1</v>
      </c>
      <c r="P71" s="9" t="n">
        <v>2.70428837250585</v>
      </c>
      <c r="Q71" s="10" t="n">
        <v>0.369783049088578</v>
      </c>
      <c r="R71" s="9" t="n">
        <v>3.25</v>
      </c>
      <c r="S71" s="12" t="n">
        <f aca="false">IF(AND(ISNUMBER(R71),R71&gt;1,P71&gt;0),R71/P71-1,"")</f>
        <v>0.201794909537878</v>
      </c>
      <c r="T71" s="9" t="n">
        <f aca="false">IF(AND(ISNUMBER(P71),P71&gt;0),P71*EXP('Read me'!$B$22),"")</f>
        <v>3.30302527703912</v>
      </c>
    </row>
    <row r="72" customFormat="false" ht="15" hidden="false" customHeight="false" outlineLevel="0" collapsed="false">
      <c r="A72" s="14" t="s">
        <v>246</v>
      </c>
      <c r="B72" s="14" t="s">
        <v>166</v>
      </c>
      <c r="C72" s="14" t="s">
        <v>247</v>
      </c>
      <c r="D72" s="14" t="s">
        <v>463</v>
      </c>
      <c r="E72" s="15" t="n">
        <v>8.5</v>
      </c>
      <c r="F72" s="14" t="s">
        <v>655</v>
      </c>
      <c r="G72" s="8" t="n">
        <v>8</v>
      </c>
      <c r="H72" s="14" t="s">
        <v>250</v>
      </c>
      <c r="I72" s="14" t="s">
        <v>679</v>
      </c>
      <c r="J72" s="14" t="s">
        <v>328</v>
      </c>
      <c r="K72" s="8" t="n">
        <v>8</v>
      </c>
      <c r="L72" s="8" t="n">
        <v>57</v>
      </c>
      <c r="M72" s="8" t="n">
        <v>8</v>
      </c>
      <c r="N72" s="8" t="n">
        <v>8</v>
      </c>
      <c r="O72" s="8" t="n">
        <v>2</v>
      </c>
      <c r="P72" s="9" t="n">
        <v>6.03955597576754</v>
      </c>
      <c r="Q72" s="10" t="n">
        <v>0.165575085985177</v>
      </c>
      <c r="R72" s="9" t="n">
        <v>3.5</v>
      </c>
      <c r="S72" s="12" t="n">
        <f aca="false">IF(AND(ISNUMBER(R72),R72&gt;1,P72&gt;0),R72/P72-1,"")</f>
        <v>-0.420487199051881</v>
      </c>
      <c r="T72" s="9" t="n">
        <f aca="false">IF(AND(ISNUMBER(P72),P72&gt;0),P72*EXP('Read me'!$B$22),"")</f>
        <v>7.37673032686521</v>
      </c>
    </row>
    <row r="73" customFormat="false" ht="15" hidden="false" customHeight="false" outlineLevel="0" collapsed="false">
      <c r="A73" s="14" t="s">
        <v>246</v>
      </c>
      <c r="B73" s="14" t="s">
        <v>166</v>
      </c>
      <c r="C73" s="14" t="s">
        <v>247</v>
      </c>
      <c r="D73" s="14" t="s">
        <v>463</v>
      </c>
      <c r="E73" s="15" t="n">
        <v>8.5</v>
      </c>
      <c r="F73" s="14" t="s">
        <v>655</v>
      </c>
      <c r="G73" s="8" t="n">
        <v>8</v>
      </c>
      <c r="H73" s="14" t="s">
        <v>859</v>
      </c>
      <c r="I73" s="14" t="s">
        <v>196</v>
      </c>
      <c r="J73" s="14" t="s">
        <v>674</v>
      </c>
      <c r="K73" s="8" t="n">
        <v>5</v>
      </c>
      <c r="L73" s="8" t="n">
        <v>53</v>
      </c>
      <c r="M73" s="8" t="n">
        <v>5</v>
      </c>
      <c r="N73" s="8" t="n">
        <v>15</v>
      </c>
      <c r="O73" s="8" t="n">
        <v>3</v>
      </c>
      <c r="P73" s="9" t="n">
        <v>7.30961782687861</v>
      </c>
      <c r="Q73" s="10" t="n">
        <v>0.136806057947769</v>
      </c>
      <c r="R73" s="9" t="n">
        <v>6</v>
      </c>
      <c r="S73" s="12" t="n">
        <f aca="false">IF(AND(ISNUMBER(R73),R73&gt;1,P73&gt;0),R73/P73-1,"")</f>
        <v>-0.179163652313386</v>
      </c>
      <c r="T73" s="9" t="n">
        <f aca="false">IF(AND(ISNUMBER(P73),P73&gt;0),P73*EXP('Read me'!$B$22),"")</f>
        <v>8.92798737484628</v>
      </c>
    </row>
    <row r="74" customFormat="false" ht="15" hidden="false" customHeight="false" outlineLevel="0" collapsed="false">
      <c r="A74" s="14" t="s">
        <v>246</v>
      </c>
      <c r="B74" s="14" t="s">
        <v>166</v>
      </c>
      <c r="C74" s="14" t="s">
        <v>247</v>
      </c>
      <c r="D74" s="14" t="s">
        <v>463</v>
      </c>
      <c r="E74" s="15" t="n">
        <v>8.5</v>
      </c>
      <c r="F74" s="14" t="s">
        <v>655</v>
      </c>
      <c r="G74" s="8" t="n">
        <v>8</v>
      </c>
      <c r="H74" s="14" t="s">
        <v>860</v>
      </c>
      <c r="I74" s="14" t="s">
        <v>676</v>
      </c>
      <c r="J74" s="14" t="s">
        <v>677</v>
      </c>
      <c r="K74" s="8" t="n">
        <v>7</v>
      </c>
      <c r="L74" s="8" t="n">
        <v>50</v>
      </c>
      <c r="M74" s="8" t="n">
        <v>4</v>
      </c>
      <c r="N74" s="8" t="n">
        <v>28</v>
      </c>
      <c r="O74" s="8" t="n">
        <v>4</v>
      </c>
      <c r="P74" s="9" t="n">
        <v>8.82549042209977</v>
      </c>
      <c r="Q74" s="10" t="n">
        <v>0.113308150841784</v>
      </c>
      <c r="R74" s="9" t="n">
        <v>7</v>
      </c>
      <c r="S74" s="12" t="n">
        <f aca="false">IF(AND(ISNUMBER(R74),R74&gt;1,P74&gt;0),R74/P74-1,"")</f>
        <v>-0.206842944107513</v>
      </c>
      <c r="T74" s="9" t="n">
        <f aca="false">IF(AND(ISNUMBER(P74),P74&gt;0),P74*EXP('Read me'!$B$22),"")</f>
        <v>10.7794783436688</v>
      </c>
    </row>
    <row r="75" customFormat="false" ht="15" hidden="false" customHeight="false" outlineLevel="0" collapsed="false">
      <c r="A75" s="14" t="s">
        <v>246</v>
      </c>
      <c r="B75" s="14" t="s">
        <v>166</v>
      </c>
      <c r="C75" s="14" t="s">
        <v>247</v>
      </c>
      <c r="D75" s="14" t="s">
        <v>463</v>
      </c>
      <c r="E75" s="15" t="n">
        <v>8.5</v>
      </c>
      <c r="F75" s="14" t="s">
        <v>655</v>
      </c>
      <c r="G75" s="8" t="n">
        <v>8</v>
      </c>
      <c r="H75" s="14" t="s">
        <v>861</v>
      </c>
      <c r="I75" s="14" t="s">
        <v>239</v>
      </c>
      <c r="J75" s="14" t="s">
        <v>669</v>
      </c>
      <c r="K75" s="8" t="n">
        <v>4</v>
      </c>
      <c r="L75" s="8" t="n">
        <v>49</v>
      </c>
      <c r="M75" s="8" t="n">
        <v>4</v>
      </c>
      <c r="N75" s="8" t="n">
        <v>92</v>
      </c>
      <c r="O75" s="8" t="n">
        <v>5</v>
      </c>
      <c r="P75" s="9" t="n">
        <v>10.114031670389</v>
      </c>
      <c r="Q75" s="10" t="n">
        <v>0.0988725399118249</v>
      </c>
      <c r="R75" s="9" t="n">
        <v>11</v>
      </c>
      <c r="S75" s="12" t="n">
        <f aca="false">IF(AND(ISNUMBER(R75),R75&gt;1,P75&gt;0),R75/P75-1,"")</f>
        <v>0.0875979390300745</v>
      </c>
      <c r="T75" s="9" t="n">
        <f aca="false">IF(AND(ISNUMBER(P75),P75&gt;0),P75*EXP('Read me'!$B$22),"")</f>
        <v>12.3533061783325</v>
      </c>
    </row>
    <row r="76" customFormat="false" ht="15" hidden="false" customHeight="false" outlineLevel="0" collapsed="false">
      <c r="A76" s="14" t="s">
        <v>246</v>
      </c>
      <c r="B76" s="14" t="s">
        <v>166</v>
      </c>
      <c r="C76" s="14" t="s">
        <v>247</v>
      </c>
      <c r="D76" s="14" t="s">
        <v>463</v>
      </c>
      <c r="E76" s="15" t="n">
        <v>8.5</v>
      </c>
      <c r="F76" s="14" t="s">
        <v>655</v>
      </c>
      <c r="G76" s="8" t="n">
        <v>8</v>
      </c>
      <c r="H76" s="14" t="s">
        <v>862</v>
      </c>
      <c r="I76" s="14" t="s">
        <v>668</v>
      </c>
      <c r="J76" s="14" t="s">
        <v>839</v>
      </c>
      <c r="K76" s="8" t="n">
        <v>9</v>
      </c>
      <c r="L76" s="8" t="n">
        <v>53</v>
      </c>
      <c r="M76" s="8" t="n">
        <v>4</v>
      </c>
      <c r="N76" s="8" t="n">
        <v>5</v>
      </c>
      <c r="O76" s="8" t="n">
        <v>6</v>
      </c>
      <c r="P76" s="9" t="n">
        <v>14.6983207619507</v>
      </c>
      <c r="Q76" s="10" t="n">
        <v>0.0680349827844745</v>
      </c>
      <c r="R76" s="9" t="n">
        <v>8</v>
      </c>
      <c r="S76" s="12" t="n">
        <f aca="false">IF(AND(ISNUMBER(R76),R76&gt;1,P76&gt;0),R76/P76-1,"")</f>
        <v>-0.455720137724204</v>
      </c>
      <c r="T76" s="9" t="n">
        <f aca="false">IF(AND(ISNUMBER(P76),P76&gt;0),P76*EXP('Read me'!$B$22),"")</f>
        <v>17.9525695189695</v>
      </c>
    </row>
    <row r="77" customFormat="false" ht="15" hidden="false" customHeight="false" outlineLevel="0" collapsed="false">
      <c r="A77" s="14" t="s">
        <v>246</v>
      </c>
      <c r="B77" s="14" t="s">
        <v>166</v>
      </c>
      <c r="C77" s="14" t="s">
        <v>247</v>
      </c>
      <c r="D77" s="14" t="s">
        <v>463</v>
      </c>
      <c r="E77" s="15" t="n">
        <v>8.5</v>
      </c>
      <c r="F77" s="14" t="s">
        <v>655</v>
      </c>
      <c r="G77" s="8" t="n">
        <v>8</v>
      </c>
      <c r="H77" s="14" t="s">
        <v>863</v>
      </c>
      <c r="I77" s="14" t="s">
        <v>673</v>
      </c>
      <c r="J77" s="14" t="s">
        <v>864</v>
      </c>
      <c r="K77" s="8" t="n">
        <v>6</v>
      </c>
      <c r="L77" s="8" t="n">
        <v>46</v>
      </c>
      <c r="M77" s="8" t="n">
        <v>4</v>
      </c>
      <c r="N77" s="8" t="n">
        <v>17</v>
      </c>
      <c r="O77" s="8" t="n">
        <v>7</v>
      </c>
      <c r="P77" s="9" t="n">
        <v>27.6791143847292</v>
      </c>
      <c r="Q77" s="10" t="n">
        <v>0.0361283235475087</v>
      </c>
      <c r="R77" s="9" t="n">
        <v>29</v>
      </c>
      <c r="S77" s="12" t="n">
        <f aca="false">IF(AND(ISNUMBER(R77),R77&gt;1,P77&gt;0),R77/P77-1,"")</f>
        <v>0.0477213828777532</v>
      </c>
      <c r="T77" s="9" t="n">
        <f aca="false">IF(AND(ISNUMBER(P77),P77&gt;0),P77*EXP('Read me'!$B$22),"")</f>
        <v>33.8073466529391</v>
      </c>
    </row>
    <row r="78" customFormat="false" ht="15" hidden="false" customHeight="false" outlineLevel="0" collapsed="false">
      <c r="A78" s="14" t="s">
        <v>246</v>
      </c>
      <c r="B78" s="14" t="s">
        <v>166</v>
      </c>
      <c r="C78" s="14" t="s">
        <v>247</v>
      </c>
      <c r="D78" s="14" t="s">
        <v>463</v>
      </c>
      <c r="E78" s="15" t="n">
        <v>8.5</v>
      </c>
      <c r="F78" s="14" t="s">
        <v>655</v>
      </c>
      <c r="G78" s="8" t="n">
        <v>8</v>
      </c>
      <c r="H78" s="14" t="s">
        <v>865</v>
      </c>
      <c r="I78" s="14" t="s">
        <v>720</v>
      </c>
      <c r="J78" s="14" t="s">
        <v>866</v>
      </c>
      <c r="K78" s="8" t="n">
        <v>3</v>
      </c>
      <c r="L78" s="8" t="n">
        <v>45</v>
      </c>
      <c r="M78" s="8" t="n">
        <v>4</v>
      </c>
      <c r="N78" s="8" t="n">
        <v>8</v>
      </c>
      <c r="O78" s="8" t="n">
        <v>8</v>
      </c>
      <c r="P78" s="9" t="n">
        <v>87.0184948516446</v>
      </c>
      <c r="Q78" s="10" t="n">
        <v>0.0114918098928839</v>
      </c>
      <c r="R78" s="9" t="n">
        <v>67</v>
      </c>
      <c r="S78" s="12" t="n">
        <f aca="false">IF(AND(ISNUMBER(R78),R78&gt;1,P78&gt;0),R78/P78-1,"")</f>
        <v>-0.230048737176775</v>
      </c>
      <c r="T78" s="9" t="n">
        <f aca="false">IF(AND(ISNUMBER(P78),P78&gt;0),P78*EXP('Read me'!$B$22),"")</f>
        <v>106.284629622745</v>
      </c>
    </row>
    <row r="79" customFormat="false" ht="15" hidden="false" customHeight="false" outlineLevel="0" collapsed="false">
      <c r="A79" s="14" t="s">
        <v>251</v>
      </c>
      <c r="B79" s="14" t="s">
        <v>166</v>
      </c>
      <c r="C79" s="14" t="s">
        <v>252</v>
      </c>
      <c r="D79" s="14" t="s">
        <v>463</v>
      </c>
      <c r="E79" s="15" t="n">
        <v>8.5</v>
      </c>
      <c r="F79" s="14" t="s">
        <v>655</v>
      </c>
      <c r="G79" s="8" t="n">
        <v>8</v>
      </c>
      <c r="H79" s="14" t="s">
        <v>253</v>
      </c>
      <c r="I79" s="14" t="s">
        <v>196</v>
      </c>
      <c r="J79" s="14" t="s">
        <v>149</v>
      </c>
      <c r="K79" s="8" t="n">
        <v>7</v>
      </c>
      <c r="L79" s="8" t="n">
        <v>51</v>
      </c>
      <c r="M79" s="8" t="n">
        <v>5</v>
      </c>
      <c r="N79" s="8" t="n">
        <v>19</v>
      </c>
      <c r="O79" s="8" t="n">
        <v>1</v>
      </c>
      <c r="P79" s="9" t="n">
        <v>2.62477490766668</v>
      </c>
      <c r="Q79" s="10" t="n">
        <v>0.380985050214824</v>
      </c>
      <c r="R79" s="9" t="n">
        <v>3.5</v>
      </c>
      <c r="S79" s="12" t="n">
        <f aca="false">IF(AND(ISNUMBER(R79),R79&gt;1,P79&gt;0),R79/P79-1,"")</f>
        <v>0.333447675751883</v>
      </c>
      <c r="T79" s="9" t="n">
        <f aca="false">IF(AND(ISNUMBER(P79),P79&gt;0),P79*EXP('Read me'!$B$22),"")</f>
        <v>3.20590731177369</v>
      </c>
    </row>
    <row r="80" customFormat="false" ht="15" hidden="false" customHeight="false" outlineLevel="0" collapsed="false">
      <c r="A80" s="14" t="s">
        <v>251</v>
      </c>
      <c r="B80" s="14" t="s">
        <v>166</v>
      </c>
      <c r="C80" s="14" t="s">
        <v>252</v>
      </c>
      <c r="D80" s="14" t="s">
        <v>463</v>
      </c>
      <c r="E80" s="15" t="n">
        <v>8.5</v>
      </c>
      <c r="F80" s="14" t="s">
        <v>655</v>
      </c>
      <c r="G80" s="8" t="n">
        <v>8</v>
      </c>
      <c r="H80" s="14" t="s">
        <v>254</v>
      </c>
      <c r="I80" s="14" t="s">
        <v>663</v>
      </c>
      <c r="J80" s="14" t="s">
        <v>620</v>
      </c>
      <c r="K80" s="8" t="n">
        <v>5</v>
      </c>
      <c r="L80" s="8" t="n">
        <v>51</v>
      </c>
      <c r="M80" s="8" t="n">
        <v>6</v>
      </c>
      <c r="N80" s="8" t="n">
        <v>13</v>
      </c>
      <c r="O80" s="8" t="n">
        <v>2</v>
      </c>
      <c r="P80" s="9" t="n">
        <v>5.03085556856115</v>
      </c>
      <c r="Q80" s="10" t="n">
        <v>0.198773347072257</v>
      </c>
      <c r="R80" s="9" t="n">
        <v>4.5</v>
      </c>
      <c r="S80" s="12" t="n">
        <f aca="false">IF(AND(ISNUMBER(R80),R80&gt;1,P80&gt;0),R80/P80-1,"")</f>
        <v>-0.105519938174845</v>
      </c>
      <c r="T80" s="9" t="n">
        <f aca="false">IF(AND(ISNUMBER(P80),P80&gt;0),P80*EXP('Read me'!$B$22),"")</f>
        <v>6.14470086734604</v>
      </c>
    </row>
    <row r="81" customFormat="false" ht="15" hidden="false" customHeight="false" outlineLevel="0" collapsed="false">
      <c r="A81" s="14" t="s">
        <v>251</v>
      </c>
      <c r="B81" s="14" t="s">
        <v>166</v>
      </c>
      <c r="C81" s="14" t="s">
        <v>252</v>
      </c>
      <c r="D81" s="14" t="s">
        <v>463</v>
      </c>
      <c r="E81" s="15" t="n">
        <v>8.5</v>
      </c>
      <c r="F81" s="14" t="s">
        <v>655</v>
      </c>
      <c r="G81" s="8" t="n">
        <v>8</v>
      </c>
      <c r="H81" s="14" t="s">
        <v>867</v>
      </c>
      <c r="I81" s="14" t="s">
        <v>868</v>
      </c>
      <c r="J81" s="14" t="s">
        <v>548</v>
      </c>
      <c r="K81" s="8" t="n">
        <v>8</v>
      </c>
      <c r="L81" s="8" t="n">
        <v>53</v>
      </c>
      <c r="M81" s="8" t="n">
        <v>4</v>
      </c>
      <c r="N81" s="8" t="n">
        <v>15</v>
      </c>
      <c r="O81" s="8" t="n">
        <v>3</v>
      </c>
      <c r="P81" s="9" t="n">
        <v>6.71636076968005</v>
      </c>
      <c r="Q81" s="10" t="n">
        <v>0.148890155590561</v>
      </c>
      <c r="R81" s="9" t="n">
        <v>7.5</v>
      </c>
      <c r="S81" s="12" t="n">
        <f aca="false">IF(AND(ISNUMBER(R81),R81&gt;1,P81&gt;0),R81/P81-1,"")</f>
        <v>0.116676166929204</v>
      </c>
      <c r="T81" s="9" t="n">
        <f aca="false">IF(AND(ISNUMBER(P81),P81&gt;0),P81*EXP('Read me'!$B$22),"")</f>
        <v>8.20338156888598</v>
      </c>
    </row>
    <row r="82" customFormat="false" ht="15" hidden="false" customHeight="false" outlineLevel="0" collapsed="false">
      <c r="A82" s="14" t="s">
        <v>251</v>
      </c>
      <c r="B82" s="14" t="s">
        <v>166</v>
      </c>
      <c r="C82" s="14" t="s">
        <v>252</v>
      </c>
      <c r="D82" s="14" t="s">
        <v>463</v>
      </c>
      <c r="E82" s="15" t="n">
        <v>8.5</v>
      </c>
      <c r="F82" s="14" t="s">
        <v>655</v>
      </c>
      <c r="G82" s="8" t="n">
        <v>8</v>
      </c>
      <c r="H82" s="14" t="s">
        <v>869</v>
      </c>
      <c r="I82" s="14" t="s">
        <v>679</v>
      </c>
      <c r="J82" s="14" t="s">
        <v>870</v>
      </c>
      <c r="K82" s="8" t="n">
        <v>6</v>
      </c>
      <c r="L82" s="8" t="n">
        <v>46</v>
      </c>
      <c r="M82" s="8" t="n">
        <v>5</v>
      </c>
      <c r="N82" s="8" t="n">
        <v>55</v>
      </c>
      <c r="O82" s="8" t="n">
        <v>4</v>
      </c>
      <c r="P82" s="9" t="n">
        <v>8.84970882978558</v>
      </c>
      <c r="Q82" s="10" t="n">
        <v>0.112998067985501</v>
      </c>
      <c r="R82" s="9" t="n">
        <v>10</v>
      </c>
      <c r="S82" s="12" t="n">
        <f aca="false">IF(AND(ISNUMBER(R82),R82&gt;1,P82&gt;0),R82/P82-1,"")</f>
        <v>0.129980679855011</v>
      </c>
      <c r="T82" s="9" t="n">
        <f aca="false">IF(AND(ISNUMBER(P82),P82&gt;0),P82*EXP('Read me'!$B$22),"")</f>
        <v>10.8090587736145</v>
      </c>
    </row>
    <row r="83" customFormat="false" ht="15" hidden="false" customHeight="false" outlineLevel="0" collapsed="false">
      <c r="A83" s="14" t="s">
        <v>251</v>
      </c>
      <c r="B83" s="14" t="s">
        <v>166</v>
      </c>
      <c r="C83" s="14" t="s">
        <v>252</v>
      </c>
      <c r="D83" s="14" t="s">
        <v>463</v>
      </c>
      <c r="E83" s="15" t="n">
        <v>8.5</v>
      </c>
      <c r="F83" s="14" t="s">
        <v>655</v>
      </c>
      <c r="G83" s="8" t="n">
        <v>8</v>
      </c>
      <c r="H83" s="14" t="s">
        <v>871</v>
      </c>
      <c r="I83" s="14" t="s">
        <v>828</v>
      </c>
      <c r="J83" s="14" t="s">
        <v>872</v>
      </c>
      <c r="K83" s="8" t="n">
        <v>9</v>
      </c>
      <c r="L83" s="8" t="n">
        <v>47</v>
      </c>
      <c r="M83" s="8" t="n">
        <v>6</v>
      </c>
      <c r="N83" s="8" t="n">
        <v>46</v>
      </c>
      <c r="O83" s="8" t="n">
        <v>5</v>
      </c>
      <c r="P83" s="9" t="n">
        <v>10.5885035392454</v>
      </c>
      <c r="Q83" s="10" t="n">
        <v>0.0944420518247538</v>
      </c>
      <c r="R83" s="9" t="n">
        <v>11</v>
      </c>
      <c r="S83" s="12" t="n">
        <f aca="false">IF(AND(ISNUMBER(R83),R83&gt;1,P83&gt;0),R83/P83-1,"")</f>
        <v>0.0388625700722924</v>
      </c>
      <c r="T83" s="9" t="n">
        <f aca="false">IF(AND(ISNUMBER(P83),P83&gt;0),P83*EXP('Read me'!$B$22),"")</f>
        <v>12.932827427623</v>
      </c>
    </row>
    <row r="84" customFormat="false" ht="15" hidden="false" customHeight="false" outlineLevel="0" collapsed="false">
      <c r="A84" s="14" t="s">
        <v>251</v>
      </c>
      <c r="B84" s="14" t="s">
        <v>166</v>
      </c>
      <c r="C84" s="14" t="s">
        <v>252</v>
      </c>
      <c r="D84" s="14" t="s">
        <v>463</v>
      </c>
      <c r="E84" s="15" t="n">
        <v>8.5</v>
      </c>
      <c r="F84" s="14" t="s">
        <v>655</v>
      </c>
      <c r="G84" s="8" t="n">
        <v>8</v>
      </c>
      <c r="H84" s="14" t="s">
        <v>873</v>
      </c>
      <c r="I84" s="14" t="s">
        <v>228</v>
      </c>
      <c r="J84" s="14" t="s">
        <v>866</v>
      </c>
      <c r="K84" s="8" t="n">
        <v>2</v>
      </c>
      <c r="L84" s="8" t="n">
        <v>47</v>
      </c>
      <c r="M84" s="8" t="n">
        <v>8</v>
      </c>
      <c r="N84" s="8" t="n">
        <v>63</v>
      </c>
      <c r="O84" s="8" t="n">
        <v>6</v>
      </c>
      <c r="P84" s="9" t="n">
        <v>25.0897091095269</v>
      </c>
      <c r="Q84" s="10" t="n">
        <v>0.0398569786375198</v>
      </c>
      <c r="R84" s="9" t="n">
        <v>19</v>
      </c>
      <c r="S84" s="12" t="n">
        <f aca="false">IF(AND(ISNUMBER(R84),R84&gt;1,P84&gt;0),R84/P84-1,"")</f>
        <v>-0.242717405887123</v>
      </c>
      <c r="T84" s="9" t="n">
        <f aca="false">IF(AND(ISNUMBER(P84),P84&gt;0),P84*EXP('Read me'!$B$22),"")</f>
        <v>30.6446399078125</v>
      </c>
    </row>
    <row r="85" customFormat="false" ht="15" hidden="false" customHeight="false" outlineLevel="0" collapsed="false">
      <c r="A85" s="14" t="s">
        <v>251</v>
      </c>
      <c r="B85" s="14" t="s">
        <v>166</v>
      </c>
      <c r="C85" s="14" t="s">
        <v>252</v>
      </c>
      <c r="D85" s="14" t="s">
        <v>463</v>
      </c>
      <c r="E85" s="15" t="n">
        <v>8.5</v>
      </c>
      <c r="F85" s="14" t="s">
        <v>655</v>
      </c>
      <c r="G85" s="8" t="n">
        <v>8</v>
      </c>
      <c r="H85" s="14" t="s">
        <v>874</v>
      </c>
      <c r="I85" s="14" t="s">
        <v>855</v>
      </c>
      <c r="J85" s="14" t="s">
        <v>856</v>
      </c>
      <c r="K85" s="8" t="n">
        <v>3</v>
      </c>
      <c r="L85" s="8" t="n">
        <v>50</v>
      </c>
      <c r="M85" s="8" t="n">
        <v>4</v>
      </c>
      <c r="N85" s="8" t="n">
        <v>306</v>
      </c>
      <c r="O85" s="8" t="n">
        <v>7</v>
      </c>
      <c r="P85" s="9" t="n">
        <v>61.8732051806052</v>
      </c>
      <c r="Q85" s="10" t="n">
        <v>0.0161620849781588</v>
      </c>
      <c r="R85" s="9" t="n">
        <v>34</v>
      </c>
      <c r="S85" s="12" t="n">
        <f aca="false">IF(AND(ISNUMBER(R85),R85&gt;1,P85&gt;0),R85/P85-1,"")</f>
        <v>-0.450489110742599</v>
      </c>
      <c r="T85" s="9" t="n">
        <f aca="false">IF(AND(ISNUMBER(P85),P85&gt;0),P85*EXP('Read me'!$B$22),"")</f>
        <v>75.5721034638013</v>
      </c>
    </row>
    <row r="86" customFormat="false" ht="15" hidden="false" customHeight="false" outlineLevel="0" collapsed="false">
      <c r="A86" s="14" t="s">
        <v>251</v>
      </c>
      <c r="B86" s="14" t="s">
        <v>166</v>
      </c>
      <c r="C86" s="14" t="s">
        <v>252</v>
      </c>
      <c r="D86" s="14" t="s">
        <v>463</v>
      </c>
      <c r="E86" s="15" t="n">
        <v>8.5</v>
      </c>
      <c r="F86" s="14" t="s">
        <v>655</v>
      </c>
      <c r="G86" s="8" t="n">
        <v>8</v>
      </c>
      <c r="H86" s="14" t="s">
        <v>875</v>
      </c>
      <c r="I86" s="14" t="s">
        <v>673</v>
      </c>
      <c r="J86" s="14" t="s">
        <v>876</v>
      </c>
      <c r="K86" s="8" t="n">
        <v>1</v>
      </c>
      <c r="L86" s="8" t="n">
        <v>46</v>
      </c>
      <c r="M86" s="8" t="n">
        <v>5</v>
      </c>
      <c r="N86" s="8" t="n">
        <v>34</v>
      </c>
      <c r="O86" s="8" t="n">
        <v>8</v>
      </c>
      <c r="P86" s="9" t="n">
        <v>126.706359349464</v>
      </c>
      <c r="Q86" s="10" t="n">
        <v>0.0078922636964253</v>
      </c>
      <c r="R86" s="9" t="n">
        <v>201</v>
      </c>
      <c r="S86" s="12" t="n">
        <f aca="false">IF(AND(ISNUMBER(R86),R86&gt;1,P86&gt;0),R86/P86-1,"")</f>
        <v>0.586345002981496</v>
      </c>
      <c r="T86" s="9" t="n">
        <f aca="false">IF(AND(ISNUMBER(P86),P86&gt;0),P86*EXP('Read me'!$B$22),"")</f>
        <v>154.759496785869</v>
      </c>
    </row>
  </sheetData>
  <autoFilter ref="A1:T86"/>
  <conditionalFormatting sqref="A2:T8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2026-09-29T11:23:13Z</dcterms:created>
  <dc:creator>openpyxl</dc:creator>
  <dc:description/>
  <dc:language>en-US</dc:language>
  <cp:lastModifiedBy/>
  <dcterms:modified xsi:type="dcterms:W3CDTF">2026-09-29T11:23:14Z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