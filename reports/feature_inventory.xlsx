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Features!$A$1:$J$1514</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4"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<sst xmlns="http://schemas.openxmlformats.org/spreadsheetml/2006/main" count="11061" uniqueCount="3441">
  <si>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</si>
  <si>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</si>
  <si>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</si>
  <si>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</si>
  <si>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</si>
  <si>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</si>
  <si>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</si>
  <si>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</si>
  <si>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</si>
  <si>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</si>
  <si>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</si>
  <si>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</si>
  <si>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</si>
  <si>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</si>
  <si>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</si>
  <si>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</si>
  <si>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</si>
  <si>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</si>
  <si>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</si>
  <si>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</si>
  <si>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</si>
  <si>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</si>
  <si>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</si>
  <si>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</si>
  <si>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</si>
  <si>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</si>
  <si>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</si>
  <si>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</si>
  <si>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</si>
  <si>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</si>
  <si>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</si>
  <si>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</si>
  <si>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</si>
  <si>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</si>
  <si>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</si>
  <si>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</si>
  <si>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</si>
  <si>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</si>
  <si>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</si>
  <si>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</si>
  <si>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</si>
  <si>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</si>
  <si>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</si>
  <si>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</si>
  <si>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</si>
  <si>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</si>
  <si>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</si>
  <si>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</si>
  <si>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</si>
  <si>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</si>
  <si>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</si>
  <si>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</si>
  <si>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</si>
  <si>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</si>
  <si>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</si>
  <si>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</si>
  <si>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</si>
  <si>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</si>
  <si>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</si>
  <si>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</si>
  <si>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</si>
  <si>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</si>
  <si>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</si>
  <si>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</si>
  <si>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</si>
  <si>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</si>
  <si>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</si>
  <si>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</si>
  <si>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</si>
  <si>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</si>
  <si>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</si>
  <si>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</si>
  <si>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</si>
  <si>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</si>
  <si>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</si>
  <si>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</si>
  <si>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</si>
  <si>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</si>
  <si>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</si>
  <si>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</si>
  <si>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</si>
  <si>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</si>
  <si>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</si>
  <si>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</si>
  <si>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</si>
  <si>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</si>
  <si>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</si>
  <si>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</si>
  <si>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</si>
  <si>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</si>
  <si>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</si>
  <si>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</si>
  <si>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</si>
  <si>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</si>
  <si>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</si>
  <si>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</si>
  <si>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</si>
  <si>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</si>
  <si>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</si>
  <si>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</si>
  <si>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</si>
  <si>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</si>
  <si>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</si>
  <si>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</si>
  <si>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</si>
  <si>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</si>
  <si>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</si>
  <si>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</si>
  <si>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</si>
  <si>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</si>
  <si>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</si>
  <si>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</si>
  <si>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</si>
  <si>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</si>
  <si>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</si>
  <si>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</si>
  <si>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</si>
  <si>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</si>
  <si>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</si>
  <si>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</si>
  <si>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</si>
  <si>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</si>
  <si>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</si>
  <si>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</si>
  <si>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</si>
  <si>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</si>
  <si>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</si>
  <si>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</si>
  <si>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</si>
  <si>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</si>
  <si>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</si>
  <si>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</si>
  <si>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</si>
  <si>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</si>
  <si>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</si>
  <si>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</si>
  <si>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</si>
  <si>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</si>
  <si>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</si>
  <si>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</si>
  <si>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</si>
  <si>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</si>
  <si>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</si>
  <si>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</si>
  <si>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</si>
  <si>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</si>
  <si>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</si>
  <si>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</si>
  <si>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</si>
  <si>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</si>
  <si>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</si>
  <si>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</si>
  <si>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</si>
  <si>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</si>
  <si>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</si>
  <si>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</si>
  <si>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</si>
  <si>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</si>
  <si>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</si>
  <si>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</si>
  <si>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</si>
  <si>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</si>
  <si>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</si>
  <si>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</si>
  <si>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</si>
  <si>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</si>
  <si>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</si>
  <si>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</si>
  <si>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</si>
  <si>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</si>
  <si>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</si>
  <si>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</si>
  <si>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</si>
  <si>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</si>
  <si>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</si>
  <si>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</si>
  <si>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</si>
  <si>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</si>
  <si>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</si>
  <si>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</si>
  <si>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</si>
  <si>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</si>
  <si>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</si>
  <si>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</si>
  <si>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</si>
  <si>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</si>
  <si>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</si>
  <si>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</si>
  <si>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</si>
  <si>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</si>
  <si>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</si>
  <si>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</si>
  <si>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</si>
  <si>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</si>
  <si>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</si>
  <si>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</si>
  <si>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</si>
  <si>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</si>
  <si>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</si>
  <si>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</si>
  <si>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</si>
  <si>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</si>
  <si>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</si>
  <si>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</si>
  <si>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</si>
  <si>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</si>
  <si>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</si>
  <si>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</si>
  <si>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</si>
  <si>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</si>
  <si>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</si>
  <si>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</si>
  <si>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</si>
  <si>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</si>
  <si>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</si>
  <si>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</si>
  <si>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</si>
  <si>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</si>
  <si>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</si>
  <si>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</si>
  <si>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</si>
  <si>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</si>
  <si>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</si>
  <si>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</si>
  <si>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</si>
  <si>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</si>
  <si>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</si>
  <si>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</si>
  <si>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</si>
  <si>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</si>
  <si>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</si>
  <si>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</si>
  <si>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</si>
  <si>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</si>
  <si>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</si>
  <si>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</si>
  <si>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</si>
  <si>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</si>
  <si>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</si>
  <si>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</si>
  <si>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</si>
  <si>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</si>
  <si>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</si>
  <si>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</si>
  <si>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</si>
  <si>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</si>
  <si>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</si>
  <si>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</si>
  <si>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</si>
  <si>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</si>
  <si>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</si>
  <si>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</si>
  <si>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</si>
  <si>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</si>
  <si>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</si>
  <si>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</si>
  <si>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</si>
  <si>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</si>
  <si>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</si>
  <si>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</si>
  <si>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</si>
  <si>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</si>
  <si>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</si>
  <si>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</si>
  <si>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</si>
  <si>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</si>
  <si>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</si>
  <si>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</si>
  <si>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</si>
  <si>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</si>
  <si>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</si>
  <si>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</si>
  <si>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</si>
  <si>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</si>
  <si>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</si>
  <si>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</si>
  <si>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</si>
  <si>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</si>
  <si>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</si>
  <si>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</si>
  <si>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</si>
  <si>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</si>
  <si>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</si>
  <si>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</si>
  <si>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</si>
  <si>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</si>
  <si>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</si>
  <si>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</si>
  <si>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</si>
  <si>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</si>
  <si>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</si>
  <si>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</si>
  <si>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</si>
  <si>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</si>
  <si>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</si>
  <si>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</si>
  <si>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</si>
  <si>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</si>
  <si>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</si>
  <si>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</si>
  <si>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</si>
  <si>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</si>
  <si>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</si>
  <si>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</si>
  <si>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</si>
  <si>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</si>
  <si>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</si>
  <si>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</si>
  <si>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</si>
  <si>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</si>
  <si>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</si>
  <si>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</si>
  <si>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</si>
  <si>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</si>
  <si>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</si>
  <si>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</si>
  <si>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</si>
  <si>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</si>
  <si>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</si>
  <si>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</si>
  <si>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</si>
  <si>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</si>
  <si>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</si>
  <si>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</si>
  <si>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</si>
  <si>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</si>
  <si>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</si>
  <si>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</si>
  <si>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</si>
  <si>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</si>
  <si>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</si>
  <si>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</si>
  <si>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</si>
  <si>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</si>
  <si>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</si>
  <si>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</si>
  <si>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</si>
  <si>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</si>
  <si>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</si>
  <si>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</si>
  <si>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</si>
  <si>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</si>
  <si>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</si>
  <si>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</si>
  <si>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</si>
  <si>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</si>
  <si>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</si>
  <si>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</si>
  <si>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</si>
  <si>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</si>
  <si>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</si>
  <si>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</si>
  <si>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</si>
  <si>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</si>
  <si>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</si>
  <si>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</si>
  <si>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</si>
  <si>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</si>
  <si>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</si>
  <si>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</si>
  <si>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</si>
  <si>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</si>
  <si>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</si>
  <si>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</si>
  <si>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</si>
  <si>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</si>
  <si>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</si>
  <si>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</si>
  <si>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</si>
  <si>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</si>
  <si>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</si>
  <si>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</si>
  <si>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</si>
  <si>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</si>
  <si>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</si>
  <si>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</si>
  <si>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</si>
  <si>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</si>
  <si>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</si>
  <si>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</si>
  <si>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</si>
  <si>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</si>
  <si>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</si>
  <si>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</si>
  <si>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</si>
  <si>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</si>
  <si>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</si>
  <si>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</si>
  <si>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</si>
  <si>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</si>
  <si>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</si>
  <si>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</si>
  <si>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</si>
  <si>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</si>
  <si>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</si>
  <si>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</si>
  <si>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</si>
  <si>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</si>
  <si>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</si>
  <si>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</si>
  <si>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</si>
  <si>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</si>
  <si>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</si>
  <si>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</si>
  <si>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</si>
  <si>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</si>
  <si>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</si>
  <si>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</si>
  <si>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</si>
  <si>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</si>
  <si>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</si>
  <si>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</si>
  <si>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</si>
  <si>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</si>
  <si>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</si>
  <si>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</si>
  <si>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</si>
  <si>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</si>
  <si>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</si>
  <si>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</si>
  <si>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</si>
  <si>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</si>
  <si>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</si>
  <si>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</si>
  <si>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</si>
  <si>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</si>
  <si>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</si>
  <si>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</si>
  <si>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</si>
  <si>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</si>
  <si>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</si>
  <si>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</si>
  <si>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</si>
  <si>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</si>
  <si>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</si>
  <si>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</si>
  <si>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</si>
  <si>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</si>
  <si>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</si>
  <si>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</si>
  <si>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</si>
  <si>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</si>
  <si>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</si>
  <si>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</si>
  <si>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</si>
  <si>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</si>
  <si>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</si>
  <si>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</si>
  <si>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</si>
  <si>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</si>
  <si>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</si>
  <si>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</si>
  <si>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</si>
  <si>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</si>
  <si>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</si>
  <si>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</si>
  <si>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</si>
  <si>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</si>
  <si>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</si>
  <si>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</si>
  <si>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</si>
  <si>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</si>
  <si>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</si>
  <si>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</si>
  <si>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</si>
  <si>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</si>
  <si>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</si>
  <si>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</si>
  <si>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</si>
  <si>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</si>
  <si>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</si>
  <si>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</si>
  <si>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</si>
  <si>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</si>
  <si>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</si>
  <si>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</si>
  <si>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</si>
  <si>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</si>
  <si>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</si>
  <si>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</si>
  <si>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</si>
  <si>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</si>
  <si>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</si>
  <si>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</si>
  <si>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</si>
  <si>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</si>
  <si>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</si>
  <si>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</si>
  <si>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</si>
  <si>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</si>
  <si>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</si>
  <si>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</si>
  <si>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</si>
  <si>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</si>
  <si>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</si>
  <si>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</si>
  <si>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</si>
  <si>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</si>
  <si>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</si>
  <si>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</si>
  <si>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</si>
  <si>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</si>
  <si>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</si>
  <si>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</si>
  <si>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</si>
  <si>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</si>
  <si>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</si>
  <si>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</si>
  <si>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</si>
  <si>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</si>
  <si>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</si>
  <si>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</si>
  <si>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</si>
  <si>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</si>
  <si>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</si>
  <si>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</si>
  <si>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</si>
  <si>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</si>
  <si>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</si>
  <si>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</si>
  <si>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</si>
  <si>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</si>
  <si>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</si>
  <si>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</si>
  <si>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</si>
  <si>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</si>
  <si>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</si>
  <si>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</si>
  <si>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</si>
  <si>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</si>
  <si>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</si>
  <si>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</si>
  <si>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</si>
  <si>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</si>
  <si>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</si>
  <si>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</si>
  <si>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</si>
  <si>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</si>
  <si>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</si>
  <si>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</si>
  <si>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</si>
  <si>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</si>
  <si>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</si>
  <si>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</si>
  <si>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</si>
  <si>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</si>
  <si>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</si>
  <si>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</si>
  <si>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</si>
  <si>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</si>
  <si>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</si>
  <si>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</si>
  <si>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</si>
  <si>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</si>
  <si>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</si>
  <si>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</si>
  <si>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</si>
  <si>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</si>
  <si>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</si>
  <si>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</si>
  <si>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</si>
  <si>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</si>
  <si>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</si>
  <si>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</si>
  <si>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</si>
  <si>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</si>
  <si>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</si>
  <si>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</si>
  <si>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</si>
  <si>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</si>
  <si>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</si>
  <si>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</si>
  <si>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</si>
  <si>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</si>
  <si>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</si>
  <si>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</si>
  <si>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</si>
  <si>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</si>
  <si>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</si>
  <si>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</si>
  <si>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</si>
  <si>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</si>
  <si>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</si>
  <si>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</si>
  <si>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</si>
  <si>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</si>
  <si>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</si>
  <si>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</si>
  <si>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</si>
  <si>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</si>
  <si>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</si>
  <si>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</si>
  <si>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</si>
  <si>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</si>
  <si>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</si>
  <si>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</si>
  <si>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</si>
  <si>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</si>
  <si>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</si>
  <si>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</si>
  <si>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</si>
  <si>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</si>
  <si>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</si>
  <si>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</si>
  <si>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</si>
  <si>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</si>
  <si>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</si>
  <si>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</si>
  <si>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</si>
  <si>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</si>
  <si>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</si>
  <si>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</si>
  <si>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</si>
  <si>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</si>
  <si>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</si>
  <si>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</si>
  <si>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</si>
  <si>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</si>
  <si>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</si>
  <si>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</si>
  <si>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</si>
  <si>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</si>
  <si>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</si>
  <si>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</si>
  <si>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</si>
  <si>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</si>
  <si>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</si>
  <si>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</si>
  <si>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</si>
  <si>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</si>
  <si>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</si>
  <si>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</si>
  <si>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</si>
  <si>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</si>
  <si>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</si>
  <si>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</si>
  <si>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</si>
  <si>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</si>
  <si>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</si>
  <si>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</si>
  <si>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</si>
  <si>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</si>
  <si>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</si>
  <si>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</si>
  <si>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</si>
  <si>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</si>
  <si>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</si>
  <si>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</si>
  <si>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</si>
  <si>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</si>
  <si>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</si>
  <si>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</si>
  <si>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</si>
  <si>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</si>
  <si>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</si>
  <si>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</si>
  <si>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</si>
  <si>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</si>
  <si>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</si>
  <si>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</si>
  <si>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</si>
  <si>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</si>
  <si>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</si>
  <si>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</si>
  <si>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</si>
  <si>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</si>
  <si>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</si>
  <si>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</si>
  <si>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</si>
  <si>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</si>
  <si>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</si>
  <si>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</si>
  <si>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</si>
  <si>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</si>
  <si>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</si>
  <si>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</si>
  <si>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</si>
  <si>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</si>
  <si>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</si>
  <si>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</si>
  <si>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</si>
  <si>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</si>
  <si>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</si>
  <si>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</si>
  <si>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</si>
  <si>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</si>
  <si>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</si>
  <si>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</si>
  <si>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</si>
  <si>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</si>
  <si>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</si>
  <si>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</si>
  <si>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</si>
  <si>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</si>
  <si>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</si>
  <si>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</si>
  <si>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</si>
  <si>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</si>
  <si>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</si>
  <si>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</si>
  <si>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</si>
  <si>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</si>
  <si>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</si>
  <si>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</si>
  <si>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</si>
  <si>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</si>
  <si>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</si>
  <si>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</si>
  <si>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</si>
  <si>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</si>
  <si>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</si>
  <si>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</si>
  <si>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</si>
  <si>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</si>
  <si>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</si>
  <si>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</si>
  <si>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</si>
  <si>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</si>
  <si>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</si>
  <si>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</si>
  <si>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</si>
  <si>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</si>
  <si>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</si>
  <si>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</si>
  <si>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</si>
  <si>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</si>
  <si>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</si>
  <si>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</si>
  <si>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</si>
  <si>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</si>
  <si>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</si>
  <si>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</si>
  <si>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</si>
  <si>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</si>
  <si>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</si>
  <si>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</si>
  <si>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</si>
  <si>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</si>
  <si>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</si>
  <si>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</si>
  <si>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</si>
  <si>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</si>
  <si>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</si>
  <si>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</si>
  <si>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</si>
  <si>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</si>
  <si>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</si>
  <si>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</si>
  <si>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</si>
  <si>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</si>
  <si>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</si>
  <si>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</si>
  <si>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</si>
  <si>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</si>
  <si>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</si>
  <si>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</si>
  <si>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</si>
  <si>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</si>
  <si>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</si>
  <si>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</si>
  <si>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</si>
  <si>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</si>
  <si>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</si>
  <si>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</si>
  <si>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</si>
  <si>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</si>
  <si>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</si>
  <si>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</si>
  <si>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</si>
  <si>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</si>
  <si>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</si>
  <si>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</si>
  <si>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</si>
  <si>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</si>
  <si>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</si>
  <si>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</si>
  <si>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</si>
  <si>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</si>
  <si>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</si>
  <si>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</si>
  <si>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</si>
  <si>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</si>
  <si>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</si>
  <si>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</si>
  <si>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</si>
  <si>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</si>
  <si>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</si>
  <si>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</si>
  <si>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</si>
  <si>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</si>
  <si>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</si>
  <si>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</si>
  <si>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</si>
  <si>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</si>
  <si>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</si>
  <si>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</si>
  <si>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</si>
  <si>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</si>
  <si>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</si>
  <si>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</si>
  <si>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</si>
  <si>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</si>
  <si>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</si>
  <si>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</si>
  <si>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</si>
  <si>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</si>
  <si>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</si>
  <si>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</si>
  <si>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</si>
  <si>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</si>
  <si>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</si>
  <si>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</si>
  <si>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</si>
  <si>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</si>
  <si>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</si>
  <si>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</si>
  <si>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</si>
  <si>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</si>
  <si>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</si>
  <si>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</si>
  <si>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</si>
  <si>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</si>
  <si>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</si>
  <si>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</si>
  <si>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</si>
  <si>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</si>
  <si>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</si>
  <si>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</si>
  <si>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</si>
  <si>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</si>
  <si>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</si>
  <si>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</si>
  <si>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</si>
  <si>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</si>
  <si>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</si>
  <si>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</si>
  <si>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</si>
  <si>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</si>
  <si>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</si>
  <si>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</si>
  <si>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</si>
  <si>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</si>
  <si>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</si>
  <si>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</si>
  <si>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</si>
  <si>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</si>
  <si>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</si>
  <si>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</si>
  <si>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</si>
  <si>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</si>
  <si>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</si>
  <si>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</si>
  <si>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</si>
  <si>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</si>
  <si>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</si>
  <si>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</si>
  <si>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</si>
  <si>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</si>
  <si>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</si>
  <si>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</si>
  <si>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</si>
  <si>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</si>
  <si>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</si>
  <si>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</si>
  <si>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</si>
  <si>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</si>
  <si>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</si>
  <si>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</si>
  <si>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</si>
  <si>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</si>
  <si>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</si>
  <si>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</si>
  <si>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</si>
  <si>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</si>
  <si>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</si>
  <si>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</si>
  <si>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</si>
  <si>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</si>
  <si>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</si>
  <si>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</si>
  <si>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</si>
  <si>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</si>
  <si>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</si>
  <si>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</si>
  <si>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</si>
  <si>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</si>
  <si>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</si>
  <si>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</si>
  <si>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</si>
  <si>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</si>
  <si>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</si>
  <si>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</si>
  <si>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</si>
  <si>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</si>
  <si>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</si>
  <si>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</si>
  <si>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</si>
  <si>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</si>
  <si>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</si>
  <si>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</si>
  <si>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</si>
  <si>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</si>
  <si>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</si>
  <si>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</si>
  <si>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</si>
  <si>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</si>
  <si>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</si>
  <si>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</si>
  <si>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</si>
  <si>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</si>
  <si>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</si>
  <si>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</si>
  <si>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</si>
  <si>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</si>
  <si>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</si>
  <si>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</si>
  <si>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</si>
  <si>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</si>
  <si>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</si>
  <si>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</si>
  <si>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</si>
  <si>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</si>
  <si>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</si>
  <si>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</si>
  <si>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</si>
  <si>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</si>
  <si>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</si>
  <si>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</si>
  <si>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</si>
  <si>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</si>
  <si>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</si>
  <si>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</si>
  <si>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</si>
  <si>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</si>
  <si>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</si>
  <si>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</si>
  <si>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</si>
  <si>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</si>
  <si>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</si>
  <si>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</si>
  <si>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</si>
  <si>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</si>
  <si>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</si>
  <si>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</si>
  <si>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</si>
  <si>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</si>
  <si>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</si>
  <si>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</si>
  <si>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</si>
  <si>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</si>
  <si>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</si>
  <si>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</si>
  <si>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</si>
  <si>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</si>
  <si>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</si>
  <si>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</si>
  <si>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</si>
  <si>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</si>
  <si>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</si>
  <si>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</si>
  <si>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</si>
  <si>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</si>
  <si>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</si>
  <si>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</si>
  <si>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</si>
  <si>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</si>
  <si>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</si>
  <si>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</si>
  <si>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</si>
  <si>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</si>
  <si>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</si>
  <si>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</si>
  <si>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</si>
  <si>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</si>
  <si>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</si>
  <si>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</si>
  <si>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</si>
  <si>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</si>
  <si>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</si>
  <si>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</si>
  <si>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</si>
  <si>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</si>
  <si>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</si>
  <si>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</si>
  <si>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</si>
  <si>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</si>
  <si>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</si>
  <si>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</si>
  <si>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</si>
  <si>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</si>
  <si>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</si>
  <si>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</si>
  <si>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</si>
  <si>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</si>
  <si>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</si>
  <si>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</si>
  <si>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</si>
  <si>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</si>
  <si>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</si>
  <si>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</si>
  <si>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</si>
  <si>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</si>
  <si>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</si>
  <si>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</si>
  <si>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</si>
  <si>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</si>
  <si>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</si>
  <si>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</si>
  <si>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</si>
  <si>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</si>
  <si>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</si>
  <si>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</si>
  <si>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</si>
  <si>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</si>
  <si>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</si>
  <si>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</si>
  <si>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</si>
  <si>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</si>
  <si>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</si>
  <si>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</si>
  <si>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</si>
  <si>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</si>
  <si>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</si>
  <si>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</si>
  <si>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</si>
  <si>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</si>
  <si>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</si>
  <si>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</si>
  <si>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</si>
  <si>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</si>
  <si>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</si>
  <si>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</si>
  <si>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</si>
  <si>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</si>
  <si>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</si>
  <si>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</si>
  <si>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</si>
  <si>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</si>
  <si>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</si>
  <si>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</si>
  <si>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</si>
  <si>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</si>
  <si>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</si>
  <si>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</si>
  <si>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</si>
  <si>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</si>
  <si>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</si>
  <si>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</si>
  <si>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</si>
  <si>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</si>
  <si>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</si>
  <si>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</si>
  <si>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</si>
  <si>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</si>
  <si>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</si>
  <si>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</si>
  <si>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</si>
  <si>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</si>
  <si>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</si>
  <si>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</si>
  <si>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</si>
  <si>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</si>
  <si>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</si>
  <si>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</si>
  <si>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</si>
  <si>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</si>
  <si>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</si>
  <si>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</si>
  <si>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</si>
  <si>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</si>
  <si>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</si>
  <si>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</si>
  <si>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</si>
  <si>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</si>
  <si>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</si>
  <si>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</si>
  <si>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</si>
  <si>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</si>
  <si>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</si>
  <si>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</si>
  <si>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</si>
  <si>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</si>
  <si>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</si>
  <si>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</si>
  <si>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</si>
  <si>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</si>
  <si>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</si>
  <si>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</si>
  <si>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</si>
  <si>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</si>
  <si>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</si>
  <si>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</si>
  <si>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</si>
  <si>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</si>
  <si>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</si>
  <si>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</si>
  <si>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</si>
  <si>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</si>
  <si>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</si>
  <si>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</si>
  <si>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</si>
  <si>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</si>
  <si>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</si>
  <si>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</si>
  <si>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</si>
  <si>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</si>
  <si>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</si>
  <si>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</si>
  <si>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</si>
  <si>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</si>
  <si>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</si>
  <si>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</si>
  <si>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</si>
  <si>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</si>
  <si>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</si>
  <si>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</si>
  <si>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</si>
  <si>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</si>
  <si>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</si>
  <si>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</si>
  <si>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</si>
  <si>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</si>
  <si>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</si>
  <si>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</si>
  <si>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</si>
  <si>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</si>
  <si>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</si>
  <si>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</si>
  <si>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</si>
  <si>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</si>
  <si>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</si>
  <si>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</si>
  <si>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</si>
  <si>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</si>
  <si>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</si>
  <si>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</si>
  <si>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</si>
  <si>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</si>
  <si>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</si>
  <si>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</si>
  <si>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</si>
  <si>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</si>
  <si>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</si>
  <si>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</si>
  <si>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</si>
  <si>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</si>
  <si>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</si>
  <si>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</si>
  <si>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</si>
  <si>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</si>
  <si>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</si>
  <si>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</si>
  <si>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</si>
  <si>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</si>
  <si>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</si>
  <si>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</si>
  <si>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</si>
  <si>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</si>
  <si>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</si>
  <si>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</si>
  <si>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</si>
  <si>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</si>
  <si>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</si>
  <si>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</si>
  <si>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</si>
  <si>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</si>
  <si>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</si>
  <si>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</si>
  <si>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</si>
  <si>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</si>
  <si>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</si>
  <si>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</si>
  <si>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</si>
  <si>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</si>
  <si>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</si>
  <si>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</si>
  <si>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</si>
  <si>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</si>
  <si>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</si>
  <si>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</si>
  <si>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</si>
  <si>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</si>
  <si>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</si>
  <si>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</si>
  <si>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</si>
  <si>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</si>
  <si>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</si>
  <si>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</si>
  <si>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</si>
  <si>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</si>
  <si>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</si>
  <si>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</si>
  <si>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</si>
  <si>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</si>
  <si>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</si>
  <si>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</si>
  <si>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</si>
  <si>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</si>
  <si>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</si>
  <si>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</si>
  <si>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</si>
  <si>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</si>
  <si>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</si>
  <si>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</si>
  <si>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</si>
  <si>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</si>
  <si>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</si>
  <si>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</si>
  <si>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</si>
  <si>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</si>
  <si>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</si>
  <si>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</si>
  <si>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</si>
  <si>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</si>
  <si>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</si>
  <si>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</si>
  <si>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</si>
  <si>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</si>
  <si>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</si>
  <si>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</si>
  <si>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</si>
  <si>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</si>
  <si>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</si>
  <si>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</si>
  <si>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</si>
  <si>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</si>
  <si>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</si>
  <si>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</si>
  <si>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</si>
  <si>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</si>
  <si>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</si>
  <si>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</si>
  <si>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</si>
  <si>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</si>
  <si>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</si>
  <si>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</si>
  <si>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</si>
  <si>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</si>
  <si>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</si>
  <si>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</si>
  <si>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</si>
  <si>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</si>
  <si>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</si>
  <si>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</si>
  <si>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</si>
  <si>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</si>
  <si>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</si>
  <si>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</si>
  <si>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</si>
  <si>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</si>
  <si>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</si>
  <si>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</si>
  <si>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</si>
  <si>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</si>
  <si>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</si>
  <si>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</si>
  <si>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</si>
  <si>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</si>
  <si>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</si>
  <si>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</si>
  <si>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</si>
  <si>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</si>
  <si>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</si>
  <si>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</si>
  <si>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</si>
  <si>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</si>
  <si>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</si>
  <si>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</si>
  <si>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</si>
  <si>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</si>
  <si>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</si>
  <si>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</si>
  <si>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</si>
  <si>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</si>
  <si>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</si>
  <si>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</si>
  <si>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</si>
  <si>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</si>
  <si>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</si>
  <si>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</si>
  <si>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</si>
  <si>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</si>
  <si>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</si>
  <si>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</si>
  <si>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</si>
  <si>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</si>
  <si>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</si>
  <si>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</si>
  <si>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</si>
  <si>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</si>
  <si>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</si>
  <si>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</si>
  <si>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</si>
  <si>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</si>
  <si>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</si>
  <si>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</si>
  <si>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</si>
  <si>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</si>
  <si>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</si>
  <si>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</si>
  <si>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</si>
  <si>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</si>
  <si>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</si>
  <si>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</si>
  <si>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</si>
  <si>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</si>
  <si>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</si>
  <si>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</si>
  <si>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</si>
  <si>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</si>
  <si>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</si>
  <si>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</si>
  <si>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</si>
  <si>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</si>
  <si>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</si>
  <si>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</si>
  <si>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</si>
  <si>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</si>
  <si>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</si>
  <si>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</si>
  <si>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</si>
  <si>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</si>
  <si>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</si>
  <si>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</si>
  <si>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</si>
  <si>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</si>
  <si>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</si>
  <si>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</si>
  <si>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</si>
  <si>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</si>
  <si>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</si>
  <si>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</si>
  <si>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</si>
  <si>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</si>
  <si>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</si>
  <si>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</si>
  <si>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</si>
  <si>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</si>
  <si>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</si>
  <si>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</si>
  <si>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</si>
  <si>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</si>
  <si>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</si>
  <si>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</si>
  <si>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</si>
  <si>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</si>
  <si>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</si>
  <si>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</si>
  <si>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</si>
  <si>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</si>
  <si>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</si>
  <si>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</si>
  <si>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</si>
  <si>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</si>
  <si>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</si>
  <si>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</si>
  <si>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</si>
  <si>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</si>
  <si>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</si>
  <si>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</si>
  <si>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</si>
  <si>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</si>
  <si>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</si>
  <si>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</si>
  <si>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</si>
  <si>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</si>
  <si>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</si>
  <si>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</si>
  <si>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</si>
  <si>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</si>
  <si>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</si>
  <si>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</si>
  <si>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</si>
  <si>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</si>
  <si>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</si>
  <si>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</si>
  <si>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</si>
  <si>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</si>
  <si>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</si>
  <si>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</si>
  <si>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</si>
  <si>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</si>
  <si>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</si>
  <si>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</si>
  <si>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</si>
  <si>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</si>
  <si>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</si>
  <si>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</si>
  <si>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</si>
  <si>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</si>
  <si>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</si>
  <si>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</si>
  <si>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</si>
  <si>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</si>
  <si>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</si>
  <si>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</si>
  <si>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</si>
  <si>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</si>
  <si>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</si>
  <si>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</si>
  <si>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</si>
  <si>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</si>
  <si>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</si>
  <si>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</si>
  <si>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</si>
  <si>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</si>
  <si>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</si>
  <si>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</si>
  <si>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</si>
  <si>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</si>
  <si>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</si>
  <si>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</si>
  <si>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</si>
  <si>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</si>
  <si>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</si>
  <si>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</si>
  <si>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</si>
  <si>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</si>
  <si>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</si>
  <si>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</si>
  <si>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</si>
  <si>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</si>
  <si>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</si>
  <si>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</si>
  <si>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</si>
  <si>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</si>
  <si>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</si>
  <si>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</si>
  <si>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</si>
  <si>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</si>
  <si>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</si>
  <si>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</si>
  <si>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</si>
  <si>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</si>
  <si>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</si>
  <si>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</si>
  <si>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</si>
  <si>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</si>
  <si>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</si>
  <si>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</si>
  <si>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</si>
  <si>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</si>
  <si>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</si>
  <si>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</si>
  <si>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</si>
  <si>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</si>
  <si>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</si>
  <si>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</si>
  <si>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</si>
  <si>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</si>
  <si>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</si>
  <si>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</si>
  <si>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</si>
  <si>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</si>
  <si>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</si>
  <si>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</si>
  <si>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</si>
  <si>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</si>
  <si>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</si>
  <si>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</si>
  <si>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</si>
  <si>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</si>
  <si>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</si>
  <si>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</si>
  <si>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</si>
  <si>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</si>
  <si>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</si>
  <si>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</si>
  <si>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</si>
  <si>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</si>
  <si>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</si>
  <si>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</si>
  <si>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</si>
  <si>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</si>
  <si>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</si>
  <si>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</si>
  <si>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</si>
  <si>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</si>
  <si>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</si>
  <si>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</si>
  <si>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</si>
  <si>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</si>
  <si>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</si>
  <si>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</si>
  <si>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</si>
  <si>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</si>
  <si>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</si>
  <si>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</si>
  <si>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</si>
  <si>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</si>
  <si>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</si>
  <si>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</si>
  <si>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</si>
  <si>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</si>
  <si>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</si>
  <si>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</si>
  <si>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</si>
  <si>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</si>
  <si>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</si>
  <si>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</si>
  <si>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</si>
  <si>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</si>
  <si>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</si>
  <si>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</si>
  <si>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</si>
  <si>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</si>
  <si>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</si>
  <si>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</si>
  <si>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</si>
  <si>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</si>
  <si>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</si>
  <si>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</si>
  <si>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</si>
  <si>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</si>
  <si>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</si>
  <si>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</si>
  <si>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</si>
  <si>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</si>
  <si>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</si>
  <si>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</si>
  <si>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</si>
  <si>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</si>
  <si>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</si>
  <si>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</si>
  <si>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</si>
  <si>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</si>
  <si>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</si>
  <si>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</si>
  <si>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</si>
  <si>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</si>
  <si>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</si>
  <si>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</si>
  <si>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</si>
  <si>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</si>
  <si>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</si>
  <si>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</si>
  <si>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</si>
  <si>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</si>
  <si>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</si>
  <si>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</si>
  <si>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</si>
  <si>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</si>
  <si>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</si>
  <si>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</si>
  <si>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</si>
  <si>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</si>
  <si>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</si>
  <si>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</si>
  <si>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</si>
  <si>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</si>
  <si>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</si>
  <si>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</si>
  <si>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</si>
  <si>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</si>
  <si>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</si>
  <si>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</si>
  <si>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</si>
  <si>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</si>
  <si>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</si>
  <si>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</si>
  <si>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</si>
  <si>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</si>
  <si>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</si>
  <si>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</si>
  <si>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</si>
  <si>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</si>
  <si>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</si>
  <si>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</si>
  <si>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</si>
  <si>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</si>
  <si>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</si>
  <si>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</si>
  <si>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</si>
  <si>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</si>
  <si>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</si>
  <si>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</si>
  <si>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</si>
  <si>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</si>
  <si>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</si>
  <si>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</si>
  <si>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</si>
  <si>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</si>
  <si>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</si>
  <si>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</si>
  <si>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</si>
  <si>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</si>
  <si>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</si>
  <si>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</si>
  <si>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</si>
  <si>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</si>
  <si>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</si>
  <si>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</si>
  <si>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</si>
  <si>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</si>
  <si>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</si>
  <si>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</si>
  <si>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</si>
  <si>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</si>
  <si>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</si>
  <si>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</si>
  <si>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</si>
  <si>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</si>
  <si>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</si>
  <si>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</si>
  <si>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</si>
  <si>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</si>
  <si>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</si>
  <si>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</si>
  <si>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</si>
  <si>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</si>
  <si>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</si>
  <si>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</si>
  <si>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</si>
  <si>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</si>
  <si>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</si>
  <si>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</si>
  <si>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</si>
  <si>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</si>
  <si>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</si>
  <si>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</si>
  <si>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</si>
  <si>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</si>
  <si>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</si>
  <si>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</si>
  <si>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</si>
  <si>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</si>
  <si>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</si>
  <si>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</si>
  <si>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</si>
  <si>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</si>
  <si>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</si>
  <si>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</si>
  <si>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</si>
  <si>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</si>
  <si>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</si>
  <si>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</si>
  <si>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</si>
  <si>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</si>
  <si>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</si>
  <si>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</si>
  <si>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</si>
  <si>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</si>
  <si>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</si>
  <si>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</si>
  <si>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</si>
  <si>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</si>
  <si>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</si>
  <si>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</si>
  <si>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</si>
  <si>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</si>
  <si>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</si>
  <si>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</si>
  <si>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</si>
  <si>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</si>
  <si>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</si>
  <si>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</si>
  <si>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</si>
  <si>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</si>
  <si>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</si>
  <si>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</si>
  <si>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</si>
  <si>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</si>
  <si>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</si>
  <si>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</si>
  <si>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</si>
  <si>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</si>
  <si>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</si>
  <si>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</si>
  <si>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</si>
  <si>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</si>
  <si>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</si>
  <si>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</si>
  <si>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</si>
  <si>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</si>
  <si>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</si>
  <si>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</si>
  <si>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</si>
  <si>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</si>
  <si>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</si>
  <si>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</si>
  <si>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</si>
  <si>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</si>
  <si>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</si>
  <si>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</si>
  <si>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</si>
  <si>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</si>
  <si>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</si>
  <si>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</si>
  <si>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</si>
  <si>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</si>
  <si>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</si>
  <si>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</si>
  <si>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</si>
  <si>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</si>
  <si>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</si>
  <si>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</si>
  <si>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</si>
  <si>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</si>
  <si>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</si>
  <si>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</si>
  <si>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</si>
  <si>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</si>
  <si>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</si>
  <si>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</si>
  <si>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</si>
  <si>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</si>
  <si>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</si>
  <si>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</si>
  <si>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</si>
  <si>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</si>
  <si>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</si>
  <si>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</si>
  <si>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</si>
  <si>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</si>
  <si>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</si>
  <si>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</si>
  <si>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</si>
  <si>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</si>
  <si>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</si>
  <si>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</si>
  <si>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</si>
  <si>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</si>
  <si>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</si>
  <si>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</si>
  <si>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</si>
  <si>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</si>
  <si>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</si>
  <si>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</si>
  <si>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</si>
  <si>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</si>
  <si>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</si>
  <si>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</si>
  <si>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</si>
  <si>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</si>
  <si>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</si>
  <si>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</si>
  <si>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</si>
  <si>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</si>
  <si>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</si>
  <si>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</si>
  <si>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</si>
  <si>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</si>
  <si>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</si>
  <si>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</si>
  <si>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</si>
  <si>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</si>
  <si>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</si>
  <si>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</si>
  <si>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</si>
  <si>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</si>
  <si>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</si>
  <si>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</si>
  <si>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</si>
  <si>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</si>
  <si>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</si>
  <si>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</si>
  <si>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</si>
  <si>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</si>
  <si>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</si>
  <si>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</si>
  <si>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</si>
  <si>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</si>
  <si>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</si>
  <si>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</si>
  <si>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</si>
  <si>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</si>
  <si>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</si>
  <si>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</si>
  <si>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</si>
  <si>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</si>
  <si>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</si>
  <si>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</si>
  <si>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</si>
  <si>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</si>
  <si>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</si>
  <si>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</si>
  <si>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</si>
  <si>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</si>
  <si>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</si>
  <si>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</si>
  <si>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</si>
  <si>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</si>
  <si>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</si>
  <si>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</si>
  <si>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</si>
  <si>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</si>
  <si>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</si>
  <si>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</si>
  <si>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</si>
  <si>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</si>
  <si>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</si>
  <si>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</si>
  <si>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</si>
  <si>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</si>
  <si>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</si>
  <si>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</si>
  <si>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</si>
  <si>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</si>
  <si>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</si>
  <si>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</si>
  <si>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</si>
  <si>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</si>
  <si>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</si>
  <si>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</si>
  <si>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</si>
  <si>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</si>
  <si>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</si>
  <si>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</si>
  <si>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</si>
  <si>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</si>
  <si>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</si>
  <si>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</si>
  <si>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</si>
  <si>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</si>
  <si>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</si>
  <si>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</si>
  <si>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</si>
  <si>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</si>
  <si>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</si>
  <si>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</si>
  <si>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</si>
  <si>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</si>
  <si>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</si>
  <si>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</si>
  <si>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</si>
  <si>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</si>
  <si>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</si>
  <si>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</si>
  <si>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</si>
  <si>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</si>
  <si>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</si>
  <si>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</si>
  <si>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</si>
  <si>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</si>
  <si>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</si>
  <si>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</si>
  <si>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</si>
  <si>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</si>
  <si>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</si>
  <si>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</si>
  <si>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</si>
  <si>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</si>
  <si>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</si>
  <si>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</si>
  <si>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</si>
  <si>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</si>
  <si>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</si>
  <si>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</si>
  <si>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</si>
  <si>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</si>
  <si>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</si>
  <si>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</si>
  <si>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</si>
  <si>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</si>
  <si>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</si>
  <si>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</si>
  <si>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</si>
  <si>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</si>
  <si>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</si>
  <si>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</si>
  <si>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</si>
  <si>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</si>
  <si>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</si>
  <si>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</si>
  <si>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</si>
  <si>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</si>
  <si>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</si>
  <si>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</si>
  <si>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</si>
  <si>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</si>
  <si>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</si>
  <si>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</si>
  <si>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</si>
  <si>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</si>
  <si>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</si>
  <si>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</si>
  <si>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</si>
  <si>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</si>
  <si>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</si>
  <si>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</si>
  <si>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</si>
  <si>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</si>
  <si>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</si>
  <si>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</si>
  <si>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</si>
  <si>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</si>
  <si>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</si>
  <si>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</si>
  <si>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</si>
  <si>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</si>
  <si>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</si>
  <si>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</si>
  <si>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</si>
  <si>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</si>
  <si>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</si>
  <si>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</si>
  <si>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</si>
  <si>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</si>
  <si>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</si>
  <si>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</si>
  <si>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</si>
  <si>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</si>
  <si>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</si>
  <si>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</si>
  <si>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</si>
  <si>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</si>
  <si>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</si>
  <si>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</si>
  <si>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</si>
  <si>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</si>
  <si>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</si>
  <si>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</si>
  <si>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</si>
  <si>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</si>
  <si>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</si>
  <si>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</si>
  <si>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</si>
  <si>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</si>
  <si>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</si>
  <si>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</si>
  <si>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</si>
  <si>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</si>
  <si>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</si>
  <si>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</si>
  <si>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</si>
  <si>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</si>
  <si>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</si>
  <si>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</si>
  <si>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</si>
  <si>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</si>
  <si>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</si>
  <si>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</si>
  <si>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</si>
  <si>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</si>
  <si>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</si>
  <si>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</si>
  <si>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</si>
  <si>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</si>
  <si>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</si>
  <si>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</si>
  <si>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</si>
  <si>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</si>
  <si>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</si>
  <si>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</si>
  <si>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</si>
  <si>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</si>
  <si>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</si>
  <si>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</si>
  <si>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</si>
  <si>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</si>
  <si>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</si>
  <si>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</si>
  <si>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</si>
  <si>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</si>
  <si>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</si>
  <si>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</si>
  <si>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</si>
  <si>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</si>
  <si>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</si>
  <si>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</si>
  <si>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</si>
  <si>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</si>
  <si>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</si>
  <si>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</si>
  <si>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</si>
  <si>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</si>
  <si>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</si>
  <si>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</si>
  <si>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</si>
  <si>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</si>
  <si>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</si>
  <si>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</si>
  <si>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</si>
  <si>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</si>
  <si>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</si>
  <si>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</si>
  <si>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</si>
  <si>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</si>
  <si>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</si>
  <si>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</si>
  <si>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</si>
  <si>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</si>
  <si>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</si>
  <si>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</si>
  <si>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</si>
  <si>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</si>
  <si>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</si>
  <si>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</si>
  <si>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</si>
  <si>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</si>
  <si>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</si>
  <si>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</si>
  <si>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</si>
  <si>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</si>
  <si>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</si>
  <si>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</si>
  <si>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</si>
  <si>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</si>
  <si>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</si>
  <si>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</si>
  <si>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</si>
  <si>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</si>
  <si>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</si>
  <si>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</si>
  <si>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</si>
  <si>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</si>
  <si>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</si>
  <si>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</si>
  <si>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</si>
  <si>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</si>
  <si>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</si>
  <si>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</si>
  <si>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</si>
  <si>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</si>
  <si>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</si>
  <si>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</si>
  <si>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</si>
  <si>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</si>
  <si>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</si>
  <si>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</si>
  <si>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</si>
  <si>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</si>
  <si>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</si>
  <si>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</si>
  <si>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</si>
  <si>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</si>
  <si>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</si>
  <si>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</si>
  <si>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</si>
  <si>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</si>
  <si>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</si>
  <si>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</si>
  <si>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</si>
  <si>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</si>
  <si>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</si>
  <si>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</si>
  <si>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</si>
  <si>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</si>
  <si>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</si>
  <si>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</si>
  <si>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</si>
  <si>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</si>
  <si>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</si>
  <si>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</si>
  <si>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</si>
  <si>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</si>
  <si>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</si>
  <si>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</si>
  <si>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</si>
  <si>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</si>
  <si>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</si>
  <si>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</si>
  <si>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</si>
  <si>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</si>
  <si>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</si>
  <si>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</si>
  <si>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</si>
  <si>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</si>
  <si>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</si>
  <si>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</si>
  <si>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</si>
  <si>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</si>
  <si>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</si>
  <si>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</si>
  <si>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</si>
  <si>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</si>
  <si>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</si>
  <si>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</si>
  <si>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</si>
  <si>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</si>
  <si>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</si>
  <si>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</si>
  <si>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</si>
  <si>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</si>
  <si>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</si>
  <si>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</si>
  <si>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</si>
  <si>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</si>
  <si>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</si>
  <si>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</si>
  <si>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</si>
  <si>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</si>
  <si>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</si>
  <si>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</si>
  <si>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</si>
  <si>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</si>
  <si>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</si>
  <si>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</si>
  <si>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</si>
  <si>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</si>
  <si>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</si>
  <si>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</si>
  <si>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</si>
  <si>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</si>
  <si>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</si>
  <si>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</si>
  <si>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</si>
  <si>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</si>
  <si>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</si>
  <si>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</si>
  <si>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</si>
  <si>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</si>
  <si>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</si>
  <si>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</si>
  <si>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</si>
  <si>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</si>
  <si>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</si>
  <si>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</si>
  <si>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</si>
  <si>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</si>
  <si>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</si>
  <si>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</si>
  <si>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</si>
  <si>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</si>
  <si>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</si>
  <si>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</si>
  <si>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</si>
  <si>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</si>
  <si>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</si>
  <si>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</si>
  <si>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</si>
  <si>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</si>
  <si>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</si>
  <si>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</si>
  <si>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</si>
  <si>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</si>
  <si>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</si>
  <si>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</si>
  <si>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</si>
  <si>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</si>
  <si>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</si>
  <si>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</si>
  <si>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</si>
  <si>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</si>
  <si>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</si>
  <si>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</si>
  <si>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</si>
  <si>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</si>
  <si>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</si>
  <si>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</si>
  <si>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</si>
  <si>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</si>
  <si>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</si>
  <si>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</si>
  <si>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</si>
  <si>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</si>
  <si>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</si>
  <si>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</si>
  <si>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</si>
  <si>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</si>
  <si>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</si>
  <si>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</si>
  <si>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</si>
  <si>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</si>
  <si>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</si>
  <si>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</si>
  <si>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</si>
  <si>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</si>
  <si>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</si>
  <si>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</si>
  <si>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</si>
  <si>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</si>
  <si>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</si>
  <si>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</si>
  <si>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</si>
  <si>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</si>
  <si>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</si>
  <si>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</si>
  <si>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</si>
  <si>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</si>
  <si>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</si>
  <si>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</si>
  <si>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</si>
  <si>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</si>
  <si>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</si>
  <si>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</si>
  <si>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</si>
  <si>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</si>
  <si>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</si>
  <si>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</si>
  <si>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</si>
  <si>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</si>
  <si>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</si>
  <si>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</si>
  <si>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</si>
  <si>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</si>
  <si>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</si>
  <si>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</si>
  <si>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</si>
  <si>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</si>
  <si>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</si>
  <si>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</si>
  <si>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</si>
  <si>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</si>
  <si>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</si>
  <si>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</si>
  <si>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</si>
  <si>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</si>
  <si>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</si>
  <si>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</si>
  <si>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</si>
  <si>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</si>
  <si>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</si>
  <si>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</si>
  <si>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</si>
  <si>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</si>
  <si>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</si>
  <si>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</si>
  <si>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</si>
  <si>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</si>
  <si>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</si>
  <si>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</si>
  <si>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</si>
  <si>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</si>
  <si>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</si>
  <si>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</si>
  <si>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</si>
  <si>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</si>
  <si>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</si>
  <si>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</si>
  <si>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</si>
  <si>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</si>
  <si>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</si>
  <si>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</si>
  <si>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</si>
  <si>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</si>
  <si>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</si>
  <si>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</si>
  <si>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</si>
  <si>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</si>
  <si>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</si>
  <si>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</si>
  <si>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</si>
  <si>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</si>
  <si>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</si>
  <si>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</si>
  <si>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</si>
  <si>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</si>
  <si>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</si>
  <si>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</si>
  <si>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</si>
  <si>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</si>
  <si>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</si>
  <si>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</si>
  <si>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</si>
  <si>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</si>
  <si>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</si>
  <si>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</si>
  <si>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</si>
  <si>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</si>
  <si>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</si>
  <si>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</si>
  <si>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</si>
  <si>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</si>
  <si>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</si>
  <si>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</si>
  <si>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</si>
  <si>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</si>
  <si>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</si>
  <si>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</si>
  <si>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</si>
  <si>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</si>
  <si>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</si>
  <si>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</si>
  <si>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</si>
  <si>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</si>
  <si>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</si>
  <si>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</si>
  <si>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</si>
  <si>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</si>
  <si>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</si>
  <si>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</si>
  <si>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</si>
  <si>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</si>
  <si>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</si>
  <si>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</si>
  <si>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</si>
  <si>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</si>
  <si>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</si>
  <si>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</si>
  <si>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</si>
  <si>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</si>
  <si>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</si>
  <si>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</si>
  <si>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</si>
  <si>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</si>
  <si>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</si>
  <si>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</si>
  <si>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</si>
  <si>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</si>
  <si>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</si>
  <si>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</si>
  <si>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</si>
  <si>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</si>
  <si>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</si>
  <si>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</si>
  <si>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</si>
  <si>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</si>
  <si>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</si>
  <si>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</si>
  <si>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</si>
  <si>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</si>
  <si>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</si>
  <si>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</si>
  <si>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</si>
  <si>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</si>
  <si>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</si>
  <si>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</si>
  <si>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</si>
  <si>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</si>
  <si>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</si>
  <si>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</si>
  <si>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</si>
  <si>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</si>
  <si>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</si>
  <si>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</si>
  <si>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</si>
  <si>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</si>
  <si>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</si>
  <si>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</si>
  <si>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</si>
  <si>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</si>
  <si>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</si>
  <si>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</si>
  <si>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</si>
  <si>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</si>
  <si>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</si>
  <si>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</si>
  <si>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</si>
  <si>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</si>
  <si>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</si>
  <si>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</si>
  <si>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</si>
  <si>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</si>
  <si>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</si>
  <si>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</si>
  <si>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</si>
  <si>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</si>
  <si>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</si>
  <si>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</si>
  <si>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</si>
  <si>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</si>
  <si>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</si>
  <si>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</si>
  <si>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</si>
  <si>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</si>
  <si>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</si>
  <si>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</si>
  <si>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</si>
  <si>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</si>
  <si>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</si>
  <si>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</si>
  <si>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</si>
  <si>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</si>
  <si>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</si>
  <si>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</si>
  <si>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</si>
  <si>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</si>
  <si>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</si>
  <si>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</si>
  <si>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</si>
  <si>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</si>
  <si>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</si>
  <si>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</si>
  <si>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</si>
  <si>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</si>
  <si>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</si>
  <si>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</si>
  <si>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</si>
  <si>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</si>
  <si>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</si>
  <si>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</si>
  <si>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</si>
  <si>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</si>
  <si>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</si>
  <si>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</si>
  <si>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</si>
  <si>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</si>
  <si>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</si>
  <si>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</si>
  <si>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</si>
  <si>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</si>
  <si>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</si>
  <si>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</si>
  <si>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</si>
  <si>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</si>
  <si>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</si>
  <si>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</si>
  <si>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</si>
  <si>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</si>
  <si>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</si>
  <si>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</si>
  <si>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</si>
  <si>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</si>
  <si>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</si>
  <si>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</si>
  <si>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</si>
  <si>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</si>
  <si>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</si>
  <si>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</si>
  <si>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</si>
  <si>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</si>
  <si>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</si>
  <si>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</si>
  <si>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</si>
  <si>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</si>
  <si>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</si>
  <si>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</si>
  <si>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</si>
  <si>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</si>
  <si>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</si>
  <si>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</si>
  <si>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</si>
  <si>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</si>
  <si>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</si>
  <si>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</si>
  <si>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</si>
  <si>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</si>
  <si>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</si>
  <si>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</si>
  <si>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</si>
  <si>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</si>
  <si>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</si>
  <si>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</si>
  <si>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</si>
  <si>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</si>
  <si>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</si>
  <si>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</si>
  <si>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</si>
  <si>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</si>
  <si>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</si>
  <si>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</si>
  <si>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</si>
  <si>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</si>
  <si>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</si>
  <si>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</si>
  <si>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</si>
  <si>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</si>
  <si>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</si>
  <si>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</si>
  <si>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</si>
  <si>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</si>
  <si>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</si>
  <si>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</si>
  <si>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</si>
  <si>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</si>
  <si>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</si>
  <si>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</si>
  <si>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</si>
  <si>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</si>
  <si>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</si>
  <si>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</si>
  <si>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</si>
  <si>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</si>
  <si>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</si>
  <si>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</si>
  <si>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</si>
  <si>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</si>
  <si>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</si>
  <si>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</si>
  <si>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</si>
  <si>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</si>
  <si>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</si>
  <si>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</si>
  <si>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</si>
  <si>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</si>
  <si>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</si>
  <si>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</si>
  <si>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</si>
  <si>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</si>
  <si>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</si>
  <si>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</si>
  <si>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</si>
  <si>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</si>
  <si>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</si>
  <si>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</si>
  <si>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</si>
  <si>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</si>
  <si>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</si>
  <si>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</si>
  <si>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</si>
  <si>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</si>
  <si>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</si>
  <si>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</si>
  <si>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</si>
  <si>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</si>
  <si>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</si>
  <si>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</si>
  <si>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</si>
  <si>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</si>
  <si>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</si>
  <si>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</si>
  <si>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</si>
  <si>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</si>
  <si>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</si>
  <si>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</si>
  <si>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</si>
  <si>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</si>
  <si>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</si>
  <si>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</si>
  <si>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</si>
  <si>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</si>
  <si>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</si>
  <si>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</si>
  <si>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</si>
  <si>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</si>
  <si>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</si>
  <si>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</si>
  <si>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</si>
  <si>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</si>
  <si>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</si>
  <si>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</si>
  <si>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</si>
  <si>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</si>
  <si>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</si>
  <si>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</si>
  <si>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</si>
  <si>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</si>
  <si>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</si>
  <si>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</si>
  <si>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</si>
  <si>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</si>
  <si>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</si>
  <si>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</si>
  <si>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</si>
  <si>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</si>
  <si>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</si>
  <si>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</si>
  <si>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</si>
  <si>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</si>
  <si>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</si>
  <si>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</si>
  <si>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</si>
  <si>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</si>
  <si>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</si>
  <si>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</si>
  <si>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</si>
  <si>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</si>
  <si>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</si>
  <si>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</si>
  <si>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</si>
  <si>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</si>
  <si>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</si>
  <si>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</si>
  <si>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</si>
  <si>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</si>
  <si>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</si>
  <si>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</si>
  <si>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</si>
  <si>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</si>
  <si>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</si>
  <si>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</si>
  <si>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</si>
  <si>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</si>
  <si>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</si>
  <si>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</si>
  <si>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</si>
  <si>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</si>
  <si>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</si>
  <si>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</si>
  <si>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</si>
  <si>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</si>
  <si>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</si>
  <si>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</si>
  <si>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</si>
  <si>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</si>
  <si>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</si>
  <si>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</si>
  <si>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</si>
  <si>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</si>
  <si>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</si>
  <si>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</si>
  <si>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</si>
  <si>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</si>
  <si>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</si>
  <si>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</si>
  <si>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</si>
  <si>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</si>
  <si>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</si>
  <si>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</si>
  <si>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</si>
  <si>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</si>
  <si>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</si>
  <si>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</si>
  <si>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</si>
  <si>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</si>
  <si>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</si>
  <si>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</si>
  <si>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</si>
  <si>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</si>
  <si>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</si>
  <si>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</si>
  <si>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</si>
  <si>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</si>
  <si>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</si>
  <si>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</si>
  <si>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</si>
  <si>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</si>
  <si>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</si>
  <si>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</si>
  <si>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</si>
  <si>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</si>
  <si>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</si>
  <si>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</si>
  <si>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</si>
  <si>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</si>
  <si>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</si>
  <si>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</si>
  <si>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</si>
  <si>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</si>
  <si>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</si>
  <si>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</si>
  <si>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</si>
  <si>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</si>
  <si>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</si>
  <si>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</si>
  <si>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</si>
  <si>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</si>
  <si>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</si>
  <si>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</si>
  <si>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</si>
  <si>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</si>
  <si>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</si>
  <si>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</si>
  <si>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</si>
  <si>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</si>
  <si>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</si>
  <si>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</si>
  <si>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</si>
  <si>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</si>
  <si>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</si>
  <si>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</si>
  <si>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</si>
  <si>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</si>
  <si>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</si>
  <si>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</si>
  <si>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</si>
  <si>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</si>
  <si>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</si>
  <si>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</si>
  <si>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</si>
  <si>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</si>
  <si>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</si>
  <si>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</si>
  <si>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</si>
  <si>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</si>
  <si>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</si>
  <si>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</si>
  <si>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</si>
  <si>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</si>
  <si>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</si>
  <si>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</si>
  <si>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</si>
  <si>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</si>
  <si>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</si>
  <si>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</si>
  <si>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</si>
  <si>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</si>
  <si>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</si>
  <si>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</si>
  <si>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</si>
  <si>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</si>
  <si>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</si>
  <si>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</si>
  <si>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</si>
  <si>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</si>
  <si>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</si>
  <si>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</si>
  <si>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</si>
  <si>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</si>
  <si>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</si>
  <si>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</si>
  <si>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</si>
  <si>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</si>
  <si>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</si>
  <si>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</si>
  <si>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</si>
  <si>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</si>
  <si>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</si>
  <si>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</si>
  <si>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</si>
  <si>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</si>
  <si>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</si>
  <si>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</si>
  <si>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</si>
  <si>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</si>
  <si>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</si>
  <si>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</si>
  <si>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</si>
  <si>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</si>
  <si>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</si>
  <si>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</si>
  <si>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</si>
  <si>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</si>
  <si>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</si>
  <si>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</si>
  <si>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</si>
  <si>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</si>
  <si>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</si>
  <si>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</si>
  <si>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</si>
  <si>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</si>
  <si>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</si>
  <si>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</si>
  <si>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</si>
  <si>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</si>
  <si>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</si>
  <si>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</si>
  <si>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</si>
  <si>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</si>
  <si>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</si>
  <si>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</si>
  <si>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</si>
  <si>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</si>
  <si>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</si>
  <si>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</si>
  <si>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</si>
  <si>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</si>
  <si>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</si>
  <si>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</si>
  <si>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</si>
  <si>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</si>
  <si>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</si>
  <si>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</si>
  <si>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</si>
  <si>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</si>
  <si>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</si>
  <si>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</si>
  <si>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</si>
  <si>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</si>
  <si>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</si>
  <si>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</si>
  <si>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</si>
  <si>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</si>
  <si>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</si>
  <si>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</si>
  <si>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</si>
  <si>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</si>
  <si>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</si>
  <si>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</si>
  <si>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</si>
  <si>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</si>
  <si>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</si>
  <si>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</si>
  <si>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</si>
  <si>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</si>
  <si>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</si>
  <si>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</si>
  <si>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</si>
  <si>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</si>
  <si>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</si>
  <si>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</si>
  <si>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</si>
  <si>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</si>
  <si>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</si>
  <si>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</si>
  <si>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</si>
  <si>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</si>
  <si>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</si>
  <si>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</si>
  <si>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</si>
  <si>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</si>
  <si>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</si>
  <si>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</si>
  <si>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</si>
  <si>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</si>
  <si>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</si>
  <si>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</si>
  <si>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</si>
  <si>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</si>
  <si>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</si>
  <si>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</si>
  <si>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</si>
  <si>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</si>
  <si>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</si>
  <si>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</si>
  <si>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</si>
  <si>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</si>
  <si>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</si>
  <si>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</si>
  <si>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</si>
  <si>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</si>
  <si>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</si>
  <si>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</si>
  <si>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</si>
  <si>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</si>
  <si>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</si>
  <si>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</si>
  <si>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</si>
  <si>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</si>
  <si>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</si>
  <si>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</si>
  <si>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</si>
  <si>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</si>
  <si>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</si>
  <si>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</si>
  <si>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</si>
  <si>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</si>
  <si>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</si>
  <si>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</si>
  <si>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</si>
  <si>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</si>
  <si>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</si>
  <si>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</si>
  <si>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</si>
  <si>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</si>
  <si>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</si>
  <si>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</si>
  <si>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</si>
  <si>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</si>
  <si>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</si>
  <si>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</si>
  <si>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</si>
  <si>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</si>
  <si>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</si>
  <si>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</si>
  <si>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</si>
  <si>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</si>
  <si>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</si>
  <si>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</si>
  <si>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</si>
  <si>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</si>
  <si>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</si>
  <si>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</si>
  <si>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</si>
  <si>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</si>
  <si>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</si>
  <si>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</si>
  <si>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</si>
  <si>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</si>
  <si>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</si>
  <si>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</si>
  <si>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</si>
  <si>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</si>
  <si>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</si>
  <si>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</si>
  <si>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</si>
  <si>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</si>
  <si>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</si>
  <si>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</si>
  <si>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</si>
  <si>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</si>
  <si>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</si>
  <si>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</si>
  <si>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</si>
  <si>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</si>
  <si>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</si>
  <si>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</si>
  <si>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</si>
  <si>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</si>
  <si>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</si>
  <si>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</si>
  <si>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</si>
  <si>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</si>
  <si>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</si>
  <si>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</si>
  <si>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</si>
  <si>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</si>
  <si>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</si>
  <si>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</si>
  <si>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</si>
  <si>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</si>
  <si>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</si>
  <si>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</si>
  <si>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</si>
  <si>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</si>
  <si>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</si>
  <si>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</si>
  <si>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</si>
  <si>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</si>
  <si>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</si>
  <si>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</si>
  <si>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</si>
  <si>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</si>
  <si>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</si>
  <si>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</si>
  <si>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</si>
  <si>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</si>
  <si>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</si>
  <si>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</si>
  <si>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</si>
  <si>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</si>
  <si>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</si>
  <si>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</si>
  <si>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</si>
  <si>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</si>
  <si>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</si>
  <si>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</si>
  <si>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</si>
  <si>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</si>
  <si>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</si>
  <si>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</si>
  <si>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</si>
  <si>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</si>
  <si>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</si>
  <si>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</si>
  <si>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</si>
  <si>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</si>
  <si>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</si>
  <si>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</si>
  <si>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</si>
  <si>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</si>
  <si>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</si>
  <si>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</si>
  <si>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</si>
  <si>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</si>
  <si>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</si>
  <si>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</si>
  <si>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</si>
  <si>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</si>
  <si>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</si>
  <si>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</si>
  <si>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</si>
  <si>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</si>
  <si>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</si>
  <si>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</si>
  <si>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</si>
  <si>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</si>
  <si>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</si>
  <si>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</si>
  <si>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</si>
  <si>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</si>
  <si>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</si>
  <si>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</si>
  <si>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</si>
  <si>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</si>
  <si>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</si>
  <si>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</si>
  <si>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</si>
  <si>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</si>
  <si>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</si>
  <si>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</si>
  <si>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</si>
  <si>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</si>
  <si>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</si>
  <si>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</si>
  <si>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</si>
  <si>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</si>
  <si>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</si>
  <si>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</si>
  <si>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</si>
  <si>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</si>
  <si>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</si>
  <si>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</si>
  <si>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</si>
  <si>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</si>
  <si>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</si>
  <si>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</si>
  <si>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</si>
  <si>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</si>
  <si>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</si>
  <si>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</si>
  <si>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</si>
  <si>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</si>
  <si>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</si>
  <si>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</si>
  <si>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</si>
  <si>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</si>
  <si>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</si>
  <si>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</si>
  <si>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</si>
  <si>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</si>
  <si>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</si>
  <si>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</si>
  <si>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</si>
  <si>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</si>
  <si>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</si>
  <si>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</si>
  <si>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</si>
  <si>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</si>
  <si>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</si>
  <si>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</si>
  <si>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</si>
  <si>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</si>
  <si>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</si>
  <si>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</si>
  <si>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</si>
  <si>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</si>
  <si>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</si>
  <si>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</si>
  <si>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</si>
  <si>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</si>
  <si>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</si>
  <si>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</si>
  <si>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</si>
  <si>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</si>
  <si>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</si>
  <si>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</si>
  <si>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</si>
  <si>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</si>
  <si>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</si>
  <si>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</si>
  <si>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</si>
  <si>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</si>
  <si>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</si>
  <si>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</si>
  <si>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</si>
  <si>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</si>
  <si>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</si>
  <si>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</si>
  <si>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</si>
  <si>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</si>
  <si>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</si>
  <si>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</si>
  <si>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</si>
  <si>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</si>
  <si>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</si>
  <si>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</si>
  <si>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</si>
  <si>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</si>
  <si>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</si>
  <si>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</si>
  <si>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</si>
  <si>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</si>
  <si>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</si>
  <si>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</si>
  <si>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</si>
  <si>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</si>
  <si>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</si>
  <si>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</si>
  <si>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</si>
  <si>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</si>
  <si>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</si>
  <si>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</si>
  <si>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</si>
  <si>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</si>
  <si>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</si>
  <si>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</si>
  <si>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</si>
  <si>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</si>
  <si>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</si>
  <si>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</si>
  <si>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</si>
  <si>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</si>
  <si>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</si>
  <si>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</si>
  <si>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</si>
  <si>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</si>
  <si>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</si>
  <si>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</si>
  <si>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</si>
  <si>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</si>
  <si>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</si>
  <si>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</si>
  <si>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</si>
  <si>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</si>
  <si>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</si>
  <si>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</si>
  <si>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</si>
  <si>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</si>
  <si>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</si>
  <si>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</si>
  <si>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</si>
  <si>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</si>
  <si>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</si>
  <si>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</si>
  <si>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</si>
  <si>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</si>
  <si>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</si>
  <si>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</si>
  <si>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</si>
  <si>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</si>
  <si>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</si>
  <si>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</si>
  <si>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</si>
  <si>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</si>
  <si>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</si>
  <si>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</si>
  <si>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</si>
  <si>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</si>
  <si>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</si>
  <si>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</si>
  <si>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</si>
  <si>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</si>
  <si>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</si>
  <si>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</si>
  <si>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</si>
  <si>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</si>
  <si>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</si>
  <si>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</si>
  <si>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</si>
  <si>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</si>
  <si>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</si>
  <si>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</si>
  <si>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</si>
  <si>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</si>
  <si>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</si>
  <si>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</si>
  <si>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</si>
  <si>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</si>
  <si>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</si>
  <si>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</si>
  <si>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</si>
  <si>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</si>
  <si>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</si>
  <si>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</si>
  <si>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</si>
  <si>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</si>
  <si>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</si>
  <si>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</si>
  <si>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</si>
  <si>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</si>
  <si>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</si>
  <si>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</si>
  <si>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</si>
  <si>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</si>
  <si>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</si>
  <si>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</si>
  <si>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</si>
  <si>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</si>
  <si>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</si>
  <si>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</si>
  <si>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</si>
  <si>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</si>
  <si>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</si>
  <si>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</si>
  <si>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</si>
  <si>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</si>
  <si>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</si>
  <si>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</si>
  <si>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</si>
  <si>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</si>
  <si>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</si>
  <si>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</si>
  <si>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</si>
  <si>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</si>
  <si>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</si>
  <si>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</si>
  <si>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</si>
  <si>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</si>
  <si>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</si>
  <si>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</si>
  <si>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</si>
  <si>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</si>
  <si>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</si>
  <si>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</si>
  <si>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</si>
  <si>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</si>
  <si>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</si>
  <si>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</si>
  <si>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</si>
  <si>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</si>
  <si>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</si>
  <si>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</si>
  <si>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</si>
  <si>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</si>
  <si>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</si>
  <si>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</si>
  <si>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</si>
  <si>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</si>
  <si>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</si>
  <si>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</si>
  <si>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</si>
  <si>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</si>
  <si>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</si>
  <si>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</si>
  <si>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</si>
  <si>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</si>
  <si>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</si>
  <si>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</si>
  <si>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</si>
  <si>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</si>
  <si>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</si>
  <si>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</si>
  <si>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</si>
  <si>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</si>
  <si>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</si>
  <si>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</si>
  <si>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</si>
  <si>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</si>
  <si>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</si>
  <si>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</si>
  <si>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</si>
  <si>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</si>
  <si>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</si>
  <si>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</si>
  <si>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</si>
  <si>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</si>
  <si>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</si>
  <si>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</si>
  <si>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</si>
  <si>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</si>
  <si>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</si>
  <si>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</si>
  <si>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</si>
  <si>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</si>
  <si>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</si>
  <si>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</si>
  <si>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</si>
  <si>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</si>
  <si>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</si>
  <si>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</si>
  <si>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</si>
  <si>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</si>
  <si>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</si>
  <si>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</si>
  <si>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</si>
  <si>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</si>
  <si>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</si>
  <si>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</si>
  <si>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</si>
  <si>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</si>
  <si>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</si>
  <si>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</si>
  <si>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</si>
  <si>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</si>
  <si>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</si>
  <si>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</si>
  <si>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</si>
  <si>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</si>
  <si>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</si>
  <si>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</si>
  <si>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</si>
  <si>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</si>
  <si>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</si>
  <si>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</si>
  <si>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</si>
  <si>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</si>
  <si>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</si>
  <si>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</si>
  <si>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</si>
  <si>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</si>
  <si>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</si>
  <si>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</si>
  <si>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</si>
  <si>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</si>
  <si>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</si>
  <si>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</si>
  <si>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</si>
  <si>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</si>
  <si>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</si>
  <si>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</si>
  <si>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</si>
  <si>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</si>
  <si>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</si>
  <si>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</si>
  <si>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</si>
  <si>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</si>
  <si>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</si>
  <si>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</si>
  <si>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</si>
  <si>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</si>
  <si>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</si>
  <si>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</si>
  <si>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</si>
  <si>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</si>
  <si>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</si>
  <si>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</si>
  <si>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</si>
  <si>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</si>
  <si>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</si>
  <si>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</si>
  <si>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</si>
  <si>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</si>
  <si>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</si>
  <si>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</si>
  <si>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</si>
  <si>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</si>
  <si>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</si>
  <si>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</si>
  <si>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</si>
  <si>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</si>
  <si>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</si>
  <si>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</si>
  <si>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</si>
  <si>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</si>
  <si>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</si>
  <si>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</si>
  <si>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</si>
  <si>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</si>
  <si>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</si>
  <si>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</si>
  <si>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</si>
  <si>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</si>
  <si>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</si>
  <si>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</si>
  <si>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53,910 runners in 5,923 races): the served main with the block +0.0001 (-0.0005 to +0.0008), with its record half only +0.0002 (-0.0004 to +0.0009), Brier skill and concordance level; the rule +10.50% and +10.69% against +10.38%; the owner's staking at expected CLV &gt;= 3% +6.62% and +6.30% against +6.11% (held +4.12% and +1.78% against +3.88%), at &gt;= 0% +3.94% and +4.24% against +4.23%: all inside the noise. Retired.</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</si>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</sst>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COUNTIF(Features!$F$2:$F$1514,A5)</f>
        <v>993</v>
      </c>
      <c r="C5" s="4"/>
      <c r="D5" s="4"/>
    </row>
    <row r="6" customFormat="false" ht="15" hidden="false" customHeight="false" outlineLevel="0" collapsed="false">
      <c r="A6" s="4" t="s">
        <v>5</v>
      </c>
      <c r="B6" s="4" t="n">
        <f aca="false">COUNTIF(Features!$F$2:$F$1514,A6)</f>
        <v>19</v>
      </c>
      <c r="C6" s="4"/>
      <c r="D6" s="4"/>
    </row>
    <row r="7" customFormat="false" ht="15" hidden="false" customHeight="false" outlineLevel="0" collapsed="false">
      <c r="A7" s="4" t="s">
        <v>6</v>
      </c>
      <c r="B7" s="4" t="n">
        <f aca="false">COUNTIF(Features!$F$2:$F$1514,A7)</f>
        <v>497</v>
      </c>
      <c r="C7" s="4"/>
      <c r="D7" s="4"/>
    </row>
    <row r="8" customFormat="false" ht="15" hidden="false" customHeight="false" outlineLevel="0" collapsed="false">
      <c r="A8" s="4" t="s">
        <v>7</v>
      </c>
      <c r="B8" s="4" t="n">
        <f aca="false">COUNTIF(Features!$F$2:$F$1514,A8)</f>
        <v>4</v>
      </c>
      <c r="C8" s="4"/>
      <c r="D8" s="4"/>
    </row>
    <row r="9" customFormat="false" ht="15" hidden="false" customHeight="false" outlineLevel="0" collapsed="false">
      <c r="A9" s="5" t="s">
        <v>8</v>
      </c>
      <c r="B9" s="5" t="n">
        <f aca="false">SUM(B5:B8)</f>
        <v>1513</v>
      </c>
      <c r="C9" s="4"/>
      <c r="D9" s="4"/>
    </row>
    <row r="10" customFormat="false" ht="15" hidden="false" customHeight="false" outlineLevel="0" collapsed="false">
      <c r="A10" s="4" t="s">
        <v>9</v>
      </c>
      <c r="B10" s="4" t="n">
        <f aca="false">COUNT(Features!$G$2:$G$1514)</f>
        <v>993</v>
      </c>
      <c r="C10" s="4"/>
      <c r="D10" s="4"/>
    </row>
    <row r="11" customFormat="false" ht="15" hidden="false" customHeight="false" outlineLevel="0" collapsed="false">
      <c r="A11" s="4" t="s">
        <v>10</v>
      </c>
      <c r="B11" s="4" t="n">
        <f aca="false">COUNTIFS(Features!$F$2:$F$1514,"Served",Features!$G$2:$G$1514,0)</f>
        <v>3</v>
      </c>
      <c r="C11" s="4"/>
      <c r="D11" s="4"/>
    </row>
    <row r="12" customFormat="false" ht="15" hidden="false" customHeight="false" outlineLevel="0" collapsed="false">
      <c r="A12" s="4" t="s">
        <v>11</v>
      </c>
      <c r="B12" s="6" t="n">
        <f aca="false">SUM(Features!$H$2:$H$1514)</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INDEX(Features!$A$2:$A$1514,MATCH(1,Features!$I$2:$I$1514,0))</f>
        <v>rw_fv_nfp_s8_gap</v>
      </c>
      <c r="B22" s="6" t="n">
        <f aca="false">INDEX(Features!$H$2:$H$1514,MATCH(1,Features!$I$2:$I$1514,0))</f>
        <v>0.0594501794820898</v>
      </c>
      <c r="C22" s="4" t="str">
        <f aca="false">INDEX(Features!$B$2:$B$1514,MATCH(1,Features!$I$2:$I$1514,0))</f>
        <v>Wide within-race readings</v>
      </c>
      <c r="D22" s="4" t="str">
        <f aca="false">INDEX(Features!$D$2:$D$1514,MATCH(1,Features!$I$2:$I$1514,0))</f>
        <v>Wide within-race reading, gap to the best in today's field: fv nfp s8</v>
      </c>
    </row>
    <row r="23" customFormat="false" ht="15" hidden="false" customHeight="false" outlineLevel="0" collapsed="false">
      <c r="A23" s="4" t="str">
        <f aca="false">INDEX(Features!$A$2:$A$1514,MATCH(2,Features!$I$2:$I$1514,0))</f>
        <v>rw_fv_nfp_e3_gap</v>
      </c>
      <c r="B23" s="6" t="n">
        <f aca="false">INDEX(Features!$H$2:$H$1514,MATCH(2,Features!$I$2:$I$1514,0))</f>
        <v>0.0361926068207656</v>
      </c>
      <c r="C23" s="4" t="str">
        <f aca="false">INDEX(Features!$B$2:$B$1514,MATCH(2,Features!$I$2:$I$1514,0))</f>
        <v>Wide within-race readings</v>
      </c>
      <c r="D23" s="4" t="str">
        <f aca="false">INDEX(Features!$D$2:$D$1514,MATCH(2,Features!$I$2:$I$1514,0))</f>
        <v>Wide within-race reading, gap to the best in today's field: fv nfp e3</v>
      </c>
    </row>
    <row r="24" customFormat="false" ht="15" hidden="false" customHeight="false" outlineLevel="0" collapsed="false">
      <c r="A24" s="4" t="str">
        <f aca="false">INDEX(Features!$A$2:$A$1514,MATCH(3,Features!$I$2:$I$1514,0))</f>
        <v>rPMW3</v>
      </c>
      <c r="B24" s="6" t="n">
        <f aca="false">INDEX(Features!$H$2:$H$1514,MATCH(3,Features!$I$2:$I$1514,0))</f>
        <v>0.0274111953982333</v>
      </c>
      <c r="C24" s="4" t="str">
        <f aca="false">INDEX(Features!$B$2:$B$1514,MATCH(3,Features!$I$2:$I$1514,0))</f>
        <v>Custom metrics</v>
      </c>
      <c r="D24" s="4" t="str">
        <f aca="false">INDEX(Features!$D$2:$D$1514,MATCH(3,Features!$I$2:$I$1514,0))</f>
        <v>Within-race rank (1 = highest in the field) of PMW3: performance-adjusted prize money (prize x RB^2), recency-weighted, last 3 runs</v>
      </c>
    </row>
    <row r="25" customFormat="false" ht="15" hidden="false" customHeight="false" outlineLevel="0" collapsed="false">
      <c r="A25" s="4" t="str">
        <f aca="false">INDEX(Features!$A$2:$A$1514,MATCH(4,Features!$I$2:$I$1514,0))</f>
        <v>rPMW10</v>
      </c>
      <c r="B25" s="6" t="n">
        <f aca="false">INDEX(Features!$H$2:$H$1514,MATCH(4,Features!$I$2:$I$1514,0))</f>
        <v>0.0262603584539023</v>
      </c>
      <c r="C25" s="4" t="str">
        <f aca="false">INDEX(Features!$B$2:$B$1514,MATCH(4,Features!$I$2:$I$1514,0))</f>
        <v>Custom metrics</v>
      </c>
      <c r="D25" s="4" t="str">
        <f aca="false">INDEX(Features!$D$2:$D$1514,MATCH(4,Features!$I$2:$I$1514,0))</f>
        <v>Within-race rank (1 = highest in the field) of PMW10: performance-adjusted prize money (prize x RB^2), recency-weighted, last 10 runs</v>
      </c>
    </row>
    <row r="26" customFormat="false" ht="15" hidden="false" customHeight="false" outlineLevel="0" collapsed="false">
      <c r="A26" s="4" t="str">
        <f aca="false">INDEX(Features!$A$2:$A$1514,MATCH(5,Features!$I$2:$I$1514,0))</f>
        <v>rr_PMW3_z</v>
      </c>
      <c r="B26" s="6" t="n">
        <f aca="false">INDEX(Features!$H$2:$H$1514,MATCH(5,Features!$I$2:$I$1514,0))</f>
        <v>0.0256430322918167</v>
      </c>
      <c r="C26" s="4" t="str">
        <f aca="false">INDEX(Features!$B$2:$B$1514,MATCH(5,Features!$I$2:$I$1514,0))</f>
        <v>Within-race readings</v>
      </c>
      <c r="D26" s="4" t="str">
        <f aca="false">INDEX(Features!$D$2:$D$1514,MATCH(5,Features!$I$2:$I$1514,0))</f>
        <v>Within-race reading, z-score against today's field: performance-adjusted prize money (prize x RB^2), recency-weighted, last 3 runs</v>
      </c>
    </row>
    <row r="27" customFormat="false" ht="15" hidden="false" customHeight="false" outlineLevel="0" collapsed="false">
      <c r="A27" s="4" t="str">
        <f aca="false">INDEX(Features!$A$2:$A$1514,MATCH(6,Features!$I$2:$I$1514,0))</f>
        <v>hca_wt_vs_mark</v>
      </c>
      <c r="B27" s="6" t="n">
        <f aca="false">INDEX(Features!$H$2:$H$1514,MATCH(6,Features!$I$2:$I$1514,0))</f>
        <v>0.0212686767720475</v>
      </c>
      <c r="C27" s="4" t="str">
        <f aca="false">INDEX(Features!$B$2:$B$1514,MATCH(6,Features!$I$2:$I$1514,0))</f>
        <v>Handicap angles</v>
      </c>
      <c r="D27" s="4" t="str">
        <f aca="false">INDEX(Features!$D$2:$D$1514,MATCH(6,Features!$I$2:$I$1514,0))</f>
        <v>hca wt vs mark</v>
      </c>
    </row>
    <row r="28" customFormat="false" ht="15" hidden="false" customHeight="false" outlineLevel="0" collapsed="false">
      <c r="A28" s="4" t="str">
        <f aca="false">INDEX(Features!$A$2:$A$1514,MATCH(7,Features!$I$2:$I$1514,0))</f>
        <v>rPMW5</v>
      </c>
      <c r="B28" s="6" t="n">
        <f aca="false">INDEX(Features!$H$2:$H$1514,MATCH(7,Features!$I$2:$I$1514,0))</f>
        <v>0.0196366374442991</v>
      </c>
      <c r="C28" s="4" t="str">
        <f aca="false">INDEX(Features!$B$2:$B$1514,MATCH(7,Features!$I$2:$I$1514,0))</f>
        <v>Custom metrics</v>
      </c>
      <c r="D28" s="4" t="str">
        <f aca="false">INDEX(Features!$D$2:$D$1514,MATCH(7,Features!$I$2:$I$1514,0))</f>
        <v>Within-race rank (1 = highest in the field) of PMW5: performance-adjusted prize money (prize x RB^2), recency-weighted, last 5 runs</v>
      </c>
    </row>
    <row r="29" customFormat="false" ht="15" hidden="false" customHeight="false" outlineLevel="0" collapsed="false">
      <c r="A29" s="4" t="str">
        <f aca="false">INDEX(Features!$A$2:$A$1514,MATCH(8,Features!$I$2:$I$1514,0))</f>
        <v>rr_fw_mkt_w5_gap</v>
      </c>
      <c r="B29" s="6" t="n">
        <f aca="false">INDEX(Features!$H$2:$H$1514,MATCH(8,Features!$I$2:$I$1514,0))</f>
        <v>0.019229016639909</v>
      </c>
      <c r="C29" s="4" t="str">
        <f aca="false">INDEX(Features!$B$2:$B$1514,MATCH(8,Features!$I$2:$I$1514,0))</f>
        <v>Within-race readings</v>
      </c>
      <c r="D29" s="4" t="str">
        <f aca="false">INDEX(Features!$D$2:$D$1514,MATCH(8,Features!$I$2:$I$1514,0))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INDEX(Features!$A$2:$A$1514,MATCH(9,Features!$I$2:$I$1514,0))</f>
        <v>rw_PMW5_z</v>
      </c>
      <c r="B30" s="6" t="n">
        <f aca="false">INDEX(Features!$H$2:$H$1514,MATCH(9,Features!$I$2:$I$1514,0))</f>
        <v>0.0164120012636827</v>
      </c>
      <c r="C30" s="4" t="str">
        <f aca="false">INDEX(Features!$B$2:$B$1514,MATCH(9,Features!$I$2:$I$1514,0))</f>
        <v>Wide within-race readings</v>
      </c>
      <c r="D30" s="4" t="str">
        <f aca="false">INDEX(Features!$D$2:$D$1514,MATCH(9,Features!$I$2:$I$1514,0))</f>
        <v>Wide within-race reading, z-score against today's field: performance-adjusted prize money (prize x RB^2), recency-weighted, last 5 runs</v>
      </c>
    </row>
    <row r="31" customFormat="false" ht="15" hidden="false" customHeight="false" outlineLevel="0" collapsed="false">
      <c r="A31" s="4" t="str">
        <f aca="false">INDEX(Features!$A$2:$A$1514,MATCH(10,Features!$I$2:$I$1514,0))</f>
        <v>OFS1</v>
      </c>
      <c r="B31" s="6" t="n">
        <f aca="false">INDEX(Features!$H$2:$H$1514,MATCH(10,Features!$I$2:$I$1514,0))</f>
        <v>0.012431522412377</v>
      </c>
      <c r="C31" s="4" t="str">
        <f aca="false">INDEX(Features!$B$2:$B$1514,MATCH(10,Features!$I$2:$I$1514,0))</f>
        <v>Custom metrics</v>
      </c>
      <c r="D31" s="4" t="str">
        <f aca="false">INDEX(Features!$D$2:$D$1514,MATCH(10,Features!$I$2:$I$1514,0))</f>
        <v>Odds x field size in the last run (runners / BSP; equals LR_ORR2)</v>
      </c>
    </row>
    <row r="32" customFormat="false" ht="15" hidden="false" customHeight="false" outlineLevel="0" collapsed="false">
      <c r="A32" s="4" t="str">
        <f aca="false">INDEX(Features!$A$2:$A$1514,MATCH(11,Features!$I$2:$I$1514,0))</f>
        <v>rORR2LR</v>
      </c>
      <c r="B32" s="6" t="n">
        <f aca="false">INDEX(Features!$H$2:$H$1514,MATCH(11,Features!$I$2:$I$1514,0))</f>
        <v>0.0115432808358978</v>
      </c>
      <c r="C32" s="4" t="str">
        <f aca="false">INDEX(Features!$B$2:$B$1514,MATCH(11,Features!$I$2:$I$1514,0))</f>
        <v>Custom metrics</v>
      </c>
      <c r="D32" s="4" t="str">
        <f aca="false">INDEX(Features!$D$2:$D$1514,MATCH(11,Features!$I$2:$I$1514,0))</f>
        <v>Within-race rank (1 = highest in the field) of LR_ORR2: market rating (runners / BSP) in the last run</v>
      </c>
    </row>
    <row r="33" customFormat="false" ht="15" hidden="false" customHeight="false" outlineLevel="0" collapsed="false">
      <c r="A33" s="4" t="str">
        <f aca="false">INDEX(Features!$A$2:$A$1514,MATCH(12,Features!$I$2:$I$1514,0))</f>
        <v>fw_lbs_l1</v>
      </c>
      <c r="B33" s="6" t="n">
        <f aca="false">INDEX(Features!$H$2:$H$1514,MATCH(12,Features!$I$2:$I$1514,0))</f>
        <v>0.0102981832612452</v>
      </c>
      <c r="C33" s="4" t="str">
        <f aca="false">INDEX(Features!$B$2:$B$1514,MATCH(12,Features!$I$2:$I$1514,0))</f>
        <v>Form windows</v>
      </c>
      <c r="D33" s="4" t="str">
        <f aca="false">INDEX(Features!$D$2:$D$1514,MATCH(12,Features!$I$2:$I$1514,0))</f>
        <v>Pounds beaten at the trip (capped 20): last run (earlier days only)</v>
      </c>
    </row>
    <row r="34" customFormat="false" ht="15" hidden="false" customHeight="false" outlineLevel="0" collapsed="false">
      <c r="A34" s="4" t="str">
        <f aca="false">INDEX(Features!$A$2:$A$1514,MATCH(13,Features!$I$2:$I$1514,0))</f>
        <v>rr_fw_nfp_w5_gap</v>
      </c>
      <c r="B34" s="6" t="n">
        <f aca="false">INDEX(Features!$H$2:$H$1514,MATCH(13,Features!$I$2:$I$1514,0))</f>
        <v>0.0102108700406333</v>
      </c>
      <c r="C34" s="4" t="str">
        <f aca="false">INDEX(Features!$B$2:$B$1514,MATCH(13,Features!$I$2:$I$1514,0))</f>
        <v>Within-race readings</v>
      </c>
      <c r="D34" s="4" t="str">
        <f aca="false">INDEX(Features!$D$2:$D$1514,MATCH(13,Features!$I$2:$I$1514,0))</f>
        <v>Within-race reading, gap to the best in today's field: normalised finishing position: last 5 runs weighted 5..1 by recency (earlier days only)</v>
      </c>
    </row>
    <row r="35" customFormat="false" ht="15" hidden="false" customHeight="false" outlineLevel="0" collapsed="false">
      <c r="A35" s="4" t="str">
        <f aca="false">INDEX(Features!$A$2:$A$1514,MATCH(14,Features!$I$2:$I$1514,0))</f>
        <v>LR_ORR2</v>
      </c>
      <c r="B35" s="6" t="n">
        <f aca="false">INDEX(Features!$H$2:$H$1514,MATCH(14,Features!$I$2:$I$1514,0))</f>
        <v>0.00987257610269476</v>
      </c>
      <c r="C35" s="4" t="str">
        <f aca="false">INDEX(Features!$B$2:$B$1514,MATCH(14,Features!$I$2:$I$1514,0))</f>
        <v>Custom metrics</v>
      </c>
      <c r="D35" s="4" t="str">
        <f aca="false">INDEX(Features!$D$2:$D$1514,MATCH(14,Features!$I$2:$I$1514,0))</f>
        <v>Market rating (runners / BSP) in the last run</v>
      </c>
    </row>
    <row r="36" customFormat="false" ht="15" hidden="false" customHeight="false" outlineLevel="0" collapsed="false">
      <c r="A36" s="4" t="str">
        <f aca="false">INDEX(Features!$A$2:$A$1514,MATCH(15,Features!$I$2:$I$1514,0))</f>
        <v>rRWOLR3</v>
      </c>
      <c r="B36" s="6" t="n">
        <f aca="false">INDEX(Features!$H$2:$H$1514,MATCH(15,Features!$I$2:$I$1514,0))</f>
        <v>0.0097016836400686</v>
      </c>
      <c r="C36" s="4" t="str">
        <f aca="false">INDEX(Features!$B$2:$B$1514,MATCH(15,Features!$I$2:$I$1514,0))</f>
        <v>Custom metrics</v>
      </c>
      <c r="D36" s="4" t="str">
        <f aca="false">INDEX(Features!$D$2:$D$1514,MATCH(15,Features!$I$2:$I$1514,0))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IF(G2="","",G2/SUM($G$2:$G$1514))</f>
        <v>0.0594501794820898</v>
      </c>
      <c r="I2" s="4" t="n">
        <f aca="false">IF(G2="","",RANK(G2,$G$2:$G$1514,0))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IF(G3="","",G3/SUM($G$2:$G$1514))</f>
        <v>0.0361926068207656</v>
      </c>
      <c r="I3" s="4" t="n">
        <f aca="false">IF(G3="","",RANK(G3,$G$2:$G$1514,0))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IF(G4="","",G4/SUM($G$2:$G$1514))</f>
        <v>0.0274111953982333</v>
      </c>
      <c r="I4" s="4" t="n">
        <f aca="false">IF(G4="","",RANK(G4,$G$2:$G$1514,0))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IF(G5="","",G5/SUM($G$2:$G$1514))</f>
        <v>0.0262603584539023</v>
      </c>
      <c r="I5" s="4" t="n">
        <f aca="false">IF(G5="","",RANK(G5,$G$2:$G$1514,0))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IF(G6="","",G6/SUM($G$2:$G$1514))</f>
        <v>0.0256430322918167</v>
      </c>
      <c r="I6" s="4" t="n">
        <f aca="false">IF(G6="","",RANK(G6,$G$2:$G$1514,0))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IF(G7="","",G7/SUM($G$2:$G$1514))</f>
        <v>0.0212686767720475</v>
      </c>
      <c r="I7" s="4" t="n">
        <f aca="false">IF(G7="","",RANK(G7,$G$2:$G$1514,0))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IF(G8="","",G8/SUM($G$2:$G$1514))</f>
        <v>0.0196366374442991</v>
      </c>
      <c r="I8" s="4" t="n">
        <f aca="false">IF(G8="","",RANK(G8,$G$2:$G$1514,0))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IF(G9="","",G9/SUM($G$2:$G$1514))</f>
        <v>0.019229016639909</v>
      </c>
      <c r="I9" s="4" t="n">
        <f aca="false">IF(G9="","",RANK(G9,$G$2:$G$1514,0))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IF(G10="","",G10/SUM($G$2:$G$1514))</f>
        <v>0.0164120012636827</v>
      </c>
      <c r="I10" s="4" t="n">
        <f aca="false">IF(G10="","",RANK(G10,$G$2:$G$1514,0))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IF(G11="","",G11/SUM($G$2:$G$1514))</f>
        <v>0.012431522412377</v>
      </c>
      <c r="I11" s="4" t="n">
        <f aca="false">IF(G11="","",RANK(G11,$G$2:$G$1514,0))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IF(G12="","",G12/SUM($G$2:$G$1514))</f>
        <v>0.0115432808358978</v>
      </c>
      <c r="I12" s="4" t="n">
        <f aca="false">IF(G12="","",RANK(G12,$G$2:$G$1514,0))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IF(G13="","",G13/SUM($G$2:$G$1514))</f>
        <v>0.0102981832612452</v>
      </c>
      <c r="I13" s="4" t="n">
        <f aca="false">IF(G13="","",RANK(G13,$G$2:$G$1514,0))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IF(G14="","",G14/SUM($G$2:$G$1514))</f>
        <v>0.0102108700406333</v>
      </c>
      <c r="I14" s="4" t="n">
        <f aca="false">IF(G14="","",RANK(G14,$G$2:$G$1514,0))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IF(G15="","",G15/SUM($G$2:$G$1514))</f>
        <v>0.00987257610269476</v>
      </c>
      <c r="I15" s="4" t="n">
        <f aca="false">IF(G15="","",RANK(G15,$G$2:$G$1514,0))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IF(G16="","",G16/SUM($G$2:$G$1514))</f>
        <v>0.0097016836400686</v>
      </c>
      <c r="I16" s="4" t="n">
        <f aca="false">IF(G16="","",RANK(G16,$G$2:$G$1514,0))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IF(G17="","",G17/SUM($G$2:$G$1514))</f>
        <v>0.00918861761182468</v>
      </c>
      <c r="I17" s="4" t="n">
        <f aca="false">IF(G17="","",RANK(G17,$G$2:$G$1514,0))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IF(G18="","",G18/SUM($G$2:$G$1514))</f>
        <v>0.00883702306605532</v>
      </c>
      <c r="I18" s="4" t="n">
        <f aca="false">IF(G18="","",RANK(G18,$G$2:$G$1514,0))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IF(G19="","",G19/SUM($G$2:$G$1514))</f>
        <v>0.00867251290921331</v>
      </c>
      <c r="I19" s="4" t="n">
        <f aca="false">IF(G19="","",RANK(G19,$G$2:$G$1514,0))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IF(G20="","",G20/SUM($G$2:$G$1514))</f>
        <v>0.00858414707177543</v>
      </c>
      <c r="I20" s="4" t="n">
        <f aca="false">IF(G20="","",RANK(G20,$G$2:$G$1514,0))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IF(G21="","",G21/SUM($G$2:$G$1514))</f>
        <v>0.00832016977287812</v>
      </c>
      <c r="I21" s="4" t="n">
        <f aca="false">IF(G21="","",RANK(G21,$G$2:$G$1514,0))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IF(G22="","",G22/SUM($G$2:$G$1514))</f>
        <v>0.00796170763910628</v>
      </c>
      <c r="I22" s="4" t="n">
        <f aca="false">IF(G22="","",RANK(G22,$G$2:$G$1514,0))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IF(G23="","",G23/SUM($G$2:$G$1514))</f>
        <v>0.0077745153120174</v>
      </c>
      <c r="I23" s="4" t="n">
        <f aca="false">IF(G23="","",RANK(G23,$G$2:$G$1514,0))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IF(G24="","",G24/SUM($G$2:$G$1514))</f>
        <v>0.00772467093071529</v>
      </c>
      <c r="I24" s="4" t="n">
        <f aca="false">IF(G24="","",RANK(G24,$G$2:$G$1514,0))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IF(G25="","",G25/SUM($G$2:$G$1514))</f>
        <v>0.00768112933724728</v>
      </c>
      <c r="I25" s="4" t="n">
        <f aca="false">IF(G25="","",RANK(G25,$G$2:$G$1514,0))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IF(G26="","",G26/SUM($G$2:$G$1514))</f>
        <v>0.00743188140584291</v>
      </c>
      <c r="I26" s="4" t="n">
        <f aca="false">IF(G26="","",RANK(G26,$G$2:$G$1514,0))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IF(G27="","",G27/SUM($G$2:$G$1514))</f>
        <v>0.00730986989873532</v>
      </c>
      <c r="I27" s="4" t="n">
        <f aca="false">IF(G27="","",RANK(G27,$G$2:$G$1514,0))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IF(G28="","",G28/SUM($G$2:$G$1514))</f>
        <v>0.00703673122293097</v>
      </c>
      <c r="I28" s="4" t="n">
        <f aca="false">IF(G28="","",RANK(G28,$G$2:$G$1514,0))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IF(G29="","",G29/SUM($G$2:$G$1514))</f>
        <v>0.00688555176539652</v>
      </c>
      <c r="I29" s="4" t="n">
        <f aca="false">IF(G29="","",RANK(G29,$G$2:$G$1514,0))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IF(G30="","",G30/SUM($G$2:$G$1514))</f>
        <v>0.00638957109993426</v>
      </c>
      <c r="I30" s="4" t="n">
        <f aca="false">IF(G30="","",RANK(G30,$G$2:$G$1514,0))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IF(G31="","",G31/SUM($G$2:$G$1514))</f>
        <v>0.00606095838194555</v>
      </c>
      <c r="I31" s="4" t="n">
        <f aca="false">IF(G31="","",RANK(G31,$G$2:$G$1514,0))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IF(G32="","",G32/SUM($G$2:$G$1514))</f>
        <v>0.005769336150517</v>
      </c>
      <c r="I32" s="4" t="n">
        <f aca="false">IF(G32="","",RANK(G32,$G$2:$G$1514,0))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IF(G33="","",G33/SUM($G$2:$G$1514))</f>
        <v>0.00545945836231924</v>
      </c>
      <c r="I33" s="4" t="n">
        <f aca="false">IF(G33="","",RANK(G33,$G$2:$G$1514,0))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IF(G34="","",G34/SUM($G$2:$G$1514))</f>
        <v>0.00542129241524639</v>
      </c>
      <c r="I34" s="4" t="n">
        <f aca="false">IF(G34="","",RANK(G34,$G$2:$G$1514,0))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IF(G35="","",G35/SUM($G$2:$G$1514))</f>
        <v>0.0053392767825843</v>
      </c>
      <c r="I35" s="4" t="n">
        <f aca="false">IF(G35="","",RANK(G35,$G$2:$G$1514,0))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IF(G36="","",G36/SUM($G$2:$G$1514))</f>
        <v>0.00531829582531729</v>
      </c>
      <c r="I36" s="4" t="n">
        <f aca="false">IF(G36="","",RANK(G36,$G$2:$G$1514,0))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IF(G37="","",G37/SUM($G$2:$G$1514))</f>
        <v>0.00512283016470189</v>
      </c>
      <c r="I37" s="4" t="n">
        <f aca="false">IF(G37="","",RANK(G37,$G$2:$G$1514,0))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IF(G38="","",G38/SUM($G$2:$G$1514))</f>
        <v>0.00506635873208143</v>
      </c>
      <c r="I38" s="4" t="n">
        <f aca="false">IF(G38="","",RANK(G38,$G$2:$G$1514,0))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IF(G39="","",G39/SUM($G$2:$G$1514))</f>
        <v>0.00500023884380286</v>
      </c>
      <c r="I39" s="4" t="n">
        <f aca="false">IF(G39="","",RANK(G39,$G$2:$G$1514,0))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IF(G40="","",G40/SUM($G$2:$G$1514))</f>
        <v>0.00468913904482635</v>
      </c>
      <c r="I40" s="4" t="n">
        <f aca="false">IF(G40="","",RANK(G40,$G$2:$G$1514,0))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IF(G41="","",G41/SUM($G$2:$G$1514))</f>
        <v>0.00458011312629197</v>
      </c>
      <c r="I41" s="4" t="n">
        <f aca="false">IF(G41="","",RANK(G41,$G$2:$G$1514,0))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IF(G42="","",G42/SUM($G$2:$G$1514))</f>
        <v>0.00440782891238462</v>
      </c>
      <c r="I42" s="4" t="n">
        <f aca="false">IF(G42="","",RANK(G42,$G$2:$G$1514,0))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IF(G43="","",G43/SUM($G$2:$G$1514))</f>
        <v>0.00439305858771245</v>
      </c>
      <c r="I43" s="4" t="n">
        <f aca="false">IF(G43="","",RANK(G43,$G$2:$G$1514,0))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IF(G44="","",G44/SUM($G$2:$G$1514))</f>
        <v>0.00435684000970147</v>
      </c>
      <c r="I44" s="4" t="n">
        <f aca="false">IF(G44="","",RANK(G44,$G$2:$G$1514,0))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IF(G45="","",G45/SUM($G$2:$G$1514))</f>
        <v>0.00433499530987748</v>
      </c>
      <c r="I45" s="4" t="n">
        <f aca="false">IF(G45="","",RANK(G45,$G$2:$G$1514,0))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IF(G46="","",G46/SUM($G$2:$G$1514))</f>
        <v>0.00432862268881979</v>
      </c>
      <c r="I46" s="4" t="n">
        <f aca="false">IF(G46="","",RANK(G46,$G$2:$G$1514,0))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IF(G47="","",G47/SUM($G$2:$G$1514))</f>
        <v>0.00432338944534791</v>
      </c>
      <c r="I47" s="4" t="n">
        <f aca="false">IF(G47="","",RANK(G47,$G$2:$G$1514,0))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IF(G48="","",G48/SUM($G$2:$G$1514))</f>
        <v>0.00423178619986719</v>
      </c>
      <c r="I48" s="4" t="n">
        <f aca="false">IF(G48="","",RANK(G48,$G$2:$G$1514,0))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IF(G49="","",G49/SUM($G$2:$G$1514))</f>
        <v>0.00413025180499498</v>
      </c>
      <c r="I49" s="4" t="n">
        <f aca="false">IF(G49="","",RANK(G49,$G$2:$G$1514,0))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IF(G50="","",G50/SUM($G$2:$G$1514))</f>
        <v>0.00412906764601743</v>
      </c>
      <c r="I50" s="4" t="n">
        <f aca="false">IF(G50="","",RANK(G50,$G$2:$G$1514,0))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IF(G51="","",G51/SUM($G$2:$G$1514))</f>
        <v>0.00391963549618491</v>
      </c>
      <c r="I51" s="4" t="n">
        <f aca="false">IF(G51="","",RANK(G51,$G$2:$G$1514,0))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IF(G52="","",G52/SUM($G$2:$G$1514))</f>
        <v>0.0038513481258573</v>
      </c>
      <c r="I52" s="4" t="n">
        <f aca="false">IF(G52="","",RANK(G52,$G$2:$G$1514,0))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IF(G53="","",G53/SUM($G$2:$G$1514))</f>
        <v>0.00374229934088003</v>
      </c>
      <c r="I53" s="4" t="n">
        <f aca="false">IF(G53="","",RANK(G53,$G$2:$G$1514,0))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IF(G54="","",G54/SUM($G$2:$G$1514))</f>
        <v>0.00373829325052405</v>
      </c>
      <c r="I54" s="4" t="n">
        <f aca="false">IF(G54="","",RANK(G54,$G$2:$G$1514,0))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IF(G55="","",G55/SUM($G$2:$G$1514))</f>
        <v>0.00370087348276161</v>
      </c>
      <c r="I55" s="4" t="n">
        <f aca="false">IF(G55="","",RANK(G55,$G$2:$G$1514,0))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IF(G56="","",G56/SUM($G$2:$G$1514))</f>
        <v>0.00359472073331114</v>
      </c>
      <c r="I56" s="4" t="n">
        <f aca="false">IF(G56="","",RANK(G56,$G$2:$G$1514,0))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IF(G57="","",G57/SUM($G$2:$G$1514))</f>
        <v>0.00350957681861705</v>
      </c>
      <c r="I57" s="4" t="n">
        <f aca="false">IF(G57="","",RANK(G57,$G$2:$G$1514,0))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IF(G58="","",G58/SUM($G$2:$G$1514))</f>
        <v>0.00348086277714824</v>
      </c>
      <c r="I58" s="4" t="n">
        <f aca="false">IF(G58="","",RANK(G58,$G$2:$G$1514,0))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IF(G59="","",G59/SUM($G$2:$G$1514))</f>
        <v>0.00348020006603141</v>
      </c>
      <c r="I59" s="4" t="n">
        <f aca="false">IF(G59="","",RANK(G59,$G$2:$G$1514,0))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IF(G60="","",G60/SUM($G$2:$G$1514))</f>
        <v>0.00340817162787028</v>
      </c>
      <c r="I60" s="4" t="n">
        <f aca="false">IF(G60="","",RANK(G60,$G$2:$G$1514,0))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IF(G61="","",G61/SUM($G$2:$G$1514))</f>
        <v>0.00339179551441395</v>
      </c>
      <c r="I61" s="4" t="n">
        <f aca="false">IF(G61="","",RANK(G61,$G$2:$G$1514,0))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IF(G62="","",G62/SUM($G$2:$G$1514))</f>
        <v>0.0033900976260475</v>
      </c>
      <c r="I62" s="4" t="n">
        <f aca="false">IF(G62="","",RANK(G62,$G$2:$G$1514,0))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IF(G63="","",G63/SUM($G$2:$G$1514))</f>
        <v>0.0033844258780666</v>
      </c>
      <c r="I63" s="4" t="n">
        <f aca="false">IF(G63="","",RANK(G63,$G$2:$G$1514,0))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IF(G64="","",G64/SUM($G$2:$G$1514))</f>
        <v>0.00337742263466163</v>
      </c>
      <c r="I64" s="4" t="n">
        <f aca="false">IF(G64="","",RANK(G64,$G$2:$G$1514,0))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IF(G65="","",G65/SUM($G$2:$G$1514))</f>
        <v>0.00334985183782543</v>
      </c>
      <c r="I65" s="4" t="n">
        <f aca="false">IF(G65="","",RANK(G65,$G$2:$G$1514,0))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IF(G66="","",G66/SUM($G$2:$G$1514))</f>
        <v>0.00332653497040999</v>
      </c>
      <c r="I66" s="4" t="n">
        <f aca="false">IF(G66="","",RANK(G66,$G$2:$G$1514,0))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IF(G67="","",G67/SUM($G$2:$G$1514))</f>
        <v>0.00328596094328475</v>
      </c>
      <c r="I67" s="4" t="n">
        <f aca="false">IF(G67="","",RANK(G67,$G$2:$G$1514,0))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IF(G68="","",G68/SUM($G$2:$G$1514))</f>
        <v>0.00322525887095567</v>
      </c>
      <c r="I68" s="4" t="n">
        <f aca="false">IF(G68="","",RANK(G68,$G$2:$G$1514,0))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IF(G69="","",G69/SUM($G$2:$G$1514))</f>
        <v>0.00319316267790723</v>
      </c>
      <c r="I69" s="4" t="n">
        <f aca="false">IF(G69="","",RANK(G69,$G$2:$G$1514,0))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IF(G70="","",G70/SUM($G$2:$G$1514))</f>
        <v>0.00313972850402162</v>
      </c>
      <c r="I70" s="4" t="n">
        <f aca="false">IF(G70="","",RANK(G70,$G$2:$G$1514,0))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IF(G71="","",G71/SUM($G$2:$G$1514))</f>
        <v>0.003046633141527</v>
      </c>
      <c r="I71" s="4" t="n">
        <f aca="false">IF(G71="","",RANK(G71,$G$2:$G$1514,0))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IF(G72="","",G72/SUM($G$2:$G$1514))</f>
        <v>0.00303384068161472</v>
      </c>
      <c r="I72" s="4" t="n">
        <f aca="false">IF(G72="","",RANK(G72,$G$2:$G$1514,0))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IF(G73="","",G73/SUM($G$2:$G$1514))</f>
        <v>0.00301884598102351</v>
      </c>
      <c r="I73" s="4" t="n">
        <f aca="false">IF(G73="","",RANK(G73,$G$2:$G$1514,0))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IF(G74="","",G74/SUM($G$2:$G$1514))</f>
        <v>0.0029104063608928</v>
      </c>
      <c r="I74" s="4" t="n">
        <f aca="false">IF(G74="","",RANK(G74,$G$2:$G$1514,0))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IF(G75="","",G75/SUM($G$2:$G$1514))</f>
        <v>0.00279965302833069</v>
      </c>
      <c r="I75" s="4" t="n">
        <f aca="false">IF(G75="","",RANK(G75,$G$2:$G$1514,0))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IF(G76="","",G76/SUM($G$2:$G$1514))</f>
        <v>0.00271265300435068</v>
      </c>
      <c r="I76" s="4" t="n">
        <f aca="false">IF(G76="","",RANK(G76,$G$2:$G$1514,0))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IF(G77="","",G77/SUM($G$2:$G$1514))</f>
        <v>0.00271068134302924</v>
      </c>
      <c r="I77" s="4" t="n">
        <f aca="false">IF(G77="","",RANK(G77,$G$2:$G$1514,0))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IF(G78="","",G78/SUM($G$2:$G$1514))</f>
        <v>0.00270897326770019</v>
      </c>
      <c r="I78" s="4" t="n">
        <f aca="false">IF(G78="","",RANK(G78,$G$2:$G$1514,0))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IF(G79="","",G79/SUM($G$2:$G$1514))</f>
        <v>0.00264884950131848</v>
      </c>
      <c r="I79" s="4" t="n">
        <f aca="false">IF(G79="","",RANK(G79,$G$2:$G$1514,0))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IF(G80="","",G80/SUM($G$2:$G$1514))</f>
        <v>0.0026347862448398</v>
      </c>
      <c r="I80" s="4" t="n">
        <f aca="false">IF(G80="","",RANK(G80,$G$2:$G$1514,0))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IF(G81="","",G81/SUM($G$2:$G$1514))</f>
        <v>0.00262873042854792</v>
      </c>
      <c r="I81" s="4" t="n">
        <f aca="false">IF(G81="","",RANK(G81,$G$2:$G$1514,0))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IF(G82="","",G82/SUM($G$2:$G$1514))</f>
        <v>0.00256670481951971</v>
      </c>
      <c r="I82" s="4" t="n">
        <f aca="false">IF(G82="","",RANK(G82,$G$2:$G$1514,0))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IF(G83="","",G83/SUM($G$2:$G$1514))</f>
        <v>0.00252575985594476</v>
      </c>
      <c r="I83" s="4" t="n">
        <f aca="false">IF(G83="","",RANK(G83,$G$2:$G$1514,0))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IF(G84="","",G84/SUM($G$2:$G$1514))</f>
        <v>0.00250280761325986</v>
      </c>
      <c r="I84" s="4" t="n">
        <f aca="false">IF(G84="","",RANK(G84,$G$2:$G$1514,0))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IF(G85="","",G85/SUM($G$2:$G$1514))</f>
        <v>0.0024263984876509</v>
      </c>
      <c r="I85" s="4" t="n">
        <f aca="false">IF(G85="","",RANK(G85,$G$2:$G$1514,0))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IF(G86="","",G86/SUM($G$2:$G$1514))</f>
        <v>0.00239030476093987</v>
      </c>
      <c r="I86" s="4" t="n">
        <f aca="false">IF(G86="","",RANK(G86,$G$2:$G$1514,0))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IF(G87="","",G87/SUM($G$2:$G$1514))</f>
        <v>0.00235653327190162</v>
      </c>
      <c r="I87" s="4" t="n">
        <f aca="false">IF(G87="","",RANK(G87,$G$2:$G$1514,0))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IF(G88="","",G88/SUM($G$2:$G$1514))</f>
        <v>0.00234841395061455</v>
      </c>
      <c r="I88" s="4" t="n">
        <f aca="false">IF(G88="","",RANK(G88,$G$2:$G$1514,0))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IF(G89="","",G89/SUM($G$2:$G$1514))</f>
        <v>0.00226738628719142</v>
      </c>
      <c r="I89" s="4" t="n">
        <f aca="false">IF(G89="","",RANK(G89,$G$2:$G$1514,0))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IF(G90="","",G90/SUM($G$2:$G$1514))</f>
        <v>0.00222514578977366</v>
      </c>
      <c r="I90" s="4" t="n">
        <f aca="false">IF(G90="","",RANK(G90,$G$2:$G$1514,0))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IF(G91="","",G91/SUM($G$2:$G$1514))</f>
        <v>0.00221911002784374</v>
      </c>
      <c r="I91" s="4" t="n">
        <f aca="false">IF(G91="","",RANK(G91,$G$2:$G$1514,0))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IF(G92="","",G92/SUM($G$2:$G$1514))</f>
        <v>0.00219192100141097</v>
      </c>
      <c r="I92" s="4" t="n">
        <f aca="false">IF(G92="","",RANK(G92,$G$2:$G$1514,0))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IF(G93="","",G93/SUM($G$2:$G$1514))</f>
        <v>0.00218162016157196</v>
      </c>
      <c r="I93" s="4" t="n">
        <f aca="false">IF(G93="","",RANK(G93,$G$2:$G$1514,0))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IF(G94="","",G94/SUM($G$2:$G$1514))</f>
        <v>0.00215461198287724</v>
      </c>
      <c r="I94" s="4" t="n">
        <f aca="false">IF(G94="","",RANK(G94,$G$2:$G$1514,0))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IF(G95="","",G95/SUM($G$2:$G$1514))</f>
        <v>0.00214786649141896</v>
      </c>
      <c r="I95" s="4" t="n">
        <f aca="false">IF(G95="","",RANK(G95,$G$2:$G$1514,0))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IF(G96="","",G96/SUM($G$2:$G$1514))</f>
        <v>0.00214163807329809</v>
      </c>
      <c r="I96" s="4" t="n">
        <f aca="false">IF(G96="","",RANK(G96,$G$2:$G$1514,0))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IF(G97="","",G97/SUM($G$2:$G$1514))</f>
        <v>0.00205792869149785</v>
      </c>
      <c r="I97" s="4" t="n">
        <f aca="false">IF(G97="","",RANK(G97,$G$2:$G$1514,0))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IF(G98="","",G98/SUM($G$2:$G$1514))</f>
        <v>0.00201607999856349</v>
      </c>
      <c r="I98" s="4" t="n">
        <f aca="false">IF(G98="","",RANK(G98,$G$2:$G$1514,0))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IF(G99="","",G99/SUM($G$2:$G$1514))</f>
        <v>0.00201090684520969</v>
      </c>
      <c r="I99" s="4" t="n">
        <f aca="false">IF(G99="","",RANK(G99,$G$2:$G$1514,0))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IF(G100="","",G100/SUM($G$2:$G$1514))</f>
        <v>0.00200986596263216</v>
      </c>
      <c r="I100" s="4" t="n">
        <f aca="false">IF(G100="","",RANK(G100,$G$2:$G$1514,0))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IF(G101="","",G101/SUM($G$2:$G$1514))</f>
        <v>0.001947142782915</v>
      </c>
      <c r="I101" s="4" t="n">
        <f aca="false">IF(G101="","",RANK(G101,$G$2:$G$1514,0))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IF(G102="","",G102/SUM($G$2:$G$1514))</f>
        <v>0.00193645347333553</v>
      </c>
      <c r="I102" s="4" t="n">
        <f aca="false">IF(G102="","",RANK(G102,$G$2:$G$1514,0))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IF(G103="","",G103/SUM($G$2:$G$1514))</f>
        <v>0.00192947213357895</v>
      </c>
      <c r="I103" s="4" t="n">
        <f aca="false">IF(G103="","",RANK(G103,$G$2:$G$1514,0))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IF(G104="","",G104/SUM($G$2:$G$1514))</f>
        <v>0.00188246440360269</v>
      </c>
      <c r="I104" s="4" t="n">
        <f aca="false">IF(G104="","",RANK(G104,$G$2:$G$1514,0))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IF(G105="","",G105/SUM($G$2:$G$1514))</f>
        <v>0.00187862230522925</v>
      </c>
      <c r="I105" s="4" t="n">
        <f aca="false">IF(G105="","",RANK(G105,$G$2:$G$1514,0))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IF(G106="","",G106/SUM($G$2:$G$1514))</f>
        <v>0.00185371946876067</v>
      </c>
      <c r="I106" s="4" t="n">
        <f aca="false">IF(G106="","",RANK(G106,$G$2:$G$1514,0))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IF(G107="","",G107/SUM($G$2:$G$1514))</f>
        <v>0.0017882497855362</v>
      </c>
      <c r="I107" s="4" t="n">
        <f aca="false">IF(G107="","",RANK(G107,$G$2:$G$1514,0))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IF(G108="","",G108/SUM($G$2:$G$1514))</f>
        <v>0.00178809069225639</v>
      </c>
      <c r="I108" s="4" t="n">
        <f aca="false">IF(G108="","",RANK(G108,$G$2:$G$1514,0))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IF(G109="","",G109/SUM($G$2:$G$1514))</f>
        <v>0.00178682471258668</v>
      </c>
      <c r="I109" s="4" t="n">
        <f aca="false">IF(G109="","",RANK(G109,$G$2:$G$1514,0))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IF(G110="","",G110/SUM($G$2:$G$1514))</f>
        <v>0.00175697207638055</v>
      </c>
      <c r="I110" s="4" t="n">
        <f aca="false">IF(G110="","",RANK(G110,$G$2:$G$1514,0))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IF(G111="","",G111/SUM($G$2:$G$1514))</f>
        <v>0.00175414661745841</v>
      </c>
      <c r="I111" s="4" t="n">
        <f aca="false">IF(G111="","",RANK(G111,$G$2:$G$1514,0))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IF(G112="","",G112/SUM($G$2:$G$1514))</f>
        <v>0.00171910901692562</v>
      </c>
      <c r="I112" s="4" t="n">
        <f aca="false">IF(G112="","",RANK(G112,$G$2:$G$1514,0))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IF(G113="","",G113/SUM($G$2:$G$1514))</f>
        <v>0.00165942081073174</v>
      </c>
      <c r="I113" s="4" t="n">
        <f aca="false">IF(G113="","",RANK(G113,$G$2:$G$1514,0))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IF(G114="","",G114/SUM($G$2:$G$1514))</f>
        <v>0.00160757253577545</v>
      </c>
      <c r="I114" s="4" t="n">
        <f aca="false">IF(G114="","",RANK(G114,$G$2:$G$1514,0))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IF(G115="","",G115/SUM($G$2:$G$1514))</f>
        <v>0.00160092979893216</v>
      </c>
      <c r="I115" s="4" t="n">
        <f aca="false">IF(G115="","",RANK(G115,$G$2:$G$1514,0))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IF(G116="","",G116/SUM($G$2:$G$1514))</f>
        <v>0.0015769360867034</v>
      </c>
      <c r="I116" s="4" t="n">
        <f aca="false">IF(G116="","",RANK(G116,$G$2:$G$1514,0))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IF(G117="","",G117/SUM($G$2:$G$1514))</f>
        <v>0.00155622662272979</v>
      </c>
      <c r="I117" s="4" t="n">
        <f aca="false">IF(G117="","",RANK(G117,$G$2:$G$1514,0))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IF(G118="","",G118/SUM($G$2:$G$1514))</f>
        <v>0.00155579818568561</v>
      </c>
      <c r="I118" s="4" t="n">
        <f aca="false">IF(G118="","",RANK(G118,$G$2:$G$1514,0))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IF(G119="","",G119/SUM($G$2:$G$1514))</f>
        <v>0.00154098352759476</v>
      </c>
      <c r="I119" s="4" t="n">
        <f aca="false">IF(G119="","",RANK(G119,$G$2:$G$1514,0))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IF(G120="","",G120/SUM($G$2:$G$1514))</f>
        <v>0.00151954866969146</v>
      </c>
      <c r="I120" s="4" t="n">
        <f aca="false">IF(G120="","",RANK(G120,$G$2:$G$1514,0))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IF(G121="","",G121/SUM($G$2:$G$1514))</f>
        <v>0.00151391969049412</v>
      </c>
      <c r="I121" s="4" t="n">
        <f aca="false">IF(G121="","",RANK(G121,$G$2:$G$1514,0))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IF(G122="","",G122/SUM($G$2:$G$1514))</f>
        <v>0.00151222889172441</v>
      </c>
      <c r="I122" s="4" t="n">
        <f aca="false">IF(G122="","",RANK(G122,$G$2:$G$1514,0))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IF(G123="","",G123/SUM($G$2:$G$1514))</f>
        <v>0.00150877950519485</v>
      </c>
      <c r="I123" s="4" t="n">
        <f aca="false">IF(G123="","",RANK(G123,$G$2:$G$1514,0))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IF(G124="","",G124/SUM($G$2:$G$1514))</f>
        <v>0.00149802648223571</v>
      </c>
      <c r="I124" s="4" t="n">
        <f aca="false">IF(G124="","",RANK(G124,$G$2:$G$1514,0))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IF(G125="","",G125/SUM($G$2:$G$1514))</f>
        <v>0.00149461586947102</v>
      </c>
      <c r="I125" s="4" t="n">
        <f aca="false">IF(G125="","",RANK(G125,$G$2:$G$1514,0))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IF(G126="","",G126/SUM($G$2:$G$1514))</f>
        <v>0.00149101697286361</v>
      </c>
      <c r="I126" s="4" t="n">
        <f aca="false">IF(G126="","",RANK(G126,$G$2:$G$1514,0))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IF(G127="","",G127/SUM($G$2:$G$1514))</f>
        <v>0.00149026962867694</v>
      </c>
      <c r="I127" s="4" t="n">
        <f aca="false">IF(G127="","",RANK(G127,$G$2:$G$1514,0))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IF(G128="","",G128/SUM($G$2:$G$1514))</f>
        <v>0.0014892393264079</v>
      </c>
      <c r="I128" s="4" t="n">
        <f aca="false">IF(G128="","",RANK(G128,$G$2:$G$1514,0))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IF(G129="","",G129/SUM($G$2:$G$1514))</f>
        <v>0.00146591723224592</v>
      </c>
      <c r="I129" s="4" t="n">
        <f aca="false">IF(G129="","",RANK(G129,$G$2:$G$1514,0))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IF(G130="","",G130/SUM($G$2:$G$1514))</f>
        <v>0.00145620060868973</v>
      </c>
      <c r="I130" s="4" t="n">
        <f aca="false">IF(G130="","",RANK(G130,$G$2:$G$1514,0))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IF(G131="","",G131/SUM($G$2:$G$1514))</f>
        <v>0.00145473834745174</v>
      </c>
      <c r="I131" s="4" t="n">
        <f aca="false">IF(G131="","",RANK(G131,$G$2:$G$1514,0))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IF(G132="","",G132/SUM($G$2:$G$1514))</f>
        <v>0.00144442306546738</v>
      </c>
      <c r="I132" s="4" t="n">
        <f aca="false">IF(G132="","",RANK(G132,$G$2:$G$1514,0))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IF(G133="","",G133/SUM($G$2:$G$1514))</f>
        <v>0.00143156415550843</v>
      </c>
      <c r="I133" s="4" t="n">
        <f aca="false">IF(G133="","",RANK(G133,$G$2:$G$1514,0))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IF(G134="","",G134/SUM($G$2:$G$1514))</f>
        <v>0.00142116093409318</v>
      </c>
      <c r="I134" s="4" t="n">
        <f aca="false">IF(G134="","",RANK(G134,$G$2:$G$1514,0))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IF(G135="","",G135/SUM($G$2:$G$1514))</f>
        <v>0.00142101226761524</v>
      </c>
      <c r="I135" s="4" t="n">
        <f aca="false">IF(G135="","",RANK(G135,$G$2:$G$1514,0))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IF(G136="","",G136/SUM($G$2:$G$1514))</f>
        <v>0.00139145645377982</v>
      </c>
      <c r="I136" s="4" t="n">
        <f aca="false">IF(G136="","",RANK(G136,$G$2:$G$1514,0))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IF(G137="","",G137/SUM($G$2:$G$1514))</f>
        <v>0.00137748836836169</v>
      </c>
      <c r="I137" s="4" t="n">
        <f aca="false">IF(G137="","",RANK(G137,$G$2:$G$1514,0))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IF(G138="","",G138/SUM($G$2:$G$1514))</f>
        <v>0.00137467360450908</v>
      </c>
      <c r="I138" s="4" t="n">
        <f aca="false">IF(G138="","",RANK(G138,$G$2:$G$1514,0))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IF(G139="","",G139/SUM($G$2:$G$1514))</f>
        <v>0.00136677710528829</v>
      </c>
      <c r="I139" s="4" t="n">
        <f aca="false">IF(G139="","",RANK(G139,$G$2:$G$1514,0))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IF(G140="","",G140/SUM($G$2:$G$1514))</f>
        <v>0.00136562781652567</v>
      </c>
      <c r="I140" s="4" t="n">
        <f aca="false">IF(G140="","",RANK(G140,$G$2:$G$1514,0))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IF(G141="","",G141/SUM($G$2:$G$1514))</f>
        <v>0.00134759378269315</v>
      </c>
      <c r="I141" s="4" t="n">
        <f aca="false">IF(G141="","",RANK(G141,$G$2:$G$1514,0))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IF(G142="","",G142/SUM($G$2:$G$1514))</f>
        <v>0.00133545835797986</v>
      </c>
      <c r="I142" s="4" t="n">
        <f aca="false">IF(G142="","",RANK(G142,$G$2:$G$1514,0))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IF(G143="","",G143/SUM($G$2:$G$1514))</f>
        <v>0.00130412518340996</v>
      </c>
      <c r="I143" s="4" t="n">
        <f aca="false">IF(G143="","",RANK(G143,$G$2:$G$1514,0))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IF(G144="","",G144/SUM($G$2:$G$1514))</f>
        <v>0.0013040029905175</v>
      </c>
      <c r="I144" s="4" t="n">
        <f aca="false">IF(G144="","",RANK(G144,$G$2:$G$1514,0))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IF(G145="","",G145/SUM($G$2:$G$1514))</f>
        <v>0.00129308101082193</v>
      </c>
      <c r="I145" s="4" t="n">
        <f aca="false">IF(G145="","",RANK(G145,$G$2:$G$1514,0))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IF(G146="","",G146/SUM($G$2:$G$1514))</f>
        <v>0.00127726766108815</v>
      </c>
      <c r="I146" s="4" t="n">
        <f aca="false">IF(G146="","",RANK(G146,$G$2:$G$1514,0))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IF(G147="","",G147/SUM($G$2:$G$1514))</f>
        <v>0.00125310715547561</v>
      </c>
      <c r="I147" s="4" t="n">
        <f aca="false">IF(G147="","",RANK(G147,$G$2:$G$1514,0))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IF(G148="","",G148/SUM($G$2:$G$1514))</f>
        <v>0.00124499816884633</v>
      </c>
      <c r="I148" s="4" t="n">
        <f aca="false">IF(G148="","",RANK(G148,$G$2:$G$1514,0))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IF(G149="","",G149/SUM($G$2:$G$1514))</f>
        <v>0.00124462357003174</v>
      </c>
      <c r="I149" s="4" t="n">
        <f aca="false">IF(G149="","",RANK(G149,$G$2:$G$1514,0))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IF(G150="","",G150/SUM($G$2:$G$1514))</f>
        <v>0.00123819800039794</v>
      </c>
      <c r="I150" s="4" t="n">
        <f aca="false">IF(G150="","",RANK(G150,$G$2:$G$1514,0))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IF(G151="","",G151/SUM($G$2:$G$1514))</f>
        <v>0.00123434777555387</v>
      </c>
      <c r="I151" s="4" t="n">
        <f aca="false">IF(G151="","",RANK(G151,$G$2:$G$1514,0))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IF(G152="","",G152/SUM($G$2:$G$1514))</f>
        <v>0.00121851710119729</v>
      </c>
      <c r="I152" s="4" t="n">
        <f aca="false">IF(G152="","",RANK(G152,$G$2:$G$1514,0))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IF(G153="","",G153/SUM($G$2:$G$1514))</f>
        <v>0.00121311924730206</v>
      </c>
      <c r="I153" s="4" t="n">
        <f aca="false">IF(G153="","",RANK(G153,$G$2:$G$1514,0))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IF(G154="","",G154/SUM($G$2:$G$1514))</f>
        <v>0.00120872596699371</v>
      </c>
      <c r="I154" s="4" t="n">
        <f aca="false">IF(G154="","",RANK(G154,$G$2:$G$1514,0))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IF(G155="","",G155/SUM($G$2:$G$1514))</f>
        <v>0.00119987460108081</v>
      </c>
      <c r="I155" s="4" t="n">
        <f aca="false">IF(G155="","",RANK(G155,$G$2:$G$1514,0))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IF(G156="","",G156/SUM($G$2:$G$1514))</f>
        <v>0.00118653610706621</v>
      </c>
      <c r="I156" s="4" t="n">
        <f aca="false">IF(G156="","",RANK(G156,$G$2:$G$1514,0))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IF(G157="","",G157/SUM($G$2:$G$1514))</f>
        <v>0.00117206524168293</v>
      </c>
      <c r="I157" s="4" t="n">
        <f aca="false">IF(G157="","",RANK(G157,$G$2:$G$1514,0))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IF(G158="","",G158/SUM($G$2:$G$1514))</f>
        <v>0.00117111716024184</v>
      </c>
      <c r="I158" s="4" t="n">
        <f aca="false">IF(G158="","",RANK(G158,$G$2:$G$1514,0))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IF(G159="","",G159/SUM($G$2:$G$1514))</f>
        <v>0.00116208828075637</v>
      </c>
      <c r="I159" s="4" t="n">
        <f aca="false">IF(G159="","",RANK(G159,$G$2:$G$1514,0))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IF(G160="","",G160/SUM($G$2:$G$1514))</f>
        <v>0.00114869667743765</v>
      </c>
      <c r="I160" s="4" t="n">
        <f aca="false">IF(G160="","",RANK(G160,$G$2:$G$1514,0))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IF(G161="","",G161/SUM($G$2:$G$1514))</f>
        <v>0.00114779922474913</v>
      </c>
      <c r="I161" s="4" t="n">
        <f aca="false">IF(G161="","",RANK(G161,$G$2:$G$1514,0))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IF(G162="","",G162/SUM($G$2:$G$1514))</f>
        <v>0.00114741983408493</v>
      </c>
      <c r="I162" s="4" t="n">
        <f aca="false">IF(G162="","",RANK(G162,$G$2:$G$1514,0))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IF(G163="","",G163/SUM($G$2:$G$1514))</f>
        <v>0.00114119670036301</v>
      </c>
      <c r="I163" s="4" t="n">
        <f aca="false">IF(G163="","",RANK(G163,$G$2:$G$1514,0))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IF(G164="","",G164/SUM($G$2:$G$1514))</f>
        <v>0.0011409702410848</v>
      </c>
      <c r="I164" s="4" t="n">
        <f aca="false">IF(G164="","",RANK(G164,$G$2:$G$1514,0))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IF(G165="","",G165/SUM($G$2:$G$1514))</f>
        <v>0.00112955459026011</v>
      </c>
      <c r="I165" s="4" t="n">
        <f aca="false">IF(G165="","",RANK(G165,$G$2:$G$1514,0))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IF(G166="","",G166/SUM($G$2:$G$1514))</f>
        <v>0.00112590778324419</v>
      </c>
      <c r="I166" s="4" t="n">
        <f aca="false">IF(G166="","",RANK(G166,$G$2:$G$1514,0))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IF(G167="","",G167/SUM($G$2:$G$1514))</f>
        <v>0.00112101733600694</v>
      </c>
      <c r="I167" s="4" t="n">
        <f aca="false">IF(G167="","",RANK(G167,$G$2:$G$1514,0))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IF(G168="","",G168/SUM($G$2:$G$1514))</f>
        <v>0.00111210024334428</v>
      </c>
      <c r="I168" s="4" t="n">
        <f aca="false">IF(G168="","",RANK(G168,$G$2:$G$1514,0))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IF(G169="","",G169/SUM($G$2:$G$1514))</f>
        <v>0.00108546534739909</v>
      </c>
      <c r="I169" s="4" t="n">
        <f aca="false">IF(G169="","",RANK(G169,$G$2:$G$1514,0))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IF(G170="","",G170/SUM($G$2:$G$1514))</f>
        <v>0.00108168717538494</v>
      </c>
      <c r="I170" s="4" t="n">
        <f aca="false">IF(G170="","",RANK(G170,$G$2:$G$1514,0))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IF(G171="","",G171/SUM($G$2:$G$1514))</f>
        <v>0.00107704714602431</v>
      </c>
      <c r="I171" s="4" t="n">
        <f aca="false">IF(G171="","",RANK(G171,$G$2:$G$1514,0))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IF(G172="","",G172/SUM($G$2:$G$1514))</f>
        <v>0.00103859398024705</v>
      </c>
      <c r="I172" s="4" t="n">
        <f aca="false">IF(G172="","",RANK(G172,$G$2:$G$1514,0))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IF(G173="","",G173/SUM($G$2:$G$1514))</f>
        <v>0.00103521452916974</v>
      </c>
      <c r="I173" s="4" t="n">
        <f aca="false">IF(G173="","",RANK(G173,$G$2:$G$1514,0))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IF(G174="","",G174/SUM($G$2:$G$1514))</f>
        <v>0.00103307657530033</v>
      </c>
      <c r="I174" s="4" t="n">
        <f aca="false">IF(G174="","",RANK(G174,$G$2:$G$1514,0))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IF(G175="","",G175/SUM($G$2:$G$1514))</f>
        <v>0.00103245392928234</v>
      </c>
      <c r="I175" s="4" t="n">
        <f aca="false">IF(G175="","",RANK(G175,$G$2:$G$1514,0))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IF(G176="","",G176/SUM($G$2:$G$1514))</f>
        <v>0.00103179806885814</v>
      </c>
      <c r="I176" s="4" t="n">
        <f aca="false">IF(G176="","",RANK(G176,$G$2:$G$1514,0))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IF(G177="","",G177/SUM($G$2:$G$1514))</f>
        <v>0.00102703559325978</v>
      </c>
      <c r="I177" s="4" t="n">
        <f aca="false">IF(G177="","",RANK(G177,$G$2:$G$1514,0))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IF(G178="","",G178/SUM($G$2:$G$1514))</f>
        <v>0.00100900631668895</v>
      </c>
      <c r="I178" s="4" t="n">
        <f aca="false">IF(G178="","",RANK(G178,$G$2:$G$1514,0))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IF(G179="","",G179/SUM($G$2:$G$1514))</f>
        <v>0.00100836163167368</v>
      </c>
      <c r="I179" s="4" t="n">
        <f aca="false">IF(G179="","",RANK(G179,$G$2:$G$1514,0))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IF(G180="","",G180/SUM($G$2:$G$1514))</f>
        <v>0.00100586563884312</v>
      </c>
      <c r="I180" s="4" t="n">
        <f aca="false">IF(G180="","",RANK(G180,$G$2:$G$1514,0))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IF(G181="","",G181/SUM($G$2:$G$1514))</f>
        <v>0.00100245004679514</v>
      </c>
      <c r="I181" s="4" t="n">
        <f aca="false">IF(G181="","",RANK(G181,$G$2:$G$1514,0))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IF(G182="","",G182/SUM($G$2:$G$1514))</f>
        <v>0.00100187611665432</v>
      </c>
      <c r="I182" s="4" t="n">
        <f aca="false">IF(G182="","",RANK(G182,$G$2:$G$1514,0))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IF(G183="","",G183/SUM($G$2:$G$1514))</f>
        <v>0.000999167753126826</v>
      </c>
      <c r="I183" s="4" t="n">
        <f aca="false">IF(G183="","",RANK(G183,$G$2:$G$1514,0))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IF(G184="","",G184/SUM($G$2:$G$1514))</f>
        <v>0.000986601903840337</v>
      </c>
      <c r="I184" s="4" t="n">
        <f aca="false">IF(G184="","",RANK(G184,$G$2:$G$1514,0))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IF(G185="","",G185/SUM($G$2:$G$1514))</f>
        <v>0.000983024046462584</v>
      </c>
      <c r="I185" s="4" t="n">
        <f aca="false">IF(G185="","",RANK(G185,$G$2:$G$1514,0))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IF(G186="","",G186/SUM($G$2:$G$1514))</f>
        <v>0.000967666296583964</v>
      </c>
      <c r="I186" s="4" t="n">
        <f aca="false">IF(G186="","",RANK(G186,$G$2:$G$1514,0))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IF(G187="","",G187/SUM($G$2:$G$1514))</f>
        <v>0.000958280073100491</v>
      </c>
      <c r="I187" s="4" t="n">
        <f aca="false">IF(G187="","",RANK(G187,$G$2:$G$1514,0))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IF(G188="","",G188/SUM($G$2:$G$1514))</f>
        <v>0.000945662603758322</v>
      </c>
      <c r="I188" s="4" t="n">
        <f aca="false">IF(G188="","",RANK(G188,$G$2:$G$1514,0))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IF(G189="","",G189/SUM($G$2:$G$1514))</f>
        <v>0.000937134003541314</v>
      </c>
      <c r="I189" s="4" t="n">
        <f aca="false">IF(G189="","",RANK(G189,$G$2:$G$1514,0))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IF(G190="","",G190/SUM($G$2:$G$1514))</f>
        <v>0.000934540051448606</v>
      </c>
      <c r="I190" s="4" t="n">
        <f aca="false">IF(G190="","",RANK(G190,$G$2:$G$1514,0))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IF(G191="","",G191/SUM($G$2:$G$1514))</f>
        <v>0.0009341846357344</v>
      </c>
      <c r="I191" s="4" t="n">
        <f aca="false">IF(G191="","",RANK(G191,$G$2:$G$1514,0))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IF(G192="","",G192/SUM($G$2:$G$1514))</f>
        <v>0.000931556275480091</v>
      </c>
      <c r="I192" s="4" t="n">
        <f aca="false">IF(G192="","",RANK(G192,$G$2:$G$1514,0))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IF(G193="","",G193/SUM($G$2:$G$1514))</f>
        <v>0.000928114668412775</v>
      </c>
      <c r="I193" s="4" t="n">
        <f aca="false">IF(G193="","",RANK(G193,$G$2:$G$1514,0))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IF(G194="","",G194/SUM($G$2:$G$1514))</f>
        <v>0.000927651358173347</v>
      </c>
      <c r="I194" s="4" t="n">
        <f aca="false">IF(G194="","",RANK(G194,$G$2:$G$1514,0))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IF(G195="","",G195/SUM($G$2:$G$1514))</f>
        <v>0.000922317235829955</v>
      </c>
      <c r="I195" s="4" t="n">
        <f aca="false">IF(G195="","",RANK(G195,$G$2:$G$1514,0))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IF(G196="","",G196/SUM($G$2:$G$1514))</f>
        <v>0.000920761238168709</v>
      </c>
      <c r="I196" s="4" t="n">
        <f aca="false">IF(G196="","",RANK(G196,$G$2:$G$1514,0))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IF(G197="","",G197/SUM($G$2:$G$1514))</f>
        <v>0.000920496230424281</v>
      </c>
      <c r="I197" s="4" t="n">
        <f aca="false">IF(G197="","",RANK(G197,$G$2:$G$1514,0))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IF(G198="","",G198/SUM($G$2:$G$1514))</f>
        <v>0.000919128093840159</v>
      </c>
      <c r="I198" s="4" t="n">
        <f aca="false">IF(G198="","",RANK(G198,$G$2:$G$1514,0))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IF(G199="","",G199/SUM($G$2:$G$1514))</f>
        <v>0.000919093848504653</v>
      </c>
      <c r="I199" s="4" t="n">
        <f aca="false">IF(G199="","",RANK(G199,$G$2:$G$1514,0))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IF(G200="","",G200/SUM($G$2:$G$1514))</f>
        <v>0.000915765387940654</v>
      </c>
      <c r="I200" s="4" t="n">
        <f aca="false">IF(G200="","",RANK(G200,$G$2:$G$1514,0))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IF(G201="","",G201/SUM($G$2:$G$1514))</f>
        <v>0.000913340709788087</v>
      </c>
      <c r="I201" s="4" t="n">
        <f aca="false">IF(G201="","",RANK(G201,$G$2:$G$1514,0))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IF(G202="","",G202/SUM($G$2:$G$1514))</f>
        <v>0.000905639116781986</v>
      </c>
      <c r="I202" s="4" t="n">
        <f aca="false">IF(G202="","",RANK(G202,$G$2:$G$1514,0))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IF(G203="","",G203/SUM($G$2:$G$1514))</f>
        <v>0.000905481885101222</v>
      </c>
      <c r="I203" s="4" t="n">
        <f aca="false">IF(G203="","",RANK(G203,$G$2:$G$1514,0))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IF(G204="","",G204/SUM($G$2:$G$1514))</f>
        <v>0.000890783567250277</v>
      </c>
      <c r="I204" s="4" t="n">
        <f aca="false">IF(G204="","",RANK(G204,$G$2:$G$1514,0))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IF(G205="","",G205/SUM($G$2:$G$1514))</f>
        <v>0.000890712423359235</v>
      </c>
      <c r="I205" s="4" t="n">
        <f aca="false">IF(G205="","",RANK(G205,$G$2:$G$1514,0))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IF(G206="","",G206/SUM($G$2:$G$1514))</f>
        <v>0.000889887139055663</v>
      </c>
      <c r="I206" s="4" t="n">
        <f aca="false">IF(G206="","",RANK(G206,$G$2:$G$1514,0))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IF(G207="","",G207/SUM($G$2:$G$1514))</f>
        <v>0.000889490632054858</v>
      </c>
      <c r="I207" s="4" t="n">
        <f aca="false">IF(G207="","",RANK(G207,$G$2:$G$1514,0))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IF(G208="","",G208/SUM($G$2:$G$1514))</f>
        <v>0.000883024879032303</v>
      </c>
      <c r="I208" s="4" t="n">
        <f aca="false">IF(G208="","",RANK(G208,$G$2:$G$1514,0))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IF(G209="","",G209/SUM($G$2:$G$1514))</f>
        <v>0.000880658807628183</v>
      </c>
      <c r="I209" s="4" t="n">
        <f aca="false">IF(G209="","",RANK(G209,$G$2:$G$1514,0))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IF(G210="","",G210/SUM($G$2:$G$1514))</f>
        <v>0.000880502651579719</v>
      </c>
      <c r="I210" s="4" t="n">
        <f aca="false">IF(G210="","",RANK(G210,$G$2:$G$1514,0))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IF(G211="","",G211/SUM($G$2:$G$1514))</f>
        <v>0.000877012231022973</v>
      </c>
      <c r="I211" s="4" t="n">
        <f aca="false">IF(G211="","",RANK(G211,$G$2:$G$1514,0))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IF(G212="","",G212/SUM($G$2:$G$1514))</f>
        <v>0.000872667049357227</v>
      </c>
      <c r="I212" s="4" t="n">
        <f aca="false">IF(G212="","",RANK(G212,$G$2:$G$1514,0))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IF(G213="","",G213/SUM($G$2:$G$1514))</f>
        <v>0.000870776834531091</v>
      </c>
      <c r="I213" s="4" t="n">
        <f aca="false">IF(G213="","",RANK(G213,$G$2:$G$1514,0))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IF(G214="","",G214/SUM($G$2:$G$1514))</f>
        <v>0.000863633005009074</v>
      </c>
      <c r="I214" s="4" t="n">
        <f aca="false">IF(G214="","",RANK(G214,$G$2:$G$1514,0))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IF(G215="","",G215/SUM($G$2:$G$1514))</f>
        <v>0.000863569742701481</v>
      </c>
      <c r="I215" s="4" t="n">
        <f aca="false">IF(G215="","",RANK(G215,$G$2:$G$1514,0))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IF(G216="","",G216/SUM($G$2:$G$1514))</f>
        <v>0.000860582747628491</v>
      </c>
      <c r="I216" s="4" t="n">
        <f aca="false">IF(G216="","",RANK(G216,$G$2:$G$1514,0))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IF(G217="","",G217/SUM($G$2:$G$1514))</f>
        <v>0.000858609843952444</v>
      </c>
      <c r="I217" s="4" t="n">
        <f aca="false">IF(G217="","",RANK(G217,$G$2:$G$1514,0))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IF(G218="","",G218/SUM($G$2:$G$1514))</f>
        <v>0.000857515810574285</v>
      </c>
      <c r="I218" s="4" t="n">
        <f aca="false">IF(G218="","",RANK(G218,$G$2:$G$1514,0))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IF(G219="","",G219/SUM($G$2:$G$1514))</f>
        <v>0.000844940509514449</v>
      </c>
      <c r="I219" s="4" t="n">
        <f aca="false">IF(G219="","",RANK(G219,$G$2:$G$1514,0))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IF(G220="","",G220/SUM($G$2:$G$1514))</f>
        <v>0.000840819178961152</v>
      </c>
      <c r="I220" s="4" t="n">
        <f aca="false">IF(G220="","",RANK(G220,$G$2:$G$1514,0))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IF(G221="","",G221/SUM($G$2:$G$1514))</f>
        <v>0.000825773989252258</v>
      </c>
      <c r="I221" s="4" t="n">
        <f aca="false">IF(G221="","",RANK(G221,$G$2:$G$1514,0))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IF(G222="","",G222/SUM($G$2:$G$1514))</f>
        <v>0.000818103608423916</v>
      </c>
      <c r="I222" s="4" t="n">
        <f aca="false">IF(G222="","",RANK(G222,$G$2:$G$1514,0))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IF(G223="","",G223/SUM($G$2:$G$1514))</f>
        <v>0.000798856918018658</v>
      </c>
      <c r="I223" s="4" t="n">
        <f aca="false">IF(G223="","",RANK(G223,$G$2:$G$1514,0))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IF(G224="","",G224/SUM($G$2:$G$1514))</f>
        <v>0.000786493712083301</v>
      </c>
      <c r="I224" s="4" t="n">
        <f aca="false">IF(G224="","",RANK(G224,$G$2:$G$1514,0))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IF(G225="","",G225/SUM($G$2:$G$1514))</f>
        <v>0.000782859415611781</v>
      </c>
      <c r="I225" s="4" t="n">
        <f aca="false">IF(G225="","",RANK(G225,$G$2:$G$1514,0))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IF(G226="","",G226/SUM($G$2:$G$1514))</f>
        <v>0.000764849248618561</v>
      </c>
      <c r="I226" s="4" t="n">
        <f aca="false">IF(G226="","",RANK(G226,$G$2:$G$1514,0))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IF(G227="","",G227/SUM($G$2:$G$1514))</f>
        <v>0.000761772921665244</v>
      </c>
      <c r="I227" s="4" t="n">
        <f aca="false">IF(G227="","",RANK(G227,$G$2:$G$1514,0))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IF(G228="","",G228/SUM($G$2:$G$1514))</f>
        <v>0.000761473315913066</v>
      </c>
      <c r="I228" s="4" t="n">
        <f aca="false">IF(G228="","",RANK(G228,$G$2:$G$1514,0))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IF(G229="","",G229/SUM($G$2:$G$1514))</f>
        <v>0.000756247567441385</v>
      </c>
      <c r="I229" s="4" t="n">
        <f aca="false">IF(G229="","",RANK(G229,$G$2:$G$1514,0))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IF(G230="","",G230/SUM($G$2:$G$1514))</f>
        <v>0.000753450355718979</v>
      </c>
      <c r="I230" s="4" t="n">
        <f aca="false">IF(G230="","",RANK(G230,$G$2:$G$1514,0))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IF(G231="","",G231/SUM($G$2:$G$1514))</f>
        <v>0.000746527568510337</v>
      </c>
      <c r="I231" s="4" t="n">
        <f aca="false">IF(G231="","",RANK(G231,$G$2:$G$1514,0))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IF(G232="","",G232/SUM($G$2:$G$1514))</f>
        <v>0.000741293870325214</v>
      </c>
      <c r="I232" s="4" t="n">
        <f aca="false">IF(G232="","",RANK(G232,$G$2:$G$1514,0))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IF(G233="","",G233/SUM($G$2:$G$1514))</f>
        <v>0.00073843998259234</v>
      </c>
      <c r="I233" s="4" t="n">
        <f aca="false">IF(G233="","",RANK(G233,$G$2:$G$1514,0))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IF(G234="","",G234/SUM($G$2:$G$1514))</f>
        <v>0.000732762846554616</v>
      </c>
      <c r="I234" s="4" t="n">
        <f aca="false">IF(G234="","",RANK(G234,$G$2:$G$1514,0))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IF(G235="","",G235/SUM($G$2:$G$1514))</f>
        <v>0.00073215790197567</v>
      </c>
      <c r="I235" s="4" t="n">
        <f aca="false">IF(G235="","",RANK(G235,$G$2:$G$1514,0))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IF(G236="","",G236/SUM($G$2:$G$1514))</f>
        <v>0.000728067770900947</v>
      </c>
      <c r="I236" s="4" t="n">
        <f aca="false">IF(G236="","",RANK(G236,$G$2:$G$1514,0))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IF(G237="","",G237/SUM($G$2:$G$1514))</f>
        <v>0.00072289006493208</v>
      </c>
      <c r="I237" s="4" t="n">
        <f aca="false">IF(G237="","",RANK(G237,$G$2:$G$1514,0))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IF(G238="","",G238/SUM($G$2:$G$1514))</f>
        <v>0.000717910687819006</v>
      </c>
      <c r="I238" s="4" t="n">
        <f aca="false">IF(G238="","",RANK(G238,$G$2:$G$1514,0))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IF(G239="","",G239/SUM($G$2:$G$1514))</f>
        <v>0.000703764192580597</v>
      </c>
      <c r="I239" s="4" t="n">
        <f aca="false">IF(G239="","",RANK(G239,$G$2:$G$1514,0))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IF(G240="","",G240/SUM($G$2:$G$1514))</f>
        <v>0.000701406242315272</v>
      </c>
      <c r="I240" s="4" t="n">
        <f aca="false">IF(G240="","",RANK(G240,$G$2:$G$1514,0))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IF(G241="","",G241/SUM($G$2:$G$1514))</f>
        <v>0.000689786609736533</v>
      </c>
      <c r="I241" s="4" t="n">
        <f aca="false">IF(G241="","",RANK(G241,$G$2:$G$1514,0))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IF(G242="","",G242/SUM($G$2:$G$1514))</f>
        <v>0.000688773367871232</v>
      </c>
      <c r="I242" s="4" t="n">
        <f aca="false">IF(G242="","",RANK(G242,$G$2:$G$1514,0))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IF(G243="","",G243/SUM($G$2:$G$1514))</f>
        <v>0.000683498187854278</v>
      </c>
      <c r="I243" s="4" t="n">
        <f aca="false">IF(G243="","",RANK(G243,$G$2:$G$1514,0))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IF(G244="","",G244/SUM($G$2:$G$1514))</f>
        <v>0.000666185060933598</v>
      </c>
      <c r="I244" s="4" t="n">
        <f aca="false">IF(G244="","",RANK(G244,$G$2:$G$1514,0))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IF(G245="","",G245/SUM($G$2:$G$1514))</f>
        <v>0.000664047965113281</v>
      </c>
      <c r="I245" s="4" t="n">
        <f aca="false">IF(G245="","",RANK(G245,$G$2:$G$1514,0))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IF(G246="","",G246/SUM($G$2:$G$1514))</f>
        <v>0.00066012989884621</v>
      </c>
      <c r="I246" s="4" t="n">
        <f aca="false">IF(G246="","",RANK(G246,$G$2:$G$1514,0))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IF(G247="","",G247/SUM($G$2:$G$1514))</f>
        <v>0.000659444066967559</v>
      </c>
      <c r="I247" s="4" t="n">
        <f aca="false">IF(G247="","",RANK(G247,$G$2:$G$1514,0))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IF(G248="","",G248/SUM($G$2:$G$1514))</f>
        <v>0.000656037688014988</v>
      </c>
      <c r="I248" s="4" t="n">
        <f aca="false">IF(G248="","",RANK(G248,$G$2:$G$1514,0))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IF(G249="","",G249/SUM($G$2:$G$1514))</f>
        <v>0.000651805991614567</v>
      </c>
      <c r="I249" s="4" t="n">
        <f aca="false">IF(G249="","",RANK(G249,$G$2:$G$1514,0))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IF(G250="","",G250/SUM($G$2:$G$1514))</f>
        <v>0.000649345448997336</v>
      </c>
      <c r="I250" s="4" t="n">
        <f aca="false">IF(G250="","",RANK(G250,$G$2:$G$1514,0))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IF(G251="","",G251/SUM($G$2:$G$1514))</f>
        <v>0.000646571686941938</v>
      </c>
      <c r="I251" s="4" t="n">
        <f aca="false">IF(G251="","",RANK(G251,$G$2:$G$1514,0))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IF(G252="","",G252/SUM($G$2:$G$1514))</f>
        <v>0.000644409454979838</v>
      </c>
      <c r="I252" s="4" t="n">
        <f aca="false">IF(G252="","",RANK(G252,$G$2:$G$1514,0))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IF(G253="","",G253/SUM($G$2:$G$1514))</f>
        <v>0.000638548782311795</v>
      </c>
      <c r="I253" s="4" t="n">
        <f aca="false">IF(G253="","",RANK(G253,$G$2:$G$1514,0))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IF(G254="","",G254/SUM($G$2:$G$1514))</f>
        <v>0.000635368898173332</v>
      </c>
      <c r="I254" s="4" t="n">
        <f aca="false">IF(G254="","",RANK(G254,$G$2:$G$1514,0))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IF(G255="","",G255/SUM($G$2:$G$1514))</f>
        <v>0.000635264631784376</v>
      </c>
      <c r="I255" s="4" t="n">
        <f aca="false">IF(G255="","",RANK(G255,$G$2:$G$1514,0))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IF(G256="","",G256/SUM($G$2:$G$1514))</f>
        <v>0.000633162955748746</v>
      </c>
      <c r="I256" s="4" t="n">
        <f aca="false">IF(G256="","",RANK(G256,$G$2:$G$1514,0))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IF(G257="","",G257/SUM($G$2:$G$1514))</f>
        <v>0.000632904079455062</v>
      </c>
      <c r="I257" s="4" t="n">
        <f aca="false">IF(G257="","",RANK(G257,$G$2:$G$1514,0))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IF(G258="","",G258/SUM($G$2:$G$1514))</f>
        <v>0.000630997088129037</v>
      </c>
      <c r="I258" s="4" t="n">
        <f aca="false">IF(G258="","",RANK(G258,$G$2:$G$1514,0))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IF(G259="","",G259/SUM($G$2:$G$1514))</f>
        <v>0.000630799104002282</v>
      </c>
      <c r="I259" s="4" t="n">
        <f aca="false">IF(G259="","",RANK(G259,$G$2:$G$1514,0))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IF(G260="","",G260/SUM($G$2:$G$1514))</f>
        <v>0.000630723811768775</v>
      </c>
      <c r="I260" s="4" t="n">
        <f aca="false">IF(G260="","",RANK(G260,$G$2:$G$1514,0))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IF(G261="","",G261/SUM($G$2:$G$1514))</f>
        <v>0.000630156110843335</v>
      </c>
      <c r="I261" s="4" t="n">
        <f aca="false">IF(G261="","",RANK(G261,$G$2:$G$1514,0))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IF(G262="","",G262/SUM($G$2:$G$1514))</f>
        <v>0.000628346945514218</v>
      </c>
      <c r="I262" s="4" t="n">
        <f aca="false">IF(G262="","",RANK(G262,$G$2:$G$1514,0))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IF(G263="","",G263/SUM($G$2:$G$1514))</f>
        <v>0.000613825022743601</v>
      </c>
      <c r="I263" s="4" t="n">
        <f aca="false">IF(G263="","",RANK(G263,$G$2:$G$1514,0))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IF(G264="","",G264/SUM($G$2:$G$1514))</f>
        <v>0.000612732157805891</v>
      </c>
      <c r="I264" s="4" t="n">
        <f aca="false">IF(G264="","",RANK(G264,$G$2:$G$1514,0))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IF(G265="","",G265/SUM($G$2:$G$1514))</f>
        <v>0.000611517853415744</v>
      </c>
      <c r="I265" s="4" t="n">
        <f aca="false">IF(G265="","",RANK(G265,$G$2:$G$1514,0))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IF(G266="","",G266/SUM($G$2:$G$1514))</f>
        <v>0.000611255718623969</v>
      </c>
      <c r="I266" s="4" t="n">
        <f aca="false">IF(G266="","",RANK(G266,$G$2:$G$1514,0))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IF(G267="","",G267/SUM($G$2:$G$1514))</f>
        <v>0.00060772261765343</v>
      </c>
      <c r="I267" s="4" t="n">
        <f aca="false">IF(G267="","",RANK(G267,$G$2:$G$1514,0))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IF(G268="","",G268/SUM($G$2:$G$1514))</f>
        <v>0.000602075558561456</v>
      </c>
      <c r="I268" s="4" t="n">
        <f aca="false">IF(G268="","",RANK(G268,$G$2:$G$1514,0))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IF(G269="","",G269/SUM($G$2:$G$1514))</f>
        <v>0.00060104655367362</v>
      </c>
      <c r="I269" s="4" t="n">
        <f aca="false">IF(G269="","",RANK(G269,$G$2:$G$1514,0))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IF(G270="","",G270/SUM($G$2:$G$1514))</f>
        <v>0.000600339272571101</v>
      </c>
      <c r="I270" s="4" t="n">
        <f aca="false">IF(G270="","",RANK(G270,$G$2:$G$1514,0))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IF(G271="","",G271/SUM($G$2:$G$1514))</f>
        <v>0.000597237489943222</v>
      </c>
      <c r="I271" s="4" t="n">
        <f aca="false">IF(G271="","",RANK(G271,$G$2:$G$1514,0))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IF(G272="","",G272/SUM($G$2:$G$1514))</f>
        <v>0.000596971980931497</v>
      </c>
      <c r="I272" s="4" t="n">
        <f aca="false">IF(G272="","",RANK(G272,$G$2:$G$1514,0))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IF(G273="","",G273/SUM($G$2:$G$1514))</f>
        <v>0.000595696873571875</v>
      </c>
      <c r="I273" s="4" t="n">
        <f aca="false">IF(G273="","",RANK(G273,$G$2:$G$1514,0))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IF(G274="","",G274/SUM($G$2:$G$1514))</f>
        <v>0.00059014465611075</v>
      </c>
      <c r="I274" s="4" t="n">
        <f aca="false">IF(G274="","",RANK(G274,$G$2:$G$1514,0))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IF(G275="","",G275/SUM($G$2:$G$1514))</f>
        <v>0.000586937781058253</v>
      </c>
      <c r="I275" s="4" t="n">
        <f aca="false">IF(G275="","",RANK(G275,$G$2:$G$1514,0))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IF(G276="","",G276/SUM($G$2:$G$1514))</f>
        <v>0.000585845926412275</v>
      </c>
      <c r="I276" s="4" t="n">
        <f aca="false">IF(G276="","",RANK(G276,$G$2:$G$1514,0))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IF(G277="","",G277/SUM($G$2:$G$1514))</f>
        <v>0.000584386689028605</v>
      </c>
      <c r="I277" s="4" t="n">
        <f aca="false">IF(G277="","",RANK(G277,$G$2:$G$1514,0))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IF(G278="","",G278/SUM($G$2:$G$1514))</f>
        <v>0.000578103271244129</v>
      </c>
      <c r="I278" s="4" t="n">
        <f aca="false">IF(G278="","",RANK(G278,$G$2:$G$1514,0))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IF(G279="","",G279/SUM($G$2:$G$1514))</f>
        <v>0.000569968632900939</v>
      </c>
      <c r="I279" s="4" t="n">
        <f aca="false">IF(G279="","",RANK(G279,$G$2:$G$1514,0))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IF(G280="","",G280/SUM($G$2:$G$1514))</f>
        <v>0.000568232472237433</v>
      </c>
      <c r="I280" s="4" t="n">
        <f aca="false">IF(G280="","",RANK(G280,$G$2:$G$1514,0))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IF(G281="","",G281/SUM($G$2:$G$1514))</f>
        <v>0.000564547478556123</v>
      </c>
      <c r="I281" s="4" t="n">
        <f aca="false">IF(G281="","",RANK(G281,$G$2:$G$1514,0))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IF(G282="","",G282/SUM($G$2:$G$1514))</f>
        <v>0.00056319754936696</v>
      </c>
      <c r="I282" s="4" t="n">
        <f aca="false">IF(G282="","",RANK(G282,$G$2:$G$1514,0))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IF(G283="","",G283/SUM($G$2:$G$1514))</f>
        <v>0.000562776756766558</v>
      </c>
      <c r="I283" s="4" t="n">
        <f aca="false">IF(G283="","",RANK(G283,$G$2:$G$1514,0))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IF(G284="","",G284/SUM($G$2:$G$1514))</f>
        <v>0.000559306994467143</v>
      </c>
      <c r="I284" s="4" t="n">
        <f aca="false">IF(G284="","",RANK(G284,$G$2:$G$1514,0))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IF(G285="","",G285/SUM($G$2:$G$1514))</f>
        <v>0.000558704532045388</v>
      </c>
      <c r="I285" s="4" t="n">
        <f aca="false">IF(G285="","",RANK(G285,$G$2:$G$1514,0))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IF(G286="","",G286/SUM($G$2:$G$1514))</f>
        <v>0.00055065610327705</v>
      </c>
      <c r="I286" s="4" t="n">
        <f aca="false">IF(G286="","",RANK(G286,$G$2:$G$1514,0))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IF(G287="","",G287/SUM($G$2:$G$1514))</f>
        <v>0.00055021490908175</v>
      </c>
      <c r="I287" s="4" t="n">
        <f aca="false">IF(G287="","",RANK(G287,$G$2:$G$1514,0))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IF(G288="","",G288/SUM($G$2:$G$1514))</f>
        <v>0.000549273992871094</v>
      </c>
      <c r="I288" s="4" t="n">
        <f aca="false">IF(G288="","",RANK(G288,$G$2:$G$1514,0))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IF(G289="","",G289/SUM($G$2:$G$1514))</f>
        <v>0.000548051088176921</v>
      </c>
      <c r="I289" s="4" t="n">
        <f aca="false">IF(G289="","",RANK(G289,$G$2:$G$1514,0))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IF(G290="","",G290/SUM($G$2:$G$1514))</f>
        <v>0.000544448631571262</v>
      </c>
      <c r="I290" s="4" t="n">
        <f aca="false">IF(G290="","",RANK(G290,$G$2:$G$1514,0))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IF(G291="","",G291/SUM($G$2:$G$1514))</f>
        <v>0.000541650402196184</v>
      </c>
      <c r="I291" s="4" t="n">
        <f aca="false">IF(G291="","",RANK(G291,$G$2:$G$1514,0))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IF(G292="","",G292/SUM($G$2:$G$1514))</f>
        <v>0.000538482435372009</v>
      </c>
      <c r="I292" s="4" t="n">
        <f aca="false">IF(G292="","",RANK(G292,$G$2:$G$1514,0))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IF(G293="","",G293/SUM($G$2:$G$1514))</f>
        <v>0.000534013387322128</v>
      </c>
      <c r="I293" s="4" t="n">
        <f aca="false">IF(G293="","",RANK(G293,$G$2:$G$1514,0))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IF(G294="","",G294/SUM($G$2:$G$1514))</f>
        <v>0.000532566960927566</v>
      </c>
      <c r="I294" s="4" t="n">
        <f aca="false">IF(G294="","",RANK(G294,$G$2:$G$1514,0))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IF(G295="","",G295/SUM($G$2:$G$1514))</f>
        <v>0.000531565456748138</v>
      </c>
      <c r="I295" s="4" t="n">
        <f aca="false">IF(G295="","",RANK(G295,$G$2:$G$1514,0))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IF(G296="","",G296/SUM($G$2:$G$1514))</f>
        <v>0.000531311040407344</v>
      </c>
      <c r="I296" s="4" t="n">
        <f aca="false">IF(G296="","",RANK(G296,$G$2:$G$1514,0))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IF(G297="","",G297/SUM($G$2:$G$1514))</f>
        <v>0.000524258008314401</v>
      </c>
      <c r="I297" s="4" t="n">
        <f aca="false">IF(G297="","",RANK(G297,$G$2:$G$1514,0))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IF(G298="","",G298/SUM($G$2:$G$1514))</f>
        <v>0.000521452975179293</v>
      </c>
      <c r="I298" s="4" t="n">
        <f aca="false">IF(G298="","",RANK(G298,$G$2:$G$1514,0))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IF(G299="","",G299/SUM($G$2:$G$1514))</f>
        <v>0.000516450273358736</v>
      </c>
      <c r="I299" s="4" t="n">
        <f aca="false">IF(G299="","",RANK(G299,$G$2:$G$1514,0))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IF(G300="","",G300/SUM($G$2:$G$1514))</f>
        <v>0.000515766484624371</v>
      </c>
      <c r="I300" s="4" t="n">
        <f aca="false">IF(G300="","",RANK(G300,$G$2:$G$1514,0))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IF(G301="","",G301/SUM($G$2:$G$1514))</f>
        <v>0.000513962912736561</v>
      </c>
      <c r="I301" s="4" t="n">
        <f aca="false">IF(G301="","",RANK(G301,$G$2:$G$1514,0))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IF(G302="","",G302/SUM($G$2:$G$1514))</f>
        <v>0.000510997382191585</v>
      </c>
      <c r="I302" s="4" t="n">
        <f aca="false">IF(G302="","",RANK(G302,$G$2:$G$1514,0))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IF(G303="","",G303/SUM($G$2:$G$1514))</f>
        <v>0.000508267200352232</v>
      </c>
      <c r="I303" s="4" t="n">
        <f aca="false">IF(G303="","",RANK(G303,$G$2:$G$1514,0))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IF(G304="","",G304/SUM($G$2:$G$1514))</f>
        <v>0.000507309038647672</v>
      </c>
      <c r="I304" s="4" t="n">
        <f aca="false">IF(G304="","",RANK(G304,$G$2:$G$1514,0))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IF(G305="","",G305/SUM($G$2:$G$1514))</f>
        <v>0.000506608954800244</v>
      </c>
      <c r="I305" s="4" t="n">
        <f aca="false">IF(G305="","",RANK(G305,$G$2:$G$1514,0))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IF(G306="","",G306/SUM($G$2:$G$1514))</f>
        <v>0.000506504044268944</v>
      </c>
      <c r="I306" s="4" t="n">
        <f aca="false">IF(G306="","",RANK(G306,$G$2:$G$1514,0))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IF(G307="","",G307/SUM($G$2:$G$1514))</f>
        <v>0.000504458908586915</v>
      </c>
      <c r="I307" s="4" t="n">
        <f aca="false">IF(G307="","",RANK(G307,$G$2:$G$1514,0))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IF(G308="","",G308/SUM($G$2:$G$1514))</f>
        <v>0.000504406070259681</v>
      </c>
      <c r="I308" s="4" t="n">
        <f aca="false">IF(G308="","",RANK(G308,$G$2:$G$1514,0))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IF(G309="","",G309/SUM($G$2:$G$1514))</f>
        <v>0.000502897936024625</v>
      </c>
      <c r="I309" s="4" t="n">
        <f aca="false">IF(G309="","",RANK(G309,$G$2:$G$1514,0))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IF(G310="","",G310/SUM($G$2:$G$1514))</f>
        <v>0.000498270729105953</v>
      </c>
      <c r="I310" s="4" t="n">
        <f aca="false">IF(G310="","",RANK(G310,$G$2:$G$1514,0))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IF(G311="","",G311/SUM($G$2:$G$1514))</f>
        <v>0.000497808720310757</v>
      </c>
      <c r="I311" s="4" t="n">
        <f aca="false">IF(G311="","",RANK(G311,$G$2:$G$1514,0))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IF(G312="","",G312/SUM($G$2:$G$1514))</f>
        <v>0.000494566910307481</v>
      </c>
      <c r="I312" s="4" t="n">
        <f aca="false">IF(G312="","",RANK(G312,$G$2:$G$1514,0))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IF(G313="","",G313/SUM($G$2:$G$1514))</f>
        <v>0.000494510939800302</v>
      </c>
      <c r="I313" s="4" t="n">
        <f aca="false">IF(G313="","",RANK(G313,$G$2:$G$1514,0))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IF(G314="","",G314/SUM($G$2:$G$1514))</f>
        <v>0.00049421377266365</v>
      </c>
      <c r="I314" s="4" t="n">
        <f aca="false">IF(G314="","",RANK(G314,$G$2:$G$1514,0))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IF(G315="","",G315/SUM($G$2:$G$1514))</f>
        <v>0.000494129076168459</v>
      </c>
      <c r="I315" s="4" t="n">
        <f aca="false">IF(G315="","",RANK(G315,$G$2:$G$1514,0))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IF(G316="","",G316/SUM($G$2:$G$1514))</f>
        <v>0.000493845510469348</v>
      </c>
      <c r="I316" s="4" t="n">
        <f aca="false">IF(G316="","",RANK(G316,$G$2:$G$1514,0))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IF(G317="","",G317/SUM($G$2:$G$1514))</f>
        <v>0.000492777765467804</v>
      </c>
      <c r="I317" s="4" t="n">
        <f aca="false">IF(G317="","",RANK(G317,$G$2:$G$1514,0))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IF(G318="","",G318/SUM($G$2:$G$1514))</f>
        <v>0.000484900274056307</v>
      </c>
      <c r="I318" s="4" t="n">
        <f aca="false">IF(G318="","",RANK(G318,$G$2:$G$1514,0))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IF(G319="","",G319/SUM($G$2:$G$1514))</f>
        <v>0.000482525075600687</v>
      </c>
      <c r="I319" s="4" t="n">
        <f aca="false">IF(G319="","",RANK(G319,$G$2:$G$1514,0))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IF(G320="","",G320/SUM($G$2:$G$1514))</f>
        <v>0.000481773869655742</v>
      </c>
      <c r="I320" s="4" t="n">
        <f aca="false">IF(G320="","",RANK(G320,$G$2:$G$1514,0))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IF(G321="","",G321/SUM($G$2:$G$1514))</f>
        <v>0.000477432726243989</v>
      </c>
      <c r="I321" s="4" t="n">
        <f aca="false">IF(G321="","",RANK(G321,$G$2:$G$1514,0))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IF(G322="","",G322/SUM($G$2:$G$1514))</f>
        <v>0.00047314779962371</v>
      </c>
      <c r="I322" s="4" t="n">
        <f aca="false">IF(G322="","",RANK(G322,$G$2:$G$1514,0))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IF(G323="","",G323/SUM($G$2:$G$1514))</f>
        <v>0.000473041669459026</v>
      </c>
      <c r="I323" s="4" t="n">
        <f aca="false">IF(G323="","",RANK(G323,$G$2:$G$1514,0))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IF(G324="","",G324/SUM($G$2:$G$1514))</f>
        <v>0.00046966024306747</v>
      </c>
      <c r="I324" s="4" t="n">
        <f aca="false">IF(G324="","",RANK(G324,$G$2:$G$1514,0))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IF(G325="","",G325/SUM($G$2:$G$1514))</f>
        <v>0.000460952308575444</v>
      </c>
      <c r="I325" s="4" t="n">
        <f aca="false">IF(G325="","",RANK(G325,$G$2:$G$1514,0))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IF(G326="","",G326/SUM($G$2:$G$1514))</f>
        <v>0.000459761814867161</v>
      </c>
      <c r="I326" s="4" t="n">
        <f aca="false">IF(G326="","",RANK(G326,$G$2:$G$1514,0))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IF(G327="","",G327/SUM($G$2:$G$1514))</f>
        <v>0.000459523981999298</v>
      </c>
      <c r="I327" s="4" t="n">
        <f aca="false">IF(G327="","",RANK(G327,$G$2:$G$1514,0))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IF(G328="","",G328/SUM($G$2:$G$1514))</f>
        <v>0.000457885301399028</v>
      </c>
      <c r="I328" s="4" t="n">
        <f aca="false">IF(G328="","",RANK(G328,$G$2:$G$1514,0))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IF(G329="","",G329/SUM($G$2:$G$1514))</f>
        <v>0.000457731444854121</v>
      </c>
      <c r="I329" s="4" t="n">
        <f aca="false">IF(G329="","",RANK(G329,$G$2:$G$1514,0))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IF(G330="","",G330/SUM($G$2:$G$1514))</f>
        <v>0.000457576020485274</v>
      </c>
      <c r="I330" s="4" t="n">
        <f aca="false">IF(G330="","",RANK(G330,$G$2:$G$1514,0))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IF(G331="","",G331/SUM($G$2:$G$1514))</f>
        <v>0.000457552607882817</v>
      </c>
      <c r="I331" s="4" t="n">
        <f aca="false">IF(G331="","",RANK(G331,$G$2:$G$1514,0))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IF(G332="","",G332/SUM($G$2:$G$1514))</f>
        <v>0.000457003332657362</v>
      </c>
      <c r="I332" s="4" t="n">
        <f aca="false">IF(G332="","",RANK(G332,$G$2:$G$1514,0))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IF(G333="","",G333/SUM($G$2:$G$1514))</f>
        <v>0.000455927668484901</v>
      </c>
      <c r="I333" s="4" t="n">
        <f aca="false">IF(G333="","",RANK(G333,$G$2:$G$1514,0))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IF(G334="","",G334/SUM($G$2:$G$1514))</f>
        <v>0.000455770517097565</v>
      </c>
      <c r="I334" s="4" t="n">
        <f aca="false">IF(G334="","",RANK(G334,$G$2:$G$1514,0))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IF(G335="","",G335/SUM($G$2:$G$1514))</f>
        <v>0.00045440296020867</v>
      </c>
      <c r="I335" s="4" t="n">
        <f aca="false">IF(G335="","",RANK(G335,$G$2:$G$1514,0))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IF(G336="","",G336/SUM($G$2:$G$1514))</f>
        <v>0.000453569798418367</v>
      </c>
      <c r="I336" s="4" t="n">
        <f aca="false">IF(G336="","",RANK(G336,$G$2:$G$1514,0))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IF(G337="","",G337/SUM($G$2:$G$1514))</f>
        <v>0.000453478701210265</v>
      </c>
      <c r="I337" s="4" t="n">
        <f aca="false">IF(G337="","",RANK(G337,$G$2:$G$1514,0))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IF(G338="","",G338/SUM($G$2:$G$1514))</f>
        <v>0.000453367106100707</v>
      </c>
      <c r="I338" s="4" t="n">
        <f aca="false">IF(G338="","",RANK(G338,$G$2:$G$1514,0))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IF(G339="","",G339/SUM($G$2:$G$1514))</f>
        <v>0.000449300391413975</v>
      </c>
      <c r="I339" s="4" t="n">
        <f aca="false">IF(G339="","",RANK(G339,$G$2:$G$1514,0))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IF(G340="","",G340/SUM($G$2:$G$1514))</f>
        <v>0.000441903037127899</v>
      </c>
      <c r="I340" s="4" t="n">
        <f aca="false">IF(G340="","",RANK(G340,$G$2:$G$1514,0))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IF(G341="","",G341/SUM($G$2:$G$1514))</f>
        <v>0.000439987234353255</v>
      </c>
      <c r="I341" s="4" t="n">
        <f aca="false">IF(G341="","",RANK(G341,$G$2:$G$1514,0))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IF(G342="","",G342/SUM($G$2:$G$1514))</f>
        <v>0.000439894773608534</v>
      </c>
      <c r="I342" s="4" t="n">
        <f aca="false">IF(G342="","",RANK(G342,$G$2:$G$1514,0))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IF(G343="","",G343/SUM($G$2:$G$1514))</f>
        <v>0.000437147595559126</v>
      </c>
      <c r="I343" s="4" t="n">
        <f aca="false">IF(G343="","",RANK(G343,$G$2:$G$1514,0))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IF(G344="","",G344/SUM($G$2:$G$1514))</f>
        <v>0.000436789645785809</v>
      </c>
      <c r="I344" s="4" t="n">
        <f aca="false">IF(G344="","",RANK(G344,$G$2:$G$1514,0))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IF(G345="","",G345/SUM($G$2:$G$1514))</f>
        <v>0.000435197390822495</v>
      </c>
      <c r="I345" s="4" t="n">
        <f aca="false">IF(G345="","",RANK(G345,$G$2:$G$1514,0))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IF(G346="","",G346/SUM($G$2:$G$1514))</f>
        <v>0.000430004868573971</v>
      </c>
      <c r="I346" s="4" t="n">
        <f aca="false">IF(G346="","",RANK(G346,$G$2:$G$1514,0))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IF(G347="","",G347/SUM($G$2:$G$1514))</f>
        <v>0.000427160162083482</v>
      </c>
      <c r="I347" s="4" t="n">
        <f aca="false">IF(G347="","",RANK(G347,$G$2:$G$1514,0))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IF(G348="","",G348/SUM($G$2:$G$1514))</f>
        <v>0.000424562455135351</v>
      </c>
      <c r="I348" s="4" t="n">
        <f aca="false">IF(G348="","",RANK(G348,$G$2:$G$1514,0))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IF(G349="","",G349/SUM($G$2:$G$1514))</f>
        <v>0.000424226976733094</v>
      </c>
      <c r="I349" s="4" t="n">
        <f aca="false">IF(G349="","",RANK(G349,$G$2:$G$1514,0))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IF(G350="","",G350/SUM($G$2:$G$1514))</f>
        <v>0.000422813614638668</v>
      </c>
      <c r="I350" s="4" t="n">
        <f aca="false">IF(G350="","",RANK(G350,$G$2:$G$1514,0))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IF(G351="","",G351/SUM($G$2:$G$1514))</f>
        <v>0.00042252981278317</v>
      </c>
      <c r="I351" s="4" t="n">
        <f aca="false">IF(G351="","",RANK(G351,$G$2:$G$1514,0))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IF(G352="","",G352/SUM($G$2:$G$1514))</f>
        <v>0.000422024239658341</v>
      </c>
      <c r="I352" s="4" t="n">
        <f aca="false">IF(G352="","",RANK(G352,$G$2:$G$1514,0))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IF(G353="","",G353/SUM($G$2:$G$1514))</f>
        <v>0.00042154279372935</v>
      </c>
      <c r="I353" s="4" t="n">
        <f aca="false">IF(G353="","",RANK(G353,$G$2:$G$1514,0))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IF(G354="","",G354/SUM($G$2:$G$1514))</f>
        <v>0.000421149916605196</v>
      </c>
      <c r="I354" s="4" t="n">
        <f aca="false">IF(G354="","",RANK(G354,$G$2:$G$1514,0))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IF(G355="","",G355/SUM($G$2:$G$1514))</f>
        <v>0.000414339255966254</v>
      </c>
      <c r="I355" s="4" t="n">
        <f aca="false">IF(G355="","",RANK(G355,$G$2:$G$1514,0))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IF(G356="","",G356/SUM($G$2:$G$1514))</f>
        <v>0.00041357751189907</v>
      </c>
      <c r="I356" s="4" t="n">
        <f aca="false">IF(G356="","",RANK(G356,$G$2:$G$1514,0))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IF(G357="","",G357/SUM($G$2:$G$1514))</f>
        <v>0.000413027159403589</v>
      </c>
      <c r="I357" s="4" t="n">
        <f aca="false">IF(G357="","",RANK(G357,$G$2:$G$1514,0))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IF(G358="","",G358/SUM($G$2:$G$1514))</f>
        <v>0.00041221452455749</v>
      </c>
      <c r="I358" s="4" t="n">
        <f aca="false">IF(G358="","",RANK(G358,$G$2:$G$1514,0))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IF(G359="","",G359/SUM($G$2:$G$1514))</f>
        <v>0.000412162738464426</v>
      </c>
      <c r="I359" s="4" t="n">
        <f aca="false">IF(G359="","",RANK(G359,$G$2:$G$1514,0))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IF(G360="","",G360/SUM($G$2:$G$1514))</f>
        <v>0.000411861968843314</v>
      </c>
      <c r="I360" s="4" t="n">
        <f aca="false">IF(G360="","",RANK(G360,$G$2:$G$1514,0))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IF(G361="","",G361/SUM($G$2:$G$1514))</f>
        <v>0.00041179778625469</v>
      </c>
      <c r="I361" s="4" t="n">
        <f aca="false">IF(G361="","",RANK(G361,$G$2:$G$1514,0))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IF(G362="","",G362/SUM($G$2:$G$1514))</f>
        <v>0.000409648389440144</v>
      </c>
      <c r="I362" s="4" t="n">
        <f aca="false">IF(G362="","",RANK(G362,$G$2:$G$1514,0))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IF(G363="","",G363/SUM($G$2:$G$1514))</f>
        <v>0.000407671404935674</v>
      </c>
      <c r="I363" s="4" t="n">
        <f aca="false">IF(G363="","",RANK(G363,$G$2:$G$1514,0))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IF(G364="","",G364/SUM($G$2:$G$1514))</f>
        <v>0.000407342854733263</v>
      </c>
      <c r="I364" s="4" t="n">
        <f aca="false">IF(G364="","",RANK(G364,$G$2:$G$1514,0))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IF(G365="","",G365/SUM($G$2:$G$1514))</f>
        <v>0.000406822372859081</v>
      </c>
      <c r="I365" s="4" t="n">
        <f aca="false">IF(G365="","",RANK(G365,$G$2:$G$1514,0))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IF(G366="","",G366/SUM($G$2:$G$1514))</f>
        <v>0.000406139168362585</v>
      </c>
      <c r="I366" s="4" t="n">
        <f aca="false">IF(G366="","",RANK(G366,$G$2:$G$1514,0))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IF(G367="","",G367/SUM($G$2:$G$1514))</f>
        <v>0.000402427955262338</v>
      </c>
      <c r="I367" s="4" t="n">
        <f aca="false">IF(G367="","",RANK(G367,$G$2:$G$1514,0))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IF(G368="","",G368/SUM($G$2:$G$1514))</f>
        <v>0.000399996692585109</v>
      </c>
      <c r="I368" s="4" t="n">
        <f aca="false">IF(G368="","",RANK(G368,$G$2:$G$1514,0))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IF(G369="","",G369/SUM($G$2:$G$1514))</f>
        <v>0.000399122717525224</v>
      </c>
      <c r="I369" s="4" t="n">
        <f aca="false">IF(G369="","",RANK(G369,$G$2:$G$1514,0))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IF(G370="","",G370/SUM($G$2:$G$1514))</f>
        <v>0.000397769160551079</v>
      </c>
      <c r="I370" s="4" t="n">
        <f aca="false">IF(G370="","",RANK(G370,$G$2:$G$1514,0))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IF(G371="","",G371/SUM($G$2:$G$1514))</f>
        <v>0.000393071893196567</v>
      </c>
      <c r="I371" s="4" t="n">
        <f aca="false">IF(G371="","",RANK(G371,$G$2:$G$1514,0))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IF(G372="","",G372/SUM($G$2:$G$1514))</f>
        <v>0.000390061361403718</v>
      </c>
      <c r="I372" s="4" t="n">
        <f aca="false">IF(G372="","",RANK(G372,$G$2:$G$1514,0))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IF(G373="","",G373/SUM($G$2:$G$1514))</f>
        <v>0.00038708337094265</v>
      </c>
      <c r="I373" s="4" t="n">
        <f aca="false">IF(G373="","",RANK(G373,$G$2:$G$1514,0))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IF(G374="","",G374/SUM($G$2:$G$1514))</f>
        <v>0.000385683641065687</v>
      </c>
      <c r="I374" s="4" t="n">
        <f aca="false">IF(G374="","",RANK(G374,$G$2:$G$1514,0))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IF(G375="","",G375/SUM($G$2:$G$1514))</f>
        <v>0.000385383963936939</v>
      </c>
      <c r="I375" s="4" t="n">
        <f aca="false">IF(G375="","",RANK(G375,$G$2:$G$1514,0))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IF(G376="","",G376/SUM($G$2:$G$1514))</f>
        <v>0.000383591287982957</v>
      </c>
      <c r="I376" s="4" t="n">
        <f aca="false">IF(G376="","",RANK(G376,$G$2:$G$1514,0))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IF(G377="","",G377/SUM($G$2:$G$1514))</f>
        <v>0.000379851236796365</v>
      </c>
      <c r="I377" s="4" t="n">
        <f aca="false">IF(G377="","",RANK(G377,$G$2:$G$1514,0))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IF(G378="","",G378/SUM($G$2:$G$1514))</f>
        <v>0.000377770953754983</v>
      </c>
      <c r="I378" s="4" t="n">
        <f aca="false">IF(G378="","",RANK(G378,$G$2:$G$1514,0))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IF(G379="","",G379/SUM($G$2:$G$1514))</f>
        <v>0.000376949613748765</v>
      </c>
      <c r="I379" s="4" t="n">
        <f aca="false">IF(G379="","",RANK(G379,$G$2:$G$1514,0))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IF(G380="","",G380/SUM($G$2:$G$1514))</f>
        <v>0.000376685706399806</v>
      </c>
      <c r="I380" s="4" t="n">
        <f aca="false">IF(G380="","",RANK(G380,$G$2:$G$1514,0))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IF(G381="","",G381/SUM($G$2:$G$1514))</f>
        <v>0.000375597235707093</v>
      </c>
      <c r="I381" s="4" t="n">
        <f aca="false">IF(G381="","",RANK(G381,$G$2:$G$1514,0))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IF(G382="","",G382/SUM($G$2:$G$1514))</f>
        <v>0.000375425407575536</v>
      </c>
      <c r="I382" s="4" t="n">
        <f aca="false">IF(G382="","",RANK(G382,$G$2:$G$1514,0))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IF(G383="","",G383/SUM($G$2:$G$1514))</f>
        <v>0.000373790864132759</v>
      </c>
      <c r="I383" s="4" t="n">
        <f aca="false">IF(G383="","",RANK(G383,$G$2:$G$1514,0))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IF(G384="","",G384/SUM($G$2:$G$1514))</f>
        <v>0.000373147984831776</v>
      </c>
      <c r="I384" s="4" t="n">
        <f aca="false">IF(G384="","",RANK(G384,$G$2:$G$1514,0))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IF(G385="","",G385/SUM($G$2:$G$1514))</f>
        <v>0.000372211415266232</v>
      </c>
      <c r="I385" s="4" t="n">
        <f aca="false">IF(G385="","",RANK(G385,$G$2:$G$1514,0))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IF(G386="","",G386/SUM($G$2:$G$1514))</f>
        <v>0.000371828864311289</v>
      </c>
      <c r="I386" s="4" t="n">
        <f aca="false">IF(G386="","",RANK(G386,$G$2:$G$1514,0))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IF(G387="","",G387/SUM($G$2:$G$1514))</f>
        <v>0.000371383027929724</v>
      </c>
      <c r="I387" s="4" t="n">
        <f aca="false">IF(G387="","",RANK(G387,$G$2:$G$1514,0))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IF(G388="","",G388/SUM($G$2:$G$1514))</f>
        <v>0.000370310938350677</v>
      </c>
      <c r="I388" s="4" t="n">
        <f aca="false">IF(G388="","",RANK(G388,$G$2:$G$1514,0))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IF(G389="","",G389/SUM($G$2:$G$1514))</f>
        <v>0.000366583563150775</v>
      </c>
      <c r="I389" s="4" t="n">
        <f aca="false">IF(G389="","",RANK(G389,$G$2:$G$1514,0))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IF(G390="","",G390/SUM($G$2:$G$1514))</f>
        <v>0.000366508443492719</v>
      </c>
      <c r="I390" s="4" t="n">
        <f aca="false">IF(G390="","",RANK(G390,$G$2:$G$1514,0))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IF(G391="","",G391/SUM($G$2:$G$1514))</f>
        <v>0.000364063589675886</v>
      </c>
      <c r="I391" s="4" t="n">
        <f aca="false">IF(G391="","",RANK(G391,$G$2:$G$1514,0))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IF(G392="","",G392/SUM($G$2:$G$1514))</f>
        <v>0.000363709895404526</v>
      </c>
      <c r="I392" s="4" t="n">
        <f aca="false">IF(G392="","",RANK(G392,$G$2:$G$1514,0))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IF(G393="","",G393/SUM($G$2:$G$1514))</f>
        <v>0.000362744964837429</v>
      </c>
      <c r="I393" s="4" t="n">
        <f aca="false">IF(G393="","",RANK(G393,$G$2:$G$1514,0))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IF(G394="","",G394/SUM($G$2:$G$1514))</f>
        <v>0.000362038690850643</v>
      </c>
      <c r="I394" s="4" t="n">
        <f aca="false">IF(G394="","",RANK(G394,$G$2:$G$1514,0))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IF(G395="","",G395/SUM($G$2:$G$1514))</f>
        <v>0.000361148780672382</v>
      </c>
      <c r="I395" s="4" t="n">
        <f aca="false">IF(G395="","",RANK(G395,$G$2:$G$1514,0))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IF(G396="","",G396/SUM($G$2:$G$1514))</f>
        <v>0.000360779144874505</v>
      </c>
      <c r="I396" s="4" t="n">
        <f aca="false">IF(G396="","",RANK(G396,$G$2:$G$1514,0))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IF(G397="","",G397/SUM($G$2:$G$1514))</f>
        <v>0.00036072022585958</v>
      </c>
      <c r="I397" s="4" t="n">
        <f aca="false">IF(G397="","",RANK(G397,$G$2:$G$1514,0))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IF(G398="","",G398/SUM($G$2:$G$1514))</f>
        <v>0.000360718384412089</v>
      </c>
      <c r="I398" s="4" t="n">
        <f aca="false">IF(G398="","",RANK(G398,$G$2:$G$1514,0))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IF(G399="","",G399/SUM($G$2:$G$1514))</f>
        <v>0.000360058282431462</v>
      </c>
      <c r="I399" s="4" t="n">
        <f aca="false">IF(G399="","",RANK(G399,$G$2:$G$1514,0))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IF(G400="","",G400/SUM($G$2:$G$1514))</f>
        <v>0.000358926465253781</v>
      </c>
      <c r="I400" s="4" t="n">
        <f aca="false">IF(G400="","",RANK(G400,$G$2:$G$1514,0))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IF(G401="","",G401/SUM($G$2:$G$1514))</f>
        <v>0.000358248526762708</v>
      </c>
      <c r="I401" s="4" t="n">
        <f aca="false">IF(G401="","",RANK(G401,$G$2:$G$1514,0))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IF(G402="","",G402/SUM($G$2:$G$1514))</f>
        <v>0.000357602063677163</v>
      </c>
      <c r="I402" s="4" t="n">
        <f aca="false">IF(G402="","",RANK(G402,$G$2:$G$1514,0))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IF(G403="","",G403/SUM($G$2:$G$1514))</f>
        <v>0.000357283506667725</v>
      </c>
      <c r="I403" s="4" t="n">
        <f aca="false">IF(G403="","",RANK(G403,$G$2:$G$1514,0))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IF(G404="","",G404/SUM($G$2:$G$1514))</f>
        <v>0.000357244044253223</v>
      </c>
      <c r="I404" s="4" t="n">
        <f aca="false">IF(G404="","",RANK(G404,$G$2:$G$1514,0))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IF(G405="","",G405/SUM($G$2:$G$1514))</f>
        <v>0.000355939243400018</v>
      </c>
      <c r="I405" s="4" t="n">
        <f aca="false">IF(G405="","",RANK(G405,$G$2:$G$1514,0))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IF(G406="","",G406/SUM($G$2:$G$1514))</f>
        <v>0.000352428114806167</v>
      </c>
      <c r="I406" s="4" t="n">
        <f aca="false">IF(G406="","",RANK(G406,$G$2:$G$1514,0))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IF(G407="","",G407/SUM($G$2:$G$1514))</f>
        <v>0.000352325888645353</v>
      </c>
      <c r="I407" s="4" t="n">
        <f aca="false">IF(G407="","",RANK(G407,$G$2:$G$1514,0))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IF(G408="","",G408/SUM($G$2:$G$1514))</f>
        <v>0.000352310705959662</v>
      </c>
      <c r="I408" s="4" t="n">
        <f aca="false">IF(G408="","",RANK(G408,$G$2:$G$1514,0))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IF(G409="","",G409/SUM($G$2:$G$1514))</f>
        <v>0.000351865432029896</v>
      </c>
      <c r="I409" s="4" t="n">
        <f aca="false">IF(G409="","",RANK(G409,$G$2:$G$1514,0))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IF(G410="","",G410/SUM($G$2:$G$1514))</f>
        <v>0.000350946314701361</v>
      </c>
      <c r="I410" s="4" t="n">
        <f aca="false">IF(G410="","",RANK(G410,$G$2:$G$1514,0))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IF(G411="","",G411/SUM($G$2:$G$1514))</f>
        <v>0.000350733238708053</v>
      </c>
      <c r="I411" s="4" t="n">
        <f aca="false">IF(G411="","",RANK(G411,$G$2:$G$1514,0))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IF(G412="","",G412/SUM($G$2:$G$1514))</f>
        <v>0.00035064834818819</v>
      </c>
      <c r="I412" s="4" t="n">
        <f aca="false">IF(G412="","",RANK(G412,$G$2:$G$1514,0))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IF(G413="","",G413/SUM($G$2:$G$1514))</f>
        <v>0.000347885614115999</v>
      </c>
      <c r="I413" s="4" t="n">
        <f aca="false">IF(G413="","",RANK(G413,$G$2:$G$1514,0))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IF(G414="","",G414/SUM($G$2:$G$1514))</f>
        <v>0.000347102047197525</v>
      </c>
      <c r="I414" s="4" t="n">
        <f aca="false">IF(G414="","",RANK(G414,$G$2:$G$1514,0))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IF(G415="","",G415/SUM($G$2:$G$1514))</f>
        <v>0.000345733451622181</v>
      </c>
      <c r="I415" s="4" t="n">
        <f aca="false">IF(G415="","",RANK(G415,$G$2:$G$1514,0))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IF(G416="","",G416/SUM($G$2:$G$1514))</f>
        <v>0.000345198157664512</v>
      </c>
      <c r="I416" s="4" t="n">
        <f aca="false">IF(G416="","",RANK(G416,$G$2:$G$1514,0))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IF(G417="","",G417/SUM($G$2:$G$1514))</f>
        <v>0.000344276859555438</v>
      </c>
      <c r="I417" s="4" t="n">
        <f aca="false">IF(G417="","",RANK(G417,$G$2:$G$1514,0))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IF(G418="","",G418/SUM($G$2:$G$1514))</f>
        <v>0.000344233168642991</v>
      </c>
      <c r="I418" s="4" t="n">
        <f aca="false">IF(G418="","",RANK(G418,$G$2:$G$1514,0))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IF(G419="","",G419/SUM($G$2:$G$1514))</f>
        <v>0.000343627489809944</v>
      </c>
      <c r="I419" s="4" t="n">
        <f aca="false">IF(G419="","",RANK(G419,$G$2:$G$1514,0))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IF(G420="","",G420/SUM($G$2:$G$1514))</f>
        <v>0.000342481362388715</v>
      </c>
      <c r="I420" s="4" t="n">
        <f aca="false">IF(G420="","",RANK(G420,$G$2:$G$1514,0))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IF(G421="","",G421/SUM($G$2:$G$1514))</f>
        <v>0.000340931881717237</v>
      </c>
      <c r="I421" s="4" t="n">
        <f aca="false">IF(G421="","",RANK(G421,$G$2:$G$1514,0))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IF(G422="","",G422/SUM($G$2:$G$1514))</f>
        <v>0.00033992648363137</v>
      </c>
      <c r="I422" s="4" t="n">
        <f aca="false">IF(G422="","",RANK(G422,$G$2:$G$1514,0))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IF(G423="","",G423/SUM($G$2:$G$1514))</f>
        <v>0.000339733109910037</v>
      </c>
      <c r="I423" s="4" t="n">
        <f aca="false">IF(G423="","",RANK(G423,$G$2:$G$1514,0))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IF(G424="","",G424/SUM($G$2:$G$1514))</f>
        <v>0.000336525297309019</v>
      </c>
      <c r="I424" s="4" t="n">
        <f aca="false">IF(G424="","",RANK(G424,$G$2:$G$1514,0))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IF(G425="","",G425/SUM($G$2:$G$1514))</f>
        <v>0.000336429252779736</v>
      </c>
      <c r="I425" s="4" t="n">
        <f aca="false">IF(G425="","",RANK(G425,$G$2:$G$1514,0))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IF(G426="","",G426/SUM($G$2:$G$1514))</f>
        <v>0.000336402821951541</v>
      </c>
      <c r="I426" s="4" t="n">
        <f aca="false">IF(G426="","",RANK(G426,$G$2:$G$1514,0))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IF(G427="","",G427/SUM($G$2:$G$1514))</f>
        <v>0.000336016077007968</v>
      </c>
      <c r="I427" s="4" t="n">
        <f aca="false">IF(G427="","",RANK(G427,$G$2:$G$1514,0))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IF(G428="","",G428/SUM($G$2:$G$1514))</f>
        <v>0.000333993895548315</v>
      </c>
      <c r="I428" s="4" t="n">
        <f aca="false">IF(G428="","",RANK(G428,$G$2:$G$1514,0))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IF(G429="","",G429/SUM($G$2:$G$1514))</f>
        <v>0.000332096283167411</v>
      </c>
      <c r="I429" s="4" t="n">
        <f aca="false">IF(G429="","",RANK(G429,$G$2:$G$1514,0))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IF(G430="","",G430/SUM($G$2:$G$1514))</f>
        <v>0.00033171923474481</v>
      </c>
      <c r="I430" s="4" t="n">
        <f aca="false">IF(G430="","",RANK(G430,$G$2:$G$1514,0))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IF(G431="","",G431/SUM($G$2:$G$1514))</f>
        <v>0.000331501038347994</v>
      </c>
      <c r="I431" s="4" t="n">
        <f aca="false">IF(G431="","",RANK(G431,$G$2:$G$1514,0))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IF(G432="","",G432/SUM($G$2:$G$1514))</f>
        <v>0.000330982755400856</v>
      </c>
      <c r="I432" s="4" t="n">
        <f aca="false">IF(G432="","",RANK(G432,$G$2:$G$1514,0))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IF(G433="","",G433/SUM($G$2:$G$1514))</f>
        <v>0.000330182567712314</v>
      </c>
      <c r="I433" s="4" t="n">
        <f aca="false">IF(G433="","",RANK(G433,$G$2:$G$1514,0))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IF(G434="","",G434/SUM($G$2:$G$1514))</f>
        <v>0.000329662195766199</v>
      </c>
      <c r="I434" s="4" t="n">
        <f aca="false">IF(G434="","",RANK(G434,$G$2:$G$1514,0))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IF(G435="","",G435/SUM($G$2:$G$1514))</f>
        <v>0.000329485241908929</v>
      </c>
      <c r="I435" s="4" t="n">
        <f aca="false">IF(G435="","",RANK(G435,$G$2:$G$1514,0))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IF(G436="","",G436/SUM($G$2:$G$1514))</f>
        <v>0.000327096702697925</v>
      </c>
      <c r="I436" s="4" t="n">
        <f aca="false">IF(G436="","",RANK(G436,$G$2:$G$1514,0))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IF(G437="","",G437/SUM($G$2:$G$1514))</f>
        <v>0.000325646738278853</v>
      </c>
      <c r="I437" s="4" t="n">
        <f aca="false">IF(G437="","",RANK(G437,$G$2:$G$1514,0))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IF(G438="","",G438/SUM($G$2:$G$1514))</f>
        <v>0.000324771816886725</v>
      </c>
      <c r="I438" s="4" t="n">
        <f aca="false">IF(G438="","",RANK(G438,$G$2:$G$1514,0))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IF(G439="","",G439/SUM($G$2:$G$1514))</f>
        <v>0.000323803289035465</v>
      </c>
      <c r="I439" s="4" t="n">
        <f aca="false">IF(G439="","",RANK(G439,$G$2:$G$1514,0))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IF(G440="","",G440/SUM($G$2:$G$1514))</f>
        <v>0.000323081512177365</v>
      </c>
      <c r="I440" s="4" t="n">
        <f aca="false">IF(G440="","",RANK(G440,$G$2:$G$1514,0))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IF(G441="","",G441/SUM($G$2:$G$1514))</f>
        <v>0.000322709365248525</v>
      </c>
      <c r="I441" s="4" t="n">
        <f aca="false">IF(G441="","",RANK(G441,$G$2:$G$1514,0))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IF(G442="","",G442/SUM($G$2:$G$1514))</f>
        <v>0.000320255824467802</v>
      </c>
      <c r="I442" s="4" t="n">
        <f aca="false">IF(G442="","",RANK(G442,$G$2:$G$1514,0))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IF(G443="","",G443/SUM($G$2:$G$1514))</f>
        <v>0.000319616787897967</v>
      </c>
      <c r="I443" s="4" t="n">
        <f aca="false">IF(G443="","",RANK(G443,$G$2:$G$1514,0))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IF(G444="","",G444/SUM($G$2:$G$1514))</f>
        <v>0.000319153731475404</v>
      </c>
      <c r="I444" s="4" t="n">
        <f aca="false">IF(G444="","",RANK(G444,$G$2:$G$1514,0))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IF(G445="","",G445/SUM($G$2:$G$1514))</f>
        <v>0.000318354301416638</v>
      </c>
      <c r="I445" s="4" t="n">
        <f aca="false">IF(G445="","",RANK(G445,$G$2:$G$1514,0))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IF(G446="","",G446/SUM($G$2:$G$1514))</f>
        <v>0.00031800650985832</v>
      </c>
      <c r="I446" s="4" t="n">
        <f aca="false">IF(G446="","",RANK(G446,$G$2:$G$1514,0))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IF(G447="","",G447/SUM($G$2:$G$1514))</f>
        <v>0.000317068167581605</v>
      </c>
      <c r="I447" s="4" t="n">
        <f aca="false">IF(G447="","",RANK(G447,$G$2:$G$1514,0))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IF(G448="","",G448/SUM($G$2:$G$1514))</f>
        <v>0.000316814094130016</v>
      </c>
      <c r="I448" s="4" t="n">
        <f aca="false">IF(G448="","",RANK(G448,$G$2:$G$1514,0))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IF(G449="","",G449/SUM($G$2:$G$1514))</f>
        <v>0.000315766387770833</v>
      </c>
      <c r="I449" s="4" t="n">
        <f aca="false">IF(G449="","",RANK(G449,$G$2:$G$1514,0))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IF(G450="","",G450/SUM($G$2:$G$1514))</f>
        <v>0.000315722495803206</v>
      </c>
      <c r="I450" s="4" t="n">
        <f aca="false">IF(G450="","",RANK(G450,$G$2:$G$1514,0))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IF(G451="","",G451/SUM($G$2:$G$1514))</f>
        <v>0.000315393828520315</v>
      </c>
      <c r="I451" s="4" t="n">
        <f aca="false">IF(G451="","",RANK(G451,$G$2:$G$1514,0))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IF(G452="","",G452/SUM($G$2:$G$1514))</f>
        <v>0.000314781616294589</v>
      </c>
      <c r="I452" s="4" t="n">
        <f aca="false">IF(G452="","",RANK(G452,$G$2:$G$1514,0))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IF(G453="","",G453/SUM($G$2:$G$1514))</f>
        <v>0.000314722847668033</v>
      </c>
      <c r="I453" s="4" t="n">
        <f aca="false">IF(G453="","",RANK(G453,$G$2:$G$1514,0))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IF(G454="","",G454/SUM($G$2:$G$1514))</f>
        <v>0.000314531999911826</v>
      </c>
      <c r="I454" s="4" t="n">
        <f aca="false">IF(G454="","",RANK(G454,$G$2:$G$1514,0))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IF(G455="","",G455/SUM($G$2:$G$1514))</f>
        <v>0.000313456097895529</v>
      </c>
      <c r="I455" s="4" t="n">
        <f aca="false">IF(G455="","",RANK(G455,$G$2:$G$1514,0))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IF(G456="","",G456/SUM($G$2:$G$1514))</f>
        <v>0.000312691387194947</v>
      </c>
      <c r="I456" s="4" t="n">
        <f aca="false">IF(G456="","",RANK(G456,$G$2:$G$1514,0))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IF(G457="","",G457/SUM($G$2:$G$1514))</f>
        <v>0.000312589182693485</v>
      </c>
      <c r="I457" s="4" t="n">
        <f aca="false">IF(G457="","",RANK(G457,$G$2:$G$1514,0))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IF(G458="","",G458/SUM($G$2:$G$1514))</f>
        <v>0.000312414487462418</v>
      </c>
      <c r="I458" s="4" t="n">
        <f aca="false">IF(G458="","",RANK(G458,$G$2:$G$1514,0))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IF(G459="","",G459/SUM($G$2:$G$1514))</f>
        <v>0.000311731605089225</v>
      </c>
      <c r="I459" s="4" t="n">
        <f aca="false">IF(G459="","",RANK(G459,$G$2:$G$1514,0))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IF(G460="","",G460/SUM($G$2:$G$1514))</f>
        <v>0.000311118742697985</v>
      </c>
      <c r="I460" s="4" t="n">
        <f aca="false">IF(G460="","",RANK(G460,$G$2:$G$1514,0))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IF(G461="","",G461/SUM($G$2:$G$1514))</f>
        <v>0.000311058557643197</v>
      </c>
      <c r="I461" s="4" t="n">
        <f aca="false">IF(G461="","",RANK(G461,$G$2:$G$1514,0))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IF(G462="","",G462/SUM($G$2:$G$1514))</f>
        <v>0.000308449218383388</v>
      </c>
      <c r="I462" s="4" t="n">
        <f aca="false">IF(G462="","",RANK(G462,$G$2:$G$1514,0))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IF(G463="","",G463/SUM($G$2:$G$1514))</f>
        <v>0.000307829261681133</v>
      </c>
      <c r="I463" s="4" t="n">
        <f aca="false">IF(G463="","",RANK(G463,$G$2:$G$1514,0))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IF(G464="","",G464/SUM($G$2:$G$1514))</f>
        <v>0.000306221736320015</v>
      </c>
      <c r="I464" s="4" t="n">
        <f aca="false">IF(G464="","",RANK(G464,$G$2:$G$1514,0))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IF(G465="","",G465/SUM($G$2:$G$1514))</f>
        <v>0.000305550617100039</v>
      </c>
      <c r="I465" s="4" t="n">
        <f aca="false">IF(G465="","",RANK(G465,$G$2:$G$1514,0))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IF(G466="","",G466/SUM($G$2:$G$1514))</f>
        <v>0.000304980599090764</v>
      </c>
      <c r="I466" s="4" t="n">
        <f aca="false">IF(G466="","",RANK(G466,$G$2:$G$1514,0))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IF(G467="","",G467/SUM($G$2:$G$1514))</f>
        <v>0.000303345167362742</v>
      </c>
      <c r="I467" s="4" t="n">
        <f aca="false">IF(G467="","",RANK(G467,$G$2:$G$1514,0))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IF(G468="","",G468/SUM($G$2:$G$1514))</f>
        <v>0.000301636520143721</v>
      </c>
      <c r="I468" s="4" t="n">
        <f aca="false">IF(G468="","",RANK(G468,$G$2:$G$1514,0))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IF(G469="","",G469/SUM($G$2:$G$1514))</f>
        <v>0.000298634666855054</v>
      </c>
      <c r="I469" s="4" t="n">
        <f aca="false">IF(G469="","",RANK(G469,$G$2:$G$1514,0))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IF(G470="","",G470/SUM($G$2:$G$1514))</f>
        <v>0.000298602478129752</v>
      </c>
      <c r="I470" s="4" t="n">
        <f aca="false">IF(G470="","",RANK(G470,$G$2:$G$1514,0))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IF(G471="","",G471/SUM($G$2:$G$1514))</f>
        <v>0.000298497984955211</v>
      </c>
      <c r="I471" s="4" t="n">
        <f aca="false">IF(G471="","",RANK(G471,$G$2:$G$1514,0))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IF(G472="","",G472/SUM($G$2:$G$1514))</f>
        <v>0.000296220687632939</v>
      </c>
      <c r="I472" s="4" t="n">
        <f aca="false">IF(G472="","",RANK(G472,$G$2:$G$1514,0))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IF(G473="","",G473/SUM($G$2:$G$1514))</f>
        <v>0.000296023127012833</v>
      </c>
      <c r="I473" s="4" t="n">
        <f aca="false">IF(G473="","",RANK(G473,$G$2:$G$1514,0))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IF(G474="","",G474/SUM($G$2:$G$1514))</f>
        <v>0.000295181067762082</v>
      </c>
      <c r="I474" s="4" t="n">
        <f aca="false">IF(G474="","",RANK(G474,$G$2:$G$1514,0))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IF(G475="","",G475/SUM($G$2:$G$1514))</f>
        <v>0.000294954817480657</v>
      </c>
      <c r="I475" s="4" t="n">
        <f aca="false">IF(G475="","",RANK(G475,$G$2:$G$1514,0))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IF(G476="","",G476/SUM($G$2:$G$1514))</f>
        <v>0.000294779934976321</v>
      </c>
      <c r="I476" s="4" t="n">
        <f aca="false">IF(G476="","",RANK(G476,$G$2:$G$1514,0))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IF(G477="","",G477/SUM($G$2:$G$1514))</f>
        <v>0.000293040409830991</v>
      </c>
      <c r="I477" s="4" t="n">
        <f aca="false">IF(G477="","",RANK(G477,$G$2:$G$1514,0))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IF(G478="","",G478/SUM($G$2:$G$1514))</f>
        <v>0.000292950378974214</v>
      </c>
      <c r="I478" s="4" t="n">
        <f aca="false">IF(G478="","",RANK(G478,$G$2:$G$1514,0))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IF(G479="","",G479/SUM($G$2:$G$1514))</f>
        <v>0.000292855101362097</v>
      </c>
      <c r="I479" s="4" t="n">
        <f aca="false">IF(G479="","",RANK(G479,$G$2:$G$1514,0))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IF(G480="","",G480/SUM($G$2:$G$1514))</f>
        <v>0.000291691896784541</v>
      </c>
      <c r="I480" s="4" t="n">
        <f aca="false">IF(G480="","",RANK(G480,$G$2:$G$1514,0))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IF(G481="","",G481/SUM($G$2:$G$1514))</f>
        <v>0.000291108284227077</v>
      </c>
      <c r="I481" s="4" t="n">
        <f aca="false">IF(G481="","",RANK(G481,$G$2:$G$1514,0))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IF(G482="","",G482/SUM($G$2:$G$1514))</f>
        <v>0.00028991461592322</v>
      </c>
      <c r="I482" s="4" t="n">
        <f aca="false">IF(G482="","",RANK(G482,$G$2:$G$1514,0))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IF(G483="","",G483/SUM($G$2:$G$1514))</f>
        <v>0.000289321684479098</v>
      </c>
      <c r="I483" s="4" t="n">
        <f aca="false">IF(G483="","",RANK(G483,$G$2:$G$1514,0))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IF(G484="","",G484/SUM($G$2:$G$1514))</f>
        <v>0.000289201858241725</v>
      </c>
      <c r="I484" s="4" t="n">
        <f aca="false">IF(G484="","",RANK(G484,$G$2:$G$1514,0))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IF(G485="","",G485/SUM($G$2:$G$1514))</f>
        <v>0.000288533902932812</v>
      </c>
      <c r="I485" s="4" t="n">
        <f aca="false">IF(G485="","",RANK(G485,$G$2:$G$1514,0))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IF(G486="","",G486/SUM($G$2:$G$1514))</f>
        <v>0.000288115986728937</v>
      </c>
      <c r="I486" s="4" t="n">
        <f aca="false">IF(G486="","",RANK(G486,$G$2:$G$1514,0))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IF(G487="","",G487/SUM($G$2:$G$1514))</f>
        <v>0.000288044222222004</v>
      </c>
      <c r="I487" s="4" t="n">
        <f aca="false">IF(G487="","",RANK(G487,$G$2:$G$1514,0))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IF(G488="","",G488/SUM($G$2:$G$1514))</f>
        <v>0.000287483842523091</v>
      </c>
      <c r="I488" s="4" t="n">
        <f aca="false">IF(G488="","",RANK(G488,$G$2:$G$1514,0))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IF(G489="","",G489/SUM($G$2:$G$1514))</f>
        <v>0.000286381411453608</v>
      </c>
      <c r="I489" s="4" t="n">
        <f aca="false">IF(G489="","",RANK(G489,$G$2:$G$1514,0))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IF(G490="","",G490/SUM($G$2:$G$1514))</f>
        <v>0.000286079423179181</v>
      </c>
      <c r="I490" s="4" t="n">
        <f aca="false">IF(G490="","",RANK(G490,$G$2:$G$1514,0))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IF(G491="","",G491/SUM($G$2:$G$1514))</f>
        <v>0.000285694435634615</v>
      </c>
      <c r="I491" s="4" t="n">
        <f aca="false">IF(G491="","",RANK(G491,$G$2:$G$1514,0))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IF(G492="","",G492/SUM($G$2:$G$1514))</f>
        <v>0.000284193425654792</v>
      </c>
      <c r="I492" s="4" t="n">
        <f aca="false">IF(G492="","",RANK(G492,$G$2:$G$1514,0))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IF(G493="","",G493/SUM($G$2:$G$1514))</f>
        <v>0.000283651810284738</v>
      </c>
      <c r="I493" s="4" t="n">
        <f aca="false">IF(G493="","",RANK(G493,$G$2:$G$1514,0))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IF(G494="","",G494/SUM($G$2:$G$1514))</f>
        <v>0.000283252237289885</v>
      </c>
      <c r="I494" s="4" t="n">
        <f aca="false">IF(G494="","",RANK(G494,$G$2:$G$1514,0))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IF(G495="","",G495/SUM($G$2:$G$1514))</f>
        <v>0.000281862722236096</v>
      </c>
      <c r="I495" s="4" t="n">
        <f aca="false">IF(G495="","",RANK(G495,$G$2:$G$1514,0))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IF(G496="","",G496/SUM($G$2:$G$1514))</f>
        <v>0.000281550333546261</v>
      </c>
      <c r="I496" s="4" t="n">
        <f aca="false">IF(G496="","",RANK(G496,$G$2:$G$1514,0))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IF(G497="","",G497/SUM($G$2:$G$1514))</f>
        <v>0.00028121375944356</v>
      </c>
      <c r="I497" s="4" t="n">
        <f aca="false">IF(G497="","",RANK(G497,$G$2:$G$1514,0))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IF(G498="","",G498/SUM($G$2:$G$1514))</f>
        <v>0.000280725937487834</v>
      </c>
      <c r="I498" s="4" t="n">
        <f aca="false">IF(G498="","",RANK(G498,$G$2:$G$1514,0))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IF(G499="","",G499/SUM($G$2:$G$1514))</f>
        <v>0.000278986171134996</v>
      </c>
      <c r="I499" s="4" t="n">
        <f aca="false">IF(G499="","",RANK(G499,$G$2:$G$1514,0))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IF(G500="","",G500/SUM($G$2:$G$1514))</f>
        <v>0.000278713315280225</v>
      </c>
      <c r="I500" s="4" t="n">
        <f aca="false">IF(G500="","",RANK(G500,$G$2:$G$1514,0))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IF(G501="","",G501/SUM($G$2:$G$1514))</f>
        <v>0.000277007961023698</v>
      </c>
      <c r="I501" s="4" t="n">
        <f aca="false">IF(G501="","",RANK(G501,$G$2:$G$1514,0))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IF(G502="","",G502/SUM($G$2:$G$1514))</f>
        <v>0.000276263093992817</v>
      </c>
      <c r="I502" s="4" t="n">
        <f aca="false">IF(G502="","",RANK(G502,$G$2:$G$1514,0))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IF(G503="","",G503/SUM($G$2:$G$1514))</f>
        <v>0.000276007677023027</v>
      </c>
      <c r="I503" s="4" t="n">
        <f aca="false">IF(G503="","",RANK(G503,$G$2:$G$1514,0))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IF(G504="","",G504/SUM($G$2:$G$1514))</f>
        <v>0.000275212345087442</v>
      </c>
      <c r="I504" s="4" t="n">
        <f aca="false">IF(G504="","",RANK(G504,$G$2:$G$1514,0))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IF(G505="","",G505/SUM($G$2:$G$1514))</f>
        <v>0.00027509020177265</v>
      </c>
      <c r="I505" s="4" t="n">
        <f aca="false">IF(G505="","",RANK(G505,$G$2:$G$1514,0))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IF(G506="","",G506/SUM($G$2:$G$1514))</f>
        <v>0.000274675995770933</v>
      </c>
      <c r="I506" s="4" t="n">
        <f aca="false">IF(G506="","",RANK(G506,$G$2:$G$1514,0))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IF(G507="","",G507/SUM($G$2:$G$1514))</f>
        <v>0.000273437914359701</v>
      </c>
      <c r="I507" s="4" t="n">
        <f aca="false">IF(G507="","",RANK(G507,$G$2:$G$1514,0))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IF(G508="","",G508/SUM($G$2:$G$1514))</f>
        <v>0.00027240514859648</v>
      </c>
      <c r="I508" s="4" t="n">
        <f aca="false">IF(G508="","",RANK(G508,$G$2:$G$1514,0))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IF(G509="","",G509/SUM($G$2:$G$1514))</f>
        <v>0.000270511846789037</v>
      </c>
      <c r="I509" s="4" t="n">
        <f aca="false">IF(G509="","",RANK(G509,$G$2:$G$1514,0))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IF(G510="","",G510/SUM($G$2:$G$1514))</f>
        <v>0.000270383481801065</v>
      </c>
      <c r="I510" s="4" t="n">
        <f aca="false">IF(G510="","",RANK(G510,$G$2:$G$1514,0))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IF(G511="","",G511/SUM($G$2:$G$1514))</f>
        <v>0.000269865220376935</v>
      </c>
      <c r="I511" s="4" t="n">
        <f aca="false">IF(G511="","",RANK(G511,$G$2:$G$1514,0))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IF(G512="","",G512/SUM($G$2:$G$1514))</f>
        <v>0.000269438711889232</v>
      </c>
      <c r="I512" s="4" t="n">
        <f aca="false">IF(G512="","",RANK(G512,$G$2:$G$1514,0))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IF(G513="","",G513/SUM($G$2:$G$1514))</f>
        <v>0.000266270236090348</v>
      </c>
      <c r="I513" s="4" t="n">
        <f aca="false">IF(G513="","",RANK(G513,$G$2:$G$1514,0))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IF(G514="","",G514/SUM($G$2:$G$1514))</f>
        <v>0.000265406027561363</v>
      </c>
      <c r="I514" s="4" t="n">
        <f aca="false">IF(G514="","",RANK(G514,$G$2:$G$1514,0))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IF(G515="","",G515/SUM($G$2:$G$1514))</f>
        <v>0.000264918049638416</v>
      </c>
      <c r="I515" s="4" t="n">
        <f aca="false">IF(G515="","",RANK(G515,$G$2:$G$1514,0))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IF(G516="","",G516/SUM($G$2:$G$1514))</f>
        <v>0.000264055760346444</v>
      </c>
      <c r="I516" s="4" t="n">
        <f aca="false">IF(G516="","",RANK(G516,$G$2:$G$1514,0))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IF(G517="","",G517/SUM($G$2:$G$1514))</f>
        <v>0.000264025267781109</v>
      </c>
      <c r="I517" s="4" t="n">
        <f aca="false">IF(G517="","",RANK(G517,$G$2:$G$1514,0))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IF(G518="","",G518/SUM($G$2:$G$1514))</f>
        <v>0.000262535116386647</v>
      </c>
      <c r="I518" s="4" t="n">
        <f aca="false">IF(G518="","",RANK(G518,$G$2:$G$1514,0))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IF(G519="","",G519/SUM($G$2:$G$1514))</f>
        <v>0.000262121324523986</v>
      </c>
      <c r="I519" s="4" t="n">
        <f aca="false">IF(G519="","",RANK(G519,$G$2:$G$1514,0))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IF(G520="","",G520/SUM($G$2:$G$1514))</f>
        <v>0.000262086700636655</v>
      </c>
      <c r="I520" s="4" t="n">
        <f aca="false">IF(G520="","",RANK(G520,$G$2:$G$1514,0))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IF(G521="","",G521/SUM($G$2:$G$1514))</f>
        <v>0.000260284122305629</v>
      </c>
      <c r="I521" s="4" t="n">
        <f aca="false">IF(G521="","",RANK(G521,$G$2:$G$1514,0))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IF(G522="","",G522/SUM($G$2:$G$1514))</f>
        <v>0.000258005418496964</v>
      </c>
      <c r="I522" s="4" t="n">
        <f aca="false">IF(G522="","",RANK(G522,$G$2:$G$1514,0))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IF(G523="","",G523/SUM($G$2:$G$1514))</f>
        <v>0.000257552211465194</v>
      </c>
      <c r="I523" s="4" t="n">
        <f aca="false">IF(G523="","",RANK(G523,$G$2:$G$1514,0))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IF(G524="","",G524/SUM($G$2:$G$1514))</f>
        <v>0.000255931795992489</v>
      </c>
      <c r="I524" s="4" t="n">
        <f aca="false">IF(G524="","",RANK(G524,$G$2:$G$1514,0))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IF(G525="","",G525/SUM($G$2:$G$1514))</f>
        <v>0.000253756801622839</v>
      </c>
      <c r="I525" s="4" t="n">
        <f aca="false">IF(G525="","",RANK(G525,$G$2:$G$1514,0))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IF(G526="","",G526/SUM($G$2:$G$1514))</f>
        <v>0.000251762023124607</v>
      </c>
      <c r="I526" s="4" t="n">
        <f aca="false">IF(G526="","",RANK(G526,$G$2:$G$1514,0))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IF(G527="","",G527/SUM($G$2:$G$1514))</f>
        <v>0.000251741279788998</v>
      </c>
      <c r="I527" s="4" t="n">
        <f aca="false">IF(G527="","",RANK(G527,$G$2:$G$1514,0))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IF(G528="","",G528/SUM($G$2:$G$1514))</f>
        <v>0.00025024510397015</v>
      </c>
      <c r="I528" s="4" t="n">
        <f aca="false">IF(G528="","",RANK(G528,$G$2:$G$1514,0))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IF(G529="","",G529/SUM($G$2:$G$1514))</f>
        <v>0.000250136742415862</v>
      </c>
      <c r="I529" s="4" t="n">
        <f aca="false">IF(G529="","",RANK(G529,$G$2:$G$1514,0))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IF(G530="","",G530/SUM($G$2:$G$1514))</f>
        <v>0.000248227089779028</v>
      </c>
      <c r="I530" s="4" t="n">
        <f aca="false">IF(G530="","",RANK(G530,$G$2:$G$1514,0))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IF(G531="","",G531/SUM($G$2:$G$1514))</f>
        <v>0.000247775203199363</v>
      </c>
      <c r="I531" s="4" t="n">
        <f aca="false">IF(G531="","",RANK(G531,$G$2:$G$1514,0))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IF(G532="","",G532/SUM($G$2:$G$1514))</f>
        <v>0.00024764039587204</v>
      </c>
      <c r="I532" s="4" t="n">
        <f aca="false">IF(G532="","",RANK(G532,$G$2:$G$1514,0))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IF(G533="","",G533/SUM($G$2:$G$1514))</f>
        <v>0.000247509527813405</v>
      </c>
      <c r="I533" s="4" t="n">
        <f aca="false">IF(G533="","",RANK(G533,$G$2:$G$1514,0))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IF(G534="","",G534/SUM($G$2:$G$1514))</f>
        <v>0.000247320412200594</v>
      </c>
      <c r="I534" s="4" t="n">
        <f aca="false">IF(G534="","",RANK(G534,$G$2:$G$1514,0))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IF(G535="","",G535/SUM($G$2:$G$1514))</f>
        <v>0.000242893036730162</v>
      </c>
      <c r="I535" s="4" t="n">
        <f aca="false">IF(G535="","",RANK(G535,$G$2:$G$1514,0))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IF(G536="","",G536/SUM($G$2:$G$1514))</f>
        <v>0.000241733213653293</v>
      </c>
      <c r="I536" s="4" t="n">
        <f aca="false">IF(G536="","",RANK(G536,$G$2:$G$1514,0))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IF(G537="","",G537/SUM($G$2:$G$1514))</f>
        <v>0.000240860991048763</v>
      </c>
      <c r="I537" s="4" t="n">
        <f aca="false">IF(G537="","",RANK(G537,$G$2:$G$1514,0))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IF(G538="","",G538/SUM($G$2:$G$1514))</f>
        <v>0.000239805193021811</v>
      </c>
      <c r="I538" s="4" t="n">
        <f aca="false">IF(G538="","",RANK(G538,$G$2:$G$1514,0))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IF(G539="","",G539/SUM($G$2:$G$1514))</f>
        <v>0.000239183845692305</v>
      </c>
      <c r="I539" s="4" t="n">
        <f aca="false">IF(G539="","",RANK(G539,$G$2:$G$1514,0))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IF(G540="","",G540/SUM($G$2:$G$1514))</f>
        <v>0.000238963329659627</v>
      </c>
      <c r="I540" s="4" t="n">
        <f aca="false">IF(G540="","",RANK(G540,$G$2:$G$1514,0))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IF(G541="","",G541/SUM($G$2:$G$1514))</f>
        <v>0.00023854923255137</v>
      </c>
      <c r="I541" s="4" t="n">
        <f aca="false">IF(G541="","",RANK(G541,$G$2:$G$1514,0))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IF(G542="","",G542/SUM($G$2:$G$1514))</f>
        <v>0.000238454825936156</v>
      </c>
      <c r="I542" s="4" t="n">
        <f aca="false">IF(G542="","",RANK(G542,$G$2:$G$1514,0))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IF(G543="","",G543/SUM($G$2:$G$1514))</f>
        <v>0.000237816006811581</v>
      </c>
      <c r="I543" s="4" t="n">
        <f aca="false">IF(G543="","",RANK(G543,$G$2:$G$1514,0))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IF(G544="","",G544/SUM($G$2:$G$1514))</f>
        <v>0.000236086824677883</v>
      </c>
      <c r="I544" s="4" t="n">
        <f aca="false">IF(G544="","",RANK(G544,$G$2:$G$1514,0))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IF(G545="","",G545/SUM($G$2:$G$1514))</f>
        <v>0.000235369012028084</v>
      </c>
      <c r="I545" s="4" t="n">
        <f aca="false">IF(G545="","",RANK(G545,$G$2:$G$1514,0))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IF(G546="","",G546/SUM($G$2:$G$1514))</f>
        <v>0.000235292780786381</v>
      </c>
      <c r="I546" s="4" t="n">
        <f aca="false">IF(G546="","",RANK(G546,$G$2:$G$1514,0))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IF(G547="","",G547/SUM($G$2:$G$1514))</f>
        <v>0.00023454131093195</v>
      </c>
      <c r="I547" s="4" t="n">
        <f aca="false">IF(G547="","",RANK(G547,$G$2:$G$1514,0))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IF(G548="","",G548/SUM($G$2:$G$1514))</f>
        <v>0.000233733946941891</v>
      </c>
      <c r="I548" s="4" t="n">
        <f aca="false">IF(G548="","",RANK(G548,$G$2:$G$1514,0))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IF(G549="","",G549/SUM($G$2:$G$1514))</f>
        <v>0.00023348142945397</v>
      </c>
      <c r="I549" s="4" t="n">
        <f aca="false">IF(G549="","",RANK(G549,$G$2:$G$1514,0))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IF(G550="","",G550/SUM($G$2:$G$1514))</f>
        <v>0.00023204484626823</v>
      </c>
      <c r="I550" s="4" t="n">
        <f aca="false">IF(G550="","",RANK(G550,$G$2:$G$1514,0))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IF(G551="","",G551/SUM($G$2:$G$1514))</f>
        <v>0.000231735358253669</v>
      </c>
      <c r="I551" s="4" t="n">
        <f aca="false">IF(G551="","",RANK(G551,$G$2:$G$1514,0))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IF(G552="","",G552/SUM($G$2:$G$1514))</f>
        <v>0.000230988672296017</v>
      </c>
      <c r="I552" s="4" t="n">
        <f aca="false">IF(G552="","",RANK(G552,$G$2:$G$1514,0))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IF(G553="","",G553/SUM($G$2:$G$1514))</f>
        <v>0.000230564009984515</v>
      </c>
      <c r="I553" s="4" t="n">
        <f aca="false">IF(G553="","",RANK(G553,$G$2:$G$1514,0))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IF(G554="","",G554/SUM($G$2:$G$1514))</f>
        <v>0.000230353836360349</v>
      </c>
      <c r="I554" s="4" t="n">
        <f aca="false">IF(G554="","",RANK(G554,$G$2:$G$1514,0))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IF(G555="","",G555/SUM($G$2:$G$1514))</f>
        <v>0.000229650149393261</v>
      </c>
      <c r="I555" s="4" t="n">
        <f aca="false">IF(G555="","",RANK(G555,$G$2:$G$1514,0))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IF(G556="","",G556/SUM($G$2:$G$1514))</f>
        <v>0.000229068210136592</v>
      </c>
      <c r="I556" s="4" t="n">
        <f aca="false">IF(G556="","",RANK(G556,$G$2:$G$1514,0))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IF(G557="","",G557/SUM($G$2:$G$1514))</f>
        <v>0.000228999046958998</v>
      </c>
      <c r="I557" s="4" t="n">
        <f aca="false">IF(G557="","",RANK(G557,$G$2:$G$1514,0))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IF(G558="","",G558/SUM($G$2:$G$1514))</f>
        <v>0.000228204320843638</v>
      </c>
      <c r="I558" s="4" t="n">
        <f aca="false">IF(G558="","",RANK(G558,$G$2:$G$1514,0))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IF(G559="","",G559/SUM($G$2:$G$1514))</f>
        <v>0.000227911403652549</v>
      </c>
      <c r="I559" s="4" t="n">
        <f aca="false">IF(G559="","",RANK(G559,$G$2:$G$1514,0))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IF(G560="","",G560/SUM($G$2:$G$1514))</f>
        <v>0.000227814019178866</v>
      </c>
      <c r="I560" s="4" t="n">
        <f aca="false">IF(G560="","",RANK(G560,$G$2:$G$1514,0))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IF(G561="","",G561/SUM($G$2:$G$1514))</f>
        <v>0.000226944861320442</v>
      </c>
      <c r="I561" s="4" t="n">
        <f aca="false">IF(G561="","",RANK(G561,$G$2:$G$1514,0))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IF(G562="","",G562/SUM($G$2:$G$1514))</f>
        <v>0.000226116242963684</v>
      </c>
      <c r="I562" s="4" t="n">
        <f aca="false">IF(G562="","",RANK(G562,$G$2:$G$1514,0))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IF(G563="","",G563/SUM($G$2:$G$1514))</f>
        <v>0.000225451549640046</v>
      </c>
      <c r="I563" s="4" t="n">
        <f aca="false">IF(G563="","",RANK(G563,$G$2:$G$1514,0))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IF(G564="","",G564/SUM($G$2:$G$1514))</f>
        <v>0.000225310519499071</v>
      </c>
      <c r="I564" s="4" t="n">
        <f aca="false">IF(G564="","",RANK(G564,$G$2:$G$1514,0))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IF(G565="","",G565/SUM($G$2:$G$1514))</f>
        <v>0.000225233456193722</v>
      </c>
      <c r="I565" s="4" t="n">
        <f aca="false">IF(G565="","",RANK(G565,$G$2:$G$1514,0))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IF(G566="","",G566/SUM($G$2:$G$1514))</f>
        <v>0.00022506847888152</v>
      </c>
      <c r="I566" s="4" t="n">
        <f aca="false">IF(G566="","",RANK(G566,$G$2:$G$1514,0))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IF(G567="","",G567/SUM($G$2:$G$1514))</f>
        <v>0.000224277624434189</v>
      </c>
      <c r="I567" s="4" t="n">
        <f aca="false">IF(G567="","",RANK(G567,$G$2:$G$1514,0))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IF(G568="","",G568/SUM($G$2:$G$1514))</f>
        <v>0.000223996548217919</v>
      </c>
      <c r="I568" s="4" t="n">
        <f aca="false">IF(G568="","",RANK(G568,$G$2:$G$1514,0))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IF(G569="","",G569/SUM($G$2:$G$1514))</f>
        <v>0.000223688850218913</v>
      </c>
      <c r="I569" s="4" t="n">
        <f aca="false">IF(G569="","",RANK(G569,$G$2:$G$1514,0))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IF(G570="","",G570/SUM($G$2:$G$1514))</f>
        <v>0.000223448050765772</v>
      </c>
      <c r="I570" s="4" t="n">
        <f aca="false">IF(G570="","",RANK(G570,$G$2:$G$1514,0))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IF(G571="","",G571/SUM($G$2:$G$1514))</f>
        <v>0.000222844279033573</v>
      </c>
      <c r="I571" s="4" t="n">
        <f aca="false">IF(G571="","",RANK(G571,$G$2:$G$1514,0))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IF(G572="","",G572/SUM($G$2:$G$1514))</f>
        <v>0.000222483515232011</v>
      </c>
      <c r="I572" s="4" t="n">
        <f aca="false">IF(G572="","",RANK(G572,$G$2:$G$1514,0))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IF(G573="","",G573/SUM($G$2:$G$1514))</f>
        <v>0.00022228238813333</v>
      </c>
      <c r="I573" s="4" t="n">
        <f aca="false">IF(G573="","",RANK(G573,$G$2:$G$1514,0))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IF(G574="","",G574/SUM($G$2:$G$1514))</f>
        <v>0.000221030099429042</v>
      </c>
      <c r="I574" s="4" t="n">
        <f aca="false">IF(G574="","",RANK(G574,$G$2:$G$1514,0))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IF(G575="","",G575/SUM($G$2:$G$1514))</f>
        <v>0.000220985638437866</v>
      </c>
      <c r="I575" s="4" t="n">
        <f aca="false">IF(G575="","",RANK(G575,$G$2:$G$1514,0))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IF(G576="","",G576/SUM($G$2:$G$1514))</f>
        <v>0.000220957791499038</v>
      </c>
      <c r="I576" s="4" t="n">
        <f aca="false">IF(G576="","",RANK(G576,$G$2:$G$1514,0))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IF(G577="","",G577/SUM($G$2:$G$1514))</f>
        <v>0.000220396662710258</v>
      </c>
      <c r="I577" s="4" t="n">
        <f aca="false">IF(G577="","",RANK(G577,$G$2:$G$1514,0))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IF(G578="","",G578/SUM($G$2:$G$1514))</f>
        <v>0.000220365246240367</v>
      </c>
      <c r="I578" s="4" t="n">
        <f aca="false">IF(G578="","",RANK(G578,$G$2:$G$1514,0))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IF(G579="","",G579/SUM($G$2:$G$1514))</f>
        <v>0.000219879544454926</v>
      </c>
      <c r="I579" s="4" t="n">
        <f aca="false">IF(G579="","",RANK(G579,$G$2:$G$1514,0))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IF(G580="","",G580/SUM($G$2:$G$1514))</f>
        <v>0.000219015862758428</v>
      </c>
      <c r="I580" s="4" t="n">
        <f aca="false">IF(G580="","",RANK(G580,$G$2:$G$1514,0))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IF(G581="","",G581/SUM($G$2:$G$1514))</f>
        <v>0.000217948121455801</v>
      </c>
      <c r="I581" s="4" t="n">
        <f aca="false">IF(G581="","",RANK(G581,$G$2:$G$1514,0))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IF(G582="","",G582/SUM($G$2:$G$1514))</f>
        <v>0.000217266936830577</v>
      </c>
      <c r="I582" s="4" t="n">
        <f aca="false">IF(G582="","",RANK(G582,$G$2:$G$1514,0))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IF(G583="","",G583/SUM($G$2:$G$1514))</f>
        <v>0.00021724621118432</v>
      </c>
      <c r="I583" s="4" t="n">
        <f aca="false">IF(G583="","",RANK(G583,$G$2:$G$1514,0))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IF(G584="","",G584/SUM($G$2:$G$1514))</f>
        <v>0.000217109555010069</v>
      </c>
      <c r="I584" s="4" t="n">
        <f aca="false">IF(G584="","",RANK(G584,$G$2:$G$1514,0))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IF(G585="","",G585/SUM($G$2:$G$1514))</f>
        <v>0.00021649903677565</v>
      </c>
      <c r="I585" s="4" t="n">
        <f aca="false">IF(G585="","",RANK(G585,$G$2:$G$1514,0))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IF(G586="","",G586/SUM($G$2:$G$1514))</f>
        <v>0.000215283728274136</v>
      </c>
      <c r="I586" s="4" t="n">
        <f aca="false">IF(G586="","",RANK(G586,$G$2:$G$1514,0))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IF(G587="","",G587/SUM($G$2:$G$1514))</f>
        <v>0.000215028843677187</v>
      </c>
      <c r="I587" s="4" t="n">
        <f aca="false">IF(G587="","",RANK(G587,$G$2:$G$1514,0))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IF(G588="","",G588/SUM($G$2:$G$1514))</f>
        <v>0.000215010723081642</v>
      </c>
      <c r="I588" s="4" t="n">
        <f aca="false">IF(G588="","",RANK(G588,$G$2:$G$1514,0))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IF(G589="","",G589/SUM($G$2:$G$1514))</f>
        <v>0.000214932912168559</v>
      </c>
      <c r="I589" s="4" t="n">
        <f aca="false">IF(G589="","",RANK(G589,$G$2:$G$1514,0))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IF(G590="","",G590/SUM($G$2:$G$1514))</f>
        <v>0.000214915621198518</v>
      </c>
      <c r="I590" s="4" t="n">
        <f aca="false">IF(G590="","",RANK(G590,$G$2:$G$1514,0))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IF(G591="","",G591/SUM($G$2:$G$1514))</f>
        <v>0.000214078190860601</v>
      </c>
      <c r="I591" s="4" t="n">
        <f aca="false">IF(G591="","",RANK(G591,$G$2:$G$1514,0))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IF(G592="","",G592/SUM($G$2:$G$1514))</f>
        <v>0.000213506876323475</v>
      </c>
      <c r="I592" s="4" t="n">
        <f aca="false">IF(G592="","",RANK(G592,$G$2:$G$1514,0))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IF(G593="","",G593/SUM($G$2:$G$1514))</f>
        <v>0.000212982201764749</v>
      </c>
      <c r="I593" s="4" t="n">
        <f aca="false">IF(G593="","",RANK(G593,$G$2:$G$1514,0))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IF(G594="","",G594/SUM($G$2:$G$1514))</f>
        <v>0.000210955108713904</v>
      </c>
      <c r="I594" s="4" t="n">
        <f aca="false">IF(G594="","",RANK(G594,$G$2:$G$1514,0))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IF(G595="","",G595/SUM($G$2:$G$1514))</f>
        <v>0.000210141968916027</v>
      </c>
      <c r="I595" s="4" t="n">
        <f aca="false">IF(G595="","",RANK(G595,$G$2:$G$1514,0))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IF(G596="","",G596/SUM($G$2:$G$1514))</f>
        <v>0.000209741754451159</v>
      </c>
      <c r="I596" s="4" t="n">
        <f aca="false">IF(G596="","",RANK(G596,$G$2:$G$1514,0))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IF(G597="","",G597/SUM($G$2:$G$1514))</f>
        <v>0.000208864236538604</v>
      </c>
      <c r="I597" s="4" t="n">
        <f aca="false">IF(G597="","",RANK(G597,$G$2:$G$1514,0))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IF(G598="","",G598/SUM($G$2:$G$1514))</f>
        <v>0.000207679965791545</v>
      </c>
      <c r="I598" s="4" t="n">
        <f aca="false">IF(G598="","",RANK(G598,$G$2:$G$1514,0))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IF(G599="","",G599/SUM($G$2:$G$1514))</f>
        <v>0.000206756033550515</v>
      </c>
      <c r="I599" s="4" t="n">
        <f aca="false">IF(G599="","",RANK(G599,$G$2:$G$1514,0))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IF(G600="","",G600/SUM($G$2:$G$1514))</f>
        <v>0.000206713180691199</v>
      </c>
      <c r="I600" s="4" t="n">
        <f aca="false">IF(G600="","",RANK(G600,$G$2:$G$1514,0))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IF(G601="","",G601/SUM($G$2:$G$1514))</f>
        <v>0.000204033765763588</v>
      </c>
      <c r="I601" s="4" t="n">
        <f aca="false">IF(G601="","",RANK(G601,$G$2:$G$1514,0))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IF(G602="","",G602/SUM($G$2:$G$1514))</f>
        <v>0.000203710262477198</v>
      </c>
      <c r="I602" s="4" t="n">
        <f aca="false">IF(G602="","",RANK(G602,$G$2:$G$1514,0))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IF(G603="","",G603/SUM($G$2:$G$1514))</f>
        <v>0.000203247074601958</v>
      </c>
      <c r="I603" s="4" t="n">
        <f aca="false">IF(G603="","",RANK(G603,$G$2:$G$1514,0))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IF(G604="","",G604/SUM($G$2:$G$1514))</f>
        <v>0.000202440639392737</v>
      </c>
      <c r="I604" s="4" t="n">
        <f aca="false">IF(G604="","",RANK(G604,$G$2:$G$1514,0))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IF(G605="","",G605/SUM($G$2:$G$1514))</f>
        <v>0.000200893262541565</v>
      </c>
      <c r="I605" s="4" t="n">
        <f aca="false">IF(G605="","",RANK(G605,$G$2:$G$1514,0))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IF(G606="","",G606/SUM($G$2:$G$1514))</f>
        <v>0.000200797866843235</v>
      </c>
      <c r="I606" s="4" t="n">
        <f aca="false">IF(G606="","",RANK(G606,$G$2:$G$1514,0))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IF(G607="","",G607/SUM($G$2:$G$1514))</f>
        <v>0.000199398675190651</v>
      </c>
      <c r="I607" s="4" t="n">
        <f aca="false">IF(G607="","",RANK(G607,$G$2:$G$1514,0))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IF(G608="","",G608/SUM($G$2:$G$1514))</f>
        <v>0.000199398204183567</v>
      </c>
      <c r="I608" s="4" t="n">
        <f aca="false">IF(G608="","",RANK(G608,$G$2:$G$1514,0))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IF(G609="","",G609/SUM($G$2:$G$1514))</f>
        <v>0.000198538068713035</v>
      </c>
      <c r="I609" s="4" t="n">
        <f aca="false">IF(G609="","",RANK(G609,$G$2:$G$1514,0))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IF(G610="","",G610/SUM($G$2:$G$1514))</f>
        <v>0.000198534755058425</v>
      </c>
      <c r="I610" s="4" t="n">
        <f aca="false">IF(G610="","",RANK(G610,$G$2:$G$1514,0))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IF(G611="","",G611/SUM($G$2:$G$1514))</f>
        <v>0.000198309822072356</v>
      </c>
      <c r="I611" s="4" t="n">
        <f aca="false">IF(G611="","",RANK(G611,$G$2:$G$1514,0))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IF(G612="","",G612/SUM($G$2:$G$1514))</f>
        <v>0.00019769253731409</v>
      </c>
      <c r="I612" s="4" t="n">
        <f aca="false">IF(G612="","",RANK(G612,$G$2:$G$1514,0))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IF(G613="","",G613/SUM($G$2:$G$1514))</f>
        <v>0.000197377358594051</v>
      </c>
      <c r="I613" s="4" t="n">
        <f aca="false">IF(G613="","",RANK(G613,$G$2:$G$1514,0))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IF(G614="","",G614/SUM($G$2:$G$1514))</f>
        <v>0.000197186554010579</v>
      </c>
      <c r="I614" s="4" t="n">
        <f aca="false">IF(G614="","",RANK(G614,$G$2:$G$1514,0))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IF(G615="","",G615/SUM($G$2:$G$1514))</f>
        <v>0.000196759680193152</v>
      </c>
      <c r="I615" s="4" t="n">
        <f aca="false">IF(G615="","",RANK(G615,$G$2:$G$1514,0))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IF(G616="","",G616/SUM($G$2:$G$1514))</f>
        <v>0.000195828700206387</v>
      </c>
      <c r="I616" s="4" t="n">
        <f aca="false">IF(G616="","",RANK(G616,$G$2:$G$1514,0))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IF(G617="","",G617/SUM($G$2:$G$1514))</f>
        <v>0.000195622510388682</v>
      </c>
      <c r="I617" s="4" t="n">
        <f aca="false">IF(G617="","",RANK(G617,$G$2:$G$1514,0))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IF(G618="","",G618/SUM($G$2:$G$1514))</f>
        <v>0.000194110200008337</v>
      </c>
      <c r="I618" s="4" t="n">
        <f aca="false">IF(G618="","",RANK(G618,$G$2:$G$1514,0))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IF(G619="","",G619/SUM($G$2:$G$1514))</f>
        <v>0.00019391377469563</v>
      </c>
      <c r="I619" s="4" t="n">
        <f aca="false">IF(G619="","",RANK(G619,$G$2:$G$1514,0))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IF(G620="","",G620/SUM($G$2:$G$1514))</f>
        <v>0.000193641389215951</v>
      </c>
      <c r="I620" s="4" t="n">
        <f aca="false">IF(G620="","",RANK(G620,$G$2:$G$1514,0))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IF(G621="","",G621/SUM($G$2:$G$1514))</f>
        <v>0.000192992898928672</v>
      </c>
      <c r="I621" s="4" t="n">
        <f aca="false">IF(G621="","",RANK(G621,$G$2:$G$1514,0))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IF(G622="","",G622/SUM($G$2:$G$1514))</f>
        <v>0.000192799533718374</v>
      </c>
      <c r="I622" s="4" t="n">
        <f aca="false">IF(G622="","",RANK(G622,$G$2:$G$1514,0))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IF(G623="","",G623/SUM($G$2:$G$1514))</f>
        <v>0.000192312865840522</v>
      </c>
      <c r="I623" s="4" t="n">
        <f aca="false">IF(G623="","",RANK(G623,$G$2:$G$1514,0))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IF(G624="","",G624/SUM($G$2:$G$1514))</f>
        <v>0.000191960179535037</v>
      </c>
      <c r="I624" s="4" t="n">
        <f aca="false">IF(G624="","",RANK(G624,$G$2:$G$1514,0))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IF(G625="","",G625/SUM($G$2:$G$1514))</f>
        <v>0.0001918722922162</v>
      </c>
      <c r="I625" s="4" t="n">
        <f aca="false">IF(G625="","",RANK(G625,$G$2:$G$1514,0))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IF(G626="","",G626/SUM($G$2:$G$1514))</f>
        <v>0.000190672857183393</v>
      </c>
      <c r="I626" s="4" t="n">
        <f aca="false">IF(G626="","",RANK(G626,$G$2:$G$1514,0))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IF(G627="","",G627/SUM($G$2:$G$1514))</f>
        <v>0.000189973173903238</v>
      </c>
      <c r="I627" s="4" t="n">
        <f aca="false">IF(G627="","",RANK(G627,$G$2:$G$1514,0))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IF(G628="","",G628/SUM($G$2:$G$1514))</f>
        <v>0.000189490196084011</v>
      </c>
      <c r="I628" s="4" t="n">
        <f aca="false">IF(G628="","",RANK(G628,$G$2:$G$1514,0))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IF(G629="","",G629/SUM($G$2:$G$1514))</f>
        <v>0.000189330470976072</v>
      </c>
      <c r="I629" s="4" t="n">
        <f aca="false">IF(G629="","",RANK(G629,$G$2:$G$1514,0))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IF(G630="","",G630/SUM($G$2:$G$1514))</f>
        <v>0.000187914425309971</v>
      </c>
      <c r="I630" s="4" t="n">
        <f aca="false">IF(G630="","",RANK(G630,$G$2:$G$1514,0))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IF(G631="","",G631/SUM($G$2:$G$1514))</f>
        <v>0.000184612430024133</v>
      </c>
      <c r="I631" s="4" t="n">
        <f aca="false">IF(G631="","",RANK(G631,$G$2:$G$1514,0))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IF(G632="","",G632/SUM($G$2:$G$1514))</f>
        <v>0.000184249850016253</v>
      </c>
      <c r="I632" s="4" t="n">
        <f aca="false">IF(G632="","",RANK(G632,$G$2:$G$1514,0))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IF(G633="","",G633/SUM($G$2:$G$1514))</f>
        <v>0.000183737930427143</v>
      </c>
      <c r="I633" s="4" t="n">
        <f aca="false">IF(G633="","",RANK(G633,$G$2:$G$1514,0))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IF(G634="","",G634/SUM($G$2:$G$1514))</f>
        <v>0.000183328280688083</v>
      </c>
      <c r="I634" s="4" t="n">
        <f aca="false">IF(G634="","",RANK(G634,$G$2:$G$1514,0))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IF(G635="","",G635/SUM($G$2:$G$1514))</f>
        <v>0.000183125618941821</v>
      </c>
      <c r="I635" s="4" t="n">
        <f aca="false">IF(G635="","",RANK(G635,$G$2:$G$1514,0))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IF(G636="","",G636/SUM($G$2:$G$1514))</f>
        <v>0.000182704008975591</v>
      </c>
      <c r="I636" s="4" t="n">
        <f aca="false">IF(G636="","",RANK(G636,$G$2:$G$1514,0))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IF(G637="","",G637/SUM($G$2:$G$1514))</f>
        <v>0.000182643924444383</v>
      </c>
      <c r="I637" s="4" t="n">
        <f aca="false">IF(G637="","",RANK(G637,$G$2:$G$1514,0))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IF(G638="","",G638/SUM($G$2:$G$1514))</f>
        <v>0.000180791042353715</v>
      </c>
      <c r="I638" s="4" t="n">
        <f aca="false">IF(G638="","",RANK(G638,$G$2:$G$1514,0))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IF(G639="","",G639/SUM($G$2:$G$1514))</f>
        <v>0.000180133762200175</v>
      </c>
      <c r="I639" s="4" t="n">
        <f aca="false">IF(G639="","",RANK(G639,$G$2:$G$1514,0))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IF(G640="","",G640/SUM($G$2:$G$1514))</f>
        <v>0.000180085620081668</v>
      </c>
      <c r="I640" s="4" t="n">
        <f aca="false">IF(G640="","",RANK(G640,$G$2:$G$1514,0))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IF(G641="","",G641/SUM($G$2:$G$1514))</f>
        <v>0.000179492795684756</v>
      </c>
      <c r="I641" s="4" t="n">
        <f aca="false">IF(G641="","",RANK(G641,$G$2:$G$1514,0))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IF(G642="","",G642/SUM($G$2:$G$1514))</f>
        <v>0.000179472449292894</v>
      </c>
      <c r="I642" s="4" t="n">
        <f aca="false">IF(G642="","",RANK(G642,$G$2:$G$1514,0))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IF(G643="","",G643/SUM($G$2:$G$1514))</f>
        <v>0.000177761877864337</v>
      </c>
      <c r="I643" s="4" t="n">
        <f aca="false">IF(G643="","",RANK(G643,$G$2:$G$1514,0))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IF(G644="","",G644/SUM($G$2:$G$1514))</f>
        <v>0.000177581168102601</v>
      </c>
      <c r="I644" s="4" t="n">
        <f aca="false">IF(G644="","",RANK(G644,$G$2:$G$1514,0))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IF(G645="","",G645/SUM($G$2:$G$1514))</f>
        <v>0.000176502908173237</v>
      </c>
      <c r="I645" s="4" t="n">
        <f aca="false">IF(G645="","",RANK(G645,$G$2:$G$1514,0))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IF(G646="","",G646/SUM($G$2:$G$1514))</f>
        <v>0.000175327260857253</v>
      </c>
      <c r="I646" s="4" t="n">
        <f aca="false">IF(G646="","",RANK(G646,$G$2:$G$1514,0))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IF(G647="","",G647/SUM($G$2:$G$1514))</f>
        <v>0.000175236241964798</v>
      </c>
      <c r="I647" s="4" t="n">
        <f aca="false">IF(G647="","",RANK(G647,$G$2:$G$1514,0))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IF(G648="","",G648/SUM($G$2:$G$1514))</f>
        <v>0.000174159937713026</v>
      </c>
      <c r="I648" s="4" t="n">
        <f aca="false">IF(G648="","",RANK(G648,$G$2:$G$1514,0))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IF(G649="","",G649/SUM($G$2:$G$1514))</f>
        <v>0.000173830697085301</v>
      </c>
      <c r="I649" s="4" t="n">
        <f aca="false">IF(G649="","",RANK(G649,$G$2:$G$1514,0))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IF(G650="","",G650/SUM($G$2:$G$1514))</f>
        <v>0.000173803561791631</v>
      </c>
      <c r="I650" s="4" t="n">
        <f aca="false">IF(G650="","",RANK(G650,$G$2:$G$1514,0))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IF(G651="","",G651/SUM($G$2:$G$1514))</f>
        <v>0.000173600414799222</v>
      </c>
      <c r="I651" s="4" t="n">
        <f aca="false">IF(G651="","",RANK(G651,$G$2:$G$1514,0))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IF(G652="","",G652/SUM($G$2:$G$1514))</f>
        <v>0.000173518862228757</v>
      </c>
      <c r="I652" s="4" t="n">
        <f aca="false">IF(G652="","",RANK(G652,$G$2:$G$1514,0))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IF(G653="","",G653/SUM($G$2:$G$1514))</f>
        <v>0.00017223218367138</v>
      </c>
      <c r="I653" s="4" t="n">
        <f aca="false">IF(G653="","",RANK(G653,$G$2:$G$1514,0))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IF(G654="","",G654/SUM($G$2:$G$1514))</f>
        <v>0.000172055618896457</v>
      </c>
      <c r="I654" s="4" t="n">
        <f aca="false">IF(G654="","",RANK(G654,$G$2:$G$1514,0))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IF(G655="","",G655/SUM($G$2:$G$1514))</f>
        <v>0.000171945645333345</v>
      </c>
      <c r="I655" s="4" t="n">
        <f aca="false">IF(G655="","",RANK(G655,$G$2:$G$1514,0))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IF(G656="","",G656/SUM($G$2:$G$1514))</f>
        <v>0.000171608692667591</v>
      </c>
      <c r="I656" s="4" t="n">
        <f aca="false">IF(G656="","",RANK(G656,$G$2:$G$1514,0))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IF(G657="","",G657/SUM($G$2:$G$1514))</f>
        <v>0.000171032407051848</v>
      </c>
      <c r="I657" s="4" t="n">
        <f aca="false">IF(G657="","",RANK(G657,$G$2:$G$1514,0))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IF(G658="","",G658/SUM($G$2:$G$1514))</f>
        <v>0.000170917208267633</v>
      </c>
      <c r="I658" s="4" t="n">
        <f aca="false">IF(G658="","",RANK(G658,$G$2:$G$1514,0))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IF(G659="","",G659/SUM($G$2:$G$1514))</f>
        <v>0.000170391915749306</v>
      </c>
      <c r="I659" s="4" t="n">
        <f aca="false">IF(G659="","",RANK(G659,$G$2:$G$1514,0))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IF(G660="","",G660/SUM($G$2:$G$1514))</f>
        <v>0.000170329170896981</v>
      </c>
      <c r="I660" s="4" t="n">
        <f aca="false">IF(G660="","",RANK(G660,$G$2:$G$1514,0))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IF(G661="","",G661/SUM($G$2:$G$1514))</f>
        <v>0.000169592093717712</v>
      </c>
      <c r="I661" s="4" t="n">
        <f aca="false">IF(G661="","",RANK(G661,$G$2:$G$1514,0))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IF(G662="","",G662/SUM($G$2:$G$1514))</f>
        <v>0.000169214427229645</v>
      </c>
      <c r="I662" s="4" t="n">
        <f aca="false">IF(G662="","",RANK(G662,$G$2:$G$1514,0))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IF(G663="","",G663/SUM($G$2:$G$1514))</f>
        <v>0.000168860213419368</v>
      </c>
      <c r="I663" s="4" t="n">
        <f aca="false">IF(G663="","",RANK(G663,$G$2:$G$1514,0))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IF(G664="","",G664/SUM($G$2:$G$1514))</f>
        <v>0.000168251595195939</v>
      </c>
      <c r="I664" s="4" t="n">
        <f aca="false">IF(G664="","",RANK(G664,$G$2:$G$1514,0))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IF(G665="","",G665/SUM($G$2:$G$1514))</f>
        <v>0.000167881416529988</v>
      </c>
      <c r="I665" s="4" t="n">
        <f aca="false">IF(G665="","",RANK(G665,$G$2:$G$1514,0))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IF(G666="","",G666/SUM($G$2:$G$1514))</f>
        <v>0.000167014897256335</v>
      </c>
      <c r="I666" s="4" t="n">
        <f aca="false">IF(G666="","",RANK(G666,$G$2:$G$1514,0))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IF(G667="","",G667/SUM($G$2:$G$1514))</f>
        <v>0.000166850054770106</v>
      </c>
      <c r="I667" s="4" t="n">
        <f aca="false">IF(G667="","",RANK(G667,$G$2:$G$1514,0))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IF(G668="","",G668/SUM($G$2:$G$1514))</f>
        <v>0.000165937209561808</v>
      </c>
      <c r="I668" s="4" t="n">
        <f aca="false">IF(G668="","",RANK(G668,$G$2:$G$1514,0))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IF(G669="","",G669/SUM($G$2:$G$1514))</f>
        <v>0.000165860307805739</v>
      </c>
      <c r="I669" s="4" t="n">
        <f aca="false">IF(G669="","",RANK(G669,$G$2:$G$1514,0))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IF(G670="","",G670/SUM($G$2:$G$1514))</f>
        <v>0.000164945514048201</v>
      </c>
      <c r="I670" s="4" t="n">
        <f aca="false">IF(G670="","",RANK(G670,$G$2:$G$1514,0))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IF(G671="","",G671/SUM($G$2:$G$1514))</f>
        <v>0.000164849857282744</v>
      </c>
      <c r="I671" s="4" t="n">
        <f aca="false">IF(G671="","",RANK(G671,$G$2:$G$1514,0))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IF(G672="","",G672/SUM($G$2:$G$1514))</f>
        <v>0.000164422038239862</v>
      </c>
      <c r="I672" s="4" t="n">
        <f aca="false">IF(G672="","",RANK(G672,$G$2:$G$1514,0))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IF(G673="","",G673/SUM($G$2:$G$1514))</f>
        <v>0.000163830976365259</v>
      </c>
      <c r="I673" s="4" t="n">
        <f aca="false">IF(G673="","",RANK(G673,$G$2:$G$1514,0))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IF(G674="","",G674/SUM($G$2:$G$1514))</f>
        <v>0.000163417046200669</v>
      </c>
      <c r="I674" s="4" t="n">
        <f aca="false">IF(G674="","",RANK(G674,$G$2:$G$1514,0))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IF(G675="","",G675/SUM($G$2:$G$1514))</f>
        <v>0.000162471492994421</v>
      </c>
      <c r="I675" s="4" t="n">
        <f aca="false">IF(G675="","",RANK(G675,$G$2:$G$1514,0))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IF(G676="","",G676/SUM($G$2:$G$1514))</f>
        <v>0.000162123839412413</v>
      </c>
      <c r="I676" s="4" t="n">
        <f aca="false">IF(G676="","",RANK(G676,$G$2:$G$1514,0))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IF(G677="","",G677/SUM($G$2:$G$1514))</f>
        <v>0.000162024409810245</v>
      </c>
      <c r="I677" s="4" t="n">
        <f aca="false">IF(G677="","",RANK(G677,$G$2:$G$1514,0))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IF(G678="","",G678/SUM($G$2:$G$1514))</f>
        <v>0.000161538803816467</v>
      </c>
      <c r="I678" s="4" t="n">
        <f aca="false">IF(G678="","",RANK(G678,$G$2:$G$1514,0))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IF(G679="","",G679/SUM($G$2:$G$1514))</f>
        <v>0.000161325601950936</v>
      </c>
      <c r="I679" s="4" t="n">
        <f aca="false">IF(G679="","",RANK(G679,$G$2:$G$1514,0))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IF(G680="","",G680/SUM($G$2:$G$1514))</f>
        <v>0.000160896880234569</v>
      </c>
      <c r="I680" s="4" t="n">
        <f aca="false">IF(G680="","",RANK(G680,$G$2:$G$1514,0))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IF(G681="","",G681/SUM($G$2:$G$1514))</f>
        <v>0.000160050581709932</v>
      </c>
      <c r="I681" s="4" t="n">
        <f aca="false">IF(G681="","",RANK(G681,$G$2:$G$1514,0))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IF(G682="","",G682/SUM($G$2:$G$1514))</f>
        <v>0.000158773301434378</v>
      </c>
      <c r="I682" s="4" t="n">
        <f aca="false">IF(G682="","",RANK(G682,$G$2:$G$1514,0))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IF(G683="","",G683/SUM($G$2:$G$1514))</f>
        <v>0.000158545850352604</v>
      </c>
      <c r="I683" s="4" t="n">
        <f aca="false">IF(G683="","",RANK(G683,$G$2:$G$1514,0))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IF(G684="","",G684/SUM($G$2:$G$1514))</f>
        <v>0.000158011769158214</v>
      </c>
      <c r="I684" s="4" t="n">
        <f aca="false">IF(G684="","",RANK(G684,$G$2:$G$1514,0))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IF(G685="","",G685/SUM($G$2:$G$1514))</f>
        <v>0.00015723655931998</v>
      </c>
      <c r="I685" s="4" t="n">
        <f aca="false">IF(G685="","",RANK(G685,$G$2:$G$1514,0))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IF(G686="","",G686/SUM($G$2:$G$1514))</f>
        <v>0.000157225317091571</v>
      </c>
      <c r="I686" s="4" t="n">
        <f aca="false">IF(G686="","",RANK(G686,$G$2:$G$1514,0))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IF(G687="","",G687/SUM($G$2:$G$1514))</f>
        <v>0.000157092613412922</v>
      </c>
      <c r="I687" s="4" t="n">
        <f aca="false">IF(G687="","",RANK(G687,$G$2:$G$1514,0))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IF(G688="","",G688/SUM($G$2:$G$1514))</f>
        <v>0.00015690944099431</v>
      </c>
      <c r="I688" s="4" t="n">
        <f aca="false">IF(G688="","",RANK(G688,$G$2:$G$1514,0))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IF(G689="","",G689/SUM($G$2:$G$1514))</f>
        <v>0.000156181070020994</v>
      </c>
      <c r="I689" s="4" t="n">
        <f aca="false">IF(G689="","",RANK(G689,$G$2:$G$1514,0))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IF(G690="","",G690/SUM($G$2:$G$1514))</f>
        <v>0.000155306047587181</v>
      </c>
      <c r="I690" s="4" t="n">
        <f aca="false">IF(G690="","",RANK(G690,$G$2:$G$1514,0))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IF(G691="","",G691/SUM($G$2:$G$1514))</f>
        <v>0.000155256974589751</v>
      </c>
      <c r="I691" s="4" t="n">
        <f aca="false">IF(G691="","",RANK(G691,$G$2:$G$1514,0))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IF(G692="","",G692/SUM($G$2:$G$1514))</f>
        <v>0.000155200134368901</v>
      </c>
      <c r="I692" s="4" t="n">
        <f aca="false">IF(G692="","",RANK(G692,$G$2:$G$1514,0))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IF(G693="","",G693/SUM($G$2:$G$1514))</f>
        <v>0.000154564231642401</v>
      </c>
      <c r="I693" s="4" t="n">
        <f aca="false">IF(G693="","",RANK(G693,$G$2:$G$1514,0))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IF(G694="","",G694/SUM($G$2:$G$1514))</f>
        <v>0.000154513285022042</v>
      </c>
      <c r="I694" s="4" t="n">
        <f aca="false">IF(G694="","",RANK(G694,$G$2:$G$1514,0))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IF(G695="","",G695/SUM($G$2:$G$1514))</f>
        <v>0.000154378638350549</v>
      </c>
      <c r="I695" s="4" t="n">
        <f aca="false">IF(G695="","",RANK(G695,$G$2:$G$1514,0))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IF(G696="","",G696/SUM($G$2:$G$1514))</f>
        <v>0.000153966475552469</v>
      </c>
      <c r="I696" s="4" t="n">
        <f aca="false">IF(G696="","",RANK(G696,$G$2:$G$1514,0))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IF(G697="","",G697/SUM($G$2:$G$1514))</f>
        <v>0.000153939355484345</v>
      </c>
      <c r="I697" s="4" t="n">
        <f aca="false">IF(G697="","",RANK(G697,$G$2:$G$1514,0))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IF(G698="","",G698/SUM($G$2:$G$1514))</f>
        <v>0.000153705297875293</v>
      </c>
      <c r="I698" s="4" t="n">
        <f aca="false">IF(G698="","",RANK(G698,$G$2:$G$1514,0))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IF(G699="","",G699/SUM($G$2:$G$1514))</f>
        <v>0.000153671070344631</v>
      </c>
      <c r="I699" s="4" t="n">
        <f aca="false">IF(G699="","",RANK(G699,$G$2:$G$1514,0))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IF(G700="","",G700/SUM($G$2:$G$1514))</f>
        <v>0.000152822975298454</v>
      </c>
      <c r="I700" s="4" t="n">
        <f aca="false">IF(G700="","",RANK(G700,$G$2:$G$1514,0))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IF(G701="","",G701/SUM($G$2:$G$1514))</f>
        <v>0.000151438521173581</v>
      </c>
      <c r="I701" s="4" t="n">
        <f aca="false">IF(G701="","",RANK(G701,$G$2:$G$1514,0))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IF(G702="","",G702/SUM($G$2:$G$1514))</f>
        <v>0.000151284802874461</v>
      </c>
      <c r="I702" s="4" t="n">
        <f aca="false">IF(G702="","",RANK(G702,$G$2:$G$1514,0))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IF(G703="","",G703/SUM($G$2:$G$1514))</f>
        <v>0.000150513797154369</v>
      </c>
      <c r="I703" s="4" t="n">
        <f aca="false">IF(G703="","",RANK(G703,$G$2:$G$1514,0))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IF(G704="","",G704/SUM($G$2:$G$1514))</f>
        <v>0.000150344572100554</v>
      </c>
      <c r="I704" s="4" t="n">
        <f aca="false">IF(G704="","",RANK(G704,$G$2:$G$1514,0))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IF(G705="","",G705/SUM($G$2:$G$1514))</f>
        <v>0.000150294227599902</v>
      </c>
      <c r="I705" s="4" t="n">
        <f aca="false">IF(G705="","",RANK(G705,$G$2:$G$1514,0))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IF(G706="","",G706/SUM($G$2:$G$1514))</f>
        <v>0.000150176340637208</v>
      </c>
      <c r="I706" s="4" t="n">
        <f aca="false">IF(G706="","",RANK(G706,$G$2:$G$1514,0))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IF(G707="","",G707/SUM($G$2:$G$1514))</f>
        <v>0.000149033897185668</v>
      </c>
      <c r="I707" s="4" t="n">
        <f aca="false">IF(G707="","",RANK(G707,$G$2:$G$1514,0))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IF(G708="","",G708/SUM($G$2:$G$1514))</f>
        <v>0.000148897235163088</v>
      </c>
      <c r="I708" s="4" t="n">
        <f aca="false">IF(G708="","",RANK(G708,$G$2:$G$1514,0))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IF(G709="","",G709/SUM($G$2:$G$1514))</f>
        <v>0.000148333878924226</v>
      </c>
      <c r="I709" s="4" t="n">
        <f aca="false">IF(G709="","",RANK(G709,$G$2:$G$1514,0))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IF(G710="","",G710/SUM($G$2:$G$1514))</f>
        <v>0.000147405469477253</v>
      </c>
      <c r="I710" s="4" t="n">
        <f aca="false">IF(G710="","",RANK(G710,$G$2:$G$1514,0))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IF(G711="","",G711/SUM($G$2:$G$1514))</f>
        <v>0.000147274126693369</v>
      </c>
      <c r="I711" s="4" t="n">
        <f aca="false">IF(G711="","",RANK(G711,$G$2:$G$1514,0))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IF(G712="","",G712/SUM($G$2:$G$1514))</f>
        <v>0.000146881231969688</v>
      </c>
      <c r="I712" s="4" t="n">
        <f aca="false">IF(G712="","",RANK(G712,$G$2:$G$1514,0))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IF(G713="","",G713/SUM($G$2:$G$1514))</f>
        <v>0.000146851966257521</v>
      </c>
      <c r="I713" s="4" t="n">
        <f aca="false">IF(G713="","",RANK(G713,$G$2:$G$1514,0))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IF(G714="","",G714/SUM($G$2:$G$1514))</f>
        <v>0.000146660248636862</v>
      </c>
      <c r="I714" s="4" t="n">
        <f aca="false">IF(G714="","",RANK(G714,$G$2:$G$1514,0))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IF(G715="","",G715/SUM($G$2:$G$1514))</f>
        <v>0.000146643139967566</v>
      </c>
      <c r="I715" s="4" t="n">
        <f aca="false">IF(G715="","",RANK(G715,$G$2:$G$1514,0))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IF(G716="","",G716/SUM($G$2:$G$1514))</f>
        <v>0.00014660067342042</v>
      </c>
      <c r="I716" s="4" t="n">
        <f aca="false">IF(G716="","",RANK(G716,$G$2:$G$1514,0))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IF(G717="","",G717/SUM($G$2:$G$1514))</f>
        <v>0.000144804171399661</v>
      </c>
      <c r="I717" s="4" t="n">
        <f aca="false">IF(G717="","",RANK(G717,$G$2:$G$1514,0))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IF(G718="","",G718/SUM($G$2:$G$1514))</f>
        <v>0.000143938360585542</v>
      </c>
      <c r="I718" s="4" t="n">
        <f aca="false">IF(G718="","",RANK(G718,$G$2:$G$1514,0))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IF(G719="","",G719/SUM($G$2:$G$1514))</f>
        <v>0.000142561600140461</v>
      </c>
      <c r="I719" s="4" t="n">
        <f aca="false">IF(G719="","",RANK(G719,$G$2:$G$1514,0))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IF(G720="","",G720/SUM($G$2:$G$1514))</f>
        <v>0.000142337993555882</v>
      </c>
      <c r="I720" s="4" t="n">
        <f aca="false">IF(G720="","",RANK(G720,$G$2:$G$1514,0))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IF(G721="","",G721/SUM($G$2:$G$1514))</f>
        <v>0.000141907724098155</v>
      </c>
      <c r="I721" s="4" t="n">
        <f aca="false">IF(G721="","",RANK(G721,$G$2:$G$1514,0))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IF(G722="","",G722/SUM($G$2:$G$1514))</f>
        <v>0.000141079096662531</v>
      </c>
      <c r="I722" s="4" t="n">
        <f aca="false">IF(G722="","",RANK(G722,$G$2:$G$1514,0))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IF(G723="","",G723/SUM($G$2:$G$1514))</f>
        <v>0.000139934611858417</v>
      </c>
      <c r="I723" s="4" t="n">
        <f aca="false">IF(G723="","",RANK(G723,$G$2:$G$1514,0))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IF(G724="","",G724/SUM($G$2:$G$1514))</f>
        <v>0.000139296755021471</v>
      </c>
      <c r="I724" s="4" t="n">
        <f aca="false">IF(G724="","",RANK(G724,$G$2:$G$1514,0))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IF(G725="","",G725/SUM($G$2:$G$1514))</f>
        <v>0.000139126317246082</v>
      </c>
      <c r="I725" s="4" t="n">
        <f aca="false">IF(G725="","",RANK(G725,$G$2:$G$1514,0))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IF(G726="","",G726/SUM($G$2:$G$1514))</f>
        <v>0.000138854142877309</v>
      </c>
      <c r="I726" s="4" t="n">
        <f aca="false">IF(G726="","",RANK(G726,$G$2:$G$1514,0))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IF(G727="","",G727/SUM($G$2:$G$1514))</f>
        <v>0.000137982547782833</v>
      </c>
      <c r="I727" s="4" t="n">
        <f aca="false">IF(G727="","",RANK(G727,$G$2:$G$1514,0))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IF(G728="","",G728/SUM($G$2:$G$1514))</f>
        <v>0.000137884225683636</v>
      </c>
      <c r="I728" s="4" t="n">
        <f aca="false">IF(G728="","",RANK(G728,$G$2:$G$1514,0))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IF(G729="","",G729/SUM($G$2:$G$1514))</f>
        <v>0.000136505690616972</v>
      </c>
      <c r="I729" s="4" t="n">
        <f aca="false">IF(G729="","",RANK(G729,$G$2:$G$1514,0))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IF(G730="","",G730/SUM($G$2:$G$1514))</f>
        <v>0.000134901755320233</v>
      </c>
      <c r="I730" s="4" t="n">
        <f aca="false">IF(G730="","",RANK(G730,$G$2:$G$1514,0))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IF(G731="","",G731/SUM($G$2:$G$1514))</f>
        <v>0.000134367148125853</v>
      </c>
      <c r="I731" s="4" t="n">
        <f aca="false">IF(G731="","",RANK(G731,$G$2:$G$1514,0))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IF(G732="","",G732/SUM($G$2:$G$1514))</f>
        <v>0.000134250110335495</v>
      </c>
      <c r="I732" s="4" t="n">
        <f aca="false">IF(G732="","",RANK(G732,$G$2:$G$1514,0))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IF(G733="","",G733/SUM($G$2:$G$1514))</f>
        <v>0.000134237231246871</v>
      </c>
      <c r="I733" s="4" t="n">
        <f aca="false">IF(G733="","",RANK(G733,$G$2:$G$1514,0))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IF(G734="","",G734/SUM($G$2:$G$1514))</f>
        <v>0.000134000357992702</v>
      </c>
      <c r="I734" s="4" t="n">
        <f aca="false">IF(G734="","",RANK(G734,$G$2:$G$1514,0))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IF(G735="","",G735/SUM($G$2:$G$1514))</f>
        <v>0.000132840485804942</v>
      </c>
      <c r="I735" s="4" t="n">
        <f aca="false">IF(G735="","",RANK(G735,$G$2:$G$1514,0))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IF(G736="","",G736/SUM($G$2:$G$1514))</f>
        <v>0.000132676859341402</v>
      </c>
      <c r="I736" s="4" t="n">
        <f aca="false">IF(G736="","",RANK(G736,$G$2:$G$1514,0))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IF(G737="","",G737/SUM($G$2:$G$1514))</f>
        <v>0.00013262686966722</v>
      </c>
      <c r="I737" s="4" t="n">
        <f aca="false">IF(G737="","",RANK(G737,$G$2:$G$1514,0))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IF(G738="","",G738/SUM($G$2:$G$1514))</f>
        <v>0.000129886221135131</v>
      </c>
      <c r="I738" s="4" t="n">
        <f aca="false">IF(G738="","",RANK(G738,$G$2:$G$1514,0))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IF(G739="","",G739/SUM($G$2:$G$1514))</f>
        <v>0.000129236064691451</v>
      </c>
      <c r="I739" s="4" t="n">
        <f aca="false">IF(G739="","",RANK(G739,$G$2:$G$1514,0))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IF(G740="","",G740/SUM($G$2:$G$1514))</f>
        <v>0.000129049365630596</v>
      </c>
      <c r="I740" s="4" t="n">
        <f aca="false">IF(G740="","",RANK(G740,$G$2:$G$1514,0))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IF(G741="","",G741/SUM($G$2:$G$1514))</f>
        <v>0.0001290060435527</v>
      </c>
      <c r="I741" s="4" t="n">
        <f aca="false">IF(G741="","",RANK(G741,$G$2:$G$1514,0))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IF(G742="","",G742/SUM($G$2:$G$1514))</f>
        <v>0.000128863870550902</v>
      </c>
      <c r="I742" s="4" t="n">
        <f aca="false">IF(G742="","",RANK(G742,$G$2:$G$1514,0))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IF(G743="","",G743/SUM($G$2:$G$1514))</f>
        <v>0.000128477681418402</v>
      </c>
      <c r="I743" s="4" t="n">
        <f aca="false">IF(G743="","",RANK(G743,$G$2:$G$1514,0))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IF(G744="","",G744/SUM($G$2:$G$1514))</f>
        <v>0.000128079623395976</v>
      </c>
      <c r="I744" s="4" t="n">
        <f aca="false">IF(G744="","",RANK(G744,$G$2:$G$1514,0))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IF(G745="","",G745/SUM($G$2:$G$1514))</f>
        <v>0.000127882399924216</v>
      </c>
      <c r="I745" s="4" t="n">
        <f aca="false">IF(G745="","",RANK(G745,$G$2:$G$1514,0))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IF(G746="","",G746/SUM($G$2:$G$1514))</f>
        <v>0.000127437214133237</v>
      </c>
      <c r="I746" s="4" t="n">
        <f aca="false">IF(G746="","",RANK(G746,$G$2:$G$1514,0))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IF(G747="","",G747/SUM($G$2:$G$1514))</f>
        <v>0.000127202748974525</v>
      </c>
      <c r="I747" s="4" t="n">
        <f aca="false">IF(G747="","",RANK(G747,$G$2:$G$1514,0))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IF(G748="","",G748/SUM($G$2:$G$1514))</f>
        <v>0.000127085964867898</v>
      </c>
      <c r="I748" s="4" t="n">
        <f aca="false">IF(G748="","",RANK(G748,$G$2:$G$1514,0))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IF(G749="","",G749/SUM($G$2:$G$1514))</f>
        <v>0.000126683069093052</v>
      </c>
      <c r="I749" s="4" t="n">
        <f aca="false">IF(G749="","",RANK(G749,$G$2:$G$1514,0))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IF(G750="","",G750/SUM($G$2:$G$1514))</f>
        <v>0.000126624135744426</v>
      </c>
      <c r="I750" s="4" t="n">
        <f aca="false">IF(G750="","",RANK(G750,$G$2:$G$1514,0))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IF(G751="","",G751/SUM($G$2:$G$1514))</f>
        <v>0.000126227268764975</v>
      </c>
      <c r="I751" s="4" t="n">
        <f aca="false">IF(G751="","",RANK(G751,$G$2:$G$1514,0))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IF(G752="","",G752/SUM($G$2:$G$1514))</f>
        <v>0.000125327832398744</v>
      </c>
      <c r="I752" s="4" t="n">
        <f aca="false">IF(G752="","",RANK(G752,$G$2:$G$1514,0))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IF(G753="","",G753/SUM($G$2:$G$1514))</f>
        <v>0.000124975980713744</v>
      </c>
      <c r="I753" s="4" t="n">
        <f aca="false">IF(G753="","",RANK(G753,$G$2:$G$1514,0))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IF(G754="","",G754/SUM($G$2:$G$1514))</f>
        <v>0.000124099200768642</v>
      </c>
      <c r="I754" s="4" t="n">
        <f aca="false">IF(G754="","",RANK(G754,$G$2:$G$1514,0))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IF(G755="","",G755/SUM($G$2:$G$1514))</f>
        <v>0.000123608192830262</v>
      </c>
      <c r="I755" s="4" t="n">
        <f aca="false">IF(G755="","",RANK(G755,$G$2:$G$1514,0))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IF(G756="","",G756/SUM($G$2:$G$1514))</f>
        <v>0.000123411571726834</v>
      </c>
      <c r="I756" s="4" t="n">
        <f aca="false">IF(G756="","",RANK(G756,$G$2:$G$1514,0))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IF(G757="","",G757/SUM($G$2:$G$1514))</f>
        <v>0.000122867737690422</v>
      </c>
      <c r="I757" s="4" t="n">
        <f aca="false">IF(G757="","",RANK(G757,$G$2:$G$1514,0))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IF(G758="","",G758/SUM($G$2:$G$1514))</f>
        <v>0.00012258848844037</v>
      </c>
      <c r="I758" s="4" t="n">
        <f aca="false">IF(G758="","",RANK(G758,$G$2:$G$1514,0))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IF(G759="","",G759/SUM($G$2:$G$1514))</f>
        <v>0.000122161851193171</v>
      </c>
      <c r="I759" s="4" t="n">
        <f aca="false">IF(G759="","",RANK(G759,$G$2:$G$1514,0))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IF(G760="","",G760/SUM($G$2:$G$1514))</f>
        <v>0.000122068417915818</v>
      </c>
      <c r="I760" s="4" t="n">
        <f aca="false">IF(G760="","",RANK(G760,$G$2:$G$1514,0))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IF(G761="","",G761/SUM($G$2:$G$1514))</f>
        <v>0.000121629718323455</v>
      </c>
      <c r="I761" s="4" t="n">
        <f aca="false">IF(G761="","",RANK(G761,$G$2:$G$1514,0))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IF(G762="","",G762/SUM($G$2:$G$1514))</f>
        <v>0.000121238764892336</v>
      </c>
      <c r="I762" s="4" t="n">
        <f aca="false">IF(G762="","",RANK(G762,$G$2:$G$1514,0))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IF(G763="","",G763/SUM($G$2:$G$1514))</f>
        <v>0.000120762572213444</v>
      </c>
      <c r="I763" s="4" t="n">
        <f aca="false">IF(G763="","",RANK(G763,$G$2:$G$1514,0))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IF(G764="","",G764/SUM($G$2:$G$1514))</f>
        <v>0.000120747903406013</v>
      </c>
      <c r="I764" s="4" t="n">
        <f aca="false">IF(G764="","",RANK(G764,$G$2:$G$1514,0))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IF(G765="","",G765/SUM($G$2:$G$1514))</f>
        <v>0.00012023741532632</v>
      </c>
      <c r="I765" s="4" t="n">
        <f aca="false">IF(G765="","",RANK(G765,$G$2:$G$1514,0))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IF(G766="","",G766/SUM($G$2:$G$1514))</f>
        <v>0.00012000750915232</v>
      </c>
      <c r="I766" s="4" t="n">
        <f aca="false">IF(G766="","",RANK(G766,$G$2:$G$1514,0))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IF(G767="","",G767/SUM($G$2:$G$1514))</f>
        <v>0.000119484773839401</v>
      </c>
      <c r="I767" s="4" t="n">
        <f aca="false">IF(G767="","",RANK(G767,$G$2:$G$1514,0))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IF(G768="","",G768/SUM($G$2:$G$1514))</f>
        <v>0.000119069288647902</v>
      </c>
      <c r="I768" s="4" t="n">
        <f aca="false">IF(G768="","",RANK(G768,$G$2:$G$1514,0))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IF(G769="","",G769/SUM($G$2:$G$1514))</f>
        <v>0.000118671034557256</v>
      </c>
      <c r="I769" s="4" t="n">
        <f aca="false">IF(G769="","",RANK(G769,$G$2:$G$1514,0))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IF(G770="","",G770/SUM($G$2:$G$1514))</f>
        <v>0.000118198382405176</v>
      </c>
      <c r="I770" s="4" t="n">
        <f aca="false">IF(G770="","",RANK(G770,$G$2:$G$1514,0))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IF(G771="","",G771/SUM($G$2:$G$1514))</f>
        <v>0.000117990124325523</v>
      </c>
      <c r="I771" s="4" t="n">
        <f aca="false">IF(G771="","",RANK(G771,$G$2:$G$1514,0))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IF(G772="","",G772/SUM($G$2:$G$1514))</f>
        <v>0.000117945273170876</v>
      </c>
      <c r="I772" s="4" t="n">
        <f aca="false">IF(G772="","",RANK(G772,$G$2:$G$1514,0))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IF(G773="","",G773/SUM($G$2:$G$1514))</f>
        <v>0.000117885839605598</v>
      </c>
      <c r="I773" s="4" t="n">
        <f aca="false">IF(G773="","",RANK(G773,$G$2:$G$1514,0))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IF(G774="","",G774/SUM($G$2:$G$1514))</f>
        <v>0.000117602742767366</v>
      </c>
      <c r="I774" s="4" t="n">
        <f aca="false">IF(G774="","",RANK(G774,$G$2:$G$1514,0))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IF(G775="","",G775/SUM($G$2:$G$1514))</f>
        <v>0.000117029218291462</v>
      </c>
      <c r="I775" s="4" t="n">
        <f aca="false">IF(G775="","",RANK(G775,$G$2:$G$1514,0))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IF(G776="","",G776/SUM($G$2:$G$1514))</f>
        <v>0.00011594010318853</v>
      </c>
      <c r="I776" s="4" t="n">
        <f aca="false">IF(G776="","",RANK(G776,$G$2:$G$1514,0))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IF(G777="","",G777/SUM($G$2:$G$1514))</f>
        <v>0.000115827137818217</v>
      </c>
      <c r="I777" s="4" t="n">
        <f aca="false">IF(G777="","",RANK(G777,$G$2:$G$1514,0))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IF(G778="","",G778/SUM($G$2:$G$1514))</f>
        <v>0.000115602573215963</v>
      </c>
      <c r="I778" s="4" t="n">
        <f aca="false">IF(G778="","",RANK(G778,$G$2:$G$1514,0))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IF(G779="","",G779/SUM($G$2:$G$1514))</f>
        <v>0.000114970661024872</v>
      </c>
      <c r="I779" s="4" t="n">
        <f aca="false">IF(G779="","",RANK(G779,$G$2:$G$1514,0))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IF(G780="","",G780/SUM($G$2:$G$1514))</f>
        <v>0.000114107983115725</v>
      </c>
      <c r="I780" s="4" t="n">
        <f aca="false">IF(G780="","",RANK(G780,$G$2:$G$1514,0))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IF(G781="","",G781/SUM($G$2:$G$1514))</f>
        <v>0.000113988670969948</v>
      </c>
      <c r="I781" s="4" t="n">
        <f aca="false">IF(G781="","",RANK(G781,$G$2:$G$1514,0))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IF(G782="","",G782/SUM($G$2:$G$1514))</f>
        <v>0.00011353383734061</v>
      </c>
      <c r="I782" s="4" t="n">
        <f aca="false">IF(G782="","",RANK(G782,$G$2:$G$1514,0))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IF(G783="","",G783/SUM($G$2:$G$1514))</f>
        <v>0.000113375139617053</v>
      </c>
      <c r="I783" s="4" t="n">
        <f aca="false">IF(G783="","",RANK(G783,$G$2:$G$1514,0))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IF(G784="","",G784/SUM($G$2:$G$1514))</f>
        <v>0.000112961789174959</v>
      </c>
      <c r="I784" s="4" t="n">
        <f aca="false">IF(G784="","",RANK(G784,$G$2:$G$1514,0))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IF(G785="","",G785/SUM($G$2:$G$1514))</f>
        <v>0.000112815796480839</v>
      </c>
      <c r="I785" s="4" t="n">
        <f aca="false">IF(G785="","",RANK(G785,$G$2:$G$1514,0))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IF(G786="","",G786/SUM($G$2:$G$1514))</f>
        <v>0.000112365921715353</v>
      </c>
      <c r="I786" s="4" t="n">
        <f aca="false">IF(G786="","",RANK(G786,$G$2:$G$1514,0))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IF(G787="","",G787/SUM($G$2:$G$1514))</f>
        <v>0.000112246371571753</v>
      </c>
      <c r="I787" s="4" t="n">
        <f aca="false">IF(G787="","",RANK(G787,$G$2:$G$1514,0))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IF(G788="","",G788/SUM($G$2:$G$1514))</f>
        <v>0.000112204155331833</v>
      </c>
      <c r="I788" s="4" t="n">
        <f aca="false">IF(G788="","",RANK(G788,$G$2:$G$1514,0))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IF(G789="","",G789/SUM($G$2:$G$1514))</f>
        <v>0.000109646641091931</v>
      </c>
      <c r="I789" s="4" t="n">
        <f aca="false">IF(G789="","",RANK(G789,$G$2:$G$1514,0))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IF(G790="","",G790/SUM($G$2:$G$1514))</f>
        <v>0.000109200183255563</v>
      </c>
      <c r="I790" s="4" t="n">
        <f aca="false">IF(G790="","",RANK(G790,$G$2:$G$1514,0))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IF(G791="","",G791/SUM($G$2:$G$1514))</f>
        <v>0.000109115512080143</v>
      </c>
      <c r="I791" s="4" t="n">
        <f aca="false">IF(G791="","",RANK(G791,$G$2:$G$1514,0))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IF(G792="","",G792/SUM($G$2:$G$1514))</f>
        <v>0.000108954008622832</v>
      </c>
      <c r="I792" s="4" t="n">
        <f aca="false">IF(G792="","",RANK(G792,$G$2:$G$1514,0))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IF(G793="","",G793/SUM($G$2:$G$1514))</f>
        <v>0.000108597277493206</v>
      </c>
      <c r="I793" s="4" t="n">
        <f aca="false">IF(G793="","",RANK(G793,$G$2:$G$1514,0))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IF(G794="","",G794/SUM($G$2:$G$1514))</f>
        <v>0.0001079023912004</v>
      </c>
      <c r="I794" s="4" t="n">
        <f aca="false">IF(G794="","",RANK(G794,$G$2:$G$1514,0))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IF(G795="","",G795/SUM($G$2:$G$1514))</f>
        <v>0.000107616019345672</v>
      </c>
      <c r="I795" s="4" t="n">
        <f aca="false">IF(G795="","",RANK(G795,$G$2:$G$1514,0))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IF(G796="","",G796/SUM($G$2:$G$1514))</f>
        <v>0.000107530556850825</v>
      </c>
      <c r="I796" s="4" t="n">
        <f aca="false">IF(G796="","",RANK(G796,$G$2:$G$1514,0))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IF(G797="","",G797/SUM($G$2:$G$1514))</f>
        <v>0.000107222153709439</v>
      </c>
      <c r="I797" s="4" t="n">
        <f aca="false">IF(G797="","",RANK(G797,$G$2:$G$1514,0))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IF(G798="","",G798/SUM($G$2:$G$1514))</f>
        <v>0.000107159824718909</v>
      </c>
      <c r="I798" s="4" t="n">
        <f aca="false">IF(G798="","",RANK(G798,$G$2:$G$1514,0))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IF(G799="","",G799/SUM($G$2:$G$1514))</f>
        <v>0.00010686978511294</v>
      </c>
      <c r="I799" s="4" t="n">
        <f aca="false">IF(G799="","",RANK(G799,$G$2:$G$1514,0))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IF(G800="","",G800/SUM($G$2:$G$1514))</f>
        <v>0.000106868578377642</v>
      </c>
      <c r="I800" s="4" t="n">
        <f aca="false">IF(G800="","",RANK(G800,$G$2:$G$1514,0))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IF(G801="","",G801/SUM($G$2:$G$1514))</f>
        <v>0.000106095850913144</v>
      </c>
      <c r="I801" s="4" t="n">
        <f aca="false">IF(G801="","",RANK(G801,$G$2:$G$1514,0))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IF(G802="","",G802/SUM($G$2:$G$1514))</f>
        <v>0.000106020405328606</v>
      </c>
      <c r="I802" s="4" t="n">
        <f aca="false">IF(G802="","",RANK(G802,$G$2:$G$1514,0))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IF(G803="","",G803/SUM($G$2:$G$1514))</f>
        <v>0.000105597182314134</v>
      </c>
      <c r="I803" s="4" t="n">
        <f aca="false">IF(G803="","",RANK(G803,$G$2:$G$1514,0))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IF(G804="","",G804/SUM($G$2:$G$1514))</f>
        <v>0.000105331734650521</v>
      </c>
      <c r="I804" s="4" t="n">
        <f aca="false">IF(G804="","",RANK(G804,$G$2:$G$1514,0))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IF(G805="","",G805/SUM($G$2:$G$1514))</f>
        <v>0.000105285659186715</v>
      </c>
      <c r="I805" s="4" t="n">
        <f aca="false">IF(G805="","",RANK(G805,$G$2:$G$1514,0))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IF(G806="","",G806/SUM($G$2:$G$1514))</f>
        <v>0.000104196849772093</v>
      </c>
      <c r="I806" s="4" t="n">
        <f aca="false">IF(G806="","",RANK(G806,$G$2:$G$1514,0))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IF(G807="","",G807/SUM($G$2:$G$1514))</f>
        <v>0.000103430303745036</v>
      </c>
      <c r="I807" s="4" t="n">
        <f aca="false">IF(G807="","",RANK(G807,$G$2:$G$1514,0))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IF(G808="","",G808/SUM($G$2:$G$1514))</f>
        <v>0.000103004309271936</v>
      </c>
      <c r="I808" s="4" t="n">
        <f aca="false">IF(G808="","",RANK(G808,$G$2:$G$1514,0))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IF(G809="","",G809/SUM($G$2:$G$1514))</f>
        <v>0.000102991784501301</v>
      </c>
      <c r="I809" s="4" t="n">
        <f aca="false">IF(G809="","",RANK(G809,$G$2:$G$1514,0))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IF(G810="","",G810/SUM($G$2:$G$1514))</f>
        <v>0.000102067755785288</v>
      </c>
      <c r="I810" s="4" t="n">
        <f aca="false">IF(G810="","",RANK(G810,$G$2:$G$1514,0))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IF(G811="","",G811/SUM($G$2:$G$1514))</f>
        <v>0.000101662481241647</v>
      </c>
      <c r="I811" s="4" t="n">
        <f aca="false">IF(G811="","",RANK(G811,$G$2:$G$1514,0))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IF(G812="","",G812/SUM($G$2:$G$1514))</f>
        <v>0.000101110222123323</v>
      </c>
      <c r="I812" s="4" t="n">
        <f aca="false">IF(G812="","",RANK(G812,$G$2:$G$1514,0))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IF(G813="","",G813/SUM($G$2:$G$1514))</f>
        <v>0.000100660936781567</v>
      </c>
      <c r="I813" s="4" t="n">
        <f aca="false">IF(G813="","",RANK(G813,$G$2:$G$1514,0))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IF(G814="","",G814/SUM($G$2:$G$1514))</f>
        <v>0.000100358828938795</v>
      </c>
      <c r="I814" s="4" t="n">
        <f aca="false">IF(G814="","",RANK(G814,$G$2:$G$1514,0))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IF(G815="","",G815/SUM($G$2:$G$1514))</f>
        <v>0.000100326172850786</v>
      </c>
      <c r="I815" s="4" t="n">
        <f aca="false">IF(G815="","",RANK(G815,$G$2:$G$1514,0))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IF(G816="","",G816/SUM($G$2:$G$1514))</f>
        <v>9.99474867130174E-005</v>
      </c>
      <c r="I816" s="4" t="n">
        <f aca="false">IF(G816="","",RANK(G816,$G$2:$G$1514,0))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IF(G817="","",G817/SUM($G$2:$G$1514))</f>
        <v>9.95863318657633E-005</v>
      </c>
      <c r="I817" s="4" t="n">
        <f aca="false">IF(G817="","",RANK(G817,$G$2:$G$1514,0))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IF(G818="","",G818/SUM($G$2:$G$1514))</f>
        <v>9.92930947264487E-005</v>
      </c>
      <c r="I818" s="4" t="n">
        <f aca="false">IF(G818="","",RANK(G818,$G$2:$G$1514,0))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IF(G819="","",G819/SUM($G$2:$G$1514))</f>
        <v>9.88478538334889E-005</v>
      </c>
      <c r="I819" s="4" t="n">
        <f aca="false">IF(G819="","",RANK(G819,$G$2:$G$1514,0))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IF(G820="","",G820/SUM($G$2:$G$1514))</f>
        <v>9.81540579959167E-005</v>
      </c>
      <c r="I820" s="4" t="n">
        <f aca="false">IF(G820="","",RANK(G820,$G$2:$G$1514,0))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IF(G821="","",G821/SUM($G$2:$G$1514))</f>
        <v>9.78682595004582E-005</v>
      </c>
      <c r="I821" s="4" t="n">
        <f aca="false">IF(G821="","",RANK(G821,$G$2:$G$1514,0))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IF(G822="","",G822/SUM($G$2:$G$1514))</f>
        <v>9.78580476832551E-005</v>
      </c>
      <c r="I822" s="4" t="n">
        <f aca="false">IF(G822="","",RANK(G822,$G$2:$G$1514,0))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IF(G823="","",G823/SUM($G$2:$G$1514))</f>
        <v>9.70110584397655E-005</v>
      </c>
      <c r="I823" s="4" t="n">
        <f aca="false">IF(G823="","",RANK(G823,$G$2:$G$1514,0))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IF(G824="","",G824/SUM($G$2:$G$1514))</f>
        <v>9.68189836154496E-005</v>
      </c>
      <c r="I824" s="4" t="n">
        <f aca="false">IF(G824="","",RANK(G824,$G$2:$G$1514,0))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IF(G825="","",G825/SUM($G$2:$G$1514))</f>
        <v>9.68078330098028E-005</v>
      </c>
      <c r="I825" s="4" t="n">
        <f aca="false">IF(G825="","",RANK(G825,$G$2:$G$1514,0))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IF(G826="","",G826/SUM($G$2:$G$1514))</f>
        <v>9.65533988224603E-005</v>
      </c>
      <c r="I826" s="4" t="n">
        <f aca="false">IF(G826="","",RANK(G826,$G$2:$G$1514,0))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IF(G827="","",G827/SUM($G$2:$G$1514))</f>
        <v>9.60814014876107E-005</v>
      </c>
      <c r="I827" s="4" t="n">
        <f aca="false">IF(G827="","",RANK(G827,$G$2:$G$1514,0))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IF(G828="","",G828/SUM($G$2:$G$1514))</f>
        <v>9.60223421320217E-005</v>
      </c>
      <c r="I828" s="4" t="n">
        <f aca="false">IF(G828="","",RANK(G828,$G$2:$G$1514,0))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IF(G829="","",G829/SUM($G$2:$G$1514))</f>
        <v>9.58241743170277E-005</v>
      </c>
      <c r="I829" s="4" t="n">
        <f aca="false">IF(G829="","",RANK(G829,$G$2:$G$1514,0))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IF(G830="","",G830/SUM($G$2:$G$1514))</f>
        <v>9.51653317066654E-005</v>
      </c>
      <c r="I830" s="4" t="n">
        <f aca="false">IF(G830="","",RANK(G830,$G$2:$G$1514,0))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IF(G831="","",G831/SUM($G$2:$G$1514))</f>
        <v>9.4931566844529E-005</v>
      </c>
      <c r="I831" s="4" t="n">
        <f aca="false">IF(G831="","",RANK(G831,$G$2:$G$1514,0))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IF(G832="","",G832/SUM($G$2:$G$1514))</f>
        <v>9.42107757491824E-005</v>
      </c>
      <c r="I832" s="4" t="n">
        <f aca="false">IF(G832="","",RANK(G832,$G$2:$G$1514,0))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IF(G833="","",G833/SUM($G$2:$G$1514))</f>
        <v>9.39588546176519E-005</v>
      </c>
      <c r="I833" s="4" t="n">
        <f aca="false">IF(G833="","",RANK(G833,$G$2:$G$1514,0))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IF(G834="","",G834/SUM($G$2:$G$1514))</f>
        <v>9.22630917741714E-005</v>
      </c>
      <c r="I834" s="4" t="n">
        <f aca="false">IF(G834="","",RANK(G834,$G$2:$G$1514,0))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IF(G835="","",G835/SUM($G$2:$G$1514))</f>
        <v>9.12710099435822E-005</v>
      </c>
      <c r="I835" s="4" t="n">
        <f aca="false">IF(G835="","",RANK(G835,$G$2:$G$1514,0))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IF(G836="","",G836/SUM($G$2:$G$1514))</f>
        <v>9.08996152036136E-005</v>
      </c>
      <c r="I836" s="4" t="n">
        <f aca="false">IF(G836="","",RANK(G836,$G$2:$G$1514,0))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IF(G837="","",G837/SUM($G$2:$G$1514))</f>
        <v>8.97713163592483E-005</v>
      </c>
      <c r="I837" s="4" t="n">
        <f aca="false">IF(G837="","",RANK(G837,$G$2:$G$1514,0))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IF(G838="","",G838/SUM($G$2:$G$1514))</f>
        <v>8.96654516856338E-005</v>
      </c>
      <c r="I838" s="4" t="n">
        <f aca="false">IF(G838="","",RANK(G838,$G$2:$G$1514,0))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IF(G839="","",G839/SUM($G$2:$G$1514))</f>
        <v>8.86979188748953E-005</v>
      </c>
      <c r="I839" s="4" t="n">
        <f aca="false">IF(G839="","",RANK(G839,$G$2:$G$1514,0))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IF(G840="","",G840/SUM($G$2:$G$1514))</f>
        <v>8.81506178825666E-005</v>
      </c>
      <c r="I840" s="4" t="n">
        <f aca="false">IF(G840="","",RANK(G840,$G$2:$G$1514,0))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IF(G841="","",G841/SUM($G$2:$G$1514))</f>
        <v>8.72515218535129E-005</v>
      </c>
      <c r="I841" s="4" t="n">
        <f aca="false">IF(G841="","",RANK(G841,$G$2:$G$1514,0))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IF(G842="","",G842/SUM($G$2:$G$1514))</f>
        <v>8.6817820956523E-005</v>
      </c>
      <c r="I842" s="4" t="n">
        <f aca="false">IF(G842="","",RANK(G842,$G$2:$G$1514,0))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IF(G843="","",G843/SUM($G$2:$G$1514))</f>
        <v>8.67373542505291E-005</v>
      </c>
      <c r="I843" s="4" t="n">
        <f aca="false">IF(G843="","",RANK(G843,$G$2:$G$1514,0))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IF(G844="","",G844/SUM($G$2:$G$1514))</f>
        <v>8.63166371875766E-005</v>
      </c>
      <c r="I844" s="4" t="n">
        <f aca="false">IF(G844="","",RANK(G844,$G$2:$G$1514,0))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IF(G845="","",G845/SUM($G$2:$G$1514))</f>
        <v>8.43535261882804E-005</v>
      </c>
      <c r="I845" s="4" t="n">
        <f aca="false">IF(G845="","",RANK(G845,$G$2:$G$1514,0))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IF(G846="","",G846/SUM($G$2:$G$1514))</f>
        <v>8.38739041617926E-005</v>
      </c>
      <c r="I846" s="4" t="n">
        <f aca="false">IF(G846="","",RANK(G846,$G$2:$G$1514,0))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IF(G847="","",G847/SUM($G$2:$G$1514))</f>
        <v>8.18223979613011E-005</v>
      </c>
      <c r="I847" s="4" t="n">
        <f aca="false">IF(G847="","",RANK(G847,$G$2:$G$1514,0))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IF(G848="","",G848/SUM($G$2:$G$1514))</f>
        <v>8.1739720498469E-005</v>
      </c>
      <c r="I848" s="4" t="n">
        <f aca="false">IF(G848="","",RANK(G848,$G$2:$G$1514,0))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IF(G849="","",G849/SUM($G$2:$G$1514))</f>
        <v>8.08899788202649E-005</v>
      </c>
      <c r="I849" s="4" t="n">
        <f aca="false">IF(G849="","",RANK(G849,$G$2:$G$1514,0))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IF(G850="","",G850/SUM($G$2:$G$1514))</f>
        <v>8.0703342703542E-005</v>
      </c>
      <c r="I850" s="4" t="n">
        <f aca="false">IF(G850="","",RANK(G850,$G$2:$G$1514,0))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IF(G851="","",G851/SUM($G$2:$G$1514))</f>
        <v>8.06086356997662E-005</v>
      </c>
      <c r="I851" s="4" t="n">
        <f aca="false">IF(G851="","",RANK(G851,$G$2:$G$1514,0))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IF(G852="","",G852/SUM($G$2:$G$1514))</f>
        <v>8.05138022270644E-005</v>
      </c>
      <c r="I852" s="4" t="n">
        <f aca="false">IF(G852="","",RANK(G852,$G$2:$G$1514,0))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IF(G853="","",G853/SUM($G$2:$G$1514))</f>
        <v>8.02725724645418E-005</v>
      </c>
      <c r="I853" s="4" t="n">
        <f aca="false">IF(G853="","",RANK(G853,$G$2:$G$1514,0))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IF(G854="","",G854/SUM($G$2:$G$1514))</f>
        <v>7.96173812746903E-005</v>
      </c>
      <c r="I854" s="4" t="n">
        <f aca="false">IF(G854="","",RANK(G854,$G$2:$G$1514,0))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IF(G855="","",G855/SUM($G$2:$G$1514))</f>
        <v>7.95038146460411E-005</v>
      </c>
      <c r="I855" s="4" t="n">
        <f aca="false">IF(G855="","",RANK(G855,$G$2:$G$1514,0))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IF(G856="","",G856/SUM($G$2:$G$1514))</f>
        <v>7.9436054374623E-005</v>
      </c>
      <c r="I856" s="4" t="n">
        <f aca="false">IF(G856="","",RANK(G856,$G$2:$G$1514,0))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IF(G857="","",G857/SUM($G$2:$G$1514))</f>
        <v>7.8762837136153E-005</v>
      </c>
      <c r="I857" s="4" t="n">
        <f aca="false">IF(G857="","",RANK(G857,$G$2:$G$1514,0))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IF(G858="","",G858/SUM($G$2:$G$1514))</f>
        <v>7.77723993615024E-005</v>
      </c>
      <c r="I858" s="4" t="n">
        <f aca="false">IF(G858="","",RANK(G858,$G$2:$G$1514,0))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IF(G859="","",G859/SUM($G$2:$G$1514))</f>
        <v>7.71567794940498E-005</v>
      </c>
      <c r="I859" s="4" t="n">
        <f aca="false">IF(G859="","",RANK(G859,$G$2:$G$1514,0))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IF(G860="","",G860/SUM($G$2:$G$1514))</f>
        <v>7.71251815815751E-005</v>
      </c>
      <c r="I860" s="4" t="n">
        <f aca="false">IF(G860="","",RANK(G860,$G$2:$G$1514,0))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IF(G861="","",G861/SUM($G$2:$G$1514))</f>
        <v>7.62538875525663E-005</v>
      </c>
      <c r="I861" s="4" t="n">
        <f aca="false">IF(G861="","",RANK(G861,$G$2:$G$1514,0))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IF(G862="","",G862/SUM($G$2:$G$1514))</f>
        <v>7.55010464909972E-005</v>
      </c>
      <c r="I862" s="4" t="n">
        <f aca="false">IF(G862="","",RANK(G862,$G$2:$G$1514,0))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IF(G863="","",G863/SUM($G$2:$G$1514))</f>
        <v>7.52779217135033E-005</v>
      </c>
      <c r="I863" s="4" t="n">
        <f aca="false">IF(G863="","",RANK(G863,$G$2:$G$1514,0))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IF(G864="","",G864/SUM($G$2:$G$1514))</f>
        <v>7.498733458614E-005</v>
      </c>
      <c r="I864" s="4" t="n">
        <f aca="false">IF(G864="","",RANK(G864,$G$2:$G$1514,0))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IF(G865="","",G865/SUM($G$2:$G$1514))</f>
        <v>7.46889999939205E-005</v>
      </c>
      <c r="I865" s="4" t="n">
        <f aca="false">IF(G865="","",RANK(G865,$G$2:$G$1514,0))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IF(G866="","",G866/SUM($G$2:$G$1514))</f>
        <v>7.44176957205806E-005</v>
      </c>
      <c r="I866" s="4" t="n">
        <f aca="false">IF(G866="","",RANK(G866,$G$2:$G$1514,0))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IF(G867="","",G867/SUM($G$2:$G$1514))</f>
        <v>7.39960623465964E-005</v>
      </c>
      <c r="I867" s="4" t="n">
        <f aca="false">IF(G867="","",RANK(G867,$G$2:$G$1514,0))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IF(G868="","",G868/SUM($G$2:$G$1514))</f>
        <v>7.3520209323164E-005</v>
      </c>
      <c r="I868" s="4" t="n">
        <f aca="false">IF(G868="","",RANK(G868,$G$2:$G$1514,0))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IF(G869="","",G869/SUM($G$2:$G$1514))</f>
        <v>7.3062502296854E-005</v>
      </c>
      <c r="I869" s="4" t="n">
        <f aca="false">IF(G869="","",RANK(G869,$G$2:$G$1514,0))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IF(G870="","",G870/SUM($G$2:$G$1514))</f>
        <v>7.2873909560967E-005</v>
      </c>
      <c r="I870" s="4" t="n">
        <f aca="false">IF(G870="","",RANK(G870,$G$2:$G$1514,0))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IF(G871="","",G871/SUM($G$2:$G$1514))</f>
        <v>7.09438287791659E-005</v>
      </c>
      <c r="I871" s="4" t="n">
        <f aca="false">IF(G871="","",RANK(G871,$G$2:$G$1514,0))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IF(G872="","",G872/SUM($G$2:$G$1514))</f>
        <v>7.06424541975933E-005</v>
      </c>
      <c r="I872" s="4" t="n">
        <f aca="false">IF(G872="","",RANK(G872,$G$2:$G$1514,0))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IF(G873="","",G873/SUM($G$2:$G$1514))</f>
        <v>6.97676982686024E-005</v>
      </c>
      <c r="I873" s="4" t="n">
        <f aca="false">IF(G873="","",RANK(G873,$G$2:$G$1514,0))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IF(G874="","",G874/SUM($G$2:$G$1514))</f>
        <v>6.81698082583932E-005</v>
      </c>
      <c r="I874" s="4" t="n">
        <f aca="false">IF(G874="","",RANK(G874,$G$2:$G$1514,0))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IF(G875="","",G875/SUM($G$2:$G$1514))</f>
        <v>6.7983576736688E-005</v>
      </c>
      <c r="I875" s="4" t="n">
        <f aca="false">IF(G875="","",RANK(G875,$G$2:$G$1514,0))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IF(G876="","",G876/SUM($G$2:$G$1514))</f>
        <v>6.78446581250357E-005</v>
      </c>
      <c r="I876" s="4" t="n">
        <f aca="false">IF(G876="","",RANK(G876,$G$2:$G$1514,0))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IF(G877="","",G877/SUM($G$2:$G$1514))</f>
        <v>6.64657942301816E-005</v>
      </c>
      <c r="I877" s="4" t="n">
        <f aca="false">IF(G877="","",RANK(G877,$G$2:$G$1514,0))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IF(G878="","",G878/SUM($G$2:$G$1514))</f>
        <v>6.52069439630645E-005</v>
      </c>
      <c r="I878" s="4" t="n">
        <f aca="false">IF(G878="","",RANK(G878,$G$2:$G$1514,0))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IF(G879="","",G879/SUM($G$2:$G$1514))</f>
        <v>6.12495807799179E-005</v>
      </c>
      <c r="I879" s="4" t="n">
        <f aca="false">IF(G879="","",RANK(G879,$G$2:$G$1514,0))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IF(G880="","",G880/SUM($G$2:$G$1514))</f>
        <v>6.12034015411429E-005</v>
      </c>
      <c r="I880" s="4" t="n">
        <f aca="false">IF(G880="","",RANK(G880,$G$2:$G$1514,0))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IF(G881="","",G881/SUM($G$2:$G$1514))</f>
        <v>6.06377306694195E-005</v>
      </c>
      <c r="I881" s="4" t="n">
        <f aca="false">IF(G881="","",RANK(G881,$G$2:$G$1514,0))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IF(G882="","",G882/SUM($G$2:$G$1514))</f>
        <v>5.90431890380767E-005</v>
      </c>
      <c r="I882" s="4" t="n">
        <f aca="false">IF(G882="","",RANK(G882,$G$2:$G$1514,0))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IF(G883="","",G883/SUM($G$2:$G$1514))</f>
        <v>5.84509135147643E-005</v>
      </c>
      <c r="I883" s="4" t="n">
        <f aca="false">IF(G883="","",RANK(G883,$G$2:$G$1514,0))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IF(G884="","",G884/SUM($G$2:$G$1514))</f>
        <v>5.81950395475754E-005</v>
      </c>
      <c r="I884" s="4" t="n">
        <f aca="false">IF(G884="","",RANK(G884,$G$2:$G$1514,0))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IF(G885="","",G885/SUM($G$2:$G$1514))</f>
        <v>5.79399807053697E-005</v>
      </c>
      <c r="I885" s="4" t="n">
        <f aca="false">IF(G885="","",RANK(G885,$G$2:$G$1514,0))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IF(G886="","",G886/SUM($G$2:$G$1514))</f>
        <v>5.77443075638898E-005</v>
      </c>
      <c r="I886" s="4" t="n">
        <f aca="false">IF(G886="","",RANK(G886,$G$2:$G$1514,0))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IF(G887="","",G887/SUM($G$2:$G$1514))</f>
        <v>5.74039547889802E-005</v>
      </c>
      <c r="I887" s="4" t="n">
        <f aca="false">IF(G887="","",RANK(G887,$G$2:$G$1514,0))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IF(G888="","",G888/SUM($G$2:$G$1514))</f>
        <v>5.6918593093695E-005</v>
      </c>
      <c r="I888" s="4" t="n">
        <f aca="false">IF(G888="","",RANK(G888,$G$2:$G$1514,0))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IF(G889="","",G889/SUM($G$2:$G$1514))</f>
        <v>5.1380428411665E-005</v>
      </c>
      <c r="I889" s="4" t="n">
        <f aca="false">IF(G889="","",RANK(G889,$G$2:$G$1514,0))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IF(G890="","",G890/SUM($G$2:$G$1514))</f>
        <v>5.09979844381666E-005</v>
      </c>
      <c r="I890" s="4" t="n">
        <f aca="false">IF(G890="","",RANK(G890,$G$2:$G$1514,0))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IF(G891="","",G891/SUM($G$2:$G$1514))</f>
        <v>4.9623590037032E-005</v>
      </c>
      <c r="I891" s="4" t="n">
        <f aca="false">IF(G891="","",RANK(G891,$G$2:$G$1514,0))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IF(G892="","",G892/SUM($G$2:$G$1514))</f>
        <v>4.85938706696993E-005</v>
      </c>
      <c r="I892" s="4" t="n">
        <f aca="false">IF(G892="","",RANK(G892,$G$2:$G$1514,0))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IF(G893="","",G893/SUM($G$2:$G$1514))</f>
        <v>4.83197921803863E-005</v>
      </c>
      <c r="I893" s="4" t="n">
        <f aca="false">IF(G893="","",RANK(G893,$G$2:$G$1514,0))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IF(G894="","",G894/SUM($G$2:$G$1514))</f>
        <v>4.81432682090319E-005</v>
      </c>
      <c r="I894" s="4" t="n">
        <f aca="false">IF(G894="","",RANK(G894,$G$2:$G$1514,0))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IF(G895="","",G895/SUM($G$2:$G$1514))</f>
        <v>4.80449999285828E-005</v>
      </c>
      <c r="I895" s="4" t="n">
        <f aca="false">IF(G895="","",RANK(G895,$G$2:$G$1514,0))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IF(G896="","",G896/SUM($G$2:$G$1514))</f>
        <v>4.69970613910332E-005</v>
      </c>
      <c r="I896" s="4" t="n">
        <f aca="false">IF(G896="","",RANK(G896,$G$2:$G$1514,0))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IF(G897="","",G897/SUM($G$2:$G$1514))</f>
        <v>4.54020137332061E-005</v>
      </c>
      <c r="I897" s="4" t="n">
        <f aca="false">IF(G897="","",RANK(G897,$G$2:$G$1514,0))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IF(G898="","",G898/SUM($G$2:$G$1514))</f>
        <v>4.29403275862679E-005</v>
      </c>
      <c r="I898" s="4" t="n">
        <f aca="false">IF(G898="","",RANK(G898,$G$2:$G$1514,0))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IF(G899="","",G899/SUM($G$2:$G$1514))</f>
        <v>4.24104408601153E-005</v>
      </c>
      <c r="I899" s="4" t="n">
        <f aca="false">IF(G899="","",RANK(G899,$G$2:$G$1514,0))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IF(G900="","",G900/SUM($G$2:$G$1514))</f>
        <v>4.14136182509452E-005</v>
      </c>
      <c r="I900" s="4" t="n">
        <f aca="false">IF(G900="","",RANK(G900,$G$2:$G$1514,0))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IF(G901="","",G901/SUM($G$2:$G$1514))</f>
        <v>4.13285896328658E-005</v>
      </c>
      <c r="I901" s="4" t="n">
        <f aca="false">IF(G901="","",RANK(G901,$G$2:$G$1514,0))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IF(G902="","",G902/SUM($G$2:$G$1514))</f>
        <v>4.09381355971303E-005</v>
      </c>
      <c r="I902" s="4" t="n">
        <f aca="false">IF(G902="","",RANK(G902,$G$2:$G$1514,0))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IF(G903="","",G903/SUM($G$2:$G$1514))</f>
        <v>3.97717102180253E-005</v>
      </c>
      <c r="I903" s="4" t="n">
        <f aca="false">IF(G903="","",RANK(G903,$G$2:$G$1514,0))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IF(G904="","",G904/SUM($G$2:$G$1514))</f>
        <v>3.90201731543205E-005</v>
      </c>
      <c r="I904" s="4" t="n">
        <f aca="false">IF(G904="","",RANK(G904,$G$2:$G$1514,0))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IF(G905="","",G905/SUM($G$2:$G$1514))</f>
        <v>3.74313634153895E-005</v>
      </c>
      <c r="I905" s="4" t="n">
        <f aca="false">IF(G905="","",RANK(G905,$G$2:$G$1514,0))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IF(G906="","",G906/SUM($G$2:$G$1514))</f>
        <v>3.68629689447778E-005</v>
      </c>
      <c r="I906" s="4" t="n">
        <f aca="false">IF(G906="","",RANK(G906,$G$2:$G$1514,0))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IF(G907="","",G907/SUM($G$2:$G$1514))</f>
        <v>3.50668601399767E-005</v>
      </c>
      <c r="I907" s="4" t="n">
        <f aca="false">IF(G907="","",RANK(G907,$G$2:$G$1514,0))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IF(G908="","",G908/SUM($G$2:$G$1514))</f>
        <v>3.27739590538817E-005</v>
      </c>
      <c r="I908" s="4" t="n">
        <f aca="false">IF(G908="","",RANK(G908,$G$2:$G$1514,0))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IF(G909="","",G909/SUM($G$2:$G$1514))</f>
        <v>3.25485081313315E-005</v>
      </c>
      <c r="I909" s="4" t="n">
        <f aca="false">IF(G909="","",RANK(G909,$G$2:$G$1514,0))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IF(G910="","",G910/SUM($G$2:$G$1514))</f>
        <v>3.1208444400628E-005</v>
      </c>
      <c r="I910" s="4" t="n">
        <f aca="false">IF(G910="","",RANK(G910,$G$2:$G$1514,0))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IF(G911="","",G911/SUM($G$2:$G$1514))</f>
        <v>3.04554618402783E-005</v>
      </c>
      <c r="I911" s="4" t="n">
        <f aca="false">IF(G911="","",RANK(G911,$G$2:$G$1514,0))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IF(G912="","",G912/SUM($G$2:$G$1514))</f>
        <v>2.86852365042868E-005</v>
      </c>
      <c r="I912" s="4" t="n">
        <f aca="false">IF(G912="","",RANK(G912,$G$2:$G$1514,0))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IF(G913="","",G913/SUM($G$2:$G$1514))</f>
        <v>2.80611104578715E-005</v>
      </c>
      <c r="I913" s="4" t="n">
        <f aca="false">IF(G913="","",RANK(G913,$G$2:$G$1514,0))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IF(G914="","",G914/SUM($G$2:$G$1514))</f>
        <v>2.6577930368621E-005</v>
      </c>
      <c r="I914" s="4" t="n">
        <f aca="false">IF(G914="","",RANK(G914,$G$2:$G$1514,0))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IF(G915="","",G915/SUM($G$2:$G$1514))</f>
        <v>2.62051345927869E-005</v>
      </c>
      <c r="I915" s="4" t="n">
        <f aca="false">IF(G915="","",RANK(G915,$G$2:$G$1514,0))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IF(G916="","",G916/SUM($G$2:$G$1514))</f>
        <v>2.42025220083329E-005</v>
      </c>
      <c r="I916" s="4" t="n">
        <f aca="false">IF(G916="","",RANK(G916,$G$2:$G$1514,0))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IF(G917="","",G917/SUM($G$2:$G$1514))</f>
        <v>2.20332101587453E-005</v>
      </c>
      <c r="I917" s="4" t="n">
        <f aca="false">IF(G917="","",RANK(G917,$G$2:$G$1514,0))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IF(G918="","",G918/SUM($G$2:$G$1514))</f>
        <v>2.18285393011115E-005</v>
      </c>
      <c r="I918" s="4" t="n">
        <f aca="false">IF(G918="","",RANK(G918,$G$2:$G$1514,0))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IF(G919="","",G919/SUM($G$2:$G$1514))</f>
        <v>2.00563802484383E-005</v>
      </c>
      <c r="I919" s="4" t="n">
        <f aca="false">IF(G919="","",RANK(G919,$G$2:$G$1514,0))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IF(G920="","",G920/SUM($G$2:$G$1514))</f>
        <v>2.00353482080936E-005</v>
      </c>
      <c r="I920" s="4" t="n">
        <f aca="false">IF(G920="","",RANK(G920,$G$2:$G$1514,0))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IF(G921="","",G921/SUM($G$2:$G$1514))</f>
        <v>1.98949118153399E-005</v>
      </c>
      <c r="I921" s="4" t="n">
        <f aca="false">IF(G921="","",RANK(G921,$G$2:$G$1514,0))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IF(G922="","",G922/SUM($G$2:$G$1514))</f>
        <v>1.96643156410981E-005</v>
      </c>
      <c r="I922" s="4" t="n">
        <f aca="false">IF(G922="","",RANK(G922,$G$2:$G$1514,0))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IF(G923="","",G923/SUM($G$2:$G$1514))</f>
        <v>1.88551902740139E-005</v>
      </c>
      <c r="I923" s="4" t="n">
        <f aca="false">IF(G923="","",RANK(G923,$G$2:$G$1514,0))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IF(G924="","",G924/SUM($G$2:$G$1514))</f>
        <v>1.83877527435413E-005</v>
      </c>
      <c r="I924" s="4" t="n">
        <f aca="false">IF(G924="","",RANK(G924,$G$2:$G$1514,0))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IF(G925="","",G925/SUM($G$2:$G$1514))</f>
        <v>1.80504318768314E-005</v>
      </c>
      <c r="I925" s="4" t="n">
        <f aca="false">IF(G925="","",RANK(G925,$G$2:$G$1514,0))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IF(G926="","",G926/SUM($G$2:$G$1514))</f>
        <v>1.74895061466775E-005</v>
      </c>
      <c r="I926" s="4" t="n">
        <f aca="false">IF(G926="","",RANK(G926,$G$2:$G$1514,0))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IF(G927="","",G927/SUM($G$2:$G$1514))</f>
        <v>1.63035508528993E-005</v>
      </c>
      <c r="I927" s="4" t="n">
        <f aca="false">IF(G927="","",RANK(G927,$G$2:$G$1514,0))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IF(G928="","",G928/SUM($G$2:$G$1514))</f>
        <v>1.58924171940212E-005</v>
      </c>
      <c r="I928" s="4" t="n">
        <f aca="false">IF(G928="","",RANK(G928,$G$2:$G$1514,0))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IF(G929="","",G929/SUM($G$2:$G$1514))</f>
        <v>1.50614128984097E-005</v>
      </c>
      <c r="I929" s="4" t="n">
        <f aca="false">IF(G929="","",RANK(G929,$G$2:$G$1514,0))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IF(G930="","",G930/SUM($G$2:$G$1514))</f>
        <v>1.37259651086696E-005</v>
      </c>
      <c r="I930" s="4" t="n">
        <f aca="false">IF(G930="","",RANK(G930,$G$2:$G$1514,0))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IF(G931="","",G931/SUM($G$2:$G$1514))</f>
        <v>1.27663254400919E-005</v>
      </c>
      <c r="I931" s="4" t="n">
        <f aca="false">IF(G931="","",RANK(G931,$G$2:$G$1514,0))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IF(G932="","",G932/SUM($G$2:$G$1514))</f>
        <v>1.24635617631273E-005</v>
      </c>
      <c r="I932" s="4" t="n">
        <f aca="false">IF(G932="","",RANK(G932,$G$2:$G$1514,0))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IF(G933="","",G933/SUM($G$2:$G$1514))</f>
        <v>1.24412222986889E-005</v>
      </c>
      <c r="I933" s="4" t="n">
        <f aca="false">IF(G933="","",RANK(G933,$G$2:$G$1514,0))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IF(G934="","",G934/SUM($G$2:$G$1514))</f>
        <v>1.22154868499276E-005</v>
      </c>
      <c r="I934" s="4" t="n">
        <f aca="false">IF(G934="","",RANK(G934,$G$2:$G$1514,0))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IF(G935="","",G935/SUM($G$2:$G$1514))</f>
        <v>1.21653289183701E-005</v>
      </c>
      <c r="I935" s="4" t="n">
        <f aca="false">IF(G935="","",RANK(G935,$G$2:$G$1514,0))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IF(G936="","",G936/SUM($G$2:$G$1514))</f>
        <v>1.20263844078887E-005</v>
      </c>
      <c r="I936" s="4" t="n">
        <f aca="false">IF(G936="","",RANK(G936,$G$2:$G$1514,0))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IF(G937="","",G937/SUM($G$2:$G$1514))</f>
        <v>1.19845096135382E-005</v>
      </c>
      <c r="I937" s="4" t="n">
        <f aca="false">IF(G937="","",RANK(G937,$G$2:$G$1514,0))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IF(G938="","",G938/SUM($G$2:$G$1514))</f>
        <v>1.19716016922957E-005</v>
      </c>
      <c r="I938" s="4" t="n">
        <f aca="false">IF(G938="","",RANK(G938,$G$2:$G$1514,0))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IF(G939="","",G939/SUM($G$2:$G$1514))</f>
        <v>1.0883642739657E-005</v>
      </c>
      <c r="I939" s="4" t="n">
        <f aca="false">IF(G939="","",RANK(G939,$G$2:$G$1514,0))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IF(G940="","",G940/SUM($G$2:$G$1514))</f>
        <v>1.02455680676691E-005</v>
      </c>
      <c r="I940" s="4" t="n">
        <f aca="false">IF(G940="","",RANK(G940,$G$2:$G$1514,0))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IF(G941="","",G941/SUM($G$2:$G$1514))</f>
        <v>9.8565002288254E-006</v>
      </c>
      <c r="I941" s="4" t="n">
        <f aca="false">IF(G941="","",RANK(G941,$G$2:$G$1514,0))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IF(G942="","",G942/SUM($G$2:$G$1514))</f>
        <v>9.81186827746676E-006</v>
      </c>
      <c r="I942" s="4" t="n">
        <f aca="false">IF(G942="","",RANK(G942,$G$2:$G$1514,0))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IF(G943="","",G943/SUM($G$2:$G$1514))</f>
        <v>9.5710647211923E-006</v>
      </c>
      <c r="I943" s="4" t="n">
        <f aca="false">IF(G943="","",RANK(G943,$G$2:$G$1514,0))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IF(G944="","",G944/SUM($G$2:$G$1514))</f>
        <v>9.55999185373785E-006</v>
      </c>
      <c r="I944" s="4" t="n">
        <f aca="false">IF(G944="","",RANK(G944,$G$2:$G$1514,0))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IF(G945="","",G945/SUM($G$2:$G$1514))</f>
        <v>9.43962129503023E-006</v>
      </c>
      <c r="I945" s="4" t="n">
        <f aca="false">IF(G945="","",RANK(G945,$G$2:$G$1514,0))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IF(G946="","",G946/SUM($G$2:$G$1514))</f>
        <v>9.26317355086251E-006</v>
      </c>
      <c r="I946" s="4" t="n">
        <f aca="false">IF(G946="","",RANK(G946,$G$2:$G$1514,0))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IF(G947="","",G947/SUM($G$2:$G$1514))</f>
        <v>9.21448831405137E-006</v>
      </c>
      <c r="I947" s="4" t="n">
        <f aca="false">IF(G947="","",RANK(G947,$G$2:$G$1514,0))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IF(G948="","",G948/SUM($G$2:$G$1514))</f>
        <v>9.04725918639984E-006</v>
      </c>
      <c r="I948" s="4" t="n">
        <f aca="false">IF(G948="","",RANK(G948,$G$2:$G$1514,0))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IF(G949="","",G949/SUM($G$2:$G$1514))</f>
        <v>9.01046286274548E-006</v>
      </c>
      <c r="I949" s="4" t="n">
        <f aca="false">IF(G949="","",RANK(G949,$G$2:$G$1514,0))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IF(G950="","",G950/SUM($G$2:$G$1514))</f>
        <v>8.73933211444781E-006</v>
      </c>
      <c r="I950" s="4" t="n">
        <f aca="false">IF(G950="","",RANK(G950,$G$2:$G$1514,0))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IF(G951="","",G951/SUM($G$2:$G$1514))</f>
        <v>8.61335913501735E-006</v>
      </c>
      <c r="I951" s="4" t="n">
        <f aca="false">IF(G951="","",RANK(G951,$G$2:$G$1514,0))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IF(G952="","",G952/SUM($G$2:$G$1514))</f>
        <v>8.38267983300898E-006</v>
      </c>
      <c r="I952" s="4" t="n">
        <f aca="false">IF(G952="","",RANK(G952,$G$2:$G$1514,0))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IF(G953="","",G953/SUM($G$2:$G$1514))</f>
        <v>7.96943950184128E-006</v>
      </c>
      <c r="I953" s="4" t="n">
        <f aca="false">IF(G953="","",RANK(G953,$G$2:$G$1514,0))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IF(G954="","",G954/SUM($G$2:$G$1514))</f>
        <v>7.70480436145825E-006</v>
      </c>
      <c r="I954" s="4" t="n">
        <f aca="false">IF(G954="","",RANK(G954,$G$2:$G$1514,0))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IF(G955="","",G955/SUM($G$2:$G$1514))</f>
        <v>7.57987304878195E-006</v>
      </c>
      <c r="I955" s="4" t="n">
        <f aca="false">IF(G955="","",RANK(G955,$G$2:$G$1514,0))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IF(G956="","",G956/SUM($G$2:$G$1514))</f>
        <v>6.87057658715534E-006</v>
      </c>
      <c r="I956" s="4" t="n">
        <f aca="false">IF(G956="","",RANK(G956,$G$2:$G$1514,0))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IF(G957="","",G957/SUM($G$2:$G$1514))</f>
        <v>6.70247798002254E-006</v>
      </c>
      <c r="I957" s="4" t="n">
        <f aca="false">IF(G957="","",RANK(G957,$G$2:$G$1514,0))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IF(G958="","",G958/SUM($G$2:$G$1514))</f>
        <v>6.61570748683589E-006</v>
      </c>
      <c r="I958" s="4" t="n">
        <f aca="false">IF(G958="","",RANK(G958,$G$2:$G$1514,0))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IF(G959="","",G959/SUM($G$2:$G$1514))</f>
        <v>6.32662673905801E-006</v>
      </c>
      <c r="I959" s="4" t="n">
        <f aca="false">IF(G959="","",RANK(G959,$G$2:$G$1514,0))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IF(G960="","",G960/SUM($G$2:$G$1514))</f>
        <v>5.96447488793818E-006</v>
      </c>
      <c r="I960" s="4" t="n">
        <f aca="false">IF(G960="","",RANK(G960,$G$2:$G$1514,0))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IF(G961="","",G961/SUM($G$2:$G$1514))</f>
        <v>5.93042465502031E-006</v>
      </c>
      <c r="I961" s="4" t="n">
        <f aca="false">IF(G961="","",RANK(G961,$G$2:$G$1514,0))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IF(G962="","",G962/SUM($G$2:$G$1514))</f>
        <v>5.77177017638082E-006</v>
      </c>
      <c r="I962" s="4" t="n">
        <f aca="false">IF(G962="","",RANK(G962,$G$2:$G$1514,0))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IF(G963="","",G963/SUM($G$2:$G$1514))</f>
        <v>5.42409313368405E-006</v>
      </c>
      <c r="I963" s="4" t="n">
        <f aca="false">IF(G963="","",RANK(G963,$G$2:$G$1514,0))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IF(G964="","",G964/SUM($G$2:$G$1514))</f>
        <v>5.25301658146366E-006</v>
      </c>
      <c r="I964" s="4" t="n">
        <f aca="false">IF(G964="","",RANK(G964,$G$2:$G$1514,0))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IF(G965="","",G965/SUM($G$2:$G$1514))</f>
        <v>4.98592250878478E-006</v>
      </c>
      <c r="I965" s="4" t="n">
        <f aca="false">IF(G965="","",RANK(G965,$G$2:$G$1514,0))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IF(G966="","",G966/SUM($G$2:$G$1514))</f>
        <v>4.95445785994944E-006</v>
      </c>
      <c r="I966" s="4" t="n">
        <f aca="false">IF(G966="","",RANK(G966,$G$2:$G$1514,0))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IF(G967="","",G967/SUM($G$2:$G$1514))</f>
        <v>4.86910080827324E-006</v>
      </c>
      <c r="I967" s="4" t="n">
        <f aca="false">IF(G967="","",RANK(G967,$G$2:$G$1514,0))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IF(G968="","",G968/SUM($G$2:$G$1514))</f>
        <v>4.84656755655994E-006</v>
      </c>
      <c r="I968" s="4" t="n">
        <f aca="false">IF(G968="","",RANK(G968,$G$2:$G$1514,0))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IF(G969="","",G969/SUM($G$2:$G$1514))</f>
        <v>4.64331392115868E-006</v>
      </c>
      <c r="I969" s="4" t="n">
        <f aca="false">IF(G969="","",RANK(G969,$G$2:$G$1514,0))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IF(G970="","",G970/SUM($G$2:$G$1514))</f>
        <v>4.56172485236858E-006</v>
      </c>
      <c r="I970" s="4" t="n">
        <f aca="false">IF(G970="","",RANK(G970,$G$2:$G$1514,0))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IF(G971="","",G971/SUM($G$2:$G$1514))</f>
        <v>4.18933220385576E-006</v>
      </c>
      <c r="I971" s="4" t="n">
        <f aca="false">IF(G971="","",RANK(G971,$G$2:$G$1514,0))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IF(G972="","",G972/SUM($G$2:$G$1514))</f>
        <v>3.94542739994244E-006</v>
      </c>
      <c r="I972" s="4" t="n">
        <f aca="false">IF(G972="","",RANK(G972,$G$2:$G$1514,0))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IF(G973="","",G973/SUM($G$2:$G$1514))</f>
        <v>3.86650792843151E-006</v>
      </c>
      <c r="I973" s="4" t="n">
        <f aca="false">IF(G973="","",RANK(G973,$G$2:$G$1514,0))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IF(G974="","",G974/SUM($G$2:$G$1514))</f>
        <v>3.8523417661683E-006</v>
      </c>
      <c r="I974" s="4" t="n">
        <f aca="false">IF(G974="","",RANK(G974,$G$2:$G$1514,0))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IF(G975="","",G975/SUM($G$2:$G$1514))</f>
        <v>3.82429382188531E-006</v>
      </c>
      <c r="I975" s="4" t="n">
        <f aca="false">IF(G975="","",RANK(G975,$G$2:$G$1514,0))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IF(G976="","",G976/SUM($G$2:$G$1514))</f>
        <v>3.81207016644267E-006</v>
      </c>
      <c r="I976" s="4" t="n">
        <f aca="false">IF(G976="","",RANK(G976,$G$2:$G$1514,0))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IF(G977="","",G977/SUM($G$2:$G$1514))</f>
        <v>3.7863681386125E-006</v>
      </c>
      <c r="I977" s="4" t="n">
        <f aca="false">IF(G977="","",RANK(G977,$G$2:$G$1514,0))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IF(G978="","",G978/SUM($G$2:$G$1514))</f>
        <v>3.53678555457526E-006</v>
      </c>
      <c r="I978" s="4" t="n">
        <f aca="false">IF(G978="","",RANK(G978,$G$2:$G$1514,0))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IF(G979="","",G979/SUM($G$2:$G$1514))</f>
        <v>3.51892766067324E-006</v>
      </c>
      <c r="I979" s="4" t="n">
        <f aca="false">IF(G979="","",RANK(G979,$G$2:$G$1514,0))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IF(G980="","",G980/SUM($G$2:$G$1514))</f>
        <v>3.43184935542752E-006</v>
      </c>
      <c r="I980" s="4" t="n">
        <f aca="false">IF(G980="","",RANK(G980,$G$2:$G$1514,0))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IF(G981="","",G981/SUM($G$2:$G$1514))</f>
        <v>3.30566028294255E-006</v>
      </c>
      <c r="I981" s="4" t="n">
        <f aca="false">IF(G981="","",RANK(G981,$G$2:$G$1514,0))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IF(G982="","",G982/SUM($G$2:$G$1514))</f>
        <v>3.00960303927992E-006</v>
      </c>
      <c r="I982" s="4" t="n">
        <f aca="false">IF(G982="","",RANK(G982,$G$2:$G$1514,0))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IF(G983="","",G983/SUM($G$2:$G$1514))</f>
        <v>2.8335658651788E-006</v>
      </c>
      <c r="I983" s="4" t="n">
        <f aca="false">IF(G983="","",RANK(G983,$G$2:$G$1514,0))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IF(G984="","",G984/SUM($G$2:$G$1514))</f>
        <v>2.35607059997706E-006</v>
      </c>
      <c r="I984" s="4" t="n">
        <f aca="false">IF(G984="","",RANK(G984,$G$2:$G$1514,0))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IF(G985="","",G985/SUM($G$2:$G$1514))</f>
        <v>2.33913525521818E-006</v>
      </c>
      <c r="I985" s="4" t="n">
        <f aca="false">IF(G985="","",RANK(G985,$G$2:$G$1514,0))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IF(G986="","",G986/SUM($G$2:$G$1514))</f>
        <v>2.33310256681809E-006</v>
      </c>
      <c r="I986" s="4" t="n">
        <f aca="false">IF(G986="","",RANK(G986,$G$2:$G$1514,0))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IF(G987="","",G987/SUM($G$2:$G$1514))</f>
        <v>2.30890971120686E-006</v>
      </c>
      <c r="I987" s="4" t="n">
        <f aca="false">IF(G987="","",RANK(G987,$G$2:$G$1514,0))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IF(G988="","",G988/SUM($G$2:$G$1514))</f>
        <v>2.23111342696862E-006</v>
      </c>
      <c r="I988" s="4" t="n">
        <f aca="false">IF(G988="","",RANK(G988,$G$2:$G$1514,0))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IF(G989="","",G989/SUM($G$2:$G$1514))</f>
        <v>1.5591855767671E-006</v>
      </c>
      <c r="I989" s="4" t="n">
        <f aca="false">IF(G989="","",RANK(G989,$G$2:$G$1514,0))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IF(G990="","",G990/SUM($G$2:$G$1514))</f>
        <v>1.1715449677613E-006</v>
      </c>
      <c r="I990" s="4" t="n">
        <f aca="false">IF(G990="","",RANK(G990,$G$2:$G$1514,0))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IF(G991="","",G991/SUM($G$2:$G$1514))</f>
        <v>9.14657263361831E-007</v>
      </c>
      <c r="I991" s="4" t="n">
        <f aca="false">IF(G991="","",RANK(G991,$G$2:$G$1514,0))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IF(G992="","",G992/SUM($G$2:$G$1514))</f>
        <v>0</v>
      </c>
      <c r="I992" s="4" t="n">
        <f aca="false">IF(G992="","",RANK(G992,$G$2:$G$1514,0))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IF(G993="","",G993/SUM($G$2:$G$1514))</f>
        <v>0</v>
      </c>
      <c r="I993" s="4" t="n">
        <f aca="false">IF(G993="","",RANK(G993,$G$2:$G$1514,0))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IF(G994="","",G994/SUM($G$2:$G$1514))</f>
        <v>0</v>
      </c>
      <c r="I994" s="4" t="n">
        <f aca="false">IF(G994="","",RANK(G994,$G$2:$G$1514,0))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IF(G995="","",G995/SUM($G$2:$G$1514))</f>
        <v/>
      </c>
      <c r="I995" s="4" t="str">
        <f aca="false">IF(G995="","",RANK(G995,$G$2:$G$1514,0))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IF(G996="","",G996/SUM($G$2:$G$1514))</f>
        <v/>
      </c>
      <c r="I996" s="4" t="str">
        <f aca="false">IF(G996="","",RANK(G996,$G$2:$G$1514,0))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IF(G997="","",G997/SUM($G$2:$G$1514))</f>
        <v/>
      </c>
      <c r="I997" s="4" t="str">
        <f aca="false">IF(G997="","",RANK(G997,$G$2:$G$1514,0))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IF(G998="","",G998/SUM($G$2:$G$1514))</f>
        <v/>
      </c>
      <c r="I998" s="4" t="str">
        <f aca="false">IF(G998="","",RANK(G998,$G$2:$G$1514,0))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IF(G999="","",G999/SUM($G$2:$G$1514))</f>
        <v/>
      </c>
      <c r="I999" s="4" t="str">
        <f aca="false">IF(G999="","",RANK(G999,$G$2:$G$1514,0))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IF(G1000="","",G1000/SUM($G$2:$G$1514))</f>
        <v/>
      </c>
      <c r="I1000" s="4" t="str">
        <f aca="false">IF(G1000="","",RANK(G1000,$G$2:$G$1514,0))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IF(G1001="","",G1001/SUM($G$2:$G$1514))</f>
        <v/>
      </c>
      <c r="I1001" s="4" t="str">
        <f aca="false">IF(G1001="","",RANK(G1001,$G$2:$G$1514,0))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IF(G1002="","",G1002/SUM($G$2:$G$1514))</f>
        <v/>
      </c>
      <c r="I1002" s="4" t="str">
        <f aca="false">IF(G1002="","",RANK(G1002,$G$2:$G$1514,0))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IF(G1003="","",G1003/SUM($G$2:$G$1514))</f>
        <v/>
      </c>
      <c r="I1003" s="4" t="str">
        <f aca="false">IF(G1003="","",RANK(G1003,$G$2:$G$1514,0))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IF(G1004="","",G1004/SUM($G$2:$G$1514))</f>
        <v/>
      </c>
      <c r="I1004" s="4" t="str">
        <f aca="false">IF(G1004="","",RANK(G1004,$G$2:$G$1514,0))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IF(G1005="","",G1005/SUM($G$2:$G$1514))</f>
        <v/>
      </c>
      <c r="I1005" s="4" t="str">
        <f aca="false">IF(G1005="","",RANK(G1005,$G$2:$G$1514,0))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IF(G1006="","",G1006/SUM($G$2:$G$1514))</f>
        <v/>
      </c>
      <c r="I1006" s="4" t="str">
        <f aca="false">IF(G1006="","",RANK(G1006,$G$2:$G$1514,0))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IF(G1007="","",G1007/SUM($G$2:$G$1514))</f>
        <v/>
      </c>
      <c r="I1007" s="4" t="str">
        <f aca="false">IF(G1007="","",RANK(G1007,$G$2:$G$1514,0))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IF(G1008="","",G1008/SUM($G$2:$G$1514))</f>
        <v/>
      </c>
      <c r="I1008" s="4" t="str">
        <f aca="false">IF(G1008="","",RANK(G1008,$G$2:$G$1514,0))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IF(G1009="","",G1009/SUM($G$2:$G$1514))</f>
        <v/>
      </c>
      <c r="I1009" s="4" t="str">
        <f aca="false">IF(G1009="","",RANK(G1009,$G$2:$G$1514,0))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IF(G1010="","",G1010/SUM($G$2:$G$1514))</f>
        <v/>
      </c>
      <c r="I1010" s="4" t="str">
        <f aca="false">IF(G1010="","",RANK(G1010,$G$2:$G$1514,0))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IF(G1011="","",G1011/SUM($G$2:$G$1514))</f>
        <v/>
      </c>
      <c r="I1011" s="4" t="str">
        <f aca="false">IF(G1011="","",RANK(G1011,$G$2:$G$1514,0))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IF(G1012="","",G1012/SUM($G$2:$G$1514))</f>
        <v/>
      </c>
      <c r="I1012" s="4" t="str">
        <f aca="false">IF(G1012="","",RANK(G1012,$G$2:$G$1514,0))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IF(G1013="","",G1013/SUM($G$2:$G$1514))</f>
        <v/>
      </c>
      <c r="I1013" s="4" t="str">
        <f aca="false">IF(G1013="","",RANK(G1013,$G$2:$G$1514,0))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IF(G1014="","",G1014/SUM($G$2:$G$1514))</f>
        <v/>
      </c>
      <c r="I1014" s="4" t="str">
        <f aca="false">IF(G1014="","",RANK(G1014,$G$2:$G$1514,0))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IF(G1015="","",G1015/SUM($G$2:$G$1514))</f>
        <v/>
      </c>
      <c r="I1015" s="4" t="str">
        <f aca="false">IF(G1015="","",RANK(G1015,$G$2:$G$1514,0))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IF(G1016="","",G1016/SUM($G$2:$G$1514))</f>
        <v/>
      </c>
      <c r="I1016" s="4" t="str">
        <f aca="false">IF(G1016="","",RANK(G1016,$G$2:$G$1514,0))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IF(G1017="","",G1017/SUM($G$2:$G$1514))</f>
        <v/>
      </c>
      <c r="I1017" s="4" t="str">
        <f aca="false">IF(G1017="","",RANK(G1017,$G$2:$G$1514,0))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IF(G1018="","",G1018/SUM($G$2:$G$1514))</f>
        <v/>
      </c>
      <c r="I1018" s="4" t="str">
        <f aca="false">IF(G1018="","",RANK(G1018,$G$2:$G$1514,0))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IF(G1019="","",G1019/SUM($G$2:$G$1514))</f>
        <v/>
      </c>
      <c r="I1019" s="4" t="str">
        <f aca="false">IF(G1019="","",RANK(G1019,$G$2:$G$1514,0))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IF(G1020="","",G1020/SUM($G$2:$G$1514))</f>
        <v/>
      </c>
      <c r="I1020" s="4" t="str">
        <f aca="false">IF(G1020="","",RANK(G1020,$G$2:$G$1514,0))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IF(G1021="","",G1021/SUM($G$2:$G$1514))</f>
        <v/>
      </c>
      <c r="I1021" s="4" t="str">
        <f aca="false">IF(G1021="","",RANK(G1021,$G$2:$G$1514,0))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IF(G1022="","",G1022/SUM($G$2:$G$1514))</f>
        <v/>
      </c>
      <c r="I1022" s="4" t="str">
        <f aca="false">IF(G1022="","",RANK(G1022,$G$2:$G$1514,0))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IF(G1023="","",G1023/SUM($G$2:$G$1514))</f>
        <v/>
      </c>
      <c r="I1023" s="4" t="str">
        <f aca="false">IF(G1023="","",RANK(G1023,$G$2:$G$1514,0))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IF(G1024="","",G1024/SUM($G$2:$G$1514))</f>
        <v/>
      </c>
      <c r="I1024" s="4" t="str">
        <f aca="false">IF(G1024="","",RANK(G1024,$G$2:$G$1514,0))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IF(G1025="","",G1025/SUM($G$2:$G$1514))</f>
        <v/>
      </c>
      <c r="I1025" s="4" t="str">
        <f aca="false">IF(G1025="","",RANK(G1025,$G$2:$G$1514,0))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IF(G1026="","",G1026/SUM($G$2:$G$1514))</f>
        <v/>
      </c>
      <c r="I1026" s="4" t="str">
        <f aca="false">IF(G1026="","",RANK(G1026,$G$2:$G$1514,0))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IF(G1027="","",G1027/SUM($G$2:$G$1514))</f>
        <v/>
      </c>
      <c r="I1027" s="4" t="str">
        <f aca="false">IF(G1027="","",RANK(G1027,$G$2:$G$1514,0))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IF(G1028="","",G1028/SUM($G$2:$G$1514))</f>
        <v/>
      </c>
      <c r="I1028" s="4" t="str">
        <f aca="false">IF(G1028="","",RANK(G1028,$G$2:$G$1514,0))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IF(G1029="","",G1029/SUM($G$2:$G$1514))</f>
        <v/>
      </c>
      <c r="I1029" s="4" t="str">
        <f aca="false">IF(G1029="","",RANK(G1029,$G$2:$G$1514,0))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IF(G1030="","",G1030/SUM($G$2:$G$1514))</f>
        <v/>
      </c>
      <c r="I1030" s="4" t="str">
        <f aca="false">IF(G1030="","",RANK(G1030,$G$2:$G$1514,0))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IF(G1031="","",G1031/SUM($G$2:$G$1514))</f>
        <v/>
      </c>
      <c r="I1031" s="4" t="str">
        <f aca="false">IF(G1031="","",RANK(G1031,$G$2:$G$1514,0))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IF(G1032="","",G1032/SUM($G$2:$G$1514))</f>
        <v/>
      </c>
      <c r="I1032" s="4" t="str">
        <f aca="false">IF(G1032="","",RANK(G1032,$G$2:$G$1514,0))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IF(G1033="","",G1033/SUM($G$2:$G$1514))</f>
        <v/>
      </c>
      <c r="I1033" s="4" t="str">
        <f aca="false">IF(G1033="","",RANK(G1033,$G$2:$G$1514,0))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IF(G1034="","",G1034/SUM($G$2:$G$1514))</f>
        <v/>
      </c>
      <c r="I1034" s="4" t="str">
        <f aca="false">IF(G1034="","",RANK(G1034,$G$2:$G$1514,0))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IF(G1035="","",G1035/SUM($G$2:$G$1514))</f>
        <v/>
      </c>
      <c r="I1035" s="4" t="str">
        <f aca="false">IF(G1035="","",RANK(G1035,$G$2:$G$1514,0))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IF(G1036="","",G1036/SUM($G$2:$G$1514))</f>
        <v/>
      </c>
      <c r="I1036" s="4" t="str">
        <f aca="false">IF(G1036="","",RANK(G1036,$G$2:$G$1514,0))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IF(G1037="","",G1037/SUM($G$2:$G$1514))</f>
        <v/>
      </c>
      <c r="I1037" s="4" t="str">
        <f aca="false">IF(G1037="","",RANK(G1037,$G$2:$G$1514,0))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IF(G1038="","",G1038/SUM($G$2:$G$1514))</f>
        <v/>
      </c>
      <c r="I1038" s="4" t="str">
        <f aca="false">IF(G1038="","",RANK(G1038,$G$2:$G$1514,0))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IF(G1039="","",G1039/SUM($G$2:$G$1514))</f>
        <v/>
      </c>
      <c r="I1039" s="4" t="str">
        <f aca="false">IF(G1039="","",RANK(G1039,$G$2:$G$1514,0))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IF(G1040="","",G1040/SUM($G$2:$G$1514))</f>
        <v/>
      </c>
      <c r="I1040" s="4" t="str">
        <f aca="false">IF(G1040="","",RANK(G1040,$G$2:$G$1514,0))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IF(G1041="","",G1041/SUM($G$2:$G$1514))</f>
        <v/>
      </c>
      <c r="I1041" s="4" t="str">
        <f aca="false">IF(G1041="","",RANK(G1041,$G$2:$G$1514,0))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IF(G1042="","",G1042/SUM($G$2:$G$1514))</f>
        <v/>
      </c>
      <c r="I1042" s="4" t="str">
        <f aca="false">IF(G1042="","",RANK(G1042,$G$2:$G$1514,0))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IF(G1043="","",G1043/SUM($G$2:$G$1514))</f>
        <v/>
      </c>
      <c r="I1043" s="4" t="str">
        <f aca="false">IF(G1043="","",RANK(G1043,$G$2:$G$1514,0))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IF(G1044="","",G1044/SUM($G$2:$G$1514))</f>
        <v/>
      </c>
      <c r="I1044" s="4" t="str">
        <f aca="false">IF(G1044="","",RANK(G1044,$G$2:$G$1514,0))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IF(G1045="","",G1045/SUM($G$2:$G$1514))</f>
        <v/>
      </c>
      <c r="I1045" s="4" t="str">
        <f aca="false">IF(G1045="","",RANK(G1045,$G$2:$G$1514,0))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IF(G1046="","",G1046/SUM($G$2:$G$1514))</f>
        <v/>
      </c>
      <c r="I1046" s="4" t="str">
        <f aca="false">IF(G1046="","",RANK(G1046,$G$2:$G$1514,0))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IF(G1047="","",G1047/SUM($G$2:$G$1514))</f>
        <v/>
      </c>
      <c r="I1047" s="4" t="str">
        <f aca="false">IF(G1047="","",RANK(G1047,$G$2:$G$1514,0))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IF(G1048="","",G1048/SUM($G$2:$G$1514))</f>
        <v/>
      </c>
      <c r="I1048" s="4" t="str">
        <f aca="false">IF(G1048="","",RANK(G1048,$G$2:$G$1514,0))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IF(G1049="","",G1049/SUM($G$2:$G$1514))</f>
        <v/>
      </c>
      <c r="I1049" s="4" t="str">
        <f aca="false">IF(G1049="","",RANK(G1049,$G$2:$G$1514,0))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IF(G1050="","",G1050/SUM($G$2:$G$1514))</f>
        <v/>
      </c>
      <c r="I1050" s="4" t="str">
        <f aca="false">IF(G1050="","",RANK(G1050,$G$2:$G$1514,0))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IF(G1051="","",G1051/SUM($G$2:$G$1514))</f>
        <v/>
      </c>
      <c r="I1051" s="4" t="str">
        <f aca="false">IF(G1051="","",RANK(G1051,$G$2:$G$1514,0))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IF(G1052="","",G1052/SUM($G$2:$G$1514))</f>
        <v/>
      </c>
      <c r="I1052" s="4" t="str">
        <f aca="false">IF(G1052="","",RANK(G1052,$G$2:$G$1514,0))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IF(G1053="","",G1053/SUM($G$2:$G$1514))</f>
        <v/>
      </c>
      <c r="I1053" s="4" t="str">
        <f aca="false">IF(G1053="","",RANK(G1053,$G$2:$G$1514,0))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IF(G1054="","",G1054/SUM($G$2:$G$1514))</f>
        <v/>
      </c>
      <c r="I1054" s="4" t="str">
        <f aca="false">IF(G1054="","",RANK(G1054,$G$2:$G$1514,0))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IF(G1055="","",G1055/SUM($G$2:$G$1514))</f>
        <v/>
      </c>
      <c r="I1055" s="4" t="str">
        <f aca="false">IF(G1055="","",RANK(G1055,$G$2:$G$1514,0))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IF(G1056="","",G1056/SUM($G$2:$G$1514))</f>
        <v/>
      </c>
      <c r="I1056" s="4" t="str">
        <f aca="false">IF(G1056="","",RANK(G1056,$G$2:$G$1514,0))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IF(G1057="","",G1057/SUM($G$2:$G$1514))</f>
        <v/>
      </c>
      <c r="I1057" s="4" t="str">
        <f aca="false">IF(G1057="","",RANK(G1057,$G$2:$G$1514,0))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IF(G1058="","",G1058/SUM($G$2:$G$1514))</f>
        <v/>
      </c>
      <c r="I1058" s="4" t="str">
        <f aca="false">IF(G1058="","",RANK(G1058,$G$2:$G$1514,0))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IF(G1059="","",G1059/SUM($G$2:$G$1514))</f>
        <v/>
      </c>
      <c r="I1059" s="4" t="str">
        <f aca="false">IF(G1059="","",RANK(G1059,$G$2:$G$1514,0))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IF(G1060="","",G1060/SUM($G$2:$G$1514))</f>
        <v/>
      </c>
      <c r="I1060" s="4" t="str">
        <f aca="false">IF(G1060="","",RANK(G1060,$G$2:$G$1514,0))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IF(G1061="","",G1061/SUM($G$2:$G$1514))</f>
        <v/>
      </c>
      <c r="I1061" s="4" t="str">
        <f aca="false">IF(G1061="","",RANK(G1061,$G$2:$G$1514,0))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IF(G1062="","",G1062/SUM($G$2:$G$1514))</f>
        <v/>
      </c>
      <c r="I1062" s="4" t="str">
        <f aca="false">IF(G1062="","",RANK(G1062,$G$2:$G$1514,0))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IF(G1063="","",G1063/SUM($G$2:$G$1514))</f>
        <v/>
      </c>
      <c r="I1063" s="4" t="str">
        <f aca="false">IF(G1063="","",RANK(G1063,$G$2:$G$1514,0))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IF(G1064="","",G1064/SUM($G$2:$G$1514))</f>
        <v/>
      </c>
      <c r="I1064" s="4" t="str">
        <f aca="false">IF(G1064="","",RANK(G1064,$G$2:$G$1514,0))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IF(G1065="","",G1065/SUM($G$2:$G$1514))</f>
        <v/>
      </c>
      <c r="I1065" s="4" t="str">
        <f aca="false">IF(G1065="","",RANK(G1065,$G$2:$G$1514,0))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IF(G1066="","",G1066/SUM($G$2:$G$1514))</f>
        <v/>
      </c>
      <c r="I1066" s="4" t="str">
        <f aca="false">IF(G1066="","",RANK(G1066,$G$2:$G$1514,0))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IF(G1067="","",G1067/SUM($G$2:$G$1514))</f>
        <v/>
      </c>
      <c r="I1067" s="4" t="str">
        <f aca="false">IF(G1067="","",RANK(G1067,$G$2:$G$1514,0))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IF(G1068="","",G1068/SUM($G$2:$G$1514))</f>
        <v/>
      </c>
      <c r="I1068" s="4" t="str">
        <f aca="false">IF(G1068="","",RANK(G1068,$G$2:$G$1514,0))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IF(G1069="","",G1069/SUM($G$2:$G$1514))</f>
        <v/>
      </c>
      <c r="I1069" s="4" t="str">
        <f aca="false">IF(G1069="","",RANK(G1069,$G$2:$G$1514,0))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IF(G1070="","",G1070/SUM($G$2:$G$1514))</f>
        <v/>
      </c>
      <c r="I1070" s="4" t="str">
        <f aca="false">IF(G1070="","",RANK(G1070,$G$2:$G$1514,0))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IF(G1071="","",G1071/SUM($G$2:$G$1514))</f>
        <v/>
      </c>
      <c r="I1071" s="4" t="str">
        <f aca="false">IF(G1071="","",RANK(G1071,$G$2:$G$1514,0))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IF(G1072="","",G1072/SUM($G$2:$G$1514))</f>
        <v/>
      </c>
      <c r="I1072" s="4" t="str">
        <f aca="false">IF(G1072="","",RANK(G1072,$G$2:$G$1514,0))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IF(G1073="","",G1073/SUM($G$2:$G$1514))</f>
        <v/>
      </c>
      <c r="I1073" s="4" t="str">
        <f aca="false">IF(G1073="","",RANK(G1073,$G$2:$G$1514,0))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IF(G1074="","",G1074/SUM($G$2:$G$1514))</f>
        <v/>
      </c>
      <c r="I1074" s="4" t="str">
        <f aca="false">IF(G1074="","",RANK(G1074,$G$2:$G$1514,0))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IF(G1075="","",G1075/SUM($G$2:$G$1514))</f>
        <v/>
      </c>
      <c r="I1075" s="4" t="str">
        <f aca="false">IF(G1075="","",RANK(G1075,$G$2:$G$1514,0))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IF(G1076="","",G1076/SUM($G$2:$G$1514))</f>
        <v/>
      </c>
      <c r="I1076" s="4" t="str">
        <f aca="false">IF(G1076="","",RANK(G1076,$G$2:$G$1514,0))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IF(G1077="","",G1077/SUM($G$2:$G$1514))</f>
        <v/>
      </c>
      <c r="I1077" s="4" t="str">
        <f aca="false">IF(G1077="","",RANK(G1077,$G$2:$G$1514,0))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IF(G1078="","",G1078/SUM($G$2:$G$1514))</f>
        <v/>
      </c>
      <c r="I1078" s="4" t="str">
        <f aca="false">IF(G1078="","",RANK(G1078,$G$2:$G$1514,0))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IF(G1079="","",G1079/SUM($G$2:$G$1514))</f>
        <v/>
      </c>
      <c r="I1079" s="4" t="str">
        <f aca="false">IF(G1079="","",RANK(G1079,$G$2:$G$1514,0))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IF(G1080="","",G1080/SUM($G$2:$G$1514))</f>
        <v/>
      </c>
      <c r="I1080" s="4" t="str">
        <f aca="false">IF(G1080="","",RANK(G1080,$G$2:$G$1514,0))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IF(G1081="","",G1081/SUM($G$2:$G$1514))</f>
        <v/>
      </c>
      <c r="I1081" s="4" t="str">
        <f aca="false">IF(G1081="","",RANK(G1081,$G$2:$G$1514,0))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IF(G1082="","",G1082/SUM($G$2:$G$1514))</f>
        <v/>
      </c>
      <c r="I1082" s="4" t="str">
        <f aca="false">IF(G1082="","",RANK(G1082,$G$2:$G$1514,0))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IF(G1083="","",G1083/SUM($G$2:$G$1514))</f>
        <v/>
      </c>
      <c r="I1083" s="4" t="str">
        <f aca="false">IF(G1083="","",RANK(G1083,$G$2:$G$1514,0))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IF(G1084="","",G1084/SUM($G$2:$G$1514))</f>
        <v/>
      </c>
      <c r="I1084" s="4" t="str">
        <f aca="false">IF(G1084="","",RANK(G1084,$G$2:$G$1514,0))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IF(G1085="","",G1085/SUM($G$2:$G$1514))</f>
        <v/>
      </c>
      <c r="I1085" s="4" t="str">
        <f aca="false">IF(G1085="","",RANK(G1085,$G$2:$G$1514,0))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IF(G1086="","",G1086/SUM($G$2:$G$1514))</f>
        <v/>
      </c>
      <c r="I1086" s="4" t="str">
        <f aca="false">IF(G1086="","",RANK(G1086,$G$2:$G$1514,0))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IF(G1087="","",G1087/SUM($G$2:$G$1514))</f>
        <v/>
      </c>
      <c r="I1087" s="4" t="str">
        <f aca="false">IF(G1087="","",RANK(G1087,$G$2:$G$1514,0))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IF(G1088="","",G1088/SUM($G$2:$G$1514))</f>
        <v/>
      </c>
      <c r="I1088" s="4" t="str">
        <f aca="false">IF(G1088="","",RANK(G1088,$G$2:$G$1514,0))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IF(G1089="","",G1089/SUM($G$2:$G$1514))</f>
        <v/>
      </c>
      <c r="I1089" s="4" t="str">
        <f aca="false">IF(G1089="","",RANK(G1089,$G$2:$G$1514,0))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IF(G1090="","",G1090/SUM($G$2:$G$1514))</f>
        <v/>
      </c>
      <c r="I1090" s="4" t="str">
        <f aca="false">IF(G1090="","",RANK(G1090,$G$2:$G$1514,0))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IF(G1091="","",G1091/SUM($G$2:$G$1514))</f>
        <v/>
      </c>
      <c r="I1091" s="4" t="str">
        <f aca="false">IF(G1091="","",RANK(G1091,$G$2:$G$1514,0))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IF(G1092="","",G1092/SUM($G$2:$G$1514))</f>
        <v/>
      </c>
      <c r="I1092" s="4" t="str">
        <f aca="false">IF(G1092="","",RANK(G1092,$G$2:$G$1514,0))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IF(G1093="","",G1093/SUM($G$2:$G$1514))</f>
        <v/>
      </c>
      <c r="I1093" s="4" t="str">
        <f aca="false">IF(G1093="","",RANK(G1093,$G$2:$G$1514,0))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IF(G1094="","",G1094/SUM($G$2:$G$1514))</f>
        <v/>
      </c>
      <c r="I1094" s="4" t="str">
        <f aca="false">IF(G1094="","",RANK(G1094,$G$2:$G$1514,0))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IF(G1095="","",G1095/SUM($G$2:$G$1514))</f>
        <v/>
      </c>
      <c r="I1095" s="4" t="str">
        <f aca="false">IF(G1095="","",RANK(G1095,$G$2:$G$1514,0))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IF(G1096="","",G1096/SUM($G$2:$G$1514))</f>
        <v/>
      </c>
      <c r="I1096" s="4" t="str">
        <f aca="false">IF(G1096="","",RANK(G1096,$G$2:$G$1514,0))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IF(G1097="","",G1097/SUM($G$2:$G$1514))</f>
        <v/>
      </c>
      <c r="I1097" s="4" t="str">
        <f aca="false">IF(G1097="","",RANK(G1097,$G$2:$G$1514,0))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IF(G1098="","",G1098/SUM($G$2:$G$1514))</f>
        <v/>
      </c>
      <c r="I1098" s="4" t="str">
        <f aca="false">IF(G1098="","",RANK(G1098,$G$2:$G$1514,0))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IF(G1099="","",G1099/SUM($G$2:$G$1514))</f>
        <v/>
      </c>
      <c r="I1099" s="4" t="str">
        <f aca="false">IF(G1099="","",RANK(G1099,$G$2:$G$1514,0))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IF(G1100="","",G1100/SUM($G$2:$G$1514))</f>
        <v/>
      </c>
      <c r="I1100" s="4" t="str">
        <f aca="false">IF(G1100="","",RANK(G1100,$G$2:$G$1514,0))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IF(G1101="","",G1101/SUM($G$2:$G$1514))</f>
        <v/>
      </c>
      <c r="I1101" s="4" t="str">
        <f aca="false">IF(G1101="","",RANK(G1101,$G$2:$G$1514,0))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IF(G1102="","",G1102/SUM($G$2:$G$1514))</f>
        <v/>
      </c>
      <c r="I1102" s="4" t="str">
        <f aca="false">IF(G1102="","",RANK(G1102,$G$2:$G$1514,0))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IF(G1103="","",G1103/SUM($G$2:$G$1514))</f>
        <v/>
      </c>
      <c r="I1103" s="4" t="str">
        <f aca="false">IF(G1103="","",RANK(G1103,$G$2:$G$1514,0))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IF(G1104="","",G1104/SUM($G$2:$G$1514))</f>
        <v/>
      </c>
      <c r="I1104" s="4" t="str">
        <f aca="false">IF(G1104="","",RANK(G1104,$G$2:$G$1514,0))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IF(G1105="","",G1105/SUM($G$2:$G$1514))</f>
        <v/>
      </c>
      <c r="I1105" s="4" t="str">
        <f aca="false">IF(G1105="","",RANK(G1105,$G$2:$G$1514,0))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IF(G1106="","",G1106/SUM($G$2:$G$1514))</f>
        <v/>
      </c>
      <c r="I1106" s="4" t="str">
        <f aca="false">IF(G1106="","",RANK(G1106,$G$2:$G$1514,0))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IF(G1107="","",G1107/SUM($G$2:$G$1514))</f>
        <v/>
      </c>
      <c r="I1107" s="4" t="str">
        <f aca="false">IF(G1107="","",RANK(G1107,$G$2:$G$1514,0))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IF(G1108="","",G1108/SUM($G$2:$G$1514))</f>
        <v/>
      </c>
      <c r="I1108" s="4" t="str">
        <f aca="false">IF(G1108="","",RANK(G1108,$G$2:$G$1514,0))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IF(G1109="","",G1109/SUM($G$2:$G$1514))</f>
        <v/>
      </c>
      <c r="I1109" s="4" t="str">
        <f aca="false">IF(G1109="","",RANK(G1109,$G$2:$G$1514,0))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IF(G1110="","",G1110/SUM($G$2:$G$1514))</f>
        <v/>
      </c>
      <c r="I1110" s="4" t="str">
        <f aca="false">IF(G1110="","",RANK(G1110,$G$2:$G$1514,0))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IF(G1111="","",G1111/SUM($G$2:$G$1514))</f>
        <v/>
      </c>
      <c r="I1111" s="4" t="str">
        <f aca="false">IF(G1111="","",RANK(G1111,$G$2:$G$1514,0))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IF(G1112="","",G1112/SUM($G$2:$G$1514))</f>
        <v/>
      </c>
      <c r="I1112" s="4" t="str">
        <f aca="false">IF(G1112="","",RANK(G1112,$G$2:$G$1514,0))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IF(G1113="","",G1113/SUM($G$2:$G$1514))</f>
        <v/>
      </c>
      <c r="I1113" s="4" t="str">
        <f aca="false">IF(G1113="","",RANK(G1113,$G$2:$G$1514,0))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IF(G1114="","",G1114/SUM($G$2:$G$1514))</f>
        <v/>
      </c>
      <c r="I1114" s="4" t="str">
        <f aca="false">IF(G1114="","",RANK(G1114,$G$2:$G$1514,0))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IF(G1115="","",G1115/SUM($G$2:$G$1514))</f>
        <v/>
      </c>
      <c r="I1115" s="4" t="str">
        <f aca="false">IF(G1115="","",RANK(G1115,$G$2:$G$1514,0))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IF(G1116="","",G1116/SUM($G$2:$G$1514))</f>
        <v/>
      </c>
      <c r="I1116" s="4" t="str">
        <f aca="false">IF(G1116="","",RANK(G1116,$G$2:$G$1514,0))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IF(G1117="","",G1117/SUM($G$2:$G$1514))</f>
        <v/>
      </c>
      <c r="I1117" s="4" t="str">
        <f aca="false">IF(G1117="","",RANK(G1117,$G$2:$G$1514,0))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IF(G1118="","",G1118/SUM($G$2:$G$1514))</f>
        <v/>
      </c>
      <c r="I1118" s="4" t="str">
        <f aca="false">IF(G1118="","",RANK(G1118,$G$2:$G$1514,0))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IF(G1119="","",G1119/SUM($G$2:$G$1514))</f>
        <v/>
      </c>
      <c r="I1119" s="4" t="str">
        <f aca="false">IF(G1119="","",RANK(G1119,$G$2:$G$1514,0))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IF(G1120="","",G1120/SUM($G$2:$G$1514))</f>
        <v/>
      </c>
      <c r="I1120" s="4" t="str">
        <f aca="false">IF(G1120="","",RANK(G1120,$G$2:$G$1514,0))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IF(G1121="","",G1121/SUM($G$2:$G$1514))</f>
        <v/>
      </c>
      <c r="I1121" s="4" t="str">
        <f aca="false">IF(G1121="","",RANK(G1121,$G$2:$G$1514,0))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IF(G1122="","",G1122/SUM($G$2:$G$1514))</f>
        <v/>
      </c>
      <c r="I1122" s="4" t="str">
        <f aca="false">IF(G1122="","",RANK(G1122,$G$2:$G$1514,0))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IF(G1123="","",G1123/SUM($G$2:$G$1514))</f>
        <v/>
      </c>
      <c r="I1123" s="4" t="str">
        <f aca="false">IF(G1123="","",RANK(G1123,$G$2:$G$1514,0))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IF(G1124="","",G1124/SUM($G$2:$G$1514))</f>
        <v/>
      </c>
      <c r="I1124" s="4" t="str">
        <f aca="false">IF(G1124="","",RANK(G1124,$G$2:$G$1514,0))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IF(G1125="","",G1125/SUM($G$2:$G$1514))</f>
        <v/>
      </c>
      <c r="I1125" s="4" t="str">
        <f aca="false">IF(G1125="","",RANK(G1125,$G$2:$G$1514,0))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IF(G1126="","",G1126/SUM($G$2:$G$1514))</f>
        <v/>
      </c>
      <c r="I1126" s="4" t="str">
        <f aca="false">IF(G1126="","",RANK(G1126,$G$2:$G$1514,0))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IF(G1127="","",G1127/SUM($G$2:$G$1514))</f>
        <v/>
      </c>
      <c r="I1127" s="4" t="str">
        <f aca="false">IF(G1127="","",RANK(G1127,$G$2:$G$1514,0))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IF(G1128="","",G1128/SUM($G$2:$G$1514))</f>
        <v/>
      </c>
      <c r="I1128" s="4" t="str">
        <f aca="false">IF(G1128="","",RANK(G1128,$G$2:$G$1514,0))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IF(G1129="","",G1129/SUM($G$2:$G$1514))</f>
        <v/>
      </c>
      <c r="I1129" s="4" t="str">
        <f aca="false">IF(G1129="","",RANK(G1129,$G$2:$G$1514,0))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IF(G1130="","",G1130/SUM($G$2:$G$1514))</f>
        <v/>
      </c>
      <c r="I1130" s="4" t="str">
        <f aca="false">IF(G1130="","",RANK(G1130,$G$2:$G$1514,0))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IF(G1131="","",G1131/SUM($G$2:$G$1514))</f>
        <v/>
      </c>
      <c r="I1131" s="4" t="str">
        <f aca="false">IF(G1131="","",RANK(G1131,$G$2:$G$1514,0))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IF(G1132="","",G1132/SUM($G$2:$G$1514))</f>
        <v/>
      </c>
      <c r="I1132" s="4" t="str">
        <f aca="false">IF(G1132="","",RANK(G1132,$G$2:$G$1514,0))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IF(G1133="","",G1133/SUM($G$2:$G$1514))</f>
        <v/>
      </c>
      <c r="I1133" s="4" t="str">
        <f aca="false">IF(G1133="","",RANK(G1133,$G$2:$G$1514,0))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IF(G1134="","",G1134/SUM($G$2:$G$1514))</f>
        <v/>
      </c>
      <c r="I1134" s="4" t="str">
        <f aca="false">IF(G1134="","",RANK(G1134,$G$2:$G$1514,0))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IF(G1135="","",G1135/SUM($G$2:$G$1514))</f>
        <v/>
      </c>
      <c r="I1135" s="4" t="str">
        <f aca="false">IF(G1135="","",RANK(G1135,$G$2:$G$1514,0))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IF(G1136="","",G1136/SUM($G$2:$G$1514))</f>
        <v/>
      </c>
      <c r="I1136" s="4" t="str">
        <f aca="false">IF(G1136="","",RANK(G1136,$G$2:$G$1514,0))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IF(G1137="","",G1137/SUM($G$2:$G$1514))</f>
        <v/>
      </c>
      <c r="I1137" s="4" t="str">
        <f aca="false">IF(G1137="","",RANK(G1137,$G$2:$G$1514,0))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IF(G1138="","",G1138/SUM($G$2:$G$1514))</f>
        <v/>
      </c>
      <c r="I1138" s="4" t="str">
        <f aca="false">IF(G1138="","",RANK(G1138,$G$2:$G$1514,0))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IF(G1139="","",G1139/SUM($G$2:$G$1514))</f>
        <v/>
      </c>
      <c r="I1139" s="4" t="str">
        <f aca="false">IF(G1139="","",RANK(G1139,$G$2:$G$1514,0))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IF(G1140="","",G1140/SUM($G$2:$G$1514))</f>
        <v/>
      </c>
      <c r="I1140" s="4" t="str">
        <f aca="false">IF(G1140="","",RANK(G1140,$G$2:$G$1514,0))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IF(G1141="","",G1141/SUM($G$2:$G$1514))</f>
        <v/>
      </c>
      <c r="I1141" s="4" t="str">
        <f aca="false">IF(G1141="","",RANK(G1141,$G$2:$G$1514,0))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IF(G1142="","",G1142/SUM($G$2:$G$1514))</f>
        <v/>
      </c>
      <c r="I1142" s="4" t="str">
        <f aca="false">IF(G1142="","",RANK(G1142,$G$2:$G$1514,0))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IF(G1143="","",G1143/SUM($G$2:$G$1514))</f>
        <v/>
      </c>
      <c r="I1143" s="4" t="str">
        <f aca="false">IF(G1143="","",RANK(G1143,$G$2:$G$1514,0))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IF(G1144="","",G1144/SUM($G$2:$G$1514))</f>
        <v/>
      </c>
      <c r="I1144" s="4" t="str">
        <f aca="false">IF(G1144="","",RANK(G1144,$G$2:$G$1514,0))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IF(G1145="","",G1145/SUM($G$2:$G$1514))</f>
        <v/>
      </c>
      <c r="I1145" s="4" t="str">
        <f aca="false">IF(G1145="","",RANK(G1145,$G$2:$G$1514,0))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IF(G1146="","",G1146/SUM($G$2:$G$1514))</f>
        <v/>
      </c>
      <c r="I1146" s="4" t="str">
        <f aca="false">IF(G1146="","",RANK(G1146,$G$2:$G$1514,0))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IF(G1147="","",G1147/SUM($G$2:$G$1514))</f>
        <v/>
      </c>
      <c r="I1147" s="4" t="str">
        <f aca="false">IF(G1147="","",RANK(G1147,$G$2:$G$1514,0))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IF(G1148="","",G1148/SUM($G$2:$G$1514))</f>
        <v/>
      </c>
      <c r="I1148" s="4" t="str">
        <f aca="false">IF(G1148="","",RANK(G1148,$G$2:$G$1514,0))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IF(G1149="","",G1149/SUM($G$2:$G$1514))</f>
        <v/>
      </c>
      <c r="I1149" s="4" t="str">
        <f aca="false">IF(G1149="","",RANK(G1149,$G$2:$G$1514,0))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IF(G1150="","",G1150/SUM($G$2:$G$1514))</f>
        <v/>
      </c>
      <c r="I1150" s="4" t="str">
        <f aca="false">IF(G1150="","",RANK(G1150,$G$2:$G$1514,0))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IF(G1151="","",G1151/SUM($G$2:$G$1514))</f>
        <v/>
      </c>
      <c r="I1151" s="4" t="str">
        <f aca="false">IF(G1151="","",RANK(G1151,$G$2:$G$1514,0))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IF(G1152="","",G1152/SUM($G$2:$G$1514))</f>
        <v/>
      </c>
      <c r="I1152" s="4" t="str">
        <f aca="false">IF(G1152="","",RANK(G1152,$G$2:$G$1514,0))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IF(G1153="","",G1153/SUM($G$2:$G$1514))</f>
        <v/>
      </c>
      <c r="I1153" s="4" t="str">
        <f aca="false">IF(G1153="","",RANK(G1153,$G$2:$G$1514,0))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IF(G1154="","",G1154/SUM($G$2:$G$1514))</f>
        <v/>
      </c>
      <c r="I1154" s="4" t="str">
        <f aca="false">IF(G1154="","",RANK(G1154,$G$2:$G$1514,0))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IF(G1155="","",G1155/SUM($G$2:$G$1514))</f>
        <v/>
      </c>
      <c r="I1155" s="4" t="str">
        <f aca="false">IF(G1155="","",RANK(G1155,$G$2:$G$1514,0))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IF(G1156="","",G1156/SUM($G$2:$G$1514))</f>
        <v/>
      </c>
      <c r="I1156" s="4" t="str">
        <f aca="false">IF(G1156="","",RANK(G1156,$G$2:$G$1514,0))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IF(G1157="","",G1157/SUM($G$2:$G$1514))</f>
        <v/>
      </c>
      <c r="I1157" s="4" t="str">
        <f aca="false">IF(G1157="","",RANK(G1157,$G$2:$G$1514,0))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IF(G1158="","",G1158/SUM($G$2:$G$1514))</f>
        <v/>
      </c>
      <c r="I1158" s="4" t="str">
        <f aca="false">IF(G1158="","",RANK(G1158,$G$2:$G$1514,0))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IF(G1159="","",G1159/SUM($G$2:$G$1514))</f>
        <v/>
      </c>
      <c r="I1159" s="4" t="str">
        <f aca="false">IF(G1159="","",RANK(G1159,$G$2:$G$1514,0))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IF(G1160="","",G1160/SUM($G$2:$G$1514))</f>
        <v/>
      </c>
      <c r="I1160" s="4" t="str">
        <f aca="false">IF(G1160="","",RANK(G1160,$G$2:$G$1514,0))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IF(G1161="","",G1161/SUM($G$2:$G$1514))</f>
        <v/>
      </c>
      <c r="I1161" s="4" t="str">
        <f aca="false">IF(G1161="","",RANK(G1161,$G$2:$G$1514,0))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IF(G1162="","",G1162/SUM($G$2:$G$1514))</f>
        <v/>
      </c>
      <c r="I1162" s="4" t="str">
        <f aca="false">IF(G1162="","",RANK(G1162,$G$2:$G$1514,0))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IF(G1163="","",G1163/SUM($G$2:$G$1514))</f>
        <v/>
      </c>
      <c r="I1163" s="4" t="str">
        <f aca="false">IF(G1163="","",RANK(G1163,$G$2:$G$1514,0))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IF(G1164="","",G1164/SUM($G$2:$G$1514))</f>
        <v/>
      </c>
      <c r="I1164" s="4" t="str">
        <f aca="false">IF(G1164="","",RANK(G1164,$G$2:$G$1514,0))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IF(G1165="","",G1165/SUM($G$2:$G$1514))</f>
        <v/>
      </c>
      <c r="I1165" s="4" t="str">
        <f aca="false">IF(G1165="","",RANK(G1165,$G$2:$G$1514,0))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IF(G1166="","",G1166/SUM($G$2:$G$1514))</f>
        <v/>
      </c>
      <c r="I1166" s="4" t="str">
        <f aca="false">IF(G1166="","",RANK(G1166,$G$2:$G$1514,0))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IF(G1167="","",G1167/SUM($G$2:$G$1514))</f>
        <v/>
      </c>
      <c r="I1167" s="4" t="str">
        <f aca="false">IF(G1167="","",RANK(G1167,$G$2:$G$1514,0))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IF(G1168="","",G1168/SUM($G$2:$G$1514))</f>
        <v/>
      </c>
      <c r="I1168" s="4" t="str">
        <f aca="false">IF(G1168="","",RANK(G1168,$G$2:$G$1514,0))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IF(G1169="","",G1169/SUM($G$2:$G$1514))</f>
        <v/>
      </c>
      <c r="I1169" s="4" t="str">
        <f aca="false">IF(G1169="","",RANK(G1169,$G$2:$G$1514,0))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IF(G1170="","",G1170/SUM($G$2:$G$1514))</f>
        <v/>
      </c>
      <c r="I1170" s="4" t="str">
        <f aca="false">IF(G1170="","",RANK(G1170,$G$2:$G$1514,0))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IF(G1171="","",G1171/SUM($G$2:$G$1514))</f>
        <v/>
      </c>
      <c r="I1171" s="4" t="str">
        <f aca="false">IF(G1171="","",RANK(G1171,$G$2:$G$1514,0))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IF(G1172="","",G1172/SUM($G$2:$G$1514))</f>
        <v/>
      </c>
      <c r="I1172" s="4" t="str">
        <f aca="false">IF(G1172="","",RANK(G1172,$G$2:$G$1514,0))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IF(G1173="","",G1173/SUM($G$2:$G$1514))</f>
        <v/>
      </c>
      <c r="I1173" s="4" t="str">
        <f aca="false">IF(G1173="","",RANK(G1173,$G$2:$G$1514,0))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IF(G1174="","",G1174/SUM($G$2:$G$1514))</f>
        <v/>
      </c>
      <c r="I1174" s="4" t="str">
        <f aca="false">IF(G1174="","",RANK(G1174,$G$2:$G$1514,0))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IF(G1175="","",G1175/SUM($G$2:$G$1514))</f>
        <v/>
      </c>
      <c r="I1175" s="4" t="str">
        <f aca="false">IF(G1175="","",RANK(G1175,$G$2:$G$1514,0))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IF(G1176="","",G1176/SUM($G$2:$G$1514))</f>
        <v/>
      </c>
      <c r="I1176" s="4" t="str">
        <f aca="false">IF(G1176="","",RANK(G1176,$G$2:$G$1514,0))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IF(G1177="","",G1177/SUM($G$2:$G$1514))</f>
        <v/>
      </c>
      <c r="I1177" s="4" t="str">
        <f aca="false">IF(G1177="","",RANK(G1177,$G$2:$G$1514,0))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IF(G1178="","",G1178/SUM($G$2:$G$1514))</f>
        <v/>
      </c>
      <c r="I1178" s="4" t="str">
        <f aca="false">IF(G1178="","",RANK(G1178,$G$2:$G$1514,0))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IF(G1179="","",G1179/SUM($G$2:$G$1514))</f>
        <v/>
      </c>
      <c r="I1179" s="4" t="str">
        <f aca="false">IF(G1179="","",RANK(G1179,$G$2:$G$1514,0))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IF(G1180="","",G1180/SUM($G$2:$G$1514))</f>
        <v/>
      </c>
      <c r="I1180" s="4" t="str">
        <f aca="false">IF(G1180="","",RANK(G1180,$G$2:$G$1514,0))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IF(G1181="","",G1181/SUM($G$2:$G$1514))</f>
        <v/>
      </c>
      <c r="I1181" s="4" t="str">
        <f aca="false">IF(G1181="","",RANK(G1181,$G$2:$G$1514,0))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IF(G1182="","",G1182/SUM($G$2:$G$1514))</f>
        <v/>
      </c>
      <c r="I1182" s="4" t="str">
        <f aca="false">IF(G1182="","",RANK(G1182,$G$2:$G$1514,0))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IF(G1183="","",G1183/SUM($G$2:$G$1514))</f>
        <v/>
      </c>
      <c r="I1183" s="4" t="str">
        <f aca="false">IF(G1183="","",RANK(G1183,$G$2:$G$1514,0))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IF(G1184="","",G1184/SUM($G$2:$G$1514))</f>
        <v/>
      </c>
      <c r="I1184" s="4" t="str">
        <f aca="false">IF(G1184="","",RANK(G1184,$G$2:$G$1514,0))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IF(G1185="","",G1185/SUM($G$2:$G$1514))</f>
        <v/>
      </c>
      <c r="I1185" s="4" t="str">
        <f aca="false">IF(G1185="","",RANK(G1185,$G$2:$G$1514,0))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IF(G1186="","",G1186/SUM($G$2:$G$1514))</f>
        <v/>
      </c>
      <c r="I1186" s="4" t="str">
        <f aca="false">IF(G1186="","",RANK(G1186,$G$2:$G$1514,0))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IF(G1187="","",G1187/SUM($G$2:$G$1514))</f>
        <v/>
      </c>
      <c r="I1187" s="4" t="str">
        <f aca="false">IF(G1187="","",RANK(G1187,$G$2:$G$1514,0))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IF(G1188="","",G1188/SUM($G$2:$G$1514))</f>
        <v/>
      </c>
      <c r="I1188" s="4" t="str">
        <f aca="false">IF(G1188="","",RANK(G1188,$G$2:$G$1514,0))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IF(G1189="","",G1189/SUM($G$2:$G$1514))</f>
        <v/>
      </c>
      <c r="I1189" s="4" t="str">
        <f aca="false">IF(G1189="","",RANK(G1189,$G$2:$G$1514,0))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IF(G1190="","",G1190/SUM($G$2:$G$1514))</f>
        <v/>
      </c>
      <c r="I1190" s="4" t="str">
        <f aca="false">IF(G1190="","",RANK(G1190,$G$2:$G$1514,0))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IF(G1191="","",G1191/SUM($G$2:$G$1514))</f>
        <v/>
      </c>
      <c r="I1191" s="4" t="str">
        <f aca="false">IF(G1191="","",RANK(G1191,$G$2:$G$1514,0))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IF(G1192="","",G1192/SUM($G$2:$G$1514))</f>
        <v/>
      </c>
      <c r="I1192" s="4" t="str">
        <f aca="false">IF(G1192="","",RANK(G1192,$G$2:$G$1514,0))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IF(G1193="","",G1193/SUM($G$2:$G$1514))</f>
        <v/>
      </c>
      <c r="I1193" s="4" t="str">
        <f aca="false">IF(G1193="","",RANK(G1193,$G$2:$G$1514,0))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IF(G1194="","",G1194/SUM($G$2:$G$1514))</f>
        <v/>
      </c>
      <c r="I1194" s="4" t="str">
        <f aca="false">IF(G1194="","",RANK(G1194,$G$2:$G$1514,0))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IF(G1195="","",G1195/SUM($G$2:$G$1514))</f>
        <v/>
      </c>
      <c r="I1195" s="4" t="str">
        <f aca="false">IF(G1195="","",RANK(G1195,$G$2:$G$1514,0))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IF(G1196="","",G1196/SUM($G$2:$G$1514))</f>
        <v/>
      </c>
      <c r="I1196" s="4" t="str">
        <f aca="false">IF(G1196="","",RANK(G1196,$G$2:$G$1514,0))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IF(G1197="","",G1197/SUM($G$2:$G$1514))</f>
        <v/>
      </c>
      <c r="I1197" s="4" t="str">
        <f aca="false">IF(G1197="","",RANK(G1197,$G$2:$G$1514,0))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IF(G1198="","",G1198/SUM($G$2:$G$1514))</f>
        <v/>
      </c>
      <c r="I1198" s="4" t="str">
        <f aca="false">IF(G1198="","",RANK(G1198,$G$2:$G$1514,0))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IF(G1199="","",G1199/SUM($G$2:$G$1514))</f>
        <v/>
      </c>
      <c r="I1199" s="4" t="str">
        <f aca="false">IF(G1199="","",RANK(G1199,$G$2:$G$1514,0))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IF(G1200="","",G1200/SUM($G$2:$G$1514))</f>
        <v/>
      </c>
      <c r="I1200" s="4" t="str">
        <f aca="false">IF(G1200="","",RANK(G1200,$G$2:$G$1514,0))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IF(G1201="","",G1201/SUM($G$2:$G$1514))</f>
        <v/>
      </c>
      <c r="I1201" s="4" t="str">
        <f aca="false">IF(G1201="","",RANK(G1201,$G$2:$G$1514,0))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IF(G1202="","",G1202/SUM($G$2:$G$1514))</f>
        <v/>
      </c>
      <c r="I1202" s="4" t="str">
        <f aca="false">IF(G1202="","",RANK(G1202,$G$2:$G$1514,0))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IF(G1203="","",G1203/SUM($G$2:$G$1514))</f>
        <v/>
      </c>
      <c r="I1203" s="4" t="str">
        <f aca="false">IF(G1203="","",RANK(G1203,$G$2:$G$1514,0))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IF(G1204="","",G1204/SUM($G$2:$G$1514))</f>
        <v/>
      </c>
      <c r="I1204" s="4" t="str">
        <f aca="false">IF(G1204="","",RANK(G1204,$G$2:$G$1514,0))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IF(G1205="","",G1205/SUM($G$2:$G$1514))</f>
        <v/>
      </c>
      <c r="I1205" s="4" t="str">
        <f aca="false">IF(G1205="","",RANK(G1205,$G$2:$G$1514,0))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IF(G1206="","",G1206/SUM($G$2:$G$1514))</f>
        <v/>
      </c>
      <c r="I1206" s="4" t="str">
        <f aca="false">IF(G1206="","",RANK(G1206,$G$2:$G$1514,0))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IF(G1207="","",G1207/SUM($G$2:$G$1514))</f>
        <v/>
      </c>
      <c r="I1207" s="4" t="str">
        <f aca="false">IF(G1207="","",RANK(G1207,$G$2:$G$1514,0))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IF(G1208="","",G1208/SUM($G$2:$G$1514))</f>
        <v/>
      </c>
      <c r="I1208" s="4" t="str">
        <f aca="false">IF(G1208="","",RANK(G1208,$G$2:$G$1514,0))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IF(G1209="","",G1209/SUM($G$2:$G$1514))</f>
        <v/>
      </c>
      <c r="I1209" s="4" t="str">
        <f aca="false">IF(G1209="","",RANK(G1209,$G$2:$G$1514,0))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IF(G1210="","",G1210/SUM($G$2:$G$1514))</f>
        <v/>
      </c>
      <c r="I1210" s="4" t="str">
        <f aca="false">IF(G1210="","",RANK(G1210,$G$2:$G$1514,0))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IF(G1211="","",G1211/SUM($G$2:$G$1514))</f>
        <v/>
      </c>
      <c r="I1211" s="4" t="str">
        <f aca="false">IF(G1211="","",RANK(G1211,$G$2:$G$1514,0))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IF(G1212="","",G1212/SUM($G$2:$G$1514))</f>
        <v/>
      </c>
      <c r="I1212" s="4" t="str">
        <f aca="false">IF(G1212="","",RANK(G1212,$G$2:$G$1514,0))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IF(G1213="","",G1213/SUM($G$2:$G$1514))</f>
        <v/>
      </c>
      <c r="I1213" s="4" t="str">
        <f aca="false">IF(G1213="","",RANK(G1213,$G$2:$G$1514,0))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IF(G1214="","",G1214/SUM($G$2:$G$1514))</f>
        <v/>
      </c>
      <c r="I1214" s="4" t="str">
        <f aca="false">IF(G1214="","",RANK(G1214,$G$2:$G$1514,0))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IF(G1215="","",G1215/SUM($G$2:$G$1514))</f>
        <v/>
      </c>
      <c r="I1215" s="4" t="str">
        <f aca="false">IF(G1215="","",RANK(G1215,$G$2:$G$1514,0))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IF(G1216="","",G1216/SUM($G$2:$G$1514))</f>
        <v/>
      </c>
      <c r="I1216" s="4" t="str">
        <f aca="false">IF(G1216="","",RANK(G1216,$G$2:$G$1514,0))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IF(G1217="","",G1217/SUM($G$2:$G$1514))</f>
        <v/>
      </c>
      <c r="I1217" s="4" t="str">
        <f aca="false">IF(G1217="","",RANK(G1217,$G$2:$G$1514,0))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IF(G1218="","",G1218/SUM($G$2:$G$1514))</f>
        <v/>
      </c>
      <c r="I1218" s="4" t="str">
        <f aca="false">IF(G1218="","",RANK(G1218,$G$2:$G$1514,0))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IF(G1219="","",G1219/SUM($G$2:$G$1514))</f>
        <v/>
      </c>
      <c r="I1219" s="4" t="str">
        <f aca="false">IF(G1219="","",RANK(G1219,$G$2:$G$1514,0))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IF(G1220="","",G1220/SUM($G$2:$G$1514))</f>
        <v/>
      </c>
      <c r="I1220" s="4" t="str">
        <f aca="false">IF(G1220="","",RANK(G1220,$G$2:$G$1514,0))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IF(G1221="","",G1221/SUM($G$2:$G$1514))</f>
        <v/>
      </c>
      <c r="I1221" s="4" t="str">
        <f aca="false">IF(G1221="","",RANK(G1221,$G$2:$G$1514,0))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IF(G1222="","",G1222/SUM($G$2:$G$1514))</f>
        <v/>
      </c>
      <c r="I1222" s="4" t="str">
        <f aca="false">IF(G1222="","",RANK(G1222,$G$2:$G$1514,0))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IF(G1223="","",G1223/SUM($G$2:$G$1514))</f>
        <v/>
      </c>
      <c r="I1223" s="4" t="str">
        <f aca="false">IF(G1223="","",RANK(G1223,$G$2:$G$1514,0))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IF(G1224="","",G1224/SUM($G$2:$G$1514))</f>
        <v/>
      </c>
      <c r="I1224" s="4" t="str">
        <f aca="false">IF(G1224="","",RANK(G1224,$G$2:$G$1514,0))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IF(G1225="","",G1225/SUM($G$2:$G$1514))</f>
        <v/>
      </c>
      <c r="I1225" s="4" t="str">
        <f aca="false">IF(G1225="","",RANK(G1225,$G$2:$G$1514,0))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IF(G1226="","",G1226/SUM($G$2:$G$1514))</f>
        <v/>
      </c>
      <c r="I1226" s="4" t="str">
        <f aca="false">IF(G1226="","",RANK(G1226,$G$2:$G$1514,0))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IF(G1227="","",G1227/SUM($G$2:$G$1514))</f>
        <v/>
      </c>
      <c r="I1227" s="4" t="str">
        <f aca="false">IF(G1227="","",RANK(G1227,$G$2:$G$1514,0))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IF(G1228="","",G1228/SUM($G$2:$G$1514))</f>
        <v/>
      </c>
      <c r="I1228" s="4" t="str">
        <f aca="false">IF(G1228="","",RANK(G1228,$G$2:$G$1514,0))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IF(G1229="","",G1229/SUM($G$2:$G$1514))</f>
        <v/>
      </c>
      <c r="I1229" s="4" t="str">
        <f aca="false">IF(G1229="","",RANK(G1229,$G$2:$G$1514,0))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IF(G1230="","",G1230/SUM($G$2:$G$1514))</f>
        <v/>
      </c>
      <c r="I1230" s="4" t="str">
        <f aca="false">IF(G1230="","",RANK(G1230,$G$2:$G$1514,0))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IF(G1231="","",G1231/SUM($G$2:$G$1514))</f>
        <v/>
      </c>
      <c r="I1231" s="4" t="str">
        <f aca="false">IF(G1231="","",RANK(G1231,$G$2:$G$1514,0))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IF(G1232="","",G1232/SUM($G$2:$G$1514))</f>
        <v/>
      </c>
      <c r="I1232" s="4" t="str">
        <f aca="false">IF(G1232="","",RANK(G1232,$G$2:$G$1514,0))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IF(G1233="","",G1233/SUM($G$2:$G$1514))</f>
        <v/>
      </c>
      <c r="I1233" s="4" t="str">
        <f aca="false">IF(G1233="","",RANK(G1233,$G$2:$G$1514,0))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IF(G1234="","",G1234/SUM($G$2:$G$1514))</f>
        <v/>
      </c>
      <c r="I1234" s="4" t="str">
        <f aca="false">IF(G1234="","",RANK(G1234,$G$2:$G$1514,0))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IF(G1235="","",G1235/SUM($G$2:$G$1514))</f>
        <v/>
      </c>
      <c r="I1235" s="4" t="str">
        <f aca="false">IF(G1235="","",RANK(G1235,$G$2:$G$1514,0))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IF(G1236="","",G1236/SUM($G$2:$G$1514))</f>
        <v/>
      </c>
      <c r="I1236" s="4" t="str">
        <f aca="false">IF(G1236="","",RANK(G1236,$G$2:$G$1514,0))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IF(G1237="","",G1237/SUM($G$2:$G$1514))</f>
        <v/>
      </c>
      <c r="I1237" s="4" t="str">
        <f aca="false">IF(G1237="","",RANK(G1237,$G$2:$G$1514,0))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IF(G1238="","",G1238/SUM($G$2:$G$1514))</f>
        <v/>
      </c>
      <c r="I1238" s="4" t="str">
        <f aca="false">IF(G1238="","",RANK(G1238,$G$2:$G$1514,0))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IF(G1239="","",G1239/SUM($G$2:$G$1514))</f>
        <v/>
      </c>
      <c r="I1239" s="4" t="str">
        <f aca="false">IF(G1239="","",RANK(G1239,$G$2:$G$1514,0))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IF(G1240="","",G1240/SUM($G$2:$G$1514))</f>
        <v/>
      </c>
      <c r="I1240" s="4" t="str">
        <f aca="false">IF(G1240="","",RANK(G1240,$G$2:$G$1514,0))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IF(G1241="","",G1241/SUM($G$2:$G$1514))</f>
        <v/>
      </c>
      <c r="I1241" s="4" t="str">
        <f aca="false">IF(G1241="","",RANK(G1241,$G$2:$G$1514,0))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IF(G1242="","",G1242/SUM($G$2:$G$1514))</f>
        <v/>
      </c>
      <c r="I1242" s="4" t="str">
        <f aca="false">IF(G1242="","",RANK(G1242,$G$2:$G$1514,0))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IF(G1243="","",G1243/SUM($G$2:$G$1514))</f>
        <v/>
      </c>
      <c r="I1243" s="4" t="str">
        <f aca="false">IF(G1243="","",RANK(G1243,$G$2:$G$1514,0))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IF(G1244="","",G1244/SUM($G$2:$G$1514))</f>
        <v/>
      </c>
      <c r="I1244" s="4" t="str">
        <f aca="false">IF(G1244="","",RANK(G1244,$G$2:$G$1514,0))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IF(G1245="","",G1245/SUM($G$2:$G$1514))</f>
        <v/>
      </c>
      <c r="I1245" s="4" t="str">
        <f aca="false">IF(G1245="","",RANK(G1245,$G$2:$G$1514,0))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IF(G1246="","",G1246/SUM($G$2:$G$1514))</f>
        <v/>
      </c>
      <c r="I1246" s="4" t="str">
        <f aca="false">IF(G1246="","",RANK(G1246,$G$2:$G$1514,0))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IF(G1247="","",G1247/SUM($G$2:$G$1514))</f>
        <v/>
      </c>
      <c r="I1247" s="4" t="str">
        <f aca="false">IF(G1247="","",RANK(G1247,$G$2:$G$1514,0))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IF(G1248="","",G1248/SUM($G$2:$G$1514))</f>
        <v/>
      </c>
      <c r="I1248" s="4" t="str">
        <f aca="false">IF(G1248="","",RANK(G1248,$G$2:$G$1514,0))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IF(G1249="","",G1249/SUM($G$2:$G$1514))</f>
        <v/>
      </c>
      <c r="I1249" s="4" t="str">
        <f aca="false">IF(G1249="","",RANK(G1249,$G$2:$G$1514,0))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IF(G1250="","",G1250/SUM($G$2:$G$1514))</f>
        <v/>
      </c>
      <c r="I1250" s="4" t="str">
        <f aca="false">IF(G1250="","",RANK(G1250,$G$2:$G$1514,0))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IF(G1251="","",G1251/SUM($G$2:$G$1514))</f>
        <v/>
      </c>
      <c r="I1251" s="4" t="str">
        <f aca="false">IF(G1251="","",RANK(G1251,$G$2:$G$1514,0))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IF(G1252="","",G1252/SUM($G$2:$G$1514))</f>
        <v/>
      </c>
      <c r="I1252" s="4" t="str">
        <f aca="false">IF(G1252="","",RANK(G1252,$G$2:$G$1514,0))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IF(G1253="","",G1253/SUM($G$2:$G$1514))</f>
        <v/>
      </c>
      <c r="I1253" s="4" t="str">
        <f aca="false">IF(G1253="","",RANK(G1253,$G$2:$G$1514,0))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IF(G1254="","",G1254/SUM($G$2:$G$1514))</f>
        <v/>
      </c>
      <c r="I1254" s="4" t="str">
        <f aca="false">IF(G1254="","",RANK(G1254,$G$2:$G$1514,0))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IF(G1255="","",G1255/SUM($G$2:$G$1514))</f>
        <v/>
      </c>
      <c r="I1255" s="4" t="str">
        <f aca="false">IF(G1255="","",RANK(G1255,$G$2:$G$1514,0))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IF(G1256="","",G1256/SUM($G$2:$G$1514))</f>
        <v/>
      </c>
      <c r="I1256" s="4" t="str">
        <f aca="false">IF(G1256="","",RANK(G1256,$G$2:$G$1514,0))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IF(G1257="","",G1257/SUM($G$2:$G$1514))</f>
        <v/>
      </c>
      <c r="I1257" s="4" t="str">
        <f aca="false">IF(G1257="","",RANK(G1257,$G$2:$G$1514,0))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IF(G1258="","",G1258/SUM($G$2:$G$1514))</f>
        <v/>
      </c>
      <c r="I1258" s="4" t="str">
        <f aca="false">IF(G1258="","",RANK(G1258,$G$2:$G$1514,0))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IF(G1259="","",G1259/SUM($G$2:$G$1514))</f>
        <v/>
      </c>
      <c r="I1259" s="4" t="str">
        <f aca="false">IF(G1259="","",RANK(G1259,$G$2:$G$1514,0))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IF(G1260="","",G1260/SUM($G$2:$G$1514))</f>
        <v/>
      </c>
      <c r="I1260" s="4" t="str">
        <f aca="false">IF(G1260="","",RANK(G1260,$G$2:$G$1514,0))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IF(G1261="","",G1261/SUM($G$2:$G$1514))</f>
        <v/>
      </c>
      <c r="I1261" s="4" t="str">
        <f aca="false">IF(G1261="","",RANK(G1261,$G$2:$G$1514,0))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IF(G1262="","",G1262/SUM($G$2:$G$1514))</f>
        <v/>
      </c>
      <c r="I1262" s="4" t="str">
        <f aca="false">IF(G1262="","",RANK(G1262,$G$2:$G$1514,0))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IF(G1263="","",G1263/SUM($G$2:$G$1514))</f>
        <v/>
      </c>
      <c r="I1263" s="4" t="str">
        <f aca="false">IF(G1263="","",RANK(G1263,$G$2:$G$1514,0))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IF(G1264="","",G1264/SUM($G$2:$G$1514))</f>
        <v/>
      </c>
      <c r="I1264" s="4" t="str">
        <f aca="false">IF(G1264="","",RANK(G1264,$G$2:$G$1514,0))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IF(G1265="","",G1265/SUM($G$2:$G$1514))</f>
        <v/>
      </c>
      <c r="I1265" s="4" t="str">
        <f aca="false">IF(G1265="","",RANK(G1265,$G$2:$G$1514,0))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IF(G1266="","",G1266/SUM($G$2:$G$1514))</f>
        <v/>
      </c>
      <c r="I1266" s="4" t="str">
        <f aca="false">IF(G1266="","",RANK(G1266,$G$2:$G$1514,0))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IF(G1267="","",G1267/SUM($G$2:$G$1514))</f>
        <v/>
      </c>
      <c r="I1267" s="4" t="str">
        <f aca="false">IF(G1267="","",RANK(G1267,$G$2:$G$1514,0))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IF(G1268="","",G1268/SUM($G$2:$G$1514))</f>
        <v/>
      </c>
      <c r="I1268" s="4" t="str">
        <f aca="false">IF(G1268="","",RANK(G1268,$G$2:$G$1514,0))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IF(G1269="","",G1269/SUM($G$2:$G$1514))</f>
        <v/>
      </c>
      <c r="I1269" s="4" t="str">
        <f aca="false">IF(G1269="","",RANK(G1269,$G$2:$G$1514,0))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IF(G1270="","",G1270/SUM($G$2:$G$1514))</f>
        <v/>
      </c>
      <c r="I1270" s="4" t="str">
        <f aca="false">IF(G1270="","",RANK(G1270,$G$2:$G$1514,0))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IF(G1271="","",G1271/SUM($G$2:$G$1514))</f>
        <v/>
      </c>
      <c r="I1271" s="4" t="str">
        <f aca="false">IF(G1271="","",RANK(G1271,$G$2:$G$1514,0))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IF(G1272="","",G1272/SUM($G$2:$G$1514))</f>
        <v/>
      </c>
      <c r="I1272" s="4" t="str">
        <f aca="false">IF(G1272="","",RANK(G1272,$G$2:$G$1514,0))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IF(G1273="","",G1273/SUM($G$2:$G$1514))</f>
        <v/>
      </c>
      <c r="I1273" s="4" t="str">
        <f aca="false">IF(G1273="","",RANK(G1273,$G$2:$G$1514,0))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IF(G1274="","",G1274/SUM($G$2:$G$1514))</f>
        <v/>
      </c>
      <c r="I1274" s="4" t="str">
        <f aca="false">IF(G1274="","",RANK(G1274,$G$2:$G$1514,0))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IF(G1275="","",G1275/SUM($G$2:$G$1514))</f>
        <v/>
      </c>
      <c r="I1275" s="4" t="str">
        <f aca="false">IF(G1275="","",RANK(G1275,$G$2:$G$1514,0))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IF(G1276="","",G1276/SUM($G$2:$G$1514))</f>
        <v/>
      </c>
      <c r="I1276" s="4" t="str">
        <f aca="false">IF(G1276="","",RANK(G1276,$G$2:$G$1514,0))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IF(G1277="","",G1277/SUM($G$2:$G$1514))</f>
        <v/>
      </c>
      <c r="I1277" s="4" t="str">
        <f aca="false">IF(G1277="","",RANK(G1277,$G$2:$G$1514,0))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IF(G1278="","",G1278/SUM($G$2:$G$1514))</f>
        <v/>
      </c>
      <c r="I1278" s="4" t="str">
        <f aca="false">IF(G1278="","",RANK(G1278,$G$2:$G$1514,0))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IF(G1279="","",G1279/SUM($G$2:$G$1514))</f>
        <v/>
      </c>
      <c r="I1279" s="4" t="str">
        <f aca="false">IF(G1279="","",RANK(G1279,$G$2:$G$1514,0))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IF(G1280="","",G1280/SUM($G$2:$G$1514))</f>
        <v/>
      </c>
      <c r="I1280" s="4" t="str">
        <f aca="false">IF(G1280="","",RANK(G1280,$G$2:$G$1514,0))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IF(G1281="","",G1281/SUM($G$2:$G$1514))</f>
        <v/>
      </c>
      <c r="I1281" s="4" t="str">
        <f aca="false">IF(G1281="","",RANK(G1281,$G$2:$G$1514,0))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IF(G1282="","",G1282/SUM($G$2:$G$1514))</f>
        <v/>
      </c>
      <c r="I1282" s="4" t="str">
        <f aca="false">IF(G1282="","",RANK(G1282,$G$2:$G$1514,0))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IF(G1283="","",G1283/SUM($G$2:$G$1514))</f>
        <v/>
      </c>
      <c r="I1283" s="4" t="str">
        <f aca="false">IF(G1283="","",RANK(G1283,$G$2:$G$1514,0))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IF(G1284="","",G1284/SUM($G$2:$G$1514))</f>
        <v/>
      </c>
      <c r="I1284" s="4" t="str">
        <f aca="false">IF(G1284="","",RANK(G1284,$G$2:$G$1514,0))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IF(G1285="","",G1285/SUM($G$2:$G$1514))</f>
        <v/>
      </c>
      <c r="I1285" s="4" t="str">
        <f aca="false">IF(G1285="","",RANK(G1285,$G$2:$G$1514,0))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IF(G1286="","",G1286/SUM($G$2:$G$1514))</f>
        <v/>
      </c>
      <c r="I1286" s="4" t="str">
        <f aca="false">IF(G1286="","",RANK(G1286,$G$2:$G$1514,0))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IF(G1287="","",G1287/SUM($G$2:$G$1514))</f>
        <v/>
      </c>
      <c r="I1287" s="4" t="str">
        <f aca="false">IF(G1287="","",RANK(G1287,$G$2:$G$1514,0))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IF(G1288="","",G1288/SUM($G$2:$G$1514))</f>
        <v/>
      </c>
      <c r="I1288" s="4" t="str">
        <f aca="false">IF(G1288="","",RANK(G1288,$G$2:$G$1514,0))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IF(G1289="","",G1289/SUM($G$2:$G$1514))</f>
        <v/>
      </c>
      <c r="I1289" s="4" t="str">
        <f aca="false">IF(G1289="","",RANK(G1289,$G$2:$G$1514,0))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IF(G1290="","",G1290/SUM($G$2:$G$1514))</f>
        <v/>
      </c>
      <c r="I1290" s="4" t="str">
        <f aca="false">IF(G1290="","",RANK(G1290,$G$2:$G$1514,0))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IF(G1291="","",G1291/SUM($G$2:$G$1514))</f>
        <v/>
      </c>
      <c r="I1291" s="4" t="str">
        <f aca="false">IF(G1291="","",RANK(G1291,$G$2:$G$1514,0))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IF(G1292="","",G1292/SUM($G$2:$G$1514))</f>
        <v/>
      </c>
      <c r="I1292" s="4" t="str">
        <f aca="false">IF(G1292="","",RANK(G1292,$G$2:$G$1514,0))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IF(G1293="","",G1293/SUM($G$2:$G$1514))</f>
        <v/>
      </c>
      <c r="I1293" s="4" t="str">
        <f aca="false">IF(G1293="","",RANK(G1293,$G$2:$G$1514,0))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IF(G1294="","",G1294/SUM($G$2:$G$1514))</f>
        <v/>
      </c>
      <c r="I1294" s="4" t="str">
        <f aca="false">IF(G1294="","",RANK(G1294,$G$2:$G$1514,0))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IF(G1295="","",G1295/SUM($G$2:$G$1514))</f>
        <v/>
      </c>
      <c r="I1295" s="4" t="str">
        <f aca="false">IF(G1295="","",RANK(G1295,$G$2:$G$1514,0))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IF(G1296="","",G1296/SUM($G$2:$G$1514))</f>
        <v/>
      </c>
      <c r="I1296" s="4" t="str">
        <f aca="false">IF(G1296="","",RANK(G1296,$G$2:$G$1514,0))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IF(G1297="","",G1297/SUM($G$2:$G$1514))</f>
        <v/>
      </c>
      <c r="I1297" s="4" t="str">
        <f aca="false">IF(G1297="","",RANK(G1297,$G$2:$G$1514,0))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IF(G1298="","",G1298/SUM($G$2:$G$1514))</f>
        <v/>
      </c>
      <c r="I1298" s="4" t="str">
        <f aca="false">IF(G1298="","",RANK(G1298,$G$2:$G$1514,0))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IF(G1299="","",G1299/SUM($G$2:$G$1514))</f>
        <v/>
      </c>
      <c r="I1299" s="4" t="str">
        <f aca="false">IF(G1299="","",RANK(G1299,$G$2:$G$1514,0))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IF(G1300="","",G1300/SUM($G$2:$G$1514))</f>
        <v/>
      </c>
      <c r="I1300" s="4" t="str">
        <f aca="false">IF(G1300="","",RANK(G1300,$G$2:$G$1514,0))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IF(G1301="","",G1301/SUM($G$2:$G$1514))</f>
        <v/>
      </c>
      <c r="I1301" s="4" t="str">
        <f aca="false">IF(G1301="","",RANK(G1301,$G$2:$G$1514,0))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IF(G1302="","",G1302/SUM($G$2:$G$1514))</f>
        <v/>
      </c>
      <c r="I1302" s="4" t="str">
        <f aca="false">IF(G1302="","",RANK(G1302,$G$2:$G$1514,0))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IF(G1303="","",G1303/SUM($G$2:$G$1514))</f>
        <v/>
      </c>
      <c r="I1303" s="4" t="str">
        <f aca="false">IF(G1303="","",RANK(G1303,$G$2:$G$1514,0))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IF(G1304="","",G1304/SUM($G$2:$G$1514))</f>
        <v/>
      </c>
      <c r="I1304" s="4" t="str">
        <f aca="false">IF(G1304="","",RANK(G1304,$G$2:$G$1514,0))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IF(G1305="","",G1305/SUM($G$2:$G$1514))</f>
        <v/>
      </c>
      <c r="I1305" s="4" t="str">
        <f aca="false">IF(G1305="","",RANK(G1305,$G$2:$G$1514,0))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IF(G1306="","",G1306/SUM($G$2:$G$1514))</f>
        <v/>
      </c>
      <c r="I1306" s="4" t="str">
        <f aca="false">IF(G1306="","",RANK(G1306,$G$2:$G$1514,0))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IF(G1307="","",G1307/SUM($G$2:$G$1514))</f>
        <v/>
      </c>
      <c r="I1307" s="4" t="str">
        <f aca="false">IF(G1307="","",RANK(G1307,$G$2:$G$1514,0))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IF(G1308="","",G1308/SUM($G$2:$G$1514))</f>
        <v/>
      </c>
      <c r="I1308" s="4" t="str">
        <f aca="false">IF(G1308="","",RANK(G1308,$G$2:$G$1514,0))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IF(G1309="","",G1309/SUM($G$2:$G$1514))</f>
        <v/>
      </c>
      <c r="I1309" s="4" t="str">
        <f aca="false">IF(G1309="","",RANK(G1309,$G$2:$G$1514,0))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IF(G1310="","",G1310/SUM($G$2:$G$1514))</f>
        <v/>
      </c>
      <c r="I1310" s="4" t="str">
        <f aca="false">IF(G1310="","",RANK(G1310,$G$2:$G$1514,0))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IF(G1311="","",G1311/SUM($G$2:$G$1514))</f>
        <v/>
      </c>
      <c r="I1311" s="4" t="str">
        <f aca="false">IF(G1311="","",RANK(G1311,$G$2:$G$1514,0))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IF(G1312="","",G1312/SUM($G$2:$G$1514))</f>
        <v/>
      </c>
      <c r="I1312" s="4" t="str">
        <f aca="false">IF(G1312="","",RANK(G1312,$G$2:$G$1514,0))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IF(G1313="","",G1313/SUM($G$2:$G$1514))</f>
        <v/>
      </c>
      <c r="I1313" s="4" t="str">
        <f aca="false">IF(G1313="","",RANK(G1313,$G$2:$G$1514,0))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IF(G1314="","",G1314/SUM($G$2:$G$1514))</f>
        <v/>
      </c>
      <c r="I1314" s="4" t="str">
        <f aca="false">IF(G1314="","",RANK(G1314,$G$2:$G$1514,0))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IF(G1315="","",G1315/SUM($G$2:$G$1514))</f>
        <v/>
      </c>
      <c r="I1315" s="4" t="str">
        <f aca="false">IF(G1315="","",RANK(G1315,$G$2:$G$1514,0))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IF(G1316="","",G1316/SUM($G$2:$G$1514))</f>
        <v/>
      </c>
      <c r="I1316" s="4" t="str">
        <f aca="false">IF(G1316="","",RANK(G1316,$G$2:$G$1514,0))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IF(G1317="","",G1317/SUM($G$2:$G$1514))</f>
        <v/>
      </c>
      <c r="I1317" s="4" t="str">
        <f aca="false">IF(G1317="","",RANK(G1317,$G$2:$G$1514,0))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IF(G1318="","",G1318/SUM($G$2:$G$1514))</f>
        <v/>
      </c>
      <c r="I1318" s="4" t="str">
        <f aca="false">IF(G1318="","",RANK(G1318,$G$2:$G$1514,0))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IF(G1319="","",G1319/SUM($G$2:$G$1514))</f>
        <v/>
      </c>
      <c r="I1319" s="4" t="str">
        <f aca="false">IF(G1319="","",RANK(G1319,$G$2:$G$1514,0))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IF(G1320="","",G1320/SUM($G$2:$G$1514))</f>
        <v/>
      </c>
      <c r="I1320" s="4" t="str">
        <f aca="false">IF(G1320="","",RANK(G1320,$G$2:$G$1514,0))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IF(G1321="","",G1321/SUM($G$2:$G$1514))</f>
        <v/>
      </c>
      <c r="I1321" s="4" t="str">
        <f aca="false">IF(G1321="","",RANK(G1321,$G$2:$G$1514,0))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IF(G1322="","",G1322/SUM($G$2:$G$1514))</f>
        <v/>
      </c>
      <c r="I1322" s="4" t="str">
        <f aca="false">IF(G1322="","",RANK(G1322,$G$2:$G$1514,0))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IF(G1323="","",G1323/SUM($G$2:$G$1514))</f>
        <v/>
      </c>
      <c r="I1323" s="4" t="str">
        <f aca="false">IF(G1323="","",RANK(G1323,$G$2:$G$1514,0))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IF(G1324="","",G1324/SUM($G$2:$G$1514))</f>
        <v/>
      </c>
      <c r="I1324" s="4" t="str">
        <f aca="false">IF(G1324="","",RANK(G1324,$G$2:$G$1514,0))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IF(G1325="","",G1325/SUM($G$2:$G$1514))</f>
        <v/>
      </c>
      <c r="I1325" s="4" t="str">
        <f aca="false">IF(G1325="","",RANK(G1325,$G$2:$G$1514,0))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IF(G1326="","",G1326/SUM($G$2:$G$1514))</f>
        <v/>
      </c>
      <c r="I1326" s="4" t="str">
        <f aca="false">IF(G1326="","",RANK(G1326,$G$2:$G$1514,0))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IF(G1327="","",G1327/SUM($G$2:$G$1514))</f>
        <v/>
      </c>
      <c r="I1327" s="4" t="str">
        <f aca="false">IF(G1327="","",RANK(G1327,$G$2:$G$1514,0))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IF(G1328="","",G1328/SUM($G$2:$G$1514))</f>
        <v/>
      </c>
      <c r="I1328" s="4" t="str">
        <f aca="false">IF(G1328="","",RANK(G1328,$G$2:$G$1514,0))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IF(G1329="","",G1329/SUM($G$2:$G$1514))</f>
        <v/>
      </c>
      <c r="I1329" s="4" t="str">
        <f aca="false">IF(G1329="","",RANK(G1329,$G$2:$G$1514,0))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IF(G1330="","",G1330/SUM($G$2:$G$1514))</f>
        <v/>
      </c>
      <c r="I1330" s="4" t="str">
        <f aca="false">IF(G1330="","",RANK(G1330,$G$2:$G$1514,0))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IF(G1331="","",G1331/SUM($G$2:$G$1514))</f>
        <v/>
      </c>
      <c r="I1331" s="4" t="str">
        <f aca="false">IF(G1331="","",RANK(G1331,$G$2:$G$1514,0))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IF(G1332="","",G1332/SUM($G$2:$G$1514))</f>
        <v/>
      </c>
      <c r="I1332" s="4" t="str">
        <f aca="false">IF(G1332="","",RANK(G1332,$G$2:$G$1514,0))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IF(G1333="","",G1333/SUM($G$2:$G$1514))</f>
        <v/>
      </c>
      <c r="I1333" s="4" t="str">
        <f aca="false">IF(G1333="","",RANK(G1333,$G$2:$G$1514,0))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IF(G1334="","",G1334/SUM($G$2:$G$1514))</f>
        <v/>
      </c>
      <c r="I1334" s="4" t="str">
        <f aca="false">IF(G1334="","",RANK(G1334,$G$2:$G$1514,0))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IF(G1335="","",G1335/SUM($G$2:$G$1514))</f>
        <v/>
      </c>
      <c r="I1335" s="4" t="str">
        <f aca="false">IF(G1335="","",RANK(G1335,$G$2:$G$1514,0))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IF(G1336="","",G1336/SUM($G$2:$G$1514))</f>
        <v/>
      </c>
      <c r="I1336" s="4" t="str">
        <f aca="false">IF(G1336="","",RANK(G1336,$G$2:$G$1514,0))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IF(G1337="","",G1337/SUM($G$2:$G$1514))</f>
        <v/>
      </c>
      <c r="I1337" s="4" t="str">
        <f aca="false">IF(G1337="","",RANK(G1337,$G$2:$G$1514,0))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IF(G1338="","",G1338/SUM($G$2:$G$1514))</f>
        <v/>
      </c>
      <c r="I1338" s="4" t="str">
        <f aca="false">IF(G1338="","",RANK(G1338,$G$2:$G$1514,0))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IF(G1339="","",G1339/SUM($G$2:$G$1514))</f>
        <v/>
      </c>
      <c r="I1339" s="4" t="str">
        <f aca="false">IF(G1339="","",RANK(G1339,$G$2:$G$1514,0))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IF(G1340="","",G1340/SUM($G$2:$G$1514))</f>
        <v/>
      </c>
      <c r="I1340" s="4" t="str">
        <f aca="false">IF(G1340="","",RANK(G1340,$G$2:$G$1514,0))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IF(G1341="","",G1341/SUM($G$2:$G$1514))</f>
        <v/>
      </c>
      <c r="I1341" s="4" t="str">
        <f aca="false">IF(G1341="","",RANK(G1341,$G$2:$G$1514,0))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IF(G1342="","",G1342/SUM($G$2:$G$1514))</f>
        <v/>
      </c>
      <c r="I1342" s="4" t="str">
        <f aca="false">IF(G1342="","",RANK(G1342,$G$2:$G$1514,0))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IF(G1343="","",G1343/SUM($G$2:$G$1514))</f>
        <v/>
      </c>
      <c r="I1343" s="4" t="str">
        <f aca="false">IF(G1343="","",RANK(G1343,$G$2:$G$1514,0))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IF(G1344="","",G1344/SUM($G$2:$G$1514))</f>
        <v/>
      </c>
      <c r="I1344" s="4" t="str">
        <f aca="false">IF(G1344="","",RANK(G1344,$G$2:$G$1514,0))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IF(G1345="","",G1345/SUM($G$2:$G$1514))</f>
        <v/>
      </c>
      <c r="I1345" s="4" t="str">
        <f aca="false">IF(G1345="","",RANK(G1345,$G$2:$G$1514,0))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IF(G1346="","",G1346/SUM($G$2:$G$1514))</f>
        <v/>
      </c>
      <c r="I1346" s="4" t="str">
        <f aca="false">IF(G1346="","",RANK(G1346,$G$2:$G$1514,0))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IF(G1347="","",G1347/SUM($G$2:$G$1514))</f>
        <v/>
      </c>
      <c r="I1347" s="4" t="str">
        <f aca="false">IF(G1347="","",RANK(G1347,$G$2:$G$1514,0))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IF(G1348="","",G1348/SUM($G$2:$G$1514))</f>
        <v/>
      </c>
      <c r="I1348" s="4" t="str">
        <f aca="false">IF(G1348="","",RANK(G1348,$G$2:$G$1514,0))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IF(G1349="","",G1349/SUM($G$2:$G$1514))</f>
        <v/>
      </c>
      <c r="I1349" s="4" t="str">
        <f aca="false">IF(G1349="","",RANK(G1349,$G$2:$G$1514,0))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IF(G1350="","",G1350/SUM($G$2:$G$1514))</f>
        <v/>
      </c>
      <c r="I1350" s="4" t="str">
        <f aca="false">IF(G1350="","",RANK(G1350,$G$2:$G$1514,0))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IF(G1351="","",G1351/SUM($G$2:$G$1514))</f>
        <v/>
      </c>
      <c r="I1351" s="4" t="str">
        <f aca="false">IF(G1351="","",RANK(G1351,$G$2:$G$1514,0))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IF(G1352="","",G1352/SUM($G$2:$G$1514))</f>
        <v/>
      </c>
      <c r="I1352" s="4" t="str">
        <f aca="false">IF(G1352="","",RANK(G1352,$G$2:$G$1514,0))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IF(G1353="","",G1353/SUM($G$2:$G$1514))</f>
        <v/>
      </c>
      <c r="I1353" s="4" t="str">
        <f aca="false">IF(G1353="","",RANK(G1353,$G$2:$G$1514,0))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IF(G1354="","",G1354/SUM($G$2:$G$1514))</f>
        <v/>
      </c>
      <c r="I1354" s="4" t="str">
        <f aca="false">IF(G1354="","",RANK(G1354,$G$2:$G$1514,0))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IF(G1355="","",G1355/SUM($G$2:$G$1514))</f>
        <v/>
      </c>
      <c r="I1355" s="4" t="str">
        <f aca="false">IF(G1355="","",RANK(G1355,$G$2:$G$1514,0))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IF(G1356="","",G1356/SUM($G$2:$G$1514))</f>
        <v/>
      </c>
      <c r="I1356" s="4" t="str">
        <f aca="false">IF(G1356="","",RANK(G1356,$G$2:$G$1514,0))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IF(G1357="","",G1357/SUM($G$2:$G$1514))</f>
        <v/>
      </c>
      <c r="I1357" s="4" t="str">
        <f aca="false">IF(G1357="","",RANK(G1357,$G$2:$G$1514,0))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IF(G1358="","",G1358/SUM($G$2:$G$1514))</f>
        <v/>
      </c>
      <c r="I1358" s="4" t="str">
        <f aca="false">IF(G1358="","",RANK(G1358,$G$2:$G$1514,0))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IF(G1359="","",G1359/SUM($G$2:$G$1514))</f>
        <v/>
      </c>
      <c r="I1359" s="4" t="str">
        <f aca="false">IF(G1359="","",RANK(G1359,$G$2:$G$1514,0))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IF(G1360="","",G1360/SUM($G$2:$G$1514))</f>
        <v/>
      </c>
      <c r="I1360" s="4" t="str">
        <f aca="false">IF(G1360="","",RANK(G1360,$G$2:$G$1514,0))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IF(G1361="","",G1361/SUM($G$2:$G$1514))</f>
        <v/>
      </c>
      <c r="I1361" s="4" t="str">
        <f aca="false">IF(G1361="","",RANK(G1361,$G$2:$G$1514,0))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IF(G1362="","",G1362/SUM($G$2:$G$1514))</f>
        <v/>
      </c>
      <c r="I1362" s="4" t="str">
        <f aca="false">IF(G1362="","",RANK(G1362,$G$2:$G$1514,0))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IF(G1363="","",G1363/SUM($G$2:$G$1514))</f>
        <v/>
      </c>
      <c r="I1363" s="4" t="str">
        <f aca="false">IF(G1363="","",RANK(G1363,$G$2:$G$1514,0))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IF(G1364="","",G1364/SUM($G$2:$G$1514))</f>
        <v/>
      </c>
      <c r="I1364" s="4" t="str">
        <f aca="false">IF(G1364="","",RANK(G1364,$G$2:$G$1514,0))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IF(G1365="","",G1365/SUM($G$2:$G$1514))</f>
        <v/>
      </c>
      <c r="I1365" s="4" t="str">
        <f aca="false">IF(G1365="","",RANK(G1365,$G$2:$G$1514,0))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IF(G1366="","",G1366/SUM($G$2:$G$1514))</f>
        <v/>
      </c>
      <c r="I1366" s="4" t="str">
        <f aca="false">IF(G1366="","",RANK(G1366,$G$2:$G$1514,0))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IF(G1367="","",G1367/SUM($G$2:$G$1514))</f>
        <v/>
      </c>
      <c r="I1367" s="4" t="str">
        <f aca="false">IF(G1367="","",RANK(G1367,$G$2:$G$1514,0))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IF(G1368="","",G1368/SUM($G$2:$G$1514))</f>
        <v/>
      </c>
      <c r="I1368" s="4" t="str">
        <f aca="false">IF(G1368="","",RANK(G1368,$G$2:$G$1514,0))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IF(G1369="","",G1369/SUM($G$2:$G$1514))</f>
        <v/>
      </c>
      <c r="I1369" s="4" t="str">
        <f aca="false">IF(G1369="","",RANK(G1369,$G$2:$G$1514,0))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IF(G1370="","",G1370/SUM($G$2:$G$1514))</f>
        <v/>
      </c>
      <c r="I1370" s="4" t="str">
        <f aca="false">IF(G1370="","",RANK(G1370,$G$2:$G$1514,0))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IF(G1371="","",G1371/SUM($G$2:$G$1514))</f>
        <v/>
      </c>
      <c r="I1371" s="4" t="str">
        <f aca="false">IF(G1371="","",RANK(G1371,$G$2:$G$1514,0))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IF(G1372="","",G1372/SUM($G$2:$G$1514))</f>
        <v/>
      </c>
      <c r="I1372" s="4" t="str">
        <f aca="false">IF(G1372="","",RANK(G1372,$G$2:$G$1514,0))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IF(G1373="","",G1373/SUM($G$2:$G$1514))</f>
        <v/>
      </c>
      <c r="I1373" s="4" t="str">
        <f aca="false">IF(G1373="","",RANK(G1373,$G$2:$G$1514,0))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IF(G1374="","",G1374/SUM($G$2:$G$1514))</f>
        <v/>
      </c>
      <c r="I1374" s="4" t="str">
        <f aca="false">IF(G1374="","",RANK(G1374,$G$2:$G$1514,0))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IF(G1375="","",G1375/SUM($G$2:$G$1514))</f>
        <v/>
      </c>
      <c r="I1375" s="4" t="str">
        <f aca="false">IF(G1375="","",RANK(G1375,$G$2:$G$1514,0))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IF(G1376="","",G1376/SUM($G$2:$G$1514))</f>
        <v/>
      </c>
      <c r="I1376" s="4" t="str">
        <f aca="false">IF(G1376="","",RANK(G1376,$G$2:$G$1514,0))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IF(G1377="","",G1377/SUM($G$2:$G$1514))</f>
        <v/>
      </c>
      <c r="I1377" s="4" t="str">
        <f aca="false">IF(G1377="","",RANK(G1377,$G$2:$G$1514,0))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IF(G1378="","",G1378/SUM($G$2:$G$1514))</f>
        <v/>
      </c>
      <c r="I1378" s="4" t="str">
        <f aca="false">IF(G1378="","",RANK(G1378,$G$2:$G$1514,0))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IF(G1379="","",G1379/SUM($G$2:$G$1514))</f>
        <v/>
      </c>
      <c r="I1379" s="4" t="str">
        <f aca="false">IF(G1379="","",RANK(G1379,$G$2:$G$1514,0))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IF(G1380="","",G1380/SUM($G$2:$G$1514))</f>
        <v/>
      </c>
      <c r="I1380" s="4" t="str">
        <f aca="false">IF(G1380="","",RANK(G1380,$G$2:$G$1514,0))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IF(G1381="","",G1381/SUM($G$2:$G$1514))</f>
        <v/>
      </c>
      <c r="I1381" s="4" t="str">
        <f aca="false">IF(G1381="","",RANK(G1381,$G$2:$G$1514,0))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IF(G1382="","",G1382/SUM($G$2:$G$1514))</f>
        <v/>
      </c>
      <c r="I1382" s="4" t="str">
        <f aca="false">IF(G1382="","",RANK(G1382,$G$2:$G$1514,0))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IF(G1383="","",G1383/SUM($G$2:$G$1514))</f>
        <v/>
      </c>
      <c r="I1383" s="4" t="str">
        <f aca="false">IF(G1383="","",RANK(G1383,$G$2:$G$1514,0))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IF(G1384="","",G1384/SUM($G$2:$G$1514))</f>
        <v/>
      </c>
      <c r="I1384" s="4" t="str">
        <f aca="false">IF(G1384="","",RANK(G1384,$G$2:$G$1514,0))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IF(G1385="","",G1385/SUM($G$2:$G$1514))</f>
        <v/>
      </c>
      <c r="I1385" s="4" t="str">
        <f aca="false">IF(G1385="","",RANK(G1385,$G$2:$G$1514,0))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IF(G1386="","",G1386/SUM($G$2:$G$1514))</f>
        <v/>
      </c>
      <c r="I1386" s="4" t="str">
        <f aca="false">IF(G1386="","",RANK(G1386,$G$2:$G$1514,0))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IF(G1387="","",G1387/SUM($G$2:$G$1514))</f>
        <v/>
      </c>
      <c r="I1387" s="4" t="str">
        <f aca="false">IF(G1387="","",RANK(G1387,$G$2:$G$1514,0))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IF(G1388="","",G1388/SUM($G$2:$G$1514))</f>
        <v/>
      </c>
      <c r="I1388" s="4" t="str">
        <f aca="false">IF(G1388="","",RANK(G1388,$G$2:$G$1514,0))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IF(G1389="","",G1389/SUM($G$2:$G$1514))</f>
        <v/>
      </c>
      <c r="I1389" s="4" t="str">
        <f aca="false">IF(G1389="","",RANK(G1389,$G$2:$G$1514,0))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IF(G1390="","",G1390/SUM($G$2:$G$1514))</f>
        <v/>
      </c>
      <c r="I1390" s="4" t="str">
        <f aca="false">IF(G1390="","",RANK(G1390,$G$2:$G$1514,0))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IF(G1391="","",G1391/SUM($G$2:$G$1514))</f>
        <v/>
      </c>
      <c r="I1391" s="4" t="str">
        <f aca="false">IF(G1391="","",RANK(G1391,$G$2:$G$1514,0))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IF(G1392="","",G1392/SUM($G$2:$G$1514))</f>
        <v/>
      </c>
      <c r="I1392" s="4" t="str">
        <f aca="false">IF(G1392="","",RANK(G1392,$G$2:$G$1514,0))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IF(G1393="","",G1393/SUM($G$2:$G$1514))</f>
        <v/>
      </c>
      <c r="I1393" s="4" t="str">
        <f aca="false">IF(G1393="","",RANK(G1393,$G$2:$G$1514,0))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IF(G1394="","",G1394/SUM($G$2:$G$1514))</f>
        <v/>
      </c>
      <c r="I1394" s="4" t="str">
        <f aca="false">IF(G1394="","",RANK(G1394,$G$2:$G$1514,0))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IF(G1395="","",G1395/SUM($G$2:$G$1514))</f>
        <v/>
      </c>
      <c r="I1395" s="4" t="str">
        <f aca="false">IF(G1395="","",RANK(G1395,$G$2:$G$1514,0))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IF(G1396="","",G1396/SUM($G$2:$G$1514))</f>
        <v/>
      </c>
      <c r="I1396" s="4" t="str">
        <f aca="false">IF(G1396="","",RANK(G1396,$G$2:$G$1514,0))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IF(G1397="","",G1397/SUM($G$2:$G$1514))</f>
        <v/>
      </c>
      <c r="I1397" s="4" t="str">
        <f aca="false">IF(G1397="","",RANK(G1397,$G$2:$G$1514,0))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IF(G1398="","",G1398/SUM($G$2:$G$1514))</f>
        <v/>
      </c>
      <c r="I1398" s="4" t="str">
        <f aca="false">IF(G1398="","",RANK(G1398,$G$2:$G$1514,0))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IF(G1399="","",G1399/SUM($G$2:$G$1514))</f>
        <v/>
      </c>
      <c r="I1399" s="4" t="str">
        <f aca="false">IF(G1399="","",RANK(G1399,$G$2:$G$1514,0))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IF(G1400="","",G1400/SUM($G$2:$G$1514))</f>
        <v/>
      </c>
      <c r="I1400" s="4" t="str">
        <f aca="false">IF(G1400="","",RANK(G1400,$G$2:$G$1514,0))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IF(G1401="","",G1401/SUM($G$2:$G$1514))</f>
        <v/>
      </c>
      <c r="I1401" s="4" t="str">
        <f aca="false">IF(G1401="","",RANK(G1401,$G$2:$G$1514,0))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IF(G1402="","",G1402/SUM($G$2:$G$1514))</f>
        <v/>
      </c>
      <c r="I1402" s="4" t="str">
        <f aca="false">IF(G1402="","",RANK(G1402,$G$2:$G$1514,0))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IF(G1403="","",G1403/SUM($G$2:$G$1514))</f>
        <v/>
      </c>
      <c r="I1403" s="4" t="str">
        <f aca="false">IF(G1403="","",RANK(G1403,$G$2:$G$1514,0))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IF(G1404="","",G1404/SUM($G$2:$G$1514))</f>
        <v/>
      </c>
      <c r="I1404" s="4" t="str">
        <f aca="false">IF(G1404="","",RANK(G1404,$G$2:$G$1514,0))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IF(G1405="","",G1405/SUM($G$2:$G$1514))</f>
        <v/>
      </c>
      <c r="I1405" s="4" t="str">
        <f aca="false">IF(G1405="","",RANK(G1405,$G$2:$G$1514,0))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IF(G1406="","",G1406/SUM($G$2:$G$1514))</f>
        <v/>
      </c>
      <c r="I1406" s="4" t="str">
        <f aca="false">IF(G1406="","",RANK(G1406,$G$2:$G$1514,0))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IF(G1407="","",G1407/SUM($G$2:$G$1514))</f>
        <v/>
      </c>
      <c r="I1407" s="4" t="str">
        <f aca="false">IF(G1407="","",RANK(G1407,$G$2:$G$1514,0))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IF(G1408="","",G1408/SUM($G$2:$G$1514))</f>
        <v/>
      </c>
      <c r="I1408" s="4" t="str">
        <f aca="false">IF(G1408="","",RANK(G1408,$G$2:$G$1514,0))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IF(G1409="","",G1409/SUM($G$2:$G$1514))</f>
        <v/>
      </c>
      <c r="I1409" s="4" t="str">
        <f aca="false">IF(G1409="","",RANK(G1409,$G$2:$G$1514,0))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IF(G1410="","",G1410/SUM($G$2:$G$1514))</f>
        <v/>
      </c>
      <c r="I1410" s="4" t="str">
        <f aca="false">IF(G1410="","",RANK(G1410,$G$2:$G$1514,0))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IF(G1411="","",G1411/SUM($G$2:$G$1514))</f>
        <v/>
      </c>
      <c r="I1411" s="4" t="str">
        <f aca="false">IF(G1411="","",RANK(G1411,$G$2:$G$1514,0))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IF(G1412="","",G1412/SUM($G$2:$G$1514))</f>
        <v/>
      </c>
      <c r="I1412" s="4" t="str">
        <f aca="false">IF(G1412="","",RANK(G1412,$G$2:$G$1514,0))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IF(G1413="","",G1413/SUM($G$2:$G$1514))</f>
        <v/>
      </c>
      <c r="I1413" s="4" t="str">
        <f aca="false">IF(G1413="","",RANK(G1413,$G$2:$G$1514,0))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IF(G1414="","",G1414/SUM($G$2:$G$1514))</f>
        <v/>
      </c>
      <c r="I1414" s="4" t="str">
        <f aca="false">IF(G1414="","",RANK(G1414,$G$2:$G$1514,0))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IF(G1415="","",G1415/SUM($G$2:$G$1514))</f>
        <v/>
      </c>
      <c r="I1415" s="4" t="str">
        <f aca="false">IF(G1415="","",RANK(G1415,$G$2:$G$1514,0))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IF(G1416="","",G1416/SUM($G$2:$G$1514))</f>
        <v/>
      </c>
      <c r="I1416" s="4" t="str">
        <f aca="false">IF(G1416="","",RANK(G1416,$G$2:$G$1514,0))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IF(G1417="","",G1417/SUM($G$2:$G$1514))</f>
        <v/>
      </c>
      <c r="I1417" s="4" t="str">
        <f aca="false">IF(G1417="","",RANK(G1417,$G$2:$G$1514,0))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IF(G1418="","",G1418/SUM($G$2:$G$1514))</f>
        <v/>
      </c>
      <c r="I1418" s="4" t="str">
        <f aca="false">IF(G1418="","",RANK(G1418,$G$2:$G$1514,0))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IF(G1419="","",G1419/SUM($G$2:$G$1514))</f>
        <v/>
      </c>
      <c r="I1419" s="4" t="str">
        <f aca="false">IF(G1419="","",RANK(G1419,$G$2:$G$1514,0))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IF(G1420="","",G1420/SUM($G$2:$G$1514))</f>
        <v/>
      </c>
      <c r="I1420" s="4" t="str">
        <f aca="false">IF(G1420="","",RANK(G1420,$G$2:$G$1514,0))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IF(G1421="","",G1421/SUM($G$2:$G$1514))</f>
        <v/>
      </c>
      <c r="I1421" s="4" t="str">
        <f aca="false">IF(G1421="","",RANK(G1421,$G$2:$G$1514,0))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IF(G1422="","",G1422/SUM($G$2:$G$1514))</f>
        <v/>
      </c>
      <c r="I1422" s="4" t="str">
        <f aca="false">IF(G1422="","",RANK(G1422,$G$2:$G$1514,0))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IF(G1423="","",G1423/SUM($G$2:$G$1514))</f>
        <v/>
      </c>
      <c r="I1423" s="4" t="str">
        <f aca="false">IF(G1423="","",RANK(G1423,$G$2:$G$1514,0))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IF(G1424="","",G1424/SUM($G$2:$G$1514))</f>
        <v/>
      </c>
      <c r="I1424" s="4" t="str">
        <f aca="false">IF(G1424="","",RANK(G1424,$G$2:$G$1514,0))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IF(G1425="","",G1425/SUM($G$2:$G$1514))</f>
        <v/>
      </c>
      <c r="I1425" s="4" t="str">
        <f aca="false">IF(G1425="","",RANK(G1425,$G$2:$G$1514,0))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IF(G1426="","",G1426/SUM($G$2:$G$1514))</f>
        <v/>
      </c>
      <c r="I1426" s="4" t="str">
        <f aca="false">IF(G1426="","",RANK(G1426,$G$2:$G$1514,0))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IF(G1427="","",G1427/SUM($G$2:$G$1514))</f>
        <v/>
      </c>
      <c r="I1427" s="4" t="str">
        <f aca="false">IF(G1427="","",RANK(G1427,$G$2:$G$1514,0))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IF(G1428="","",G1428/SUM($G$2:$G$1514))</f>
        <v/>
      </c>
      <c r="I1428" s="4" t="str">
        <f aca="false">IF(G1428="","",RANK(G1428,$G$2:$G$1514,0))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IF(G1429="","",G1429/SUM($G$2:$G$1514))</f>
        <v/>
      </c>
      <c r="I1429" s="4" t="str">
        <f aca="false">IF(G1429="","",RANK(G1429,$G$2:$G$1514,0))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IF(G1430="","",G1430/SUM($G$2:$G$1514))</f>
        <v/>
      </c>
      <c r="I1430" s="4" t="str">
        <f aca="false">IF(G1430="","",RANK(G1430,$G$2:$G$1514,0))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IF(G1431="","",G1431/SUM($G$2:$G$1514))</f>
        <v/>
      </c>
      <c r="I1431" s="4" t="str">
        <f aca="false">IF(G1431="","",RANK(G1431,$G$2:$G$1514,0))</f>
        <v/>
      </c>
      <c r="J1431" s="4" t="s">
        <v>34</v>
      </c>
    </row>
    <row r="1432" customFormat="false" ht="15" hidden="false" customHeight="false" outlineLevel="0" collapsed="false">
      <c r="A1432" s="4" t="s">
        <v>3053</v>
      </c>
      <c r="B1432" s="4" t="s">
        <v>3031</v>
      </c>
      <c r="C1432" s="4" t="s">
        <v>3032</v>
      </c>
      <c r="D1432" s="7" t="s">
        <v>3054</v>
      </c>
      <c r="E1432" s="4" t="s">
        <v>3034</v>
      </c>
      <c r="F1432" s="4" t="s">
        <v>6</v>
      </c>
      <c r="G1432" s="8"/>
      <c r="H1432" s="6" t="str">
        <f aca="false">IF(G1432="","",G1432/SUM($G$2:$G$1514))</f>
        <v/>
      </c>
      <c r="I1432" s="4" t="str">
        <f aca="false">IF(G1432="","",RANK(G1432,$G$2:$G$1514,0))</f>
        <v/>
      </c>
      <c r="J1432" s="4" t="s">
        <v>34</v>
      </c>
    </row>
    <row r="1433" customFormat="false" ht="15" hidden="false" customHeight="false" outlineLevel="0" collapsed="false">
      <c r="A1433" s="4" t="s">
        <v>3055</v>
      </c>
      <c r="B1433" s="4" t="s">
        <v>3031</v>
      </c>
      <c r="C1433" s="4" t="s">
        <v>3032</v>
      </c>
      <c r="D1433" s="7" t="s">
        <v>3056</v>
      </c>
      <c r="E1433" s="4" t="s">
        <v>3034</v>
      </c>
      <c r="F1433" s="4" t="s">
        <v>6</v>
      </c>
      <c r="G1433" s="8"/>
      <c r="H1433" s="6" t="str">
        <f aca="false">IF(G1433="","",G1433/SUM($G$2:$G$1514))</f>
        <v/>
      </c>
      <c r="I1433" s="4" t="str">
        <f aca="false">IF(G1433="","",RANK(G1433,$G$2:$G$1514,0))</f>
        <v/>
      </c>
      <c r="J1433" s="4" t="s">
        <v>34</v>
      </c>
    </row>
    <row r="1434" customFormat="false" ht="15" hidden="false" customHeight="false" outlineLevel="0" collapsed="false">
      <c r="A1434" s="4" t="s">
        <v>3057</v>
      </c>
      <c r="B1434" s="4" t="s">
        <v>3031</v>
      </c>
      <c r="C1434" s="4" t="s">
        <v>3032</v>
      </c>
      <c r="D1434" s="7" t="s">
        <v>3058</v>
      </c>
      <c r="E1434" s="4" t="s">
        <v>3034</v>
      </c>
      <c r="F1434" s="4" t="s">
        <v>6</v>
      </c>
      <c r="G1434" s="8"/>
      <c r="H1434" s="6" t="str">
        <f aca="false">IF(G1434="","",G1434/SUM($G$2:$G$1514))</f>
        <v/>
      </c>
      <c r="I1434" s="4" t="str">
        <f aca="false">IF(G1434="","",RANK(G1434,$G$2:$G$1514,0))</f>
        <v/>
      </c>
      <c r="J1434" s="4" t="s">
        <v>34</v>
      </c>
    </row>
    <row r="1435" customFormat="false" ht="15" hidden="false" customHeight="false" outlineLevel="0" collapsed="false">
      <c r="A1435" s="4" t="s">
        <v>3059</v>
      </c>
      <c r="B1435" s="4" t="s">
        <v>3031</v>
      </c>
      <c r="C1435" s="4" t="s">
        <v>3032</v>
      </c>
      <c r="D1435" s="7" t="s">
        <v>3060</v>
      </c>
      <c r="E1435" s="4" t="s">
        <v>3034</v>
      </c>
      <c r="F1435" s="4" t="s">
        <v>6</v>
      </c>
      <c r="G1435" s="8"/>
      <c r="H1435" s="6" t="str">
        <f aca="false">IF(G1435="","",G1435/SUM($G$2:$G$1514))</f>
        <v/>
      </c>
      <c r="I1435" s="4" t="str">
        <f aca="false">IF(G1435="","",RANK(G1435,$G$2:$G$1514,0))</f>
        <v/>
      </c>
      <c r="J1435" s="4" t="s">
        <v>34</v>
      </c>
    </row>
    <row r="1436" customFormat="false" ht="15" hidden="false" customHeight="false" outlineLevel="0" collapsed="false">
      <c r="A1436" s="4" t="s">
        <v>3061</v>
      </c>
      <c r="B1436" s="4" t="s">
        <v>3062</v>
      </c>
      <c r="C1436" s="4" t="s">
        <v>3063</v>
      </c>
      <c r="D1436" s="7" t="s">
        <v>3064</v>
      </c>
      <c r="E1436" s="4" t="s">
        <v>3065</v>
      </c>
      <c r="F1436" s="4" t="s">
        <v>6</v>
      </c>
      <c r="G1436" s="8"/>
      <c r="H1436" s="6" t="str">
        <f aca="false">IF(G1436="","",G1436/SUM($G$2:$G$1514))</f>
        <v/>
      </c>
      <c r="I1436" s="4" t="str">
        <f aca="false">IF(G1436="","",RANK(G1436,$G$2:$G$1514,0))</f>
        <v/>
      </c>
      <c r="J1436" s="4" t="s">
        <v>34</v>
      </c>
    </row>
    <row r="1437" customFormat="false" ht="15" hidden="false" customHeight="false" outlineLevel="0" collapsed="false">
      <c r="A1437" s="4" t="s">
        <v>3066</v>
      </c>
      <c r="B1437" s="4" t="s">
        <v>3062</v>
      </c>
      <c r="C1437" s="4" t="s">
        <v>3063</v>
      </c>
      <c r="D1437" s="7" t="s">
        <v>3067</v>
      </c>
      <c r="E1437" s="4" t="s">
        <v>3065</v>
      </c>
      <c r="F1437" s="4" t="s">
        <v>6</v>
      </c>
      <c r="G1437" s="8"/>
      <c r="H1437" s="6" t="str">
        <f aca="false">IF(G1437="","",G1437/SUM($G$2:$G$1514))</f>
        <v/>
      </c>
      <c r="I1437" s="4" t="str">
        <f aca="false">IF(G1437="","",RANK(G1437,$G$2:$G$1514,0))</f>
        <v/>
      </c>
      <c r="J1437" s="4" t="s">
        <v>34</v>
      </c>
    </row>
    <row r="1438" customFormat="false" ht="15" hidden="false" customHeight="false" outlineLevel="0" collapsed="false">
      <c r="A1438" s="4" t="s">
        <v>3068</v>
      </c>
      <c r="B1438" s="4" t="s">
        <v>3062</v>
      </c>
      <c r="C1438" s="4" t="s">
        <v>3063</v>
      </c>
      <c r="D1438" s="7" t="s">
        <v>3069</v>
      </c>
      <c r="E1438" s="4" t="s">
        <v>3065</v>
      </c>
      <c r="F1438" s="4" t="s">
        <v>6</v>
      </c>
      <c r="G1438" s="8"/>
      <c r="H1438" s="6" t="str">
        <f aca="false">IF(G1438="","",G1438/SUM($G$2:$G$1514))</f>
        <v/>
      </c>
      <c r="I1438" s="4" t="str">
        <f aca="false">IF(G1438="","",RANK(G1438,$G$2:$G$1514,0))</f>
        <v/>
      </c>
      <c r="J1438" s="4" t="s">
        <v>34</v>
      </c>
    </row>
    <row r="1439" customFormat="false" ht="15" hidden="false" customHeight="false" outlineLevel="0" collapsed="false">
      <c r="A1439" s="4" t="s">
        <v>3070</v>
      </c>
      <c r="B1439" s="4" t="s">
        <v>3062</v>
      </c>
      <c r="C1439" s="4" t="s">
        <v>3063</v>
      </c>
      <c r="D1439" s="7" t="s">
        <v>3071</v>
      </c>
      <c r="E1439" s="4" t="s">
        <v>3065</v>
      </c>
      <c r="F1439" s="4" t="s">
        <v>6</v>
      </c>
      <c r="G1439" s="8"/>
      <c r="H1439" s="6" t="str">
        <f aca="false">IF(G1439="","",G1439/SUM($G$2:$G$1514))</f>
        <v/>
      </c>
      <c r="I1439" s="4" t="str">
        <f aca="false">IF(G1439="","",RANK(G1439,$G$2:$G$1514,0))</f>
        <v/>
      </c>
      <c r="J1439" s="4" t="s">
        <v>34</v>
      </c>
    </row>
    <row r="1440" customFormat="false" ht="15" hidden="false" customHeight="false" outlineLevel="0" collapsed="false">
      <c r="A1440" s="4" t="s">
        <v>3072</v>
      </c>
      <c r="B1440" s="4" t="s">
        <v>3062</v>
      </c>
      <c r="C1440" s="4" t="s">
        <v>3063</v>
      </c>
      <c r="D1440" s="7" t="s">
        <v>3073</v>
      </c>
      <c r="E1440" s="4" t="s">
        <v>3065</v>
      </c>
      <c r="F1440" s="4" t="s">
        <v>6</v>
      </c>
      <c r="G1440" s="8"/>
      <c r="H1440" s="6" t="str">
        <f aca="false">IF(G1440="","",G1440/SUM($G$2:$G$1514))</f>
        <v/>
      </c>
      <c r="I1440" s="4" t="str">
        <f aca="false">IF(G1440="","",RANK(G1440,$G$2:$G$1514,0))</f>
        <v/>
      </c>
      <c r="J1440" s="4" t="s">
        <v>34</v>
      </c>
    </row>
    <row r="1441" customFormat="false" ht="15" hidden="false" customHeight="false" outlineLevel="0" collapsed="false">
      <c r="A1441" s="4" t="s">
        <v>3074</v>
      </c>
      <c r="B1441" s="4" t="s">
        <v>3062</v>
      </c>
      <c r="C1441" s="4" t="s">
        <v>3063</v>
      </c>
      <c r="D1441" s="7" t="s">
        <v>3075</v>
      </c>
      <c r="E1441" s="4" t="s">
        <v>3065</v>
      </c>
      <c r="F1441" s="4" t="s">
        <v>6</v>
      </c>
      <c r="G1441" s="8"/>
      <c r="H1441" s="6" t="str">
        <f aca="false">IF(G1441="","",G1441/SUM($G$2:$G$1514))</f>
        <v/>
      </c>
      <c r="I1441" s="4" t="str">
        <f aca="false">IF(G1441="","",RANK(G1441,$G$2:$G$1514,0))</f>
        <v/>
      </c>
      <c r="J1441" s="4" t="s">
        <v>34</v>
      </c>
    </row>
    <row r="1442" customFormat="false" ht="15" hidden="false" customHeight="false" outlineLevel="0" collapsed="false">
      <c r="A1442" s="4" t="s">
        <v>3076</v>
      </c>
      <c r="B1442" s="4" t="s">
        <v>3062</v>
      </c>
      <c r="C1442" s="4" t="s">
        <v>3063</v>
      </c>
      <c r="D1442" s="7" t="s">
        <v>3077</v>
      </c>
      <c r="E1442" s="4" t="s">
        <v>3065</v>
      </c>
      <c r="F1442" s="4" t="s">
        <v>6</v>
      </c>
      <c r="G1442" s="8"/>
      <c r="H1442" s="6" t="str">
        <f aca="false">IF(G1442="","",G1442/SUM($G$2:$G$1514))</f>
        <v/>
      </c>
      <c r="I1442" s="4" t="str">
        <f aca="false">IF(G1442="","",RANK(G1442,$G$2:$G$1514,0))</f>
        <v/>
      </c>
      <c r="J1442" s="4" t="s">
        <v>34</v>
      </c>
    </row>
    <row r="1443" customFormat="false" ht="15" hidden="false" customHeight="false" outlineLevel="0" collapsed="false">
      <c r="A1443" s="4" t="s">
        <v>3078</v>
      </c>
      <c r="B1443" s="4" t="s">
        <v>3062</v>
      </c>
      <c r="C1443" s="4" t="s">
        <v>3063</v>
      </c>
      <c r="D1443" s="7" t="s">
        <v>3079</v>
      </c>
      <c r="E1443" s="4" t="s">
        <v>3065</v>
      </c>
      <c r="F1443" s="4" t="s">
        <v>6</v>
      </c>
      <c r="G1443" s="8"/>
      <c r="H1443" s="6" t="str">
        <f aca="false">IF(G1443="","",G1443/SUM($G$2:$G$1514))</f>
        <v/>
      </c>
      <c r="I1443" s="4" t="str">
        <f aca="false">IF(G1443="","",RANK(G1443,$G$2:$G$1514,0))</f>
        <v/>
      </c>
      <c r="J1443" s="4" t="s">
        <v>34</v>
      </c>
    </row>
    <row r="1444" customFormat="false" ht="15" hidden="false" customHeight="false" outlineLevel="0" collapsed="false">
      <c r="A1444" s="4" t="s">
        <v>3080</v>
      </c>
      <c r="B1444" s="4" t="s">
        <v>3062</v>
      </c>
      <c r="C1444" s="4" t="s">
        <v>3063</v>
      </c>
      <c r="D1444" s="7" t="s">
        <v>3081</v>
      </c>
      <c r="E1444" s="4" t="s">
        <v>3065</v>
      </c>
      <c r="F1444" s="4" t="s">
        <v>6</v>
      </c>
      <c r="G1444" s="8"/>
      <c r="H1444" s="6" t="str">
        <f aca="false">IF(G1444="","",G1444/SUM($G$2:$G$1514))</f>
        <v/>
      </c>
      <c r="I1444" s="4" t="str">
        <f aca="false">IF(G1444="","",RANK(G1444,$G$2:$G$1514,0))</f>
        <v/>
      </c>
      <c r="J1444" s="4" t="s">
        <v>34</v>
      </c>
    </row>
    <row r="1445" customFormat="false" ht="15" hidden="false" customHeight="false" outlineLevel="0" collapsed="false">
      <c r="A1445" s="4" t="s">
        <v>3082</v>
      </c>
      <c r="B1445" s="4" t="s">
        <v>3062</v>
      </c>
      <c r="C1445" s="4" t="s">
        <v>3063</v>
      </c>
      <c r="D1445" s="7" t="s">
        <v>3083</v>
      </c>
      <c r="E1445" s="4" t="s">
        <v>3065</v>
      </c>
      <c r="F1445" s="4" t="s">
        <v>6</v>
      </c>
      <c r="G1445" s="8"/>
      <c r="H1445" s="6" t="str">
        <f aca="false">IF(G1445="","",G1445/SUM($G$2:$G$1514))</f>
        <v/>
      </c>
      <c r="I1445" s="4" t="str">
        <f aca="false">IF(G1445="","",RANK(G1445,$G$2:$G$1514,0))</f>
        <v/>
      </c>
      <c r="J1445" s="4" t="s">
        <v>34</v>
      </c>
    </row>
    <row r="1446" customFormat="false" ht="15" hidden="false" customHeight="false" outlineLevel="0" collapsed="false">
      <c r="A1446" s="4" t="s">
        <v>3084</v>
      </c>
      <c r="B1446" s="4" t="s">
        <v>3062</v>
      </c>
      <c r="C1446" s="4" t="s">
        <v>3063</v>
      </c>
      <c r="D1446" s="7" t="s">
        <v>3085</v>
      </c>
      <c r="E1446" s="4" t="s">
        <v>3065</v>
      </c>
      <c r="F1446" s="4" t="s">
        <v>6</v>
      </c>
      <c r="G1446" s="8"/>
      <c r="H1446" s="6" t="str">
        <f aca="false">IF(G1446="","",G1446/SUM($G$2:$G$1514))</f>
        <v/>
      </c>
      <c r="I1446" s="4" t="str">
        <f aca="false">IF(G1446="","",RANK(G1446,$G$2:$G$1514,0))</f>
        <v/>
      </c>
      <c r="J1446" s="4" t="s">
        <v>34</v>
      </c>
    </row>
    <row r="1447" customFormat="false" ht="15" hidden="false" customHeight="false" outlineLevel="0" collapsed="false">
      <c r="A1447" s="4" t="s">
        <v>3086</v>
      </c>
      <c r="B1447" s="4" t="s">
        <v>3062</v>
      </c>
      <c r="C1447" s="4" t="s">
        <v>3063</v>
      </c>
      <c r="D1447" s="7" t="s">
        <v>3087</v>
      </c>
      <c r="E1447" s="4" t="s">
        <v>3065</v>
      </c>
      <c r="F1447" s="4" t="s">
        <v>6</v>
      </c>
      <c r="G1447" s="8"/>
      <c r="H1447" s="6" t="str">
        <f aca="false">IF(G1447="","",G1447/SUM($G$2:$G$1514))</f>
        <v/>
      </c>
      <c r="I1447" s="4" t="str">
        <f aca="false">IF(G1447="","",RANK(G1447,$G$2:$G$1514,0))</f>
        <v/>
      </c>
      <c r="J1447" s="4" t="s">
        <v>34</v>
      </c>
    </row>
    <row r="1448" customFormat="false" ht="15" hidden="false" customHeight="false" outlineLevel="0" collapsed="false">
      <c r="A1448" s="4" t="s">
        <v>3088</v>
      </c>
      <c r="B1448" s="4" t="s">
        <v>3062</v>
      </c>
      <c r="C1448" s="4" t="s">
        <v>3063</v>
      </c>
      <c r="D1448" s="7" t="s">
        <v>3089</v>
      </c>
      <c r="E1448" s="4" t="s">
        <v>3065</v>
      </c>
      <c r="F1448" s="4" t="s">
        <v>6</v>
      </c>
      <c r="G1448" s="8"/>
      <c r="H1448" s="6" t="str">
        <f aca="false">IF(G1448="","",G1448/SUM($G$2:$G$1514))</f>
        <v/>
      </c>
      <c r="I1448" s="4" t="str">
        <f aca="false">IF(G1448="","",RANK(G1448,$G$2:$G$1514,0))</f>
        <v/>
      </c>
      <c r="J1448" s="4" t="s">
        <v>34</v>
      </c>
    </row>
    <row r="1449" customFormat="false" ht="15" hidden="false" customHeight="false" outlineLevel="0" collapsed="false">
      <c r="A1449" s="4" t="s">
        <v>3090</v>
      </c>
      <c r="B1449" s="4" t="s">
        <v>3062</v>
      </c>
      <c r="C1449" s="4" t="s">
        <v>3063</v>
      </c>
      <c r="D1449" s="7" t="s">
        <v>3091</v>
      </c>
      <c r="E1449" s="4" t="s">
        <v>3065</v>
      </c>
      <c r="F1449" s="4" t="s">
        <v>6</v>
      </c>
      <c r="G1449" s="8"/>
      <c r="H1449" s="6" t="str">
        <f aca="false">IF(G1449="","",G1449/SUM($G$2:$G$1514))</f>
        <v/>
      </c>
      <c r="I1449" s="4" t="str">
        <f aca="false">IF(G1449="","",RANK(G1449,$G$2:$G$1514,0))</f>
        <v/>
      </c>
      <c r="J1449" s="4" t="s">
        <v>34</v>
      </c>
    </row>
    <row r="1450" customFormat="false" ht="15" hidden="false" customHeight="false" outlineLevel="0" collapsed="false">
      <c r="A1450" s="4" t="s">
        <v>3092</v>
      </c>
      <c r="B1450" s="4" t="s">
        <v>3062</v>
      </c>
      <c r="C1450" s="4" t="s">
        <v>3063</v>
      </c>
      <c r="D1450" s="7" t="s">
        <v>3093</v>
      </c>
      <c r="E1450" s="4" t="s">
        <v>3065</v>
      </c>
      <c r="F1450" s="4" t="s">
        <v>6</v>
      </c>
      <c r="G1450" s="8"/>
      <c r="H1450" s="6" t="str">
        <f aca="false">IF(G1450="","",G1450/SUM($G$2:$G$1514))</f>
        <v/>
      </c>
      <c r="I1450" s="4" t="str">
        <f aca="false">IF(G1450="","",RANK(G1450,$G$2:$G$1514,0))</f>
        <v/>
      </c>
      <c r="J1450" s="4" t="s">
        <v>34</v>
      </c>
    </row>
    <row r="1451" customFormat="false" ht="15" hidden="false" customHeight="false" outlineLevel="0" collapsed="false">
      <c r="A1451" s="4" t="s">
        <v>3094</v>
      </c>
      <c r="B1451" s="4" t="s">
        <v>3062</v>
      </c>
      <c r="C1451" s="4" t="s">
        <v>3063</v>
      </c>
      <c r="D1451" s="7" t="s">
        <v>3095</v>
      </c>
      <c r="E1451" s="4" t="s">
        <v>3065</v>
      </c>
      <c r="F1451" s="4" t="s">
        <v>6</v>
      </c>
      <c r="G1451" s="8"/>
      <c r="H1451" s="6" t="str">
        <f aca="false">IF(G1451="","",G1451/SUM($G$2:$G$1514))</f>
        <v/>
      </c>
      <c r="I1451" s="4" t="str">
        <f aca="false">IF(G1451="","",RANK(G1451,$G$2:$G$1514,0))</f>
        <v/>
      </c>
      <c r="J1451" s="4" t="s">
        <v>34</v>
      </c>
    </row>
    <row r="1452" customFormat="false" ht="15" hidden="false" customHeight="false" outlineLevel="0" collapsed="false">
      <c r="A1452" s="4" t="s">
        <v>3096</v>
      </c>
      <c r="B1452" s="4" t="s">
        <v>3062</v>
      </c>
      <c r="C1452" s="4" t="s">
        <v>3063</v>
      </c>
      <c r="D1452" s="7" t="s">
        <v>3097</v>
      </c>
      <c r="E1452" s="4" t="s">
        <v>3065</v>
      </c>
      <c r="F1452" s="4" t="s">
        <v>6</v>
      </c>
      <c r="G1452" s="8"/>
      <c r="H1452" s="6" t="str">
        <f aca="false">IF(G1452="","",G1452/SUM($G$2:$G$1514))</f>
        <v/>
      </c>
      <c r="I1452" s="4" t="str">
        <f aca="false">IF(G1452="","",RANK(G1452,$G$2:$G$1514,0))</f>
        <v/>
      </c>
      <c r="J1452" s="4" t="s">
        <v>34</v>
      </c>
    </row>
    <row r="1453" customFormat="false" ht="15" hidden="false" customHeight="false" outlineLevel="0" collapsed="false">
      <c r="A1453" s="4" t="s">
        <v>3098</v>
      </c>
      <c r="B1453" s="4" t="s">
        <v>3062</v>
      </c>
      <c r="C1453" s="4" t="s">
        <v>3063</v>
      </c>
      <c r="D1453" s="7" t="s">
        <v>3099</v>
      </c>
      <c r="E1453" s="4" t="s">
        <v>3065</v>
      </c>
      <c r="F1453" s="4" t="s">
        <v>6</v>
      </c>
      <c r="G1453" s="8"/>
      <c r="H1453" s="6" t="str">
        <f aca="false">IF(G1453="","",G1453/SUM($G$2:$G$1514))</f>
        <v/>
      </c>
      <c r="I1453" s="4" t="str">
        <f aca="false">IF(G1453="","",RANK(G1453,$G$2:$G$1514,0))</f>
        <v/>
      </c>
      <c r="J1453" s="4" t="s">
        <v>34</v>
      </c>
    </row>
    <row r="1454" customFormat="false" ht="15" hidden="false" customHeight="false" outlineLevel="0" collapsed="false">
      <c r="A1454" s="4" t="s">
        <v>3100</v>
      </c>
      <c r="B1454" s="4" t="s">
        <v>3062</v>
      </c>
      <c r="C1454" s="4" t="s">
        <v>3063</v>
      </c>
      <c r="D1454" s="7" t="s">
        <v>3101</v>
      </c>
      <c r="E1454" s="4" t="s">
        <v>3065</v>
      </c>
      <c r="F1454" s="4" t="s">
        <v>6</v>
      </c>
      <c r="G1454" s="8"/>
      <c r="H1454" s="6" t="str">
        <f aca="false">IF(G1454="","",G1454/SUM($G$2:$G$1514))</f>
        <v/>
      </c>
      <c r="I1454" s="4" t="str">
        <f aca="false">IF(G1454="","",RANK(G1454,$G$2:$G$1514,0))</f>
        <v/>
      </c>
      <c r="J1454" s="4" t="s">
        <v>34</v>
      </c>
    </row>
    <row r="1455" customFormat="false" ht="15" hidden="false" customHeight="false" outlineLevel="0" collapsed="false">
      <c r="A1455" s="4" t="s">
        <v>3102</v>
      </c>
      <c r="B1455" s="4" t="s">
        <v>3062</v>
      </c>
      <c r="C1455" s="4" t="s">
        <v>3063</v>
      </c>
      <c r="D1455" s="7" t="s">
        <v>3103</v>
      </c>
      <c r="E1455" s="4" t="s">
        <v>3065</v>
      </c>
      <c r="F1455" s="4" t="s">
        <v>6</v>
      </c>
      <c r="G1455" s="8"/>
      <c r="H1455" s="6" t="str">
        <f aca="false">IF(G1455="","",G1455/SUM($G$2:$G$1514))</f>
        <v/>
      </c>
      <c r="I1455" s="4" t="str">
        <f aca="false">IF(G1455="","",RANK(G1455,$G$2:$G$1514,0))</f>
        <v/>
      </c>
      <c r="J1455" s="4" t="s">
        <v>34</v>
      </c>
    </row>
    <row r="1456" customFormat="false" ht="15" hidden="false" customHeight="false" outlineLevel="0" collapsed="false">
      <c r="A1456" s="4" t="s">
        <v>3104</v>
      </c>
      <c r="B1456" s="4" t="s">
        <v>3062</v>
      </c>
      <c r="C1456" s="4" t="s">
        <v>3063</v>
      </c>
      <c r="D1456" s="7" t="s">
        <v>3105</v>
      </c>
      <c r="E1456" s="4" t="s">
        <v>3065</v>
      </c>
      <c r="F1456" s="4" t="s">
        <v>6</v>
      </c>
      <c r="G1456" s="8"/>
      <c r="H1456" s="6" t="str">
        <f aca="false">IF(G1456="","",G1456/SUM($G$2:$G$1514))</f>
        <v/>
      </c>
      <c r="I1456" s="4" t="str">
        <f aca="false">IF(G1456="","",RANK(G1456,$G$2:$G$1514,0))</f>
        <v/>
      </c>
      <c r="J1456" s="4" t="s">
        <v>34</v>
      </c>
    </row>
    <row r="1457" customFormat="false" ht="15" hidden="false" customHeight="false" outlineLevel="0" collapsed="false">
      <c r="A1457" s="4" t="s">
        <v>3106</v>
      </c>
      <c r="B1457" s="4" t="s">
        <v>3062</v>
      </c>
      <c r="C1457" s="4" t="s">
        <v>3063</v>
      </c>
      <c r="D1457" s="7" t="s">
        <v>3107</v>
      </c>
      <c r="E1457" s="4" t="s">
        <v>3065</v>
      </c>
      <c r="F1457" s="4" t="s">
        <v>6</v>
      </c>
      <c r="G1457" s="8"/>
      <c r="H1457" s="6" t="str">
        <f aca="false">IF(G1457="","",G1457/SUM($G$2:$G$1514))</f>
        <v/>
      </c>
      <c r="I1457" s="4" t="str">
        <f aca="false">IF(G1457="","",RANK(G1457,$G$2:$G$1514,0))</f>
        <v/>
      </c>
      <c r="J1457" s="4" t="s">
        <v>34</v>
      </c>
    </row>
    <row r="1458" customFormat="false" ht="15" hidden="false" customHeight="false" outlineLevel="0" collapsed="false">
      <c r="A1458" s="4" t="s">
        <v>3108</v>
      </c>
      <c r="B1458" s="4" t="s">
        <v>3062</v>
      </c>
      <c r="C1458" s="4" t="s">
        <v>3063</v>
      </c>
      <c r="D1458" s="7" t="s">
        <v>3109</v>
      </c>
      <c r="E1458" s="4" t="s">
        <v>3065</v>
      </c>
      <c r="F1458" s="4" t="s">
        <v>6</v>
      </c>
      <c r="G1458" s="8"/>
      <c r="H1458" s="6" t="str">
        <f aca="false">IF(G1458="","",G1458/SUM($G$2:$G$1514))</f>
        <v/>
      </c>
      <c r="I1458" s="4" t="str">
        <f aca="false">IF(G1458="","",RANK(G1458,$G$2:$G$1514,0))</f>
        <v/>
      </c>
      <c r="J1458" s="4" t="s">
        <v>34</v>
      </c>
    </row>
    <row r="1459" customFormat="false" ht="15" hidden="false" customHeight="false" outlineLevel="0" collapsed="false">
      <c r="A1459" s="4" t="s">
        <v>3110</v>
      </c>
      <c r="B1459" s="4" t="s">
        <v>3062</v>
      </c>
      <c r="C1459" s="4" t="s">
        <v>3063</v>
      </c>
      <c r="D1459" s="7" t="s">
        <v>3111</v>
      </c>
      <c r="E1459" s="4" t="s">
        <v>3065</v>
      </c>
      <c r="F1459" s="4" t="s">
        <v>6</v>
      </c>
      <c r="G1459" s="8"/>
      <c r="H1459" s="6" t="str">
        <f aca="false">IF(G1459="","",G1459/SUM($G$2:$G$1514))</f>
        <v/>
      </c>
      <c r="I1459" s="4" t="str">
        <f aca="false">IF(G1459="","",RANK(G1459,$G$2:$G$1514,0))</f>
        <v/>
      </c>
      <c r="J1459" s="4" t="s">
        <v>34</v>
      </c>
    </row>
    <row r="1460" customFormat="false" ht="15" hidden="false" customHeight="false" outlineLevel="0" collapsed="false">
      <c r="A1460" s="4" t="s">
        <v>3112</v>
      </c>
      <c r="B1460" s="4" t="s">
        <v>3113</v>
      </c>
      <c r="C1460" s="4" t="s">
        <v>3114</v>
      </c>
      <c r="D1460" s="7" t="s">
        <v>3115</v>
      </c>
      <c r="E1460" s="4" t="s">
        <v>3116</v>
      </c>
      <c r="F1460" s="4" t="s">
        <v>5</v>
      </c>
      <c r="G1460" s="8"/>
      <c r="H1460" s="6" t="str">
        <f aca="false">IF(G1460="","",G1460/SUM($G$2:$G$1514))</f>
        <v/>
      </c>
      <c r="I1460" s="4" t="str">
        <f aca="false">IF(G1460="","",RANK(G1460,$G$2:$G$1514,0))</f>
        <v/>
      </c>
      <c r="J1460" s="4" t="s">
        <v>34</v>
      </c>
    </row>
    <row r="1461" customFormat="false" ht="15" hidden="false" customHeight="false" outlineLevel="0" collapsed="false">
      <c r="A1461" s="4" t="s">
        <v>3117</v>
      </c>
      <c r="B1461" s="4" t="s">
        <v>3113</v>
      </c>
      <c r="C1461" s="4" t="s">
        <v>3114</v>
      </c>
      <c r="D1461" s="7" t="s">
        <v>3118</v>
      </c>
      <c r="E1461" s="4" t="s">
        <v>3116</v>
      </c>
      <c r="F1461" s="4" t="s">
        <v>5</v>
      </c>
      <c r="G1461" s="8"/>
      <c r="H1461" s="6" t="str">
        <f aca="false">IF(G1461="","",G1461/SUM($G$2:$G$1514))</f>
        <v/>
      </c>
      <c r="I1461" s="4" t="str">
        <f aca="false">IF(G1461="","",RANK(G1461,$G$2:$G$1514,0))</f>
        <v/>
      </c>
      <c r="J1461" s="4" t="s">
        <v>34</v>
      </c>
    </row>
    <row r="1462" customFormat="false" ht="15" hidden="false" customHeight="false" outlineLevel="0" collapsed="false">
      <c r="A1462" s="4" t="s">
        <v>3119</v>
      </c>
      <c r="B1462" s="4" t="s">
        <v>3113</v>
      </c>
      <c r="C1462" s="4" t="s">
        <v>3114</v>
      </c>
      <c r="D1462" s="7" t="s">
        <v>3120</v>
      </c>
      <c r="E1462" s="4" t="s">
        <v>3116</v>
      </c>
      <c r="F1462" s="4" t="s">
        <v>5</v>
      </c>
      <c r="G1462" s="8"/>
      <c r="H1462" s="6" t="str">
        <f aca="false">IF(G1462="","",G1462/SUM($G$2:$G$1514))</f>
        <v/>
      </c>
      <c r="I1462" s="4" t="str">
        <f aca="false">IF(G1462="","",RANK(G1462,$G$2:$G$1514,0))</f>
        <v/>
      </c>
      <c r="J1462" s="4" t="s">
        <v>34</v>
      </c>
    </row>
    <row r="1463" customFormat="false" ht="15" hidden="false" customHeight="false" outlineLevel="0" collapsed="false">
      <c r="A1463" s="4" t="s">
        <v>3121</v>
      </c>
      <c r="B1463" s="4" t="s">
        <v>3113</v>
      </c>
      <c r="C1463" s="4" t="s">
        <v>3114</v>
      </c>
      <c r="D1463" s="7" t="s">
        <v>3122</v>
      </c>
      <c r="E1463" s="4" t="s">
        <v>3116</v>
      </c>
      <c r="F1463" s="4" t="s">
        <v>5</v>
      </c>
      <c r="G1463" s="8"/>
      <c r="H1463" s="6" t="str">
        <f aca="false">IF(G1463="","",G1463/SUM($G$2:$G$1514))</f>
        <v/>
      </c>
      <c r="I1463" s="4" t="str">
        <f aca="false">IF(G1463="","",RANK(G1463,$G$2:$G$1514,0))</f>
        <v/>
      </c>
      <c r="J1463" s="4" t="s">
        <v>34</v>
      </c>
    </row>
    <row r="1464" customFormat="false" ht="15" hidden="false" customHeight="false" outlineLevel="0" collapsed="false">
      <c r="A1464" s="4" t="s">
        <v>3123</v>
      </c>
      <c r="B1464" s="4" t="s">
        <v>3113</v>
      </c>
      <c r="C1464" s="4" t="s">
        <v>3114</v>
      </c>
      <c r="D1464" s="7" t="s">
        <v>3124</v>
      </c>
      <c r="E1464" s="4" t="s">
        <v>3116</v>
      </c>
      <c r="F1464" s="4" t="s">
        <v>5</v>
      </c>
      <c r="G1464" s="8"/>
      <c r="H1464" s="6" t="str">
        <f aca="false">IF(G1464="","",G1464/SUM($G$2:$G$1514))</f>
        <v/>
      </c>
      <c r="I1464" s="4" t="str">
        <f aca="false">IF(G1464="","",RANK(G1464,$G$2:$G$1514,0))</f>
        <v/>
      </c>
      <c r="J1464" s="4" t="s">
        <v>34</v>
      </c>
    </row>
    <row r="1465" customFormat="false" ht="15" hidden="false" customHeight="false" outlineLevel="0" collapsed="false">
      <c r="A1465" s="4" t="s">
        <v>3125</v>
      </c>
      <c r="B1465" s="4" t="s">
        <v>3113</v>
      </c>
      <c r="C1465" s="4" t="s">
        <v>3114</v>
      </c>
      <c r="D1465" s="7" t="s">
        <v>3126</v>
      </c>
      <c r="E1465" s="4" t="s">
        <v>3116</v>
      </c>
      <c r="F1465" s="4" t="s">
        <v>5</v>
      </c>
      <c r="G1465" s="8"/>
      <c r="H1465" s="6" t="str">
        <f aca="false">IF(G1465="","",G1465/SUM($G$2:$G$1514))</f>
        <v/>
      </c>
      <c r="I1465" s="4" t="str">
        <f aca="false">IF(G1465="","",RANK(G1465,$G$2:$G$1514,0))</f>
        <v/>
      </c>
      <c r="J1465" s="4" t="s">
        <v>34</v>
      </c>
    </row>
    <row r="1466" customFormat="false" ht="15" hidden="false" customHeight="false" outlineLevel="0" collapsed="false">
      <c r="A1466" s="4" t="s">
        <v>3127</v>
      </c>
      <c r="B1466" s="4" t="s">
        <v>3113</v>
      </c>
      <c r="C1466" s="4" t="s">
        <v>3114</v>
      </c>
      <c r="D1466" s="7" t="s">
        <v>3128</v>
      </c>
      <c r="E1466" s="4" t="s">
        <v>3116</v>
      </c>
      <c r="F1466" s="4" t="s">
        <v>5</v>
      </c>
      <c r="G1466" s="8"/>
      <c r="H1466" s="6" t="str">
        <f aca="false">IF(G1466="","",G1466/SUM($G$2:$G$1514))</f>
        <v/>
      </c>
      <c r="I1466" s="4" t="str">
        <f aca="false">IF(G1466="","",RANK(G1466,$G$2:$G$1514,0))</f>
        <v/>
      </c>
      <c r="J1466" s="4" t="s">
        <v>34</v>
      </c>
    </row>
    <row r="1467" customFormat="false" ht="15" hidden="false" customHeight="false" outlineLevel="0" collapsed="false">
      <c r="A1467" s="4" t="s">
        <v>3129</v>
      </c>
      <c r="B1467" s="4" t="s">
        <v>3113</v>
      </c>
      <c r="C1467" s="4" t="s">
        <v>3114</v>
      </c>
      <c r="D1467" s="7" t="s">
        <v>3130</v>
      </c>
      <c r="E1467" s="4" t="s">
        <v>3116</v>
      </c>
      <c r="F1467" s="4" t="s">
        <v>5</v>
      </c>
      <c r="G1467" s="8"/>
      <c r="H1467" s="6" t="str">
        <f aca="false">IF(G1467="","",G1467/SUM($G$2:$G$1514))</f>
        <v/>
      </c>
      <c r="I1467" s="4" t="str">
        <f aca="false">IF(G1467="","",RANK(G1467,$G$2:$G$1514,0))</f>
        <v/>
      </c>
      <c r="J1467" s="4" t="s">
        <v>34</v>
      </c>
    </row>
    <row r="1468" customFormat="false" ht="15" hidden="false" customHeight="false" outlineLevel="0" collapsed="false">
      <c r="A1468" s="4" t="s">
        <v>3131</v>
      </c>
      <c r="B1468" s="4" t="s">
        <v>3113</v>
      </c>
      <c r="C1468" s="4" t="s">
        <v>3114</v>
      </c>
      <c r="D1468" s="7" t="s">
        <v>3132</v>
      </c>
      <c r="E1468" s="4" t="s">
        <v>3116</v>
      </c>
      <c r="F1468" s="4" t="s">
        <v>5</v>
      </c>
      <c r="G1468" s="8"/>
      <c r="H1468" s="6" t="str">
        <f aca="false">IF(G1468="","",G1468/SUM($G$2:$G$1514))</f>
        <v/>
      </c>
      <c r="I1468" s="4" t="str">
        <f aca="false">IF(G1468="","",RANK(G1468,$G$2:$G$1514,0))</f>
        <v/>
      </c>
      <c r="J1468" s="4" t="s">
        <v>34</v>
      </c>
    </row>
    <row r="1469" customFormat="false" ht="15" hidden="false" customHeight="false" outlineLevel="0" collapsed="false">
      <c r="A1469" s="4" t="s">
        <v>3133</v>
      </c>
      <c r="B1469" s="4" t="s">
        <v>3113</v>
      </c>
      <c r="C1469" s="4" t="s">
        <v>3114</v>
      </c>
      <c r="D1469" s="7" t="s">
        <v>3134</v>
      </c>
      <c r="E1469" s="4" t="s">
        <v>3116</v>
      </c>
      <c r="F1469" s="4" t="s">
        <v>5</v>
      </c>
      <c r="G1469" s="8"/>
      <c r="H1469" s="6" t="str">
        <f aca="false">IF(G1469="","",G1469/SUM($G$2:$G$1514))</f>
        <v/>
      </c>
      <c r="I1469" s="4" t="str">
        <f aca="false">IF(G1469="","",RANK(G1469,$G$2:$G$1514,0))</f>
        <v/>
      </c>
      <c r="J1469" s="4" t="s">
        <v>34</v>
      </c>
    </row>
    <row r="1470" customFormat="false" ht="15" hidden="false" customHeight="false" outlineLevel="0" collapsed="false">
      <c r="A1470" s="4" t="s">
        <v>3135</v>
      </c>
      <c r="B1470" s="4" t="s">
        <v>3113</v>
      </c>
      <c r="C1470" s="4" t="s">
        <v>3114</v>
      </c>
      <c r="D1470" s="7" t="s">
        <v>3136</v>
      </c>
      <c r="E1470" s="4" t="s">
        <v>3116</v>
      </c>
      <c r="F1470" s="4" t="s">
        <v>5</v>
      </c>
      <c r="G1470" s="8"/>
      <c r="H1470" s="6" t="str">
        <f aca="false">IF(G1470="","",G1470/SUM($G$2:$G$1514))</f>
        <v/>
      </c>
      <c r="I1470" s="4" t="str">
        <f aca="false">IF(G1470="","",RANK(G1470,$G$2:$G$1514,0))</f>
        <v/>
      </c>
      <c r="J1470" s="4" t="s">
        <v>34</v>
      </c>
    </row>
    <row r="1471" customFormat="false" ht="15" hidden="false" customHeight="false" outlineLevel="0" collapsed="false">
      <c r="A1471" s="4" t="s">
        <v>3137</v>
      </c>
      <c r="B1471" s="4" t="s">
        <v>3113</v>
      </c>
      <c r="C1471" s="4" t="s">
        <v>3114</v>
      </c>
      <c r="D1471" s="7" t="s">
        <v>3138</v>
      </c>
      <c r="E1471" s="4" t="s">
        <v>3116</v>
      </c>
      <c r="F1471" s="4" t="s">
        <v>5</v>
      </c>
      <c r="G1471" s="8"/>
      <c r="H1471" s="6" t="str">
        <f aca="false">IF(G1471="","",G1471/SUM($G$2:$G$1514))</f>
        <v/>
      </c>
      <c r="I1471" s="4" t="str">
        <f aca="false">IF(G1471="","",RANK(G1471,$G$2:$G$1514,0))</f>
        <v/>
      </c>
      <c r="J1471" s="4" t="s">
        <v>34</v>
      </c>
    </row>
    <row r="1472" customFormat="false" ht="15" hidden="false" customHeight="false" outlineLevel="0" collapsed="false">
      <c r="A1472" s="4" t="s">
        <v>3139</v>
      </c>
      <c r="B1472" s="4" t="s">
        <v>3113</v>
      </c>
      <c r="C1472" s="4" t="s">
        <v>3114</v>
      </c>
      <c r="D1472" s="7" t="s">
        <v>3140</v>
      </c>
      <c r="E1472" s="4" t="s">
        <v>3116</v>
      </c>
      <c r="F1472" s="4" t="s">
        <v>5</v>
      </c>
      <c r="G1472" s="8"/>
      <c r="H1472" s="6" t="str">
        <f aca="false">IF(G1472="","",G1472/SUM($G$2:$G$1514))</f>
        <v/>
      </c>
      <c r="I1472" s="4" t="str">
        <f aca="false">IF(G1472="","",RANK(G1472,$G$2:$G$1514,0))</f>
        <v/>
      </c>
      <c r="J1472" s="4" t="s">
        <v>34</v>
      </c>
    </row>
    <row r="1473" customFormat="false" ht="15" hidden="false" customHeight="false" outlineLevel="0" collapsed="false">
      <c r="A1473" s="4" t="s">
        <v>3141</v>
      </c>
      <c r="B1473" s="4" t="s">
        <v>3113</v>
      </c>
      <c r="C1473" s="4" t="s">
        <v>3114</v>
      </c>
      <c r="D1473" s="7" t="s">
        <v>3142</v>
      </c>
      <c r="E1473" s="4" t="s">
        <v>3116</v>
      </c>
      <c r="F1473" s="4" t="s">
        <v>5</v>
      </c>
      <c r="G1473" s="8"/>
      <c r="H1473" s="6" t="str">
        <f aca="false">IF(G1473="","",G1473/SUM($G$2:$G$1514))</f>
        <v/>
      </c>
      <c r="I1473" s="4" t="str">
        <f aca="false">IF(G1473="","",RANK(G1473,$G$2:$G$1514,0))</f>
        <v/>
      </c>
      <c r="J1473" s="4" t="s">
        <v>34</v>
      </c>
    </row>
    <row r="1474" customFormat="false" ht="15" hidden="false" customHeight="false" outlineLevel="0" collapsed="false">
      <c r="A1474" s="4" t="s">
        <v>3143</v>
      </c>
      <c r="B1474" s="4" t="s">
        <v>3113</v>
      </c>
      <c r="C1474" s="4" t="s">
        <v>3114</v>
      </c>
      <c r="D1474" s="7" t="s">
        <v>3144</v>
      </c>
      <c r="E1474" s="4" t="s">
        <v>3116</v>
      </c>
      <c r="F1474" s="4" t="s">
        <v>5</v>
      </c>
      <c r="G1474" s="8"/>
      <c r="H1474" s="6" t="str">
        <f aca="false">IF(G1474="","",G1474/SUM($G$2:$G$1514))</f>
        <v/>
      </c>
      <c r="I1474" s="4" t="str">
        <f aca="false">IF(G1474="","",RANK(G1474,$G$2:$G$1514,0))</f>
        <v/>
      </c>
      <c r="J1474" s="4" t="s">
        <v>34</v>
      </c>
    </row>
    <row r="1475" customFormat="false" ht="15" hidden="false" customHeight="false" outlineLevel="0" collapsed="false">
      <c r="A1475" s="4" t="s">
        <v>3145</v>
      </c>
      <c r="B1475" s="4" t="s">
        <v>3113</v>
      </c>
      <c r="C1475" s="4" t="s">
        <v>3114</v>
      </c>
      <c r="D1475" s="7" t="s">
        <v>3146</v>
      </c>
      <c r="E1475" s="4" t="s">
        <v>3116</v>
      </c>
      <c r="F1475" s="4" t="s">
        <v>5</v>
      </c>
      <c r="G1475" s="8"/>
      <c r="H1475" s="6" t="str">
        <f aca="false">IF(G1475="","",G1475/SUM($G$2:$G$1514))</f>
        <v/>
      </c>
      <c r="I1475" s="4" t="str">
        <f aca="false">IF(G1475="","",RANK(G1475,$G$2:$G$1514,0))</f>
        <v/>
      </c>
      <c r="J1475" s="4" t="s">
        <v>34</v>
      </c>
    </row>
    <row r="1476" customFormat="false" ht="15" hidden="false" customHeight="false" outlineLevel="0" collapsed="false">
      <c r="A1476" s="4" t="s">
        <v>3147</v>
      </c>
      <c r="B1476" s="4" t="s">
        <v>3113</v>
      </c>
      <c r="C1476" s="4" t="s">
        <v>3114</v>
      </c>
      <c r="D1476" s="7" t="s">
        <v>3148</v>
      </c>
      <c r="E1476" s="4" t="s">
        <v>3116</v>
      </c>
      <c r="F1476" s="4" t="s">
        <v>5</v>
      </c>
      <c r="G1476" s="8"/>
      <c r="H1476" s="6" t="str">
        <f aca="false">IF(G1476="","",G1476/SUM($G$2:$G$1514))</f>
        <v/>
      </c>
      <c r="I1476" s="4" t="str">
        <f aca="false">IF(G1476="","",RANK(G1476,$G$2:$G$1514,0))</f>
        <v/>
      </c>
      <c r="J1476" s="4" t="s">
        <v>34</v>
      </c>
    </row>
    <row r="1477" customFormat="false" ht="15" hidden="false" customHeight="false" outlineLevel="0" collapsed="false">
      <c r="A1477" s="4" t="s">
        <v>3149</v>
      </c>
      <c r="B1477" s="4" t="s">
        <v>3113</v>
      </c>
      <c r="C1477" s="4" t="s">
        <v>3114</v>
      </c>
      <c r="D1477" s="7" t="s">
        <v>3150</v>
      </c>
      <c r="E1477" s="4" t="s">
        <v>3116</v>
      </c>
      <c r="F1477" s="4" t="s">
        <v>5</v>
      </c>
      <c r="G1477" s="8"/>
      <c r="H1477" s="6" t="str">
        <f aca="false">IF(G1477="","",G1477/SUM($G$2:$G$1514))</f>
        <v/>
      </c>
      <c r="I1477" s="4" t="str">
        <f aca="false">IF(G1477="","",RANK(G1477,$G$2:$G$1514,0))</f>
        <v/>
      </c>
      <c r="J1477" s="4" t="s">
        <v>34</v>
      </c>
    </row>
    <row r="1478" customFormat="false" ht="15" hidden="false" customHeight="false" outlineLevel="0" collapsed="false">
      <c r="A1478" s="4" t="s">
        <v>3151</v>
      </c>
      <c r="B1478" s="4" t="s">
        <v>3113</v>
      </c>
      <c r="C1478" s="4" t="s">
        <v>3114</v>
      </c>
      <c r="D1478" s="7" t="s">
        <v>3152</v>
      </c>
      <c r="E1478" s="4" t="s">
        <v>3116</v>
      </c>
      <c r="F1478" s="4" t="s">
        <v>5</v>
      </c>
      <c r="G1478" s="8"/>
      <c r="H1478" s="6" t="str">
        <f aca="false">IF(G1478="","",G1478/SUM($G$2:$G$1514))</f>
        <v/>
      </c>
      <c r="I1478" s="4" t="str">
        <f aca="false">IF(G1478="","",RANK(G1478,$G$2:$G$1514,0))</f>
        <v/>
      </c>
      <c r="J1478" s="4" t="s">
        <v>34</v>
      </c>
    </row>
    <row r="1479" customFormat="false" ht="15" hidden="false" customHeight="false" outlineLevel="0" collapsed="false">
      <c r="A1479" s="4" t="s">
        <v>3153</v>
      </c>
      <c r="B1479" s="4" t="s">
        <v>3154</v>
      </c>
      <c r="C1479" s="4" t="s">
        <v>3155</v>
      </c>
      <c r="D1479" s="7" t="s">
        <v>3156</v>
      </c>
      <c r="E1479" s="4" t="s">
        <v>3157</v>
      </c>
      <c r="F1479" s="4" t="s">
        <v>6</v>
      </c>
      <c r="G1479" s="8"/>
      <c r="H1479" s="6" t="str">
        <f aca="false">IF(G1479="","",G1479/SUM($G$2:$G$1514))</f>
        <v/>
      </c>
      <c r="I1479" s="4" t="str">
        <f aca="false">IF(G1479="","",RANK(G1479,$G$2:$G$1514,0))</f>
        <v/>
      </c>
      <c r="J1479" s="4" t="s">
        <v>34</v>
      </c>
    </row>
    <row r="1480" customFormat="false" ht="15" hidden="false" customHeight="false" outlineLevel="0" collapsed="false">
      <c r="A1480" s="4" t="s">
        <v>3158</v>
      </c>
      <c r="B1480" s="4" t="s">
        <v>3154</v>
      </c>
      <c r="C1480" s="4" t="s">
        <v>3155</v>
      </c>
      <c r="D1480" s="7" t="s">
        <v>3159</v>
      </c>
      <c r="E1480" s="4" t="s">
        <v>3157</v>
      </c>
      <c r="F1480" s="4" t="s">
        <v>6</v>
      </c>
      <c r="G1480" s="8"/>
      <c r="H1480" s="6" t="str">
        <f aca="false">IF(G1480="","",G1480/SUM($G$2:$G$1514))</f>
        <v/>
      </c>
      <c r="I1480" s="4" t="str">
        <f aca="false">IF(G1480="","",RANK(G1480,$G$2:$G$1514,0))</f>
        <v/>
      </c>
      <c r="J1480" s="4" t="s">
        <v>34</v>
      </c>
    </row>
    <row r="1481" customFormat="false" ht="15" hidden="false" customHeight="false" outlineLevel="0" collapsed="false">
      <c r="A1481" s="4" t="s">
        <v>3160</v>
      </c>
      <c r="B1481" s="4" t="s">
        <v>3154</v>
      </c>
      <c r="C1481" s="4" t="s">
        <v>3155</v>
      </c>
      <c r="D1481" s="7" t="s">
        <v>3161</v>
      </c>
      <c r="E1481" s="4" t="s">
        <v>3157</v>
      </c>
      <c r="F1481" s="4" t="s">
        <v>6</v>
      </c>
      <c r="G1481" s="8"/>
      <c r="H1481" s="6" t="str">
        <f aca="false">IF(G1481="","",G1481/SUM($G$2:$G$1514))</f>
        <v/>
      </c>
      <c r="I1481" s="4" t="str">
        <f aca="false">IF(G1481="","",RANK(G1481,$G$2:$G$1514,0))</f>
        <v/>
      </c>
      <c r="J1481" s="4" t="s">
        <v>34</v>
      </c>
    </row>
    <row r="1482" customFormat="false" ht="15" hidden="false" customHeight="false" outlineLevel="0" collapsed="false">
      <c r="A1482" s="4" t="s">
        <v>3162</v>
      </c>
      <c r="B1482" s="4" t="s">
        <v>3154</v>
      </c>
      <c r="C1482" s="4" t="s">
        <v>3155</v>
      </c>
      <c r="D1482" s="7" t="s">
        <v>3163</v>
      </c>
      <c r="E1482" s="4" t="s">
        <v>3157</v>
      </c>
      <c r="F1482" s="4" t="s">
        <v>6</v>
      </c>
      <c r="G1482" s="8"/>
      <c r="H1482" s="6" t="str">
        <f aca="false">IF(G1482="","",G1482/SUM($G$2:$G$1514))</f>
        <v/>
      </c>
      <c r="I1482" s="4" t="str">
        <f aca="false">IF(G1482="","",RANK(G1482,$G$2:$G$1514,0))</f>
        <v/>
      </c>
      <c r="J1482" s="4" t="s">
        <v>34</v>
      </c>
    </row>
    <row r="1483" customFormat="false" ht="15" hidden="false" customHeight="false" outlineLevel="0" collapsed="false">
      <c r="A1483" s="4" t="s">
        <v>3164</v>
      </c>
      <c r="B1483" s="4" t="s">
        <v>3154</v>
      </c>
      <c r="C1483" s="4" t="s">
        <v>3155</v>
      </c>
      <c r="D1483" s="7" t="s">
        <v>3165</v>
      </c>
      <c r="E1483" s="4" t="s">
        <v>3157</v>
      </c>
      <c r="F1483" s="4" t="s">
        <v>6</v>
      </c>
      <c r="G1483" s="8"/>
      <c r="H1483" s="6" t="str">
        <f aca="false">IF(G1483="","",G1483/SUM($G$2:$G$1514))</f>
        <v/>
      </c>
      <c r="I1483" s="4" t="str">
        <f aca="false">IF(G1483="","",RANK(G1483,$G$2:$G$1514,0))</f>
        <v/>
      </c>
      <c r="J1483" s="4" t="s">
        <v>34</v>
      </c>
    </row>
    <row r="1484" customFormat="false" ht="15" hidden="false" customHeight="false" outlineLevel="0" collapsed="false">
      <c r="A1484" s="4" t="s">
        <v>3166</v>
      </c>
      <c r="B1484" s="4" t="s">
        <v>3154</v>
      </c>
      <c r="C1484" s="4" t="s">
        <v>3155</v>
      </c>
      <c r="D1484" s="7" t="s">
        <v>3167</v>
      </c>
      <c r="E1484" s="4" t="s">
        <v>3157</v>
      </c>
      <c r="F1484" s="4" t="s">
        <v>6</v>
      </c>
      <c r="G1484" s="8"/>
      <c r="H1484" s="6" t="str">
        <f aca="false">IF(G1484="","",G1484/SUM($G$2:$G$1514))</f>
        <v/>
      </c>
      <c r="I1484" s="4" t="str">
        <f aca="false">IF(G1484="","",RANK(G1484,$G$2:$G$1514,0))</f>
        <v/>
      </c>
      <c r="J1484" s="4" t="s">
        <v>34</v>
      </c>
    </row>
    <row r="1485" customFormat="false" ht="15" hidden="false" customHeight="false" outlineLevel="0" collapsed="false">
      <c r="A1485" s="4" t="s">
        <v>3168</v>
      </c>
      <c r="B1485" s="4" t="s">
        <v>3154</v>
      </c>
      <c r="C1485" s="4" t="s">
        <v>3155</v>
      </c>
      <c r="D1485" s="7" t="s">
        <v>3169</v>
      </c>
      <c r="E1485" s="4" t="s">
        <v>3157</v>
      </c>
      <c r="F1485" s="4" t="s">
        <v>6</v>
      </c>
      <c r="G1485" s="8"/>
      <c r="H1485" s="6" t="str">
        <f aca="false">IF(G1485="","",G1485/SUM($G$2:$G$1514))</f>
        <v/>
      </c>
      <c r="I1485" s="4" t="str">
        <f aca="false">IF(G1485="","",RANK(G1485,$G$2:$G$1514,0))</f>
        <v/>
      </c>
      <c r="J1485" s="4" t="s">
        <v>34</v>
      </c>
    </row>
    <row r="1486" customFormat="false" ht="15" hidden="false" customHeight="false" outlineLevel="0" collapsed="false">
      <c r="A1486" s="4" t="s">
        <v>3170</v>
      </c>
      <c r="B1486" s="4" t="s">
        <v>3154</v>
      </c>
      <c r="C1486" s="4" t="s">
        <v>3155</v>
      </c>
      <c r="D1486" s="7" t="s">
        <v>3171</v>
      </c>
      <c r="E1486" s="4" t="s">
        <v>3157</v>
      </c>
      <c r="F1486" s="4" t="s">
        <v>6</v>
      </c>
      <c r="G1486" s="8"/>
      <c r="H1486" s="6" t="str">
        <f aca="false">IF(G1486="","",G1486/SUM($G$2:$G$1514))</f>
        <v/>
      </c>
      <c r="I1486" s="4" t="str">
        <f aca="false">IF(G1486="","",RANK(G1486,$G$2:$G$1514,0))</f>
        <v/>
      </c>
      <c r="J1486" s="4" t="s">
        <v>34</v>
      </c>
    </row>
    <row r="1487" customFormat="false" ht="15" hidden="false" customHeight="false" outlineLevel="0" collapsed="false">
      <c r="A1487" s="4" t="s">
        <v>3172</v>
      </c>
      <c r="B1487" s="4" t="s">
        <v>3154</v>
      </c>
      <c r="C1487" s="4" t="s">
        <v>3155</v>
      </c>
      <c r="D1487" s="7" t="s">
        <v>3173</v>
      </c>
      <c r="E1487" s="4" t="s">
        <v>3157</v>
      </c>
      <c r="F1487" s="4" t="s">
        <v>6</v>
      </c>
      <c r="G1487" s="8"/>
      <c r="H1487" s="6" t="str">
        <f aca="false">IF(G1487="","",G1487/SUM($G$2:$G$1514))</f>
        <v/>
      </c>
      <c r="I1487" s="4" t="str">
        <f aca="false">IF(G1487="","",RANK(G1487,$G$2:$G$1514,0))</f>
        <v/>
      </c>
      <c r="J1487" s="4" t="s">
        <v>34</v>
      </c>
    </row>
    <row r="1488" customFormat="false" ht="15" hidden="false" customHeight="false" outlineLevel="0" collapsed="false">
      <c r="A1488" s="4" t="s">
        <v>3174</v>
      </c>
      <c r="B1488" s="4" t="s">
        <v>3154</v>
      </c>
      <c r="C1488" s="4" t="s">
        <v>3155</v>
      </c>
      <c r="D1488" s="7" t="s">
        <v>3175</v>
      </c>
      <c r="E1488" s="4" t="s">
        <v>3157</v>
      </c>
      <c r="F1488" s="4" t="s">
        <v>6</v>
      </c>
      <c r="G1488" s="8"/>
      <c r="H1488" s="6" t="str">
        <f aca="false">IF(G1488="","",G1488/SUM($G$2:$G$1514))</f>
        <v/>
      </c>
      <c r="I1488" s="4" t="str">
        <f aca="false">IF(G1488="","",RANK(G1488,$G$2:$G$1514,0))</f>
        <v/>
      </c>
      <c r="J1488" s="4" t="s">
        <v>34</v>
      </c>
    </row>
    <row r="1489" customFormat="false" ht="15" hidden="false" customHeight="false" outlineLevel="0" collapsed="false">
      <c r="A1489" s="4" t="s">
        <v>3176</v>
      </c>
      <c r="B1489" s="4" t="s">
        <v>3154</v>
      </c>
      <c r="C1489" s="4" t="s">
        <v>3155</v>
      </c>
      <c r="D1489" s="7" t="s">
        <v>3177</v>
      </c>
      <c r="E1489" s="4" t="s">
        <v>3157</v>
      </c>
      <c r="F1489" s="4" t="s">
        <v>6</v>
      </c>
      <c r="G1489" s="8"/>
      <c r="H1489" s="6" t="str">
        <f aca="false">IF(G1489="","",G1489/SUM($G$2:$G$1514))</f>
        <v/>
      </c>
      <c r="I1489" s="4" t="str">
        <f aca="false">IF(G1489="","",RANK(G1489,$G$2:$G$1514,0))</f>
        <v/>
      </c>
      <c r="J1489" s="4" t="s">
        <v>34</v>
      </c>
    </row>
    <row r="1490" customFormat="false" ht="15" hidden="false" customHeight="false" outlineLevel="0" collapsed="false">
      <c r="A1490" s="4" t="s">
        <v>3178</v>
      </c>
      <c r="B1490" s="4" t="s">
        <v>3154</v>
      </c>
      <c r="C1490" s="4" t="s">
        <v>3155</v>
      </c>
      <c r="D1490" s="7" t="s">
        <v>3179</v>
      </c>
      <c r="E1490" s="4" t="s">
        <v>3157</v>
      </c>
      <c r="F1490" s="4" t="s">
        <v>6</v>
      </c>
      <c r="G1490" s="8"/>
      <c r="H1490" s="6" t="str">
        <f aca="false">IF(G1490="","",G1490/SUM($G$2:$G$1514))</f>
        <v/>
      </c>
      <c r="I1490" s="4" t="str">
        <f aca="false">IF(G1490="","",RANK(G1490,$G$2:$G$1514,0))</f>
        <v/>
      </c>
      <c r="J1490" s="4" t="s">
        <v>34</v>
      </c>
    </row>
    <row r="1491" customFormat="false" ht="15" hidden="false" customHeight="false" outlineLevel="0" collapsed="false">
      <c r="A1491" s="4" t="s">
        <v>3180</v>
      </c>
      <c r="B1491" s="4" t="s">
        <v>3154</v>
      </c>
      <c r="C1491" s="4" t="s">
        <v>3155</v>
      </c>
      <c r="D1491" s="7" t="s">
        <v>3181</v>
      </c>
      <c r="E1491" s="4" t="s">
        <v>3157</v>
      </c>
      <c r="F1491" s="4" t="s">
        <v>6</v>
      </c>
      <c r="G1491" s="8"/>
      <c r="H1491" s="6" t="str">
        <f aca="false">IF(G1491="","",G1491/SUM($G$2:$G$1514))</f>
        <v/>
      </c>
      <c r="I1491" s="4" t="str">
        <f aca="false">IF(G1491="","",RANK(G1491,$G$2:$G$1514,0))</f>
        <v/>
      </c>
      <c r="J1491" s="4" t="s">
        <v>34</v>
      </c>
    </row>
    <row r="1492" customFormat="false" ht="15" hidden="false" customHeight="false" outlineLevel="0" collapsed="false">
      <c r="A1492" s="4" t="s">
        <v>3182</v>
      </c>
      <c r="B1492" s="4" t="s">
        <v>3154</v>
      </c>
      <c r="C1492" s="4" t="s">
        <v>3155</v>
      </c>
      <c r="D1492" s="7" t="s">
        <v>3183</v>
      </c>
      <c r="E1492" s="4" t="s">
        <v>3157</v>
      </c>
      <c r="F1492" s="4" t="s">
        <v>6</v>
      </c>
      <c r="G1492" s="8"/>
      <c r="H1492" s="6" t="str">
        <f aca="false">IF(G1492="","",G1492/SUM($G$2:$G$1514))</f>
        <v/>
      </c>
      <c r="I1492" s="4" t="str">
        <f aca="false">IF(G1492="","",RANK(G1492,$G$2:$G$1514,0))</f>
        <v/>
      </c>
      <c r="J1492" s="4" t="s">
        <v>34</v>
      </c>
    </row>
    <row r="1493" customFormat="false" ht="15" hidden="false" customHeight="false" outlineLevel="0" collapsed="false">
      <c r="A1493" s="4" t="s">
        <v>3184</v>
      </c>
      <c r="B1493" s="4" t="s">
        <v>3154</v>
      </c>
      <c r="C1493" s="4" t="s">
        <v>3155</v>
      </c>
      <c r="D1493" s="7" t="s">
        <v>3185</v>
      </c>
      <c r="E1493" s="4" t="s">
        <v>3157</v>
      </c>
      <c r="F1493" s="4" t="s">
        <v>6</v>
      </c>
      <c r="G1493" s="8"/>
      <c r="H1493" s="6" t="str">
        <f aca="false">IF(G1493="","",G1493/SUM($G$2:$G$1514))</f>
        <v/>
      </c>
      <c r="I1493" s="4" t="str">
        <f aca="false">IF(G1493="","",RANK(G1493,$G$2:$G$1514,0))</f>
        <v/>
      </c>
      <c r="J1493" s="4" t="s">
        <v>34</v>
      </c>
    </row>
    <row r="1494" customFormat="false" ht="15" hidden="false" customHeight="false" outlineLevel="0" collapsed="false">
      <c r="A1494" s="4" t="s">
        <v>3186</v>
      </c>
      <c r="B1494" s="4" t="s">
        <v>3154</v>
      </c>
      <c r="C1494" s="4" t="s">
        <v>3155</v>
      </c>
      <c r="D1494" s="7" t="s">
        <v>3187</v>
      </c>
      <c r="E1494" s="4" t="s">
        <v>3157</v>
      </c>
      <c r="F1494" s="4" t="s">
        <v>6</v>
      </c>
      <c r="G1494" s="8"/>
      <c r="H1494" s="6" t="str">
        <f aca="false">IF(G1494="","",G1494/SUM($G$2:$G$1514))</f>
        <v/>
      </c>
      <c r="I1494" s="4" t="str">
        <f aca="false">IF(G1494="","",RANK(G1494,$G$2:$G$1514,0))</f>
        <v/>
      </c>
      <c r="J1494" s="4" t="s">
        <v>34</v>
      </c>
    </row>
    <row r="1495" customFormat="false" ht="15" hidden="false" customHeight="false" outlineLevel="0" collapsed="false">
      <c r="A1495" s="4" t="s">
        <v>3188</v>
      </c>
      <c r="B1495" s="4" t="s">
        <v>3154</v>
      </c>
      <c r="C1495" s="4" t="s">
        <v>3155</v>
      </c>
      <c r="D1495" s="7" t="s">
        <v>3189</v>
      </c>
      <c r="E1495" s="4" t="s">
        <v>3157</v>
      </c>
      <c r="F1495" s="4" t="s">
        <v>6</v>
      </c>
      <c r="G1495" s="8"/>
      <c r="H1495" s="6" t="str">
        <f aca="false">IF(G1495="","",G1495/SUM($G$2:$G$1514))</f>
        <v/>
      </c>
      <c r="I1495" s="4" t="str">
        <f aca="false">IF(G1495="","",RANK(G1495,$G$2:$G$1514,0))</f>
        <v/>
      </c>
      <c r="J1495" s="4" t="s">
        <v>34</v>
      </c>
    </row>
    <row r="1496" customFormat="false" ht="15" hidden="false" customHeight="false" outlineLevel="0" collapsed="false">
      <c r="A1496" s="4" t="s">
        <v>3190</v>
      </c>
      <c r="B1496" s="4" t="s">
        <v>3154</v>
      </c>
      <c r="C1496" s="4" t="s">
        <v>3155</v>
      </c>
      <c r="D1496" s="7" t="s">
        <v>3191</v>
      </c>
      <c r="E1496" s="4" t="s">
        <v>3157</v>
      </c>
      <c r="F1496" s="4" t="s">
        <v>6</v>
      </c>
      <c r="G1496" s="8"/>
      <c r="H1496" s="6" t="str">
        <f aca="false">IF(G1496="","",G1496/SUM($G$2:$G$1514))</f>
        <v/>
      </c>
      <c r="I1496" s="4" t="str">
        <f aca="false">IF(G1496="","",RANK(G1496,$G$2:$G$1514,0))</f>
        <v/>
      </c>
      <c r="J1496" s="4" t="s">
        <v>34</v>
      </c>
    </row>
    <row r="1497" customFormat="false" ht="15" hidden="false" customHeight="false" outlineLevel="0" collapsed="false">
      <c r="A1497" s="4" t="s">
        <v>3192</v>
      </c>
      <c r="B1497" s="4" t="s">
        <v>3154</v>
      </c>
      <c r="C1497" s="4" t="s">
        <v>3155</v>
      </c>
      <c r="D1497" s="7" t="s">
        <v>3193</v>
      </c>
      <c r="E1497" s="4" t="s">
        <v>3157</v>
      </c>
      <c r="F1497" s="4" t="s">
        <v>6</v>
      </c>
      <c r="G1497" s="8"/>
      <c r="H1497" s="6" t="str">
        <f aca="false">IF(G1497="","",G1497/SUM($G$2:$G$1514))</f>
        <v/>
      </c>
      <c r="I1497" s="4" t="str">
        <f aca="false">IF(G1497="","",RANK(G1497,$G$2:$G$1514,0))</f>
        <v/>
      </c>
      <c r="J1497" s="4" t="s">
        <v>34</v>
      </c>
    </row>
    <row r="1498" customFormat="false" ht="15" hidden="false" customHeight="false" outlineLevel="0" collapsed="false">
      <c r="A1498" s="4" t="s">
        <v>3194</v>
      </c>
      <c r="B1498" s="4" t="s">
        <v>3154</v>
      </c>
      <c r="C1498" s="4" t="s">
        <v>3155</v>
      </c>
      <c r="D1498" s="7" t="s">
        <v>3195</v>
      </c>
      <c r="E1498" s="4" t="s">
        <v>3157</v>
      </c>
      <c r="F1498" s="4" t="s">
        <v>6</v>
      </c>
      <c r="G1498" s="8"/>
      <c r="H1498" s="6" t="str">
        <f aca="false">IF(G1498="","",G1498/SUM($G$2:$G$1514))</f>
        <v/>
      </c>
      <c r="I1498" s="4" t="str">
        <f aca="false">IF(G1498="","",RANK(G1498,$G$2:$G$1514,0))</f>
        <v/>
      </c>
      <c r="J1498" s="4" t="s">
        <v>34</v>
      </c>
    </row>
    <row r="1499" customFormat="false" ht="15" hidden="false" customHeight="false" outlineLevel="0" collapsed="false">
      <c r="A1499" s="4" t="s">
        <v>3196</v>
      </c>
      <c r="B1499" s="4" t="s">
        <v>3154</v>
      </c>
      <c r="C1499" s="4" t="s">
        <v>3155</v>
      </c>
      <c r="D1499" s="7" t="s">
        <v>3197</v>
      </c>
      <c r="E1499" s="4" t="s">
        <v>3157</v>
      </c>
      <c r="F1499" s="4" t="s">
        <v>6</v>
      </c>
      <c r="G1499" s="8"/>
      <c r="H1499" s="6" t="str">
        <f aca="false">IF(G1499="","",G1499/SUM($G$2:$G$1514))</f>
        <v/>
      </c>
      <c r="I1499" s="4" t="str">
        <f aca="false">IF(G1499="","",RANK(G1499,$G$2:$G$1514,0))</f>
        <v/>
      </c>
      <c r="J1499" s="4" t="s">
        <v>34</v>
      </c>
    </row>
    <row r="1500" customFormat="false" ht="15" hidden="false" customHeight="false" outlineLevel="0" collapsed="false">
      <c r="A1500" s="4" t="s">
        <v>3198</v>
      </c>
      <c r="B1500" s="4" t="s">
        <v>3154</v>
      </c>
      <c r="C1500" s="4" t="s">
        <v>3155</v>
      </c>
      <c r="D1500" s="7" t="s">
        <v>3199</v>
      </c>
      <c r="E1500" s="4" t="s">
        <v>3157</v>
      </c>
      <c r="F1500" s="4" t="s">
        <v>6</v>
      </c>
      <c r="G1500" s="8"/>
      <c r="H1500" s="6" t="str">
        <f aca="false">IF(G1500="","",G1500/SUM($G$2:$G$1514))</f>
        <v/>
      </c>
      <c r="I1500" s="4" t="str">
        <f aca="false">IF(G1500="","",RANK(G1500,$G$2:$G$1514,0))</f>
        <v/>
      </c>
      <c r="J1500" s="4" t="s">
        <v>34</v>
      </c>
    </row>
    <row r="1501" customFormat="false" ht="15" hidden="false" customHeight="false" outlineLevel="0" collapsed="false">
      <c r="A1501" s="4" t="s">
        <v>3200</v>
      </c>
      <c r="B1501" s="4" t="s">
        <v>3154</v>
      </c>
      <c r="C1501" s="4" t="s">
        <v>3155</v>
      </c>
      <c r="D1501" s="7" t="s">
        <v>3201</v>
      </c>
      <c r="E1501" s="4" t="s">
        <v>3157</v>
      </c>
      <c r="F1501" s="4" t="s">
        <v>6</v>
      </c>
      <c r="G1501" s="8"/>
      <c r="H1501" s="6" t="str">
        <f aca="false">IF(G1501="","",G1501/SUM($G$2:$G$1514))</f>
        <v/>
      </c>
      <c r="I1501" s="4" t="str">
        <f aca="false">IF(G1501="","",RANK(G1501,$G$2:$G$1514,0))</f>
        <v/>
      </c>
      <c r="J1501" s="4" t="s">
        <v>34</v>
      </c>
    </row>
    <row r="1502" customFormat="false" ht="15" hidden="false" customHeight="false" outlineLevel="0" collapsed="false">
      <c r="A1502" s="4" t="s">
        <v>3202</v>
      </c>
      <c r="B1502" s="4" t="s">
        <v>3154</v>
      </c>
      <c r="C1502" s="4" t="s">
        <v>3155</v>
      </c>
      <c r="D1502" s="7" t="s">
        <v>3203</v>
      </c>
      <c r="E1502" s="4" t="s">
        <v>3157</v>
      </c>
      <c r="F1502" s="4" t="s">
        <v>6</v>
      </c>
      <c r="G1502" s="8"/>
      <c r="H1502" s="6" t="str">
        <f aca="false">IF(G1502="","",G1502/SUM($G$2:$G$1514))</f>
        <v/>
      </c>
      <c r="I1502" s="4" t="str">
        <f aca="false">IF(G1502="","",RANK(G1502,$G$2:$G$1514,0))</f>
        <v/>
      </c>
      <c r="J1502" s="4" t="s">
        <v>34</v>
      </c>
    </row>
    <row r="1503" customFormat="false" ht="15" hidden="false" customHeight="false" outlineLevel="0" collapsed="false">
      <c r="A1503" s="4" t="s">
        <v>3204</v>
      </c>
      <c r="B1503" s="4" t="s">
        <v>3154</v>
      </c>
      <c r="C1503" s="4" t="s">
        <v>3155</v>
      </c>
      <c r="D1503" s="7" t="s">
        <v>3205</v>
      </c>
      <c r="E1503" s="4" t="s">
        <v>3157</v>
      </c>
      <c r="F1503" s="4" t="s">
        <v>6</v>
      </c>
      <c r="G1503" s="8"/>
      <c r="H1503" s="6" t="str">
        <f aca="false">IF(G1503="","",G1503/SUM($G$2:$G$1514))</f>
        <v/>
      </c>
      <c r="I1503" s="4" t="str">
        <f aca="false">IF(G1503="","",RANK(G1503,$G$2:$G$1514,0))</f>
        <v/>
      </c>
      <c r="J1503" s="4" t="s">
        <v>34</v>
      </c>
    </row>
    <row r="1504" customFormat="false" ht="15" hidden="false" customHeight="false" outlineLevel="0" collapsed="false">
      <c r="A1504" s="4" t="s">
        <v>3206</v>
      </c>
      <c r="B1504" s="4" t="s">
        <v>3154</v>
      </c>
      <c r="C1504" s="4" t="s">
        <v>3155</v>
      </c>
      <c r="D1504" s="7" t="s">
        <v>3207</v>
      </c>
      <c r="E1504" s="4" t="s">
        <v>3157</v>
      </c>
      <c r="F1504" s="4" t="s">
        <v>6</v>
      </c>
      <c r="G1504" s="8"/>
      <c r="H1504" s="6" t="str">
        <f aca="false">IF(G1504="","",G1504/SUM($G$2:$G$1514))</f>
        <v/>
      </c>
      <c r="I1504" s="4" t="str">
        <f aca="false">IF(G1504="","",RANK(G1504,$G$2:$G$1514,0))</f>
        <v/>
      </c>
      <c r="J1504" s="4" t="s">
        <v>34</v>
      </c>
    </row>
    <row r="1505" customFormat="false" ht="15" hidden="false" customHeight="false" outlineLevel="0" collapsed="false">
      <c r="A1505" s="4" t="s">
        <v>3208</v>
      </c>
      <c r="B1505" s="4" t="s">
        <v>3154</v>
      </c>
      <c r="C1505" s="4" t="s">
        <v>3155</v>
      </c>
      <c r="D1505" s="7" t="s">
        <v>3209</v>
      </c>
      <c r="E1505" s="4" t="s">
        <v>3157</v>
      </c>
      <c r="F1505" s="4" t="s">
        <v>6</v>
      </c>
      <c r="G1505" s="8"/>
      <c r="H1505" s="6" t="str">
        <f aca="false">IF(G1505="","",G1505/SUM($G$2:$G$1514))</f>
        <v/>
      </c>
      <c r="I1505" s="4" t="str">
        <f aca="false">IF(G1505="","",RANK(G1505,$G$2:$G$1514,0))</f>
        <v/>
      </c>
      <c r="J1505" s="4" t="s">
        <v>34</v>
      </c>
    </row>
    <row r="1506" customFormat="false" ht="15" hidden="false" customHeight="false" outlineLevel="0" collapsed="false">
      <c r="A1506" s="4" t="s">
        <v>3210</v>
      </c>
      <c r="B1506" s="4" t="s">
        <v>3154</v>
      </c>
      <c r="C1506" s="4" t="s">
        <v>3155</v>
      </c>
      <c r="D1506" s="7" t="s">
        <v>3211</v>
      </c>
      <c r="E1506" s="4" t="s">
        <v>3157</v>
      </c>
      <c r="F1506" s="4" t="s">
        <v>6</v>
      </c>
      <c r="G1506" s="8"/>
      <c r="H1506" s="6" t="str">
        <f aca="false">IF(G1506="","",G1506/SUM($G$2:$G$1514))</f>
        <v/>
      </c>
      <c r="I1506" s="4" t="str">
        <f aca="false">IF(G1506="","",RANK(G1506,$G$2:$G$1514,0))</f>
        <v/>
      </c>
      <c r="J1506" s="4" t="s">
        <v>34</v>
      </c>
    </row>
    <row r="1507" customFormat="false" ht="15" hidden="false" customHeight="false" outlineLevel="0" collapsed="false">
      <c r="A1507" s="4" t="s">
        <v>3212</v>
      </c>
      <c r="B1507" s="4" t="s">
        <v>3154</v>
      </c>
      <c r="C1507" s="4" t="s">
        <v>3155</v>
      </c>
      <c r="D1507" s="7" t="s">
        <v>3213</v>
      </c>
      <c r="E1507" s="4" t="s">
        <v>3157</v>
      </c>
      <c r="F1507" s="4" t="s">
        <v>6</v>
      </c>
      <c r="G1507" s="8"/>
      <c r="H1507" s="6" t="str">
        <f aca="false">IF(G1507="","",G1507/SUM($G$2:$G$1514))</f>
        <v/>
      </c>
      <c r="I1507" s="4" t="str">
        <f aca="false">IF(G1507="","",RANK(G1507,$G$2:$G$1514,0))</f>
        <v/>
      </c>
      <c r="J1507" s="4" t="s">
        <v>34</v>
      </c>
    </row>
    <row r="1508" customFormat="false" ht="15" hidden="false" customHeight="false" outlineLevel="0" collapsed="false">
      <c r="A1508" s="4" t="s">
        <v>3214</v>
      </c>
      <c r="B1508" s="4" t="s">
        <v>3154</v>
      </c>
      <c r="C1508" s="4" t="s">
        <v>3155</v>
      </c>
      <c r="D1508" s="7" t="s">
        <v>3215</v>
      </c>
      <c r="E1508" s="4" t="s">
        <v>3157</v>
      </c>
      <c r="F1508" s="4" t="s">
        <v>6</v>
      </c>
      <c r="G1508" s="8"/>
      <c r="H1508" s="6" t="str">
        <f aca="false">IF(G1508="","",G1508/SUM($G$2:$G$1514))</f>
        <v/>
      </c>
      <c r="I1508" s="4" t="str">
        <f aca="false">IF(G1508="","",RANK(G1508,$G$2:$G$1514,0))</f>
        <v/>
      </c>
      <c r="J1508" s="4" t="s">
        <v>34</v>
      </c>
    </row>
    <row r="1509" customFormat="false" ht="15" hidden="false" customHeight="false" outlineLevel="0" collapsed="false">
      <c r="A1509" s="4" t="s">
        <v>3216</v>
      </c>
      <c r="B1509" s="4" t="s">
        <v>3154</v>
      </c>
      <c r="C1509" s="4" t="s">
        <v>3155</v>
      </c>
      <c r="D1509" s="7" t="s">
        <v>3217</v>
      </c>
      <c r="E1509" s="4" t="s">
        <v>3157</v>
      </c>
      <c r="F1509" s="4" t="s">
        <v>6</v>
      </c>
      <c r="G1509" s="8"/>
      <c r="H1509" s="6" t="str">
        <f aca="false">IF(G1509="","",G1509/SUM($G$2:$G$1514))</f>
        <v/>
      </c>
      <c r="I1509" s="4" t="str">
        <f aca="false">IF(G1509="","",RANK(G1509,$G$2:$G$1514,0))</f>
        <v/>
      </c>
      <c r="J1509" s="4" t="s">
        <v>34</v>
      </c>
    </row>
    <row r="1510" customFormat="false" ht="15" hidden="false" customHeight="false" outlineLevel="0" collapsed="false">
      <c r="A1510" s="4" t="s">
        <v>3218</v>
      </c>
      <c r="B1510" s="4" t="s">
        <v>3154</v>
      </c>
      <c r="C1510" s="4" t="s">
        <v>3155</v>
      </c>
      <c r="D1510" s="7" t="s">
        <v>3219</v>
      </c>
      <c r="E1510" s="4" t="s">
        <v>3157</v>
      </c>
      <c r="F1510" s="4" t="s">
        <v>6</v>
      </c>
      <c r="G1510" s="8"/>
      <c r="H1510" s="6" t="str">
        <f aca="false">IF(G1510="","",G1510/SUM($G$2:$G$1514))</f>
        <v/>
      </c>
      <c r="I1510" s="4" t="str">
        <f aca="false">IF(G1510="","",RANK(G1510,$G$2:$G$1514,0))</f>
        <v/>
      </c>
      <c r="J1510" s="4" t="s">
        <v>34</v>
      </c>
    </row>
    <row r="1511" customFormat="false" ht="15" hidden="false" customHeight="false" outlineLevel="0" collapsed="false">
      <c r="A1511" s="4" t="s">
        <v>3220</v>
      </c>
      <c r="B1511" s="4" t="s">
        <v>3221</v>
      </c>
      <c r="C1511" s="4" t="s">
        <v>3222</v>
      </c>
      <c r="D1511" s="7" t="s">
        <v>3223</v>
      </c>
      <c r="E1511" s="4" t="s">
        <v>176</v>
      </c>
      <c r="F1511" s="4" t="s">
        <v>7</v>
      </c>
      <c r="G1511" s="8"/>
      <c r="H1511" s="6" t="str">
        <f aca="false">IF(G1511="","",G1511/SUM($G$2:$G$1514))</f>
        <v/>
      </c>
      <c r="I1511" s="4" t="str">
        <f aca="false">IF(G1511="","",RANK(G1511,$G$2:$G$1514,0))</f>
        <v/>
      </c>
      <c r="J1511" s="4" t="s">
        <v>3224</v>
      </c>
    </row>
    <row r="1512" customFormat="false" ht="15" hidden="false" customHeight="false" outlineLevel="0" collapsed="false">
      <c r="A1512" s="4" t="s">
        <v>3225</v>
      </c>
      <c r="B1512" s="4" t="s">
        <v>3221</v>
      </c>
      <c r="C1512" s="4" t="s">
        <v>3222</v>
      </c>
      <c r="D1512" s="7" t="s">
        <v>3226</v>
      </c>
      <c r="E1512" s="4" t="s">
        <v>176</v>
      </c>
      <c r="F1512" s="4" t="s">
        <v>7</v>
      </c>
      <c r="G1512" s="8"/>
      <c r="H1512" s="6" t="str">
        <f aca="false">IF(G1512="","",G1512/SUM($G$2:$G$1514))</f>
        <v/>
      </c>
      <c r="I1512" s="4" t="str">
        <f aca="false">IF(G1512="","",RANK(G1512,$G$2:$G$1514,0))</f>
        <v/>
      </c>
      <c r="J1512" s="4" t="s">
        <v>3224</v>
      </c>
    </row>
    <row r="1513" customFormat="false" ht="15" hidden="false" customHeight="false" outlineLevel="0" collapsed="false">
      <c r="A1513" s="4" t="s">
        <v>3227</v>
      </c>
      <c r="B1513" s="4" t="s">
        <v>3221</v>
      </c>
      <c r="C1513" s="4" t="s">
        <v>3222</v>
      </c>
      <c r="D1513" s="7" t="s">
        <v>3228</v>
      </c>
      <c r="E1513" s="4" t="s">
        <v>176</v>
      </c>
      <c r="F1513" s="4" t="s">
        <v>7</v>
      </c>
      <c r="G1513" s="8"/>
      <c r="H1513" s="6" t="str">
        <f aca="false">IF(G1513="","",G1513/SUM($G$2:$G$1514))</f>
        <v/>
      </c>
      <c r="I1513" s="4" t="str">
        <f aca="false">IF(G1513="","",RANK(G1513,$G$2:$G$1514,0))</f>
        <v/>
      </c>
      <c r="J1513" s="4" t="s">
        <v>3224</v>
      </c>
    </row>
    <row r="1514" customFormat="false" ht="15" hidden="false" customHeight="false" outlineLevel="0" collapsed="false">
      <c r="A1514" s="4" t="s">
        <v>3229</v>
      </c>
      <c r="B1514" s="4" t="s">
        <v>3221</v>
      </c>
      <c r="C1514" s="4" t="s">
        <v>3222</v>
      </c>
      <c r="D1514" s="7" t="s">
        <v>3230</v>
      </c>
      <c r="E1514" s="4" t="s">
        <v>176</v>
      </c>
      <c r="F1514" s="4" t="s">
        <v>7</v>
      </c>
      <c r="G1514" s="8"/>
      <c r="H1514" s="6" t="str">
        <f aca="false">IF(G1514="","",G1514/SUM($G$2:$G$1514))</f>
        <v/>
      </c>
      <c r="I1514" s="4" t="str">
        <f aca="false">IF(G1514="","",RANK(G1514,$G$2:$G$1514,0))</f>
        <v/>
      </c>
      <c r="J1514" s="4" t="s">
        <v>3224</v>
      </c>
    </row>
  </sheetData>
  <autoFilter ref="A1:J15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3231</v>
      </c>
      <c r="D1" s="3" t="s">
        <v>4</v>
      </c>
      <c r="E1" s="3" t="s">
        <v>19</v>
      </c>
      <c r="F1" s="3" t="s">
        <v>24</v>
      </c>
      <c r="G1" s="3" t="s">
        <v>3232</v>
      </c>
    </row>
    <row r="2" customFormat="false" ht="15" hidden="false" customHeight="false" outlineLevel="0" collapsed="false">
      <c r="A2" s="4" t="s">
        <v>30</v>
      </c>
      <c r="B2" s="4" t="s">
        <v>4</v>
      </c>
      <c r="C2" s="4" t="n">
        <f aca="false">COUNTIFS(Features!$B$2:$B$1514,A2)</f>
        <v>146</v>
      </c>
      <c r="D2" s="4" t="n">
        <f aca="false">COUNTIFS(Features!$B$2:$B$1514,A2,Features!$F$2:$F$1514,"Served")</f>
        <v>146</v>
      </c>
      <c r="E2" s="6" t="n">
        <f aca="false">SUMIFS(Features!$H$2:$H$1514,Features!$B$2:$B$1514,A2)</f>
        <v>0.222113443900251</v>
      </c>
      <c r="F2" s="4" t="s">
        <v>33</v>
      </c>
      <c r="G2" s="4" t="s">
        <v>3233</v>
      </c>
    </row>
    <row r="3" customFormat="false" ht="15" hidden="false" customHeight="false" outlineLevel="0" collapsed="false">
      <c r="A3" s="4" t="s">
        <v>38</v>
      </c>
      <c r="B3" s="4" t="s">
        <v>4</v>
      </c>
      <c r="C3" s="4" t="n">
        <f aca="false">COUNTIFS(Features!$B$2:$B$1514,A3)</f>
        <v>188</v>
      </c>
      <c r="D3" s="4" t="n">
        <f aca="false">COUNTIFS(Features!$B$2:$B$1514,A3,Features!$F$2:$F$1514,"Served")</f>
        <v>188</v>
      </c>
      <c r="E3" s="6" t="n">
        <f aca="false">SUMIFS(Features!$H$2:$H$1514,Features!$B$2:$B$1514,A3)</f>
        <v>0.275659319639011</v>
      </c>
      <c r="F3" s="4" t="s">
        <v>41</v>
      </c>
      <c r="G3" s="4" t="s">
        <v>3234</v>
      </c>
    </row>
    <row r="4" customFormat="false" ht="15" hidden="false" customHeight="false" outlineLevel="0" collapsed="false">
      <c r="A4" s="4" t="s">
        <v>45</v>
      </c>
      <c r="B4" s="4" t="s">
        <v>4</v>
      </c>
      <c r="C4" s="4" t="n">
        <f aca="false">COUNTIFS(Features!$B$2:$B$1514,A4)</f>
        <v>60</v>
      </c>
      <c r="D4" s="4" t="n">
        <f aca="false">COUNTIFS(Features!$B$2:$B$1514,A4,Features!$F$2:$F$1514,"Served")</f>
        <v>60</v>
      </c>
      <c r="E4" s="6" t="n">
        <f aca="false">SUMIFS(Features!$H$2:$H$1514,Features!$B$2:$B$1514,A4)</f>
        <v>0.141813279923867</v>
      </c>
      <c r="F4" s="4" t="s">
        <v>48</v>
      </c>
      <c r="G4" s="4" t="s">
        <v>3235</v>
      </c>
    </row>
    <row r="5" customFormat="false" ht="15" hidden="false" customHeight="false" outlineLevel="0" collapsed="false">
      <c r="A5" s="4" t="s">
        <v>50</v>
      </c>
      <c r="B5" s="4" t="s">
        <v>4</v>
      </c>
      <c r="C5" s="4" t="n">
        <f aca="false">COUNTIFS(Features!$B$2:$B$1514,A5)</f>
        <v>9</v>
      </c>
      <c r="D5" s="4" t="n">
        <f aca="false">COUNTIFS(Features!$B$2:$B$1514,A5,Features!$F$2:$F$1514,"Served")</f>
        <v>9</v>
      </c>
      <c r="E5" s="6" t="n">
        <f aca="false">SUMIFS(Features!$H$2:$H$1514,Features!$B$2:$B$1514,A5)</f>
        <v>0.0258472302061396</v>
      </c>
      <c r="F5" s="4" t="s">
        <v>53</v>
      </c>
      <c r="G5" s="4" t="s">
        <v>3236</v>
      </c>
    </row>
    <row r="6" customFormat="false" ht="15" hidden="false" customHeight="false" outlineLevel="0" collapsed="false">
      <c r="A6" s="4" t="s">
        <v>66</v>
      </c>
      <c r="B6" s="4" t="s">
        <v>4</v>
      </c>
      <c r="C6" s="4" t="n">
        <f aca="false">COUNTIFS(Features!$B$2:$B$1514,A6)</f>
        <v>80</v>
      </c>
      <c r="D6" s="4" t="n">
        <f aca="false">COUNTIFS(Features!$B$2:$B$1514,A6,Features!$F$2:$F$1514,"Served")</f>
        <v>80</v>
      </c>
      <c r="E6" s="6" t="n">
        <f aca="false">SUMIFS(Features!$H$2:$H$1514,Features!$B$2:$B$1514,A6)</f>
        <v>0.0727135650891981</v>
      </c>
      <c r="F6" s="4" t="s">
        <v>69</v>
      </c>
      <c r="G6" s="4" t="s">
        <v>3237</v>
      </c>
    </row>
    <row r="7" customFormat="false" ht="15" hidden="false" customHeight="false" outlineLevel="0" collapsed="false">
      <c r="A7" s="4" t="s">
        <v>80</v>
      </c>
      <c r="B7" s="4" t="s">
        <v>4</v>
      </c>
      <c r="C7" s="4" t="n">
        <f aca="false">COUNTIFS(Features!$B$2:$B$1514,A7)</f>
        <v>14</v>
      </c>
      <c r="D7" s="4" t="n">
        <f aca="false">COUNTIFS(Features!$B$2:$B$1514,A7,Features!$F$2:$F$1514,"Served")</f>
        <v>14</v>
      </c>
      <c r="E7" s="6" t="n">
        <f aca="false">SUMIFS(Features!$H$2:$H$1514,Features!$B$2:$B$1514,A7)</f>
        <v>0.0269154200585967</v>
      </c>
      <c r="F7" s="4" t="s">
        <v>83</v>
      </c>
      <c r="G7" s="4" t="s">
        <v>3238</v>
      </c>
    </row>
    <row r="8" customFormat="false" ht="15" hidden="false" customHeight="false" outlineLevel="0" collapsed="false">
      <c r="A8" s="4" t="s">
        <v>85</v>
      </c>
      <c r="B8" s="4" t="s">
        <v>4</v>
      </c>
      <c r="C8" s="4" t="n">
        <f aca="false">COUNTIFS(Features!$B$2:$B$1514,A8)</f>
        <v>10</v>
      </c>
      <c r="D8" s="4" t="n">
        <f aca="false">COUNTIFS(Features!$B$2:$B$1514,A8,Features!$F$2:$F$1514,"Served")</f>
        <v>10</v>
      </c>
      <c r="E8" s="6" t="n">
        <f aca="false">SUMIFS(Features!$H$2:$H$1514,Features!$B$2:$B$1514,A8)</f>
        <v>0.0230736043378472</v>
      </c>
      <c r="F8" s="4" t="s">
        <v>88</v>
      </c>
      <c r="G8" s="4" t="s">
        <v>3239</v>
      </c>
    </row>
    <row r="9" customFormat="false" ht="15" hidden="false" customHeight="false" outlineLevel="0" collapsed="false">
      <c r="A9" s="4" t="s">
        <v>98</v>
      </c>
      <c r="B9" s="4" t="s">
        <v>4</v>
      </c>
      <c r="C9" s="4" t="n">
        <f aca="false">COUNTIFS(Features!$B$2:$B$1514,A9)</f>
        <v>77</v>
      </c>
      <c r="D9" s="4" t="n">
        <f aca="false">COUNTIFS(Features!$B$2:$B$1514,A9,Features!$F$2:$F$1514,"Served")</f>
        <v>77</v>
      </c>
      <c r="E9" s="6" t="n">
        <f aca="false">SUMIFS(Features!$H$2:$H$1514,Features!$B$2:$B$1514,A9)</f>
        <v>0.0260237523871464</v>
      </c>
      <c r="F9" s="4" t="s">
        <v>101</v>
      </c>
      <c r="G9" s="4" t="s">
        <v>3240</v>
      </c>
    </row>
    <row r="10" customFormat="false" ht="15" hidden="false" customHeight="false" outlineLevel="0" collapsed="false">
      <c r="A10" s="4" t="s">
        <v>117</v>
      </c>
      <c r="B10" s="4" t="s">
        <v>4</v>
      </c>
      <c r="C10" s="4" t="n">
        <f aca="false">COUNTIFS(Features!$B$2:$B$1514,A10)</f>
        <v>60</v>
      </c>
      <c r="D10" s="4" t="n">
        <f aca="false">COUNTIFS(Features!$B$2:$B$1514,A10,Features!$F$2:$F$1514,"Served")</f>
        <v>60</v>
      </c>
      <c r="E10" s="6" t="n">
        <f aca="false">SUMIFS(Features!$H$2:$H$1514,Features!$B$2:$B$1514,A10)</f>
        <v>0.0270992843344132</v>
      </c>
      <c r="F10" s="4" t="s">
        <v>120</v>
      </c>
      <c r="G10" s="4" t="s">
        <v>3241</v>
      </c>
    </row>
    <row r="11" customFormat="false" ht="15" hidden="false" customHeight="false" outlineLevel="0" collapsed="false">
      <c r="A11" s="4" t="s">
        <v>122</v>
      </c>
      <c r="B11" s="4" t="s">
        <v>4</v>
      </c>
      <c r="C11" s="4" t="n">
        <f aca="false">COUNTIFS(Features!$B$2:$B$1514,A11)</f>
        <v>14</v>
      </c>
      <c r="D11" s="4" t="n">
        <f aca="false">COUNTIFS(Features!$B$2:$B$1514,A11,Features!$F$2:$F$1514,"Served")</f>
        <v>14</v>
      </c>
      <c r="E11" s="6" t="n">
        <f aca="false">SUMIFS(Features!$H$2:$H$1514,Features!$B$2:$B$1514,A11)</f>
        <v>0.0168559900166727</v>
      </c>
      <c r="F11" s="4" t="s">
        <v>125</v>
      </c>
      <c r="G11" s="4" t="s">
        <v>3242</v>
      </c>
    </row>
    <row r="12" customFormat="false" ht="15" hidden="false" customHeight="false" outlineLevel="0" collapsed="false">
      <c r="A12" s="4" t="s">
        <v>163</v>
      </c>
      <c r="B12" s="4" t="s">
        <v>4</v>
      </c>
      <c r="C12" s="4" t="n">
        <f aca="false">COUNTIFS(Features!$B$2:$B$1514,A12)</f>
        <v>13</v>
      </c>
      <c r="D12" s="4" t="n">
        <f aca="false">COUNTIFS(Features!$B$2:$B$1514,A12,Features!$F$2:$F$1514,"Served")</f>
        <v>13</v>
      </c>
      <c r="E12" s="6" t="n">
        <f aca="false">SUMIFS(Features!$H$2:$H$1514,Features!$B$2:$B$1514,A12)</f>
        <v>0.00786081167999149</v>
      </c>
      <c r="F12" s="4" t="s">
        <v>166</v>
      </c>
      <c r="G12" s="4" t="s">
        <v>3243</v>
      </c>
    </row>
    <row r="13" customFormat="false" ht="15" hidden="false" customHeight="false" outlineLevel="0" collapsed="false">
      <c r="A13" s="4" t="s">
        <v>173</v>
      </c>
      <c r="B13" s="4" t="s">
        <v>4</v>
      </c>
      <c r="C13" s="4" t="n">
        <f aca="false">COUNTIFS(Features!$B$2:$B$1514,A13)</f>
        <v>20</v>
      </c>
      <c r="D13" s="4" t="n">
        <f aca="false">COUNTIFS(Features!$B$2:$B$1514,A13,Features!$F$2:$F$1514,"Served")</f>
        <v>20</v>
      </c>
      <c r="E13" s="6" t="n">
        <f aca="false">SUMIFS(Features!$H$2:$H$1514,Features!$B$2:$B$1514,A13)</f>
        <v>0.0131502665036349</v>
      </c>
      <c r="F13" s="4" t="s">
        <v>176</v>
      </c>
      <c r="G13" s="4" t="s">
        <v>3244</v>
      </c>
    </row>
    <row r="14" customFormat="false" ht="15" hidden="false" customHeight="false" outlineLevel="0" collapsed="false">
      <c r="A14" s="4" t="s">
        <v>178</v>
      </c>
      <c r="B14" s="4" t="s">
        <v>4</v>
      </c>
      <c r="C14" s="4" t="n">
        <f aca="false">COUNTIFS(Features!$B$2:$B$1514,A14)</f>
        <v>6</v>
      </c>
      <c r="D14" s="4" t="n">
        <f aca="false">COUNTIFS(Features!$B$2:$B$1514,A14,Features!$F$2:$F$1514,"Served")</f>
        <v>6</v>
      </c>
      <c r="E14" s="6" t="n">
        <f aca="false">SUMIFS(Features!$H$2:$H$1514,Features!$B$2:$B$1514,A14)</f>
        <v>0.006286783931187</v>
      </c>
      <c r="F14" s="4" t="s">
        <v>181</v>
      </c>
      <c r="G14" s="4" t="s">
        <v>3245</v>
      </c>
    </row>
    <row r="15" customFormat="false" ht="15" hidden="false" customHeight="false" outlineLevel="0" collapsed="false">
      <c r="A15" s="4" t="s">
        <v>183</v>
      </c>
      <c r="B15" s="4" t="s">
        <v>4</v>
      </c>
      <c r="C15" s="4" t="n">
        <f aca="false">COUNTIFS(Features!$B$2:$B$1514,A15)</f>
        <v>20</v>
      </c>
      <c r="D15" s="4" t="n">
        <f aca="false">COUNTIFS(Features!$B$2:$B$1514,A15,Features!$F$2:$F$1514,"Served")</f>
        <v>20</v>
      </c>
      <c r="E15" s="6" t="n">
        <f aca="false">SUMIFS(Features!$H$2:$H$1514,Features!$B$2:$B$1514,A15)</f>
        <v>0.0198338284103692</v>
      </c>
      <c r="F15" s="4" t="s">
        <v>186</v>
      </c>
      <c r="G15" s="4" t="s">
        <v>3246</v>
      </c>
    </row>
    <row r="16" customFormat="false" ht="15" hidden="false" customHeight="false" outlineLevel="0" collapsed="false">
      <c r="A16" s="4" t="s">
        <v>188</v>
      </c>
      <c r="B16" s="4" t="s">
        <v>4</v>
      </c>
      <c r="C16" s="4" t="n">
        <f aca="false">COUNTIFS(Features!$B$2:$B$1514,A16)</f>
        <v>7</v>
      </c>
      <c r="D16" s="4" t="n">
        <f aca="false">COUNTIFS(Features!$B$2:$B$1514,A16,Features!$F$2:$F$1514,"Served")</f>
        <v>7</v>
      </c>
      <c r="E16" s="6" t="n">
        <f aca="false">SUMIFS(Features!$H$2:$H$1514,Features!$B$2:$B$1514,A16)</f>
        <v>0.00968996993694989</v>
      </c>
      <c r="F16" s="4" t="s">
        <v>191</v>
      </c>
      <c r="G16" s="4" t="s">
        <v>3247</v>
      </c>
    </row>
    <row r="17" customFormat="false" ht="15" hidden="false" customHeight="false" outlineLevel="0" collapsed="false">
      <c r="A17" s="4" t="s">
        <v>199</v>
      </c>
      <c r="B17" s="4" t="s">
        <v>4</v>
      </c>
      <c r="C17" s="4" t="n">
        <f aca="false">COUNTIFS(Features!$B$2:$B$1514,A17)</f>
        <v>12</v>
      </c>
      <c r="D17" s="4" t="n">
        <f aca="false">COUNTIFS(Features!$B$2:$B$1514,A17,Features!$F$2:$F$1514,"Served")</f>
        <v>12</v>
      </c>
      <c r="E17" s="6" t="n">
        <f aca="false">SUMIFS(Features!$H$2:$H$1514,Features!$B$2:$B$1514,A17)</f>
        <v>0.0100995835489496</v>
      </c>
      <c r="F17" s="4" t="s">
        <v>202</v>
      </c>
      <c r="G17" s="4" t="s">
        <v>3248</v>
      </c>
    </row>
    <row r="18" customFormat="false" ht="15" hidden="false" customHeight="false" outlineLevel="0" collapsed="false">
      <c r="A18" s="4" t="s">
        <v>269</v>
      </c>
      <c r="B18" s="4" t="s">
        <v>4</v>
      </c>
      <c r="C18" s="4" t="n">
        <f aca="false">COUNTIFS(Features!$B$2:$B$1514,A18)</f>
        <v>28</v>
      </c>
      <c r="D18" s="4" t="n">
        <f aca="false">COUNTIFS(Features!$B$2:$B$1514,A18,Features!$F$2:$F$1514,"Served")</f>
        <v>28</v>
      </c>
      <c r="E18" s="6" t="n">
        <f aca="false">SUMIFS(Features!$H$2:$H$1514,Features!$B$2:$B$1514,A18)</f>
        <v>0.0106569553696268</v>
      </c>
      <c r="F18" s="4" t="s">
        <v>272</v>
      </c>
      <c r="G18" s="4" t="s">
        <v>3249</v>
      </c>
    </row>
    <row r="19" customFormat="false" ht="15" hidden="false" customHeight="false" outlineLevel="0" collapsed="false">
      <c r="A19" s="4" t="s">
        <v>296</v>
      </c>
      <c r="B19" s="4" t="s">
        <v>4</v>
      </c>
      <c r="C19" s="4" t="n">
        <f aca="false">COUNTIFS(Features!$B$2:$B$1514,A19)</f>
        <v>114</v>
      </c>
      <c r="D19" s="4" t="n">
        <f aca="false">COUNTIFS(Features!$B$2:$B$1514,A19,Features!$F$2:$F$1514,"Served")</f>
        <v>112</v>
      </c>
      <c r="E19" s="6" t="n">
        <f aca="false">SUMIFS(Features!$H$2:$H$1514,Features!$B$2:$B$1514,A19)</f>
        <v>0.040614242153589</v>
      </c>
      <c r="F19" s="4" t="s">
        <v>41</v>
      </c>
      <c r="G19" s="4" t="s">
        <v>3250</v>
      </c>
    </row>
    <row r="20" customFormat="false" ht="15" hidden="false" customHeight="false" outlineLevel="0" collapsed="false">
      <c r="A20" s="4" t="s">
        <v>318</v>
      </c>
      <c r="B20" s="4" t="s">
        <v>4</v>
      </c>
      <c r="C20" s="4" t="n">
        <f aca="false">COUNTIFS(Features!$B$2:$B$1514,A20)</f>
        <v>10</v>
      </c>
      <c r="D20" s="4" t="n">
        <f aca="false">COUNTIFS(Features!$B$2:$B$1514,A20,Features!$F$2:$F$1514,"Served")</f>
        <v>10</v>
      </c>
      <c r="E20" s="6" t="n">
        <f aca="false">SUMIFS(Features!$H$2:$H$1514,Features!$B$2:$B$1514,A20)</f>
        <v>0.00470572161433733</v>
      </c>
      <c r="F20" s="4" t="s">
        <v>321</v>
      </c>
      <c r="G20" s="4" t="s">
        <v>3251</v>
      </c>
    </row>
    <row r="21" customFormat="false" ht="15" hidden="false" customHeight="false" outlineLevel="0" collapsed="false">
      <c r="A21" s="4" t="s">
        <v>440</v>
      </c>
      <c r="B21" s="4" t="s">
        <v>4</v>
      </c>
      <c r="C21" s="4" t="n">
        <f aca="false">COUNTIFS(Features!$B$2:$B$1514,A21)</f>
        <v>7</v>
      </c>
      <c r="D21" s="4" t="n">
        <f aca="false">COUNTIFS(Features!$B$2:$B$1514,A21,Features!$F$2:$F$1514,"Served")</f>
        <v>7</v>
      </c>
      <c r="E21" s="6" t="n">
        <f aca="false">SUMIFS(Features!$H$2:$H$1514,Features!$B$2:$B$1514,A21)</f>
        <v>0.00172811188848001</v>
      </c>
      <c r="F21" s="4" t="s">
        <v>443</v>
      </c>
      <c r="G21" s="4" t="s">
        <v>3252</v>
      </c>
    </row>
    <row r="22" customFormat="false" ht="15" hidden="false" customHeight="false" outlineLevel="0" collapsed="false">
      <c r="A22" s="4" t="s">
        <v>634</v>
      </c>
      <c r="B22" s="4" t="s">
        <v>4</v>
      </c>
      <c r="C22" s="4" t="n">
        <f aca="false">COUNTIFS(Features!$B$2:$B$1514,A22)</f>
        <v>9</v>
      </c>
      <c r="D22" s="4" t="n">
        <f aca="false">COUNTIFS(Features!$B$2:$B$1514,A22,Features!$F$2:$F$1514,"Served")</f>
        <v>9</v>
      </c>
      <c r="E22" s="6" t="n">
        <f aca="false">SUMIFS(Features!$H$2:$H$1514,Features!$B$2:$B$1514,A22)</f>
        <v>0.00345592733012232</v>
      </c>
      <c r="F22" s="4" t="s">
        <v>637</v>
      </c>
      <c r="G22" s="4" t="s">
        <v>3253</v>
      </c>
    </row>
    <row r="23" customFormat="false" ht="15" hidden="false" customHeight="false" outlineLevel="0" collapsed="false">
      <c r="A23" s="4" t="s">
        <v>687</v>
      </c>
      <c r="B23" s="4" t="s">
        <v>4</v>
      </c>
      <c r="C23" s="4" t="n">
        <f aca="false">COUNTIFS(Features!$B$2:$B$1514,A23)</f>
        <v>91</v>
      </c>
      <c r="D23" s="4" t="n">
        <f aca="false">COUNTIFS(Features!$B$2:$B$1514,A23,Features!$F$2:$F$1514,"Served")</f>
        <v>91</v>
      </c>
      <c r="E23" s="6" t="n">
        <f aca="false">SUMIFS(Features!$H$2:$H$1514,Features!$B$2:$B$1514,A23)</f>
        <v>0.0138029077396194</v>
      </c>
      <c r="F23" s="4" t="s">
        <v>690</v>
      </c>
      <c r="G23" s="4" t="s">
        <v>3254</v>
      </c>
    </row>
    <row r="24" customFormat="false" ht="15" hidden="false" customHeight="false" outlineLevel="0" collapsed="false">
      <c r="A24" s="4" t="s">
        <v>2115</v>
      </c>
      <c r="B24" s="4" t="s">
        <v>6</v>
      </c>
      <c r="C24" s="4" t="n">
        <f aca="false">COUNTIFS(Features!$B$2:$B$1514,A24)</f>
        <v>14</v>
      </c>
      <c r="D24" s="4" t="n">
        <f aca="false">COUNTIFS(Features!$B$2:$B$1514,A24,Features!$F$2:$F$1514,"Served")</f>
        <v>0</v>
      </c>
      <c r="E24" s="6" t="n">
        <f aca="false">SUMIFS(Features!$H$2:$H$1514,Features!$B$2:$B$1514,A24)</f>
        <v>0</v>
      </c>
      <c r="F24" s="4" t="s">
        <v>2118</v>
      </c>
      <c r="G24" s="4" t="s">
        <v>3255</v>
      </c>
    </row>
    <row r="25" customFormat="false" ht="15" hidden="false" customHeight="false" outlineLevel="0" collapsed="false">
      <c r="A25" s="4" t="s">
        <v>2146</v>
      </c>
      <c r="B25" s="4" t="s">
        <v>6</v>
      </c>
      <c r="C25" s="4" t="n">
        <f aca="false">COUNTIFS(Features!$B$2:$B$1514,A25)</f>
        <v>4</v>
      </c>
      <c r="D25" s="4" t="n">
        <f aca="false">COUNTIFS(Features!$B$2:$B$1514,A25,Features!$F$2:$F$1514,"Served")</f>
        <v>0</v>
      </c>
      <c r="E25" s="6" t="n">
        <f aca="false">SUMIFS(Features!$H$2:$H$1514,Features!$B$2:$B$1514,A25)</f>
        <v>0</v>
      </c>
      <c r="F25" s="4" t="s">
        <v>2149</v>
      </c>
      <c r="G25" s="4" t="s">
        <v>3256</v>
      </c>
    </row>
    <row r="26" customFormat="false" ht="15" hidden="false" customHeight="false" outlineLevel="0" collapsed="false">
      <c r="A26" s="4" t="s">
        <v>2157</v>
      </c>
      <c r="B26" s="4" t="s">
        <v>6</v>
      </c>
      <c r="C26" s="4" t="n">
        <f aca="false">COUNTIFS(Features!$B$2:$B$1514,A26)</f>
        <v>44</v>
      </c>
      <c r="D26" s="4" t="n">
        <f aca="false">COUNTIFS(Features!$B$2:$B$1514,A26,Features!$F$2:$F$1514,"Served")</f>
        <v>0</v>
      </c>
      <c r="E26" s="6" t="n">
        <f aca="false">SUMIFS(Features!$H$2:$H$1514,Features!$B$2:$B$1514,A26)</f>
        <v>0</v>
      </c>
      <c r="F26" s="4" t="s">
        <v>2160</v>
      </c>
      <c r="G26" s="4" t="s">
        <v>3257</v>
      </c>
    </row>
    <row r="27" customFormat="false" ht="15" hidden="false" customHeight="false" outlineLevel="0" collapsed="false">
      <c r="A27" s="4" t="s">
        <v>2248</v>
      </c>
      <c r="B27" s="4" t="s">
        <v>6</v>
      </c>
      <c r="C27" s="4" t="n">
        <f aca="false">COUNTIFS(Features!$B$2:$B$1514,A27)</f>
        <v>8</v>
      </c>
      <c r="D27" s="4" t="n">
        <f aca="false">COUNTIFS(Features!$B$2:$B$1514,A27,Features!$F$2:$F$1514,"Served")</f>
        <v>0</v>
      </c>
      <c r="E27" s="6" t="n">
        <f aca="false">SUMIFS(Features!$H$2:$H$1514,Features!$B$2:$B$1514,A27)</f>
        <v>0</v>
      </c>
      <c r="F27" s="4" t="s">
        <v>2251</v>
      </c>
      <c r="G27" s="4" t="s">
        <v>3258</v>
      </c>
    </row>
    <row r="28" customFormat="false" ht="15" hidden="false" customHeight="false" outlineLevel="0" collapsed="false">
      <c r="A28" s="4" t="s">
        <v>2267</v>
      </c>
      <c r="B28" s="4" t="s">
        <v>6</v>
      </c>
      <c r="C28" s="4" t="n">
        <f aca="false">COUNTIFS(Features!$B$2:$B$1514,A28)</f>
        <v>14</v>
      </c>
      <c r="D28" s="4" t="n">
        <f aca="false">COUNTIFS(Features!$B$2:$B$1514,A28,Features!$F$2:$F$1514,"Served")</f>
        <v>0</v>
      </c>
      <c r="E28" s="6" t="n">
        <f aca="false">SUMIFS(Features!$H$2:$H$1514,Features!$B$2:$B$1514,A28)</f>
        <v>0</v>
      </c>
      <c r="F28" s="4" t="s">
        <v>2270</v>
      </c>
      <c r="G28" s="4" t="s">
        <v>3259</v>
      </c>
    </row>
    <row r="29" customFormat="false" ht="15" hidden="false" customHeight="false" outlineLevel="0" collapsed="false">
      <c r="A29" s="4" t="s">
        <v>2298</v>
      </c>
      <c r="B29" s="4" t="s">
        <v>6</v>
      </c>
      <c r="C29" s="4" t="n">
        <f aca="false">COUNTIFS(Features!$B$2:$B$1514,A29)</f>
        <v>37</v>
      </c>
      <c r="D29" s="4" t="n">
        <f aca="false">COUNTIFS(Features!$B$2:$B$1514,A29,Features!$F$2:$F$1514,"Served")</f>
        <v>0</v>
      </c>
      <c r="E29" s="6" t="n">
        <f aca="false">SUMIFS(Features!$H$2:$H$1514,Features!$B$2:$B$1514,A29)</f>
        <v>0</v>
      </c>
      <c r="F29" s="4" t="s">
        <v>2301</v>
      </c>
      <c r="G29" s="4" t="s">
        <v>3260</v>
      </c>
    </row>
    <row r="30" customFormat="false" ht="15" hidden="false" customHeight="false" outlineLevel="0" collapsed="false">
      <c r="A30" s="4" t="s">
        <v>2375</v>
      </c>
      <c r="B30" s="4" t="s">
        <v>6</v>
      </c>
      <c r="C30" s="4" t="n">
        <f aca="false">COUNTIFS(Features!$B$2:$B$1514,A30)</f>
        <v>6</v>
      </c>
      <c r="D30" s="4" t="n">
        <f aca="false">COUNTIFS(Features!$B$2:$B$1514,A30,Features!$F$2:$F$1514,"Served")</f>
        <v>0</v>
      </c>
      <c r="E30" s="6" t="n">
        <f aca="false">SUMIFS(Features!$H$2:$H$1514,Features!$B$2:$B$1514,A30)</f>
        <v>0</v>
      </c>
      <c r="F30" s="4" t="s">
        <v>2378</v>
      </c>
      <c r="G30" s="4" t="s">
        <v>3261</v>
      </c>
    </row>
    <row r="31" customFormat="false" ht="15" hidden="false" customHeight="false" outlineLevel="0" collapsed="false">
      <c r="A31" s="4" t="s">
        <v>2390</v>
      </c>
      <c r="B31" s="4" t="s">
        <v>6</v>
      </c>
      <c r="C31" s="4" t="n">
        <f aca="false">COUNTIFS(Features!$B$2:$B$1514,A31)</f>
        <v>50</v>
      </c>
      <c r="D31" s="4" t="n">
        <f aca="false">COUNTIFS(Features!$B$2:$B$1514,A31,Features!$F$2:$F$1514,"Served")</f>
        <v>0</v>
      </c>
      <c r="E31" s="6" t="n">
        <f aca="false">SUMIFS(Features!$H$2:$H$1514,Features!$B$2:$B$1514,A31)</f>
        <v>0</v>
      </c>
      <c r="F31" s="4" t="s">
        <v>2393</v>
      </c>
      <c r="G31" s="4" t="s">
        <v>3262</v>
      </c>
    </row>
    <row r="32" customFormat="false" ht="15" hidden="false" customHeight="false" outlineLevel="0" collapsed="false">
      <c r="A32" s="4" t="s">
        <v>2493</v>
      </c>
      <c r="B32" s="4" t="s">
        <v>6</v>
      </c>
      <c r="C32" s="4" t="n">
        <f aca="false">COUNTIFS(Features!$B$2:$B$1514,A32)</f>
        <v>13</v>
      </c>
      <c r="D32" s="4" t="n">
        <f aca="false">COUNTIFS(Features!$B$2:$B$1514,A32,Features!$F$2:$F$1514,"Served")</f>
        <v>0</v>
      </c>
      <c r="E32" s="6" t="n">
        <f aca="false">SUMIFS(Features!$H$2:$H$1514,Features!$B$2:$B$1514,A32)</f>
        <v>0</v>
      </c>
      <c r="F32" s="4" t="s">
        <v>2496</v>
      </c>
      <c r="G32" s="4" t="s">
        <v>3263</v>
      </c>
    </row>
    <row r="33" customFormat="false" ht="15" hidden="false" customHeight="false" outlineLevel="0" collapsed="false">
      <c r="A33" s="4" t="s">
        <v>2522</v>
      </c>
      <c r="B33" s="4" t="s">
        <v>6</v>
      </c>
      <c r="C33" s="4" t="n">
        <f aca="false">COUNTIFS(Features!$B$2:$B$1514,A33)</f>
        <v>8</v>
      </c>
      <c r="D33" s="4" t="n">
        <f aca="false">COUNTIFS(Features!$B$2:$B$1514,A33,Features!$F$2:$F$1514,"Served")</f>
        <v>0</v>
      </c>
      <c r="E33" s="6" t="n">
        <f aca="false">SUMIFS(Features!$H$2:$H$1514,Features!$B$2:$B$1514,A33)</f>
        <v>0</v>
      </c>
      <c r="F33" s="4" t="s">
        <v>2525</v>
      </c>
      <c r="G33" s="4" t="s">
        <v>3264</v>
      </c>
    </row>
    <row r="34" customFormat="false" ht="15" hidden="false" customHeight="false" outlineLevel="0" collapsed="false">
      <c r="A34" s="4" t="s">
        <v>2541</v>
      </c>
      <c r="B34" s="4" t="s">
        <v>6</v>
      </c>
      <c r="C34" s="4" t="n">
        <f aca="false">COUNTIFS(Features!$B$2:$B$1514,A34)</f>
        <v>7</v>
      </c>
      <c r="D34" s="4" t="n">
        <f aca="false">COUNTIFS(Features!$B$2:$B$1514,A34,Features!$F$2:$F$1514,"Served")</f>
        <v>0</v>
      </c>
      <c r="E34" s="6" t="n">
        <f aca="false">SUMIFS(Features!$H$2:$H$1514,Features!$B$2:$B$1514,A34)</f>
        <v>0</v>
      </c>
      <c r="F34" s="4" t="s">
        <v>2544</v>
      </c>
      <c r="G34" s="4" t="s">
        <v>3265</v>
      </c>
    </row>
    <row r="35" customFormat="false" ht="15" hidden="false" customHeight="false" outlineLevel="0" collapsed="false">
      <c r="A35" s="4" t="s">
        <v>2558</v>
      </c>
      <c r="B35" s="4" t="s">
        <v>6</v>
      </c>
      <c r="C35" s="4" t="n">
        <f aca="false">COUNTIFS(Features!$B$2:$B$1514,A35)</f>
        <v>20</v>
      </c>
      <c r="D35" s="4" t="n">
        <f aca="false">COUNTIFS(Features!$B$2:$B$1514,A35,Features!$F$2:$F$1514,"Served")</f>
        <v>0</v>
      </c>
      <c r="E35" s="6" t="n">
        <f aca="false">SUMIFS(Features!$H$2:$H$1514,Features!$B$2:$B$1514,A35)</f>
        <v>0</v>
      </c>
      <c r="F35" s="4" t="s">
        <v>2561</v>
      </c>
      <c r="G35" s="4" t="s">
        <v>3266</v>
      </c>
    </row>
    <row r="36" customFormat="false" ht="15" hidden="false" customHeight="false" outlineLevel="0" collapsed="false">
      <c r="A36" s="4" t="s">
        <v>2601</v>
      </c>
      <c r="B36" s="4" t="s">
        <v>6</v>
      </c>
      <c r="C36" s="4" t="n">
        <f aca="false">COUNTIFS(Features!$B$2:$B$1514,A36)</f>
        <v>12</v>
      </c>
      <c r="D36" s="4" t="n">
        <f aca="false">COUNTIFS(Features!$B$2:$B$1514,A36,Features!$F$2:$F$1514,"Served")</f>
        <v>0</v>
      </c>
      <c r="E36" s="6" t="n">
        <f aca="false">SUMIFS(Features!$H$2:$H$1514,Features!$B$2:$B$1514,A36)</f>
        <v>0</v>
      </c>
      <c r="F36" s="4" t="s">
        <v>2604</v>
      </c>
      <c r="G36" s="4" t="s">
        <v>3267</v>
      </c>
    </row>
    <row r="37" customFormat="false" ht="15" hidden="false" customHeight="false" outlineLevel="0" collapsed="false">
      <c r="A37" s="4" t="s">
        <v>2628</v>
      </c>
      <c r="B37" s="4" t="s">
        <v>6</v>
      </c>
      <c r="C37" s="4" t="n">
        <f aca="false">COUNTIFS(Features!$B$2:$B$1514,A37)</f>
        <v>18</v>
      </c>
      <c r="D37" s="4" t="n">
        <f aca="false">COUNTIFS(Features!$B$2:$B$1514,A37,Features!$F$2:$F$1514,"Served")</f>
        <v>0</v>
      </c>
      <c r="E37" s="6" t="n">
        <f aca="false">SUMIFS(Features!$H$2:$H$1514,Features!$B$2:$B$1514,A37)</f>
        <v>0</v>
      </c>
      <c r="F37" s="4" t="s">
        <v>2631</v>
      </c>
      <c r="G37" s="4" t="s">
        <v>3268</v>
      </c>
    </row>
    <row r="38" customFormat="false" ht="15" hidden="false" customHeight="false" outlineLevel="0" collapsed="false">
      <c r="A38" s="4" t="s">
        <v>2667</v>
      </c>
      <c r="B38" s="4" t="s">
        <v>6</v>
      </c>
      <c r="C38" s="4" t="n">
        <f aca="false">COUNTIFS(Features!$B$2:$B$1514,A38)</f>
        <v>9</v>
      </c>
      <c r="D38" s="4" t="n">
        <f aca="false">COUNTIFS(Features!$B$2:$B$1514,A38,Features!$F$2:$F$1514,"Served")</f>
        <v>0</v>
      </c>
      <c r="E38" s="6" t="n">
        <f aca="false">SUMIFS(Features!$H$2:$H$1514,Features!$B$2:$B$1514,A38)</f>
        <v>0</v>
      </c>
      <c r="F38" s="4" t="s">
        <v>2670</v>
      </c>
      <c r="G38" s="4" t="s">
        <v>3269</v>
      </c>
    </row>
    <row r="39" customFormat="false" ht="15" hidden="false" customHeight="false" outlineLevel="0" collapsed="false">
      <c r="A39" s="4" t="s">
        <v>2688</v>
      </c>
      <c r="B39" s="4" t="s">
        <v>6</v>
      </c>
      <c r="C39" s="4" t="n">
        <f aca="false">COUNTIFS(Features!$B$2:$B$1514,A39)</f>
        <v>64</v>
      </c>
      <c r="D39" s="4" t="n">
        <f aca="false">COUNTIFS(Features!$B$2:$B$1514,A39,Features!$F$2:$F$1514,"Served")</f>
        <v>0</v>
      </c>
      <c r="E39" s="6" t="n">
        <f aca="false">SUMIFS(Features!$H$2:$H$1514,Features!$B$2:$B$1514,A39)</f>
        <v>0</v>
      </c>
      <c r="F39" s="4" t="s">
        <v>2691</v>
      </c>
      <c r="G39" s="4" t="s">
        <v>3270</v>
      </c>
    </row>
    <row r="40" customFormat="false" ht="15" hidden="false" customHeight="false" outlineLevel="0" collapsed="false">
      <c r="A40" s="4" t="s">
        <v>2819</v>
      </c>
      <c r="B40" s="4" t="s">
        <v>6</v>
      </c>
      <c r="C40" s="4" t="n">
        <f aca="false">COUNTIFS(Features!$B$2:$B$1514,A40)</f>
        <v>22</v>
      </c>
      <c r="D40" s="4" t="n">
        <f aca="false">COUNTIFS(Features!$B$2:$B$1514,A40,Features!$F$2:$F$1514,"Served")</f>
        <v>0</v>
      </c>
      <c r="E40" s="6" t="n">
        <f aca="false">SUMIFS(Features!$H$2:$H$1514,Features!$B$2:$B$1514,A40)</f>
        <v>0</v>
      </c>
      <c r="F40" s="4" t="s">
        <v>2822</v>
      </c>
      <c r="G40" s="4" t="s">
        <v>3271</v>
      </c>
    </row>
    <row r="41" customFormat="false" ht="15" hidden="false" customHeight="false" outlineLevel="0" collapsed="false">
      <c r="A41" s="4" t="s">
        <v>2866</v>
      </c>
      <c r="B41" s="4" t="s">
        <v>6</v>
      </c>
      <c r="C41" s="4" t="n">
        <f aca="false">COUNTIFS(Features!$B$2:$B$1514,A41)</f>
        <v>9</v>
      </c>
      <c r="D41" s="4" t="n">
        <f aca="false">COUNTIFS(Features!$B$2:$B$1514,A41,Features!$F$2:$F$1514,"Served")</f>
        <v>0</v>
      </c>
      <c r="E41" s="6" t="n">
        <f aca="false">SUMIFS(Features!$H$2:$H$1514,Features!$B$2:$B$1514,A41)</f>
        <v>0</v>
      </c>
      <c r="F41" s="4" t="s">
        <v>2869</v>
      </c>
      <c r="G41" s="4" t="s">
        <v>3272</v>
      </c>
    </row>
    <row r="42" customFormat="false" ht="15" hidden="false" customHeight="false" outlineLevel="0" collapsed="false">
      <c r="A42" s="4" t="s">
        <v>2887</v>
      </c>
      <c r="B42" s="4" t="s">
        <v>6</v>
      </c>
      <c r="C42" s="4" t="n">
        <f aca="false">COUNTIFS(Features!$B$2:$B$1514,A42)</f>
        <v>14</v>
      </c>
      <c r="D42" s="4" t="n">
        <f aca="false">COUNTIFS(Features!$B$2:$B$1514,A42,Features!$F$2:$F$1514,"Served")</f>
        <v>0</v>
      </c>
      <c r="E42" s="6" t="n">
        <f aca="false">SUMIFS(Features!$H$2:$H$1514,Features!$B$2:$B$1514,A42)</f>
        <v>0</v>
      </c>
      <c r="F42" s="4" t="s">
        <v>2890</v>
      </c>
      <c r="G42" s="4" t="s">
        <v>3273</v>
      </c>
    </row>
    <row r="43" customFormat="false" ht="15" hidden="false" customHeight="false" outlineLevel="0" collapsed="false">
      <c r="A43" s="4" t="s">
        <v>2918</v>
      </c>
      <c r="B43" s="4" t="s">
        <v>6</v>
      </c>
      <c r="C43" s="4" t="n">
        <f aca="false">COUNTIFS(Features!$B$2:$B$1514,A43)</f>
        <v>8</v>
      </c>
      <c r="D43" s="4" t="n">
        <f aca="false">COUNTIFS(Features!$B$2:$B$1514,A43,Features!$F$2:$F$1514,"Served")</f>
        <v>0</v>
      </c>
      <c r="E43" s="6" t="n">
        <f aca="false">SUMIFS(Features!$H$2:$H$1514,Features!$B$2:$B$1514,A43)</f>
        <v>0</v>
      </c>
      <c r="F43" s="4" t="s">
        <v>2921</v>
      </c>
      <c r="G43" s="4" t="s">
        <v>3274</v>
      </c>
    </row>
    <row r="44" customFormat="false" ht="15" hidden="false" customHeight="false" outlineLevel="0" collapsed="false">
      <c r="A44" s="4" t="s">
        <v>2937</v>
      </c>
      <c r="B44" s="4" t="s">
        <v>6</v>
      </c>
      <c r="C44" s="4" t="n">
        <f aca="false">COUNTIFS(Features!$B$2:$B$1514,A44)</f>
        <v>5</v>
      </c>
      <c r="D44" s="4" t="n">
        <f aca="false">COUNTIFS(Features!$B$2:$B$1514,A44,Features!$F$2:$F$1514,"Served")</f>
        <v>0</v>
      </c>
      <c r="E44" s="6" t="n">
        <f aca="false">SUMIFS(Features!$H$2:$H$1514,Features!$B$2:$B$1514,A44)</f>
        <v>0</v>
      </c>
      <c r="F44" s="4" t="s">
        <v>2940</v>
      </c>
      <c r="G44" s="4" t="s">
        <v>3275</v>
      </c>
    </row>
    <row r="45" customFormat="false" ht="15" hidden="false" customHeight="false" outlineLevel="0" collapsed="false">
      <c r="A45" s="4" t="s">
        <v>2950</v>
      </c>
      <c r="B45" s="4" t="s">
        <v>6</v>
      </c>
      <c r="C45" s="4" t="n">
        <f aca="false">COUNTIFS(Features!$B$2:$B$1514,A45)</f>
        <v>39</v>
      </c>
      <c r="D45" s="4" t="n">
        <f aca="false">COUNTIFS(Features!$B$2:$B$1514,A45,Features!$F$2:$F$1514,"Served")</f>
        <v>0</v>
      </c>
      <c r="E45" s="6" t="n">
        <f aca="false">SUMIFS(Features!$H$2:$H$1514,Features!$B$2:$B$1514,A45)</f>
        <v>0</v>
      </c>
      <c r="F45" s="4" t="s">
        <v>2953</v>
      </c>
      <c r="G45" s="4" t="s">
        <v>3276</v>
      </c>
    </row>
    <row r="46" customFormat="false" ht="15" hidden="false" customHeight="false" outlineLevel="0" collapsed="false">
      <c r="A46" s="4" t="s">
        <v>3031</v>
      </c>
      <c r="B46" s="4" t="s">
        <v>6</v>
      </c>
      <c r="C46" s="4" t="n">
        <f aca="false">COUNTIFS(Features!$B$2:$B$1514,A46)</f>
        <v>14</v>
      </c>
      <c r="D46" s="4" t="n">
        <f aca="false">COUNTIFS(Features!$B$2:$B$1514,A46,Features!$F$2:$F$1514,"Served")</f>
        <v>0</v>
      </c>
      <c r="E46" s="6" t="n">
        <f aca="false">SUMIFS(Features!$H$2:$H$1514,Features!$B$2:$B$1514,A46)</f>
        <v>0</v>
      </c>
      <c r="F46" s="4" t="s">
        <v>3034</v>
      </c>
      <c r="G46" s="4" t="s">
        <v>3277</v>
      </c>
    </row>
    <row r="47" customFormat="false" ht="15" hidden="false" customHeight="false" outlineLevel="0" collapsed="false">
      <c r="A47" s="4" t="s">
        <v>3062</v>
      </c>
      <c r="B47" s="4" t="s">
        <v>6</v>
      </c>
      <c r="C47" s="4" t="n">
        <f aca="false">COUNTIFS(Features!$B$2:$B$1514,A47)</f>
        <v>24</v>
      </c>
      <c r="D47" s="4" t="n">
        <f aca="false">COUNTIFS(Features!$B$2:$B$1514,A47,Features!$F$2:$F$1514,"Served")</f>
        <v>0</v>
      </c>
      <c r="E47" s="6" t="n">
        <f aca="false">SUMIFS(Features!$H$2:$H$1514,Features!$B$2:$B$1514,A47)</f>
        <v>0</v>
      </c>
      <c r="F47" s="4" t="s">
        <v>3065</v>
      </c>
      <c r="G47" s="4" t="s">
        <v>3278</v>
      </c>
    </row>
    <row r="48" customFormat="false" ht="15" hidden="false" customHeight="false" outlineLevel="0" collapsed="false">
      <c r="A48" s="4" t="s">
        <v>3113</v>
      </c>
      <c r="B48" s="4" t="s">
        <v>5</v>
      </c>
      <c r="C48" s="4" t="n">
        <f aca="false">COUNTIFS(Features!$B$2:$B$1514,A48)</f>
        <v>19</v>
      </c>
      <c r="D48" s="4" t="n">
        <f aca="false">COUNTIFS(Features!$B$2:$B$1514,A48,Features!$F$2:$F$1514,"Served")</f>
        <v>0</v>
      </c>
      <c r="E48" s="6" t="n">
        <f aca="false">SUMIFS(Features!$H$2:$H$1514,Features!$B$2:$B$1514,A48)</f>
        <v>0</v>
      </c>
      <c r="F48" s="4" t="s">
        <v>3116</v>
      </c>
      <c r="G48" s="4" t="s">
        <v>3279</v>
      </c>
    </row>
    <row r="49" customFormat="false" ht="15" hidden="false" customHeight="false" outlineLevel="0" collapsed="false">
      <c r="A49" s="4" t="s">
        <v>3154</v>
      </c>
      <c r="B49" s="4" t="s">
        <v>6</v>
      </c>
      <c r="C49" s="4" t="n">
        <f aca="false">COUNTIFS(Features!$B$2:$B$1514,A49)</f>
        <v>32</v>
      </c>
      <c r="D49" s="4" t="n">
        <f aca="false">COUNTIFS(Features!$B$2:$B$1514,A49,Features!$F$2:$F$1514,"Served")</f>
        <v>0</v>
      </c>
      <c r="E49" s="6" t="n">
        <f aca="false">SUMIFS(Features!$H$2:$H$1514,Features!$B$2:$B$1514,A49)</f>
        <v>0</v>
      </c>
      <c r="F49" s="4" t="s">
        <v>3157</v>
      </c>
      <c r="G49" s="4" t="s">
        <v>3280</v>
      </c>
    </row>
    <row r="50" customFormat="false" ht="15" hidden="false" customHeight="false" outlineLevel="0" collapsed="false">
      <c r="A50" s="4" t="s">
        <v>3221</v>
      </c>
      <c r="B50" s="4" t="s">
        <v>7</v>
      </c>
      <c r="C50" s="4" t="n">
        <f aca="false">COUNTIFS(Features!$B$2:$B$1514,A50)</f>
        <v>4</v>
      </c>
      <c r="D50" s="4" t="n">
        <f aca="false">COUNTIFS(Features!$B$2:$B$1514,A50,Features!$F$2:$F$1514,"Served")</f>
        <v>0</v>
      </c>
      <c r="E50" s="6" t="n">
        <f aca="false">SUMIFS(Features!$H$2:$H$1514,Features!$B$2:$B$1514,A50)</f>
        <v>0</v>
      </c>
      <c r="F50" s="4" t="s">
        <v>176</v>
      </c>
      <c r="G50" s="4" t="s">
        <v>3281</v>
      </c>
    </row>
    <row r="51" customFormat="false" ht="15" hidden="false" customHeight="false" outlineLevel="0" collapsed="false">
      <c r="A51" s="5" t="s">
        <v>3282</v>
      </c>
      <c r="B51" s="5"/>
      <c r="C51" s="5" t="n">
        <f aca="false">SUM(C2:C50)</f>
        <v>1513</v>
      </c>
      <c r="D51" s="5" t="n">
        <f aca="false">SUM(D2:D50)</f>
        <v>993</v>
      </c>
      <c r="E51" s="9" t="n">
        <f aca="false">SUM(E2:E50)</f>
        <v>1</v>
      </c>
      <c r="F51" s="5"/>
      <c r="G51" s="5"/>
    </row>
    <row r="52" customFormat="false" ht="15" hidden="false" customHeight="false" outlineLevel="0" collapsed="false">
      <c r="A52" s="4"/>
      <c r="B52" s="4"/>
      <c r="C52" s="4"/>
      <c r="D52" s="4"/>
      <c r="E52" s="6"/>
      <c r="F52" s="4"/>
      <c r="G52" s="4"/>
    </row>
    <row r="53" customFormat="false" ht="15" hidden="false" customHeight="false" outlineLevel="0" collapsed="false">
      <c r="A53" s="10" t="s">
        <v>3283</v>
      </c>
      <c r="B53" s="10"/>
      <c r="C53" s="10" t="s">
        <v>3231</v>
      </c>
      <c r="D53" s="10"/>
      <c r="E53" s="11"/>
      <c r="F53" s="10" t="s">
        <v>24</v>
      </c>
      <c r="G53" s="10" t="s">
        <v>3232</v>
      </c>
    </row>
    <row r="54" customFormat="false" ht="15" hidden="false" customHeight="false" outlineLevel="0" collapsed="false">
      <c r="A54" s="4" t="s">
        <v>3284</v>
      </c>
      <c r="B54" s="4" t="s">
        <v>3285</v>
      </c>
      <c r="C54" s="12" t="n">
        <v>7</v>
      </c>
      <c r="D54" s="4" t="n">
        <v>0</v>
      </c>
      <c r="E54" s="6"/>
      <c r="F54" s="4" t="s">
        <v>3286</v>
      </c>
      <c r="G54" s="4" t="s">
        <v>3287</v>
      </c>
    </row>
    <row r="55" customFormat="false" ht="15" hidden="false" customHeight="false" outlineLevel="0" collapsed="false">
      <c r="A55" s="4" t="s">
        <v>188</v>
      </c>
      <c r="B55" s="4" t="s">
        <v>3285</v>
      </c>
      <c r="C55" s="12" t="n">
        <v>6</v>
      </c>
      <c r="D55" s="4" t="n">
        <v>0</v>
      </c>
      <c r="E55" s="6"/>
      <c r="F55" s="4" t="s">
        <v>3288</v>
      </c>
      <c r="G55" s="4" t="s">
        <v>3289</v>
      </c>
    </row>
    <row r="56" customFormat="false" ht="15" hidden="false" customHeight="false" outlineLevel="0" collapsed="false">
      <c r="A56" s="4" t="s">
        <v>50</v>
      </c>
      <c r="B56" s="4" t="s">
        <v>3285</v>
      </c>
      <c r="C56" s="12" t="n">
        <v>10</v>
      </c>
      <c r="D56" s="4" t="n">
        <v>0</v>
      </c>
      <c r="E56" s="6"/>
      <c r="F56" s="4" t="s">
        <v>3290</v>
      </c>
      <c r="G56" s="4" t="s">
        <v>3289</v>
      </c>
    </row>
    <row r="57" customFormat="false" ht="15" hidden="false" customHeight="false" outlineLevel="0" collapsed="false">
      <c r="A57" s="4" t="s">
        <v>3291</v>
      </c>
      <c r="B57" s="4" t="s">
        <v>3285</v>
      </c>
      <c r="C57" s="12" t="n">
        <v>16</v>
      </c>
      <c r="D57" s="4" t="n">
        <v>0</v>
      </c>
      <c r="E57" s="6"/>
      <c r="F57" s="4" t="s">
        <v>3292</v>
      </c>
      <c r="G57" s="4" t="s">
        <v>3293</v>
      </c>
    </row>
    <row r="58" customFormat="false" ht="15" hidden="false" customHeight="false" outlineLevel="0" collapsed="false">
      <c r="A58" s="4" t="s">
        <v>3294</v>
      </c>
      <c r="B58" s="4" t="s">
        <v>3285</v>
      </c>
      <c r="C58" s="12" t="n">
        <v>7</v>
      </c>
      <c r="D58" s="4" t="n">
        <v>0</v>
      </c>
      <c r="E58" s="6"/>
      <c r="F58" s="4" t="s">
        <v>3295</v>
      </c>
      <c r="G58" s="4" t="s">
        <v>3296</v>
      </c>
    </row>
    <row r="59" customFormat="false" ht="15" hidden="false" customHeight="false" outlineLevel="0" collapsed="false">
      <c r="A59" s="4" t="s">
        <v>3297</v>
      </c>
      <c r="B59" s="4" t="s">
        <v>3285</v>
      </c>
      <c r="C59" s="12" t="n">
        <v>21</v>
      </c>
      <c r="D59" s="4" t="n">
        <v>0</v>
      </c>
      <c r="E59" s="6"/>
      <c r="F59" s="4" t="s">
        <v>3298</v>
      </c>
      <c r="G59" s="4" t="s">
        <v>3299</v>
      </c>
    </row>
    <row r="60" customFormat="false" ht="15" hidden="false" customHeight="false" outlineLevel="0" collapsed="false">
      <c r="A60" s="4" t="s">
        <v>3300</v>
      </c>
      <c r="B60" s="4" t="s">
        <v>3285</v>
      </c>
      <c r="C60" s="12" t="n">
        <v>30</v>
      </c>
      <c r="D60" s="4" t="n">
        <v>0</v>
      </c>
      <c r="E60" s="6"/>
      <c r="F60" s="4" t="s">
        <v>3301</v>
      </c>
      <c r="G60" s="4" t="s">
        <v>3302</v>
      </c>
    </row>
    <row r="61" customFormat="false" ht="15" hidden="false" customHeight="false" outlineLevel="0" collapsed="false">
      <c r="A61" s="4" t="s">
        <v>3303</v>
      </c>
      <c r="B61" s="4" t="s">
        <v>3285</v>
      </c>
      <c r="C61" s="12" t="n">
        <v>18</v>
      </c>
      <c r="D61" s="4" t="n">
        <v>0</v>
      </c>
      <c r="E61" s="6"/>
      <c r="F61" s="4" t="s">
        <v>3304</v>
      </c>
      <c r="G61" s="4" t="s">
        <v>3305</v>
      </c>
    </row>
    <row r="62" customFormat="false" ht="15" hidden="false" customHeight="false" outlineLevel="0" collapsed="false">
      <c r="A62" s="4" t="s">
        <v>3306</v>
      </c>
      <c r="B62" s="4" t="s">
        <v>3285</v>
      </c>
      <c r="C62" s="12" t="n">
        <v>16</v>
      </c>
      <c r="D62" s="4" t="n">
        <v>0</v>
      </c>
      <c r="E62" s="6"/>
      <c r="F62" s="4" t="s">
        <v>3307</v>
      </c>
      <c r="G62" s="4" t="s">
        <v>3308</v>
      </c>
    </row>
    <row r="63" customFormat="false" ht="15" hidden="false" customHeight="false" outlineLevel="0" collapsed="false">
      <c r="A63" s="4" t="s">
        <v>3309</v>
      </c>
      <c r="B63" s="4" t="s">
        <v>3285</v>
      </c>
      <c r="C63" s="12" t="n">
        <v>16</v>
      </c>
      <c r="D63" s="4" t="n">
        <v>0</v>
      </c>
      <c r="E63" s="6"/>
      <c r="F63" s="4" t="s">
        <v>3310</v>
      </c>
      <c r="G63" s="4" t="s">
        <v>3311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3312</v>
      </c>
      <c r="B1" s="3" t="s">
        <v>3313</v>
      </c>
      <c r="C1" s="3" t="s">
        <v>3314</v>
      </c>
      <c r="D1" s="3" t="s">
        <v>3315</v>
      </c>
      <c r="E1" s="3" t="s">
        <v>3316</v>
      </c>
      <c r="F1" s="3" t="s">
        <v>3317</v>
      </c>
      <c r="G1" s="3" t="s">
        <v>3318</v>
      </c>
    </row>
    <row r="2" customFormat="false" ht="15" hidden="false" customHeight="false" outlineLevel="0" collapsed="false">
      <c r="A2" s="13" t="s">
        <v>3319</v>
      </c>
      <c r="B2" s="13" t="s">
        <v>3320</v>
      </c>
      <c r="C2" s="13" t="s">
        <v>3321</v>
      </c>
      <c r="D2" s="13" t="s">
        <v>3322</v>
      </c>
      <c r="E2" s="13" t="s">
        <v>3323</v>
      </c>
      <c r="F2" s="13" t="s">
        <v>3324</v>
      </c>
      <c r="G2" s="13" t="s">
        <v>15</v>
      </c>
    </row>
    <row r="3" customFormat="false" ht="23.85" hidden="false" customHeight="false" outlineLevel="0" collapsed="false">
      <c r="A3" s="13" t="s">
        <v>3325</v>
      </c>
      <c r="B3" s="13" t="s">
        <v>3326</v>
      </c>
      <c r="C3" s="13" t="s">
        <v>3321</v>
      </c>
      <c r="D3" s="13" t="s">
        <v>3327</v>
      </c>
      <c r="E3" s="13" t="s">
        <v>3323</v>
      </c>
      <c r="F3" s="13" t="s">
        <v>3328</v>
      </c>
      <c r="G3" s="13" t="s">
        <v>15</v>
      </c>
    </row>
    <row r="4" customFormat="false" ht="15" hidden="false" customHeight="false" outlineLevel="0" collapsed="false">
      <c r="A4" s="13" t="s">
        <v>3329</v>
      </c>
      <c r="B4" s="13" t="s">
        <v>3330</v>
      </c>
      <c r="C4" s="13" t="s">
        <v>3321</v>
      </c>
      <c r="D4" s="13" t="s">
        <v>3331</v>
      </c>
      <c r="E4" s="13" t="s">
        <v>3332</v>
      </c>
      <c r="F4" s="13" t="s">
        <v>3333</v>
      </c>
      <c r="G4" s="13" t="s">
        <v>16</v>
      </c>
    </row>
    <row r="5" customFormat="false" ht="35.05" hidden="false" customHeight="false" outlineLevel="0" collapsed="false">
      <c r="A5" s="13" t="s">
        <v>3334</v>
      </c>
      <c r="B5" s="13" t="s">
        <v>3335</v>
      </c>
      <c r="C5" s="13" t="s">
        <v>3336</v>
      </c>
      <c r="D5" s="13" t="s">
        <v>3337</v>
      </c>
      <c r="E5" s="13" t="s">
        <v>3323</v>
      </c>
      <c r="F5" s="13" t="s">
        <v>3338</v>
      </c>
      <c r="G5" s="13" t="s">
        <v>15</v>
      </c>
    </row>
    <row r="6" customFormat="false" ht="15" hidden="false" customHeight="false" outlineLevel="0" collapsed="false">
      <c r="A6" s="13" t="s">
        <v>3339</v>
      </c>
      <c r="B6" s="13" t="s">
        <v>3340</v>
      </c>
      <c r="C6" s="13" t="s">
        <v>3341</v>
      </c>
      <c r="D6" s="13" t="s">
        <v>3342</v>
      </c>
      <c r="E6" s="13" t="s">
        <v>3323</v>
      </c>
      <c r="F6" s="13" t="s">
        <v>3343</v>
      </c>
      <c r="G6" s="13" t="s">
        <v>15</v>
      </c>
    </row>
    <row r="7" customFormat="false" ht="15" hidden="false" customHeight="false" outlineLevel="0" collapsed="false">
      <c r="A7" s="13" t="s">
        <v>3344</v>
      </c>
      <c r="B7" s="13" t="s">
        <v>3345</v>
      </c>
      <c r="C7" s="13" t="s">
        <v>3346</v>
      </c>
      <c r="D7" s="13" t="s">
        <v>3347</v>
      </c>
      <c r="E7" s="13" t="s">
        <v>3323</v>
      </c>
      <c r="F7" s="13" t="s">
        <v>3348</v>
      </c>
      <c r="G7" s="13" t="s">
        <v>15</v>
      </c>
    </row>
    <row r="8" customFormat="false" ht="23.85" hidden="false" customHeight="false" outlineLevel="0" collapsed="false">
      <c r="A8" s="13" t="s">
        <v>3349</v>
      </c>
      <c r="B8" s="13" t="s">
        <v>3350</v>
      </c>
      <c r="C8" s="13" t="s">
        <v>3351</v>
      </c>
      <c r="D8" s="13" t="s">
        <v>3352</v>
      </c>
      <c r="E8" s="13" t="s">
        <v>3323</v>
      </c>
      <c r="F8" s="13" t="s">
        <v>3353</v>
      </c>
      <c r="G8" s="13" t="s">
        <v>15</v>
      </c>
    </row>
    <row r="9" customFormat="false" ht="35.05" hidden="false" customHeight="false" outlineLevel="0" collapsed="false">
      <c r="A9" s="13" t="s">
        <v>3354</v>
      </c>
      <c r="B9" s="13" t="s">
        <v>3355</v>
      </c>
      <c r="C9" s="13" t="s">
        <v>3351</v>
      </c>
      <c r="D9" s="13" t="s">
        <v>3356</v>
      </c>
      <c r="E9" s="13" t="s">
        <v>3323</v>
      </c>
      <c r="F9" s="13" t="s">
        <v>3357</v>
      </c>
      <c r="G9" s="13" t="s">
        <v>15</v>
      </c>
    </row>
    <row r="10" customFormat="false" ht="15" hidden="false" customHeight="false" outlineLevel="0" collapsed="false">
      <c r="A10" s="13" t="s">
        <v>3358</v>
      </c>
      <c r="B10" s="13" t="s">
        <v>3359</v>
      </c>
      <c r="C10" s="13" t="s">
        <v>3360</v>
      </c>
      <c r="D10" s="13" t="s">
        <v>3361</v>
      </c>
      <c r="E10" s="13" t="s">
        <v>3323</v>
      </c>
      <c r="F10" s="13" t="s">
        <v>3362</v>
      </c>
      <c r="G10" s="13" t="s">
        <v>15</v>
      </c>
    </row>
    <row r="11" customFormat="false" ht="15" hidden="false" customHeight="false" outlineLevel="0" collapsed="false">
      <c r="A11" s="13" t="s">
        <v>3363</v>
      </c>
      <c r="B11" s="13" t="s">
        <v>3364</v>
      </c>
      <c r="C11" s="13" t="s">
        <v>3360</v>
      </c>
      <c r="D11" s="13" t="s">
        <v>3365</v>
      </c>
      <c r="E11" s="13" t="s">
        <v>3323</v>
      </c>
      <c r="F11" s="13" t="s">
        <v>3366</v>
      </c>
      <c r="G11" s="13" t="s">
        <v>15</v>
      </c>
    </row>
    <row r="12" customFormat="false" ht="15" hidden="false" customHeight="false" outlineLevel="0" collapsed="false">
      <c r="A12" s="13" t="s">
        <v>3367</v>
      </c>
      <c r="B12" s="13" t="s">
        <v>3368</v>
      </c>
      <c r="C12" s="13" t="s">
        <v>3321</v>
      </c>
      <c r="D12" s="13" t="s">
        <v>3369</v>
      </c>
      <c r="E12" s="13" t="s">
        <v>3323</v>
      </c>
      <c r="F12" s="13" t="s">
        <v>3370</v>
      </c>
      <c r="G12" s="13" t="s">
        <v>15</v>
      </c>
    </row>
    <row r="13" customFormat="false" ht="23.85" hidden="false" customHeight="false" outlineLevel="0" collapsed="false">
      <c r="A13" s="13" t="s">
        <v>3371</v>
      </c>
      <c r="B13" s="13" t="s">
        <v>3372</v>
      </c>
      <c r="C13" s="13" t="s">
        <v>3373</v>
      </c>
      <c r="D13" s="13" t="s">
        <v>3374</v>
      </c>
      <c r="E13" s="13" t="s">
        <v>3323</v>
      </c>
      <c r="F13" s="13" t="s">
        <v>3375</v>
      </c>
      <c r="G13" s="13" t="s">
        <v>15</v>
      </c>
    </row>
    <row r="14" customFormat="false" ht="23.85" hidden="false" customHeight="false" outlineLevel="0" collapsed="false">
      <c r="A14" s="13" t="s">
        <v>3376</v>
      </c>
      <c r="B14" s="13" t="s">
        <v>3377</v>
      </c>
      <c r="C14" s="13" t="s">
        <v>3373</v>
      </c>
      <c r="D14" s="13" t="s">
        <v>3378</v>
      </c>
      <c r="E14" s="13" t="s">
        <v>3323</v>
      </c>
      <c r="F14" s="13" t="s">
        <v>3379</v>
      </c>
      <c r="G14" s="13" t="s">
        <v>15</v>
      </c>
    </row>
    <row r="15" customFormat="false" ht="15" hidden="false" customHeight="false" outlineLevel="0" collapsed="false">
      <c r="A15" s="13" t="s">
        <v>3380</v>
      </c>
      <c r="B15" s="13" t="s">
        <v>3381</v>
      </c>
      <c r="C15" s="13" t="s">
        <v>3382</v>
      </c>
      <c r="D15" s="13" t="s">
        <v>3383</v>
      </c>
      <c r="E15" s="13" t="s">
        <v>3323</v>
      </c>
      <c r="F15" s="13" t="s">
        <v>3384</v>
      </c>
      <c r="G15" s="13" t="s">
        <v>14</v>
      </c>
    </row>
    <row r="16" customFormat="false" ht="35.05" hidden="false" customHeight="false" outlineLevel="0" collapsed="false">
      <c r="A16" s="13" t="s">
        <v>3385</v>
      </c>
      <c r="B16" s="13" t="s">
        <v>3386</v>
      </c>
      <c r="C16" s="13" t="s">
        <v>3387</v>
      </c>
      <c r="D16" s="13" t="s">
        <v>3388</v>
      </c>
      <c r="E16" s="13" t="s">
        <v>3323</v>
      </c>
      <c r="F16" s="13" t="s">
        <v>3389</v>
      </c>
      <c r="G16" s="13" t="s">
        <v>14</v>
      </c>
    </row>
    <row r="17" customFormat="false" ht="35.05" hidden="false" customHeight="false" outlineLevel="0" collapsed="false">
      <c r="A17" s="13" t="s">
        <v>3390</v>
      </c>
      <c r="B17" s="13" t="s">
        <v>3391</v>
      </c>
      <c r="C17" s="13" t="s">
        <v>3346</v>
      </c>
      <c r="D17" s="13" t="s">
        <v>3392</v>
      </c>
      <c r="E17" s="13" t="s">
        <v>3323</v>
      </c>
      <c r="F17" s="13" t="s">
        <v>3393</v>
      </c>
      <c r="G17" s="13" t="s">
        <v>15</v>
      </c>
    </row>
    <row r="18" customFormat="false" ht="68.65" hidden="false" customHeight="false" outlineLevel="0" collapsed="false">
      <c r="A18" s="13" t="s">
        <v>3394</v>
      </c>
      <c r="B18" s="13" t="s">
        <v>3395</v>
      </c>
      <c r="C18" s="13" t="s">
        <v>3396</v>
      </c>
      <c r="D18" s="13" t="s">
        <v>3397</v>
      </c>
      <c r="E18" s="13" t="s">
        <v>3323</v>
      </c>
      <c r="F18" s="13" t="s">
        <v>3398</v>
      </c>
      <c r="G18" s="13" t="s">
        <v>15</v>
      </c>
    </row>
    <row r="19" customFormat="false" ht="23.85" hidden="false" customHeight="false" outlineLevel="0" collapsed="false">
      <c r="A19" s="13" t="s">
        <v>3399</v>
      </c>
      <c r="B19" s="13" t="s">
        <v>3400</v>
      </c>
      <c r="C19" s="13" t="s">
        <v>3401</v>
      </c>
      <c r="D19" s="13" t="s">
        <v>3402</v>
      </c>
      <c r="E19" s="13" t="s">
        <v>3403</v>
      </c>
      <c r="F19" s="13" t="s">
        <v>3404</v>
      </c>
      <c r="G19" s="13" t="s">
        <v>15</v>
      </c>
    </row>
    <row r="20" customFormat="false" ht="15" hidden="false" customHeight="false" outlineLevel="0" collapsed="false">
      <c r="A20" s="13" t="s">
        <v>3405</v>
      </c>
      <c r="B20" s="13" t="s">
        <v>3406</v>
      </c>
      <c r="C20" s="13" t="s">
        <v>3407</v>
      </c>
      <c r="D20" s="13" t="s">
        <v>3408</v>
      </c>
      <c r="E20" s="13" t="s">
        <v>3323</v>
      </c>
      <c r="F20" s="13" t="s">
        <v>3409</v>
      </c>
      <c r="G20" s="13" t="s">
        <v>14</v>
      </c>
    </row>
    <row r="21" customFormat="false" ht="23.85" hidden="false" customHeight="false" outlineLevel="0" collapsed="false">
      <c r="A21" s="13" t="s">
        <v>3410</v>
      </c>
      <c r="B21" s="13" t="s">
        <v>3411</v>
      </c>
      <c r="C21" s="13" t="s">
        <v>3346</v>
      </c>
      <c r="D21" s="13" t="s">
        <v>3412</v>
      </c>
      <c r="E21" s="13" t="s">
        <v>3332</v>
      </c>
      <c r="F21" s="13" t="s">
        <v>3413</v>
      </c>
      <c r="G21" s="13" t="s">
        <v>16</v>
      </c>
    </row>
    <row r="22" customFormat="false" ht="23.85" hidden="false" customHeight="false" outlineLevel="0" collapsed="false">
      <c r="A22" s="13" t="s">
        <v>3414</v>
      </c>
      <c r="B22" s="13" t="s">
        <v>3415</v>
      </c>
      <c r="C22" s="13" t="s">
        <v>3416</v>
      </c>
      <c r="D22" s="13" t="s">
        <v>3417</v>
      </c>
      <c r="E22" s="13" t="s">
        <v>3418</v>
      </c>
      <c r="F22" s="13" t="s">
        <v>3419</v>
      </c>
      <c r="G22" s="13" t="s">
        <v>15</v>
      </c>
    </row>
    <row r="23" customFormat="false" ht="15" hidden="false" customHeight="false" outlineLevel="0" collapsed="false">
      <c r="A23" s="13" t="s">
        <v>3420</v>
      </c>
      <c r="B23" s="13" t="s">
        <v>3421</v>
      </c>
      <c r="C23" s="13" t="s">
        <v>3416</v>
      </c>
      <c r="D23" s="13" t="s">
        <v>3422</v>
      </c>
      <c r="E23" s="13" t="s">
        <v>3418</v>
      </c>
      <c r="F23" s="13" t="s">
        <v>3423</v>
      </c>
      <c r="G23" s="13" t="s">
        <v>15</v>
      </c>
    </row>
    <row r="24" customFormat="false" ht="23.85" hidden="false" customHeight="false" outlineLevel="0" collapsed="false">
      <c r="A24" s="13" t="s">
        <v>3424</v>
      </c>
      <c r="B24" s="13" t="s">
        <v>3425</v>
      </c>
      <c r="C24" s="13" t="s">
        <v>3416</v>
      </c>
      <c r="D24" s="13" t="s">
        <v>3426</v>
      </c>
      <c r="E24" s="13" t="s">
        <v>3418</v>
      </c>
      <c r="F24" s="13" t="s">
        <v>3427</v>
      </c>
      <c r="G24" s="13" t="s">
        <v>15</v>
      </c>
    </row>
    <row r="25" customFormat="false" ht="23.85" hidden="false" customHeight="false" outlineLevel="0" collapsed="false">
      <c r="A25" s="13" t="s">
        <v>3428</v>
      </c>
      <c r="B25" s="13" t="s">
        <v>3429</v>
      </c>
      <c r="C25" s="13" t="s">
        <v>3416</v>
      </c>
      <c r="D25" s="13" t="s">
        <v>3430</v>
      </c>
      <c r="E25" s="13" t="s">
        <v>3418</v>
      </c>
      <c r="F25" s="13" t="s">
        <v>3431</v>
      </c>
      <c r="G25" s="13" t="s">
        <v>14</v>
      </c>
    </row>
    <row r="26" customFormat="false" ht="15" hidden="false" customHeight="false" outlineLevel="0" collapsed="false">
      <c r="A26" s="13" t="s">
        <v>3432</v>
      </c>
      <c r="B26" s="13" t="s">
        <v>3433</v>
      </c>
      <c r="C26" s="13" t="s">
        <v>3416</v>
      </c>
      <c r="D26" s="13" t="s">
        <v>3434</v>
      </c>
      <c r="E26" s="13" t="s">
        <v>3418</v>
      </c>
      <c r="F26" s="13" t="s">
        <v>3435</v>
      </c>
      <c r="G26" s="13" t="s">
        <v>15</v>
      </c>
    </row>
    <row r="27" customFormat="false" ht="23.85" hidden="false" customHeight="false" outlineLevel="0" collapsed="false">
      <c r="A27" s="13" t="s">
        <v>3436</v>
      </c>
      <c r="B27" s="13" t="s">
        <v>3437</v>
      </c>
      <c r="C27" s="13" t="s">
        <v>3396</v>
      </c>
      <c r="D27" s="13" t="s">
        <v>3438</v>
      </c>
      <c r="E27" s="13" t="s">
        <v>3439</v>
      </c>
      <c r="F27" s="13" t="s">
        <v>3440</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2026-09-30T12:50:09Z</dcterms:created>
  <dc:creator>openpyxl</dc:creator>
  <dc:description/>
  <dc:language>en-US</dc:language>
  <cp:lastModifiedBy/>
  <dcterms:modified xsi:type="dcterms:W3CDTF">2026-09-30T12:50:09Z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