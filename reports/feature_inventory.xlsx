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eatures" sheetId="2" state="visible" r:id="rId4"/>
    <sheet name="Blocks" sheetId="3" state="visible" r:id="rId5"/>
    <sheet name="Not yet developed" sheetId="4" state="visible" r:id="rId6"/>
  </sheets>
  <definedNames>
    <definedName function="false" hidden="true" localSheetId="1" name="_xlnm._FilterDatabase" vbProcedure="false">Features!$A$1:$J$1462</definedName>
    <definedName function="false" hidden="true" localSheetId="3" name="_xlnm._FilterDatabase" vbProcedure="false">'Not yet developed'!$A$1:$G$30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Split gain of the served model. Source: the recommended 968s5xh (train-bfsp run 50: the 968's features, learning rate 0.02, leaves of 500, extra trees under the Huber loss, 12,000 rounds). Candidates and unserved features have no gain in this model.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1" authorId="0">
      <text>
        <r>
          <rPr>
            <sz val="10"/>
            <rFont val="Arial"/>
            <family val="2"/>
          </rPr>
          <t xml:space="preserve">Feature counts of the opt-in research blocks, typed in from reports/feature_inventory.md s4 (they are not in the feature lists this workbook reads).</t>
        </r>
      </text>
    </comment>
  </commentList>
</comments>
</file>

<file path=xl/sharedStrings.xml><?xml version="1.0" encoding="utf-8"?>
<sst xmlns="http://schemas.openxmlformats.org/spreadsheetml/2006/main" count="10705" uniqueCount="3335">
  <si>
    <t xml:space="preserve">Ashcroft price model: feature inventory</t>
  </si>
  <si>
    <t xml:space="preserve">Gain from the recommended 968s5xh (train-bfsp run 50: the 968's features, learning rate 0.02, leaves of 500, extra trees under the Huber loss, 12,000 rounds). Regenerate with: python scripts/feature_workbook.py</t>
  </si>
  <si>
    <t xml:space="preserve">Features by status</t>
  </si>
  <si>
    <t xml:space="preserve">Count</t>
  </si>
  <si>
    <t xml:space="preserve">Served</t>
  </si>
  <si>
    <t xml:space="preserve">Candidate (built, tested, promotion pending)</t>
  </si>
  <si>
    <t xml:space="preserve">Built, not served</t>
  </si>
  <si>
    <t xml:space="preserve">Excluded (not knowable at 06:00)</t>
  </si>
  <si>
    <t xml:space="preserve">All features listed</t>
  </si>
  <si>
    <t xml:space="preserve">Served features with zero gain</t>
  </si>
  <si>
    <t xml:space="preserve">Share of gain check (should be 100%)</t>
  </si>
  <si>
    <t xml:space="preserve">Not yet developed, by priority</t>
  </si>
  <si>
    <t xml:space="preserve">High</t>
  </si>
  <si>
    <t xml:space="preserve">Medium</t>
  </si>
  <si>
    <t xml:space="preserve">Low</t>
  </si>
  <si>
    <t xml:space="preserve">Blocked</t>
  </si>
  <si>
    <t xml:space="preserve">Review</t>
  </si>
  <si>
    <t xml:space="preserve">Top 15 served features by gain</t>
  </si>
  <si>
    <t xml:space="preserve">Share of gain</t>
  </si>
  <si>
    <t xml:space="preserve">Block</t>
  </si>
  <si>
    <t xml:space="preserve">Description</t>
  </si>
  <si>
    <t xml:space="preserve">Feature</t>
  </si>
  <si>
    <t xml:space="preserve">Group</t>
  </si>
  <si>
    <t xml:space="preserve">Module</t>
  </si>
  <si>
    <t xml:space="preserve">Status</t>
  </si>
  <si>
    <t xml:space="preserve">Gain (split gain)</t>
  </si>
  <si>
    <t xml:space="preserve">Share of served gain</t>
  </si>
  <si>
    <t xml:space="preserve">Rank (served)</t>
  </si>
  <si>
    <t xml:space="preserve">Card-safe at 06:00</t>
  </si>
  <si>
    <t xml:space="preserve">rPMW3</t>
  </si>
  <si>
    <t xml:space="preserve">Custom metrics</t>
  </si>
  <si>
    <t xml:space="preserve">Within-race ranks</t>
  </si>
  <si>
    <t xml:space="preserve">Within-race rank (1 = highest in the field) of PMW3: performance-adjusted prize money (prize x RB^2), recency-weighted, last 3 runs</t>
  </si>
  <si>
    <t xml:space="preserve">model/custom_metrics.py</t>
  </si>
  <si>
    <t xml:space="preserve">Yes</t>
  </si>
  <si>
    <t xml:space="preserve">rPMW5</t>
  </si>
  <si>
    <t xml:space="preserve">Within-race rank (1 = highest in the field) of PMW5: performance-adjusted prize money (prize x RB^2), recency-weighted, last 5 runs</t>
  </si>
  <si>
    <t xml:space="preserve">rPMW10</t>
  </si>
  <si>
    <t xml:space="preserve">Within-race rank (1 = highest in the field) of PMW10: performance-adjusted prize money (prize x RB^2), recency-weighted, last 10 runs</t>
  </si>
  <si>
    <t xml:space="preserve">OFS1</t>
  </si>
  <si>
    <t xml:space="preserve">Odds x field size (OFS)</t>
  </si>
  <si>
    <t xml:space="preserve">Odds x field size in the last run (runners / BSP; equals LR_ORR2)</t>
  </si>
  <si>
    <t xml:space="preserve">fw_mkt_l1</t>
  </si>
  <si>
    <t xml:space="preserve">Form windows</t>
  </si>
  <si>
    <t xml:space="preserve">Every measure over seven windows</t>
  </si>
  <si>
    <t xml:space="preserve">The market's view, log(N x BSP chance): last run (earlier days only)</t>
  </si>
  <si>
    <t xml:space="preserve">model/form_windows.py</t>
  </si>
  <si>
    <t xml:space="preserve">rRWOLR3</t>
  </si>
  <si>
    <t xml:space="preserve">Within-race rank (1 = highest in the field) of LR3_RWO: harmonic-weighted mean ORR2 over the last 3 runs</t>
  </si>
  <si>
    <t xml:space="preserve">fw_lbs_w3</t>
  </si>
  <si>
    <t xml:space="preserve">Pounds beaten at the trip (capped 20): last 3 runs weighted 3-2-1 by recency (earlier days only)</t>
  </si>
  <si>
    <t xml:space="preserve">fw_lbsc_w3</t>
  </si>
  <si>
    <t xml:space="preserve">Pounds better than the race's average runner: last 3 runs weighted 3-2-1 by recency (earlier days only)</t>
  </si>
  <si>
    <t xml:space="preserve">rTJNFP</t>
  </si>
  <si>
    <t xml:space="preserve">Within-race rank (1 = highest in the field) of trainerjockeycareerNFP: trainer-jockey combination's career normalised finishing position (1 = won, 0 = last)</t>
  </si>
  <si>
    <t xml:space="preserve">LR_ORR2</t>
  </si>
  <si>
    <t xml:space="preserve">Last run and rolling windows</t>
  </si>
  <si>
    <t xml:space="preserve">Market rating (runners / BSP) in the last run</t>
  </si>
  <si>
    <t xml:space="preserve">rORR2LR</t>
  </si>
  <si>
    <t xml:space="preserve">Within-race rank (1 = highest in the field) of LR_ORR2: market rating (runners / BSP) in the last run</t>
  </si>
  <si>
    <t xml:space="preserve">race_type_cat</t>
  </si>
  <si>
    <t xml:space="preserve">Card fields</t>
  </si>
  <si>
    <t xml:space="preserve">Today's card</t>
  </si>
  <si>
    <t xml:space="preserve">Race type, category code</t>
  </si>
  <si>
    <t xml:space="preserve">train_bfsp.py build_context_features</t>
  </si>
  <si>
    <t xml:space="preserve">rRWOLR5</t>
  </si>
  <si>
    <t xml:space="preserve">Within-race rank (1 = highest in the field) of LR5_RWO: harmonic-weighted mean ORR2 over the last 5 runs</t>
  </si>
  <si>
    <t xml:space="preserve">median_or_num</t>
  </si>
  <si>
    <t xml:space="preserve">Median official rating in the race</t>
  </si>
  <si>
    <t xml:space="preserve">or_num</t>
  </si>
  <si>
    <t xml:space="preserve">Official rating</t>
  </si>
  <si>
    <t xml:space="preserve">draw_field_weight</t>
  </si>
  <si>
    <t xml:space="preserve">Draw and stall</t>
  </si>
  <si>
    <t xml:space="preserve">Draw bias and stall position</t>
  </si>
  <si>
    <t xml:space="preserve">Field-size weight on the draw effect</t>
  </si>
  <si>
    <t xml:space="preserve">model/draw_metrics.py</t>
  </si>
  <si>
    <t xml:space="preserve">fw_lbs_l1</t>
  </si>
  <si>
    <t xml:space="preserve">Pounds beaten at the trip (capped 20): last run (earlier days only)</t>
  </si>
  <si>
    <t xml:space="preserve">fw_lbsc_l1</t>
  </si>
  <si>
    <t xml:space="preserve">Pounds better than the race's average runner: last run (earlier days only)</t>
  </si>
  <si>
    <t xml:space="preserve">OFS3</t>
  </si>
  <si>
    <t xml:space="preserve">Recency-weighted odds x field size, last 3 runs</t>
  </si>
  <si>
    <t xml:space="preserve">rOFS10</t>
  </si>
  <si>
    <t xml:space="preserve">Within-race rank (1 = highest in the field) of OFS10: recency-weighted odds x field size, last 10 runs</t>
  </si>
  <si>
    <t xml:space="preserve">jockeyWIVrank</t>
  </si>
  <si>
    <t xml:space="preserve">Within-race rank (1 = highest in the field) of preracejockeycareerWIV: jockey's career win index: wins / wins expected by chance (sum of 1/runners) over earlier days</t>
  </si>
  <si>
    <t xml:space="preserve">fr_days_since_code</t>
  </si>
  <si>
    <t xml:space="preserve">Freshness</t>
  </si>
  <si>
    <t xml:space="preserve">Days since the last run, in context</t>
  </si>
  <si>
    <t xml:space="preserve">Days since the last run in today's code (flat, AW, hurdle, chase, bumper)</t>
  </si>
  <si>
    <t xml:space="preserve">model/freshness_features.py</t>
  </si>
  <si>
    <t xml:space="preserve">fw_mkt_w3</t>
  </si>
  <si>
    <t xml:space="preserve">The market's view, log(N x BSP chance): last 3 runs weighted 3-2-1 by recency (earlier days only)</t>
  </si>
  <si>
    <t xml:space="preserve">racepacescore</t>
  </si>
  <si>
    <t xml:space="preserve">Race pace indices</t>
  </si>
  <si>
    <t xml:space="preserve">Race pace score (equals RPS)</t>
  </si>
  <si>
    <t xml:space="preserve">rNFPLR3</t>
  </si>
  <si>
    <t xml:space="preserve">Within-race rank (1 = highest in the field) of LR3NFPtotal: mean NFP over the last 3 runs</t>
  </si>
  <si>
    <t xml:space="preserve">jockeyWAXrank</t>
  </si>
  <si>
    <t xml:space="preserve">Within-race rank (1 = highest in the field) of preracejockeycareerWAX: jockey's career wins above chance per run (won - 1/runners) over earlier days</t>
  </si>
  <si>
    <t xml:space="preserve">LR3_RWO</t>
  </si>
  <si>
    <t xml:space="preserve">Harmonic-weighted mean ORR2 over the last 3 runs</t>
  </si>
  <si>
    <t xml:space="preserve">jockeyWOArank</t>
  </si>
  <si>
    <t xml:space="preserve">Within-race rank (1 = highest in the field) of preracejockeycareerWOA: jockey's career wins over average (equal to WAX in this build) over earlier days</t>
  </si>
  <si>
    <t xml:space="preserve">jockeyCWOrank</t>
  </si>
  <si>
    <t xml:space="preserve">Within-race rank (1 = highest in the field) of preracejockeycareerCWO: jockey's career cumulative wins above chance over earlier days</t>
  </si>
  <si>
    <t xml:space="preserve">fw_perf_l1_vs_or</t>
  </si>
  <si>
    <t xml:space="preserve">Performance figure (last run) less today's official rating (+ = well in)</t>
  </si>
  <si>
    <t xml:space="preserve">RPS</t>
  </si>
  <si>
    <t xml:space="preserve">Early position figure (EPF)</t>
  </si>
  <si>
    <t xml:space="preserve">Race pace score: sum of the field's expected early positions</t>
  </si>
  <si>
    <t xml:space="preserve">horse_sex_cat</t>
  </si>
  <si>
    <t xml:space="preserve">Sex, category code (from the last run on the card)</t>
  </si>
  <si>
    <t xml:space="preserve">rPFD3</t>
  </si>
  <si>
    <t xml:space="preserve">Within-race rank (1 = highest in the field) of PFD3: recency-weighted (BSP probability - 1/runners) over the last 3 runs</t>
  </si>
  <si>
    <t xml:space="preserve">rEXP_RB5</t>
  </si>
  <si>
    <t xml:space="preserve">Within-race rank (1 = highest in the field) of EXP_RB5: exponentially decayed (0.85) mean races-beaten score (identical to NFP in this data), last 5 runs</t>
  </si>
  <si>
    <t xml:space="preserve">rTrainerSR14d</t>
  </si>
  <si>
    <t xml:space="preserve">Within-race rank (1 = highest in the field) of trainer_sr_14d: trainer's strike rate, last 14 days</t>
  </si>
  <si>
    <t xml:space="preserve">fw_perf_w5_vs_or</t>
  </si>
  <si>
    <t xml:space="preserve">Performance figure (last 5 runs weighted 5..1 by recency) less today's official rating (+ = well in)</t>
  </si>
  <si>
    <t xml:space="preserve">rEXP_NFP5</t>
  </si>
  <si>
    <t xml:space="preserve">Within-race rank (1 = highest in the field) of EXP_NFP5: exponentially decayed (0.85) mean normalised finishing position (1 = won, 0 = last), last 5 runs</t>
  </si>
  <si>
    <t xml:space="preserve">fr_gap_vs_usual</t>
  </si>
  <si>
    <t xml:space="preserve">Today's log gap less the usual (+ longer break than usual)</t>
  </si>
  <si>
    <t xml:space="preserve">fr_days_since_placed</t>
  </si>
  <si>
    <t xml:space="preserve">Days since the last top-three finish</t>
  </si>
  <si>
    <t xml:space="preserve">trainerWAXrank</t>
  </si>
  <si>
    <t xml:space="preserve">Within-race rank (1 = highest in the field) of preracetrainercareerWAX: trainer's career wins above chance per run (won - 1/runners) over earlier days</t>
  </si>
  <si>
    <t xml:space="preserve">OFS5</t>
  </si>
  <si>
    <t xml:space="preserve">Recency-weighted odds x field size, last 5 runs</t>
  </si>
  <si>
    <t xml:space="preserve">it_new_yard</t>
  </si>
  <si>
    <t xml:space="preserve">Intent (card-safe)</t>
  </si>
  <si>
    <t xml:space="preserve">Connections' choices and the yard's record with them</t>
  </si>
  <si>
    <t xml:space="preserve">First run for a new trainer</t>
  </si>
  <si>
    <t xml:space="preserve">model/intent_features.py</t>
  </si>
  <si>
    <t xml:space="preserve">fw_perf_car_vs_or</t>
  </si>
  <si>
    <t xml:space="preserve">Performance figure (career mean) less today's official rating (+ = well in)</t>
  </si>
  <si>
    <t xml:space="preserve">draw_bias_ev_course</t>
  </si>
  <si>
    <t xml:space="preserve">Course-level draw bias</t>
  </si>
  <si>
    <t xml:space="preserve">rTJWIV</t>
  </si>
  <si>
    <t xml:space="preserve">Within-race rank (1 = highest in the field) of trainerjockeycareerWIV: trainer-jockey combination's career win index: wins / wins expected by chance (sum of 1/runners)</t>
  </si>
  <si>
    <t xml:space="preserve">trainerWOArank</t>
  </si>
  <si>
    <t xml:space="preserve">Within-race rank (1 = highest in the field) of preracetrainercareerWOA: trainer's career wins over average (equal to WAX in this build) over earlier days</t>
  </si>
  <si>
    <t xml:space="preserve">fw_mkt_w5</t>
  </si>
  <si>
    <t xml:space="preserve">The market's view, log(N x BSP chance): last 5 runs weighted 5..1 by recency (earlier days only)</t>
  </si>
  <si>
    <t xml:space="preserve">days_since_lr_num</t>
  </si>
  <si>
    <t xml:space="preserve">HRB's days since the last run</t>
  </si>
  <si>
    <t xml:space="preserve">rRWOLR10</t>
  </si>
  <si>
    <t xml:space="preserve">Within-race rank (1 = highest in the field) of LR10_RWO: harmonic-weighted mean ORR2 over the last 10 runs</t>
  </si>
  <si>
    <t xml:space="preserve">it_hcap_debut</t>
  </si>
  <si>
    <t xml:space="preserve">Handicap debut</t>
  </si>
  <si>
    <t xml:space="preserve">it_runs_for_yard</t>
  </si>
  <si>
    <t xml:space="preserve">Runs for the current yard</t>
  </si>
  <si>
    <t xml:space="preserve">jockeyLRIrank</t>
  </si>
  <si>
    <t xml:space="preserve">Within-race rank (1 = highest in the field) of totalLRPjockeyindex: jockey's last-run placing index</t>
  </si>
  <si>
    <t xml:space="preserve">or_vs_max</t>
  </si>
  <si>
    <t xml:space="preserve">Official rating less the race's highest</t>
  </si>
  <si>
    <t xml:space="preserve">fr_gap_rel_race</t>
  </si>
  <si>
    <t xml:space="preserve">Today's log gap less the field's mean</t>
  </si>
  <si>
    <t xml:space="preserve">LR10_RWO</t>
  </si>
  <si>
    <t xml:space="preserve">Harmonic-weighted mean ORR2 over the last 10 runs</t>
  </si>
  <si>
    <t xml:space="preserve">OFS10</t>
  </si>
  <si>
    <t xml:space="preserve">Recency-weighted odds x field size, last 10 runs</t>
  </si>
  <si>
    <t xml:space="preserve">rPFD5</t>
  </si>
  <si>
    <t xml:space="preserve">Within-race rank (1 = highest in the field) of PFD5: recency-weighted (BSP probability - 1/runners) over the last 5 runs</t>
  </si>
  <si>
    <t xml:space="preserve">draw_bias_ev_n_eff</t>
  </si>
  <si>
    <t xml:space="preserve">Effective runners behind the draw bias</t>
  </si>
  <si>
    <t xml:space="preserve">LR3_ORR2</t>
  </si>
  <si>
    <t xml:space="preserve">Harmonic-weighted sum of ORR2 over the last 3 runs</t>
  </si>
  <si>
    <t xml:space="preserve">preferred_going</t>
  </si>
  <si>
    <t xml:space="preserve">Research-backed metrics</t>
  </si>
  <si>
    <t xml:space="preserve">Going preference</t>
  </si>
  <si>
    <t xml:space="preserve">Going of the horse's best runs</t>
  </si>
  <si>
    <t xml:space="preserve">fr_gap_vs_trainer</t>
  </si>
  <si>
    <t xml:space="preserve">Today's log gap less the yard's usual gap</t>
  </si>
  <si>
    <t xml:space="preserve">fw_lbs_w5</t>
  </si>
  <si>
    <t xml:space="preserve">Pounds beaten at the trip (capped 20): last 5 runs weighted 5..1 by recency (earlier days only)</t>
  </si>
  <si>
    <t xml:space="preserve">or_vs_median</t>
  </si>
  <si>
    <t xml:space="preserve">Official rating less the race's median</t>
  </si>
  <si>
    <t xml:space="preserve">rSireGoingNFP</t>
  </si>
  <si>
    <t xml:space="preserve">Within-race rank (1 = highest in the field) of sire_going_nfp: sire's progeny mean NFP on today's going</t>
  </si>
  <si>
    <t xml:space="preserve">has_headgear</t>
  </si>
  <si>
    <t xml:space="preserve">Headgear</t>
  </si>
  <si>
    <t xml:space="preserve">Wears headgear today</t>
  </si>
  <si>
    <t xml:space="preserve">number_of_runners</t>
  </si>
  <si>
    <t xml:space="preserve">Declared runners</t>
  </si>
  <si>
    <t xml:space="preserve">it_layoff</t>
  </si>
  <si>
    <t xml:space="preserve">Return from a 90+ day break</t>
  </si>
  <si>
    <t xml:space="preserve">draw_bias_ev_stall</t>
  </si>
  <si>
    <t xml:space="preserve">Per-stall draw surface, shrunk toward coarser cells</t>
  </si>
  <si>
    <t xml:space="preserve">weight_vs_avg</t>
  </si>
  <si>
    <t xml:space="preserve">Weight carried</t>
  </si>
  <si>
    <t xml:space="preserve">Weight carried less the field's mean</t>
  </si>
  <si>
    <t xml:space="preserve">rJockeySR14d</t>
  </si>
  <si>
    <t xml:space="preserve">Within-race rank (1 = highest in the field) of jockey_sr_14d: jockey's strike rate, last 14 days</t>
  </si>
  <si>
    <t xml:space="preserve">rOFS5</t>
  </si>
  <si>
    <t xml:space="preserve">Within-race rank (1 = highest in the field) of OFS5: recency-weighted odds x field size, last 5 runs</t>
  </si>
  <si>
    <t xml:space="preserve">dist_change_signed</t>
  </si>
  <si>
    <t xml:space="preserve">Distance aptitude</t>
  </si>
  <si>
    <t xml:space="preserve">Trip change from the last run (signed)</t>
  </si>
  <si>
    <t xml:space="preserve">rOFS3</t>
  </si>
  <si>
    <t xml:space="preserve">Within-race rank (1 = highest in the field) of OFS3: recency-weighted odds x field size, last 3 runs</t>
  </si>
  <si>
    <t xml:space="preserve">rLayoffAdjForm</t>
  </si>
  <si>
    <t xml:space="preserve">Financial-style form</t>
  </si>
  <si>
    <t xml:space="preserve">Within-race ranks of the financial features</t>
  </si>
  <si>
    <t xml:space="preserve">Within-race rank (1 = highest in the field) of layoff_adjusted_form: recent form discounted by days off</t>
  </si>
  <si>
    <t xml:space="preserve">model/financial_features.py</t>
  </si>
  <si>
    <t xml:space="preserve">RACE_WPMRF</t>
  </si>
  <si>
    <t xml:space="preserve">Prize money (WPMRF, PMW)</t>
  </si>
  <si>
    <t xml:space="preserve">Today's race's total prize money</t>
  </si>
  <si>
    <t xml:space="preserve">win_density_30d</t>
  </si>
  <si>
    <t xml:space="preserve">Momentum, volatility, drawdown</t>
  </si>
  <si>
    <t xml:space="preserve">Wins in the last 30 days</t>
  </si>
  <si>
    <t xml:space="preserve">race_class_num</t>
  </si>
  <si>
    <t xml:space="preserve">Race class (1 = highest)</t>
  </si>
  <si>
    <t xml:space="preserve">preferred_distance</t>
  </si>
  <si>
    <t xml:space="preserve">Trip of the horse's best runs</t>
  </si>
  <si>
    <t xml:space="preserve">is_class_drop</t>
  </si>
  <si>
    <t xml:space="preserve">Class movement</t>
  </si>
  <si>
    <t xml:space="preserve">Dropping in class</t>
  </si>
  <si>
    <t xml:space="preserve">rPFD10</t>
  </si>
  <si>
    <t xml:space="preserve">Within-race rank (1 = highest in the field) of PFD10: recency-weighted (BSP probability - 1/runners) over the last 10 runs</t>
  </si>
  <si>
    <t xml:space="preserve">trainerWIVrank</t>
  </si>
  <si>
    <t xml:space="preserve">Within-race rank (1 = highest in the field) of preracetrainercareerWIV: trainer's career win index: wins / wins expected by chance (sum of 1/runners) over earlier days</t>
  </si>
  <si>
    <t xml:space="preserve">trainerjockeycareerNFP</t>
  </si>
  <si>
    <t xml:space="preserve">Trainer-jockey combination</t>
  </si>
  <si>
    <t xml:space="preserve">Trainer-jockey combination's career normalised finishing position (1 = won, 0 = last)</t>
  </si>
  <si>
    <t xml:space="preserve">rSireWIV</t>
  </si>
  <si>
    <t xml:space="preserve">Within-race rank (1 = highest in the field) of sire_wiv: sire's progeny WIV</t>
  </si>
  <si>
    <t xml:space="preserve">rHorseTrackNFP</t>
  </si>
  <si>
    <t xml:space="preserve">Within-race rank (1 = highest in the field) of horse_track_nfp: mean NFP at the course</t>
  </si>
  <si>
    <t xml:space="preserve">it_class_drop</t>
  </si>
  <si>
    <t xml:space="preserve">rEPF3_LR</t>
  </si>
  <si>
    <t xml:space="preserve">Within-race rank (1 = highest in the field) of LR_EPF3: early position figure weighted by the finishing position in the last run</t>
  </si>
  <si>
    <t xml:space="preserve">fr_break_len</t>
  </si>
  <si>
    <t xml:space="preserve">log(1 + days) of that break</t>
  </si>
  <si>
    <t xml:space="preserve">EXP_ORR25</t>
  </si>
  <si>
    <t xml:space="preserve">Exponentially decayed form</t>
  </si>
  <si>
    <t xml:space="preserve">Exponentially decayed (0.85) mean market rating: runners / BSP (the market's chance against a random runner's), last 5 runs</t>
  </si>
  <si>
    <t xml:space="preserve">rSireDistNFP</t>
  </si>
  <si>
    <t xml:space="preserve">Within-race rank (1 = highest in the field) of sire_dist_nfp: sire's progeny mean NFP at the trip</t>
  </si>
  <si>
    <t xml:space="preserve">CIL3</t>
  </si>
  <si>
    <t xml:space="preserve">Recency weights and data counts</t>
  </si>
  <si>
    <t xml:space="preserve">Data count index (last 3)</t>
  </si>
  <si>
    <t xml:space="preserve">RACE_RB</t>
  </si>
  <si>
    <t xml:space="preserve">Race strength</t>
  </si>
  <si>
    <t xml:space="preserve">Field's mean career RB (race strength)</t>
  </si>
  <si>
    <t xml:space="preserve">going_avg_nfp</t>
  </si>
  <si>
    <t xml:space="preserve">Unexposure (new conditions)</t>
  </si>
  <si>
    <t xml:space="preserve">Mean NFP on the going</t>
  </si>
  <si>
    <t xml:space="preserve">avg_class_3</t>
  </si>
  <si>
    <t xml:space="preserve">Mean class of the last 3 runs</t>
  </si>
  <si>
    <t xml:space="preserve">RACE_NFP</t>
  </si>
  <si>
    <t xml:space="preserve">Field's mean career NFP</t>
  </si>
  <si>
    <t xml:space="preserve">or_change_3</t>
  </si>
  <si>
    <t xml:space="preserve">Official-rating trajectory</t>
  </si>
  <si>
    <t xml:space="preserve">OR change over the last 3 runs</t>
  </si>
  <si>
    <t xml:space="preserve">horse_track_win_rate</t>
  </si>
  <si>
    <t xml:space="preserve">Course form</t>
  </si>
  <si>
    <t xml:space="preserve">Win rate at the course</t>
  </si>
  <si>
    <t xml:space="preserve">LR_RACE_WIV</t>
  </si>
  <si>
    <t xml:space="preserve">Mean career WIV of the last run's field</t>
  </si>
  <si>
    <t xml:space="preserve">fw_lbs_m3</t>
  </si>
  <si>
    <t xml:space="preserve">Pounds beaten at the trip (capped 20): mean of the last 3 runs (earlier days only)</t>
  </si>
  <si>
    <t xml:space="preserve">class_vs_avg</t>
  </si>
  <si>
    <t xml:space="preserve">Today's class against the recent mean</t>
  </si>
  <si>
    <t xml:space="preserve">track_draw_screen</t>
  </si>
  <si>
    <t xml:space="preserve">Split-half stability of the course draw bias</t>
  </si>
  <si>
    <t xml:space="preserve">fr_runs_since_break</t>
  </si>
  <si>
    <t xml:space="preserve">0 = first run back from 60+ days (or debut), 1 = second run back, ... (capped at 8)</t>
  </si>
  <si>
    <t xml:space="preserve">draw_change</t>
  </si>
  <si>
    <t xml:space="preserve">Change in relative draw from the last run</t>
  </si>
  <si>
    <t xml:space="preserve">dist_change_lr</t>
  </si>
  <si>
    <t xml:space="preserve">Absolute trip change from the last run</t>
  </si>
  <si>
    <t xml:space="preserve">fw_plc_l1</t>
  </si>
  <si>
    <t xml:space="preserve">Places (first three): last run (earlier days only)</t>
  </si>
  <si>
    <t xml:space="preserve">trainer_track_win_rate</t>
  </si>
  <si>
    <t xml:space="preserve">Trainer's strike rate at the course</t>
  </si>
  <si>
    <t xml:space="preserve">FCS</t>
  </si>
  <si>
    <t xml:space="preserve">Field-size and class stability</t>
  </si>
  <si>
    <t xml:space="preserve">Field-class stability: RMS change in the race's mean OR over the last 10 runs</t>
  </si>
  <si>
    <t xml:space="preserve">draw_bias_stall_n_eff</t>
  </si>
  <si>
    <t xml:space="preserve">Effective runners behind the per-stall surface</t>
  </si>
  <si>
    <t xml:space="preserve">dist_avg_nfp</t>
  </si>
  <si>
    <t xml:space="preserve">Mean NFP at the trip</t>
  </si>
  <si>
    <t xml:space="preserve">dist_from_preferred</t>
  </si>
  <si>
    <t xml:space="preserve">Today's trip less the preferred</t>
  </si>
  <si>
    <t xml:space="preserve">or_change</t>
  </si>
  <si>
    <t xml:space="preserve">Official rating change from the last run</t>
  </si>
  <si>
    <t xml:space="preserve">fw_perf_car</t>
  </si>
  <si>
    <t xml:space="preserve">Rating-scale performance figure (lbs): career mean (earlier days only)</t>
  </si>
  <si>
    <t xml:space="preserve">draw_bias_alignment</t>
  </si>
  <si>
    <t xml:space="preserve">Stall on the favoured side of the course x distance bias</t>
  </si>
  <si>
    <t xml:space="preserve">LR_RACE_WOA</t>
  </si>
  <si>
    <t xml:space="preserve">Mean career WOA of the last run's field</t>
  </si>
  <si>
    <t xml:space="preserve">EXP_ORR23</t>
  </si>
  <si>
    <t xml:space="preserve">Exponentially decayed (0.85) mean market rating: runners / BSP (the market's chance against a random runner's), last 3 runs</t>
  </si>
  <si>
    <t xml:space="preserve">class_change</t>
  </si>
  <si>
    <t xml:space="preserve">Class change from the last run</t>
  </si>
  <si>
    <t xml:space="preserve">career_best_or</t>
  </si>
  <si>
    <t xml:space="preserve">Highest official rating held</t>
  </si>
  <si>
    <t xml:space="preserve">LR5_ORR2</t>
  </si>
  <si>
    <t xml:space="preserve">Harmonic-weighted sum of ORR2 over the last 5 runs</t>
  </si>
  <si>
    <t xml:space="preserve">it_code_switch</t>
  </si>
  <si>
    <t xml:space="preserve">First run in a code (hurdles, fences, AW)</t>
  </si>
  <si>
    <t xml:space="preserve">horse_age_num</t>
  </si>
  <si>
    <t xml:space="preserve">Age</t>
  </si>
  <si>
    <t xml:space="preserve">horse_track_nfp</t>
  </si>
  <si>
    <t xml:space="preserve">Mean NFP at the course</t>
  </si>
  <si>
    <t xml:space="preserve">rDrawdownPeakNFP</t>
  </si>
  <si>
    <t xml:space="preserve">Within-race rank (1 = highest in the field) of drawdown_from_peak_nfp: recent NFP less the career-best NFP</t>
  </si>
  <si>
    <t xml:space="preserve">course_avg_nfp</t>
  </si>
  <si>
    <t xml:space="preserve">jockey_track_win_rate</t>
  </si>
  <si>
    <t xml:space="preserve">Jockey's strike rate at the course</t>
  </si>
  <si>
    <t xml:space="preserve">totalLRPjockeyindex</t>
  </si>
  <si>
    <t xml:space="preserve">Last-run placing index (LRP)</t>
  </si>
  <si>
    <t xml:space="preserve">Jockey's last-run placing index</t>
  </si>
  <si>
    <t xml:space="preserve">fw_lbs_w10</t>
  </si>
  <si>
    <t xml:space="preserve">Pounds beaten at the trip (capped 20): last 10 runs weighted 10..1 by recency (earlier days only)</t>
  </si>
  <si>
    <t xml:space="preserve">trainer_keen_rate</t>
  </si>
  <si>
    <t xml:space="preserve">Pace and running style</t>
  </si>
  <si>
    <t xml:space="preserve">Pace, style, position</t>
  </si>
  <si>
    <t xml:space="preserve">Trainer's share of runners keen</t>
  </si>
  <si>
    <t xml:space="preserve">model/pace_metrics.py</t>
  </si>
  <si>
    <t xml:space="preserve">LR_RACE_RB</t>
  </si>
  <si>
    <t xml:space="preserve">Strength (mean career RB) of the field in the last run</t>
  </si>
  <si>
    <t xml:space="preserve">LR5_RWO</t>
  </si>
  <si>
    <t xml:space="preserve">Harmonic-weighted mean ORR2 over the last 5 runs</t>
  </si>
  <si>
    <t xml:space="preserve">jockey_runs_14d</t>
  </si>
  <si>
    <t xml:space="preserve">Trainer and jockey recent form</t>
  </si>
  <si>
    <t xml:space="preserve">Jockey's rides, last 14 days</t>
  </si>
  <si>
    <t xml:space="preserve">draw_adj</t>
  </si>
  <si>
    <t xml:space="preserve">Stall renumbered after non-runners are taken out</t>
  </si>
  <si>
    <t xml:space="preserve">going_draw_shift</t>
  </si>
  <si>
    <t xml:space="preserve">How today's going shifts the draw bias</t>
  </si>
  <si>
    <t xml:space="preserve">going_change_lr</t>
  </si>
  <si>
    <t xml:space="preserve">Going change from the last run</t>
  </si>
  <si>
    <t xml:space="preserve">trainer_form_delta</t>
  </si>
  <si>
    <t xml:space="preserve">Trainer's 14-day less 30-day strike rate</t>
  </si>
  <si>
    <t xml:space="preserve">damsire_going_nfp</t>
  </si>
  <si>
    <t xml:space="preserve">Pedigree (sire, damsire)</t>
  </si>
  <si>
    <t xml:space="preserve">Damsire's mean NFP on the going</t>
  </si>
  <si>
    <t xml:space="preserve">RACE_WOA</t>
  </si>
  <si>
    <t xml:space="preserve">Field's mean career WOA</t>
  </si>
  <si>
    <t xml:space="preserve">LR_RACE_NFP</t>
  </si>
  <si>
    <t xml:space="preserve">Mean career NFP of the last run's field</t>
  </si>
  <si>
    <t xml:space="preserve">preracetrainercareerCWO</t>
  </si>
  <si>
    <t xml:space="preserve">Trainer career</t>
  </si>
  <si>
    <t xml:space="preserve">Trainer's career cumulative wins above chance over earlier days</t>
  </si>
  <si>
    <t xml:space="preserve">jockey_form_delta</t>
  </si>
  <si>
    <t xml:space="preserve">Jockey's 14-day less 30-day strike rate</t>
  </si>
  <si>
    <t xml:space="preserve">trainerCWOrank</t>
  </si>
  <si>
    <t xml:space="preserve">Within-race rank (1 = highest in the field) of preracetrainercareerCWO: trainer's career cumulative wins above chance over earlier days</t>
  </si>
  <si>
    <t xml:space="preserve">track_front_win_share</t>
  </si>
  <si>
    <t xml:space="preserve">Course: share of winners that raced prominently</t>
  </si>
  <si>
    <t xml:space="preserve">PMW3</t>
  </si>
  <si>
    <t xml:space="preserve">Performance-adjusted prize money (prize x RB^2), recency-weighted, last 3 runs</t>
  </si>
  <si>
    <t xml:space="preserve">draw_bias_gradient</t>
  </si>
  <si>
    <t xml:space="preserve">Slope of the bias from low to high stalls</t>
  </si>
  <si>
    <t xml:space="preserve">trainerjockeyCWO</t>
  </si>
  <si>
    <t xml:space="preserve">Trainer-jockey combination's career cumulative wins above chance</t>
  </si>
  <si>
    <t xml:space="preserve">fw_perf_l1</t>
  </si>
  <si>
    <t xml:space="preserve">Rating-scale performance figure (lbs): last run (earlier days only)</t>
  </si>
  <si>
    <t xml:space="preserve">rSireNFP</t>
  </si>
  <si>
    <t xml:space="preserve">Within-race rank (1 = highest in the field) of sire_avg_nfp: sire's progeny mean NFP</t>
  </si>
  <si>
    <t xml:space="preserve">RACE_WIV</t>
  </si>
  <si>
    <t xml:space="preserve">Field's mean career WIV</t>
  </si>
  <si>
    <t xml:space="preserve">fr_days_since_win</t>
  </si>
  <si>
    <t xml:space="preserve">Days since the last win held</t>
  </si>
  <si>
    <t xml:space="preserve">damsire_dist_nfp</t>
  </si>
  <si>
    <t xml:space="preserve">Damsire's mean NFP at the trip</t>
  </si>
  <si>
    <t xml:space="preserve">jockey_keen_rate</t>
  </si>
  <si>
    <t xml:space="preserve">Jockey's share of mounts keen</t>
  </si>
  <si>
    <t xml:space="preserve">WPMRF10</t>
  </si>
  <si>
    <t xml:space="preserve">Recency-weighted prize money raced for, last 10 runs</t>
  </si>
  <si>
    <t xml:space="preserve">draw_bias_confident</t>
  </si>
  <si>
    <t xml:space="preserve">Draw bias is confident (enough races, rail not moved)</t>
  </si>
  <si>
    <t xml:space="preserve">preracetrainercareerWIV</t>
  </si>
  <si>
    <t xml:space="preserve">Trainer's career win index: wins / wins expected by chance (sum of 1/runners) over earlier days</t>
  </si>
  <si>
    <t xml:space="preserve">fw_ae_l1</t>
  </si>
  <si>
    <t xml:space="preserve">Wins above the market (won - BSP chance): last run (earlier days only)</t>
  </si>
  <si>
    <t xml:space="preserve">rWPMRF10</t>
  </si>
  <si>
    <t xml:space="preserve">Within-race rank (1 = highest in the field) of WPMRF10: recency-weighted prize money raced for, last 10 runs</t>
  </si>
  <si>
    <t xml:space="preserve">fw_perf_w10</t>
  </si>
  <si>
    <t xml:space="preserve">Rating-scale performance figure (lbs): last 10 runs weighted 10..1 by recency (earlier days only)</t>
  </si>
  <si>
    <t xml:space="preserve">going_from_preferred</t>
  </si>
  <si>
    <t xml:space="preserve">Today's going less the preferred</t>
  </si>
  <si>
    <t xml:space="preserve">fw_mkt_car</t>
  </si>
  <si>
    <t xml:space="preserve">The market's view, log(N x BSP chance): career mean (earlier days only)</t>
  </si>
  <si>
    <t xml:space="preserve">fr_usual_gap</t>
  </si>
  <si>
    <t xml:space="preserve">The horse's usual spacing: recency-weighted mean of log(1 + gap) before earlier runs</t>
  </si>
  <si>
    <t xml:space="preserve">LRPTotalScore</t>
  </si>
  <si>
    <t xml:space="preserve">Last-run placing index (placed = first three)</t>
  </si>
  <si>
    <t xml:space="preserve">max_or_race</t>
  </si>
  <si>
    <t xml:space="preserve">Highest official rating in the race</t>
  </si>
  <si>
    <t xml:space="preserve">WPMRF5</t>
  </si>
  <si>
    <t xml:space="preserve">Recency-weighted prize money raced for, last 5 runs</t>
  </si>
  <si>
    <t xml:space="preserve">it_class_change</t>
  </si>
  <si>
    <t xml:space="preserve">layoff_adjusted_form</t>
  </si>
  <si>
    <t xml:space="preserve">Recent form discounted by days off</t>
  </si>
  <si>
    <t xml:space="preserve">LR_had_trouble</t>
  </si>
  <si>
    <t xml:space="preserve">Trouble in running last time</t>
  </si>
  <si>
    <t xml:space="preserve">trainer_sr_30d</t>
  </si>
  <si>
    <t xml:space="preserve">Trainer's strike rate, last 30 days</t>
  </si>
  <si>
    <t xml:space="preserve">nfp_macd</t>
  </si>
  <si>
    <t xml:space="preserve">MACD of the NFP series</t>
  </si>
  <si>
    <t xml:space="preserve">or_vs_best</t>
  </si>
  <si>
    <t xml:space="preserve">Official rating less the career best</t>
  </si>
  <si>
    <t xml:space="preserve">draw_advantage_field_adj</t>
  </si>
  <si>
    <t xml:space="preserve">Draw advantage scaled by field size</t>
  </si>
  <si>
    <t xml:space="preserve">track_handed</t>
  </si>
  <si>
    <t xml:space="preserve">Course handedness</t>
  </si>
  <si>
    <t xml:space="preserve">sire_going_nfp</t>
  </si>
  <si>
    <t xml:space="preserve">Sire's progeny mean NFP on today's going</t>
  </si>
  <si>
    <t xml:space="preserve">sire_avg_nfp</t>
  </si>
  <si>
    <t xml:space="preserve">Sire's progeny mean NFP</t>
  </si>
  <si>
    <t xml:space="preserve">trainer_career_late_move</t>
  </si>
  <si>
    <t xml:space="preserve">Trainer's mean late move of runners</t>
  </si>
  <si>
    <t xml:space="preserve">rWPMRF5</t>
  </si>
  <si>
    <t xml:space="preserve">Within-race rank (1 = highest in the field) of WPMRF5: recency-weighted prize money raced for, last 5 runs</t>
  </si>
  <si>
    <t xml:space="preserve">fw_nfp_l1</t>
  </si>
  <si>
    <t xml:space="preserve">Normalised finishing position: last run (earlier days only)</t>
  </si>
  <si>
    <t xml:space="preserve">td_pcs_mean</t>
  </si>
  <si>
    <t xml:space="preserve">Course x distance mean pace-change score</t>
  </si>
  <si>
    <t xml:space="preserve">LR_LB</t>
  </si>
  <si>
    <t xml:space="preserve">Lengths beaten</t>
  </si>
  <si>
    <t xml:space="preserve">Lengths beaten: last run</t>
  </si>
  <si>
    <t xml:space="preserve">trainer_sr_14d</t>
  </si>
  <si>
    <t xml:space="preserve">Trainer's strike rate, last 14 days</t>
  </si>
  <si>
    <t xml:space="preserve">it_ft_headgear</t>
  </si>
  <si>
    <t xml:space="preserve">First-time headgear item</t>
  </si>
  <si>
    <t xml:space="preserve">is_class_rise</t>
  </si>
  <si>
    <t xml:space="preserve">Rising in class</t>
  </si>
  <si>
    <t xml:space="preserve">trainerjockeycareerWIV</t>
  </si>
  <si>
    <t xml:space="preserve">Trainer-jockey combination's career win index: wins / wins expected by chance (sum of 1/runners)</t>
  </si>
  <si>
    <t xml:space="preserve">sire_dist_nfp</t>
  </si>
  <si>
    <t xml:space="preserve">Sire's progeny mean NFP at the trip</t>
  </si>
  <si>
    <t xml:space="preserve">it_seen_runs</t>
  </si>
  <si>
    <t xml:space="preserve">Runs held for the horse</t>
  </si>
  <si>
    <t xml:space="preserve">sire_dist_win_rate</t>
  </si>
  <si>
    <t xml:space="preserve">Sire's win rate at the trip</t>
  </si>
  <si>
    <t xml:space="preserve">PMW5</t>
  </si>
  <si>
    <t xml:space="preserve">Performance-adjusted prize money (prize x RB^2), recency-weighted, last 5 runs</t>
  </si>
  <si>
    <t xml:space="preserve">fw_perf_w3</t>
  </si>
  <si>
    <t xml:space="preserve">Rating-scale performance figure (lbs): last 3 runs weighted 3-2-1 by recency (earlier days only)</t>
  </si>
  <si>
    <t xml:space="preserve">course_front_edge</t>
  </si>
  <si>
    <t xml:space="preserve">Course edge for front-runners</t>
  </si>
  <si>
    <t xml:space="preserve">damsire_win_rate</t>
  </si>
  <si>
    <t xml:space="preserve">Damsire's progeny win rate</t>
  </si>
  <si>
    <t xml:space="preserve">fw_perf_m3</t>
  </si>
  <si>
    <t xml:space="preserve">Rating-scale performance figure (lbs): mean of the last 3 runs (earlier days only)</t>
  </si>
  <si>
    <t xml:space="preserve">td_dsh_level</t>
  </si>
  <si>
    <t xml:space="preserve">Draw bias level from the split-half screen</t>
  </si>
  <si>
    <t xml:space="preserve">win_density_60d</t>
  </si>
  <si>
    <t xml:space="preserve">Wins in the last 60 days</t>
  </si>
  <si>
    <t xml:space="preserve">td_draw_screen</t>
  </si>
  <si>
    <t xml:space="preserve">Split-half stability of the course x distance draw bias</t>
  </si>
  <si>
    <t xml:space="preserve">track_pcs_mean</t>
  </si>
  <si>
    <t xml:space="preserve">Course mean pace-change score</t>
  </si>
  <si>
    <t xml:space="preserve">trainerjockeyWAX</t>
  </si>
  <si>
    <t xml:space="preserve">Trainer-jockey combination's career wins above chance per run (won - 1/runners)</t>
  </si>
  <si>
    <t xml:space="preserve">tdg_draw_bias</t>
  </si>
  <si>
    <t xml:space="preserve">Course x distance x going draw bias</t>
  </si>
  <si>
    <t xml:space="preserve">sire_going_win_rate</t>
  </si>
  <si>
    <t xml:space="preserve">Sire's win rate on the going</t>
  </si>
  <si>
    <t xml:space="preserve">preracejockeycareerWOA</t>
  </si>
  <si>
    <t xml:space="preserve">Jockey career</t>
  </si>
  <si>
    <t xml:space="preserve">Jockey's career wins over average (equal to WAX in this build) over earlier days</t>
  </si>
  <si>
    <t xml:space="preserve">draw_quartile</t>
  </si>
  <si>
    <t xml:space="preserve">Draw position</t>
  </si>
  <si>
    <t xml:space="preserve">Stall quartile</t>
  </si>
  <si>
    <t xml:space="preserve">td_holdup_win_share</t>
  </si>
  <si>
    <t xml:space="preserve">Course x distance: share of winners that were held up</t>
  </si>
  <si>
    <t xml:space="preserve">preracetrainercareerWAX</t>
  </si>
  <si>
    <t xml:space="preserve">Trainer's career wins above chance per run (won - 1/runners) over earlier days</t>
  </si>
  <si>
    <t xml:space="preserve">preracetrainercareerWOA</t>
  </si>
  <si>
    <t xml:space="preserve">Trainer's career wins over average (equal to WAX in this build) over earlier days</t>
  </si>
  <si>
    <t xml:space="preserve">fw_perf_w5</t>
  </si>
  <si>
    <t xml:space="preserve">Rating-scale performance figure (lbs): last 5 runs weighted 5..1 by recency (earlier days only)</t>
  </si>
  <si>
    <t xml:space="preserve">preracejockeycareerWIV</t>
  </si>
  <si>
    <t xml:space="preserve">Jockey's career win index: wins / wins expected by chance (sum of 1/runners) over earlier days</t>
  </si>
  <si>
    <t xml:space="preserve">draw_pct_adj</t>
  </si>
  <si>
    <t xml:space="preserve">Adjusted stall as a share of the field (0 = lowest)</t>
  </si>
  <si>
    <t xml:space="preserve">horse_high_stall_nfp</t>
  </si>
  <si>
    <t xml:space="preserve">Horse's mean NFP from high stalls</t>
  </si>
  <si>
    <t xml:space="preserve">trainerjockeyWOA</t>
  </si>
  <si>
    <t xml:space="preserve">Trainer-jockey combination's career wins over average (equal to WAX in this build)</t>
  </si>
  <si>
    <t xml:space="preserve">WPMRF3</t>
  </si>
  <si>
    <t xml:space="preserve">Recency-weighted prize money raced for, last 3 runs</t>
  </si>
  <si>
    <t xml:space="preserve">fw_perf_m5</t>
  </si>
  <si>
    <t xml:space="preserve">Rating-scale performance figure (lbs): mean of the last 5 runs (earlier days only)</t>
  </si>
  <si>
    <t xml:space="preserve">LR_draw_relative</t>
  </si>
  <si>
    <t xml:space="preserve">Relative draw in the last run</t>
  </si>
  <si>
    <t xml:space="preserve">draw_bias_spread</t>
  </si>
  <si>
    <t xml:space="preserve">Best less worst stall bias in the race</t>
  </si>
  <si>
    <t xml:space="preserve">jockeys_claim_num</t>
  </si>
  <si>
    <t xml:space="preserve">Jockey's claim (lbs)</t>
  </si>
  <si>
    <t xml:space="preserve">trainer_holdup_rate</t>
  </si>
  <si>
    <t xml:space="preserve">Trainer's share of runners held up</t>
  </si>
  <si>
    <t xml:space="preserve">fw_lbsc_w10</t>
  </si>
  <si>
    <t xml:space="preserve">Pounds better than the race's average runner: last 10 runs weighted 10..1 by recency (earlier days only)</t>
  </si>
  <si>
    <t xml:space="preserve">prize_momentum</t>
  </si>
  <si>
    <t xml:space="preserve">Trend in prize money raced for</t>
  </si>
  <si>
    <t xml:space="preserve">fw_lbsc_car</t>
  </si>
  <si>
    <t xml:space="preserve">Pounds better than the race's average runner: career mean (earlier days only)</t>
  </si>
  <si>
    <t xml:space="preserve">debut_x_sire_nfp</t>
  </si>
  <si>
    <t xml:space="preserve">Debutant x sire's mean NFP</t>
  </si>
  <si>
    <t xml:space="preserve">trainer_front_rate</t>
  </si>
  <si>
    <t xml:space="preserve">Trainer's share of runners prominent</t>
  </si>
  <si>
    <t xml:space="preserve">preracejockeycareerWAX</t>
  </si>
  <si>
    <t xml:space="preserve">Jockey's career wins above chance per run (won - 1/runners) over earlier days</t>
  </si>
  <si>
    <t xml:space="preserve">td_avg_winner_pos</t>
  </si>
  <si>
    <t xml:space="preserve">Course x distance: winners' mean early position</t>
  </si>
  <si>
    <t xml:space="preserve">LR_RSR</t>
  </si>
  <si>
    <t xml:space="preserve">Speed ratings (RSR)</t>
  </si>
  <si>
    <t xml:space="preserve">Speed rating against the standard time (from the race's winning time): last run</t>
  </si>
  <si>
    <t xml:space="preserve">FSS</t>
  </si>
  <si>
    <t xml:space="preserve">Field-size stability: RMS change in field size over the last 10 runs</t>
  </si>
  <si>
    <t xml:space="preserve">td_front_win_share</t>
  </si>
  <si>
    <t xml:space="preserve">Course x distance: share of winners that raced prominently</t>
  </si>
  <si>
    <t xml:space="preserve">draw_x_handed</t>
  </si>
  <si>
    <t xml:space="preserve">Stall x handedness (inside for the direction)</t>
  </si>
  <si>
    <t xml:space="preserve">racepaceindex</t>
  </si>
  <si>
    <t xml:space="preserve">Race pace index from the field's expected pace</t>
  </si>
  <si>
    <t xml:space="preserve">preracetrainercareerPlaces</t>
  </si>
  <si>
    <t xml:space="preserve">Trainer's career first-three finishes over earlier days</t>
  </si>
  <si>
    <t xml:space="preserve">headgear_cat</t>
  </si>
  <si>
    <t xml:space="preserve">Headgear worn today, category code</t>
  </si>
  <si>
    <t xml:space="preserve">preracejockeycareerPlaces</t>
  </si>
  <si>
    <t xml:space="preserve">Jockey's career first-three finishes over earlier days</t>
  </si>
  <si>
    <t xml:space="preserve">class_momentum</t>
  </si>
  <si>
    <t xml:space="preserve">Trend in class</t>
  </si>
  <si>
    <t xml:space="preserve">weight_vs_min</t>
  </si>
  <si>
    <t xml:space="preserve">Weight carried less the field's lowest</t>
  </si>
  <si>
    <t xml:space="preserve">weight_change_lr</t>
  </si>
  <si>
    <t xml:space="preserve">Weight change from the last run</t>
  </si>
  <si>
    <t xml:space="preserve">LRNFP</t>
  </si>
  <si>
    <t xml:space="preserve">NFP in the last run</t>
  </si>
  <si>
    <t xml:space="preserve">jockey_career_late_move</t>
  </si>
  <si>
    <t xml:space="preserve">Jockey's mean late move of mounts</t>
  </si>
  <si>
    <t xml:space="preserve">jockey_front_rate</t>
  </si>
  <si>
    <t xml:space="preserve">Jockey's share of mounts ridden prominently</t>
  </si>
  <si>
    <t xml:space="preserve">draw_vacancy_inside</t>
  </si>
  <si>
    <t xml:space="preserve">Empty stalls inside this runner</t>
  </si>
  <si>
    <t xml:space="preserve">is_left_handed</t>
  </si>
  <si>
    <t xml:space="preserve">Left-handed course</t>
  </si>
  <si>
    <t xml:space="preserve">drawdown_from_peak_nfp</t>
  </si>
  <si>
    <t xml:space="preserve">Recent NFP less the career-best NFP</t>
  </si>
  <si>
    <t xml:space="preserve">draw_bias_ev_adj</t>
  </si>
  <si>
    <t xml:space="preserve">The same on the adjusted stall</t>
  </si>
  <si>
    <t xml:space="preserve">preracejockeycareerCWO</t>
  </si>
  <si>
    <t xml:space="preserve">Jockey's career cumulative wins above chance over earlier days</t>
  </si>
  <si>
    <t xml:space="preserve">fw_rsr_l1</t>
  </si>
  <si>
    <t xml:space="preserve">Speed rating (RSR): last run (earlier days only)</t>
  </si>
  <si>
    <t xml:space="preserve">horse_low_stall_nfp</t>
  </si>
  <si>
    <t xml:space="preserve">Horse's mean NFP from low stalls</t>
  </si>
  <si>
    <t xml:space="preserve">sire_place_rate</t>
  </si>
  <si>
    <t xml:space="preserve">Sire's progeny place rate</t>
  </si>
  <si>
    <t xml:space="preserve">trainerpaceindex</t>
  </si>
  <si>
    <t xml:space="preserve">Trainer's pace index (runners' early positions)</t>
  </si>
  <si>
    <t xml:space="preserve">dist_furlongs</t>
  </si>
  <si>
    <t xml:space="preserve">Race distance (furlongs)</t>
  </si>
  <si>
    <t xml:space="preserve">td_high_stall_nfp</t>
  </si>
  <si>
    <t xml:space="preserve">Mean NFP from high stalls at course x distance</t>
  </si>
  <si>
    <t xml:space="preserve">preracetrainercareerWins</t>
  </si>
  <si>
    <t xml:space="preserve">Trainer's career wins over earlier days</t>
  </si>
  <si>
    <t xml:space="preserve">PMW10</t>
  </si>
  <si>
    <t xml:space="preserve">Performance-adjusted prize money (prize x RB^2), recency-weighted, last 10 runs</t>
  </si>
  <si>
    <t xml:space="preserve">SFI</t>
  </si>
  <si>
    <t xml:space="preserve">Speed-figure improvement (last run less the one before)</t>
  </si>
  <si>
    <t xml:space="preserve">track_cat</t>
  </si>
  <si>
    <t xml:space="preserve">Course, category code</t>
  </si>
  <si>
    <t xml:space="preserve">preracetrainercareerRuns</t>
  </si>
  <si>
    <t xml:space="preserve">Trainer's career runs over earlier days</t>
  </si>
  <si>
    <t xml:space="preserve">nfp_macd_signal</t>
  </si>
  <si>
    <t xml:space="preserve">MACD signal line</t>
  </si>
  <si>
    <t xml:space="preserve">td_low_stall_nfp</t>
  </si>
  <si>
    <t xml:space="preserve">Mean NFP from low stalls at course x distance</t>
  </si>
  <si>
    <t xml:space="preserve">weight_range</t>
  </si>
  <si>
    <t xml:space="preserve">The field's weight range</t>
  </si>
  <si>
    <t xml:space="preserve">draw_bias_ev</t>
  </si>
  <si>
    <t xml:space="preserve">Draw bias for the stall band here: NFP beyond what ratings expected</t>
  </si>
  <si>
    <t xml:space="preserve">surface_nfp</t>
  </si>
  <si>
    <t xml:space="preserve">Surface form</t>
  </si>
  <si>
    <t xml:space="preserve">Mean NFP on today's surface</t>
  </si>
  <si>
    <t xml:space="preserve">draw_lead_fit</t>
  </si>
  <si>
    <t xml:space="preserve">Fit of the stall to leading</t>
  </si>
  <si>
    <t xml:space="preserve">fw_lbsc_w5</t>
  </si>
  <si>
    <t xml:space="preserve">Pounds better than the race's average runner: last 5 runs weighted 5..1 by recency (earlier days only)</t>
  </si>
  <si>
    <t xml:space="preserve">career_nfp_std</t>
  </si>
  <si>
    <t xml:space="preserve">Consistency and strike rates</t>
  </si>
  <si>
    <t xml:space="preserve">Career standard deviation of NFP</t>
  </si>
  <si>
    <t xml:space="preserve">draw_pos_fit</t>
  </si>
  <si>
    <t xml:space="preserve">Fit of the stall to the projected position</t>
  </si>
  <si>
    <t xml:space="preserve">mean_reversion_score</t>
  </si>
  <si>
    <t xml:space="preserve">Distance of recent form from the long-run mean</t>
  </si>
  <si>
    <t xml:space="preserve">LR2_EPF3</t>
  </si>
  <si>
    <t xml:space="preserve">Early position figure weighted by the finishing position in the 2-back run</t>
  </si>
  <si>
    <t xml:space="preserve">trainer_Career_EPF</t>
  </si>
  <si>
    <t xml:space="preserve">Trainer's career mean EPF2 of runners</t>
  </si>
  <si>
    <t xml:space="preserve">trainer_career_early_pos</t>
  </si>
  <si>
    <t xml:space="preserve">Trainer's mean early position of runners</t>
  </si>
  <si>
    <t xml:space="preserve">going_numeric</t>
  </si>
  <si>
    <t xml:space="preserve">Going on the card, as a number</t>
  </si>
  <si>
    <t xml:space="preserve">fw_plc_m5</t>
  </si>
  <si>
    <t xml:space="preserve">Places (first three): mean of the last 5 runs (earlier days only)</t>
  </si>
  <si>
    <t xml:space="preserve">td_draw_bias</t>
  </si>
  <si>
    <t xml:space="preserve">Course x distance: low-stall less high-stall NFP</t>
  </si>
  <si>
    <t xml:space="preserve">jockey_sr_14d</t>
  </si>
  <si>
    <t xml:space="preserve">Jockey's strike rate, last 14 days</t>
  </si>
  <si>
    <t xml:space="preserve">fw_ae_w5</t>
  </si>
  <si>
    <t xml:space="preserve">Wins above the market (won - BSP chance): last 5 runs weighted 5..1 by recency (earlier days only)</t>
  </si>
  <si>
    <t xml:space="preserve">going_draw_alignment</t>
  </si>
  <si>
    <t xml:space="preserve">Stall on the favoured side for today's going</t>
  </si>
  <si>
    <t xml:space="preserve">fw_ae_m5</t>
  </si>
  <si>
    <t xml:space="preserve">Wins above the market (won - BSP chance): mean of the last 5 runs (earlier days only)</t>
  </si>
  <si>
    <t xml:space="preserve">Jockey_Career_EPF</t>
  </si>
  <si>
    <t xml:space="preserve">Jockey's career mean EPF2 of mounts</t>
  </si>
  <si>
    <t xml:space="preserve">debut_x_trainer_wiv</t>
  </si>
  <si>
    <t xml:space="preserve">Debutant x trainer's WIV</t>
  </si>
  <si>
    <t xml:space="preserve">damsire_avg_nfp</t>
  </si>
  <si>
    <t xml:space="preserve">Damsire's progeny mean NFP</t>
  </si>
  <si>
    <t xml:space="preserve">rJockeyEPF</t>
  </si>
  <si>
    <t xml:space="preserve">Within-race rank (1 = highest in the field) of Jockey_Career_EPF: jockey's career mean EPF2 of mounts</t>
  </si>
  <si>
    <t xml:space="preserve">surface_win_rate</t>
  </si>
  <si>
    <t xml:space="preserve">Win rate on the surface</t>
  </si>
  <si>
    <t xml:space="preserve">front_sustainability</t>
  </si>
  <si>
    <t xml:space="preserve">Ability to sustain a lead</t>
  </si>
  <si>
    <t xml:space="preserve">jockey_sr_30d</t>
  </si>
  <si>
    <t xml:space="preserve">Jockey's strike rate, last 30 days</t>
  </si>
  <si>
    <t xml:space="preserve">fw_lbsc_m3</t>
  </si>
  <si>
    <t xml:space="preserve">Pounds better than the race's average runner: mean of the last 3 runs (earlier days only)</t>
  </si>
  <si>
    <t xml:space="preserve">fw_lbs_car</t>
  </si>
  <si>
    <t xml:space="preserve">Pounds beaten at the trip (capped 20): career mean (earlier days only)</t>
  </si>
  <si>
    <t xml:space="preserve">fw_win_l1</t>
  </si>
  <si>
    <t xml:space="preserve">Wins: last run (earlier days only)</t>
  </si>
  <si>
    <t xml:space="preserve">form_rsi_10</t>
  </si>
  <si>
    <t xml:space="preserve">RSI of NFP over 10 runs</t>
  </si>
  <si>
    <t xml:space="preserve">or_momentum</t>
  </si>
  <si>
    <t xml:space="preserve">Trend in official rating</t>
  </si>
  <si>
    <t xml:space="preserve">nfp_acceleration</t>
  </si>
  <si>
    <t xml:space="preserve">Change in the NFP slope</t>
  </si>
  <si>
    <t xml:space="preserve">LR_RACE_Wins</t>
  </si>
  <si>
    <t xml:space="preserve">Mean career wins of the last run's field</t>
  </si>
  <si>
    <t xml:space="preserve">or_off_peak</t>
  </si>
  <si>
    <t xml:space="preserve">Points below the peak rating</t>
  </si>
  <si>
    <t xml:space="preserve">holdup_finish_ability</t>
  </si>
  <si>
    <t xml:space="preserve">Ability to finish from off the pace</t>
  </si>
  <si>
    <t xml:space="preserve">jockeypaceindex</t>
  </si>
  <si>
    <t xml:space="preserve">Jockey's pace index (mounts' early positions)</t>
  </si>
  <si>
    <t xml:space="preserve">totaljockeyrides</t>
  </si>
  <si>
    <t xml:space="preserve">Jockey's cumulative rides</t>
  </si>
  <si>
    <t xml:space="preserve">form_rsi_5</t>
  </si>
  <si>
    <t xml:space="preserve">RSI of NFP over 5 runs</t>
  </si>
  <si>
    <t xml:space="preserve">jockey_holdup_rate</t>
  </si>
  <si>
    <t xml:space="preserve">Jockey's share of mounts held up</t>
  </si>
  <si>
    <t xml:space="preserve">fw_lbs_m5</t>
  </si>
  <si>
    <t xml:space="preserve">Pounds beaten at the trip (capped 20): mean of the last 5 runs (earlier days only)</t>
  </si>
  <si>
    <t xml:space="preserve">totaljockeyLRPscore</t>
  </si>
  <si>
    <t xml:space="preserve">Jockey's cumulative last-run placing score</t>
  </si>
  <si>
    <t xml:space="preserve">fw_win_w10</t>
  </si>
  <si>
    <t xml:space="preserve">Wins: last 10 runs weighted 10..1 by recency (earlier days only)</t>
  </si>
  <si>
    <t xml:space="preserve">rWeightVsAvg</t>
  </si>
  <si>
    <t xml:space="preserve">Within-race rank (1 = highest in the field) of weight_vs_avg: weight carried less the field's mean</t>
  </si>
  <si>
    <t xml:space="preserve">LR_EPF3</t>
  </si>
  <si>
    <t xml:space="preserve">Early position figure weighted by the finishing position in the last run</t>
  </si>
  <si>
    <t xml:space="preserve">or_vs_last_win</t>
  </si>
  <si>
    <t xml:space="preserve">Official rating less the rating at the last win</t>
  </si>
  <si>
    <t xml:space="preserve">preracejockeycareerWins</t>
  </si>
  <si>
    <t xml:space="preserve">Jockey's career wins over earlier days</t>
  </si>
  <si>
    <t xml:space="preserve">fw_plc_w10</t>
  </si>
  <si>
    <t xml:space="preserve">Places (first three): last 10 runs weighted 10..1 by recency (earlier days only)</t>
  </si>
  <si>
    <t xml:space="preserve">sire_wiv</t>
  </si>
  <si>
    <t xml:space="preserve">Sire's progeny WIV</t>
  </si>
  <si>
    <t xml:space="preserve">best_RSR</t>
  </si>
  <si>
    <t xml:space="preserve">Best career speed rating</t>
  </si>
  <si>
    <t xml:space="preserve">preracejockeycareerRuns</t>
  </si>
  <si>
    <t xml:space="preserve">Jockey's career runs over earlier days</t>
  </si>
  <si>
    <t xml:space="preserve">LR10_ORR2</t>
  </si>
  <si>
    <t xml:space="preserve">Harmonic-weighted sum of ORR2 over the last 10 runs</t>
  </si>
  <si>
    <t xml:space="preserve">rail_moved</t>
  </si>
  <si>
    <t xml:space="preserve">Rail moved today</t>
  </si>
  <si>
    <t xml:space="preserve">trainer_track_runs</t>
  </si>
  <si>
    <t xml:space="preserve">Trainer's runners at the course</t>
  </si>
  <si>
    <t xml:space="preserve">recent_nfp_std</t>
  </si>
  <si>
    <t xml:space="preserve">Standard deviation of NFP, last 5 runs</t>
  </si>
  <si>
    <t xml:space="preserve">draw_x_direction</t>
  </si>
  <si>
    <t xml:space="preserve">Stall x course direction</t>
  </si>
  <si>
    <t xml:space="preserve">is_right_handed</t>
  </si>
  <si>
    <t xml:space="preserve">Right-handed course</t>
  </si>
  <si>
    <t xml:space="preserve">career_residual</t>
  </si>
  <si>
    <t xml:space="preserve">Results against the market</t>
  </si>
  <si>
    <t xml:space="preserve">Career mean of (NFP - NFP expected from the market's order)</t>
  </si>
  <si>
    <t xml:space="preserve">trainer_runs_14d</t>
  </si>
  <si>
    <t xml:space="preserve">Trainer's runners, last 14 days</t>
  </si>
  <si>
    <t xml:space="preserve">LR10COUNT</t>
  </si>
  <si>
    <t xml:space="preserve">Runs held in the last 10 slots</t>
  </si>
  <si>
    <t xml:space="preserve">pred_race_pace</t>
  </si>
  <si>
    <t xml:space="preserve">Projected pace of today's race</t>
  </si>
  <si>
    <t xml:space="preserve">pounds_num</t>
  </si>
  <si>
    <t xml:space="preserve">Weight carried (lbs)</t>
  </si>
  <si>
    <t xml:space="preserve">first_at_cd</t>
  </si>
  <si>
    <t xml:space="preserve">First run at the course and distance</t>
  </si>
  <si>
    <t xml:space="preserve">fw_plc_w5</t>
  </si>
  <si>
    <t xml:space="preserve">Places (first three): last 5 runs weighted 5..1 by recency (earlier days only)</t>
  </si>
  <si>
    <t xml:space="preserve">sire_win_rate</t>
  </si>
  <si>
    <t xml:space="preserve">Sire's progeny win rate (shrunk)</t>
  </si>
  <si>
    <t xml:space="preserve">horse_draw_pref</t>
  </si>
  <si>
    <t xml:space="preserve">Horse's low-less-high stall NFP</t>
  </si>
  <si>
    <t xml:space="preserve">it_ae_best</t>
  </si>
  <si>
    <t xml:space="preserve">Best of the trainer's A-E records for today's angles</t>
  </si>
  <si>
    <t xml:space="preserve">LR4_EPF3</t>
  </si>
  <si>
    <t xml:space="preserve">Early position figure weighted by the finishing position in the 4-back run</t>
  </si>
  <si>
    <t xml:space="preserve">rSurfaceNFP</t>
  </si>
  <si>
    <t xml:space="preserve">Within-race rank (1 = highest in the field) of surface_nfp: mean NFP on today's surface</t>
  </si>
  <si>
    <t xml:space="preserve">pred_race_pace_class</t>
  </si>
  <si>
    <t xml:space="preserve">Projected pace class</t>
  </si>
  <si>
    <t xml:space="preserve">jockey_career_early_pos</t>
  </si>
  <si>
    <t xml:space="preserve">Jockey's mean early position of mounts</t>
  </si>
  <si>
    <t xml:space="preserve">form_sharpe_3</t>
  </si>
  <si>
    <t xml:space="preserve">Mean / sd of NFP over 3 runs</t>
  </si>
  <si>
    <t xml:space="preserve">fw_nres_car</t>
  </si>
  <si>
    <t xml:space="preserve">Finishing position against the market's order: career mean (earlier days only)</t>
  </si>
  <si>
    <t xml:space="preserve">RSR_gap</t>
  </si>
  <si>
    <t xml:space="preserve">Best speed rating less the mean of the last 3</t>
  </si>
  <si>
    <t xml:space="preserve">career_runs_num</t>
  </si>
  <si>
    <t xml:space="preserve">Career runs before today</t>
  </si>
  <si>
    <t xml:space="preserve">fr_runs_since_win</t>
  </si>
  <si>
    <t xml:space="preserve">Runs since the last win</t>
  </si>
  <si>
    <t xml:space="preserve">LR3_EPF3</t>
  </si>
  <si>
    <t xml:space="preserve">Early position figure weighted by the finishing position in the 3-back run</t>
  </si>
  <si>
    <t xml:space="preserve">fw_ae_w10</t>
  </si>
  <si>
    <t xml:space="preserve">Wins above the market (won - BSP chance): last 10 runs weighted 10..1 by recency (earlier days only)</t>
  </si>
  <si>
    <t xml:space="preserve">lead_prob_top</t>
  </si>
  <si>
    <t xml:space="preserve">Most likely leader</t>
  </si>
  <si>
    <t xml:space="preserve">DSLR4</t>
  </si>
  <si>
    <t xml:space="preserve">Days since last run (DSLR)</t>
  </si>
  <si>
    <t xml:space="preserve">Days since the 4th-last run</t>
  </si>
  <si>
    <t xml:space="preserve">draw_front_enable</t>
  </si>
  <si>
    <t xml:space="preserve">Stall that makes front-running easy</t>
  </si>
  <si>
    <t xml:space="preserve">RACE_Wins</t>
  </si>
  <si>
    <t xml:space="preserve">Field's mean career wins</t>
  </si>
  <si>
    <t xml:space="preserve">fw_rsr_w3</t>
  </si>
  <si>
    <t xml:space="preserve">Speed rating (RSR): last 3 runs weighted 3-2-1 by recency (earlier days only)</t>
  </si>
  <si>
    <t xml:space="preserve">fw_nres_l1</t>
  </si>
  <si>
    <t xml:space="preserve">Finishing position against the market's order: last run (earlier days only)</t>
  </si>
  <si>
    <t xml:space="preserve">CIL5</t>
  </si>
  <si>
    <t xml:space="preserve">Data count index (last 5)</t>
  </si>
  <si>
    <t xml:space="preserve">fw_ae_w3</t>
  </si>
  <si>
    <t xml:space="preserve">Wins above the market (won - BSP chance): last 3 runs weighted 3-2-1 by recency (earlier days only)</t>
  </si>
  <si>
    <t xml:space="preserve">EXP_ORR210</t>
  </si>
  <si>
    <t xml:space="preserve">Exponentially decayed (0.85) mean market rating: runners / BSP (the market's chance against a random runner's), last 10 runs</t>
  </si>
  <si>
    <t xml:space="preserve">fw_mkt_m3</t>
  </si>
  <si>
    <t xml:space="preserve">The market's view, log(N x BSP chance): mean of the last 3 runs (earlier days only)</t>
  </si>
  <si>
    <t xml:space="preserve">horse_style_consistency</t>
  </si>
  <si>
    <t xml:space="preserve">How consistent the horse's early position is</t>
  </si>
  <si>
    <t xml:space="preserve">LR2_late_move</t>
  </si>
  <si>
    <t xml:space="preserve">Late move two runs back</t>
  </si>
  <si>
    <t xml:space="preserve">it_ae_sum</t>
  </si>
  <si>
    <t xml:space="preserve">Sum of the trainer's A-E records for today's angles</t>
  </si>
  <si>
    <t xml:space="preserve">LR10wsum</t>
  </si>
  <si>
    <t xml:space="preserve">Recency weight sum, last 10</t>
  </si>
  <si>
    <t xml:space="preserve">DSLR2</t>
  </si>
  <si>
    <t xml:space="preserve">Days between the 2nd- and last-but-one runs</t>
  </si>
  <si>
    <t xml:space="preserve">fw_rsr_car</t>
  </si>
  <si>
    <t xml:space="preserve">Speed rating (RSR): career mean (earlier days only)</t>
  </si>
  <si>
    <t xml:space="preserve">form_z_score</t>
  </si>
  <si>
    <t xml:space="preserve">Last NFP against the career mean, in standard deviations</t>
  </si>
  <si>
    <t xml:space="preserve">draw_x_style</t>
  </si>
  <si>
    <t xml:space="preserve">Stall x projected running style</t>
  </si>
  <si>
    <t xml:space="preserve">horse_style_inflexible</t>
  </si>
  <si>
    <t xml:space="preserve">Always races the same way</t>
  </si>
  <si>
    <t xml:space="preserve">horse_epf_norm_sd</t>
  </si>
  <si>
    <t xml:space="preserve">Spread of normalised early position</t>
  </si>
  <si>
    <t xml:space="preserve">DSLR3</t>
  </si>
  <si>
    <t xml:space="preserve">Days since the 3rd-last run</t>
  </si>
  <si>
    <t xml:space="preserve">LR10NFPtotal</t>
  </si>
  <si>
    <t xml:space="preserve">Mean NFP over the last 10 runs</t>
  </si>
  <si>
    <t xml:space="preserve">fw_plc_w3</t>
  </si>
  <si>
    <t xml:space="preserve">Places (first three): last 3 runs weighted 3-2-1 by recency (earlier days only)</t>
  </si>
  <si>
    <t xml:space="preserve">fw_wax_l1</t>
  </si>
  <si>
    <t xml:space="preserve">Wins above chance (won - 1/N): last run (earlier days only)</t>
  </si>
  <si>
    <t xml:space="preserve">fw_ae_m3</t>
  </si>
  <si>
    <t xml:space="preserve">Wins above the market (won - BSP chance): mean of the last 3 runs (earlier days only)</t>
  </si>
  <si>
    <t xml:space="preserve">LR5_EPF3</t>
  </si>
  <si>
    <t xml:space="preserve">Early position figure weighted by the finishing position in the 5-back run</t>
  </si>
  <si>
    <t xml:space="preserve">preracehorsecareerORR2</t>
  </si>
  <si>
    <t xml:space="preserve">Horse career</t>
  </si>
  <si>
    <t xml:space="preserve">Horse's career market rating: runners / BSP (the market's chance against a random runner's) over earlier runs</t>
  </si>
  <si>
    <t xml:space="preserve">trainer_jockey_style_gap</t>
  </si>
  <si>
    <t xml:space="preserve">Trainer's usual style less the jockey's</t>
  </si>
  <si>
    <t xml:space="preserve">LR2_EPF2</t>
  </si>
  <si>
    <t xml:space="preserve">Early position figure adjusted for field size in the 2-back run</t>
  </si>
  <si>
    <t xml:space="preserve">fw_mkt_w10</t>
  </si>
  <si>
    <t xml:space="preserve">The market's view, log(N x BSP chance): last 10 runs weighted 10..1 by recency (earlier days only)</t>
  </si>
  <si>
    <t xml:space="preserve">fw_ae_car</t>
  </si>
  <si>
    <t xml:space="preserve">Wins above the market (won - BSP chance): career mean (earlier days only)</t>
  </si>
  <si>
    <t xml:space="preserve">PFD10</t>
  </si>
  <si>
    <t xml:space="preserve">Probability-field difference (PFD)</t>
  </si>
  <si>
    <t xml:space="preserve">Recency-weighted (BSP probability - 1/runners) over the last 10 runs</t>
  </si>
  <si>
    <t xml:space="preserve">is_stall_1</t>
  </si>
  <si>
    <t xml:space="preserve">Drawn in stall 1</t>
  </si>
  <si>
    <t xml:space="preserve">fw_mkt_m5</t>
  </si>
  <si>
    <t xml:space="preserve">The market's view, log(N x BSP chance): mean of the last 5 runs (earlier days only)</t>
  </si>
  <si>
    <t xml:space="preserve">preracehorsecareerRSR</t>
  </si>
  <si>
    <t xml:space="preserve">Horse's career speed rating against the standard time (from the race's winning time) over earlier runs</t>
  </si>
  <si>
    <t xml:space="preserve">fw_wax_w3</t>
  </si>
  <si>
    <t xml:space="preserve">Wins above chance (won - 1/N): last 3 runs weighted 3-2-1 by recency (earlier days only)</t>
  </si>
  <si>
    <t xml:space="preserve">fw_plc_m3</t>
  </si>
  <si>
    <t xml:space="preserve">Places (first three): mean of the last 3 runs (earlier days only)</t>
  </si>
  <si>
    <t xml:space="preserve">horse_pos_gain_mean</t>
  </si>
  <si>
    <t xml:space="preserve">Mean positions gained from early to finish</t>
  </si>
  <si>
    <t xml:space="preserve">LR5_EPF</t>
  </si>
  <si>
    <t xml:space="preserve">Early position figure from the in-running comment (1 rear .. 6 led) in the 5-back run</t>
  </si>
  <si>
    <t xml:space="preserve">fw_nfp_m5</t>
  </si>
  <si>
    <t xml:space="preserve">Normalised finishing position: mean of the last 5 runs (earlier days only)</t>
  </si>
  <si>
    <t xml:space="preserve">form_sharpe_5</t>
  </si>
  <si>
    <t xml:space="preserve">Mean / sd of NFP over 5 runs</t>
  </si>
  <si>
    <t xml:space="preserve">fw_lbsc_m5</t>
  </si>
  <si>
    <t xml:space="preserve">Pounds better than the race's average runner: mean of the last 5 runs (earlier days only)</t>
  </si>
  <si>
    <t xml:space="preserve">fw_nres_w10</t>
  </si>
  <si>
    <t xml:space="preserve">Finishing position against the market's order: last 10 runs weighted 10..1 by recency (earlier days only)</t>
  </si>
  <si>
    <t xml:space="preserve">LR3_late_move</t>
  </si>
  <si>
    <t xml:space="preserve">Late move three runs back</t>
  </si>
  <si>
    <t xml:space="preserve">first_at_distance</t>
  </si>
  <si>
    <t xml:space="preserve">First run at the trip</t>
  </si>
  <si>
    <t xml:space="preserve">LR4_EPF2</t>
  </si>
  <si>
    <t xml:space="preserve">Early position figure adjusted for field size in the 4-back run</t>
  </si>
  <si>
    <t xml:space="preserve">is_declining</t>
  </si>
  <si>
    <t xml:space="preserve">Form trajectory</t>
  </si>
  <si>
    <t xml:space="preserve">Form slope over 3 runs &lt; -0.05</t>
  </si>
  <si>
    <t xml:space="preserve">nfp_skew_5</t>
  </si>
  <si>
    <t xml:space="preserve">Skew of NFP over 5 runs</t>
  </si>
  <si>
    <t xml:space="preserve">LR5_EPF2</t>
  </si>
  <si>
    <t xml:space="preserve">Early position figure adjusted for field size in the 5-back run</t>
  </si>
  <si>
    <t xml:space="preserve">predicted_lead_prob</t>
  </si>
  <si>
    <t xml:space="preserve">Projected chance of leading</t>
  </si>
  <si>
    <t xml:space="preserve">rWPMRF3</t>
  </si>
  <si>
    <t xml:space="preserve">Within-race rank (1 = highest in the field) of WPMRF3: recency-weighted prize money raced for, last 3 runs</t>
  </si>
  <si>
    <t xml:space="preserve">LR3_RSR</t>
  </si>
  <si>
    <t xml:space="preserve">Speed rating against the standard time (from the race's winning time): mean of the last 3 runs</t>
  </si>
  <si>
    <t xml:space="preserve">fw_rsr_w10</t>
  </si>
  <si>
    <t xml:space="preserve">Speed rating (RSR): last 10 runs weighted 10..1 by recency (earlier days only)</t>
  </si>
  <si>
    <t xml:space="preserve">fw_nres_m5</t>
  </si>
  <si>
    <t xml:space="preserve">Finishing position against the market's order: mean of the last 5 runs (earlier days only)</t>
  </si>
  <si>
    <t xml:space="preserve">first_at_going</t>
  </si>
  <si>
    <t xml:space="preserve">First run on the going</t>
  </si>
  <si>
    <t xml:space="preserve">fw_wax_m3</t>
  </si>
  <si>
    <t xml:space="preserve">Wins above chance (won - 1/N): mean of the last 3 runs (earlier days only)</t>
  </si>
  <si>
    <t xml:space="preserve">pred_pace_spread</t>
  </si>
  <si>
    <t xml:space="preserve">Spread of projected early positions</t>
  </si>
  <si>
    <t xml:space="preserve">preracehorsecareerFSARB2</t>
  </si>
  <si>
    <t xml:space="preserve">Horse's career mean squared field-size-adjusted RB over earlier runs</t>
  </si>
  <si>
    <t xml:space="preserve">lead_prob_entropy</t>
  </si>
  <si>
    <t xml:space="preserve">How open the lead is (entropy of lead chances)</t>
  </si>
  <si>
    <t xml:space="preserve">LR4_EPF</t>
  </si>
  <si>
    <t xml:space="preserve">Early position figure from the in-running comment (1 rear .. 6 led) in the 4-back run</t>
  </si>
  <si>
    <t xml:space="preserve">pred_max_front</t>
  </si>
  <si>
    <t xml:space="preserve">Strongest front-runner's projected position</t>
  </si>
  <si>
    <t xml:space="preserve">draw_x_fieldsize</t>
  </si>
  <si>
    <t xml:space="preserve">Stall x field size</t>
  </si>
  <si>
    <t xml:space="preserve">fw_rsr_m3</t>
  </si>
  <si>
    <t xml:space="preserve">Speed rating (RSR): mean of the last 3 runs (earlier days only)</t>
  </si>
  <si>
    <t xml:space="preserve">form_var_3</t>
  </si>
  <si>
    <t xml:space="preserve">Variance of NFP over the last 3 runs</t>
  </si>
  <si>
    <t xml:space="preserve">draw_prominent_effect</t>
  </si>
  <si>
    <t xml:space="preserve">Draw effect for prominent racers</t>
  </si>
  <si>
    <t xml:space="preserve">fw_wax_w5</t>
  </si>
  <si>
    <t xml:space="preserve">Wins above chance (won - 1/N): last 5 runs weighted 5..1 by recency (earlier days only)</t>
  </si>
  <si>
    <t xml:space="preserve">pace_position_delta</t>
  </si>
  <si>
    <t xml:space="preserve">Projected position less the course's winning position</t>
  </si>
  <si>
    <t xml:space="preserve">PFD3</t>
  </si>
  <si>
    <t xml:space="preserve">Recency-weighted (BSP probability - 1/runners) over the last 3 runs</t>
  </si>
  <si>
    <t xml:space="preserve">fw_wax_w10</t>
  </si>
  <si>
    <t xml:space="preserve">Wins above chance (won - 1/N): last 10 runs weighted 10..1 by recency (earlier days only)</t>
  </si>
  <si>
    <t xml:space="preserve">fw_rsr_m5</t>
  </si>
  <si>
    <t xml:space="preserve">Speed rating (RSR): mean of the last 5 runs (earlier days only)</t>
  </si>
  <si>
    <t xml:space="preserve">jockey_track_runs</t>
  </si>
  <si>
    <t xml:space="preserve">Jockey's rides at the course</t>
  </si>
  <si>
    <t xml:space="preserve">LR_late_move</t>
  </si>
  <si>
    <t xml:space="preserve">Places gained late in the last run</t>
  </si>
  <si>
    <t xml:space="preserve">fw_nres_m3</t>
  </si>
  <si>
    <t xml:space="preserve">Finishing position against the market's order: mean of the last 3 runs (earlier days only)</t>
  </si>
  <si>
    <t xml:space="preserve">is_improving</t>
  </si>
  <si>
    <t xml:space="preserve">Form slope over 3 runs &gt; 0.05</t>
  </si>
  <si>
    <t xml:space="preserve">LR2_EPF</t>
  </si>
  <si>
    <t xml:space="preserve">Early position figure from the in-running comment (1 rear .. 6 led) in the 2-back run</t>
  </si>
  <si>
    <t xml:space="preserve">fw_rsr_w5</t>
  </si>
  <si>
    <t xml:space="preserve">Speed rating (RSR): last 5 runs weighted 5..1 by recency (earlier days only)</t>
  </si>
  <si>
    <t xml:space="preserve">horse_early_pos_5r</t>
  </si>
  <si>
    <t xml:space="preserve">Mean early position, last 5 runs</t>
  </si>
  <si>
    <t xml:space="preserve">LR2_total_move</t>
  </si>
  <si>
    <t xml:space="preserve">Total move two runs back</t>
  </si>
  <si>
    <t xml:space="preserve">LR2_early_pos</t>
  </si>
  <si>
    <t xml:space="preserve">Early position two runs back</t>
  </si>
  <si>
    <t xml:space="preserve">preracehorsecareerFSARB</t>
  </si>
  <si>
    <t xml:space="preserve">Horse's career field-size-adjusted RB over earlier runs</t>
  </si>
  <si>
    <t xml:space="preserve">horse_keen_rate</t>
  </si>
  <si>
    <t xml:space="preserve">Share of runs described as keen</t>
  </si>
  <si>
    <t xml:space="preserve">LR3_early_pos</t>
  </si>
  <si>
    <t xml:space="preserve">Early position three runs back</t>
  </si>
  <si>
    <t xml:space="preserve">horse_pos_drop</t>
  </si>
  <si>
    <t xml:space="preserve">Positions usually lost late</t>
  </si>
  <si>
    <t xml:space="preserve">horse_late_move_5r</t>
  </si>
  <si>
    <t xml:space="preserve">Mean late move, last 5 runs</t>
  </si>
  <si>
    <t xml:space="preserve">fw_nres_w5</t>
  </si>
  <si>
    <t xml:space="preserve">Finishing position against the market's order: last 5 runs weighted 5..1 by recency (earlier days only)</t>
  </si>
  <si>
    <t xml:space="preserve">fw_wax_m5</t>
  </si>
  <si>
    <t xml:space="preserve">Wins above chance (won - 1/N): mean of the last 5 runs (earlier days only)</t>
  </si>
  <si>
    <t xml:space="preserve">LR5_RSR</t>
  </si>
  <si>
    <t xml:space="preserve">Speed rating against the standard time (from the race's winning time): mean of the last 5 runs</t>
  </si>
  <si>
    <t xml:space="preserve">pred_pace_contested</t>
  </si>
  <si>
    <t xml:space="preserve">Projected contested lead</t>
  </si>
  <si>
    <t xml:space="preserve">recent_place_rate</t>
  </si>
  <si>
    <t xml:space="preserve">Place rate over the last 10 runs</t>
  </si>
  <si>
    <t xml:space="preserve">LR3_EPF2</t>
  </si>
  <si>
    <t xml:space="preserve">Early position figure adjusted for field size in the 3-back run</t>
  </si>
  <si>
    <t xml:space="preserve">PFD5</t>
  </si>
  <si>
    <t xml:space="preserve">Recency-weighted (BSP probability - 1/runners) over the last 5 runs</t>
  </si>
  <si>
    <t xml:space="preserve">fw_nres_w3</t>
  </si>
  <si>
    <t xml:space="preserve">Finishing position against the market's order: last 3 runs weighted 3-2-1 by recency (earlier days only)</t>
  </si>
  <si>
    <t xml:space="preserve">residual_exp5</t>
  </si>
  <si>
    <t xml:space="preserve">Exponentially decayed NFP residual vs the market, last 5 runs</t>
  </si>
  <si>
    <t xml:space="preserve">residual_exp3</t>
  </si>
  <si>
    <t xml:space="preserve">Exponentially decayed NFP residual vs the market, last 3 runs</t>
  </si>
  <si>
    <t xml:space="preserve">LR3_LB</t>
  </si>
  <si>
    <t xml:space="preserve">Lengths beaten: mean of the last 3 runs</t>
  </si>
  <si>
    <t xml:space="preserve">LR3_EPF</t>
  </si>
  <si>
    <t xml:space="preserve">Early position figure from the in-running comment (1 rear .. 6 led) in the 3-back run</t>
  </si>
  <si>
    <t xml:space="preserve">Horse_Career_EPF</t>
  </si>
  <si>
    <t xml:space="preserve">Horse's career mean EPF2 (early position figure) over earlier runs</t>
  </si>
  <si>
    <t xml:space="preserve">LR_epf_norm</t>
  </si>
  <si>
    <t xml:space="preserve">Normalised early position in the last run</t>
  </si>
  <si>
    <t xml:space="preserve">fw_win_w5</t>
  </si>
  <si>
    <t xml:space="preserve">Wins: last 5 runs weighted 5..1 by recency (earlier days only)</t>
  </si>
  <si>
    <t xml:space="preserve">form_var_5</t>
  </si>
  <si>
    <t xml:space="preserve">Variance of NFP over the last 5 runs</t>
  </si>
  <si>
    <t xml:space="preserve">DSLR34diff</t>
  </si>
  <si>
    <t xml:space="preserve">Change in spacing (gaps 3-4), third weight</t>
  </si>
  <si>
    <t xml:space="preserve">horse_career_late_move</t>
  </si>
  <si>
    <t xml:space="preserve">Career mean places gained late</t>
  </si>
  <si>
    <t xml:space="preserve">debut_x_sire_wiv</t>
  </si>
  <si>
    <t xml:space="preserve">Debutant x sire's WIV</t>
  </si>
  <si>
    <t xml:space="preserve">headgear_change</t>
  </si>
  <si>
    <t xml:space="preserve">Headgear changed from the last run</t>
  </si>
  <si>
    <t xml:space="preserve">horse_career_total_move</t>
  </si>
  <si>
    <t xml:space="preserve">Career mean places gained through the race</t>
  </si>
  <si>
    <t xml:space="preserve">horsepaceindex</t>
  </si>
  <si>
    <t xml:space="preserve">Horse's pace index from its earlier early-position figures</t>
  </si>
  <si>
    <t xml:space="preserve">horse_trouble_rate</t>
  </si>
  <si>
    <t xml:space="preserve">Share of runs with trouble in running</t>
  </si>
  <si>
    <t xml:space="preserve">fw_nfp_w3</t>
  </si>
  <si>
    <t xml:space="preserve">Normalised finishing position: last 3 runs weighted 3-2-1 by recency (earlier days only)</t>
  </si>
  <si>
    <t xml:space="preserve">preracehorsecareerNFP</t>
  </si>
  <si>
    <t xml:space="preserve">Horse's career normalised finishing position (1 = won, 0 = last) over earlier runs</t>
  </si>
  <si>
    <t xml:space="preserve">horse_modal_style</t>
  </si>
  <si>
    <t xml:space="preserve">Most frequent running style</t>
  </si>
  <si>
    <t xml:space="preserve">EXP_RB10</t>
  </si>
  <si>
    <t xml:space="preserve">Exponentially decayed (0.85) mean races-beaten score (identical to NFP in this data), last 10 runs</t>
  </si>
  <si>
    <t xml:space="preserve">LR3_total_move</t>
  </si>
  <si>
    <t xml:space="preserve">Total move three runs back</t>
  </si>
  <si>
    <t xml:space="preserve">fw_plc_car</t>
  </si>
  <si>
    <t xml:space="preserve">Places (first three): career mean (earlier days only)</t>
  </si>
  <si>
    <t xml:space="preserve">unexposure_score</t>
  </si>
  <si>
    <t xml:space="preserve">Combined novelty of today's conditions</t>
  </si>
  <si>
    <t xml:space="preserve">jockey_horse_style_gap</t>
  </si>
  <si>
    <t xml:space="preserve">Jockey's usual style less the horse's</t>
  </si>
  <si>
    <t xml:space="preserve">fw_nfp_w10</t>
  </si>
  <si>
    <t xml:space="preserve">Normalised finishing position: last 10 runs weighted 10..1 by recency (earlier days only)</t>
  </si>
  <si>
    <t xml:space="preserve">LR5NFPtotal</t>
  </si>
  <si>
    <t xml:space="preserve">Mean NFP over the last 5 runs</t>
  </si>
  <si>
    <t xml:space="preserve">pace_suit</t>
  </si>
  <si>
    <t xml:space="preserve">How well the projected pace suits the style</t>
  </si>
  <si>
    <t xml:space="preserve">lead_prob_edge</t>
  </si>
  <si>
    <t xml:space="preserve">Lead chance less the next best</t>
  </si>
  <si>
    <t xml:space="preserve">it_debut</t>
  </si>
  <si>
    <t xml:space="preserve">Debut</t>
  </si>
  <si>
    <t xml:space="preserve">preracehorsecareerLB</t>
  </si>
  <si>
    <t xml:space="preserve">Horse's career lengths beaten over earlier runs</t>
  </si>
  <si>
    <t xml:space="preserve">horse_epf_norm_recent</t>
  </si>
  <si>
    <t xml:space="preserve">Recent normalised early position</t>
  </si>
  <si>
    <t xml:space="preserve">career_place_rate</t>
  </si>
  <si>
    <t xml:space="preserve">Horse's career place (top-three) rate over earlier runs</t>
  </si>
  <si>
    <t xml:space="preserve">horse_epf_norm_mean</t>
  </si>
  <si>
    <t xml:space="preserve">Mean normalised early position</t>
  </si>
  <si>
    <t xml:space="preserve">EXP_NFP10</t>
  </si>
  <si>
    <t xml:space="preserve">Exponentially decayed (0.85) mean normalised finishing position (1 = won, 0 = last), last 10 runs</t>
  </si>
  <si>
    <t xml:space="preserve">fw_win_m5</t>
  </si>
  <si>
    <t xml:space="preserve">Wins: mean of the last 5 runs (earlier days only)</t>
  </si>
  <si>
    <t xml:space="preserve">pred_epf_norm</t>
  </si>
  <si>
    <t xml:space="preserve">Projected normalised early position</t>
  </si>
  <si>
    <t xml:space="preserve">preracehorsecareerRB</t>
  </si>
  <si>
    <t xml:space="preserve">Horse's career races-beaten score (identical to NFP in this data) over earlier runs</t>
  </si>
  <si>
    <t xml:space="preserve">fw_nfp_car</t>
  </si>
  <si>
    <t xml:space="preserve">Normalised finishing position: career mean (earlier days only)</t>
  </si>
  <si>
    <t xml:space="preserve">it_ae_new_yard</t>
  </si>
  <si>
    <t xml:space="preserve">Trainer's shrunk A-E (won - BSP chance) with a new yard, earlier days</t>
  </si>
  <si>
    <t xml:space="preserve">DSLR12diff</t>
  </si>
  <si>
    <t xml:space="preserve">Change in spacing between the last two gaps</t>
  </si>
  <si>
    <t xml:space="preserve">preracehorsecareerCWO</t>
  </si>
  <si>
    <t xml:space="preserve">Horse's career cumulative wins above chance over earlier runs</t>
  </si>
  <si>
    <t xml:space="preserve">draw_advantage_composite</t>
  </si>
  <si>
    <t xml:space="preserve">Composite draw advantage (course, trip, going, field size)</t>
  </si>
  <si>
    <t xml:space="preserve">track_style_fit</t>
  </si>
  <si>
    <t xml:space="preserve">Fit of the style to the course's winners</t>
  </si>
  <si>
    <t xml:space="preserve">first_at_course</t>
  </si>
  <si>
    <t xml:space="preserve">First run at the course</t>
  </si>
  <si>
    <t xml:space="preserve">pace_mismatch</t>
  </si>
  <si>
    <t xml:space="preserve">Mismatch of style and projected pace</t>
  </si>
  <si>
    <t xml:space="preserve">draw_relative</t>
  </si>
  <si>
    <t xml:space="preserve">Stall relative to the field</t>
  </si>
  <si>
    <t xml:space="preserve">LR_total_move</t>
  </si>
  <si>
    <t xml:space="preserve">Places gained through the last run</t>
  </si>
  <si>
    <t xml:space="preserve">horse_style_mode_share</t>
  </si>
  <si>
    <t xml:space="preserve">Share of runs in the most frequent style</t>
  </si>
  <si>
    <t xml:space="preserve">horse_career_early_pos</t>
  </si>
  <si>
    <t xml:space="preserve">Horse's career mean early position</t>
  </si>
  <si>
    <t xml:space="preserve">rDrawBiasAlign</t>
  </si>
  <si>
    <t xml:space="preserve">Within-race rank (1 = highest in the field) of draw_bias_alignment: stall on the favoured side of the course x distance bias</t>
  </si>
  <si>
    <t xml:space="preserve">first_on_surface</t>
  </si>
  <si>
    <t xml:space="preserve">First run on the surface</t>
  </si>
  <si>
    <t xml:space="preserve">EXP_NFP3</t>
  </si>
  <si>
    <t xml:space="preserve">Exponentially decayed (0.85) mean normalised finishing position (1 = won, 0 = last), last 3 runs</t>
  </si>
  <si>
    <t xml:space="preserve">LR_EPF2</t>
  </si>
  <si>
    <t xml:space="preserve">Early position figure adjusted for field size in the last run</t>
  </si>
  <si>
    <t xml:space="preserve">prom_runner</t>
  </si>
  <si>
    <t xml:space="preserve">Expected to race prominently (career EPF &gt; 4)</t>
  </si>
  <si>
    <t xml:space="preserve">SFI_3</t>
  </si>
  <si>
    <t xml:space="preserve">Mean speed-figure improvement, last 3</t>
  </si>
  <si>
    <t xml:space="preserve">preracehorsecareerPlaces</t>
  </si>
  <si>
    <t xml:space="preserve">Horse's career first-three finishes over earlier runs</t>
  </si>
  <si>
    <t xml:space="preserve">EXP_RB5</t>
  </si>
  <si>
    <t xml:space="preserve">Exponentially decayed (0.85) mean races-beaten score (identical to NFP in this data), last 5 runs</t>
  </si>
  <si>
    <t xml:space="preserve">form_slope_5</t>
  </si>
  <si>
    <t xml:space="preserve">Slope of NFP over the last 5 runs</t>
  </si>
  <si>
    <t xml:space="preserve">it_ae_layoff</t>
  </si>
  <si>
    <t xml:space="preserve">Trainer's shrunk A-E (won - BSP chance) with a return from a break, earlier days</t>
  </si>
  <si>
    <t xml:space="preserve">fw_wax_car</t>
  </si>
  <si>
    <t xml:space="preserve">Wins above chance (won - 1/N): career mean (earlier days only)</t>
  </si>
  <si>
    <t xml:space="preserve">pred_front_pct</t>
  </si>
  <si>
    <t xml:space="preserve">Projected share of the field on the pace</t>
  </si>
  <si>
    <t xml:space="preserve">fw_win_w3</t>
  </si>
  <si>
    <t xml:space="preserve">Wins: last 3 runs weighted 3-2-1 by recency (earlier days only)</t>
  </si>
  <si>
    <t xml:space="preserve">first_time_headgear</t>
  </si>
  <si>
    <t xml:space="preserve">First-time headgear</t>
  </si>
  <si>
    <t xml:space="preserve">pace_pressure</t>
  </si>
  <si>
    <t xml:space="preserve">Share of the field expected to race prominently (expected EPF &gt; 4)</t>
  </si>
  <si>
    <t xml:space="preserve">fw_nfp_w5</t>
  </si>
  <si>
    <t xml:space="preserve">Normalised finishing position: last 5 runs weighted 5..1 by recency (earlier days only)</t>
  </si>
  <si>
    <t xml:space="preserve">horse_late_move_3r</t>
  </si>
  <si>
    <t xml:space="preserve">Mean late move, last 3 runs</t>
  </si>
  <si>
    <t xml:space="preserve">EXP_NFP5</t>
  </si>
  <si>
    <t xml:space="preserve">Exponentially decayed (0.85) mean normalised finishing position (1 = won, 0 = last), last 5 runs</t>
  </si>
  <si>
    <t xml:space="preserve">it_n_angles</t>
  </si>
  <si>
    <t xml:space="preserve">Number of intent angles today</t>
  </si>
  <si>
    <t xml:space="preserve">preracehorsecareerWAX</t>
  </si>
  <si>
    <t xml:space="preserve">Horse's career wins above chance per run (won - 1/runners) over earlier runs</t>
  </si>
  <si>
    <t xml:space="preserve">LR_early_pos</t>
  </si>
  <si>
    <t xml:space="preserve">Early position in the last run</t>
  </si>
  <si>
    <t xml:space="preserve">preracehorsecareerWOA</t>
  </si>
  <si>
    <t xml:space="preserve">Horse's career wins over average (equal to WAX in this build) over earlier runs</t>
  </si>
  <si>
    <t xml:space="preserve">LR_EPF</t>
  </si>
  <si>
    <t xml:space="preserve">Early position figure from the in-running comment (1 rear .. 6 led) in the last run</t>
  </si>
  <si>
    <t xml:space="preserve">DSLR23diff</t>
  </si>
  <si>
    <t xml:space="preserve">Change in spacing (gaps 2-3), half weight</t>
  </si>
  <si>
    <t xml:space="preserve">form_slope_3</t>
  </si>
  <si>
    <t xml:space="preserve">Slope of NFP over the last 3 runs (+ improving)</t>
  </si>
  <si>
    <t xml:space="preserve">career_win_surprise</t>
  </si>
  <si>
    <t xml:space="preserve">Career mean of wins at long prices (won x log BSP)</t>
  </si>
  <si>
    <t xml:space="preserve">horseFSARB2rank</t>
  </si>
  <si>
    <t xml:space="preserve">Within-race rank (1 = highest in the field) of preracehorsecareerFSARB2: horse's career mean squared field-size-adjusted RB over earlier runs</t>
  </si>
  <si>
    <t xml:space="preserve">surface_type_cat</t>
  </si>
  <si>
    <t xml:space="preserve">Surface (turf / all-weather), category code</t>
  </si>
  <si>
    <t xml:space="preserve">EXP_RB3</t>
  </si>
  <si>
    <t xml:space="preserve">Exponentially decayed (0.85) mean races-beaten score (identical to NFP in this data), last 3 runs</t>
  </si>
  <si>
    <t xml:space="preserve">rNFPMACD</t>
  </si>
  <si>
    <t xml:space="preserve">Within-race rank (1 = highest in the field) of nfp_macd: MACD of the NFP series</t>
  </si>
  <si>
    <t xml:space="preserve">horse_early_pos_3r</t>
  </si>
  <si>
    <t xml:space="preserve">Mean early position, last 3 runs</t>
  </si>
  <si>
    <t xml:space="preserve">it_ae_debut</t>
  </si>
  <si>
    <t xml:space="preserve">Trainer's shrunk A-E (won - BSP chance) with a debut, earlier days</t>
  </si>
  <si>
    <t xml:space="preserve">fw_win_m3</t>
  </si>
  <si>
    <t xml:space="preserve">Wins: mean of the last 3 runs (earlier days only)</t>
  </si>
  <si>
    <t xml:space="preserve">style_shift</t>
  </si>
  <si>
    <t xml:space="preserve">Recent early position less the career mean (style change)</t>
  </si>
  <si>
    <t xml:space="preserve">CIL10</t>
  </si>
  <si>
    <t xml:space="preserve">Data count index (last 10)</t>
  </si>
  <si>
    <t xml:space="preserve">LR3NFPtotal</t>
  </si>
  <si>
    <t xml:space="preserve">Mean NFP over the last 3 runs</t>
  </si>
  <si>
    <t xml:space="preserve">fw_nfp_m3</t>
  </si>
  <si>
    <t xml:space="preserve">Normalised finishing position: mean of the last 3 runs (earlier days only)</t>
  </si>
  <si>
    <t xml:space="preserve">headgear_removed</t>
  </si>
  <si>
    <t xml:space="preserve">Headgear taken off</t>
  </si>
  <si>
    <t xml:space="preserve">pace_advantage</t>
  </si>
  <si>
    <t xml:space="preserve">Advantage of the projected position in the projected pace</t>
  </si>
  <si>
    <t xml:space="preserve">pred_early_pos</t>
  </si>
  <si>
    <t xml:space="preserve">Projected early position today</t>
  </si>
  <si>
    <t xml:space="preserve">LR5_LB</t>
  </si>
  <si>
    <t xml:space="preserve">Lengths beaten: mean of the last 5 runs</t>
  </si>
  <si>
    <t xml:space="preserve">recent_win_rate</t>
  </si>
  <si>
    <t xml:space="preserve">Win rate over the last 10 runs</t>
  </si>
  <si>
    <t xml:space="preserve">LR_was_keen</t>
  </si>
  <si>
    <t xml:space="preserve">Keen in the last run</t>
  </si>
  <si>
    <t xml:space="preserve">rWinDensity30d</t>
  </si>
  <si>
    <t xml:space="preserve">Within-race rank (1 = highest in the field) of win_density_30d: wins in the last 30 days</t>
  </si>
  <si>
    <t xml:space="preserve">draw_x_pace</t>
  </si>
  <si>
    <t xml:space="preserve">Stall x race pace</t>
  </si>
  <si>
    <t xml:space="preserve">horseFSARBrank</t>
  </si>
  <si>
    <t xml:space="preserve">Within-race rank (1 = highest in the field) of preracehorsecareerFSARB: horse's career field-size-adjusted RB over earlier runs</t>
  </si>
  <si>
    <t xml:space="preserve">fw_win_car</t>
  </si>
  <si>
    <t xml:space="preserve">Wins: career mean (earlier days only)</t>
  </si>
  <si>
    <t xml:space="preserve">preracehorsecareerWIV</t>
  </si>
  <si>
    <t xml:space="preserve">Horse's career win index: wins / wins expected by chance (sum of 1/runners) over earlier runs</t>
  </si>
  <si>
    <t xml:space="preserve">pred_back_pct</t>
  </si>
  <si>
    <t xml:space="preserve">Projected share held up</t>
  </si>
  <si>
    <t xml:space="preserve">career_win_rate</t>
  </si>
  <si>
    <t xml:space="preserve">Horse's career win rate over earlier runs</t>
  </si>
  <si>
    <t xml:space="preserve">rDamsireNFP</t>
  </si>
  <si>
    <t xml:space="preserve">Within-race rank (1 = highest in the field) of damsire_avg_nfp: damsire's progeny mean NFP</t>
  </si>
  <si>
    <t xml:space="preserve">rHorseLateMoveCareer</t>
  </si>
  <si>
    <t xml:space="preserve">Within-race rank (1 = highest in the field) of horse_career_late_move: career mean places gained late</t>
  </si>
  <si>
    <t xml:space="preserve">horseRBrank</t>
  </si>
  <si>
    <t xml:space="preserve">Within-race rank (1 = highest in the field) of preracehorsecareerRB: horse's career races-beaten score (identical to NFP in this data) over earlier runs</t>
  </si>
  <si>
    <t xml:space="preserve">horseWIVrank</t>
  </si>
  <si>
    <t xml:space="preserve">Within-race rank (1 = highest in the field) of preracehorsecareerWIV: horse's career win index: wins / wins expected by chance (sum of 1/runners) over earlier runs</t>
  </si>
  <si>
    <t xml:space="preserve">rFormSharpe3</t>
  </si>
  <si>
    <t xml:space="preserve">Within-race rank (1 = highest in the field) of form_sharpe_3: mean / sd of NFP over 3 runs</t>
  </si>
  <si>
    <t xml:space="preserve">is_widest_stall</t>
  </si>
  <si>
    <t xml:space="preserve">Drawn widest</t>
  </si>
  <si>
    <t xml:space="preserve">rDrawFieldAdj</t>
  </si>
  <si>
    <t xml:space="preserve">Within-race rank (1 = highest in the field) of draw_advantage_field_adj: draw advantage scaled by field size</t>
  </si>
  <si>
    <t xml:space="preserve">pred_pace_share</t>
  </si>
  <si>
    <t xml:space="preserve">Share of the projected pace</t>
  </si>
  <si>
    <t xml:space="preserve">LR5COUNT</t>
  </si>
  <si>
    <t xml:space="preserve">Runs held in the last 5 slots</t>
  </si>
  <si>
    <t xml:space="preserve">rPrizeMomentum</t>
  </si>
  <si>
    <t xml:space="preserve">Within-race rank (1 = highest in the field) of prize_momentum: trend in prize money raced for</t>
  </si>
  <si>
    <t xml:space="preserve">rail_trust</t>
  </si>
  <si>
    <t xml:space="preserve">Trust in the draw bias given the rail movement</t>
  </si>
  <si>
    <t xml:space="preserve">keen_rate_3r</t>
  </si>
  <si>
    <t xml:space="preserve">Keen rate, last 3 runs</t>
  </si>
  <si>
    <t xml:space="preserve">rNFPLR5</t>
  </si>
  <si>
    <t xml:space="preserve">Within-race rank (1 = highest in the field) of LR5NFPtotal: mean NFP over the last 5 runs</t>
  </si>
  <si>
    <t xml:space="preserve">fr_runs_60d</t>
  </si>
  <si>
    <t xml:space="preserve">Runs in the last 60 days</t>
  </si>
  <si>
    <t xml:space="preserve">preracehorsecareerWins</t>
  </si>
  <si>
    <t xml:space="preserve">Horse's career wins over earlier runs</t>
  </si>
  <si>
    <t xml:space="preserve">FinalDSLR</t>
  </si>
  <si>
    <t xml:space="preserve">Days since the last run adjusted by the spacing trend</t>
  </si>
  <si>
    <t xml:space="preserve">rFormZScore</t>
  </si>
  <si>
    <t xml:space="preserve">Within-race rank (1 = highest in the field) of form_z_score: last NFP against the career mean, in standard deviations</t>
  </si>
  <si>
    <t xml:space="preserve">rGoingDrawAlign</t>
  </si>
  <si>
    <t xml:space="preserve">Within-race rank (1 = highest in the field) of going_draw_alignment: stall on the favoured side for today's going</t>
  </si>
  <si>
    <t xml:space="preserve">DSLR1</t>
  </si>
  <si>
    <t xml:space="preserve">Days since the last run (dates held)</t>
  </si>
  <si>
    <t xml:space="preserve">horseNFPrank</t>
  </si>
  <si>
    <t xml:space="preserve">Within-race rank (1 = highest in the field) of preracehorsecareerNFP: horse's career normalised finishing position (1 = won, 0 = last) over earlier runs</t>
  </si>
  <si>
    <t xml:space="preserve">draw_pref_match</t>
  </si>
  <si>
    <t xml:space="preserve">Today's stall matches the horse's preference</t>
  </si>
  <si>
    <t xml:space="preserve">rPaceSuit</t>
  </si>
  <si>
    <t xml:space="preserve">Within-race rank (1 = highest in the field) of pace_suit: how well the projected pace suits the style</t>
  </si>
  <si>
    <t xml:space="preserve">cd_experience</t>
  </si>
  <si>
    <t xml:space="preserve">Earlier runs at the course and distance</t>
  </si>
  <si>
    <t xml:space="preserve">fr_runs_90d</t>
  </si>
  <si>
    <t xml:space="preserve">Runs in the last 90 days</t>
  </si>
  <si>
    <t xml:space="preserve">stall_num</t>
  </si>
  <si>
    <t xml:space="preserve">Stall (draw)</t>
  </si>
  <si>
    <t xml:space="preserve">draw_front_advantage</t>
  </si>
  <si>
    <t xml:space="preserve">Draw advantage for front-runners here</t>
  </si>
  <si>
    <t xml:space="preserve">it_ae_class_drop</t>
  </si>
  <si>
    <t xml:space="preserve">Trainer's shrunk A-E (won - BSP chance) with a class drop, earlier days</t>
  </si>
  <si>
    <t xml:space="preserve">fr_quick_after_win</t>
  </si>
  <si>
    <t xml:space="preserve">Back within 14 days of a win</t>
  </si>
  <si>
    <t xml:space="preserve">rFCS</t>
  </si>
  <si>
    <t xml:space="preserve">Within-race rank (1 = highest in the field) of FCS: field-class stability: RMS change in the race's mean OR over the last 10 runs</t>
  </si>
  <si>
    <t xml:space="preserve">rORMomentum</t>
  </si>
  <si>
    <t xml:space="preserve">Within-race rank (1 = highest in the field) of or_momentum: trend in official rating</t>
  </si>
  <si>
    <t xml:space="preserve">rDrawAdvComposite</t>
  </si>
  <si>
    <t xml:space="preserve">Within-race rank (1 = highest in the field) of draw_advantage_composite: composite draw advantage (course, trip, going, field size)</t>
  </si>
  <si>
    <t xml:space="preserve">fr_runs_30d</t>
  </si>
  <si>
    <t xml:space="preserve">Runs in the last 30 days</t>
  </si>
  <si>
    <t xml:space="preserve">preracehorsecareerRuns</t>
  </si>
  <si>
    <t xml:space="preserve">Horse's career runs over earlier runs</t>
  </si>
  <si>
    <t xml:space="preserve">pred_n_back</t>
  </si>
  <si>
    <t xml:space="preserve">Projected number of hold-up horses</t>
  </si>
  <si>
    <t xml:space="preserve">rFormRSI5</t>
  </si>
  <si>
    <t xml:space="preserve">Within-race rank (1 = highest in the field) of form_rsi_5: RSI of NFP over 5 runs</t>
  </si>
  <si>
    <t xml:space="preserve">LR5wsum</t>
  </si>
  <si>
    <t xml:space="preserve">Recency weight sum, last 5</t>
  </si>
  <si>
    <t xml:space="preserve">course_experience</t>
  </si>
  <si>
    <t xml:space="preserve">Earlier runs at the course</t>
  </si>
  <si>
    <t xml:space="preserve">rNFP</t>
  </si>
  <si>
    <t xml:space="preserve">draw_holdup_effect</t>
  </si>
  <si>
    <t xml:space="preserve">Draw effect for hold-up horses</t>
  </si>
  <si>
    <t xml:space="preserve">horse_track_runs</t>
  </si>
  <si>
    <t xml:space="preserve">Runs at the course</t>
  </si>
  <si>
    <t xml:space="preserve">draw_nr_shift</t>
  </si>
  <si>
    <t xml:space="preserve">Places the non-runners moved the stall in</t>
  </si>
  <si>
    <t xml:space="preserve">keen_front_risk</t>
  </si>
  <si>
    <t xml:space="preserve">Keen and drawn to race prominently</t>
  </si>
  <si>
    <t xml:space="preserve">it_ae_code_switch</t>
  </si>
  <si>
    <t xml:space="preserve">Trainer's shrunk A-E (won - BSP chance) with a code switch, earlier days</t>
  </si>
  <si>
    <t xml:space="preserve">rDrawBiasEV</t>
  </si>
  <si>
    <t xml:space="preserve">Within-race rank (1 = highest in the field) of draw_bias_ev_adj: the same on the adjusted stall</t>
  </si>
  <si>
    <t xml:space="preserve">it_ae_hcap_debut</t>
  </si>
  <si>
    <t xml:space="preserve">Trainer's shrunk A-E (won - BSP chance) with a handicap debut, earlier days</t>
  </si>
  <si>
    <t xml:space="preserve">rNFPAccel</t>
  </si>
  <si>
    <t xml:space="preserve">Within-race rank (1 = highest in the field) of nfp_acceleration: change in the NFP slope</t>
  </si>
  <si>
    <t xml:space="preserve">rORChange</t>
  </si>
  <si>
    <t xml:space="preserve">Within-race rank (1 = highest in the field) of or_change: official rating change from the last run</t>
  </si>
  <si>
    <t xml:space="preserve">rNFPLR10</t>
  </si>
  <si>
    <t xml:space="preserve">Within-race rank (1 = highest in the field) of LR10NFPtotal: mean NFP over the last 10 runs</t>
  </si>
  <si>
    <t xml:space="preserve">pred_pace_scenario</t>
  </si>
  <si>
    <t xml:space="preserve">Projected pace scenario (slow / even / fast)</t>
  </si>
  <si>
    <t xml:space="preserve">rail_move_yards</t>
  </si>
  <si>
    <t xml:space="preserve">Rail movement today (yards)</t>
  </si>
  <si>
    <t xml:space="preserve">rHoldupFinish</t>
  </si>
  <si>
    <t xml:space="preserve">Within-race rank (1 = highest in the field) of holdup_finish_ability: ability to finish from off the pace</t>
  </si>
  <si>
    <t xml:space="preserve">rEPF_LR</t>
  </si>
  <si>
    <t xml:space="preserve">Within-race rank (1 = highest in the field) of LR_EPF: early position figure from the in-running comment (1 rear .. 6 led) in the last run</t>
  </si>
  <si>
    <t xml:space="preserve">pred_pace_pressure</t>
  </si>
  <si>
    <t xml:space="preserve">Projected pace pressure</t>
  </si>
  <si>
    <t xml:space="preserve">rDistApt</t>
  </si>
  <si>
    <t xml:space="preserve">Within-race rank (1 = highest in the field) of dist_from_preferred: today's trip less the preferred</t>
  </si>
  <si>
    <t xml:space="preserve">rLeadProb</t>
  </si>
  <si>
    <t xml:space="preserve">Within-race rank (1 = highest in the field) of predicted_lead_prob: projected chance of leading</t>
  </si>
  <si>
    <t xml:space="preserve">LR3COUNT</t>
  </si>
  <si>
    <t xml:space="preserve">Runs held in the last 3 slots</t>
  </si>
  <si>
    <t xml:space="preserve">rStyleConsistency</t>
  </si>
  <si>
    <t xml:space="preserve">Within-race rank (1 = highest in the field) of horse_style_consistency: how consistent the horse's early position is</t>
  </si>
  <si>
    <t xml:space="preserve">lead_prob_rank</t>
  </si>
  <si>
    <t xml:space="preserve">Rank of the chance of leading in the field</t>
  </si>
  <si>
    <t xml:space="preserve">rMeanReversion</t>
  </si>
  <si>
    <t xml:space="preserve">Within-race rank (1 = highest in the field) of mean_reversion_score: distance of recent form from the long-run mean</t>
  </si>
  <si>
    <t xml:space="preserve">rDrawPctAdj</t>
  </si>
  <si>
    <t xml:space="preserve">Within-race rank (1 = highest in the field) of draw_pct_adj: adjusted stall as a share of the field (0 = lowest)</t>
  </si>
  <si>
    <t xml:space="preserve">rPosGain</t>
  </si>
  <si>
    <t xml:space="preserve">Within-race rank (1 = highest in the field) of horse_pos_gain_mean: mean positions gained from early to finish</t>
  </si>
  <si>
    <t xml:space="preserve">rConsistency</t>
  </si>
  <si>
    <t xml:space="preserve">Within-race rank (1 = highest in the field) of career_nfp_std: career standard deviation of NFP</t>
  </si>
  <si>
    <t xml:space="preserve">horseWAXrank</t>
  </si>
  <si>
    <t xml:space="preserve">Within-race rank (1 = highest in the field) of preracehorsecareerWAX: horse's career wins above chance per run (won - 1/runners) over earlier runs</t>
  </si>
  <si>
    <t xml:space="preserve">rLB</t>
  </si>
  <si>
    <t xml:space="preserve">Within-race rank (1 = highest in the field) of preracehorsecareerLB: horse's career lengths beaten over earlier runs</t>
  </si>
  <si>
    <t xml:space="preserve">horsePlacesrank</t>
  </si>
  <si>
    <t xml:space="preserve">Within-race rank (1 = highest in the field) of preracehorsecareerPlaces: horse's career first-three finishes over earlier runs</t>
  </si>
  <si>
    <t xml:space="preserve">horseRunsrank</t>
  </si>
  <si>
    <t xml:space="preserve">Within-race rank (1 = highest in the field) of preracehorsecareerRuns: horse's career runs over earlier runs</t>
  </si>
  <si>
    <t xml:space="preserve">rTrainerEPF</t>
  </si>
  <si>
    <t xml:space="preserve">Within-race rank (1 = highest in the field) of trainer_Career_EPF: trainer's career mean EPF2 of runners</t>
  </si>
  <si>
    <t xml:space="preserve">rHorseDrawPref</t>
  </si>
  <si>
    <t xml:space="preserve">Within-race rank (1 = highest in the field) of horse_draw_pref: horse's low-less-high stall NFP</t>
  </si>
  <si>
    <t xml:space="preserve">rGoingPref</t>
  </si>
  <si>
    <t xml:space="preserve">Within-race rank (1 = highest in the field) of going_from_preferred: today's going less the preferred</t>
  </si>
  <si>
    <t xml:space="preserve">rRSR</t>
  </si>
  <si>
    <t xml:space="preserve">Within-race rank (1 = highest in the field) of preracehorsecareerRSR: horse's career speed rating against the standard time (from the race's winning time) over earlier runs</t>
  </si>
  <si>
    <t xml:space="preserve">lone_front_runner</t>
  </si>
  <si>
    <t xml:space="preserve">The only projected front-runner</t>
  </si>
  <si>
    <t xml:space="preserve">rFormSlope3</t>
  </si>
  <si>
    <t xml:space="preserve">Within-race rank (1 = highest in the field) of form_slope_3: slope of NFP over the last 3 runs (+ improving)</t>
  </si>
  <si>
    <t xml:space="preserve">it_ae_ft_headgear</t>
  </si>
  <si>
    <t xml:space="preserve">Trainer's shrunk A-E (won - BSP chance) with first-time headgear, earlier days</t>
  </si>
  <si>
    <t xml:space="preserve">rPredEarlyPos</t>
  </si>
  <si>
    <t xml:space="preserve">Within-race rank (1 = highest in the field) of pred_early_pos: projected early position today</t>
  </si>
  <si>
    <t xml:space="preserve">rDSLR</t>
  </si>
  <si>
    <t xml:space="preserve">Within-race rank (1 = highest in the field) of FinalDSLR: days since the last run adjusted by the spacing trend</t>
  </si>
  <si>
    <t xml:space="preserve">WgtDSLR</t>
  </si>
  <si>
    <t xml:space="preserve">Weighted acceleration of run spacing</t>
  </si>
  <si>
    <t xml:space="preserve">horseWinsrank</t>
  </si>
  <si>
    <t xml:space="preserve">Within-race rank (1 = highest in the field) of preracehorsecareerWins: horse's career wins over earlier runs</t>
  </si>
  <si>
    <t xml:space="preserve">rHorseCareerEarlyPos</t>
  </si>
  <si>
    <t xml:space="preserve">Within-race rank (1 = highest in the field) of horse_career_early_pos: horse's career mean early position</t>
  </si>
  <si>
    <t xml:space="preserve">rHorseCareerEPF</t>
  </si>
  <si>
    <t xml:space="preserve">Within-race rank (1 = highest in the field) of Horse_Career_EPF: horse's career mean EPF2 (early position figure) over earlier runs</t>
  </si>
  <si>
    <t xml:space="preserve">rUnexposure</t>
  </si>
  <si>
    <t xml:space="preserve">Within-race rank (1 = highest in the field) of unexposure_score: combined novelty of today's conditions</t>
  </si>
  <si>
    <t xml:space="preserve">horseWOArank</t>
  </si>
  <si>
    <t xml:space="preserve">Within-race rank (1 = highest in the field) of preracehorsecareerWOA: horse's career wins over average (equal to WAX in this build) over earlier runs</t>
  </si>
  <si>
    <t xml:space="preserve">pred_n_front</t>
  </si>
  <si>
    <t xml:space="preserve">Projected number of front-runners</t>
  </si>
  <si>
    <t xml:space="preserve">rFSS</t>
  </si>
  <si>
    <t xml:space="preserve">Within-race rank (1 = highest in the field) of FSS: field-size stability: RMS change in field size over the last 10 runs</t>
  </si>
  <si>
    <t xml:space="preserve">rEPF2_LR</t>
  </si>
  <si>
    <t xml:space="preserve">Within-race rank (1 = highest in the field) of LR_EPF2: early position figure adjusted for field size in the last run</t>
  </si>
  <si>
    <t xml:space="preserve">going_experience</t>
  </si>
  <si>
    <t xml:space="preserve">Earlier runs on today's going</t>
  </si>
  <si>
    <t xml:space="preserve">horseCWOrank</t>
  </si>
  <si>
    <t xml:space="preserve">Within-race rank (1 = highest in the field) of preracehorsecareerCWO: horse's career cumulative wins above chance over earlier runs</t>
  </si>
  <si>
    <t xml:space="preserve">rPaceAdvantage</t>
  </si>
  <si>
    <t xml:space="preserve">Within-race rank (1 = highest in the field) of pace_advantage: advantage of the projected position in the projected pace</t>
  </si>
  <si>
    <t xml:space="preserve">rResidual</t>
  </si>
  <si>
    <t xml:space="preserve">Within-race rank (1 = highest in the field) of career_residual: career mean of (NFP - NFP expected from the market's order)</t>
  </si>
  <si>
    <t xml:space="preserve">dist_experience</t>
  </si>
  <si>
    <t xml:space="preserve">Earlier runs at today's trip</t>
  </si>
  <si>
    <t xml:space="preserve">rTrackStyleFit</t>
  </si>
  <si>
    <t xml:space="preserve">Within-race rank (1 = highest in the field) of track_style_fit: fit of the style to the course's winners</t>
  </si>
  <si>
    <t xml:space="preserve">rDrawPosFit</t>
  </si>
  <si>
    <t xml:space="preserve">Within-race rank (1 = highest in the field) of draw_pos_fit: fit of the stall to the projected position</t>
  </si>
  <si>
    <t xml:space="preserve">LR3wsum</t>
  </si>
  <si>
    <t xml:space="preserve">Recency weight sum, last 3</t>
  </si>
  <si>
    <t xml:space="preserve">lead_competition</t>
  </si>
  <si>
    <t xml:space="preserve">Rivals for the lead</t>
  </si>
  <si>
    <t xml:space="preserve">rFrontSustain</t>
  </si>
  <si>
    <t xml:space="preserve">Within-race rank (1 = highest in the field) of front_sustainability: ability to sustain a lead</t>
  </si>
  <si>
    <t xml:space="preserve">surface_runs</t>
  </si>
  <si>
    <t xml:space="preserve">Runs on the surface</t>
  </si>
  <si>
    <t xml:space="preserve">is_debut</t>
  </si>
  <si>
    <t xml:space="preserve">First run</t>
  </si>
  <si>
    <t xml:space="preserve">sire_runners</t>
  </si>
  <si>
    <t xml:space="preserve">Sire's progeny runs</t>
  </si>
  <si>
    <t xml:space="preserve">damsire_runners</t>
  </si>
  <si>
    <t xml:space="preserve">Damsire's progeny runs</t>
  </si>
  <si>
    <t xml:space="preserve">track_draw_bias</t>
  </si>
  <si>
    <t xml:space="preserve">Course low-less-high stall bias (blank on every row: open defect)</t>
  </si>
  <si>
    <t xml:space="preserve">fv_nfp_e3</t>
  </si>
  <si>
    <t xml:space="preserve">Form variants</t>
  </si>
  <si>
    <t xml:space="preserve">NFP and lengths beaten in every variant</t>
  </si>
  <si>
    <t xml:space="preserve">fv nfp e3</t>
  </si>
  <si>
    <t xml:space="preserve">model/blocks/form_variants.py</t>
  </si>
  <si>
    <t xml:space="preserve">fv_nfp_e6</t>
  </si>
  <si>
    <t xml:space="preserve">fv nfp e6</t>
  </si>
  <si>
    <t xml:space="preserve">fv_nfp_d365</t>
  </si>
  <si>
    <t xml:space="preserve">fv nfp d365</t>
  </si>
  <si>
    <t xml:space="preserve">fv_nfp_s3</t>
  </si>
  <si>
    <t xml:space="preserve">fv nfp s3</t>
  </si>
  <si>
    <t xml:space="preserve">fv_nfp_s8</t>
  </si>
  <si>
    <t xml:space="preserve">fv nfp s8</t>
  </si>
  <si>
    <t xml:space="preserve">fv_nfp_fsw_car</t>
  </si>
  <si>
    <t xml:space="preserve">fv nfp fsw car</t>
  </si>
  <si>
    <t xml:space="preserve">fv_nfp_fsw_e6</t>
  </si>
  <si>
    <t xml:space="preserve">fv nfp fsw e6</t>
  </si>
  <si>
    <t xml:space="preserve">fv_nfp0_car</t>
  </si>
  <si>
    <t xml:space="preserve">fv nfp0 car</t>
  </si>
  <si>
    <t xml:space="preserve">fv_nfp0_l1</t>
  </si>
  <si>
    <t xml:space="preserve">fv nfp0 l1</t>
  </si>
  <si>
    <t xml:space="preserve">fv_nfp0_m3</t>
  </si>
  <si>
    <t xml:space="preserve">fv nfp0 m3</t>
  </si>
  <si>
    <t xml:space="preserve">fv_nfp0_m5</t>
  </si>
  <si>
    <t xml:space="preserve">fv nfp0 m5</t>
  </si>
  <si>
    <t xml:space="preserve">fv_nfp0_m10</t>
  </si>
  <si>
    <t xml:space="preserve">fv nfp0 m10</t>
  </si>
  <si>
    <t xml:space="preserve">fv_nfp0_w5</t>
  </si>
  <si>
    <t xml:space="preserve">fv nfp0 w5</t>
  </si>
  <si>
    <t xml:space="preserve">fv_nfp0_e3</t>
  </si>
  <si>
    <t xml:space="preserve">fv nfp0 e3</t>
  </si>
  <si>
    <t xml:space="preserve">fv_nfp0_e6</t>
  </si>
  <si>
    <t xml:space="preserve">fv nfp0 e6</t>
  </si>
  <si>
    <t xml:space="preserve">fv_nfp0_d365</t>
  </si>
  <si>
    <t xml:space="preserve">fv nfp0 d365</t>
  </si>
  <si>
    <t xml:space="preserve">fv_nfp0_s3</t>
  </si>
  <si>
    <t xml:space="preserve">fv nfp0 s3</t>
  </si>
  <si>
    <t xml:space="preserve">fv_nfp0_s8</t>
  </si>
  <si>
    <t xml:space="preserve">fv nfp0 s8</t>
  </si>
  <si>
    <t xml:space="preserve">fv_lb_m10</t>
  </si>
  <si>
    <t xml:space="preserve">fv lb m10</t>
  </si>
  <si>
    <t xml:space="preserve">fv_lb_w5</t>
  </si>
  <si>
    <t xml:space="preserve">fv lb w5</t>
  </si>
  <si>
    <t xml:space="preserve">fv_lb_e3</t>
  </si>
  <si>
    <t xml:space="preserve">fv lb e3</t>
  </si>
  <si>
    <t xml:space="preserve">fv_lb_e6</t>
  </si>
  <si>
    <t xml:space="preserve">fv lb e6</t>
  </si>
  <si>
    <t xml:space="preserve">fv_lb_d365</t>
  </si>
  <si>
    <t xml:space="preserve">fv lb d365</t>
  </si>
  <si>
    <t xml:space="preserve">fv_lbc_car</t>
  </si>
  <si>
    <t xml:space="preserve">fv lbc car</t>
  </si>
  <si>
    <t xml:space="preserve">fv_lbc_l1</t>
  </si>
  <si>
    <t xml:space="preserve">fv lbc l1</t>
  </si>
  <si>
    <t xml:space="preserve">fv_lbc_m3</t>
  </si>
  <si>
    <t xml:space="preserve">fv lbc m3</t>
  </si>
  <si>
    <t xml:space="preserve">fv_lbc_m5</t>
  </si>
  <si>
    <t xml:space="preserve">fv lbc m5</t>
  </si>
  <si>
    <t xml:space="preserve">fv_lbc_m10</t>
  </si>
  <si>
    <t xml:space="preserve">fv lbc m10</t>
  </si>
  <si>
    <t xml:space="preserve">fv_lbc_w5</t>
  </si>
  <si>
    <t xml:space="preserve">fv lbc w5</t>
  </si>
  <si>
    <t xml:space="preserve">fv_lbc_e3</t>
  </si>
  <si>
    <t xml:space="preserve">fv lbc e3</t>
  </si>
  <si>
    <t xml:space="preserve">fv_lbc_e6</t>
  </si>
  <si>
    <t xml:space="preserve">fv lbc e6</t>
  </si>
  <si>
    <t xml:space="preserve">fv_lbc_d365</t>
  </si>
  <si>
    <t xml:space="preserve">fv lbc d365</t>
  </si>
  <si>
    <t xml:space="preserve">fv_lblog_car</t>
  </si>
  <si>
    <t xml:space="preserve">fv lblog car</t>
  </si>
  <si>
    <t xml:space="preserve">fv_lblog_l1</t>
  </si>
  <si>
    <t xml:space="preserve">fv lblog l1</t>
  </si>
  <si>
    <t xml:space="preserve">fv_lblog_m3</t>
  </si>
  <si>
    <t xml:space="preserve">fv lblog m3</t>
  </si>
  <si>
    <t xml:space="preserve">fv_lblog_m5</t>
  </si>
  <si>
    <t xml:space="preserve">fv lblog m5</t>
  </si>
  <si>
    <t xml:space="preserve">fv_lblog_m10</t>
  </si>
  <si>
    <t xml:space="preserve">fv lblog m10</t>
  </si>
  <si>
    <t xml:space="preserve">fv_lblog_w5</t>
  </si>
  <si>
    <t xml:space="preserve">fv lblog w5</t>
  </si>
  <si>
    <t xml:space="preserve">fv_lblog_e3</t>
  </si>
  <si>
    <t xml:space="preserve">fv lblog e3</t>
  </si>
  <si>
    <t xml:space="preserve">fv_lblog_e6</t>
  </si>
  <si>
    <t xml:space="preserve">fv lblog e6</t>
  </si>
  <si>
    <t xml:space="preserve">fv_lblog_d365</t>
  </si>
  <si>
    <t xml:space="preserve">fv lblog d365</t>
  </si>
  <si>
    <t xml:space="preserve">fv_lbpf_car</t>
  </si>
  <si>
    <t xml:space="preserve">fv lbpf car</t>
  </si>
  <si>
    <t xml:space="preserve">fv_lbpf_l1</t>
  </si>
  <si>
    <t xml:space="preserve">fv lbpf l1</t>
  </si>
  <si>
    <t xml:space="preserve">fv_lbpf_m3</t>
  </si>
  <si>
    <t xml:space="preserve">fv lbpf m3</t>
  </si>
  <si>
    <t xml:space="preserve">fv_lbpf_m5</t>
  </si>
  <si>
    <t xml:space="preserve">fv lbpf m5</t>
  </si>
  <si>
    <t xml:space="preserve">fv_lbpf_m10</t>
  </si>
  <si>
    <t xml:space="preserve">fv lbpf m10</t>
  </si>
  <si>
    <t xml:space="preserve">fv_lbpf_w5</t>
  </si>
  <si>
    <t xml:space="preserve">fv lbpf w5</t>
  </si>
  <si>
    <t xml:space="preserve">fv_lbpf_e3</t>
  </si>
  <si>
    <t xml:space="preserve">fv lbpf e3</t>
  </si>
  <si>
    <t xml:space="preserve">fv_lbpf_e6</t>
  </si>
  <si>
    <t xml:space="preserve">fv lbpf e6</t>
  </si>
  <si>
    <t xml:space="preserve">fv_lbpf_d365</t>
  </si>
  <si>
    <t xml:space="preserve">fv lbpf d365</t>
  </si>
  <si>
    <t xml:space="preserve">fv_lbrel_car</t>
  </si>
  <si>
    <t xml:space="preserve">fv lbrel car</t>
  </si>
  <si>
    <t xml:space="preserve">fv_lbrel_l1</t>
  </si>
  <si>
    <t xml:space="preserve">fv lbrel l1</t>
  </si>
  <si>
    <t xml:space="preserve">fv_lbrel_m3</t>
  </si>
  <si>
    <t xml:space="preserve">fv lbrel m3</t>
  </si>
  <si>
    <t xml:space="preserve">fv_lbrel_m5</t>
  </si>
  <si>
    <t xml:space="preserve">fv lbrel m5</t>
  </si>
  <si>
    <t xml:space="preserve">fv_lbrel_m10</t>
  </si>
  <si>
    <t xml:space="preserve">fv lbrel m10</t>
  </si>
  <si>
    <t xml:space="preserve">fv_lbrel_w5</t>
  </si>
  <si>
    <t xml:space="preserve">fv lbrel w5</t>
  </si>
  <si>
    <t xml:space="preserve">fv_lbrel_e3</t>
  </si>
  <si>
    <t xml:space="preserve">fv lbrel e3</t>
  </si>
  <si>
    <t xml:space="preserve">fv_lbrel_e6</t>
  </si>
  <si>
    <t xml:space="preserve">fv lbrel e6</t>
  </si>
  <si>
    <t xml:space="preserve">fv_lbrel_d365</t>
  </si>
  <si>
    <t xml:space="preserve">fv lbrel d365</t>
  </si>
  <si>
    <t xml:space="preserve">fv_lbpp_car</t>
  </si>
  <si>
    <t xml:space="preserve">fv lbpp car</t>
  </si>
  <si>
    <t xml:space="preserve">fv_lbpp_l1</t>
  </si>
  <si>
    <t xml:space="preserve">fv lbpp l1</t>
  </si>
  <si>
    <t xml:space="preserve">fv_lbpp_m3</t>
  </si>
  <si>
    <t xml:space="preserve">fv lbpp m3</t>
  </si>
  <si>
    <t xml:space="preserve">fv_lbpp_m5</t>
  </si>
  <si>
    <t xml:space="preserve">fv lbpp m5</t>
  </si>
  <si>
    <t xml:space="preserve">fv_lbpp_m10</t>
  </si>
  <si>
    <t xml:space="preserve">fv lbpp m10</t>
  </si>
  <si>
    <t xml:space="preserve">fv_lbpp_w5</t>
  </si>
  <si>
    <t xml:space="preserve">fv lbpp w5</t>
  </si>
  <si>
    <t xml:space="preserve">fv_lbpp_e3</t>
  </si>
  <si>
    <t xml:space="preserve">fv lbpp e3</t>
  </si>
  <si>
    <t xml:space="preserve">fv_lbpp_e6</t>
  </si>
  <si>
    <t xml:space="preserve">fv lbpp e6</t>
  </si>
  <si>
    <t xml:space="preserve">fv_lbpp_d365</t>
  </si>
  <si>
    <t xml:space="preserve">fv lbpp d365</t>
  </si>
  <si>
    <t xml:space="preserve">fv_lbw_car</t>
  </si>
  <si>
    <t xml:space="preserve">fv lbw car</t>
  </si>
  <si>
    <t xml:space="preserve">fv_lbw_l1</t>
  </si>
  <si>
    <t xml:space="preserve">fv lbw l1</t>
  </si>
  <si>
    <t xml:space="preserve">fv_lbw_m3</t>
  </si>
  <si>
    <t xml:space="preserve">fv lbw m3</t>
  </si>
  <si>
    <t xml:space="preserve">fv_lbw_m5</t>
  </si>
  <si>
    <t xml:space="preserve">fv lbw m5</t>
  </si>
  <si>
    <t xml:space="preserve">fv_lbw_m10</t>
  </si>
  <si>
    <t xml:space="preserve">fv lbw m10</t>
  </si>
  <si>
    <t xml:space="preserve">fv_lbw_w5</t>
  </si>
  <si>
    <t xml:space="preserve">fv lbw w5</t>
  </si>
  <si>
    <t xml:space="preserve">fv_lbw_e3</t>
  </si>
  <si>
    <t xml:space="preserve">fv lbw e3</t>
  </si>
  <si>
    <t xml:space="preserve">fv_lbw_e6</t>
  </si>
  <si>
    <t xml:space="preserve">fv lbw e6</t>
  </si>
  <si>
    <t xml:space="preserve">fv_lbw_d365</t>
  </si>
  <si>
    <t xml:space="preserve">fv lbw d365</t>
  </si>
  <si>
    <t xml:space="preserve">rr_LR_ORR2_z</t>
  </si>
  <si>
    <t xml:space="preserve">Within-race readings</t>
  </si>
  <si>
    <t xml:space="preserve">Strongest form measures against this field</t>
  </si>
  <si>
    <t xml:space="preserve">Within-race reading, z-score against today's field: market rating (runners / BSP) in the last run</t>
  </si>
  <si>
    <t xml:space="preserve">model/blocks/race_relative.py</t>
  </si>
  <si>
    <t xml:space="preserve">rr_LR_ORR2_gap</t>
  </si>
  <si>
    <t xml:space="preserve">Within-race reading, gap to the best in today's field: market rating (runners / BSP) in the last run</t>
  </si>
  <si>
    <t xml:space="preserve">rr_official_rating_z</t>
  </si>
  <si>
    <t xml:space="preserve">Within-race reading, z-score against today's field: official rating</t>
  </si>
  <si>
    <t xml:space="preserve">rr_official_rating_gap</t>
  </si>
  <si>
    <t xml:space="preserve">Within-race reading, gap to the best in today's field: official rating</t>
  </si>
  <si>
    <t xml:space="preserve">rr_LR3_RWO_z</t>
  </si>
  <si>
    <t xml:space="preserve">Within-race reading, z-score against today's field: harmonic-weighted mean ORR2 over the last 3 runs</t>
  </si>
  <si>
    <t xml:space="preserve">rr_LR3_RWO_gap</t>
  </si>
  <si>
    <t xml:space="preserve">Within-race reading, gap to the best in today's field: harmonic-weighted mean ORR2 over the last 3 runs</t>
  </si>
  <si>
    <t xml:space="preserve">rr_LR_LB_z</t>
  </si>
  <si>
    <t xml:space="preserve">Within-race reading, z-score against today's field: lengths beaten: last run</t>
  </si>
  <si>
    <t xml:space="preserve">rr_LR_LB_gap</t>
  </si>
  <si>
    <t xml:space="preserve">Within-race reading, gap to the best in today's field: lengths beaten: last run</t>
  </si>
  <si>
    <t xml:space="preserve">rr_PMW10_z</t>
  </si>
  <si>
    <t xml:space="preserve">Within-race reading, z-score against today's field: performance-adjusted prize money (prize x RB^2), recency-weighted, last 10 runs</t>
  </si>
  <si>
    <t xml:space="preserve">rr_PMW10_gap</t>
  </si>
  <si>
    <t xml:space="preserve">Within-race reading, gap to the best in today's field: performance-adjusted prize money (prize x RB^2), recency-weighted, last 10 runs</t>
  </si>
  <si>
    <t xml:space="preserve">rr_fr_days_since_placed_z</t>
  </si>
  <si>
    <t xml:space="preserve">Within-race reading, z-score against today's field: days since the last top-three finish</t>
  </si>
  <si>
    <t xml:space="preserve">rr_fr_days_since_placed_gap</t>
  </si>
  <si>
    <t xml:space="preserve">Within-race reading, gap to the best in today's field: days since the last top-three finish</t>
  </si>
  <si>
    <t xml:space="preserve">rr_LRNFP_z</t>
  </si>
  <si>
    <t xml:space="preserve">Within-race reading, z-score against today's field: NFP in the last run</t>
  </si>
  <si>
    <t xml:space="preserve">rr_LRNFP_gap</t>
  </si>
  <si>
    <t xml:space="preserve">Within-race reading, gap to the best in today's field: NFP in the last run</t>
  </si>
  <si>
    <t xml:space="preserve">rr_LR3_ORR2_z</t>
  </si>
  <si>
    <t xml:space="preserve">Within-race reading, z-score against today's field: harmonic-weighted sum of ORR2 over the last 3 runs</t>
  </si>
  <si>
    <t xml:space="preserve">rr_LR3_ORR2_gap</t>
  </si>
  <si>
    <t xml:space="preserve">Within-race reading, gap to the best in today's field: harmonic-weighted sum of ORR2 over the last 3 runs</t>
  </si>
  <si>
    <t xml:space="preserve">rr_OFS1_z</t>
  </si>
  <si>
    <t xml:space="preserve">Within-race reading, z-score against today's field: odds x field size in the last run (runners / BSP; equals LR_ORR2)</t>
  </si>
  <si>
    <t xml:space="preserve">rr_OFS1_gap</t>
  </si>
  <si>
    <t xml:space="preserve">Within-race reading, gap to the best in today's field: odds x field size in the last run (runners / BSP; equals LR_ORR2)</t>
  </si>
  <si>
    <t xml:space="preserve">rr_LR10_RWO_z</t>
  </si>
  <si>
    <t xml:space="preserve">Within-race reading, z-score against today's field: harmonic-weighted mean ORR2 over the last 10 runs</t>
  </si>
  <si>
    <t xml:space="preserve">rr_LR10_RWO_gap</t>
  </si>
  <si>
    <t xml:space="preserve">Within-race reading, gap to the best in today's field: harmonic-weighted mean ORR2 over the last 10 runs</t>
  </si>
  <si>
    <t xml:space="preserve">rr_LR5_RWO_z</t>
  </si>
  <si>
    <t xml:space="preserve">Within-race reading, z-score against today's field: harmonic-weighted mean ORR2 over the last 5 runs</t>
  </si>
  <si>
    <t xml:space="preserve">rr_LR5_RWO_gap</t>
  </si>
  <si>
    <t xml:space="preserve">Within-race reading, gap to the best in today's field: harmonic-weighted mean ORR2 over the last 5 runs</t>
  </si>
  <si>
    <t xml:space="preserve">rr_LR_RACE_RB_z</t>
  </si>
  <si>
    <t xml:space="preserve">Within-race reading, z-score against today's field: strength (mean career RB) of the field in the last run</t>
  </si>
  <si>
    <t xml:space="preserve">rr_LR_RACE_RB_gap</t>
  </si>
  <si>
    <t xml:space="preserve">Within-race reading, gap to the best in today's field: strength (mean career RB) of the field in the last run</t>
  </si>
  <si>
    <t xml:space="preserve">rr_fr_days_since_code_z</t>
  </si>
  <si>
    <t xml:space="preserve">Within-race reading, z-score against today's field: days since the last run in today's code (flat, AW, hurdle, chase, bumper)</t>
  </si>
  <si>
    <t xml:space="preserve">rr_fr_days_since_code_gap</t>
  </si>
  <si>
    <t xml:space="preserve">Within-race reading, gap to the best in today's field: days since the last run in today's code (flat, AW, hurdle, chase, bumper)</t>
  </si>
  <si>
    <t xml:space="preserve">rr_PMW3_z</t>
  </si>
  <si>
    <t xml:space="preserve">Within-race reading, z-score against today's field: performance-adjusted prize money (prize x RB^2), recency-weighted, last 3 runs</t>
  </si>
  <si>
    <t xml:space="preserve">rr_PMW3_gap</t>
  </si>
  <si>
    <t xml:space="preserve">Within-race reading, gap to the best in today's field: performance-adjusted prize money (prize x RB^2), recency-weighted, last 3 runs</t>
  </si>
  <si>
    <t xml:space="preserve">rr_OFS3_z</t>
  </si>
  <si>
    <t xml:space="preserve">Within-race reading, z-score against today's field: recency-weighted odds x field size, last 3 runs</t>
  </si>
  <si>
    <t xml:space="preserve">rr_OFS3_gap</t>
  </si>
  <si>
    <t xml:space="preserve">Within-race reading, gap to the best in today's field: recency-weighted odds x field size, last 3 runs</t>
  </si>
  <si>
    <t xml:space="preserve">rr_career_runs_z</t>
  </si>
  <si>
    <t xml:space="preserve">Within-race reading, z-score against today's field: career runs</t>
  </si>
  <si>
    <t xml:space="preserve">rr_career_runs_gap</t>
  </si>
  <si>
    <t xml:space="preserve">Within-race reading, gap to the best in today's field: career runs</t>
  </si>
  <si>
    <t xml:space="preserve">rr_trainerjockeycareerNFP_z</t>
  </si>
  <si>
    <t xml:space="preserve">Within-race reading, z-score against today's field: trainer-jockey combination's career normalised finishing position (1 = won, 0 = last)</t>
  </si>
  <si>
    <t xml:space="preserve">rr_trainerjockeycareerNFP_gap</t>
  </si>
  <si>
    <t xml:space="preserve">Within-race reading, gap to the best in today's field: trainer-jockey combination's career normalised finishing position (1 = won, 0 = last)</t>
  </si>
  <si>
    <t xml:space="preserve">rr_days_since_lr_z</t>
  </si>
  <si>
    <t xml:space="preserve">Within-race reading, z-score against today's field: days since lr</t>
  </si>
  <si>
    <t xml:space="preserve">rr_days_since_lr_gap</t>
  </si>
  <si>
    <t xml:space="preserve">Within-race reading, gap to the best in today's field: days since lr</t>
  </si>
  <si>
    <t xml:space="preserve">rr_OFS5_z</t>
  </si>
  <si>
    <t xml:space="preserve">Within-race reading, z-score against today's field: recency-weighted odds x field size, last 5 runs</t>
  </si>
  <si>
    <t xml:space="preserve">rr_OFS5_gap</t>
  </si>
  <si>
    <t xml:space="preserve">Within-race reading, gap to the best in today's field: recency-weighted odds x field size, last 5 runs</t>
  </si>
  <si>
    <t xml:space="preserve">rr_fr_gap_vs_usual_z</t>
  </si>
  <si>
    <t xml:space="preserve">Within-race reading, z-score against today's field: today's log gap less the usual (+ longer break than usual)</t>
  </si>
  <si>
    <t xml:space="preserve">rr_fr_gap_vs_usual_gap</t>
  </si>
  <si>
    <t xml:space="preserve">Within-race reading, gap to the best in today's field: today's log gap less the usual (+ longer break than usual)</t>
  </si>
  <si>
    <t xml:space="preserve">rr_horse_age_z</t>
  </si>
  <si>
    <t xml:space="preserve">Within-race reading, z-score against today's field: horse age</t>
  </si>
  <si>
    <t xml:space="preserve">rr_horse_age_gap</t>
  </si>
  <si>
    <t xml:space="preserve">Within-race reading, gap to the best in today's field: horse age</t>
  </si>
  <si>
    <t xml:space="preserve">rr_trainer_sr_30d_z</t>
  </si>
  <si>
    <t xml:space="preserve">Within-race reading, z-score against today's field: trainer's strike rate, last 30 days</t>
  </si>
  <si>
    <t xml:space="preserve">rr_trainer_sr_30d_gap</t>
  </si>
  <si>
    <t xml:space="preserve">Within-race reading, gap to the best in today's field: trainer's strike rate, last 30 days</t>
  </si>
  <si>
    <t xml:space="preserve">rr_trainer_track_win_rate_z</t>
  </si>
  <si>
    <t xml:space="preserve">Within-race reading, z-score against today's field: trainer's strike rate at the course</t>
  </si>
  <si>
    <t xml:space="preserve">rr_trainer_track_win_rate_gap</t>
  </si>
  <si>
    <t xml:space="preserve">Within-race reading, gap to the best in today's field: trainer's strike rate at the course</t>
  </si>
  <si>
    <t xml:space="preserve">rr_course_avg_nfp_z</t>
  </si>
  <si>
    <t xml:space="preserve">Within-race reading, z-score against today's field: mean NFP at the course</t>
  </si>
  <si>
    <t xml:space="preserve">rr_course_avg_nfp_gap</t>
  </si>
  <si>
    <t xml:space="preserve">Within-race reading, gap to the best in today's field: mean NFP at the course</t>
  </si>
  <si>
    <t xml:space="preserve">rr_fw_mkt_w5_z</t>
  </si>
  <si>
    <t xml:space="preserve">Within-race reading, z-score against today's field: the market's view, log(N x BSP chance): last 5 runs weighted 5..1 by recency (earlier days only)</t>
  </si>
  <si>
    <t xml:space="preserve">rr_fw_mkt_w5_gap</t>
  </si>
  <si>
    <t xml:space="preserve">Within-race reading, gap to the best in today's field: the market's view, log(N x BSP chance): last 5 runs weighted 5..1 by recency (earlier days only)</t>
  </si>
  <si>
    <t xml:space="preserve">rr_fw_perf_w5_z</t>
  </si>
  <si>
    <t xml:space="preserve">Within-race reading, z-score against today's field: rating-scale performance figure (lbs): last 5 runs weighted 5..1 by recency (earlier days only)</t>
  </si>
  <si>
    <t xml:space="preserve">rr_fw_perf_w5_gap</t>
  </si>
  <si>
    <t xml:space="preserve">Within-race reading, gap to the best in today's field: rating-scale performance figure (lbs): last 5 runs weighted 5..1 by recency (earlier days only)</t>
  </si>
  <si>
    <t xml:space="preserve">rr_fw_lbs_w5_z</t>
  </si>
  <si>
    <t xml:space="preserve">Within-race reading, z-score against today's field: pounds beaten at the trip (capped 20): last 5 runs weighted 5..1 by recency (earlier days only)</t>
  </si>
  <si>
    <t xml:space="preserve">rr_fw_lbs_w5_gap</t>
  </si>
  <si>
    <t xml:space="preserve">Within-race reading, gap to the best in today's field: pounds beaten at the trip (capped 20): last 5 runs weighted 5..1 by recency (earlier days only)</t>
  </si>
  <si>
    <t xml:space="preserve">rr_fw_nfp_w5_z</t>
  </si>
  <si>
    <t xml:space="preserve">Within-race reading, z-score against today's field: normalised finishing position: last 5 runs weighted 5..1 by recency (earlier days only)</t>
  </si>
  <si>
    <t xml:space="preserve">rr_fw_nfp_w5_gap</t>
  </si>
  <si>
    <t xml:space="preserve">Within-race reading, gap to the best in today's field: normalised finishing position: last 5 runs weighted 5..1 by recency (earlier days only)</t>
  </si>
  <si>
    <t xml:space="preserve">rr_fw_wax_w5_z</t>
  </si>
  <si>
    <t xml:space="preserve">Within-race reading, z-score against today's field: wins above chance (won - 1/N): last 5 runs weighted 5..1 by recency (earlier days only)</t>
  </si>
  <si>
    <t xml:space="preserve">rr_fw_wax_w5_gap</t>
  </si>
  <si>
    <t xml:space="preserve">Within-race reading, gap to the best in today's field: wins above chance (won - 1/N): last 5 runs weighted 5..1 by recency (earlier days only)</t>
  </si>
  <si>
    <t xml:space="preserve">rr_fw_ae_w5_z</t>
  </si>
  <si>
    <t xml:space="preserve">Within-race reading, z-score against today's field: wins above the market (won - BSP chance): last 5 runs weighted 5..1 by recency (earlier days only)</t>
  </si>
  <si>
    <t xml:space="preserve">rr_fw_ae_w5_gap</t>
  </si>
  <si>
    <t xml:space="preserve">Within-race reading, gap to the best in today's field: wins above the market (won - BSP chance): last 5 runs weighted 5..1 by recency (earlier days only)</t>
  </si>
  <si>
    <t xml:space="preserve">rw_preracehorsecareerNFP_z</t>
  </si>
  <si>
    <t xml:space="preserve">Wide within-race readings</t>
  </si>
  <si>
    <t xml:space="preserve">Every ranked input as a distance from this field</t>
  </si>
  <si>
    <t xml:space="preserve">Wide within-race reading, z-score against today's field: horse's career normalised finishing position (1 = won, 0 = last) over earlier runs</t>
  </si>
  <si>
    <t xml:space="preserve">model/blocks/race_relative_wide.py</t>
  </si>
  <si>
    <t xml:space="preserve">rw_preracehorsecareerNFP_gap</t>
  </si>
  <si>
    <t xml:space="preserve">Wide within-race reading, gap to the best in today's field: horse's career normalised finishing position (1 = won, 0 = last) over earlier runs</t>
  </si>
  <si>
    <t xml:space="preserve">rw_LR3NFPtotal_z</t>
  </si>
  <si>
    <t xml:space="preserve">Wide within-race reading, z-score against today's field: mean NFP over the last 3 runs</t>
  </si>
  <si>
    <t xml:space="preserve">rw_LR3NFPtotal_gap</t>
  </si>
  <si>
    <t xml:space="preserve">Wide within-race reading, gap to the best in today's field: mean NFP over the last 3 runs</t>
  </si>
  <si>
    <t xml:space="preserve">rw_LR5NFPtotal_z</t>
  </si>
  <si>
    <t xml:space="preserve">Wide within-race reading, z-score against today's field: mean NFP over the last 5 runs</t>
  </si>
  <si>
    <t xml:space="preserve">rw_LR5NFPtotal_gap</t>
  </si>
  <si>
    <t xml:space="preserve">Wide within-race reading, gap to the best in today's field: mean NFP over the last 5 runs</t>
  </si>
  <si>
    <t xml:space="preserve">rw_LR10NFPtotal_z</t>
  </si>
  <si>
    <t xml:space="preserve">Wide within-race reading, z-score against today's field: mean NFP over the last 10 runs</t>
  </si>
  <si>
    <t xml:space="preserve">rw_LR10NFPtotal_gap</t>
  </si>
  <si>
    <t xml:space="preserve">Wide within-race reading, gap to the best in today's field: mean NFP over the last 10 runs</t>
  </si>
  <si>
    <t xml:space="preserve">rw_preracehorsecareerRB_z</t>
  </si>
  <si>
    <t xml:space="preserve">Wide within-race reading, z-score against today's field: horse's career races-beaten score (identical to NFP in this data) over earlier runs</t>
  </si>
  <si>
    <t xml:space="preserve">rw_preracehorsecareerRB_gap</t>
  </si>
  <si>
    <t xml:space="preserve">Wide within-race reading, gap to the best in today's field: horse's career races-beaten score (identical to NFP in this data) over earlier runs</t>
  </si>
  <si>
    <t xml:space="preserve">rw_preracehorsecareerFSARB_z</t>
  </si>
  <si>
    <t xml:space="preserve">Wide within-race reading, z-score against today's field: horse's career field-size-adjusted RB over earlier runs</t>
  </si>
  <si>
    <t xml:space="preserve">rw_preracehorsecareerFSARB_gap</t>
  </si>
  <si>
    <t xml:space="preserve">Wide within-race reading, gap to the best in today's field: horse's career field-size-adjusted RB over earlier runs</t>
  </si>
  <si>
    <t xml:space="preserve">rw_preracehorsecareerFSARB2_z</t>
  </si>
  <si>
    <t xml:space="preserve">Wide within-race reading, z-score against today's field: horse's career mean squared field-size-adjusted RB over earlier runs</t>
  </si>
  <si>
    <t xml:space="preserve">rw_preracehorsecareerFSARB2_gap</t>
  </si>
  <si>
    <t xml:space="preserve">Wide within-race reading, gap to the best in today's field: horse's career mean squared field-size-adjusted RB over earlier runs</t>
  </si>
  <si>
    <t xml:space="preserve">rw_preracehorsecareerWIV_z</t>
  </si>
  <si>
    <t xml:space="preserve">Wide within-race reading, z-score against today's field: horse's career win index: wins / wins expected by chance (sum of 1/runners) over earlier runs</t>
  </si>
  <si>
    <t xml:space="preserve">rw_preracehorsecareerWIV_gap</t>
  </si>
  <si>
    <t xml:space="preserve">Wide within-race reading, gap to the best in today's field: horse's career win index: wins / wins expected by chance (sum of 1/runners) over earlier runs</t>
  </si>
  <si>
    <t xml:space="preserve">rw_preracehorsecareerWAX_z</t>
  </si>
  <si>
    <t xml:space="preserve">Wide within-race reading, z-score against today's field: horse's career wins above chance per run (won - 1/runners) over earlier runs</t>
  </si>
  <si>
    <t xml:space="preserve">rw_preracehorsecareerWAX_gap</t>
  </si>
  <si>
    <t xml:space="preserve">Wide within-race reading, gap to the best in today's field: horse's career wins above chance per run (won - 1/runners) over earlier runs</t>
  </si>
  <si>
    <t xml:space="preserve">rw_preracehorsecareerWOA_z</t>
  </si>
  <si>
    <t xml:space="preserve">Wide within-race reading, z-score against today's field: horse's career wins over average (equal to WAX in this build) over earlier runs</t>
  </si>
  <si>
    <t xml:space="preserve">rw_preracehorsecareerWOA_gap</t>
  </si>
  <si>
    <t xml:space="preserve">Wide within-race reading, gap to the best in today's field: horse's career wins over average (equal to WAX in this build) over earlier runs</t>
  </si>
  <si>
    <t xml:space="preserve">rw_preracehorsecareerCWO_z</t>
  </si>
  <si>
    <t xml:space="preserve">Wide within-race reading, z-score against today's field: horse's career cumulative wins above chance over earlier runs</t>
  </si>
  <si>
    <t xml:space="preserve">rw_preracehorsecareerCWO_gap</t>
  </si>
  <si>
    <t xml:space="preserve">Wide within-race reading, gap to the best in today's field: horse's career cumulative wins above chance over earlier runs</t>
  </si>
  <si>
    <t xml:space="preserve">rw_preracehorsecareerRuns_z</t>
  </si>
  <si>
    <t xml:space="preserve">Wide within-race reading, z-score against today's field: horse's career runs over earlier runs</t>
  </si>
  <si>
    <t xml:space="preserve">rw_preracehorsecareerRuns_gap</t>
  </si>
  <si>
    <t xml:space="preserve">Wide within-race reading, gap to the best in today's field: horse's career runs over earlier runs</t>
  </si>
  <si>
    <t xml:space="preserve">rw_preracehorsecareerWins_z</t>
  </si>
  <si>
    <t xml:space="preserve">Wide within-race reading, z-score against today's field: horse's career wins over earlier runs</t>
  </si>
  <si>
    <t xml:space="preserve">rw_preracehorsecareerWins_gap</t>
  </si>
  <si>
    <t xml:space="preserve">Wide within-race reading, gap to the best in today's field: horse's career wins over earlier runs</t>
  </si>
  <si>
    <t xml:space="preserve">rw_preracehorsecareerPlaces_z</t>
  </si>
  <si>
    <t xml:space="preserve">Wide within-race reading, z-score against today's field: horse's career first-three finishes over earlier runs</t>
  </si>
  <si>
    <t xml:space="preserve">rw_preracehorsecareerPlaces_gap</t>
  </si>
  <si>
    <t xml:space="preserve">Wide within-race reading, gap to the best in today's field: horse's career first-three finishes over earlier runs</t>
  </si>
  <si>
    <t xml:space="preserve">rw_LR_EPF_z</t>
  </si>
  <si>
    <t xml:space="preserve">Wide within-race reading, z-score against today's field: early position figure from the in-running comment (1 rear .. 6 led) in the last run</t>
  </si>
  <si>
    <t xml:space="preserve">rw_LR_EPF_gap</t>
  </si>
  <si>
    <t xml:space="preserve">Wide within-race reading, gap to the best in today's field: early position figure from the in-running comment (1 rear .. 6 led) in the last run</t>
  </si>
  <si>
    <t xml:space="preserve">rw_LR_EPF2_z</t>
  </si>
  <si>
    <t xml:space="preserve">Wide within-race reading, z-score against today's field: early position figure adjusted for field size in the last run</t>
  </si>
  <si>
    <t xml:space="preserve">rw_LR_EPF2_gap</t>
  </si>
  <si>
    <t xml:space="preserve">Wide within-race reading, gap to the best in today's field: early position figure adjusted for field size in the last run</t>
  </si>
  <si>
    <t xml:space="preserve">rw_LR_EPF3_z</t>
  </si>
  <si>
    <t xml:space="preserve">Wide within-race reading, z-score against today's field: early position figure weighted by the finishing position in the last run</t>
  </si>
  <si>
    <t xml:space="preserve">rw_LR_EPF3_gap</t>
  </si>
  <si>
    <t xml:space="preserve">Wide within-race reading, gap to the best in today's field: early position figure weighted by the finishing position in the last run</t>
  </si>
  <si>
    <t xml:space="preserve">rw_Jockey_Career_EPF_z</t>
  </si>
  <si>
    <t xml:space="preserve">Wide within-race reading, z-score against today's field: jockey's career mean EPF2 of mounts</t>
  </si>
  <si>
    <t xml:space="preserve">rw_Jockey_Career_EPF_gap</t>
  </si>
  <si>
    <t xml:space="preserve">Wide within-race reading, gap to the best in today's field: jockey's career mean EPF2 of mounts</t>
  </si>
  <si>
    <t xml:space="preserve">rw_trainer_Career_EPF_z</t>
  </si>
  <si>
    <t xml:space="preserve">Wide within-race reading, z-score against today's field: trainer's career mean EPF2 of runners</t>
  </si>
  <si>
    <t xml:space="preserve">rw_trainer_Career_EPF_gap</t>
  </si>
  <si>
    <t xml:space="preserve">Wide within-race reading, gap to the best in today's field: trainer's career mean EPF2 of runners</t>
  </si>
  <si>
    <t xml:space="preserve">rw_Horse_Career_EPF_z</t>
  </si>
  <si>
    <t xml:space="preserve">Wide within-race reading, z-score against today's field: horse's career mean EPF2 (early position figure) over earlier runs</t>
  </si>
  <si>
    <t xml:space="preserve">rw_Horse_Career_EPF_gap</t>
  </si>
  <si>
    <t xml:space="preserve">Wide within-race reading, gap to the best in today's field: horse's career mean EPF2 (early position figure) over earlier runs</t>
  </si>
  <si>
    <t xml:space="preserve">rw_FinalDSLR_z</t>
  </si>
  <si>
    <t xml:space="preserve">Wide within-race reading, z-score against today's field: days since the last run adjusted by the spacing trend</t>
  </si>
  <si>
    <t xml:space="preserve">rw_FinalDSLR_gap</t>
  </si>
  <si>
    <t xml:space="preserve">Wide within-race reading, gap to the best in today's field: days since the last run adjusted by the spacing trend</t>
  </si>
  <si>
    <t xml:space="preserve">rw_FSS_z</t>
  </si>
  <si>
    <t xml:space="preserve">Wide within-race reading, z-score against today's field: field-size stability: RMS change in field size over the last 10 runs</t>
  </si>
  <si>
    <t xml:space="preserve">rw_FSS_gap</t>
  </si>
  <si>
    <t xml:space="preserve">Wide within-race reading, gap to the best in today's field: field-size stability: RMS change in field size over the last 10 runs</t>
  </si>
  <si>
    <t xml:space="preserve">rw_FCS_z</t>
  </si>
  <si>
    <t xml:space="preserve">Wide within-race reading, z-score against today's field: field-class stability: RMS change in the race's mean OR over the last 10 runs</t>
  </si>
  <si>
    <t xml:space="preserve">rw_FCS_gap</t>
  </si>
  <si>
    <t xml:space="preserve">Wide within-race reading, gap to the best in today's field: field-class stability: RMS change in the race's mean OR over the last 10 runs</t>
  </si>
  <si>
    <t xml:space="preserve">rw_PFD3_z</t>
  </si>
  <si>
    <t xml:space="preserve">Wide within-race reading, z-score against today's field: recency-weighted (BSP probability - 1/runners) over the last 3 runs</t>
  </si>
  <si>
    <t xml:space="preserve">rw_PFD3_gap</t>
  </si>
  <si>
    <t xml:space="preserve">Wide within-race reading, gap to the best in today's field: recency-weighted (BSP probability - 1/runners) over the last 3 runs</t>
  </si>
  <si>
    <t xml:space="preserve">rw_PFD5_z</t>
  </si>
  <si>
    <t xml:space="preserve">Wide within-race reading, z-score against today's field: recency-weighted (BSP probability - 1/runners) over the last 5 runs</t>
  </si>
  <si>
    <t xml:space="preserve">rw_PFD5_gap</t>
  </si>
  <si>
    <t xml:space="preserve">Wide within-race reading, gap to the best in today's field: recency-weighted (BSP probability - 1/runners) over the last 5 runs</t>
  </si>
  <si>
    <t xml:space="preserve">rw_PFD10_z</t>
  </si>
  <si>
    <t xml:space="preserve">Wide within-race reading, z-score against today's field: recency-weighted (BSP probability - 1/runners) over the last 10 runs</t>
  </si>
  <si>
    <t xml:space="preserve">rw_PFD10_gap</t>
  </si>
  <si>
    <t xml:space="preserve">Wide within-race reading, gap to the best in today's field: recency-weighted (BSP probability - 1/runners) over the last 10 runs</t>
  </si>
  <si>
    <t xml:space="preserve">rw_WPMRF3_z</t>
  </si>
  <si>
    <t xml:space="preserve">Wide within-race reading, z-score against today's field: recency-weighted prize money raced for, last 3 runs</t>
  </si>
  <si>
    <t xml:space="preserve">rw_WPMRF3_gap</t>
  </si>
  <si>
    <t xml:space="preserve">Wide within-race reading, gap to the best in today's field: recency-weighted prize money raced for, last 3 runs</t>
  </si>
  <si>
    <t xml:space="preserve">rw_WPMRF5_z</t>
  </si>
  <si>
    <t xml:space="preserve">Wide within-race reading, z-score against today's field: recency-weighted prize money raced for, last 5 runs</t>
  </si>
  <si>
    <t xml:space="preserve">rw_WPMRF5_gap</t>
  </si>
  <si>
    <t xml:space="preserve">Wide within-race reading, gap to the best in today's field: recency-weighted prize money raced for, last 5 runs</t>
  </si>
  <si>
    <t xml:space="preserve">rw_WPMRF10_z</t>
  </si>
  <si>
    <t xml:space="preserve">Wide within-race reading, z-score against today's field: recency-weighted prize money raced for, last 10 runs</t>
  </si>
  <si>
    <t xml:space="preserve">rw_WPMRF10_gap</t>
  </si>
  <si>
    <t xml:space="preserve">Wide within-race reading, gap to the best in today's field: recency-weighted prize money raced for, last 10 runs</t>
  </si>
  <si>
    <t xml:space="preserve">rw_PMW5_z</t>
  </si>
  <si>
    <t xml:space="preserve">Wide within-race reading, z-score against today's field: performance-adjusted prize money (prize x RB^2), recency-weighted, last 5 runs</t>
  </si>
  <si>
    <t xml:space="preserve">rw_PMW5_gap</t>
  </si>
  <si>
    <t xml:space="preserve">Wide within-race reading, gap to the best in today's field: performance-adjusted prize money (prize x RB^2), recency-weighted, last 5 runs</t>
  </si>
  <si>
    <t xml:space="preserve">rw_OFS10_z</t>
  </si>
  <si>
    <t xml:space="preserve">Wide within-race reading, z-score against today's field: recency-weighted odds x field size, last 10 runs</t>
  </si>
  <si>
    <t xml:space="preserve">rw_OFS10_gap</t>
  </si>
  <si>
    <t xml:space="preserve">Wide within-race reading, gap to the best in today's field: recency-weighted odds x field size, last 10 runs</t>
  </si>
  <si>
    <t xml:space="preserve">rw_trainerjockeycareerWIV_z</t>
  </si>
  <si>
    <t xml:space="preserve">Wide within-race reading, z-score against today's field: trainer-jockey combination's career win index: wins / wins expected by chance (sum of 1/runners)</t>
  </si>
  <si>
    <t xml:space="preserve">rw_trainerjockeycareerWIV_gap</t>
  </si>
  <si>
    <t xml:space="preserve">Wide within-race reading, gap to the best in today's field: trainer-jockey combination's career win index: wins / wins expected by chance (sum of 1/runners)</t>
  </si>
  <si>
    <t xml:space="preserve">rw_preracetrainercareerWIV_z</t>
  </si>
  <si>
    <t xml:space="preserve">Wide within-race reading, z-score against today's field: trainer's career win index: wins / wins expected by chance (sum of 1/runners) over earlier days</t>
  </si>
  <si>
    <t xml:space="preserve">rw_preracetrainercareerWIV_gap</t>
  </si>
  <si>
    <t xml:space="preserve">Wide within-race reading, gap to the best in today's field: trainer's career win index: wins / wins expected by chance (sum of 1/runners) over earlier days</t>
  </si>
  <si>
    <t xml:space="preserve">rw_preracetrainercareerWAX_z</t>
  </si>
  <si>
    <t xml:space="preserve">Wide within-race reading, z-score against today's field: trainer's career wins above chance per run (won - 1/runners) over earlier days</t>
  </si>
  <si>
    <t xml:space="preserve">rw_preracetrainercareerWAX_gap</t>
  </si>
  <si>
    <t xml:space="preserve">Wide within-race reading, gap to the best in today's field: trainer's career wins above chance per run (won - 1/runners) over earlier days</t>
  </si>
  <si>
    <t xml:space="preserve">rw_preracetrainercareerWOA_z</t>
  </si>
  <si>
    <t xml:space="preserve">Wide within-race reading, z-score against today's field: trainer's career wins over average (equal to WAX in this build) over earlier days</t>
  </si>
  <si>
    <t xml:space="preserve">rw_preracetrainercareerWOA_gap</t>
  </si>
  <si>
    <t xml:space="preserve">Wide within-race reading, gap to the best in today's field: trainer's career wins over average (equal to WAX in this build) over earlier days</t>
  </si>
  <si>
    <t xml:space="preserve">rw_preracetrainercareerCWO_z</t>
  </si>
  <si>
    <t xml:space="preserve">Wide within-race reading, z-score against today's field: trainer's career cumulative wins above chance over earlier days</t>
  </si>
  <si>
    <t xml:space="preserve">rw_preracetrainercareerCWO_gap</t>
  </si>
  <si>
    <t xml:space="preserve">Wide within-race reading, gap to the best in today's field: trainer's career cumulative wins above chance over earlier days</t>
  </si>
  <si>
    <t xml:space="preserve">rw_preracejockeycareerWIV_z</t>
  </si>
  <si>
    <t xml:space="preserve">Wide within-race reading, z-score against today's field: jockey's career win index: wins / wins expected by chance (sum of 1/runners) over earlier days</t>
  </si>
  <si>
    <t xml:space="preserve">rw_preracejockeycareerWIV_gap</t>
  </si>
  <si>
    <t xml:space="preserve">Wide within-race reading, gap to the best in today's field: jockey's career win index: wins / wins expected by chance (sum of 1/runners) over earlier days</t>
  </si>
  <si>
    <t xml:space="preserve">rw_preracejockeycareerWAX_z</t>
  </si>
  <si>
    <t xml:space="preserve">Wide within-race reading, z-score against today's field: jockey's career wins above chance per run (won - 1/runners) over earlier days</t>
  </si>
  <si>
    <t xml:space="preserve">rw_preracejockeycareerWAX_gap</t>
  </si>
  <si>
    <t xml:space="preserve">Wide within-race reading, gap to the best in today's field: jockey's career wins above chance per run (won - 1/runners) over earlier days</t>
  </si>
  <si>
    <t xml:space="preserve">rw_preracejockeycareerWOA_z</t>
  </si>
  <si>
    <t xml:space="preserve">Wide within-race reading, z-score against today's field: jockey's career wins over average (equal to WAX in this build) over earlier days</t>
  </si>
  <si>
    <t xml:space="preserve">rw_preracejockeycareerWOA_gap</t>
  </si>
  <si>
    <t xml:space="preserve">Wide within-race reading, gap to the best in today's field: jockey's career wins over average (equal to WAX in this build) over earlier days</t>
  </si>
  <si>
    <t xml:space="preserve">rw_preracejockeycareerCWO_z</t>
  </si>
  <si>
    <t xml:space="preserve">Wide within-race reading, z-score against today's field: jockey's career cumulative wins above chance over earlier days</t>
  </si>
  <si>
    <t xml:space="preserve">rw_preracejockeycareerCWO_gap</t>
  </si>
  <si>
    <t xml:space="preserve">Wide within-race reading, gap to the best in today's field: jockey's career cumulative wins above chance over earlier days</t>
  </si>
  <si>
    <t xml:space="preserve">rw_totalLRPjockeyindex_z</t>
  </si>
  <si>
    <t xml:space="preserve">Wide within-race reading, z-score against today's field: jockey's last-run placing index</t>
  </si>
  <si>
    <t xml:space="preserve">rw_totalLRPjockeyindex_gap</t>
  </si>
  <si>
    <t xml:space="preserve">Wide within-race reading, gap to the best in today's field: jockey's last-run placing index</t>
  </si>
  <si>
    <t xml:space="preserve">rw_EXP_NFP5_z</t>
  </si>
  <si>
    <t xml:space="preserve">Wide within-race reading, z-score against today's field: exponentially decayed (0.85) mean normalised finishing position (1 = won, 0 = last), last 5 runs</t>
  </si>
  <si>
    <t xml:space="preserve">rw_EXP_NFP5_gap</t>
  </si>
  <si>
    <t xml:space="preserve">Wide within-race reading, gap to the best in today's field: exponentially decayed (0.85) mean normalised finishing position (1 = won, 0 = last), last 5 runs</t>
  </si>
  <si>
    <t xml:space="preserve">rw_EXP_RB5_z</t>
  </si>
  <si>
    <t xml:space="preserve">Wide within-race reading, z-score against today's field: exponentially decayed (0.85) mean races-beaten score (identical to NFP in this data), last 5 runs</t>
  </si>
  <si>
    <t xml:space="preserve">rw_EXP_RB5_gap</t>
  </si>
  <si>
    <t xml:space="preserve">Wide within-race reading, gap to the best in today's field: exponentially decayed (0.85) mean races-beaten score (identical to NFP in this data), last 5 runs</t>
  </si>
  <si>
    <t xml:space="preserve">rw_career_residual_z</t>
  </si>
  <si>
    <t xml:space="preserve">Wide within-race reading, z-score against today's field: career mean of (NFP - NFP expected from the market's order)</t>
  </si>
  <si>
    <t xml:space="preserve">rw_career_residual_gap</t>
  </si>
  <si>
    <t xml:space="preserve">Wide within-race reading, gap to the best in today's field: career mean of (NFP - NFP expected from the market's order)</t>
  </si>
  <si>
    <t xml:space="preserve">rw_form_slope_3_z</t>
  </si>
  <si>
    <t xml:space="preserve">Wide within-race reading, z-score against today's field: slope of NFP over the last 3 runs (+ improving)</t>
  </si>
  <si>
    <t xml:space="preserve">rw_form_slope_3_gap</t>
  </si>
  <si>
    <t xml:space="preserve">Wide within-race reading, gap to the best in today's field: slope of NFP over the last 3 runs (+ improving)</t>
  </si>
  <si>
    <t xml:space="preserve">rw_career_nfp_std_z</t>
  </si>
  <si>
    <t xml:space="preserve">Wide within-race reading, z-score against today's field: career standard deviation of NFP</t>
  </si>
  <si>
    <t xml:space="preserve">rw_career_nfp_std_gap</t>
  </si>
  <si>
    <t xml:space="preserve">Wide within-race reading, gap to the best in today's field: career standard deviation of NFP</t>
  </si>
  <si>
    <t xml:space="preserve">rw_dist_from_preferred_z</t>
  </si>
  <si>
    <t xml:space="preserve">Wide within-race reading, z-score against today's field: today's trip less the preferred</t>
  </si>
  <si>
    <t xml:space="preserve">rw_dist_from_preferred_gap</t>
  </si>
  <si>
    <t xml:space="preserve">Wide within-race reading, gap to the best in today's field: today's trip less the preferred</t>
  </si>
  <si>
    <t xml:space="preserve">rw_going_from_preferred_z</t>
  </si>
  <si>
    <t xml:space="preserve">Wide within-race reading, z-score against today's field: today's going less the preferred</t>
  </si>
  <si>
    <t xml:space="preserve">rw_going_from_preferred_gap</t>
  </si>
  <si>
    <t xml:space="preserve">Wide within-race reading, gap to the best in today's field: today's going less the preferred</t>
  </si>
  <si>
    <t xml:space="preserve">rw_weight_vs_avg_z</t>
  </si>
  <si>
    <t xml:space="preserve">Wide within-race reading, z-score against today's field: weight carried less the field's mean</t>
  </si>
  <si>
    <t xml:space="preserve">rw_weight_vs_avg_gap</t>
  </si>
  <si>
    <t xml:space="preserve">Wide within-race reading, gap to the best in today's field: weight carried less the field's mean</t>
  </si>
  <si>
    <t xml:space="preserve">rw_unexposure_score_z</t>
  </si>
  <si>
    <t xml:space="preserve">Wide within-race reading, z-score against today's field: combined novelty of today's conditions</t>
  </si>
  <si>
    <t xml:space="preserve">rw_unexposure_score_gap</t>
  </si>
  <si>
    <t xml:space="preserve">Wide within-race reading, gap to the best in today's field: combined novelty of today's conditions</t>
  </si>
  <si>
    <t xml:space="preserve">rw_sire_avg_nfp_z</t>
  </si>
  <si>
    <t xml:space="preserve">Wide within-race reading, z-score against today's field: sire's progeny mean NFP</t>
  </si>
  <si>
    <t xml:space="preserve">rw_sire_avg_nfp_gap</t>
  </si>
  <si>
    <t xml:space="preserve">Wide within-race reading, gap to the best in today's field: sire's progeny mean NFP</t>
  </si>
  <si>
    <t xml:space="preserve">rw_sire_wiv_z</t>
  </si>
  <si>
    <t xml:space="preserve">Wide within-race reading, z-score against today's field: sire's progeny WIV</t>
  </si>
  <si>
    <t xml:space="preserve">rw_sire_wiv_gap</t>
  </si>
  <si>
    <t xml:space="preserve">Wide within-race reading, gap to the best in today's field: sire's progeny WIV</t>
  </si>
  <si>
    <t xml:space="preserve">rw_sire_going_nfp_z</t>
  </si>
  <si>
    <t xml:space="preserve">Wide within-race reading, z-score against today's field: sire's progeny mean NFP on today's going</t>
  </si>
  <si>
    <t xml:space="preserve">rw_sire_going_nfp_gap</t>
  </si>
  <si>
    <t xml:space="preserve">Wide within-race reading, gap to the best in today's field: sire's progeny mean NFP on today's going</t>
  </si>
  <si>
    <t xml:space="preserve">rw_sire_dist_nfp_z</t>
  </si>
  <si>
    <t xml:space="preserve">Wide within-race reading, z-score against today's field: sire's progeny mean NFP at the trip</t>
  </si>
  <si>
    <t xml:space="preserve">rw_sire_dist_nfp_gap</t>
  </si>
  <si>
    <t xml:space="preserve">Wide within-race reading, gap to the best in today's field: sire's progeny mean NFP at the trip</t>
  </si>
  <si>
    <t xml:space="preserve">rw_damsire_avg_nfp_z</t>
  </si>
  <si>
    <t xml:space="preserve">Wide within-race reading, z-score against today's field: damsire's progeny mean NFP</t>
  </si>
  <si>
    <t xml:space="preserve">rw_damsire_avg_nfp_gap</t>
  </si>
  <si>
    <t xml:space="preserve">Wide within-race reading, gap to the best in today's field: damsire's progeny mean NFP</t>
  </si>
  <si>
    <t xml:space="preserve">rw_preracehorsecareerRSR_z</t>
  </si>
  <si>
    <t xml:space="preserve">Wide within-race reading, z-score against today's field: horse's career speed rating against the standard time (from the race's winning time) over earlier runs</t>
  </si>
  <si>
    <t xml:space="preserve">rw_preracehorsecareerRSR_gap</t>
  </si>
  <si>
    <t xml:space="preserve">Wide within-race reading, gap to the best in today's field: horse's career speed rating against the standard time (from the race's winning time) over earlier runs</t>
  </si>
  <si>
    <t xml:space="preserve">rw_preracehorsecareerLB_z</t>
  </si>
  <si>
    <t xml:space="preserve">Wide within-race reading, z-score against today's field: horse's career lengths beaten over earlier runs</t>
  </si>
  <si>
    <t xml:space="preserve">rw_preracehorsecareerLB_gap</t>
  </si>
  <si>
    <t xml:space="preserve">Wide within-race reading, gap to the best in today's field: horse's career lengths beaten over earlier runs</t>
  </si>
  <si>
    <t xml:space="preserve">rw_surface_nfp_z</t>
  </si>
  <si>
    <t xml:space="preserve">Wide within-race reading, z-score against today's field: mean NFP on today's surface</t>
  </si>
  <si>
    <t xml:space="preserve">rw_surface_nfp_gap</t>
  </si>
  <si>
    <t xml:space="preserve">Wide within-race reading, gap to the best in today's field: mean NFP on today's surface</t>
  </si>
  <si>
    <t xml:space="preserve">rw_horse_track_nfp_z</t>
  </si>
  <si>
    <t xml:space="preserve">Wide within-race reading, z-score against today's field: mean NFP at the course</t>
  </si>
  <si>
    <t xml:space="preserve">rw_horse_track_nfp_gap</t>
  </si>
  <si>
    <t xml:space="preserve">Wide within-race reading, gap to the best in today's field: mean NFP at the course</t>
  </si>
  <si>
    <t xml:space="preserve">rw_or_change_z</t>
  </si>
  <si>
    <t xml:space="preserve">Wide within-race reading, z-score against today's field: official rating change from the last run</t>
  </si>
  <si>
    <t xml:space="preserve">rw_or_change_gap</t>
  </si>
  <si>
    <t xml:space="preserve">Wide within-race reading, gap to the best in today's field: official rating change from the last run</t>
  </si>
  <si>
    <t xml:space="preserve">rw_trainer_sr_14d_z</t>
  </si>
  <si>
    <t xml:space="preserve">Wide within-race reading, z-score against today's field: trainer's strike rate, last 14 days</t>
  </si>
  <si>
    <t xml:space="preserve">rw_trainer_sr_14d_gap</t>
  </si>
  <si>
    <t xml:space="preserve">Wide within-race reading, gap to the best in today's field: trainer's strike rate, last 14 days</t>
  </si>
  <si>
    <t xml:space="preserve">rw_jockey_sr_14d_z</t>
  </si>
  <si>
    <t xml:space="preserve">Wide within-race reading, z-score against today's field: jockey's strike rate, last 14 days</t>
  </si>
  <si>
    <t xml:space="preserve">rw_jockey_sr_14d_gap</t>
  </si>
  <si>
    <t xml:space="preserve">Wide within-race reading, gap to the best in today's field: jockey's strike rate, last 14 days</t>
  </si>
  <si>
    <t xml:space="preserve">rw_fv_nfp_e3_z</t>
  </si>
  <si>
    <t xml:space="preserve">Wide within-race reading, z-score against today's field: fv nfp e3</t>
  </si>
  <si>
    <t xml:space="preserve">rw_fv_nfp_e3_gap</t>
  </si>
  <si>
    <t xml:space="preserve">Wide within-race reading, gap to the best in today's field: fv nfp e3</t>
  </si>
  <si>
    <t xml:space="preserve">rw_fv_nfp_e6_z</t>
  </si>
  <si>
    <t xml:space="preserve">Wide within-race reading, z-score against today's field: fv nfp e6</t>
  </si>
  <si>
    <t xml:space="preserve">rw_fv_nfp_e6_gap</t>
  </si>
  <si>
    <t xml:space="preserve">Wide within-race reading, gap to the best in today's field: fv nfp e6</t>
  </si>
  <si>
    <t xml:space="preserve">rw_fv_nfp_s8_z</t>
  </si>
  <si>
    <t xml:space="preserve">Wide within-race reading, z-score against today's field: fv nfp s8</t>
  </si>
  <si>
    <t xml:space="preserve">rw_fv_nfp_s8_gap</t>
  </si>
  <si>
    <t xml:space="preserve">Wide within-race reading, gap to the best in today's field: fv nfp s8</t>
  </si>
  <si>
    <t xml:space="preserve">rw_fv_nfp_fsw_e6_z</t>
  </si>
  <si>
    <t xml:space="preserve">Wide within-race reading, z-score against today's field: fv nfp fsw e6</t>
  </si>
  <si>
    <t xml:space="preserve">rw_fv_nfp_fsw_e6_gap</t>
  </si>
  <si>
    <t xml:space="preserve">Wide within-race reading, gap to the best in today's field: fv nfp fsw e6</t>
  </si>
  <si>
    <t xml:space="preserve">rw_fv_lbw_e6_z</t>
  </si>
  <si>
    <t xml:space="preserve">Wide within-race reading, z-score against today's field: fv lbw e6</t>
  </si>
  <si>
    <t xml:space="preserve">rw_fv_lbw_e6_gap</t>
  </si>
  <si>
    <t xml:space="preserve">Wide within-race reading, gap to the best in today's field: fv lbw e6</t>
  </si>
  <si>
    <t xml:space="preserve">rw_fv_lbc_e6_z</t>
  </si>
  <si>
    <t xml:space="preserve">Wide within-race reading, z-score against today's field: fv lbc e6</t>
  </si>
  <si>
    <t xml:space="preserve">rw_fv_lbc_e6_gap</t>
  </si>
  <si>
    <t xml:space="preserve">Wide within-race reading, gap to the best in today's field: fv lbc e6</t>
  </si>
  <si>
    <t xml:space="preserve">rw_fv_lbpf_e6_z</t>
  </si>
  <si>
    <t xml:space="preserve">Wide within-race reading, z-score against today's field: fv lbpf e6</t>
  </si>
  <si>
    <t xml:space="preserve">rw_fv_lbpf_e6_gap</t>
  </si>
  <si>
    <t xml:space="preserve">Wide within-race reading, gap to the best in today's field: fv lbpf e6</t>
  </si>
  <si>
    <t xml:space="preserve">rw_fv_lblog_e3_z</t>
  </si>
  <si>
    <t xml:space="preserve">Wide within-race reading, z-score against today's field: fv lblog e3</t>
  </si>
  <si>
    <t xml:space="preserve">rw_fv_lblog_e3_gap</t>
  </si>
  <si>
    <t xml:space="preserve">Wide within-race reading, gap to the best in today's field: fv lblog e3</t>
  </si>
  <si>
    <t xml:space="preserve">rw_field_top2_LR_ORR2</t>
  </si>
  <si>
    <t xml:space="preserve">rw field top2 LR ORR2</t>
  </si>
  <si>
    <t xml:space="preserve">rw_field_top2_official_rating</t>
  </si>
  <si>
    <t xml:space="preserve">rw field top2 official rating</t>
  </si>
  <si>
    <t xml:space="preserve">rw_field_top2_PMW3</t>
  </si>
  <si>
    <t xml:space="preserve">rw field top2 PMW3</t>
  </si>
  <si>
    <t xml:space="preserve">rw_field_top2_fv_nfp_e3</t>
  </si>
  <si>
    <t xml:space="preserve">rw field top2 fv nfp e3</t>
  </si>
  <si>
    <t xml:space="preserve">rw_field_sd_LR_ORR2</t>
  </si>
  <si>
    <t xml:space="preserve">rw field sd LR ORR2</t>
  </si>
  <si>
    <t xml:space="preserve">rw_field_sd_official_rating</t>
  </si>
  <si>
    <t xml:space="preserve">rw field sd official rating</t>
  </si>
  <si>
    <t xml:space="preserve">tf_l1</t>
  </si>
  <si>
    <t xml:space="preserve">Time figure</t>
  </si>
  <si>
    <t xml:space="preserve">The horse's own time against standard, going-adjusted</t>
  </si>
  <si>
    <t xml:space="preserve">tf l1</t>
  </si>
  <si>
    <t xml:space="preserve">model/blocks/time_figure.py</t>
  </si>
  <si>
    <t xml:space="preserve">tf_m3</t>
  </si>
  <si>
    <t xml:space="preserve">tf m3</t>
  </si>
  <si>
    <t xml:space="preserve">tf_m5</t>
  </si>
  <si>
    <t xml:space="preserve">tf m5</t>
  </si>
  <si>
    <t xml:space="preserve">tf_w5</t>
  </si>
  <si>
    <t xml:space="preserve">tf w5</t>
  </si>
  <si>
    <t xml:space="preserve">tf_e3</t>
  </si>
  <si>
    <t xml:space="preserve">tf e3</t>
  </si>
  <si>
    <t xml:space="preserve">tf_car</t>
  </si>
  <si>
    <t xml:space="preserve">tf car</t>
  </si>
  <si>
    <t xml:space="preserve">tf_best5</t>
  </si>
  <si>
    <t xml:space="preserve">tf best5</t>
  </si>
  <si>
    <t xml:space="preserve">tf_best</t>
  </si>
  <si>
    <t xml:space="preserve">tf best</t>
  </si>
  <si>
    <t xml:space="preserve">tf_trend</t>
  </si>
  <si>
    <t xml:space="preserve">tf trend</t>
  </si>
  <si>
    <t xml:space="preserve">tf_n</t>
  </si>
  <si>
    <t xml:space="preserve">tf n</t>
  </si>
  <si>
    <t xml:space="preserve">tf_best5_rel</t>
  </si>
  <si>
    <t xml:space="preserve">tf best5 rel</t>
  </si>
  <si>
    <t xml:space="preserve">tf_w5_rel</t>
  </si>
  <si>
    <t xml:space="preserve">tf w5 rel</t>
  </si>
  <si>
    <t xml:space="preserve">tf_ga_l1</t>
  </si>
  <si>
    <t xml:space="preserve">tf ga l1</t>
  </si>
  <si>
    <t xml:space="preserve">ex_runs_code</t>
  </si>
  <si>
    <t xml:space="preserve">Exposure</t>
  </si>
  <si>
    <t xml:space="preserve">Exposure, improvement, and what horses like it went on to do</t>
  </si>
  <si>
    <t xml:space="preserve">ex runs code</t>
  </si>
  <si>
    <t xml:space="preserve">model/blocks/exposure.py</t>
  </si>
  <si>
    <t xml:space="preserve">ex_perf_best</t>
  </si>
  <si>
    <t xml:space="preserve">ex perf best</t>
  </si>
  <si>
    <t xml:space="preserve">ex_perf_best3</t>
  </si>
  <si>
    <t xml:space="preserve">ex perf best3</t>
  </si>
  <si>
    <t xml:space="preserve">ex_perf_slope5</t>
  </si>
  <si>
    <t xml:space="preserve">ex perf slope5</t>
  </si>
  <si>
    <t xml:space="preserve">ex_perf_d1</t>
  </si>
  <si>
    <t xml:space="preserve">ex perf d1</t>
  </si>
  <si>
    <t xml:space="preserve">ex_perf_d_car</t>
  </si>
  <si>
    <t xml:space="preserve">ex perf d car</t>
  </si>
  <si>
    <t xml:space="preserve">ex_gain_cell</t>
  </si>
  <si>
    <t xml:space="preserve">ex gain cell</t>
  </si>
  <si>
    <t xml:space="preserve">ex_gain_trainer</t>
  </si>
  <si>
    <t xml:space="preserve">ex gain trainer</t>
  </si>
  <si>
    <t xml:space="preserve">ex_gain_sire</t>
  </si>
  <si>
    <t xml:space="preserve">ex gain sire</t>
  </si>
  <si>
    <t xml:space="preserve">ex_nfp_gain_cell</t>
  </si>
  <si>
    <t xml:space="preserve">ex nfp gain cell</t>
  </si>
  <si>
    <t xml:space="preserve">ex_headroom</t>
  </si>
  <si>
    <t xml:space="preserve">ex headroom</t>
  </si>
  <si>
    <t xml:space="preserve">ex_headroom_w5</t>
  </si>
  <si>
    <t xml:space="preserve">ex headroom w5</t>
  </si>
  <si>
    <t xml:space="preserve">h2h_rivals_met</t>
  </si>
  <si>
    <t xml:space="preserve">Collateral form</t>
  </si>
  <si>
    <t xml:space="preserve">Each runner's earlier meetings with today's rivals</t>
  </si>
  <si>
    <t xml:space="preserve">Today's rivals met before</t>
  </si>
  <si>
    <t xml:space="preserve">model/blocks/head_to_head.py</t>
  </si>
  <si>
    <t xml:space="preserve">h2h_meetings</t>
  </si>
  <si>
    <t xml:space="preserve">Earlier meetings with today's rivals</t>
  </si>
  <si>
    <t xml:space="preserve">h2h_win_share</t>
  </si>
  <si>
    <t xml:space="preserve">Share of meetings with today's rivals finished ahead (shrunk to a half)</t>
  </si>
  <si>
    <t xml:space="preserve">h2h_net</t>
  </si>
  <si>
    <t xml:space="preserve">Meetings with today's rivals finished ahead less behind</t>
  </si>
  <si>
    <t xml:space="preserve">h2h_lbs</t>
  </si>
  <si>
    <t xml:space="preserve">Pounds ahead of today's rivals over earlier meetings (shrunk to 0)</t>
  </si>
  <si>
    <t xml:space="preserve">h2h_last_lbs</t>
  </si>
  <si>
    <t xml:space="preserve">Pounds ahead of today's rivals at the latest meeting</t>
  </si>
  <si>
    <t xml:space="preserve">h2h_last_net</t>
  </si>
  <si>
    <t xml:space="preserve">Rivals ahead of less behind at the latest meeting</t>
  </si>
  <si>
    <t xml:space="preserve">sr_tr_recent_win</t>
  </si>
  <si>
    <t xml:space="preserve">Shrunk records</t>
  </si>
  <si>
    <t xml:space="preserve">Small-sample records pulled toward the level above</t>
  </si>
  <si>
    <t xml:space="preserve">sr tr recent win</t>
  </si>
  <si>
    <t xml:space="preserve">model/blocks/shrunk_rates.py</t>
  </si>
  <si>
    <t xml:space="preserve">sr_tr_course_win</t>
  </si>
  <si>
    <t xml:space="preserve">sr tr course win</t>
  </si>
  <si>
    <t xml:space="preserve">sr_jk_course_win</t>
  </si>
  <si>
    <t xml:space="preserve">sr jk course win</t>
  </si>
  <si>
    <t xml:space="preserve">sr_tj_win</t>
  </si>
  <si>
    <t xml:space="preserve">sr tj win</t>
  </si>
  <si>
    <t xml:space="preserve">sr_tr_course_ae</t>
  </si>
  <si>
    <t xml:space="preserve">sr tr course ae</t>
  </si>
  <si>
    <t xml:space="preserve">sr_jk_recent_ae</t>
  </si>
  <si>
    <t xml:space="preserve">sr jk recent ae</t>
  </si>
  <si>
    <t xml:space="preserve">sr_sire_trip_nfp</t>
  </si>
  <si>
    <t xml:space="preserve">sr sire trip nfp</t>
  </si>
  <si>
    <t xml:space="preserve">sr_sire_going_nfp</t>
  </si>
  <si>
    <t xml:space="preserve">sr sire going nfp</t>
  </si>
  <si>
    <t xml:space="preserve">sr_horse_course_nfp</t>
  </si>
  <si>
    <t xml:space="preserve">sr horse course nfp</t>
  </si>
  <si>
    <t xml:space="preserve">sr_horse_trip_nfp</t>
  </si>
  <si>
    <t xml:space="preserve">sr horse trip nfp</t>
  </si>
  <si>
    <t xml:space="preserve">sr_horse_going_nfp</t>
  </si>
  <si>
    <t xml:space="preserve">sr horse going nfp</t>
  </si>
  <si>
    <t xml:space="preserve">sr_horse_course_n</t>
  </si>
  <si>
    <t xml:space="preserve">sr horse course n</t>
  </si>
  <si>
    <t xml:space="preserve">sr_horse_trip_n</t>
  </si>
  <si>
    <t xml:space="preserve">sr horse trip n</t>
  </si>
  <si>
    <t xml:space="preserve">sr_horse_going_n</t>
  </si>
  <si>
    <t xml:space="preserve">sr horse going n</t>
  </si>
  <si>
    <t xml:space="preserve">rfix_LB</t>
  </si>
  <si>
    <t xml:space="preserve">Rank fix</t>
  </si>
  <si>
    <t xml:space="preserve">The four misdirected ranks, lowest first, missing last</t>
  </si>
  <si>
    <t xml:space="preserve">Within-race rank of LB, lowest first, missing last</t>
  </si>
  <si>
    <t xml:space="preserve">model/blocks/rank_fix.py</t>
  </si>
  <si>
    <t xml:space="preserve">rfix_Consistency</t>
  </si>
  <si>
    <t xml:space="preserve">Within-race rank of Consistency, lowest first, missing last</t>
  </si>
  <si>
    <t xml:space="preserve">rfix_DistApt</t>
  </si>
  <si>
    <t xml:space="preserve">Within-race rank of DistApt, lowest first, missing last</t>
  </si>
  <si>
    <t xml:space="preserve">rfix_GoingPref</t>
  </si>
  <si>
    <t xml:space="preserve">Within-race rank of GoingPref, lowest first, missing last</t>
  </si>
  <si>
    <t xml:space="preserve">bk_jk_mkt</t>
  </si>
  <si>
    <t xml:space="preserve">Bookings</t>
  </si>
  <si>
    <t xml:space="preserve">The jockey and the yard as the market rated their runners</t>
  </si>
  <si>
    <t xml:space="preserve">Jockey's rides as the market rated them (decayed, shrunk to 0)</t>
  </si>
  <si>
    <t xml:space="preserve">model/blocks/bookings.py</t>
  </si>
  <si>
    <t xml:space="preserve">bk_jk_upgrade</t>
  </si>
  <si>
    <t xml:space="preserve">Today's jockey against the jockeys of the horse's last three runs, as the market rated them</t>
  </si>
  <si>
    <t xml:space="preserve">bk_jk_same</t>
  </si>
  <si>
    <t xml:space="preserve">Today's jockey rode the last run</t>
  </si>
  <si>
    <t xml:space="preserve">bk_jk_rides_on_horse</t>
  </si>
  <si>
    <t xml:space="preserve">Earlier rides of this horse by today's jockey</t>
  </si>
  <si>
    <t xml:space="preserve">bk_tr_mkt</t>
  </si>
  <si>
    <t xml:space="preserve">Trainer's runners as the market rated them (decayed, shrunk to 0)</t>
  </si>
  <si>
    <t xml:space="preserve">bk_tr_mkt_trend</t>
  </si>
  <si>
    <t xml:space="preserve">Trainer's runners as the market rated them over the last fortnight, less the long view</t>
  </si>
  <si>
    <t xml:space="preserve">cm_lr_trouble</t>
  </si>
  <si>
    <t xml:space="preserve">Comments</t>
  </si>
  <si>
    <t xml:space="preserve">What the in-running comments of earlier runs say</t>
  </si>
  <si>
    <t xml:space="preserve">In-running comment: trouble in running (hampered, no clear run, checked), in the last run (earlier days)</t>
  </si>
  <si>
    <t xml:space="preserve">model/blocks/comments.py</t>
  </si>
  <si>
    <t xml:space="preserve">cm_lr_switched</t>
  </si>
  <si>
    <t xml:space="preserve">In-running comment: switched to find room, in the last run (earlier days)</t>
  </si>
  <si>
    <t xml:space="preserve">cm_lr_slow_start</t>
  </si>
  <si>
    <t xml:space="preserve">In-running comment: a slow start (slowly away, dwelt), in the last run (earlier days)</t>
  </si>
  <si>
    <t xml:space="preserve">cm_lr_keen</t>
  </si>
  <si>
    <t xml:space="preserve">In-running comment: racing keen, in the last run (earlier days)</t>
  </si>
  <si>
    <t xml:space="preserve">cm_lr_wide</t>
  </si>
  <si>
    <t xml:space="preserve">In-running comment: racing wide, in the last run (earlier days)</t>
  </si>
  <si>
    <t xml:space="preserve">cm_lr_finished_well</t>
  </si>
  <si>
    <t xml:space="preserve">In-running comment: running on late, in the last run (earlier days)</t>
  </si>
  <si>
    <t xml:space="preserve">cm_lr_tender</t>
  </si>
  <si>
    <t xml:space="preserve">In-running comment: a kind ride or greenness (eased, not knocked about), in the last run (earlier days)</t>
  </si>
  <si>
    <t xml:space="preserve">cm_lr_weakened</t>
  </si>
  <si>
    <t xml:space="preserve">In-running comment: weakening (faded, no extra), in the last run (earlier days)</t>
  </si>
  <si>
    <t xml:space="preserve">cm_lr_no_finish</t>
  </si>
  <si>
    <t xml:space="preserve">In-running comment: not finishing (pulled up, fell, unseated), in the last run (earlier days)</t>
  </si>
  <si>
    <t xml:space="preserve">cm_lr_problem</t>
  </si>
  <si>
    <t xml:space="preserve">In-running comment: a physical problem (lost action, bled, lost a shoe), in the last run (earlier days)</t>
  </si>
  <si>
    <t xml:space="preserve">cm_lr_easy_win</t>
  </si>
  <si>
    <t xml:space="preserve">In-running comment: an easy win, in the last run (earlier days)</t>
  </si>
  <si>
    <t xml:space="preserve">cm_lr_excuse</t>
  </si>
  <si>
    <t xml:space="preserve">In-running comment: any excuse (trouble, slow start, keen, wide or a problem), in the last run (earlier days)</t>
  </si>
  <si>
    <t xml:space="preserve">cm_l3_trouble</t>
  </si>
  <si>
    <t xml:space="preserve">In-running comment: trouble in running (hampered, no clear run, checked), share of the last 3 runs (earlier days)</t>
  </si>
  <si>
    <t xml:space="preserve">cm_l3_switched</t>
  </si>
  <si>
    <t xml:space="preserve">In-running comment: switched to find room, share of the last 3 runs (earlier days)</t>
  </si>
  <si>
    <t xml:space="preserve">cm_l3_slow_start</t>
  </si>
  <si>
    <t xml:space="preserve">In-running comment: a slow start (slowly away, dwelt), share of the last 3 runs (earlier days)</t>
  </si>
  <si>
    <t xml:space="preserve">cm_l3_keen</t>
  </si>
  <si>
    <t xml:space="preserve">In-running comment: racing keen, share of the last 3 runs (earlier days)</t>
  </si>
  <si>
    <t xml:space="preserve">cm_l3_wide</t>
  </si>
  <si>
    <t xml:space="preserve">In-running comment: racing wide, share of the last 3 runs (earlier days)</t>
  </si>
  <si>
    <t xml:space="preserve">cm_l3_finished_well</t>
  </si>
  <si>
    <t xml:space="preserve">In-running comment: running on late, share of the last 3 runs (earlier days)</t>
  </si>
  <si>
    <t xml:space="preserve">cm_l3_tender</t>
  </si>
  <si>
    <t xml:space="preserve">In-running comment: a kind ride or greenness (eased, not knocked about), share of the last 3 runs (earlier days)</t>
  </si>
  <si>
    <t xml:space="preserve">cm_l3_weakened</t>
  </si>
  <si>
    <t xml:space="preserve">In-running comment: weakening (faded, no extra), share of the last 3 runs (earlier days)</t>
  </si>
  <si>
    <t xml:space="preserve">cm_l3_no_finish</t>
  </si>
  <si>
    <t xml:space="preserve">In-running comment: not finishing (pulled up, fell, unseated), share of the last 3 runs (earlier days)</t>
  </si>
  <si>
    <t xml:space="preserve">cm_l3_problem</t>
  </si>
  <si>
    <t xml:space="preserve">In-running comment: a physical problem (lost action, bled, lost a shoe), share of the last 3 runs (earlier days)</t>
  </si>
  <si>
    <t xml:space="preserve">cm_l3_easy_win</t>
  </si>
  <si>
    <t xml:space="preserve">In-running comment: an easy win, share of the last 3 runs (earlier days)</t>
  </si>
  <si>
    <t xml:space="preserve">cm_l3_excuse</t>
  </si>
  <si>
    <t xml:space="preserve">In-running comment: any excuse (trouble, slow start, keen, wide or a problem), share of the last 3 runs (earlier days)</t>
  </si>
  <si>
    <t xml:space="preserve">cm_l6_trouble</t>
  </si>
  <si>
    <t xml:space="preserve">In-running comment: trouble in running (hampered, no clear run, checked), share of the last 6 runs (earlier days)</t>
  </si>
  <si>
    <t xml:space="preserve">cm_l6_switched</t>
  </si>
  <si>
    <t xml:space="preserve">In-running comment: switched to find room, share of the last 6 runs (earlier days)</t>
  </si>
  <si>
    <t xml:space="preserve">cm_l6_slow_start</t>
  </si>
  <si>
    <t xml:space="preserve">In-running comment: a slow start (slowly away, dwelt), share of the last 6 runs (earlier days)</t>
  </si>
  <si>
    <t xml:space="preserve">cm_l6_keen</t>
  </si>
  <si>
    <t xml:space="preserve">In-running comment: racing keen, share of the last 6 runs (earlier days)</t>
  </si>
  <si>
    <t xml:space="preserve">cm_l6_wide</t>
  </si>
  <si>
    <t xml:space="preserve">In-running comment: racing wide, share of the last 6 runs (earlier days)</t>
  </si>
  <si>
    <t xml:space="preserve">cm_l6_finished_well</t>
  </si>
  <si>
    <t xml:space="preserve">In-running comment: running on late, share of the last 6 runs (earlier days)</t>
  </si>
  <si>
    <t xml:space="preserve">cm_l6_tender</t>
  </si>
  <si>
    <t xml:space="preserve">In-running comment: a kind ride or greenness (eased, not knocked about), share of the last 6 runs (earlier days)</t>
  </si>
  <si>
    <t xml:space="preserve">cm_l6_weakened</t>
  </si>
  <si>
    <t xml:space="preserve">In-running comment: weakening (faded, no extra), share of the last 6 runs (earlier days)</t>
  </si>
  <si>
    <t xml:space="preserve">cm_l6_no_finish</t>
  </si>
  <si>
    <t xml:space="preserve">In-running comment: not finishing (pulled up, fell, unseated), share of the last 6 runs (earlier days)</t>
  </si>
  <si>
    <t xml:space="preserve">cm_l6_problem</t>
  </si>
  <si>
    <t xml:space="preserve">In-running comment: a physical problem (lost action, bled, lost a shoe), share of the last 6 runs (earlier days)</t>
  </si>
  <si>
    <t xml:space="preserve">cm_l6_easy_win</t>
  </si>
  <si>
    <t xml:space="preserve">In-running comment: an easy win, share of the last 6 runs (earlier days)</t>
  </si>
  <si>
    <t xml:space="preserve">cm_l6_excuse</t>
  </si>
  <si>
    <t xml:space="preserve">In-running comment: any excuse (trouble, slow start, keen, wide or a problem), share of the last 6 runs (earlier days)</t>
  </si>
  <si>
    <t xml:space="preserve">cm_excuse_close</t>
  </si>
  <si>
    <t xml:space="preserve">An excuse last time and beaten 5 lengths or less</t>
  </si>
  <si>
    <t xml:space="preserve">cm_excuse_nfp</t>
  </si>
  <si>
    <t xml:space="preserve">An excuse last time x its normalised finishing position</t>
  </si>
  <si>
    <t xml:space="preserve">cm_noexcuse_poor</t>
  </si>
  <si>
    <t xml:space="preserve">No excuse last time and in the bottom half of the field</t>
  </si>
  <si>
    <t xml:space="preserve">cm_tender_close</t>
  </si>
  <si>
    <t xml:space="preserve">A kind ride last time and beaten 5 lengths or less</t>
  </si>
  <si>
    <t xml:space="preserve">cm_finished_well_nfp</t>
  </si>
  <si>
    <t xml:space="preserve">Ran on last time x its normalised finishing position</t>
  </si>
  <si>
    <t xml:space="preserve">cm_easy_win</t>
  </si>
  <si>
    <t xml:space="preserve">Won easily last time</t>
  </si>
  <si>
    <t xml:space="preserve">cm_runs_since_trouble</t>
  </si>
  <si>
    <t xml:space="preserve">Runs since the last one with trouble in running</t>
  </si>
  <si>
    <t xml:space="preserve">cm_runs_since_excuse</t>
  </si>
  <si>
    <t xml:space="preserve">Runs since the last one with an excuse</t>
  </si>
  <si>
    <t xml:space="preserve">st_n_race</t>
  </si>
  <si>
    <t xml:space="preserve">Stablemates</t>
  </si>
  <si>
    <t xml:space="preserve">A yard's runners today, their order, and whose jockey it books</t>
  </si>
  <si>
    <t xml:space="preserve">Trainer's runners in this race</t>
  </si>
  <si>
    <t xml:space="preserve">model/blocks/stable.py</t>
  </si>
  <si>
    <t xml:space="preserve">st_n_meeting</t>
  </si>
  <si>
    <t xml:space="preserve">Trainer's runners at this meeting today</t>
  </si>
  <si>
    <t xml:space="preserve">st_n_day</t>
  </si>
  <si>
    <t xml:space="preserve">Trainer's runners anywhere today</t>
  </si>
  <si>
    <t xml:space="preserve">st_or_rank</t>
  </si>
  <si>
    <t xml:space="preserve">Rank by official rating among the trainer's runners in the race (1 = highest)</t>
  </si>
  <si>
    <t xml:space="preserve">st_or_gap</t>
  </si>
  <si>
    <t xml:space="preserve">Official rating less the best of the trainer's runners in the race</t>
  </si>
  <si>
    <t xml:space="preserve">st_jk_share</t>
  </si>
  <si>
    <t xml:space="preserve">Today's jockey's share of the trainer's rides on earlier days (decayed)</t>
  </si>
  <si>
    <t xml:space="preserve">st_jk_first</t>
  </si>
  <si>
    <t xml:space="preserve">Gets the yard's first-choice jockey among its stablemates in the race</t>
  </si>
  <si>
    <t xml:space="preserve">st_jk_gap</t>
  </si>
  <si>
    <t xml:space="preserve">Today's jockey's share of the yard's rides less the best among its stablemates' jockeys</t>
  </si>
  <si>
    <t xml:space="preserve">dam_runners</t>
  </si>
  <si>
    <t xml:space="preserve">Dam line</t>
  </si>
  <si>
    <t xml:space="preserve">The dam's produce record, the siblings and the female family</t>
  </si>
  <si>
    <t xml:space="preserve">dam runners</t>
  </si>
  <si>
    <t xml:space="preserve">model/blocks/dam_line.py</t>
  </si>
  <si>
    <t xml:space="preserve">dam_winners</t>
  </si>
  <si>
    <t xml:space="preserve">dam winners</t>
  </si>
  <si>
    <t xml:space="preserve">dam_sr_shrunk</t>
  </si>
  <si>
    <t xml:space="preserve">dam sr shrunk</t>
  </si>
  <si>
    <t xml:space="preserve">sib_count</t>
  </si>
  <si>
    <t xml:space="preserve">sib count</t>
  </si>
  <si>
    <t xml:space="preserve">sib_mean_nmfp</t>
  </si>
  <si>
    <t xml:space="preserve">sib mean nmfp</t>
  </si>
  <si>
    <t xml:space="preserve">dam_progeny_mean_nmfp</t>
  </si>
  <si>
    <t xml:space="preserve">dam progeny mean nmfp</t>
  </si>
  <si>
    <t xml:space="preserve">dam_black_type_progeny</t>
  </si>
  <si>
    <t xml:space="preserve">dam black type progeny</t>
  </si>
  <si>
    <t xml:space="preserve">dam_best_progeny_rating</t>
  </si>
  <si>
    <t xml:space="preserve">dam best progeny rating</t>
  </si>
  <si>
    <t xml:space="preserve">sib_dist_profile</t>
  </si>
  <si>
    <t xml:space="preserve">sib dist profile</t>
  </si>
  <si>
    <t xml:space="preserve">sib_going_profile</t>
  </si>
  <si>
    <t xml:space="preserve">sib going profile</t>
  </si>
  <si>
    <t xml:space="preserve">sib_precocity</t>
  </si>
  <si>
    <t xml:space="preserve">sib precocity</t>
  </si>
  <si>
    <t xml:space="preserve">sib_improvement_curve</t>
  </si>
  <si>
    <t xml:space="preserve">sib improvement curve</t>
  </si>
  <si>
    <t xml:space="preserve">family_bt_density</t>
  </si>
  <si>
    <t xml:space="preserve">family bt density</t>
  </si>
  <si>
    <t xml:space="preserve">family_class_rating</t>
  </si>
  <si>
    <t xml:space="preserve">family class rating</t>
  </si>
  <si>
    <t xml:space="preserve">damsire_prog_runs</t>
  </si>
  <si>
    <t xml:space="preserve">Sire aptitudes</t>
  </si>
  <si>
    <t xml:space="preserve">Sire and damsire aptitudes against their own level, and the nick</t>
  </si>
  <si>
    <t xml:space="preserve">damsire prog runs</t>
  </si>
  <si>
    <t xml:space="preserve">model/blocks/sire_apt.py</t>
  </si>
  <si>
    <t xml:space="preserve">damsire_prog_wins</t>
  </si>
  <si>
    <t xml:space="preserve">damsire prog wins</t>
  </si>
  <si>
    <t xml:space="preserve">damsire_sr_shrunk</t>
  </si>
  <si>
    <t xml:space="preserve">damsire sr shrunk</t>
  </si>
  <si>
    <t xml:space="preserve">damsire_nmfp_shrunk</t>
  </si>
  <si>
    <t xml:space="preserve">damsire nmfp shrunk</t>
  </si>
  <si>
    <t xml:space="preserve">damsire_prb2_fsa_shrunk</t>
  </si>
  <si>
    <t xml:space="preserve">damsire prb2 fsa shrunk</t>
  </si>
  <si>
    <t xml:space="preserve">damsire_going_apt</t>
  </si>
  <si>
    <t xml:space="preserve">damsire going apt</t>
  </si>
  <si>
    <t xml:space="preserve">damsire_going_n</t>
  </si>
  <si>
    <t xml:space="preserve">damsire going n</t>
  </si>
  <si>
    <t xml:space="preserve">damsire_dist_apt</t>
  </si>
  <si>
    <t xml:space="preserve">damsire dist apt</t>
  </si>
  <si>
    <t xml:space="preserve">damsire_dist_n</t>
  </si>
  <si>
    <t xml:space="preserve">damsire dist n</t>
  </si>
  <si>
    <t xml:space="preserve">damsire_surface_apt</t>
  </si>
  <si>
    <t xml:space="preserve">damsire surface apt</t>
  </si>
  <si>
    <t xml:space="preserve">damsire_surface_n</t>
  </si>
  <si>
    <t xml:space="preserve">damsire surface n</t>
  </si>
  <si>
    <t xml:space="preserve">sire_prog_runs</t>
  </si>
  <si>
    <t xml:space="preserve">sire prog runs</t>
  </si>
  <si>
    <t xml:space="preserve">sire_prog_wins</t>
  </si>
  <si>
    <t xml:space="preserve">sire prog wins</t>
  </si>
  <si>
    <t xml:space="preserve">sire_sr_shrunk</t>
  </si>
  <si>
    <t xml:space="preserve">sire sr shrunk</t>
  </si>
  <si>
    <t xml:space="preserve">sire_nmfp_shrunk</t>
  </si>
  <si>
    <t xml:space="preserve">sire nmfp shrunk</t>
  </si>
  <si>
    <t xml:space="preserve">sire_prb2_fsa_shrunk</t>
  </si>
  <si>
    <t xml:space="preserve">sire prb2 fsa shrunk</t>
  </si>
  <si>
    <t xml:space="preserve">sire_going_apt</t>
  </si>
  <si>
    <t xml:space="preserve">sire going apt</t>
  </si>
  <si>
    <t xml:space="preserve">sire_going_n</t>
  </si>
  <si>
    <t xml:space="preserve">sire going n</t>
  </si>
  <si>
    <t xml:space="preserve">sire_dist_apt</t>
  </si>
  <si>
    <t xml:space="preserve">sire dist apt</t>
  </si>
  <si>
    <t xml:space="preserve">sire_dist_n</t>
  </si>
  <si>
    <t xml:space="preserve">sire dist n</t>
  </si>
  <si>
    <t xml:space="preserve">sire_surface_apt</t>
  </si>
  <si>
    <t xml:space="preserve">sire surface apt</t>
  </si>
  <si>
    <t xml:space="preserve">sire_surface_n</t>
  </si>
  <si>
    <t xml:space="preserve">sire surface n</t>
  </si>
  <si>
    <t xml:space="preserve">sire_course_apt</t>
  </si>
  <si>
    <t xml:space="preserve">sire course apt</t>
  </si>
  <si>
    <t xml:space="preserve">sire_course_n</t>
  </si>
  <si>
    <t xml:space="preserve">sire course n</t>
  </si>
  <si>
    <t xml:space="preserve">sire_2yo_apt</t>
  </si>
  <si>
    <t xml:space="preserve">sire 2yo apt</t>
  </si>
  <si>
    <t xml:space="preserve">sire_2yo_n</t>
  </si>
  <si>
    <t xml:space="preserve">sire 2yo n</t>
  </si>
  <si>
    <t xml:space="preserve">sire_first_time_out_apt</t>
  </si>
  <si>
    <t xml:space="preserve">sire first time out apt</t>
  </si>
  <si>
    <t xml:space="preserve">sire_first_time_out_n</t>
  </si>
  <si>
    <t xml:space="preserve">sire first time out n</t>
  </si>
  <si>
    <t xml:space="preserve">sire_improvement</t>
  </si>
  <si>
    <t xml:space="preserve">sire improvement</t>
  </si>
  <si>
    <t xml:space="preserve">sire_elite_share</t>
  </si>
  <si>
    <t xml:space="preserve">sire elite share</t>
  </si>
  <si>
    <t xml:space="preserve">sire_class_geo</t>
  </si>
  <si>
    <t xml:space="preserve">sire class geo</t>
  </si>
  <si>
    <t xml:space="preserve">sire_class_rating</t>
  </si>
  <si>
    <t xml:space="preserve">sire class rating</t>
  </si>
  <si>
    <t xml:space="preserve">sire_track_strength</t>
  </si>
  <si>
    <t xml:space="preserve">sire track strength</t>
  </si>
  <si>
    <t xml:space="preserve">sire_median_hcap_debut_or</t>
  </si>
  <si>
    <t xml:space="preserve">sire median hcap debut or</t>
  </si>
  <si>
    <t xml:space="preserve">nick_runs</t>
  </si>
  <si>
    <t xml:space="preserve">nick runs</t>
  </si>
  <si>
    <t xml:space="preserve">nick_apt</t>
  </si>
  <si>
    <t xml:space="preserve">nick apt</t>
  </si>
  <si>
    <t xml:space="preserve">nick_sr_apt</t>
  </si>
  <si>
    <t xml:space="preserve">nick sr apt</t>
  </si>
  <si>
    <t xml:space="preserve">elo</t>
  </si>
  <si>
    <t xml:space="preserve">Finishing-order rating</t>
  </si>
  <si>
    <t xml:space="preserve">Each horse's strength from whom it beat, across the race network</t>
  </si>
  <si>
    <t xml:space="preserve">Rating from finishing orders (Elo, Flat and jumps apart), as it stood before the day</t>
  </si>
  <si>
    <t xml:space="preserve">model/blocks/elo.py</t>
  </si>
  <si>
    <t xml:space="preserve">elo_runs</t>
  </si>
  <si>
    <t xml:space="preserve">Finishes against other finishers behind the rating</t>
  </si>
  <si>
    <t xml:space="preserve">elo_z</t>
  </si>
  <si>
    <t xml:space="preserve">Rating against today's field (z-score over rated runners)</t>
  </si>
  <si>
    <t xml:space="preserve">elo_gap</t>
  </si>
  <si>
    <t xml:space="preserve">Rating less the best in today's field</t>
  </si>
  <si>
    <t xml:space="preserve">elo_trend</t>
  </si>
  <si>
    <t xml:space="preserve">Rating now less its value three finishes ago</t>
  </si>
  <si>
    <t xml:space="preserve">elo_field</t>
  </si>
  <si>
    <t xml:space="preserve">Today's field's mean rating</t>
  </si>
  <si>
    <t xml:space="preserve">cf_trip_n</t>
  </si>
  <si>
    <t xml:space="preserve">Condition form</t>
  </si>
  <si>
    <t xml:space="preserve">Form at today's trip, going, course, race type and headgear, against form everywhere</t>
  </si>
  <si>
    <t xml:space="preserve">Earlier runs at today's trip band</t>
  </si>
  <si>
    <t xml:space="preserve">model/blocks/cond_form.py</t>
  </si>
  <si>
    <t xml:space="preserve">cf_going_n</t>
  </si>
  <si>
    <t xml:space="preserve">Earlier runs at today's going group</t>
  </si>
  <si>
    <t xml:space="preserve">cf_course_n</t>
  </si>
  <si>
    <t xml:space="preserve">Earlier runs at this course</t>
  </si>
  <si>
    <t xml:space="preserve">cf_hcap_n</t>
  </si>
  <si>
    <t xml:space="preserve">Earlier runs at today's race type (handicap or not)</t>
  </si>
  <si>
    <t xml:space="preserve">cf_gear_n</t>
  </si>
  <si>
    <t xml:space="preserve">Earlier runs at today's headgear status (on or off)</t>
  </si>
  <si>
    <t xml:space="preserve">cf_trip_perf_car</t>
  </si>
  <si>
    <t xml:space="preserve">At today's trip band: performance figure, career mean (earlier days)</t>
  </si>
  <si>
    <t xml:space="preserve">cf_trip_perf_m3</t>
  </si>
  <si>
    <t xml:space="preserve">At today's trip band: performance figure, mean of the last three (earlier days)</t>
  </si>
  <si>
    <t xml:space="preserve">cf_trip_perf_d</t>
  </si>
  <si>
    <t xml:space="preserve">At today's trip band: performance figure, career mean less its mean everywhere, shrunk by n / (n + 3) (earlier days)</t>
  </si>
  <si>
    <t xml:space="preserve">cf_trip_nfp_car</t>
  </si>
  <si>
    <t xml:space="preserve">At today's trip band: normalised finishing position, career mean (earlier days)</t>
  </si>
  <si>
    <t xml:space="preserve">cf_trip_nfp_m3</t>
  </si>
  <si>
    <t xml:space="preserve">At today's trip band: normalised finishing position, mean of the last three (earlier days)</t>
  </si>
  <si>
    <t xml:space="preserve">cf_trip_nfp_d</t>
  </si>
  <si>
    <t xml:space="preserve">At today's trip band: normalised finishing position, career mean less its mean everywhere, shrunk by n / (n + 3) (earlier days)</t>
  </si>
  <si>
    <t xml:space="preserve">cf_trip_mkt_car</t>
  </si>
  <si>
    <t xml:space="preserve">At today's trip band: the market's view (BSP), career mean (earlier days)</t>
  </si>
  <si>
    <t xml:space="preserve">cf_trip_mkt_m3</t>
  </si>
  <si>
    <t xml:space="preserve">At today's trip band: the market's view (BSP), mean of the last three (earlier days)</t>
  </si>
  <si>
    <t xml:space="preserve">cf_trip_mkt_d</t>
  </si>
  <si>
    <t xml:space="preserve">At today's trip band: the market's view (BSP), career mean less its mean everywhere, shrunk by n / (n + 3) (earlier days)</t>
  </si>
  <si>
    <t xml:space="preserve">cf_going_perf_car</t>
  </si>
  <si>
    <t xml:space="preserve">At today's going group: performance figure, career mean (earlier days)</t>
  </si>
  <si>
    <t xml:space="preserve">cf_going_perf_m3</t>
  </si>
  <si>
    <t xml:space="preserve">At today's going group: performance figure, mean of the last three (earlier days)</t>
  </si>
  <si>
    <t xml:space="preserve">cf_going_perf_d</t>
  </si>
  <si>
    <t xml:space="preserve">At today's going group: performance figure, career mean less its mean everywhere, shrunk by n / (n + 3) (earlier days)</t>
  </si>
  <si>
    <t xml:space="preserve">cf_going_nfp_car</t>
  </si>
  <si>
    <t xml:space="preserve">At today's going group: normalised finishing position, career mean (earlier days)</t>
  </si>
  <si>
    <t xml:space="preserve">cf_going_nfp_m3</t>
  </si>
  <si>
    <t xml:space="preserve">At today's going group: normalised finishing position, mean of the last three (earlier days)</t>
  </si>
  <si>
    <t xml:space="preserve">cf_going_nfp_d</t>
  </si>
  <si>
    <t xml:space="preserve">At today's going group: normalised finishing position, career mean less its mean everywhere, shrunk by n / (n + 3) (earlier days)</t>
  </si>
  <si>
    <t xml:space="preserve">cf_going_mkt_car</t>
  </si>
  <si>
    <t xml:space="preserve">At today's going group: the market's view (BSP), career mean (earlier days)</t>
  </si>
  <si>
    <t xml:space="preserve">cf_going_mkt_m3</t>
  </si>
  <si>
    <t xml:space="preserve">At today's going group: the market's view (BSP), mean of the last three (earlier days)</t>
  </si>
  <si>
    <t xml:space="preserve">cf_going_mkt_d</t>
  </si>
  <si>
    <t xml:space="preserve">At today's going group: the market's view (BSP), career mean less its mean everywhere, shrunk by n / (n + 3) (earlier days)</t>
  </si>
  <si>
    <t xml:space="preserve">cf_course_perf_car</t>
  </si>
  <si>
    <t xml:space="preserve">At this course: performance figure, career mean (earlier days)</t>
  </si>
  <si>
    <t xml:space="preserve">cf_course_perf_m3</t>
  </si>
  <si>
    <t xml:space="preserve">At this course: performance figure, mean of the last three (earlier days)</t>
  </si>
  <si>
    <t xml:space="preserve">cf_course_perf_d</t>
  </si>
  <si>
    <t xml:space="preserve">At this course: performance figure, career mean less its mean everywhere, shrunk by n / (n + 3) (earlier days)</t>
  </si>
  <si>
    <t xml:space="preserve">cf_course_nfp_car</t>
  </si>
  <si>
    <t xml:space="preserve">At this course: normalised finishing position, career mean (earlier days)</t>
  </si>
  <si>
    <t xml:space="preserve">cf_course_nfp_m3</t>
  </si>
  <si>
    <t xml:space="preserve">At this course: normalised finishing position, mean of the last three (earlier days)</t>
  </si>
  <si>
    <t xml:space="preserve">cf_course_nfp_d</t>
  </si>
  <si>
    <t xml:space="preserve">At this course: normalised finishing position, career mean less its mean everywhere, shrunk by n / (n + 3) (earlier days)</t>
  </si>
  <si>
    <t xml:space="preserve">cf_course_mkt_car</t>
  </si>
  <si>
    <t xml:space="preserve">At this course: the market's view (BSP), career mean (earlier days)</t>
  </si>
  <si>
    <t xml:space="preserve">cf_course_mkt_m3</t>
  </si>
  <si>
    <t xml:space="preserve">At this course: the market's view (BSP), mean of the last three (earlier days)</t>
  </si>
  <si>
    <t xml:space="preserve">cf_course_mkt_d</t>
  </si>
  <si>
    <t xml:space="preserve">At this course: the market's view (BSP), career mean less its mean everywhere, shrunk by n / (n + 3) (earlier days)</t>
  </si>
  <si>
    <t xml:space="preserve">cf_hcap_perf_car</t>
  </si>
  <si>
    <t xml:space="preserve">At today's race type (handicap or not): performance figure, career mean (earlier days)</t>
  </si>
  <si>
    <t xml:space="preserve">cf_hcap_perf_m3</t>
  </si>
  <si>
    <t xml:space="preserve">At today's race type (handicap or not): performance figure, mean of the last three (earlier days)</t>
  </si>
  <si>
    <t xml:space="preserve">cf_hcap_perf_d</t>
  </si>
  <si>
    <t xml:space="preserve">At today's race type (handicap or not): performance figure, career mean less its mean everywhere, shrunk by n / (n + 3) (earlier days)</t>
  </si>
  <si>
    <t xml:space="preserve">cf_hcap_nfp_car</t>
  </si>
  <si>
    <t xml:space="preserve">At today's race type (handicap or not): normalised finishing position, career mean (earlier days)</t>
  </si>
  <si>
    <t xml:space="preserve">cf_hcap_nfp_m3</t>
  </si>
  <si>
    <t xml:space="preserve">At today's race type (handicap or not): normalised finishing position, mean of the last three (earlier days)</t>
  </si>
  <si>
    <t xml:space="preserve">cf_hcap_nfp_d</t>
  </si>
  <si>
    <t xml:space="preserve">At today's race type (handicap or not): normalised finishing position, career mean less its mean everywhere, shrunk by n / (n + 3) (earlier days)</t>
  </si>
  <si>
    <t xml:space="preserve">cf_hcap_mkt_car</t>
  </si>
  <si>
    <t xml:space="preserve">At today's race type (handicap or not): the market's view (BSP), career mean (earlier days)</t>
  </si>
  <si>
    <t xml:space="preserve">cf_hcap_mkt_m3</t>
  </si>
  <si>
    <t xml:space="preserve">At today's race type (handicap or not): the market's view (BSP), mean of the last three (earlier days)</t>
  </si>
  <si>
    <t xml:space="preserve">cf_hcap_mkt_d</t>
  </si>
  <si>
    <t xml:space="preserve">At today's race type (handicap or not): the market's view (BSP), career mean less its mean everywhere, shrunk by n / (n + 3) (earlier days)</t>
  </si>
  <si>
    <t xml:space="preserve">cf_gear_perf_car</t>
  </si>
  <si>
    <t xml:space="preserve">At today's headgear status (on or off): performance figure, career mean (earlier days)</t>
  </si>
  <si>
    <t xml:space="preserve">cf_gear_perf_m3</t>
  </si>
  <si>
    <t xml:space="preserve">At today's headgear status (on or off): performance figure, mean of the last three (earlier days)</t>
  </si>
  <si>
    <t xml:space="preserve">cf_gear_perf_d</t>
  </si>
  <si>
    <t xml:space="preserve">At today's headgear status (on or off): performance figure, career mean less its mean everywhere, shrunk by n / (n + 3) (earlier days)</t>
  </si>
  <si>
    <t xml:space="preserve">cf_gear_nfp_car</t>
  </si>
  <si>
    <t xml:space="preserve">At today's headgear status (on or off): normalised finishing position, career mean (earlier days)</t>
  </si>
  <si>
    <t xml:space="preserve">cf_gear_nfp_m3</t>
  </si>
  <si>
    <t xml:space="preserve">At today's headgear status (on or off): normalised finishing position, mean of the last three (earlier days)</t>
  </si>
  <si>
    <t xml:space="preserve">cf_gear_nfp_d</t>
  </si>
  <si>
    <t xml:space="preserve">At today's headgear status (on or off): normalised finishing position, career mean less its mean everywhere, shrunk by n / (n + 3) (earlier days)</t>
  </si>
  <si>
    <t xml:space="preserve">cf_gear_mkt_car</t>
  </si>
  <si>
    <t xml:space="preserve">At today's headgear status (on or off): the market's view (BSP), career mean (earlier days)</t>
  </si>
  <si>
    <t xml:space="preserve">cf_gear_mkt_m3</t>
  </si>
  <si>
    <t xml:space="preserve">At today's headgear status (on or off): the market's view (BSP), mean of the last three (earlier days)</t>
  </si>
  <si>
    <t xml:space="preserve">cf_gear_mkt_d</t>
  </si>
  <si>
    <t xml:space="preserve">At today's headgear status (on or off): the market's view (BSP), career mean less its mean everywhere, shrunk by n / (n + 3) (earlier days)</t>
  </si>
  <si>
    <t xml:space="preserve">fl_l1_n</t>
  </si>
  <si>
    <t xml:space="preserve">Form lines</t>
  </si>
  <si>
    <t xml:space="preserve">How the rivals from its recent races have done since</t>
  </si>
  <si>
    <t xml:space="preserve">Form lines of its last race: rival runs since (each rival's next three, before today)</t>
  </si>
  <si>
    <t xml:space="preserve">model/blocks/form_lines.py</t>
  </si>
  <si>
    <t xml:space="preserve">fl_l1_wins</t>
  </si>
  <si>
    <t xml:space="preserve">Form lines of its last race: rival wins since</t>
  </si>
  <si>
    <t xml:space="preserve">fl_l1_wr</t>
  </si>
  <si>
    <t xml:space="preserve">Form lines of its last race: rivals' win rate since, shrunk to 1 in 10 by five runs</t>
  </si>
  <si>
    <t xml:space="preserve">fl_l1_plc</t>
  </si>
  <si>
    <t xml:space="preserve">Form lines of its last race: rivals' place rate since, shrunk to 3 in 10 by five runs</t>
  </si>
  <si>
    <t xml:space="preserve">fl_l1_ae</t>
  </si>
  <si>
    <t xml:space="preserve">Form lines of its last race: rivals' wins less their BSP chances since, per run, shrunk to 0</t>
  </si>
  <si>
    <t xml:space="preserve">fl_l3_n</t>
  </si>
  <si>
    <t xml:space="preserve">Form lines of its last three races: rival runs since (each rival's next three, before today)</t>
  </si>
  <si>
    <t xml:space="preserve">fl_l3_wins</t>
  </si>
  <si>
    <t xml:space="preserve">Form lines of its last three races: rival wins since</t>
  </si>
  <si>
    <t xml:space="preserve">fl_l3_wr</t>
  </si>
  <si>
    <t xml:space="preserve">Form lines of its last three races: rivals' win rate since, shrunk to 1 in 10 by five runs</t>
  </si>
  <si>
    <t xml:space="preserve">fl_l3_plc</t>
  </si>
  <si>
    <t xml:space="preserve">Form lines of its last three races: rivals' place rate since, shrunk to 3 in 10 by five runs</t>
  </si>
  <si>
    <t xml:space="preserve">fl_l3_ae</t>
  </si>
  <si>
    <t xml:space="preserve">Form lines of its last three races: rivals' wins less their BSP chances since, per run, shrunk to 0</t>
  </si>
  <si>
    <t xml:space="preserve">fa_ahead_n</t>
  </si>
  <si>
    <t xml:space="preserve">Form lines split</t>
  </si>
  <si>
    <t xml:space="preserve">Rivals ahead of it and behind it, and form lines against today's field</t>
  </si>
  <si>
    <t xml:space="preserve">Form lines of its last race, rivals that finished ahead of it: runs since</t>
  </si>
  <si>
    <t xml:space="preserve">model/blocks/form_lines_ab.py</t>
  </si>
  <si>
    <t xml:space="preserve">fa_ahead_wins</t>
  </si>
  <si>
    <t xml:space="preserve">Form lines of its last race, rivals that finished ahead of it: wins since</t>
  </si>
  <si>
    <t xml:space="preserve">fa_ahead_ae</t>
  </si>
  <si>
    <t xml:space="preserve">Form lines of its last race, rivals that finished ahead of it: wins less BSP chances since, per run, shrunk to 0</t>
  </si>
  <si>
    <t xml:space="preserve">fa_behind_n</t>
  </si>
  <si>
    <t xml:space="preserve">Form lines of its last race, rivals that finished behind it (or did not finish): runs since</t>
  </si>
  <si>
    <t xml:space="preserve">fa_behind_wins</t>
  </si>
  <si>
    <t xml:space="preserve">Form lines of its last race, rivals that finished behind it (or did not finish): wins since</t>
  </si>
  <si>
    <t xml:space="preserve">fa_behind_ae</t>
  </si>
  <si>
    <t xml:space="preserve">Form lines of its last race, rivals that finished behind it (or did not finish): wins less BSP chances since, per run, shrunk to 0</t>
  </si>
  <si>
    <t xml:space="preserve">fa_beat_winner</t>
  </si>
  <si>
    <t xml:space="preserve">1 if a rival it beat in its last race has won since, else 0</t>
  </si>
  <si>
    <t xml:space="preserve">fa_l1_ae_z</t>
  </si>
  <si>
    <t xml:space="preserve">Form lines of its last race (wins less chances), z-score against today's field</t>
  </si>
  <si>
    <t xml:space="preserve">fa_l1_ae_gap</t>
  </si>
  <si>
    <t xml:space="preserve">Form lines of its last race (wins less chances), gap to the best in today's field</t>
  </si>
  <si>
    <t xml:space="preserve">fa_l3_ae_z</t>
  </si>
  <si>
    <t xml:space="preserve">Form lines of its last three races (wins less chances), z-score against today's field</t>
  </si>
  <si>
    <t xml:space="preserve">fa_l3_ae_gap</t>
  </si>
  <si>
    <t xml:space="preserve">Form lines of its last three races (wins less chances), gap to the best in today's field</t>
  </si>
  <si>
    <t xml:space="preserve">fa_l1_wr_z</t>
  </si>
  <si>
    <t xml:space="preserve">Form lines of its last race (win rate), z-score against today's field</t>
  </si>
  <si>
    <t xml:space="preserve">fa_l3_wr_z</t>
  </si>
  <si>
    <t xml:space="preserve">Form lines of its last three races (win rate), z-score against today's field</t>
  </si>
  <si>
    <t xml:space="preserve">flc_l1_n</t>
  </si>
  <si>
    <t xml:space="preserve">Form lines by closeness</t>
  </si>
  <si>
    <t xml:space="preserve">Rivals' results since, weighted by how close they finished to it</t>
  </si>
  <si>
    <t xml:space="preserve">Form lines of its last race, each rival weighted by how close it finished (exp(-lengths/3)): rival runs since</t>
  </si>
  <si>
    <t xml:space="preserve">model/blocks/form_lines_close.py</t>
  </si>
  <si>
    <t xml:space="preserve">flc_l1_wins</t>
  </si>
  <si>
    <t xml:space="preserve">Form lines of its last race, each rival weighted by how close it finished (exp(-lengths/3)): rival wins since</t>
  </si>
  <si>
    <t xml:space="preserve">flc_l1_wr</t>
  </si>
  <si>
    <t xml:space="preserve">Form lines of its last race, each rival weighted by how close it finished (exp(-lengths/3)): rivals' win rate since, shrunk to 1 in 10 by five runs</t>
  </si>
  <si>
    <t xml:space="preserve">flc_l1_ae</t>
  </si>
  <si>
    <t xml:space="preserve">Form lines of its last race, each rival weighted by how close it finished (exp(-lengths/3)): rivals' wins less their BSP chances since, per run, shrunk to 0</t>
  </si>
  <si>
    <t xml:space="preserve">flc_l3_n</t>
  </si>
  <si>
    <t xml:space="preserve">Form lines of its last three races, each rival weighted by how close it finished (exp(-lengths/3)): rival runs since</t>
  </si>
  <si>
    <t xml:space="preserve">flc_l3_wins</t>
  </si>
  <si>
    <t xml:space="preserve">Form lines of its last three races, each rival weighted by how close it finished (exp(-lengths/3)): rival wins since</t>
  </si>
  <si>
    <t xml:space="preserve">flc_l3_wr</t>
  </si>
  <si>
    <t xml:space="preserve">Form lines of its last three races, each rival weighted by how close it finished (exp(-lengths/3)): rivals' win rate since, shrunk to 1 in 10 by five runs</t>
  </si>
  <si>
    <t xml:space="preserve">flc_l3_ae</t>
  </si>
  <si>
    <t xml:space="preserve">Form lines of its last three races, each rival weighted by how close it finished (exp(-lengths/3)): rivals' wins less their BSP chances since, per run, shrunk to 0</t>
  </si>
  <si>
    <t xml:space="preserve">cl_rivals</t>
  </si>
  <si>
    <t xml:space="preserve">Collateral form (common opponents)</t>
  </si>
  <si>
    <t xml:space="preserve">Today's runners compared through horses both have met, in pounds</t>
  </si>
  <si>
    <t xml:space="preserve">Today's rivals it is linked to through an opponent both have met (last three runs each)</t>
  </si>
  <si>
    <t xml:space="preserve">model/blocks/collateral.py</t>
  </si>
  <si>
    <t xml:space="preserve">cl_links</t>
  </si>
  <si>
    <t xml:space="preserve">Collateral lines to today's rivals (one per common opponent)</t>
  </si>
  <si>
    <t xml:space="preserve">cl_lbs</t>
  </si>
  <si>
    <t xml:space="preserve">Collateral form: mean implied margin over the linked rivals in pounds, shrunk to 0 by two rivals</t>
  </si>
  <si>
    <t xml:space="preserve">cl_lbs_min</t>
  </si>
  <si>
    <t xml:space="preserve">Collateral form: implied margin against the rival it comes out worst against (lb)</t>
  </si>
  <si>
    <t xml:space="preserve">cl_lbs_max</t>
  </si>
  <si>
    <t xml:space="preserve">Collateral form: implied margin against the rival it comes out best against (lb)</t>
  </si>
  <si>
    <t xml:space="preserve">cl_ahead_share</t>
  </si>
  <si>
    <t xml:space="preserve">Collateral form: share of linked rivals it comes out ahead of, shrunk to one half</t>
  </si>
  <si>
    <t xml:space="preserve">cl_net</t>
  </si>
  <si>
    <t xml:space="preserve">Collateral form: linked rivals it comes out ahead of less those ahead of it</t>
  </si>
  <si>
    <t xml:space="preserve">cw_tr_n</t>
  </si>
  <si>
    <t xml:space="preserve">Connection windows</t>
  </si>
  <si>
    <t xml:space="preserve">The trainer's and jockey's recent runners over a window ladder, and their career NFP ranked in the race</t>
  </si>
  <si>
    <t xml:space="preserve">Connection windows, the trainer's runners before today</t>
  </si>
  <si>
    <t xml:space="preserve">model/blocks/connection_windows.py</t>
  </si>
  <si>
    <t xml:space="preserve">cw_tr_nfp_car</t>
  </si>
  <si>
    <t xml:space="preserve">Connection windows, the trainer's mean NFP of all earlier runners (a non-finisher 0), shrunk to 0.5 by 20 runners</t>
  </si>
  <si>
    <t xml:space="preserve">cw_tr_nfp_l20</t>
  </si>
  <si>
    <t xml:space="preserve">Connection windows, the trainer's mean NFP of the last 20 runners</t>
  </si>
  <si>
    <t xml:space="preserve">cw_tr_nfp_l100</t>
  </si>
  <si>
    <t xml:space="preserve">Connection windows, the trainer's mean NFP of the last 100 runners</t>
  </si>
  <si>
    <t xml:space="preserve">cw_tr_lbs_l100</t>
  </si>
  <si>
    <t xml:space="preserve">Connection windows, the trainer's mean pounds behind the winner of the last 100 runners</t>
  </si>
  <si>
    <t xml:space="preserve">cw_tr_ae_l100</t>
  </si>
  <si>
    <t xml:space="preserve">Connection windows, the trainer's wins less BSP chances of the last 100 runners, per run, shrunk to 0</t>
  </si>
  <si>
    <t xml:space="preserve">cw_tr_nfp_rank</t>
  </si>
  <si>
    <t xml:space="preserve">Connection windows, the trainer's career NFP ranked in today's race (1 = best; trainerNFPrank / jockeyNFPrank)</t>
  </si>
  <si>
    <t xml:space="preserve">cw_jk_n</t>
  </si>
  <si>
    <t xml:space="preserve">Connection windows, the jockey's runners before today</t>
  </si>
  <si>
    <t xml:space="preserve">cw_jk_nfp_car</t>
  </si>
  <si>
    <t xml:space="preserve">Connection windows, the jockey's mean NFP of all earlier runners (a non-finisher 0), shrunk to 0.5 by 20 runners</t>
  </si>
  <si>
    <t xml:space="preserve">cw_jk_nfp_l20</t>
  </si>
  <si>
    <t xml:space="preserve">Connection windows, the jockey's mean NFP of the last 20 runners</t>
  </si>
  <si>
    <t xml:space="preserve">cw_jk_nfp_l100</t>
  </si>
  <si>
    <t xml:space="preserve">Connection windows, the jockey's mean NFP of the last 100 runners</t>
  </si>
  <si>
    <t xml:space="preserve">cw_jk_lbs_l100</t>
  </si>
  <si>
    <t xml:space="preserve">Connection windows, the jockey's mean pounds behind the winner of the last 100 runners</t>
  </si>
  <si>
    <t xml:space="preserve">cw_jk_ae_l100</t>
  </si>
  <si>
    <t xml:space="preserve">Connection windows, the jockey's wins less BSP chances of the last 100 runners, per run, shrunk to 0</t>
  </si>
  <si>
    <t xml:space="preserve">cw_jk_nfp_rank</t>
  </si>
  <si>
    <t xml:space="preserve">Connection windows, the jockey's career NFP ranked in today's race (1 = best; trainerNFPrank / jockeyNFPrank)</t>
  </si>
  <si>
    <t xml:space="preserve">cwr_tr_nfp_l20_z</t>
  </si>
  <si>
    <t xml:space="preserve">Connection windows against the field</t>
  </si>
  <si>
    <t xml:space="preserve">The trainer's and jockey's recent form as within-race z-scores and gaps to the best</t>
  </si>
  <si>
    <t xml:space="preserve">Connection windows against the field, the trainer's last-20 NFP as a z-score within today's race</t>
  </si>
  <si>
    <t xml:space="preserve">model/blocks/connection_relative.py</t>
  </si>
  <si>
    <t xml:space="preserve">cwr_tr_nfp_l20_gap</t>
  </si>
  <si>
    <t xml:space="preserve">Connection windows against the field, the trainer's last-20 NFP less the race's highest</t>
  </si>
  <si>
    <t xml:space="preserve">cwr_tr_nfp_l100_z</t>
  </si>
  <si>
    <t xml:space="preserve">Connection windows against the field, the trainer's last-100 NFP as a z-score within today's race</t>
  </si>
  <si>
    <t xml:space="preserve">cwr_tr_nfp_l100_gap</t>
  </si>
  <si>
    <t xml:space="preserve">Connection windows against the field, the trainer's last-100 NFP less the race's highest</t>
  </si>
  <si>
    <t xml:space="preserve">cwr_tr_nfp_car_z</t>
  </si>
  <si>
    <t xml:space="preserve">Connection windows against the field, the trainer's career NFP (shrunk) as a z-score within today's race</t>
  </si>
  <si>
    <t xml:space="preserve">cwr_tr_nfp_car_gap</t>
  </si>
  <si>
    <t xml:space="preserve">Connection windows against the field, the trainer's career NFP (shrunk) less the race's highest</t>
  </si>
  <si>
    <t xml:space="preserve">cwr_tr_lbs_l100_z</t>
  </si>
  <si>
    <t xml:space="preserve">Connection windows against the field, the trainer's last-100 pounds beaten as a z-score within today's race</t>
  </si>
  <si>
    <t xml:space="preserve">cwr_tr_lbs_l100_gap</t>
  </si>
  <si>
    <t xml:space="preserve">Connection windows against the field, the trainer's last-100 pounds beaten less the race's highest</t>
  </si>
  <si>
    <t xml:space="preserve">cwr_tr_ae_l100_z</t>
  </si>
  <si>
    <t xml:space="preserve">Connection windows against the field, the trainer's last-100 wins less BSP chances as a z-score within today's race</t>
  </si>
  <si>
    <t xml:space="preserve">cwr_tr_ae_l100_gap</t>
  </si>
  <si>
    <t xml:space="preserve">Connection windows against the field, the trainer's last-100 wins less BSP chances less the race's highest</t>
  </si>
  <si>
    <t xml:space="preserve">cwr_jk_nfp_l20_z</t>
  </si>
  <si>
    <t xml:space="preserve">Connection windows against the field, the jockey's last-20 NFP as a z-score within today's race</t>
  </si>
  <si>
    <t xml:space="preserve">cwr_jk_nfp_l20_gap</t>
  </si>
  <si>
    <t xml:space="preserve">Connection windows against the field, the jockey's last-20 NFP less the race's highest</t>
  </si>
  <si>
    <t xml:space="preserve">cwr_jk_nfp_l100_z</t>
  </si>
  <si>
    <t xml:space="preserve">Connection windows against the field, the jockey's last-100 NFP as a z-score within today's race</t>
  </si>
  <si>
    <t xml:space="preserve">cwr_jk_nfp_l100_gap</t>
  </si>
  <si>
    <t xml:space="preserve">Connection windows against the field, the jockey's last-100 NFP less the race's highest</t>
  </si>
  <si>
    <t xml:space="preserve">cwr_jk_nfp_car_z</t>
  </si>
  <si>
    <t xml:space="preserve">Connection windows against the field, the jockey's career NFP (shrunk) as a z-score within today's race</t>
  </si>
  <si>
    <t xml:space="preserve">cwr_jk_nfp_car_gap</t>
  </si>
  <si>
    <t xml:space="preserve">Connection windows against the field, the jockey's career NFP (shrunk) less the race's highest</t>
  </si>
  <si>
    <t xml:space="preserve">cwr_jk_lbs_l100_z</t>
  </si>
  <si>
    <t xml:space="preserve">Connection windows against the field, the jockey's last-100 pounds beaten as a z-score within today's race</t>
  </si>
  <si>
    <t xml:space="preserve">cwr_jk_lbs_l100_gap</t>
  </si>
  <si>
    <t xml:space="preserve">Connection windows against the field, the jockey's last-100 pounds beaten less the race's highest</t>
  </si>
  <si>
    <t xml:space="preserve">cwr_jk_ae_l100_z</t>
  </si>
  <si>
    <t xml:space="preserve">Connection windows against the field, the jockey's last-100 wins less BSP chances as a z-score within today's race</t>
  </si>
  <si>
    <t xml:space="preserve">cwr_jk_ae_l100_gap</t>
  </si>
  <si>
    <t xml:space="preserve">Connection windows against the field, the jockey's last-100 wins less BSP chances less the race's highest</t>
  </si>
  <si>
    <t xml:space="preserve">sw_sr_n</t>
  </si>
  <si>
    <t xml:space="preserve">Sire windows</t>
  </si>
  <si>
    <t xml:space="preserve">The sire's and damsire's progeny over recent windows, and the sire's young runners</t>
  </si>
  <si>
    <t xml:space="preserve">Sire windows, the sire's progeny runs before today</t>
  </si>
  <si>
    <t xml:space="preserve">model/blocks/sire_windows.py</t>
  </si>
  <si>
    <t xml:space="preserve">sw_sr_nfp_car</t>
  </si>
  <si>
    <t xml:space="preserve">Sire windows, the sire's progeny's mean NFP of all runs (a non-finisher 0), shrunk to 0.5 by fifty runs</t>
  </si>
  <si>
    <t xml:space="preserve">sw_sr_nfp_l100</t>
  </si>
  <si>
    <t xml:space="preserve">Sire windows, the sire's progeny's mean NFP over the last 100 runs</t>
  </si>
  <si>
    <t xml:space="preserve">sw_sr_nfp_l500</t>
  </si>
  <si>
    <t xml:space="preserve">Sire windows, the sire's progeny's mean NFP over the last 500 runs</t>
  </si>
  <si>
    <t xml:space="preserve">sw_sr_ae_l300</t>
  </si>
  <si>
    <t xml:space="preserve">Sire windows, the sire's progeny's wins less BSP chances over the last 300 runs, per run, shrunk to 0 by fifty</t>
  </si>
  <si>
    <t xml:space="preserve">sw_ds_n</t>
  </si>
  <si>
    <t xml:space="preserve">Sire windows, the damsire's progeny runs before today</t>
  </si>
  <si>
    <t xml:space="preserve">sw_ds_nfp_car</t>
  </si>
  <si>
    <t xml:space="preserve">Sire windows, the damsire's progeny's mean NFP of all runs (a non-finisher 0), shrunk to 0.5 by fifty runs</t>
  </si>
  <si>
    <t xml:space="preserve">sw_ds_nfp_l100</t>
  </si>
  <si>
    <t xml:space="preserve">Sire windows, the damsire's progeny's mean NFP over the last 100 runs</t>
  </si>
  <si>
    <t xml:space="preserve">sw_ds_nfp_l500</t>
  </si>
  <si>
    <t xml:space="preserve">Sire windows, the damsire's progeny's mean NFP over the last 500 runs</t>
  </si>
  <si>
    <t xml:space="preserve">sw_ds_ae_l300</t>
  </si>
  <si>
    <t xml:space="preserve">Sire windows, the damsire's progeny's wins less BSP chances over the last 300 runs, per run, shrunk to 0 by fifty</t>
  </si>
  <si>
    <t xml:space="preserve">sw_sr_young_nfp</t>
  </si>
  <si>
    <t xml:space="preserve">Sire windows, the sire's two- and three-year-old progeny's NFP over their last 200 runs, shrunk to the sire's own level (for young runners only)</t>
  </si>
  <si>
    <t xml:space="preserve">sw_sr_nfp_rank</t>
  </si>
  <si>
    <t xml:space="preserve">Sire windows, the sire's progeny's last-500 NFP ranked in today's race (1 = best)</t>
  </si>
  <si>
    <t xml:space="preserve">dm_tr_debut_mkt</t>
  </si>
  <si>
    <t xml:space="preserve">The yard's unknowns as the market priced them</t>
  </si>
  <si>
    <t xml:space="preserve">How the market priced the trainer's debutants, second-time-outers and lightly raced runners, the rider's debut rides, and the field's share of debutants</t>
  </si>
  <si>
    <t xml:space="preserve">The yard's unknowns, the trainer's debutants as the market rated them (the run's BSP normalised in its race), decayed and shrunk to all debutants' level</t>
  </si>
  <si>
    <t xml:space="preserve">model/blocks/debut_market.py</t>
  </si>
  <si>
    <t xml:space="preserve">dm_tr_debut_n</t>
  </si>
  <si>
    <t xml:space="preserve">The yard's unknowns, the effective number of the trainer's earlier debutants</t>
  </si>
  <si>
    <t xml:space="preserve">dm_tr_second_mkt</t>
  </si>
  <si>
    <t xml:space="preserve">The yard's unknowns, the trainer's second-time-outers as the market rated them</t>
  </si>
  <si>
    <t xml:space="preserve">dm_tr_early_mkt</t>
  </si>
  <si>
    <t xml:space="preserve">The yard's unknowns, the trainer's third- and fourth-time-outers as the market rated them</t>
  </si>
  <si>
    <t xml:space="preserve">dm_trc_debut_mkt</t>
  </si>
  <si>
    <t xml:space="preserve">The yard's unknowns, the trainer's debutants in today's race code as the market rated them, shrunk to its debutants in all</t>
  </si>
  <si>
    <t xml:space="preserve">dm_jk_debut_mkt</t>
  </si>
  <si>
    <t xml:space="preserve">The yard's unknowns, the rider's debut rides as the market rated them</t>
  </si>
  <si>
    <t xml:space="preserve">dm_stage_mkt</t>
  </si>
  <si>
    <t xml:space="preserve">The yard's unknowns, the reading for the runner's own stage (debut, second run, third or fourth run)</t>
  </si>
  <si>
    <t xml:space="preserve">dm_stage_mkt_z</t>
  </si>
  <si>
    <t xml:space="preserve">The yard's unknowns, the stage reading as a z-score within today's race</t>
  </si>
  <si>
    <t xml:space="preserve">dm_race_debut_share</t>
  </si>
  <si>
    <t xml:space="preserve">The yard's unknowns, the share of today's field making its debut</t>
  </si>
  <si>
    <t xml:space="preserve">dm_race_unexposed_share</t>
  </si>
  <si>
    <t xml:space="preserve">The yard's unknowns, the share of today's field with three runs or fewer</t>
  </si>
  <si>
    <t xml:space="preserve">cg_tr_d14_n</t>
  </si>
  <si>
    <t xml:space="preserve">Connection grains</t>
  </si>
  <si>
    <t xml:space="preserve">The trainer's and jockey's last fortnight, the trainer in today's race code, both at today's course, and the pair together</t>
  </si>
  <si>
    <t xml:space="preserve">Connection grains, the trainer's runners in the 14 days before today</t>
  </si>
  <si>
    <t xml:space="preserve">model/blocks/connection_grains.py</t>
  </si>
  <si>
    <t xml:space="preserve">cg_tr_d14_nfp</t>
  </si>
  <si>
    <t xml:space="preserve">Connection grains, the trainer's mean NFP of the last 14 days' runners, shrunk to its own last-100 NFP by five</t>
  </si>
  <si>
    <t xml:space="preserve">cg_tr_d14_dnfp</t>
  </si>
  <si>
    <t xml:space="preserve">Connection grains, the trainer's last 14 days' NFP (shrunk) less its own last-100 NFP: in or out of form now</t>
  </si>
  <si>
    <t xml:space="preserve">cg_tr_d14_ae</t>
  </si>
  <si>
    <t xml:space="preserve">Connection grains, the trainer's wins less BSP chances of the last 14 days' runners, per run, shrunk to 0 by five</t>
  </si>
  <si>
    <t xml:space="preserve">cg_jk_d14_n</t>
  </si>
  <si>
    <t xml:space="preserve">Connection grains, the jockey's runners in the 14 days before today</t>
  </si>
  <si>
    <t xml:space="preserve">cg_jk_d14_nfp</t>
  </si>
  <si>
    <t xml:space="preserve">Connection grains, the jockey's mean NFP of the last 14 days' runners, shrunk to its own last-100 NFP by five</t>
  </si>
  <si>
    <t xml:space="preserve">cg_jk_d14_dnfp</t>
  </si>
  <si>
    <t xml:space="preserve">Connection grains, the jockey's last 14 days' NFP (shrunk) less its own last-100 NFP: in or out of form now</t>
  </si>
  <si>
    <t xml:space="preserve">cg_jk_d14_ae</t>
  </si>
  <si>
    <t xml:space="preserve">Connection grains, the jockey's wins less BSP chances of the last 14 days' runners, per run, shrunk to 0 by five</t>
  </si>
  <si>
    <t xml:space="preserve">cg_tr_code_n</t>
  </si>
  <si>
    <t xml:space="preserve">Connection grains, the trainer's runners in today's race code (flat, all-weather, hurdle, chase, bumper)</t>
  </si>
  <si>
    <t xml:space="preserve">cg_tr_code_nfp</t>
  </si>
  <si>
    <t xml:space="preserve">Connection grains, the trainer's mean NFP of its last 50 runners in today's race code, shrunk to its last-100 NFP by ten</t>
  </si>
  <si>
    <t xml:space="preserve">cg_tr_code_dnfp</t>
  </si>
  <si>
    <t xml:space="preserve">Connection grains, the trainer's race-code NFP (shrunk) less its own last-100 NFP</t>
  </si>
  <si>
    <t xml:space="preserve">cg_tr_trk_n</t>
  </si>
  <si>
    <t xml:space="preserve">Connection grains, the trainer's runners at today's course</t>
  </si>
  <si>
    <t xml:space="preserve">cg_tr_trk_nfp</t>
  </si>
  <si>
    <t xml:space="preserve">Connection grains, the trainer's mean NFP of its last 20 runners at today's course, shrunk to its last-100 NFP by five</t>
  </si>
  <si>
    <t xml:space="preserve">cg_jk_trk_n</t>
  </si>
  <si>
    <t xml:space="preserve">Connection grains, the jockey's runners at today's course</t>
  </si>
  <si>
    <t xml:space="preserve">cg_jk_trk_nfp</t>
  </si>
  <si>
    <t xml:space="preserve">Connection grains, the jockey's mean NFP of its last 20 runners at today's course, shrunk to its last-100 NFP by five</t>
  </si>
  <si>
    <t xml:space="preserve">cg_tj_n</t>
  </si>
  <si>
    <t xml:space="preserve">Connection grains, the trainer and jockey together: runners</t>
  </si>
  <si>
    <t xml:space="preserve">cg_tj_nfp</t>
  </si>
  <si>
    <t xml:space="preserve">Connection grains, the trainer and jockey together: mean NFP of their last 20 runners, shrunk to the trainer's last-100 NFP by five</t>
  </si>
  <si>
    <t xml:space="preserve">cg_tj_ae</t>
  </si>
  <si>
    <t xml:space="preserve">Connection grains, the trainer and jockey together: wins less BSP chances of their last 20 runners, shrunk to 0 by five</t>
  </si>
  <si>
    <t xml:space="preserve">fu_l1_perf</t>
  </si>
  <si>
    <t xml:space="preserve">Form uplift</t>
  </si>
  <si>
    <t xml:space="preserve">What the rivals from its recent races have run since, in figures, marks and prices, against what they ran there</t>
  </si>
  <si>
    <t xml:space="preserve">Form uplift of its last race: rivals' performance figures since less theirs in the race (lb), per run, shrunk to 0</t>
  </si>
  <si>
    <t xml:space="preserve">model/blocks/form_uplift.py</t>
  </si>
  <si>
    <t xml:space="preserve">fu_l1_or</t>
  </si>
  <si>
    <t xml:space="preserve">Form uplift of its last race: rivals' official ratings since less theirs that day (the handicapper's reassessment), per run, shrunk to 0</t>
  </si>
  <si>
    <t xml:space="preserve">fu_l1_mkt</t>
  </si>
  <si>
    <t xml:space="preserve">Form uplift of its last race: the market's view of the rivals since less its view there, per run, shrunk to 0</t>
  </si>
  <si>
    <t xml:space="preserve">fu_l1_nres</t>
  </si>
  <si>
    <t xml:space="preserve">Form uplift of its last race: rivals' finishing positions since against the market's order, per run, shrunk to 0</t>
  </si>
  <si>
    <t xml:space="preserve">fu_l3_perf</t>
  </si>
  <si>
    <t xml:space="preserve">Form uplift of its last three races: rivals' performance figures since less theirs in the race (lb), per run, shrunk to 0</t>
  </si>
  <si>
    <t xml:space="preserve">fu_l3_or</t>
  </si>
  <si>
    <t xml:space="preserve">Form uplift of its last three races: rivals' official ratings since less theirs that day (the handicapper's reassessment), per run, shrunk to 0</t>
  </si>
  <si>
    <t xml:space="preserve">fu_l3_mkt</t>
  </si>
  <si>
    <t xml:space="preserve">Form uplift of its last three races: the market's view of the rivals since less its view there, per run, shrunk to 0</t>
  </si>
  <si>
    <t xml:space="preserve">fu_l3_nres</t>
  </si>
  <si>
    <t xml:space="preserve">Form uplift of its last three races: rivals' finishing positions since against the market's order, per run, shrunk to 0</t>
  </si>
  <si>
    <t xml:space="preserve">fu_l1_adj_vs_or</t>
  </si>
  <si>
    <t xml:space="preserve">Its performance figure in its last race, revised by the rivals' figures since, less today's official rating</t>
  </si>
  <si>
    <t xml:space="preserve">ff_l1_n1_n</t>
  </si>
  <si>
    <t xml:space="preserve">Future form</t>
  </si>
  <si>
    <t xml:space="preserve">How the rivals from its last race, last three and last five ran in their next 1, 2, 3 and 5 runs: wins, wins against the price, finishing positions and figures</t>
  </si>
  <si>
    <t xml:space="preserve">ff l1 n1 n</t>
  </si>
  <si>
    <t xml:space="preserve">model/blocks/future_form.py</t>
  </si>
  <si>
    <t xml:space="preserve">ff_l1_n1_wr</t>
  </si>
  <si>
    <t xml:space="preserve">ff l1 n1 wr</t>
  </si>
  <si>
    <t xml:space="preserve">ff_l1_n1_ae</t>
  </si>
  <si>
    <t xml:space="preserve">ff l1 n1 ae</t>
  </si>
  <si>
    <t xml:space="preserve">ff_l1_n1_nfp</t>
  </si>
  <si>
    <t xml:space="preserve">ff l1 n1 nfp</t>
  </si>
  <si>
    <t xml:space="preserve">ff_l1_n1_perf</t>
  </si>
  <si>
    <t xml:space="preserve">ff l1 n1 perf</t>
  </si>
  <si>
    <t xml:space="preserve">ff_l1_n2_n</t>
  </si>
  <si>
    <t xml:space="preserve">ff l1 n2 n</t>
  </si>
  <si>
    <t xml:space="preserve">ff_l1_n2_wr</t>
  </si>
  <si>
    <t xml:space="preserve">ff l1 n2 wr</t>
  </si>
  <si>
    <t xml:space="preserve">ff_l1_n2_ae</t>
  </si>
  <si>
    <t xml:space="preserve">ff l1 n2 ae</t>
  </si>
  <si>
    <t xml:space="preserve">ff_l1_n2_nfp</t>
  </si>
  <si>
    <t xml:space="preserve">ff l1 n2 nfp</t>
  </si>
  <si>
    <t xml:space="preserve">ff_l1_n2_perf</t>
  </si>
  <si>
    <t xml:space="preserve">ff l1 n2 perf</t>
  </si>
  <si>
    <t xml:space="preserve">ff_l1_n3_n</t>
  </si>
  <si>
    <t xml:space="preserve">ff l1 n3 n</t>
  </si>
  <si>
    <t xml:space="preserve">ff_l1_n3_wr</t>
  </si>
  <si>
    <t xml:space="preserve">ff l1 n3 wr</t>
  </si>
  <si>
    <t xml:space="preserve">ff_l1_n3_ae</t>
  </si>
  <si>
    <t xml:space="preserve">ff l1 n3 ae</t>
  </si>
  <si>
    <t xml:space="preserve">ff_l1_n3_nfp</t>
  </si>
  <si>
    <t xml:space="preserve">ff l1 n3 nfp</t>
  </si>
  <si>
    <t xml:space="preserve">ff_l1_n3_perf</t>
  </si>
  <si>
    <t xml:space="preserve">ff l1 n3 perf</t>
  </si>
  <si>
    <t xml:space="preserve">ff_l1_n5_n</t>
  </si>
  <si>
    <t xml:space="preserve">ff l1 n5 n</t>
  </si>
  <si>
    <t xml:space="preserve">ff_l1_n5_wr</t>
  </si>
  <si>
    <t xml:space="preserve">ff l1 n5 wr</t>
  </si>
  <si>
    <t xml:space="preserve">ff_l1_n5_ae</t>
  </si>
  <si>
    <t xml:space="preserve">ff l1 n5 ae</t>
  </si>
  <si>
    <t xml:space="preserve">ff_l1_n5_nfp</t>
  </si>
  <si>
    <t xml:space="preserve">ff l1 n5 nfp</t>
  </si>
  <si>
    <t xml:space="preserve">ff_l1_n5_perf</t>
  </si>
  <si>
    <t xml:space="preserve">ff l1 n5 perf</t>
  </si>
  <si>
    <t xml:space="preserve">ff_l3_n1_n</t>
  </si>
  <si>
    <t xml:space="preserve">ff l3 n1 n</t>
  </si>
  <si>
    <t xml:space="preserve">ff_l3_n1_wr</t>
  </si>
  <si>
    <t xml:space="preserve">ff l3 n1 wr</t>
  </si>
  <si>
    <t xml:space="preserve">ff_l3_n1_ae</t>
  </si>
  <si>
    <t xml:space="preserve">ff l3 n1 ae</t>
  </si>
  <si>
    <t xml:space="preserve">ff_l3_n1_nfp</t>
  </si>
  <si>
    <t xml:space="preserve">ff l3 n1 nfp</t>
  </si>
  <si>
    <t xml:space="preserve">ff_l3_n1_perf</t>
  </si>
  <si>
    <t xml:space="preserve">ff l3 n1 perf</t>
  </si>
  <si>
    <t xml:space="preserve">ff_l3_n2_n</t>
  </si>
  <si>
    <t xml:space="preserve">ff l3 n2 n</t>
  </si>
  <si>
    <t xml:space="preserve">ff_l3_n2_wr</t>
  </si>
  <si>
    <t xml:space="preserve">ff l3 n2 wr</t>
  </si>
  <si>
    <t xml:space="preserve">ff_l3_n2_ae</t>
  </si>
  <si>
    <t xml:space="preserve">ff l3 n2 ae</t>
  </si>
  <si>
    <t xml:space="preserve">ff_l3_n2_nfp</t>
  </si>
  <si>
    <t xml:space="preserve">ff l3 n2 nfp</t>
  </si>
  <si>
    <t xml:space="preserve">ff_l3_n2_perf</t>
  </si>
  <si>
    <t xml:space="preserve">ff l3 n2 perf</t>
  </si>
  <si>
    <t xml:space="preserve">ff_l3_n3_n</t>
  </si>
  <si>
    <t xml:space="preserve">ff l3 n3 n</t>
  </si>
  <si>
    <t xml:space="preserve">ff_l3_n3_wr</t>
  </si>
  <si>
    <t xml:space="preserve">ff l3 n3 wr</t>
  </si>
  <si>
    <t xml:space="preserve">ff_l3_n3_ae</t>
  </si>
  <si>
    <t xml:space="preserve">ff l3 n3 ae</t>
  </si>
  <si>
    <t xml:space="preserve">ff_l3_n3_nfp</t>
  </si>
  <si>
    <t xml:space="preserve">ff l3 n3 nfp</t>
  </si>
  <si>
    <t xml:space="preserve">ff_l3_n3_perf</t>
  </si>
  <si>
    <t xml:space="preserve">ff l3 n3 perf</t>
  </si>
  <si>
    <t xml:space="preserve">ff_l3_n5_n</t>
  </si>
  <si>
    <t xml:space="preserve">ff l3 n5 n</t>
  </si>
  <si>
    <t xml:space="preserve">ff_l3_n5_wr</t>
  </si>
  <si>
    <t xml:space="preserve">ff l3 n5 wr</t>
  </si>
  <si>
    <t xml:space="preserve">ff_l3_n5_ae</t>
  </si>
  <si>
    <t xml:space="preserve">ff l3 n5 ae</t>
  </si>
  <si>
    <t xml:space="preserve">ff_l3_n5_nfp</t>
  </si>
  <si>
    <t xml:space="preserve">ff l3 n5 nfp</t>
  </si>
  <si>
    <t xml:space="preserve">ff_l3_n5_perf</t>
  </si>
  <si>
    <t xml:space="preserve">ff l3 n5 perf</t>
  </si>
  <si>
    <t xml:space="preserve">ff_l5_n1_n</t>
  </si>
  <si>
    <t xml:space="preserve">ff l5 n1 n</t>
  </si>
  <si>
    <t xml:space="preserve">ff_l5_n1_wr</t>
  </si>
  <si>
    <t xml:space="preserve">ff l5 n1 wr</t>
  </si>
  <si>
    <t xml:space="preserve">ff_l5_n1_ae</t>
  </si>
  <si>
    <t xml:space="preserve">ff l5 n1 ae</t>
  </si>
  <si>
    <t xml:space="preserve">ff_l5_n1_nfp</t>
  </si>
  <si>
    <t xml:space="preserve">ff l5 n1 nfp</t>
  </si>
  <si>
    <t xml:space="preserve">ff_l5_n1_perf</t>
  </si>
  <si>
    <t xml:space="preserve">ff l5 n1 perf</t>
  </si>
  <si>
    <t xml:space="preserve">ff_l5_n2_n</t>
  </si>
  <si>
    <t xml:space="preserve">ff l5 n2 n</t>
  </si>
  <si>
    <t xml:space="preserve">ff_l5_n2_wr</t>
  </si>
  <si>
    <t xml:space="preserve">ff l5 n2 wr</t>
  </si>
  <si>
    <t xml:space="preserve">ff_l5_n2_ae</t>
  </si>
  <si>
    <t xml:space="preserve">ff l5 n2 ae</t>
  </si>
  <si>
    <t xml:space="preserve">ff_l5_n2_nfp</t>
  </si>
  <si>
    <t xml:space="preserve">ff l5 n2 nfp</t>
  </si>
  <si>
    <t xml:space="preserve">ff_l5_n2_perf</t>
  </si>
  <si>
    <t xml:space="preserve">ff l5 n2 perf</t>
  </si>
  <si>
    <t xml:space="preserve">ff_l5_n3_n</t>
  </si>
  <si>
    <t xml:space="preserve">ff l5 n3 n</t>
  </si>
  <si>
    <t xml:space="preserve">ff_l5_n3_wr</t>
  </si>
  <si>
    <t xml:space="preserve">ff l5 n3 wr</t>
  </si>
  <si>
    <t xml:space="preserve">ff_l5_n3_ae</t>
  </si>
  <si>
    <t xml:space="preserve">ff l5 n3 ae</t>
  </si>
  <si>
    <t xml:space="preserve">ff_l5_n3_nfp</t>
  </si>
  <si>
    <t xml:space="preserve">ff l5 n3 nfp</t>
  </si>
  <si>
    <t xml:space="preserve">ff_l5_n3_perf</t>
  </si>
  <si>
    <t xml:space="preserve">ff l5 n3 perf</t>
  </si>
  <si>
    <t xml:space="preserve">ff_l5_n5_n</t>
  </si>
  <si>
    <t xml:space="preserve">ff l5 n5 n</t>
  </si>
  <si>
    <t xml:space="preserve">ff_l5_n5_wr</t>
  </si>
  <si>
    <t xml:space="preserve">ff l5 n5 wr</t>
  </si>
  <si>
    <t xml:space="preserve">ff_l5_n5_ae</t>
  </si>
  <si>
    <t xml:space="preserve">ff l5 n5 ae</t>
  </si>
  <si>
    <t xml:space="preserve">ff_l5_n5_nfp</t>
  </si>
  <si>
    <t xml:space="preserve">ff l5 n5 nfp</t>
  </si>
  <si>
    <t xml:space="preserve">ff_l5_n5_perf</t>
  </si>
  <si>
    <t xml:space="preserve">ff l5 n5 perf</t>
  </si>
  <si>
    <t xml:space="preserve">ff_l1_n1_adj</t>
  </si>
  <si>
    <t xml:space="preserve">ff l1 n1 adj</t>
  </si>
  <si>
    <t xml:space="preserve">ff_l1_n2_adj</t>
  </si>
  <si>
    <t xml:space="preserve">ff l1 n2 adj</t>
  </si>
  <si>
    <t xml:space="preserve">ff_l1_n3_adj</t>
  </si>
  <si>
    <t xml:space="preserve">ff l1 n3 adj</t>
  </si>
  <si>
    <t xml:space="preserve">ff_l1_n5_adj</t>
  </si>
  <si>
    <t xml:space="preserve">ff l1 n5 adj</t>
  </si>
  <si>
    <t xml:space="preserve">rn_tf_best5_z</t>
  </si>
  <si>
    <t xml:space="preserve">Within-race readings (newer blocks)</t>
  </si>
  <si>
    <t xml:space="preserve">Time figure, exposure and three-run windows against this field</t>
  </si>
  <si>
    <t xml:space="preserve">Within-race reading (newer blocks), z-score against today's field: tf best5</t>
  </si>
  <si>
    <t xml:space="preserve">model/blocks/race_relative_new.py</t>
  </si>
  <si>
    <t xml:space="preserve">rn_tf_best5_gap</t>
  </si>
  <si>
    <t xml:space="preserve">Within-race reading (newer blocks), gap to the best in today's field: tf best5</t>
  </si>
  <si>
    <t xml:space="preserve">rn_tf_w5_z</t>
  </si>
  <si>
    <t xml:space="preserve">Within-race reading (newer blocks), z-score against today's field: tf w5</t>
  </si>
  <si>
    <t xml:space="preserve">rn_tf_w5_gap</t>
  </si>
  <si>
    <t xml:space="preserve">Within-race reading (newer blocks), gap to the best in today's field: tf w5</t>
  </si>
  <si>
    <t xml:space="preserve">rn_tf_l1_z</t>
  </si>
  <si>
    <t xml:space="preserve">Within-race reading (newer blocks), z-score against today's field: tf l1</t>
  </si>
  <si>
    <t xml:space="preserve">rn_tf_l1_gap</t>
  </si>
  <si>
    <t xml:space="preserve">Within-race reading (newer blocks), gap to the best in today's field: tf l1</t>
  </si>
  <si>
    <t xml:space="preserve">rn_tf_best_z</t>
  </si>
  <si>
    <t xml:space="preserve">Within-race reading (newer blocks), z-score against today's field: tf best</t>
  </si>
  <si>
    <t xml:space="preserve">rn_tf_best_gap</t>
  </si>
  <si>
    <t xml:space="preserve">Within-race reading (newer blocks), gap to the best in today's field: tf best</t>
  </si>
  <si>
    <t xml:space="preserve">rn_ex_perf_best3_z</t>
  </si>
  <si>
    <t xml:space="preserve">Within-race reading (newer blocks), z-score against today's field: ex perf best3</t>
  </si>
  <si>
    <t xml:space="preserve">rn_ex_perf_best3_gap</t>
  </si>
  <si>
    <t xml:space="preserve">Within-race reading (newer blocks), gap to the best in today's field: ex perf best3</t>
  </si>
  <si>
    <t xml:space="preserve">rn_ex_headroom_w5_z</t>
  </si>
  <si>
    <t xml:space="preserve">Within-race reading (newer blocks), z-score against today's field: ex headroom w5</t>
  </si>
  <si>
    <t xml:space="preserve">rn_ex_headroom_w5_gap</t>
  </si>
  <si>
    <t xml:space="preserve">Within-race reading (newer blocks), gap to the best in today's field: ex headroom w5</t>
  </si>
  <si>
    <t xml:space="preserve">rn_fw_mkt_w3_z</t>
  </si>
  <si>
    <t xml:space="preserve">Within-race reading (newer blocks), z-score against today's field: the market's view, log(N x BSP chance): last 3 runs weighted 3-2-1 by recency (earlier days only)</t>
  </si>
  <si>
    <t xml:space="preserve">rn_fw_mkt_w3_gap</t>
  </si>
  <si>
    <t xml:space="preserve">Within-race reading (newer blocks), gap to the best in today's field: the market's view, log(N x BSP chance): last 3 runs weighted 3-2-1 by recency (earlier days only)</t>
  </si>
  <si>
    <t xml:space="preserve">rn_fw_lbsc_w3_z</t>
  </si>
  <si>
    <t xml:space="preserve">Within-race reading (newer blocks), z-score against today's field: pounds better than the race's average runner: last 3 runs weighted 3-2-1 by recency (earlier days only)</t>
  </si>
  <si>
    <t xml:space="preserve">rn_fw_lbsc_w3_gap</t>
  </si>
  <si>
    <t xml:space="preserve">Within-race reading (newer blocks), gap to the best in today's field: pounds better than the race's average runner: last 3 runs weighted 3-2-1 by recency (earlier days only)</t>
  </si>
  <si>
    <t xml:space="preserve">rn_fw_perf_w3_z</t>
  </si>
  <si>
    <t xml:space="preserve">Within-race reading (newer blocks), z-score against today's field: rating-scale performance figure (lbs): last 3 runs weighted 3-2-1 by recency (earlier days only)</t>
  </si>
  <si>
    <t xml:space="preserve">rn_fw_perf_w3_gap</t>
  </si>
  <si>
    <t xml:space="preserve">Within-race reading (newer blocks), gap to the best in today's field: rating-scale performance figure (lbs): last 3 runs weighted 3-2-1 by recency (earlier days only)</t>
  </si>
  <si>
    <t xml:space="preserve">rn_fw_nres_w3_z</t>
  </si>
  <si>
    <t xml:space="preserve">Within-race reading (newer blocks), z-score against today's field: finishing position against the market's order: last 3 runs weighted 3-2-1 by recency (earlier days only)</t>
  </si>
  <si>
    <t xml:space="preserve">rn_fw_nres_w3_gap</t>
  </si>
  <si>
    <t xml:space="preserve">Within-race reading (newer blocks), gap to the best in today's field: finishing position against the market's order: last 3 runs weighted 3-2-1 by recency (earlier days only)</t>
  </si>
  <si>
    <t xml:space="preserve">rn_fw_lbs_w3_z</t>
  </si>
  <si>
    <t xml:space="preserve">Within-race reading (newer blocks), z-score against today's field: pounds beaten at the trip (capped 20): last 3 runs weighted 3-2-1 by recency (earlier days only)</t>
  </si>
  <si>
    <t xml:space="preserve">rn_fw_lbs_w3_gap</t>
  </si>
  <si>
    <t xml:space="preserve">Within-race reading (newer blocks), gap to the best in today's field: pounds beaten at the trip (capped 20): last 3 runs weighted 3-2-1 by recency (earlier days only)</t>
  </si>
  <si>
    <t xml:space="preserve">pdm_sire_debut_mkt</t>
  </si>
  <si>
    <t xml:space="preserve">The pedigree as the market priced it</t>
  </si>
  <si>
    <t xml:space="preserve">How the market has priced the sire's debutants and young runners, the damsire's grandchildren on debut and the dam's other foals</t>
  </si>
  <si>
    <t xml:space="preserve">pdm sire debut mkt</t>
  </si>
  <si>
    <t xml:space="preserve">model/blocks/pedigree_market.py</t>
  </si>
  <si>
    <t xml:space="preserve">pdm_sire_debut_n</t>
  </si>
  <si>
    <t xml:space="preserve">pdm sire debut n</t>
  </si>
  <si>
    <t xml:space="preserve">pdm_sire_young_mkt</t>
  </si>
  <si>
    <t xml:space="preserve">pdm sire young mkt</t>
  </si>
  <si>
    <t xml:space="preserve">pdm_sire_mkt</t>
  </si>
  <si>
    <t xml:space="preserve">pdm sire mkt</t>
  </si>
  <si>
    <t xml:space="preserve">pdm_damsire_debut_mkt</t>
  </si>
  <si>
    <t xml:space="preserve">pdm damsire debut mkt</t>
  </si>
  <si>
    <t xml:space="preserve">pdm_dam_mkt</t>
  </si>
  <si>
    <t xml:space="preserve">pdm dam mkt</t>
  </si>
  <si>
    <t xml:space="preserve">pdm_dam_n</t>
  </si>
  <si>
    <t xml:space="preserve">pdm dam n</t>
  </si>
  <si>
    <t xml:space="preserve">pdm_stage_mkt</t>
  </si>
  <si>
    <t xml:space="preserve">pdm stage mkt</t>
  </si>
  <si>
    <t xml:space="preserve">pdm_stage_mkt_z</t>
  </si>
  <si>
    <t xml:space="preserve">pdm stage mkt z</t>
  </si>
  <si>
    <t xml:space="preserve">cb_pw_runs</t>
  </si>
  <si>
    <t xml:space="preserve">Whole careers</t>
  </si>
  <si>
    <t xml:space="preserve">Each horse's runs before 2021, which the matrix does not hold, added to its runs since: whole-career record, the last three runs across the cut, the peak rating by sphere</t>
  </si>
  <si>
    <t xml:space="preserve">cb pw runs</t>
  </si>
  <si>
    <t xml:space="preserve">model/blocks/career_before.py</t>
  </si>
  <si>
    <t xml:space="preserve">cb_pw_share</t>
  </si>
  <si>
    <t xml:space="preserve">cb pw share</t>
  </si>
  <si>
    <t xml:space="preserve">cb_years_since_first</t>
  </si>
  <si>
    <t xml:space="preserve">cb years since first</t>
  </si>
  <si>
    <t xml:space="preserve">cb_car_win</t>
  </si>
  <si>
    <t xml:space="preserve">cb car win</t>
  </si>
  <si>
    <t xml:space="preserve">cb_car_plc</t>
  </si>
  <si>
    <t xml:space="preserve">cb car plc</t>
  </si>
  <si>
    <t xml:space="preserve">cb_car_nfp</t>
  </si>
  <si>
    <t xml:space="preserve">cb car nfp</t>
  </si>
  <si>
    <t xml:space="preserve">cb_car_mkt</t>
  </si>
  <si>
    <t xml:space="preserve">cb car mkt</t>
  </si>
  <si>
    <t xml:space="preserve">cb_car_ae</t>
  </si>
  <si>
    <t xml:space="preserve">cb car ae</t>
  </si>
  <si>
    <t xml:space="preserve">cb_nfp_m3</t>
  </si>
  <si>
    <t xml:space="preserve">cb nfp m3</t>
  </si>
  <si>
    <t xml:space="preserve">cb_mkt_m3</t>
  </si>
  <si>
    <t xml:space="preserve">cb mkt m3</t>
  </si>
  <si>
    <t xml:space="preserve">cb_jumps_share</t>
  </si>
  <si>
    <t xml:space="preserve">cb jumps share</t>
  </si>
  <si>
    <t xml:space="preserve">cb_or_peak</t>
  </si>
  <si>
    <t xml:space="preserve">cb or peak</t>
  </si>
  <si>
    <t xml:space="preserve">cb_or_vs_peak</t>
  </si>
  <si>
    <t xml:space="preserve">cb or vs peak</t>
  </si>
  <si>
    <t xml:space="preserve">cb_flat_or_peak</t>
  </si>
  <si>
    <t xml:space="preserve">cb flat or peak</t>
  </si>
  <si>
    <t xml:space="preserve">kr_rating</t>
  </si>
  <si>
    <t xml:space="preserve">Kalman rating</t>
  </si>
  <si>
    <t xml:space="preserve">Ability as a drifting state read from the performance figures, with its uncertainty, against today's mark and field</t>
  </si>
  <si>
    <t xml:space="preserve">kr rating</t>
  </si>
  <si>
    <t xml:space="preserve">model/blocks/kalman.py</t>
  </si>
  <si>
    <t xml:space="preserve">kr_sd</t>
  </si>
  <si>
    <t xml:space="preserve">kr sd</t>
  </si>
  <si>
    <t xml:space="preserve">kr_n</t>
  </si>
  <si>
    <t xml:space="preserve">kr n</t>
  </si>
  <si>
    <t xml:space="preserve">kr_vs_or</t>
  </si>
  <si>
    <t xml:space="preserve">kr vs or</t>
  </si>
  <si>
    <t xml:space="preserve">kr_z</t>
  </si>
  <si>
    <t xml:space="preserve">kr z</t>
  </si>
  <si>
    <t xml:space="preserve">kr_rank</t>
  </si>
  <si>
    <t xml:space="preserve">Within-race rank of kr_ (1 = highest in the field)</t>
  </si>
  <si>
    <t xml:space="preserve">kr_vs_max</t>
  </si>
  <si>
    <t xml:space="preserve">kr vs max</t>
  </si>
  <si>
    <t xml:space="preserve">hca_wt_vs_mark</t>
  </si>
  <si>
    <t xml:space="preserve">Handicap angles</t>
  </si>
  <si>
    <t xml:space="preserve">Weight against the mark, well in under a penalty, the mark against its winning marks</t>
  </si>
  <si>
    <t xml:space="preserve">hca wt vs mark</t>
  </si>
  <si>
    <t xml:space="preserve">model/blocks/handicap_angles.py</t>
  </si>
  <si>
    <t xml:space="preserve">hca_lr_won</t>
  </si>
  <si>
    <t xml:space="preserve">hca lr won</t>
  </si>
  <si>
    <t xml:space="preserve">hca_lr_win_margin_lbs</t>
  </si>
  <si>
    <t xml:space="preserve">hca lr win margin lbs</t>
  </si>
  <si>
    <t xml:space="preserve">hca_days_since_lr</t>
  </si>
  <si>
    <t xml:space="preserve">hca days since lr</t>
  </si>
  <si>
    <t xml:space="preserve">hca_lr_handicap</t>
  </si>
  <si>
    <t xml:space="preserve">hca lr handicap</t>
  </si>
  <si>
    <t xml:space="preserve">hca_mark_unchanged_after_win</t>
  </si>
  <si>
    <t xml:space="preserve">hca mark unchanged after win</t>
  </si>
  <si>
    <t xml:space="preserve">hca_penalty_edge_lbs</t>
  </si>
  <si>
    <t xml:space="preserve">hca penalty edge lbs</t>
  </si>
  <si>
    <t xml:space="preserve">hca_mark_vs_last_win</t>
  </si>
  <si>
    <t xml:space="preserve">hca mark vs last win</t>
  </si>
  <si>
    <t xml:space="preserve">hca_wins_off_higher_mark</t>
  </si>
  <si>
    <t xml:space="preserve">hca wins off higher mark</t>
  </si>
  <si>
    <t xml:space="preserve">tv_km</t>
  </si>
  <si>
    <t xml:space="preserve">Travel</t>
  </si>
  <si>
    <t xml:space="preserve">How far the yard has sent the horse against how far it usually sends them, raids across the Irish Sea, the yard's use of the course</t>
  </si>
  <si>
    <t xml:space="preserve">tv km</t>
  </si>
  <si>
    <t xml:space="preserve">model/blocks/travel.py</t>
  </si>
  <si>
    <t xml:space="preserve">tv_usual</t>
  </si>
  <si>
    <t xml:space="preserve">tv usual</t>
  </si>
  <si>
    <t xml:space="preserve">tv_km_vs_usual</t>
  </si>
  <si>
    <t xml:space="preserve">tv km vs usual</t>
  </si>
  <si>
    <t xml:space="preserve">tv_km_ratio</t>
  </si>
  <si>
    <t xml:space="preserve">tv km ratio</t>
  </si>
  <si>
    <t xml:space="preserve">tv_raid</t>
  </si>
  <si>
    <t xml:space="preserve">tv raid</t>
  </si>
  <si>
    <t xml:space="preserve">tv_track_share</t>
  </si>
  <si>
    <t xml:space="preserve">tv track share</t>
  </si>
  <si>
    <t xml:space="preserve">tv_n_meeting</t>
  </si>
  <si>
    <t xml:space="preserve">tv n meeting</t>
  </si>
  <si>
    <t xml:space="preserve">tv_km_single</t>
  </si>
  <si>
    <t xml:space="preserve">tv km single</t>
  </si>
  <si>
    <t xml:space="preserve">tv_horse_km</t>
  </si>
  <si>
    <t xml:space="preserve">tv horse km</t>
  </si>
  <si>
    <t xml:space="preserve">d2_nfp</t>
  </si>
  <si>
    <t xml:space="preserve">Draw v2</t>
  </si>
  <si>
    <t xml:space="preserve">Draw by course, trip, going and stall placement</t>
  </si>
  <si>
    <t xml:space="preserve">d2 nfp</t>
  </si>
  <si>
    <t xml:space="preserve">model/blocks/draw_v2.py</t>
  </si>
  <si>
    <t xml:space="preserve">d2_nfp_rel</t>
  </si>
  <si>
    <t xml:space="preserve">d2 nfp rel</t>
  </si>
  <si>
    <t xml:space="preserve">d2_nfp_going</t>
  </si>
  <si>
    <t xml:space="preserve">d2 nfp going</t>
  </si>
  <si>
    <t xml:space="preserve">d2_nfp_stalls</t>
  </si>
  <si>
    <t xml:space="preserve">d2 nfp stalls</t>
  </si>
  <si>
    <t xml:space="preserve">d2_lbs</t>
  </si>
  <si>
    <t xml:space="preserve">d2 lbs</t>
  </si>
  <si>
    <t xml:space="preserve">d2_lbs_rel</t>
  </si>
  <si>
    <t xml:space="preserve">d2 lbs rel</t>
  </si>
  <si>
    <t xml:space="preserve">d2_lbs_going</t>
  </si>
  <si>
    <t xml:space="preserve">d2 lbs going</t>
  </si>
  <si>
    <t xml:space="preserve">d2_lbs_stalls</t>
  </si>
  <si>
    <t xml:space="preserve">d2 lbs stalls</t>
  </si>
  <si>
    <t xml:space="preserve">d2_ae</t>
  </si>
  <si>
    <t xml:space="preserve">d2 ae</t>
  </si>
  <si>
    <t xml:space="preserve">d2_ae_rel</t>
  </si>
  <si>
    <t xml:space="preserve">d2 ae rel</t>
  </si>
  <si>
    <t xml:space="preserve">d2_ae_going</t>
  </si>
  <si>
    <t xml:space="preserve">d2 ae going</t>
  </si>
  <si>
    <t xml:space="preserve">d2_ae_stalls</t>
  </si>
  <si>
    <t xml:space="preserve">d2 ae stalls</t>
  </si>
  <si>
    <t xml:space="preserve">d2_n_going</t>
  </si>
  <si>
    <t xml:space="preserve">d2 n going</t>
  </si>
  <si>
    <t xml:space="preserve">d2_n_stalls</t>
  </si>
  <si>
    <t xml:space="preserve">d2 n stalls</t>
  </si>
  <si>
    <t xml:space="preserve">p2_epf_l1</t>
  </si>
  <si>
    <t xml:space="preserve">Pace v2</t>
  </si>
  <si>
    <t xml:space="preserve">Early position and race shape from sharper projections</t>
  </si>
  <si>
    <t xml:space="preserve">p2 epf l1</t>
  </si>
  <si>
    <t xml:space="preserve">model/blocks/pace_v2.py</t>
  </si>
  <si>
    <t xml:space="preserve">p2_epf_m3</t>
  </si>
  <si>
    <t xml:space="preserve">p2 epf m3</t>
  </si>
  <si>
    <t xml:space="preserve">p2_epf_m5</t>
  </si>
  <si>
    <t xml:space="preserve">p2 epf m5</t>
  </si>
  <si>
    <t xml:space="preserve">p2_epf_w5</t>
  </si>
  <si>
    <t xml:space="preserve">p2 epf w5</t>
  </si>
  <si>
    <t xml:space="preserve">p2_epf_e3</t>
  </si>
  <si>
    <t xml:space="preserve">p2 epf e3</t>
  </si>
  <si>
    <t xml:space="preserve">p2_epf_car</t>
  </si>
  <si>
    <t xml:space="preserve">p2 epf car</t>
  </si>
  <si>
    <t xml:space="preserve">p2_epf_trend</t>
  </si>
  <si>
    <t xml:space="preserve">p2 epf trend</t>
  </si>
  <si>
    <t xml:space="preserve">p2_horse_track</t>
  </si>
  <si>
    <t xml:space="preserve">p2 horse track</t>
  </si>
  <si>
    <t xml:space="preserve">p2_horse_td</t>
  </si>
  <si>
    <t xml:space="preserve">p2 horse td</t>
  </si>
  <si>
    <t xml:space="preserve">p2_trainer_track</t>
  </si>
  <si>
    <t xml:space="preserve">p2 trainer track</t>
  </si>
  <si>
    <t xml:space="preserve">p2_trainer_td</t>
  </si>
  <si>
    <t xml:space="preserve">p2 trainer td</t>
  </si>
  <si>
    <t xml:space="preserve">p2_jockey_track</t>
  </si>
  <si>
    <t xml:space="preserve">p2 jockey track</t>
  </si>
  <si>
    <t xml:space="preserve">p2_jockey_td</t>
  </si>
  <si>
    <t xml:space="preserve">p2 jockey td</t>
  </si>
  <si>
    <t xml:space="preserve">p2_pred</t>
  </si>
  <si>
    <t xml:space="preserve">p2 pred</t>
  </si>
  <si>
    <t xml:space="preserve">p2_pred_rank</t>
  </si>
  <si>
    <t xml:space="preserve">Within-race rank of p2_pred_ (1 = highest in the field)</t>
  </si>
  <si>
    <t xml:space="preserve">p2_rivals_ahead</t>
  </si>
  <si>
    <t xml:space="preserve">p2 rivals ahead</t>
  </si>
  <si>
    <t xml:space="preserve">p2_race_front</t>
  </si>
  <si>
    <t xml:space="preserve">p2 race front</t>
  </si>
  <si>
    <t xml:space="preserve">p2_race_gap</t>
  </si>
  <si>
    <t xml:space="preserve">p2 race gap</t>
  </si>
  <si>
    <t xml:space="preserve">p2_race_n_forward</t>
  </si>
  <si>
    <t xml:space="preserve">p2 race n forward</t>
  </si>
  <si>
    <t xml:space="preserve">p2_race_heat</t>
  </si>
  <si>
    <t xml:space="preserve">p2 race heat</t>
  </si>
  <si>
    <t xml:space="preserve">p2_contested_lead</t>
  </si>
  <si>
    <t xml:space="preserve">p2 contested lead</t>
  </si>
  <si>
    <t xml:space="preserve">p2_closer_setup</t>
  </si>
  <si>
    <t xml:space="preserve">p2 closer setup</t>
  </si>
  <si>
    <t xml:space="preserve">p2_ae_front_td</t>
  </si>
  <si>
    <t xml:space="preserve">p2 ae front td</t>
  </si>
  <si>
    <t xml:space="preserve">p2_ae_rear_td</t>
  </si>
  <si>
    <t xml:space="preserve">p2 ae rear td</t>
  </si>
  <si>
    <t xml:space="preserve">sf_adj_car</t>
  </si>
  <si>
    <t xml:space="preserve">Shape form (shape/draw remodel)</t>
  </si>
  <si>
    <t xml:space="preserve">Past runs read against pace and draw; speed drawn near; market misses</t>
  </si>
  <si>
    <t xml:space="preserve">Form net of the pace and draw each run met (lbs better than the average runner less the credit): career mean</t>
  </si>
  <si>
    <t xml:space="preserve">model/shape_form.py</t>
  </si>
  <si>
    <t xml:space="preserve">sf_adj_l1</t>
  </si>
  <si>
    <t xml:space="preserve">Form net of the pace and draw each run met (lbs better than the average runner less the credit): last run</t>
  </si>
  <si>
    <t xml:space="preserve">sf_adj_m3</t>
  </si>
  <si>
    <t xml:space="preserve">Form net of the pace and draw each run met (lbs better than the average runner less the credit): mean of the last 3 runs</t>
  </si>
  <si>
    <t xml:space="preserve">sf_adj_m5</t>
  </si>
  <si>
    <t xml:space="preserve">Form net of the pace and draw each run met (lbs better than the average runner less the credit): mean of the last 5 runs</t>
  </si>
  <si>
    <t xml:space="preserve">sf_adj_w3</t>
  </si>
  <si>
    <t xml:space="preserve">Form net of the pace and draw each run met (lbs better than the average runner less the credit): last 3 runs weighted 3-2-1 by recency</t>
  </si>
  <si>
    <t xml:space="preserve">sf_adj_w5</t>
  </si>
  <si>
    <t xml:space="preserve">Form net of the pace and draw each run met (lbs better than the average runner less the credit): last 5 runs weighted 5..1 by recency</t>
  </si>
  <si>
    <t xml:space="preserve">sf_adj_w10</t>
  </si>
  <si>
    <t xml:space="preserve">Form net of the pace and draw each run met (lbs better than the average runner less the credit): last 10 runs weighted 10..1 by recency</t>
  </si>
  <si>
    <t xml:space="preserve">sf_bias_car</t>
  </si>
  <si>
    <t xml:space="preserve">Credit the pace and draw handed each run (+ = helped, lbs): career mean</t>
  </si>
  <si>
    <t xml:space="preserve">sf_bias_l1</t>
  </si>
  <si>
    <t xml:space="preserve">Credit the pace and draw handed each run (+ = helped, lbs): last run</t>
  </si>
  <si>
    <t xml:space="preserve">sf_bias_m3</t>
  </si>
  <si>
    <t xml:space="preserve">Credit the pace and draw handed each run (+ = helped, lbs): mean of the last 3 runs</t>
  </si>
  <si>
    <t xml:space="preserve">sf_bias_m5</t>
  </si>
  <si>
    <t xml:space="preserve">Credit the pace and draw handed each run (+ = helped, lbs): mean of the last 5 runs</t>
  </si>
  <si>
    <t xml:space="preserve">sf_bias_w3</t>
  </si>
  <si>
    <t xml:space="preserve">Credit the pace and draw handed each run (+ = helped, lbs): last 3 runs weighted 3-2-1 by recency</t>
  </si>
  <si>
    <t xml:space="preserve">sf_bias_w5</t>
  </si>
  <si>
    <t xml:space="preserve">Credit the pace and draw handed each run (+ = helped, lbs): last 5 runs weighted 5..1 by recency</t>
  </si>
  <si>
    <t xml:space="preserve">sf_bias_w10</t>
  </si>
  <si>
    <t xml:space="preserve">Credit the pace and draw handed each run (+ = helped, lbs): last 10 runs weighted 10..1 by recency</t>
  </si>
  <si>
    <t xml:space="preserve">sf_speed_inside</t>
  </si>
  <si>
    <t xml:space="preserve">Expected leaders (sum of p_lead) drawn in lower stalls</t>
  </si>
  <si>
    <t xml:space="preserve">sf_speed_outside</t>
  </si>
  <si>
    <t xml:space="preserve">Expected leaders drawn in higher stalls</t>
  </si>
  <si>
    <t xml:space="preserve">sf_speed_near</t>
  </si>
  <si>
    <t xml:space="preserve">Expected leaders within two stalls either side</t>
  </si>
  <si>
    <t xml:space="preserve">sf_draw_ae</t>
  </si>
  <si>
    <t xml:space="preserve">Market's miss (won - BSP chance) for runners drawn in this cell, earlier days</t>
  </si>
  <si>
    <t xml:space="preserve">sf_pos_ae</t>
  </si>
  <si>
    <t xml:space="preserve">Market's miss for runners projected to race where this one is, in this projected shape</t>
  </si>
  <si>
    <t xml:space="preserve">p_lead</t>
  </si>
  <si>
    <t xml:space="preserve">Shape and draw (old)</t>
  </si>
  <si>
    <t xml:space="preserve">Run style, race shape, position value, draw curves</t>
  </si>
  <si>
    <t xml:space="preserve">Chance of leading (projected style)</t>
  </si>
  <si>
    <t xml:space="preserve">model/race_shape.py, model/draw_curve.py</t>
  </si>
  <si>
    <t xml:space="preserve">p_prom</t>
  </si>
  <si>
    <t xml:space="preserve">Chance of racing prominently</t>
  </si>
  <si>
    <t xml:space="preserve">p_mid</t>
  </si>
  <si>
    <t xml:space="preserve">Chance of racing mid-division</t>
  </si>
  <si>
    <t xml:space="preserve">p_rear</t>
  </si>
  <si>
    <t xml:space="preserve">Chance of racing in rear</t>
  </si>
  <si>
    <t xml:space="preserve">pred_epf</t>
  </si>
  <si>
    <t xml:space="preserve">Projected early position (0 led .. 1 last)</t>
  </si>
  <si>
    <t xml:space="preserve">style_n_eff</t>
  </si>
  <si>
    <t xml:space="preserve">Runs behind the style projection</t>
  </si>
  <si>
    <t xml:space="preserve">shape_exp_leaders</t>
  </si>
  <si>
    <t xml:space="preserve">Expected number of leaders in the race</t>
  </si>
  <si>
    <t xml:space="preserve">shape_p_no_leader</t>
  </si>
  <si>
    <t xml:space="preserve">Chance nobody takes the lead</t>
  </si>
  <si>
    <t xml:space="preserve">shape_p_contested</t>
  </si>
  <si>
    <t xml:space="preserve">Chance the lead is contested</t>
  </si>
  <si>
    <t xml:space="preserve">shape_front_share</t>
  </si>
  <si>
    <t xml:space="preserve">Share of the field expected on the pace</t>
  </si>
  <si>
    <t xml:space="preserve">shape_lead1</t>
  </si>
  <si>
    <t xml:space="preserve">Largest chance of leading in the race</t>
  </si>
  <si>
    <t xml:space="preserve">shape_lead2</t>
  </si>
  <si>
    <t xml:space="preserve">Second largest chance of leading</t>
  </si>
  <si>
    <t xml:space="preserve">shape_lead_clarity</t>
  </si>
  <si>
    <t xml:space="preserve">How clear the likely leader is</t>
  </si>
  <si>
    <t xml:space="preserve">shape_mean_epf</t>
  </si>
  <si>
    <t xml:space="preserve">Field's mean projected early position</t>
  </si>
  <si>
    <t xml:space="preserve">shape_bin</t>
  </si>
  <si>
    <t xml:space="preserve">Race shape: 0 no natural leader, 1 one, 2 contested</t>
  </si>
  <si>
    <t xml:space="preserve">lead_share</t>
  </si>
  <si>
    <t xml:space="preserve">Share of the field's claims on the lead</t>
  </si>
  <si>
    <t xml:space="preserve">lead_rank</t>
  </si>
  <si>
    <t xml:space="preserve">Rank of the chance of leading</t>
  </si>
  <si>
    <t xml:space="preserve">rel_epf</t>
  </si>
  <si>
    <t xml:space="preserve">Projected early position less the field's mean</t>
  </si>
  <si>
    <t xml:space="preserve">pv_exp_nfp</t>
  </si>
  <si>
    <t xml:space="preserve">Value of the projected position in this shape here (NFP)</t>
  </si>
  <si>
    <t xml:space="preserve">pv_exp_lbs</t>
  </si>
  <si>
    <t xml:space="preserve">Value of the projected position in this shape here (lbs)</t>
  </si>
  <si>
    <t xml:space="preserve">pv_act_nfp</t>
  </si>
  <si>
    <t xml:space="preserve">Chance-weighted value of each actual position here (NFP)</t>
  </si>
  <si>
    <t xml:space="preserve">pv_act_lbs</t>
  </si>
  <si>
    <t xml:space="preserve">Chance-weighted value of each actual position here (lbs)</t>
  </si>
  <si>
    <t xml:space="preserve">pv_front_bias_lbs</t>
  </si>
  <si>
    <t xml:space="preserve">Lead less rear value in this shape here (lbs)</t>
  </si>
  <si>
    <t xml:space="preserve">pv_n_eff</t>
  </si>
  <si>
    <t xml:space="preserve">Runners behind the position value</t>
  </si>
  <si>
    <t xml:space="preserve">dc_draw_pct</t>
  </si>
  <si>
    <t xml:space="preserve">Stall position, 0 lowest .. 1 highest</t>
  </si>
  <si>
    <t xml:space="preserve">dc_edge_nfp</t>
  </si>
  <si>
    <t xml:space="preserve">Draw curve: the stall's worth in NFP here</t>
  </si>
  <si>
    <t xml:space="preserve">dc_edge_lbs</t>
  </si>
  <si>
    <t xml:space="preserve">Draw curve: the stall's worth in pounds</t>
  </si>
  <si>
    <t xml:space="preserve">dc_edge_rel_lbs</t>
  </si>
  <si>
    <t xml:space="preserve">Stall's worth less the race's mean</t>
  </si>
  <si>
    <t xml:space="preserve">dc_race_spread_lbs</t>
  </si>
  <si>
    <t xml:space="preserve">Best less worst stall in the race (lbs)</t>
  </si>
  <si>
    <t xml:space="preserve">dc_n_eff</t>
  </si>
  <si>
    <t xml:space="preserve">Runners behind the draw curve</t>
  </si>
  <si>
    <t xml:space="preserve">dc_edge_style_lbs</t>
  </si>
  <si>
    <t xml:space="preserve">Stall's worth for the projected style (lbs)</t>
  </si>
  <si>
    <t xml:space="preserve">dc_edge_style_rel_lbs</t>
  </si>
  <si>
    <t xml:space="preserve">The same less the race's mean</t>
  </si>
  <si>
    <t xml:space="preserve">it_gelded</t>
  </si>
  <si>
    <t xml:space="preserve">Intent (card-unsafe)</t>
  </si>
  <si>
    <t xml:space="preserve">What the 06:00 card cannot know</t>
  </si>
  <si>
    <t xml:space="preserve">Gelded since the last run (not knowable at 06:00)</t>
  </si>
  <si>
    <t xml:space="preserve">No</t>
  </si>
  <si>
    <t xml:space="preserve">it_ae_gelded</t>
  </si>
  <si>
    <t xml:space="preserve">Trainer's A-E with first run after gelding (not knowable at 06:00)</t>
  </si>
  <si>
    <t xml:space="preserve">it_jockey_upgrade</t>
  </si>
  <si>
    <t xml:space="preserve">Jockey as ridden stronger than usual (the 06:00 card has the booking)</t>
  </si>
  <si>
    <t xml:space="preserve">it_claim_change</t>
  </si>
  <si>
    <t xml:space="preserve">Claim as ridden changed (the 06:00 card has the booking)</t>
  </si>
  <si>
    <t xml:space="preserve">Features</t>
  </si>
  <si>
    <t xml:space="preserve">Evidence</t>
  </si>
  <si>
    <t xml:space="preserve">The 19 proprietary metrics and their ranks (the original model). Within-race ranks carry about 40% of gain; rPMW3 alone about 14%.</t>
  </si>
  <si>
    <t xml:space="preserve">Iteration 29: -0.0073 on the 535 (rank 1 -0.0092), Brier skill vs market +0.0022 (resolved), early-price rule +6.01% -&gt; +6.50%; iteration 32 (with shape form, 6000 rounds): -0.0128, Brier skill +0.0032 (resolved); leak probe clean. Served from 26 Sep (the 615).</t>
  </si>
  <si>
    <t xml:space="preserve">Today's card as fetched at 06:00 (card fill: model/card_enrich.py, parity checked).</t>
  </si>
  <si>
    <t xml:space="preserve">Draw bias cells and stall position (track_draw_bias is blank on every row: open defect).</t>
  </si>
  <si>
    <t xml:space="preserve">Iteration 26: -0.0049, Brier skill vs market +0.0010 (resolved); leak probe clean. Served from 25 Sep.</t>
  </si>
  <si>
    <t xml:space="preserve">Iteration 24: price-forecast error -0.0052 on the 501; iteration 28 (with freshness, as served): -0.0085, Brier skill vs market +0.0013. Served from 25 Sep.</t>
  </si>
  <si>
    <t xml:space="preserve">Benter/Woods/Ziemba-style additions to the engine (served since the first retrain).</t>
  </si>
  <si>
    <t xml:space="preserve">RSI, MACD, z-score, Sharpe, drawdown of finishing-position series.</t>
  </si>
  <si>
    <t xml:space="preserve">Style and pace from in-running comments (rebuilt parser, 23 Sep).</t>
  </si>
  <si>
    <t xml:space="preserve">Iteration 34: -0.0021 (-0.0037 to -0.0006) beyond the form windows, rank 1 -0.0046. Iteration 54 (steadier screen, on the 853): -0.0022 (-0.0036 to -0.0008), five times the placebo. Iteration 56 (served recipe, on the 853): -0.0025 (-0.0034 to -0.0018); iteration 59: -0.0013 beyond form lines. In the 944 candidate.</t>
  </si>
  <si>
    <t xml:space="preserve">Iteration 35: -0.0074 (-0.0092 to -0.0057), every rank band resolved (Lessmann, Sung and Johnson 2009, eq. 14). Iteration 36 (served recipe, 6000 rounds): -0.0078 beyond the 615. Trained and verified as the 675 (train-bfsp run 33); not served.</t>
  </si>
  <si>
    <t xml:space="preserve">Iteration 37: -0.0012 alone (unresolved); with the time figure and exposure -0.0038 (resolved), -0.0056 at another seed (iteration 39), -0.0063 on the 615 + within-race readings (iteration 41). Iteration 42 (served recipe, 6000 rounds): -0.0045 with the time figure and exposure, -0.0053 with collateral form as well.</t>
  </si>
  <si>
    <t xml:space="preserve">Iteration 37: -0.0005 alone, ranks 1-3 better and outsiders worse; Brier skill vs market +0.0021 and concordance +0.0035 (both resolved). Part of iteration 37's -0.0038.</t>
  </si>
  <si>
    <t xml:space="preserve">Iteration 37: -0.0003 alone; part of iteration 37's -0.0038 with the time figure and wide readings.</t>
  </si>
  <si>
    <t xml:space="preserve">Iteration 41: -0.0019 alone and -0.0020 on top of all3 (all3 + collateral form -0.0083 on the 615 + within-race readings), Brier skill vs market +0.0036, beyond the seed floor. Iteration 42 (served recipe): all3 + collateral form -0.0053 (-0.0064 to -0.0041). Trained and verified as the 853 (train-bfsp run 34), dry-run clean on a real card.</t>
  </si>
  <si>
    <t xml:space="preserve">Iteration 38: -0.00002 on the price. Iteration 54 (steadier screen): -0.0013 (-0.0028 to +0.0001): marginal.</t>
  </si>
  <si>
    <t xml:space="preserve">Iteration 41: -0.0000; iteration 54 (steadier screen): +0.0006, with the four originals withheld: the trees had worked round the defect. Hygiene for the next engine rebuild.</t>
  </si>
  <si>
    <t xml:space="preserve">Quick recipe: -0.0027, -0.0028, -0.0038 on three feature sets. Iteration 51 (steadier screen, on the 853): -0.0044 (-0.0060 to -0.0029), concordance +0.0029, the placebo -0.0004. Iteration 48 (served recipe, on the 853): -0.0041 (-0.0051 to -0.0032), early-price rule +7.83% -&gt; +8.09%. Trained and verified as the 859 (train-bfsp run 35), dry-run clean.</t>
  </si>
  <si>
    <t xml:space="preserve">Iteration 45 (quick): +0.0019, inside the quick recipe's placebo bar; iteration 52 (steadier screen): -0.0001 (-0.0014 to +0.0011). Nothing the market and the pace features do not read. Retired.</t>
  </si>
  <si>
    <t xml:space="preserve">Iteration 47 (quick): +0.0018, inside the placebo bar; iteration 52 (steadier screen): -0.0007 (-0.0020 to +0.0007). Retired; iteration 48 also carries it with bookings on the served recipe.</t>
  </si>
  <si>
    <t xml:space="preserve">Iteration 49 (quick): +0.0008; iteration 52 (steadier screen): -0.0001, -0.0002 in maiden, novice and bumper races. Retired.</t>
  </si>
  <si>
    <t xml:space="preserve">Iteration 49 (quick): +0.0002, -0.0032 in maiden, novice and bumper races; iteration 52 (steadier screen): -0.0006 overall, -0.0001 in those races: the split was the reshuffle. Retired.</t>
  </si>
  <si>
    <t xml:space="preserve">Iteration 55 (steadier screen): +0.0001 (-0.0013 to +0.0014), -0.0015 in maiden, novice and bumper races: official ratings and the form blocks already carry it. Retired.</t>
  </si>
  <si>
    <t xml:space="preserve">Iteration 57 (steadier screen, on the 853): -0.0002 (-0.0017 to +0.0013), unresolved: the horse's form in today's conditions adds nothing the engine's aptitude features lack. Retired.</t>
  </si>
  <si>
    <t xml:space="preserve">Iteration 58 (steadier screen, on the 853): -0.0029 (-0.0044 to -0.0016), Brier skill vs market +0.0018 and concordance +0.0026 (both resolved), early-price rule +6.35% -&gt; +7.41%. Iteration 59 (served recipe, on the 859): -0.0038 (-0.0047 to -0.0028), Brier skill +0.0017 (resolved), rule +8.09% -&gt; +8.81%; with form variants -0.0051, rule +8.94%. In the 944 candidate.</t>
  </si>
  <si>
    <t xml:space="preserve">Iteration 60 (steadier screen): -0.0007 (-0.0020 to +0.0007) beyond form lines, Brier skill and concordance worse (resolved): the split and the field readings add nothing. Retired.</t>
  </si>
  <si>
    <t xml:space="preserve">Iteration 65 (steadier screen, on the 853): -0.0021 alone; beside form lines -0.0012 (-0.0027 to +0.0002), Brier skill -0.0010: nothing the pooled form lines lack. Retired.</t>
  </si>
  <si>
    <t xml:space="preserve">Iteration 66 (steadier screen, on the 853, which reads the direct meetings): -0.0013 alone (ranks 1-3 resolved); beside form lines -0.0015 (-0.0028 to -0.0000), rank 1 -0.0027. Iteration 68, on the 944 beside connection windows: -0.0036 against -0.0040 without it, the rule +9.19% against +9.60%: nothing beyond connection windows. Not carried.</t>
  </si>
  <si>
    <t xml:space="preserve">Iteration 67 (steadier screen, on the 853): -0.0062 (-0.0079 to -0.0048) alone; beside form lines -0.0060 (-0.0076 to -0.0046) more than form lines alone, every rank band resolved, the early-price rule +8.47% against +7.41%. Iteration 68, on the 944 at the served recipe: -0.0040 (-0.0050 to -0.0032), every rank band and both halves of the window resolved, the rule +9.60% against +8.41%. In the next model (the 958). Builds the specification's trainerNFPrank and jockeyNFPrank (RB = NFP in this data).</t>
  </si>
  <si>
    <t xml:space="preserve">Iteration 71 (steadier screen, on the 853): beside form lines and connection windows +0.0003 (-0.0011 to +0.0018), unresolved, the early-price rule +7.96% against +8.47%. Retired.</t>
  </si>
  <si>
    <t xml:space="preserve">Iteration 73 (steadier screen, on the 853): beside form lines and connection windows +0.0017 (+0.0003 to +0.0033), resolved worse, the outsiders +0.0074: the third pedigree reading to fail. Retired.</t>
  </si>
  <si>
    <t xml:space="preserve">Iteration 75 (screen): -0.0011, unresolved; maiden, novice and bumper races -0.0048. Iteration 80 (served recipe, Huber): -0.0032 beside the 958h, those races -0.0067. Iteration 81 (served recipe, squared error): -0.0018 (-0.0028 to -0.0008) beside the 958, concordance resolved better. In the 968 (train-bfsp run 41: verify PASS, parity clean, every feature identical on the 06:00 card), the 968s (run 44: the 968's features at learning rate 0.02, 10,000 rounds) the 968s5 (run 47: the same with leaves of 500, 10,500 rounds; -0.0082 against the 958) and the 968s5xh, the single-booster recommendation (run 50: with extra trees under the Huber loss, 12,000 rounds; 0.4001 on the development window, -0.0109 against the 958; verify PASS, dry run clean on 27 Sep's card), and both members of the pair that comes next (runs 50 and 51, 0.3981).</t>
  </si>
  <si>
    <t xml:space="preserve">Iteration 69 (steadier screen, on the 853): -0.0056 (-0.0072 to -0.0041) alone, but beside form lines and connection windows -0.0008 (-0.0021 to +0.0005), unresolved, the early-price rule +7.84% against +8.47%: what it reads, connection windows already carry. Retired.</t>
  </si>
  <si>
    <t xml:space="preserve">Iteration 62 (steadier screen, on the 853): -0.0046 alone, Brier skill flat; beside form lines -0.0020 on the price but Brier skill vs market -0.0025 (resolved worse). Iteration 64: without the market's revised view of the rivals it adds -0.0003 beyond form lines. Retired.</t>
  </si>
  <si>
    <t xml:space="preserve">Built 27 Sep at the owner's ask (the last 1, 3 and 5 races back, each rival's next 1, 2, 3 and 5 runs forward). Parity clean at 06:00 (research query run 36301993859). Cell by cell against the best fit's miss: -0.0013 jointly, most in the rivals' later finishing positions from the last five races; deeper windows add nothing. Iteration 90: served recipe -0.0018 and -0.0006 against two refits of the 968; slow recipe with leaves of 500 -0.0003 (-0.0011 to +0.0004) on the 968s5, the rule +10.34% against +10.03%, the top pick traded out lower; without form lines concordance resolved worse. Not carried: the fitted model already holds what it knows. As a third member beside the pair at leaves of 500: -0.0006.</t>
  </si>
  <si>
    <t xml:space="preserve">Iteration 44: +0.0007 (-0.0009 to +0.0022), the outsiders worse: the trees already read these measures against the field. Retired.</t>
  </si>
  <si>
    <t xml:space="preserve">Built 26 Sep beside the debut market block: the engine reads the pedigree only by results. Iteration 84 (the 968 + the block, two seeds each, served recipe): the averages -0.0006 (-0.0012 to -0.0000), maiden/novice/bumper races -0.0012 unresolved; the early-price rule lower in every reading (+9.26% against +9.66%). Retired.</t>
  </si>
  <si>
    <t xml:space="preserve">Built 26 Sep from a table of every horse's runs before 2021 (114,078 horses, 1.31m runs): 74% of 2021's runs, 47% of 2022's and 8% of the development window's have such a record. Iteration 83 (the 958 + the block, served recipe): against four refits of the 958 -0.0008 to +0.0002; on the 4,330 runners with a pre-2021 record +0.0010. Retired.</t>
  </si>
  <si>
    <t xml:space="preserve">Built 27 Sep from model/state_space.py, strictly from earlier days; parity clean at 06:00. Screened against the pair's errors: -3.89 x 10^-4 jointly, but iteration 96 fitted it with the handicap angles on the 968s5xh at -0.0002 (Brier skill resolved worse); beside travel about -0.0005, within the refit noise.</t>
  </si>
  <si>
    <t xml:space="preserve">Built 27 Sep from model/handicap_features.py, last runs on earlier days only; parity clean. Screened -2.31 x 10^-4; fitted with the Kalman rating on the 968s5xh: -0.0002 (iteration 96), nothing alone.</t>
  </si>
  <si>
    <t xml:space="preserve">Built 27 Sep with coordinates for the 86 British and Irish courses; parity clean at 06:00. The screen read it weakly (-1.45 x 10^-4, unresolved; maidens, novices and bumpers -4.08, Irish courses -5.28), but iteration 96 fitted it on the 968s5xh at -0.0012 (-0.0018 to -0.0005), maidens, novices and bumpers -0.0025; with the Kalman rating and handicap angles -0.0017 (-0.0024 to -0.0011), Brier skill and concordance level, the rule unchanged; beside the within-race partner the pair 0.3970 against 0.3981. Iteration 97 fits the partner with it.</t>
  </si>
  <si>
    <t xml:space="preserve">Iteration 35: -0.0004; iteration 54 (steadier screen): -0.0009 (-0.0023 to +0.0003): nothing.</t>
  </si>
  <si>
    <t xml:space="preserve">Iteration 35: +0.0009; iteration 54 (steadier screen): -0.0007 (-0.0021 to +0.0005): nothing.</t>
  </si>
  <si>
    <t xml:space="preserve">Iteration 30: -0.0051 on the 535, Brier skill vs market +0.0018 (resolved); iteration 34: -0.0001 on top of the form windows, which carry what it found. Not served.</t>
  </si>
  <si>
    <t xml:space="preserve">Iterations 18 and 25: no gain to the price forecast (-0.0000), a little concordance lost. Built by the engine, not served; the inputs shape form reads.</t>
  </si>
  <si>
    <t xml:space="preserve">The 06:00 card cannot know these (a gelding since the last run; the jockey or claim as ridden). The post-race guard refuses them as inputs.</t>
  </si>
  <si>
    <t xml:space="preserve">Total</t>
  </si>
  <si>
    <t xml:space="preserve">Research blocks (opt-in, never served)</t>
  </si>
  <si>
    <t xml:space="preserve">Performance figures (lbs)</t>
  </si>
  <si>
    <t xml:space="preserve">Research only (opt-in)</t>
  </si>
  <si>
    <t xml:space="preserve">model/perf_figures.py</t>
  </si>
  <si>
    <t xml:space="preserve">iter8: nothing beyond BSP against the result</t>
  </si>
  <si>
    <t xml:space="preserve">model/state_space.py</t>
  </si>
  <si>
    <t xml:space="preserve">iter8: nothing beyond BSP</t>
  </si>
  <si>
    <t xml:space="preserve">model/handicap_features.py</t>
  </si>
  <si>
    <t xml:space="preserve">A-E vs the market by entity</t>
  </si>
  <si>
    <t xml:space="preserve">model/ae_features.py</t>
  </si>
  <si>
    <t xml:space="preserve">iter11: -0.43 mnats, no persistent mispricing</t>
  </si>
  <si>
    <t xml:space="preserve">The race's other markets</t>
  </si>
  <si>
    <t xml:space="preserve">model/market_block.py</t>
  </si>
  <si>
    <t xml:space="preserve">iter5: -0.26 mnats</t>
  </si>
  <si>
    <t xml:space="preserve">In-day (earlier races today)</t>
  </si>
  <si>
    <t xml:space="preserve">model/inday_features.py</t>
  </si>
  <si>
    <t xml:space="preserve">iter12-16; rejected on the locked holdout</t>
  </si>
  <si>
    <t xml:space="preserve">Betfair price-file features</t>
  </si>
  <si>
    <t xml:space="preserve">model/market_features.py</t>
  </si>
  <si>
    <t xml:space="preserve">not scored as a block; data from Jan 2026</t>
  </si>
  <si>
    <t xml:space="preserve">Timeform feed</t>
  </si>
  <si>
    <t xml:space="preserve">model/blandford_features.py</t>
  </si>
  <si>
    <t xml:space="preserve">same-day fields banned (leak); lagged not a candidate</t>
  </si>
  <si>
    <t xml:space="preserve">Odds metrics</t>
  </si>
  <si>
    <t xml:space="preserve">model/odds_metrics.py</t>
  </si>
  <si>
    <t xml:space="preserve">not scored: uses the race's own BSP (leaks)</t>
  </si>
  <si>
    <t xml:space="preserve">ABM race simulator</t>
  </si>
  <si>
    <t xml:space="preserve">model/abm/</t>
  </si>
  <si>
    <t xml:space="preserve">not run at scale</t>
  </si>
  <si>
    <t xml:space="preserve">ID</t>
  </si>
  <si>
    <t xml:space="preserve">Feature or idea</t>
  </si>
  <si>
    <t xml:space="preserve">Category</t>
  </si>
  <si>
    <t xml:space="preserve">What it would measure</t>
  </si>
  <si>
    <t xml:space="preserve">Data</t>
  </si>
  <si>
    <t xml:space="preserve">Status / notes</t>
  </si>
  <si>
    <t xml:space="preserve">Priority</t>
  </si>
  <si>
    <t xml:space="preserve">B2</t>
  </si>
  <si>
    <t xml:space="preserve">Field-size-adjusted lengths beaten (lagged)</t>
  </si>
  <si>
    <t xml:space="preserve">Form</t>
  </si>
  <si>
    <t xml:space="preserve">Lengths beaten scaled by field size, over past runs</t>
  </si>
  <si>
    <t xml:space="preserve">Available</t>
  </si>
  <si>
    <t xml:space="preserve">The unlagged version leaked the result and was removed. fw_lbs / fw_lbsc now cover pounds beaten.</t>
  </si>
  <si>
    <t xml:space="preserve">B3</t>
  </si>
  <si>
    <t xml:space="preserve">Lengths per position</t>
  </si>
  <si>
    <t xml:space="preserve">Lengths beaten per place behind the winner (how strung out the field was)</t>
  </si>
  <si>
    <t xml:space="preserve">Not built</t>
  </si>
  <si>
    <t xml:space="preserve">B4</t>
  </si>
  <si>
    <t xml:space="preserve">Closing-sectional proxy</t>
  </si>
  <si>
    <t xml:space="preserve">Speed over the final furlongs</t>
  </si>
  <si>
    <t xml:space="preserve">Not available</t>
  </si>
  <si>
    <t xml:space="preserve">No sectional or per-horse times in the data</t>
  </si>
  <si>
    <t xml:space="preserve">D2</t>
  </si>
  <si>
    <t xml:space="preserve">Headgear type flags</t>
  </si>
  <si>
    <t xml:space="preserve">Equipment</t>
  </si>
  <si>
    <t xml:space="preserve">One flag per headgear item (blinkers, visor, cheekpieces, hood, tongue-tie)</t>
  </si>
  <si>
    <t xml:space="preserve">Partial: one category column</t>
  </si>
  <si>
    <t xml:space="preserve">F1</t>
  </si>
  <si>
    <t xml:space="preserve">SP-to-BSP spread (lagged)</t>
  </si>
  <si>
    <t xml:space="preserve">Market</t>
  </si>
  <si>
    <t xml:space="preserve">How far industry SP differed from BSP in past runs</t>
  </si>
  <si>
    <t xml:space="preserve">The same-race version added nothing (markets block)</t>
  </si>
  <si>
    <t xml:space="preserve">F2</t>
  </si>
  <si>
    <t xml:space="preserve">Win/place price ratio (lagged)</t>
  </si>
  <si>
    <t xml:space="preserve">Place-market view relative to the win market in past runs</t>
  </si>
  <si>
    <t xml:space="preserve">Partial (Betfair files from Jan 2026)</t>
  </si>
  <si>
    <t xml:space="preserve">Opt-in behind --market-features</t>
  </si>
  <si>
    <t xml:space="preserve">G4</t>
  </si>
  <si>
    <t xml:space="preserve">Age restriction</t>
  </si>
  <si>
    <t xml:space="preserve">Race conditions</t>
  </si>
  <si>
    <t xml:space="preserve">Age band of the race (2yo, 3yo only, 3yo+, 4yo+)</t>
  </si>
  <si>
    <t xml:space="preserve">race_restrictions_age is never read</t>
  </si>
  <si>
    <t xml:space="preserve">H3</t>
  </si>
  <si>
    <t xml:space="preserve">Claimer flag</t>
  </si>
  <si>
    <t xml:space="preserve">Connections</t>
  </si>
  <si>
    <t xml:space="preserve">Whether the jockey claims an allowance</t>
  </si>
  <si>
    <t xml:space="preserve">Partial: raw claim only; is_claimer is opt-in</t>
  </si>
  <si>
    <t xml:space="preserve">I1</t>
  </si>
  <si>
    <t xml:space="preserve">OR percentile in the field</t>
  </si>
  <si>
    <t xml:space="preserve">Ratings</t>
  </si>
  <si>
    <t xml:space="preserve">Official rating's percentile within the race</t>
  </si>
  <si>
    <t xml:space="preserve">Partial: difference to the max and median only</t>
  </si>
  <si>
    <t xml:space="preserve">I2</t>
  </si>
  <si>
    <t xml:space="preserve">OR trajectory slope</t>
  </si>
  <si>
    <t xml:space="preserve">Slope of the official rating over recent runs</t>
  </si>
  <si>
    <t xml:space="preserve">Partial: changes only</t>
  </si>
  <si>
    <t xml:space="preserve">J1</t>
  </si>
  <si>
    <t xml:space="preserve">Month / season</t>
  </si>
  <si>
    <t xml:space="preserve">Context</t>
  </si>
  <si>
    <t xml:space="preserve">Seasonal effects</t>
  </si>
  <si>
    <t xml:space="preserve">Surveyed on 24 Sep: nothing for the price to miss</t>
  </si>
  <si>
    <t xml:space="preserve">J2</t>
  </si>
  <si>
    <t xml:space="preserve">Day of week</t>
  </si>
  <si>
    <t xml:space="preserve">Weekday effects (strength of meetings)</t>
  </si>
  <si>
    <t xml:space="preserve">Surveyed: nothing</t>
  </si>
  <si>
    <t xml:space="preserve">J3</t>
  </si>
  <si>
    <t xml:space="preserve">Horse seasonality</t>
  </si>
  <si>
    <t xml:space="preserve">The horse's form by time of year</t>
  </si>
  <si>
    <t xml:space="preserve">J4</t>
  </si>
  <si>
    <t xml:space="preserve">Campaign stage</t>
  </si>
  <si>
    <t xml:space="preserve">Run number within the current campaign</t>
  </si>
  <si>
    <t xml:space="preserve">Written in model/primitives.py, never called; fr_runs_since_break now covers most of it</t>
  </si>
  <si>
    <t xml:space="preserve">K1</t>
  </si>
  <si>
    <t xml:space="preserve">Major-race experience</t>
  </si>
  <si>
    <t xml:space="preserve">Class</t>
  </si>
  <si>
    <t xml:space="preserve">Runs and form in Group / Listed / major races</t>
  </si>
  <si>
    <t xml:space="preserve">Screened 27 Sep against the best model's errors (black-type runs, finishing position and win rate before today: +0.53 x 10^-4, nothing; research/queries/travel_residuals.py)</t>
  </si>
  <si>
    <t xml:space="preserve">K2</t>
  </si>
  <si>
    <t xml:space="preserve">Class ladder vs career median</t>
  </si>
  <si>
    <t xml:space="preserve">Today's class against the horse's career median class</t>
  </si>
  <si>
    <t xml:space="preserve">Partial: against a three-run mean</t>
  </si>
  <si>
    <t xml:space="preserve">L2</t>
  </si>
  <si>
    <t xml:space="preserve">Class x speed</t>
  </si>
  <si>
    <t xml:space="preserve">Speed</t>
  </si>
  <si>
    <t xml:space="preserve">Speed figures scaled by the class they were run in</t>
  </si>
  <si>
    <t xml:space="preserve">L4</t>
  </si>
  <si>
    <t xml:space="preserve">Weight per OR point</t>
  </si>
  <si>
    <t xml:space="preserve">Handicap</t>
  </si>
  <si>
    <t xml:space="preserve">Weight carried relative to the official rating</t>
  </si>
  <si>
    <t xml:space="preserve">The handicap block's hc_wt_vs_mark is close (opt-in, added nothing against the result)</t>
  </si>
  <si>
    <t xml:space="preserve">R1</t>
  </si>
  <si>
    <t xml:space="preserve">Trainer and jockey career NFP / RB</t>
  </si>
  <si>
    <t xml:space="preserve">Career finishing-position quality of runners and rides</t>
  </si>
  <si>
    <t xml:space="preserve">Built as the connection windows' cw_tr_nfp_car / cw_jk_nfp_car and their within-race ranks (the spec's trainerNFPrank and jockeyNFPrank; RB is NFP in this data), in the 968. horsexRBMARrank alone is still skipped</t>
  </si>
  <si>
    <t xml:space="preserve">N3</t>
  </si>
  <si>
    <t xml:space="preserve">Re-test research blocks on the price forecast</t>
  </si>
  <si>
    <t xml:space="preserve">Research</t>
  </si>
  <si>
    <t xml:space="preserve">Perf figures, Kalman ratings, pedigree suite, connections, comments, handicap angles, A-E by entity</t>
  </si>
  <si>
    <t xml:space="preserve">Since re-tested on the price: comments (iterations 45, 52), the pedigree suite (dam line, sire aptitudes, pedigree market: 49, 52, 84), connections (connection windows, in the 968; grains 69); the performance figure is read by the form windows. Screened 27 Sep against the best model's errors (research/queries/travel_residuals.py): the Kalman rating (-3.89 x 10^-4) and handicap angles (-2.31) resolved and are built as drop-in blocks (iteration 96); the A-E cells no block reads (trainer at the course, course/trip/draw, trainer with jockey, sire) nothing (-0.30)</t>
  </si>
  <si>
    <t xml:space="preserve">N6</t>
  </si>
  <si>
    <t xml:space="preserve">Betfair price-history windows</t>
  </si>
  <si>
    <t xml:space="preserve">Past runs' morning-to-BSP drift and volume, windowed</t>
  </si>
  <si>
    <t xml:space="preserve">Needs more history before it can train</t>
  </si>
  <si>
    <t xml:space="preserve">N7</t>
  </si>
  <si>
    <t xml:space="preserve">Race shape x horse style fit, learned per horse</t>
  </si>
  <si>
    <t xml:space="preserve">Pace</t>
  </si>
  <si>
    <t xml:space="preserve">How this horse has run in each pace scenario (from shape form's per-run readings)</t>
  </si>
  <si>
    <t xml:space="preserve">Builds on shape form</t>
  </si>
  <si>
    <t xml:space="preserve">O1</t>
  </si>
  <si>
    <t xml:space="preserve">Owner</t>
  </si>
  <si>
    <t xml:space="preserve">The owner's runners, market and record (debutants above all)</t>
  </si>
  <si>
    <t xml:space="preserve">race_results has no owner column; the Timeform feed has one, but its same-day fields are banned (leak) and it covers too little history</t>
  </si>
  <si>
    <t xml:space="preserve">X1</t>
  </si>
  <si>
    <t xml:space="preserve">Fix: track_draw_bias</t>
  </si>
  <si>
    <t xml:space="preserve">Defect</t>
  </si>
  <si>
    <t xml:space="preserve">Blank on every row (draw_metrics.py:643)</t>
  </si>
  <si>
    <t xml:space="preserve">n/a</t>
  </si>
  <si>
    <t xml:space="preserve">Zero gain; fix or drop. Its code shifts by row within the track, not by day: filled, it would read earlier races on the same day</t>
  </si>
  <si>
    <t xml:space="preserve">X2</t>
  </si>
  <si>
    <t xml:space="preserve">Fix: FCS without official ratings</t>
  </si>
  <si>
    <t xml:space="preserve">FCS is 0 when today's race has no ratings</t>
  </si>
  <si>
    <t xml:space="preserve">custom_metrics.py:656</t>
  </si>
  <si>
    <t xml:space="preserve">X3</t>
  </si>
  <si>
    <t xml:space="preserve">Fix: duplicate columns</t>
  </si>
  <si>
    <t xml:space="preserve">RB = NFP (9), WOA = WAX (7), OFS = ORR2 (7), racepacescore = RPS (1)</t>
  </si>
  <si>
    <t xml:space="preserve">Harmless to accuracy; splits importance readings. WOA needs the owner's definition of the average it is measured against (reports/metric_audit.md)</t>
  </si>
  <si>
    <t xml:space="preserve">X4</t>
  </si>
  <si>
    <t xml:space="preserve">Fix: rank direction for missing values</t>
  </si>
  <si>
    <t xml:space="preserve">rLB, rConsistency, rDistApt, rGoingPref rank highest first with missing values last, which for a lower-is-better measure puts a runner with no figure beside the best</t>
  </si>
  <si>
    <t xml:space="preserve">reports/metric_audit.md; the wide within-race readings read the four sources without the defect</t>
  </si>
  <si>
    <t xml:space="preserve">X5</t>
  </si>
  <si>
    <t xml:space="preserve">Fix: void races read as non-finishes</t>
  </si>
  <si>
    <t xml:space="preserve">154 VOI rows count as a run that did not finish</t>
  </si>
  <si>
    <t xml:space="preserve">reports/metric_audit.md</t>
  </si>
  <si>
    <t xml:space="preserve">M1</t>
  </si>
  <si>
    <t xml:space="preserve">The rest of the racing2 master framework</t>
  </si>
  <si>
    <t xml:space="preserve">RESEARCH_FRAMEWORK.md s14 counted 277 items: 75 implemented, 80 partial, 122 missing</t>
  </si>
  <si>
    <t xml:space="preserve">Mixed</t>
  </si>
  <si>
    <t xml:space="preserve">The framework document is not in the repository, so the items cannot be listed one by one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</si>
</sst>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n">
        <f aca="false">COUNTIF(Features!$F$2:$F$1462,A5)</f>
        <v>615</v>
      </c>
      <c r="C5" s="4"/>
      <c r="D5" s="4"/>
    </row>
    <row r="6" customFormat="false" ht="15" hidden="false" customHeight="false" outlineLevel="0" collapsed="false">
      <c r="A6" s="4" t="s">
        <v>5</v>
      </c>
      <c r="B6" s="4" t="n">
        <f aca="false">COUNTIF(Features!$F$2:$F$1462,A6)</f>
        <v>383</v>
      </c>
      <c r="C6" s="4"/>
      <c r="D6" s="4"/>
    </row>
    <row r="7" customFormat="false" ht="15" hidden="false" customHeight="false" outlineLevel="0" collapsed="false">
      <c r="A7" s="4" t="s">
        <v>6</v>
      </c>
      <c r="B7" s="4" t="n">
        <f aca="false">COUNTIF(Features!$F$2:$F$1462,A7)</f>
        <v>459</v>
      </c>
      <c r="C7" s="4"/>
      <c r="D7" s="4"/>
    </row>
    <row r="8" customFormat="false" ht="15" hidden="false" customHeight="false" outlineLevel="0" collapsed="false">
      <c r="A8" s="4" t="s">
        <v>7</v>
      </c>
      <c r="B8" s="4" t="n">
        <f aca="false">COUNTIF(Features!$F$2:$F$1462,A8)</f>
        <v>4</v>
      </c>
      <c r="C8" s="4"/>
      <c r="D8" s="4"/>
    </row>
    <row r="9" customFormat="false" ht="15" hidden="false" customHeight="false" outlineLevel="0" collapsed="false">
      <c r="A9" s="5" t="s">
        <v>8</v>
      </c>
      <c r="B9" s="5" t="n">
        <f aca="false">SUM(B5:B8)</f>
        <v>1461</v>
      </c>
      <c r="C9" s="4"/>
      <c r="D9" s="4"/>
    </row>
    <row r="10" customFormat="false" ht="15" hidden="false" customHeight="false" outlineLevel="0" collapsed="false">
      <c r="A10" s="4" t="s">
        <v>9</v>
      </c>
      <c r="B10" s="4" t="n">
        <f aca="false">COUNTIFS(Features!$F$2:$F$1462,"Served",Features!$G$2:$G$1462,0)</f>
        <v>2</v>
      </c>
      <c r="C10" s="4"/>
      <c r="D10" s="4"/>
    </row>
    <row r="11" customFormat="false" ht="15" hidden="false" customHeight="false" outlineLevel="0" collapsed="false">
      <c r="A11" s="4" t="s">
        <v>10</v>
      </c>
      <c r="B11" s="6" t="n">
        <f aca="false">SUM(Features!$H$2:$H$1462)</f>
        <v>1</v>
      </c>
      <c r="C11" s="4"/>
      <c r="D11" s="4"/>
    </row>
    <row r="12" customFormat="false" ht="15" hidden="false" customHeight="false" outlineLevel="0" collapsed="false">
      <c r="A12" s="4"/>
      <c r="B12" s="4"/>
      <c r="C12" s="4"/>
      <c r="D12" s="4"/>
    </row>
    <row r="13" customFormat="false" ht="15" hidden="false" customHeight="false" outlineLevel="0" collapsed="false">
      <c r="A13" s="3" t="s">
        <v>11</v>
      </c>
      <c r="B13" s="3" t="s">
        <v>3</v>
      </c>
      <c r="C13" s="4"/>
      <c r="D13" s="4"/>
    </row>
    <row r="14" customFormat="false" ht="15" hidden="false" customHeight="false" outlineLevel="0" collapsed="false">
      <c r="A14" s="4" t="s">
        <v>12</v>
      </c>
      <c r="B14" s="4" t="n">
        <f aca="false">COUNTIF('Not yet developed'!$G$2:$G$30,A14)</f>
        <v>0</v>
      </c>
      <c r="C14" s="4"/>
      <c r="D14" s="4"/>
    </row>
    <row r="15" customFormat="false" ht="15" hidden="false" customHeight="false" outlineLevel="0" collapsed="false">
      <c r="A15" s="4" t="s">
        <v>13</v>
      </c>
      <c r="B15" s="4" t="n">
        <f aca="false">COUNTIF('Not yet developed'!$G$2:$G$30,A15)</f>
        <v>6</v>
      </c>
      <c r="C15" s="4"/>
      <c r="D15" s="4"/>
    </row>
    <row r="16" customFormat="false" ht="15" hidden="false" customHeight="false" outlineLevel="0" collapsed="false">
      <c r="A16" s="4" t="s">
        <v>14</v>
      </c>
      <c r="B16" s="4" t="n">
        <f aca="false">COUNTIF('Not yet developed'!$G$2:$G$30,A16)</f>
        <v>20</v>
      </c>
      <c r="C16" s="4"/>
      <c r="D16" s="4"/>
    </row>
    <row r="17" customFormat="false" ht="15" hidden="false" customHeight="false" outlineLevel="0" collapsed="false">
      <c r="A17" s="4" t="s">
        <v>15</v>
      </c>
      <c r="B17" s="4" t="n">
        <f aca="false">COUNTIF('Not yet developed'!$G$2:$G$30,A17)</f>
        <v>2</v>
      </c>
      <c r="C17" s="4"/>
      <c r="D17" s="4"/>
    </row>
    <row r="18" customFormat="false" ht="15" hidden="false" customHeight="false" outlineLevel="0" collapsed="false">
      <c r="A18" s="4" t="s">
        <v>16</v>
      </c>
      <c r="B18" s="4" t="n">
        <f aca="false">COUNTIF('Not yet developed'!$G$2:$G$30,A18)</f>
        <v>1</v>
      </c>
      <c r="C18" s="4"/>
      <c r="D18" s="4"/>
    </row>
    <row r="19" customFormat="false" ht="15" hidden="false" customHeight="false" outlineLevel="0" collapsed="false">
      <c r="A19" s="3"/>
      <c r="B19" s="3"/>
      <c r="C19" s="3"/>
      <c r="D19" s="3"/>
    </row>
    <row r="20" customFormat="false" ht="15" hidden="false" customHeight="false" outlineLevel="0" collapsed="false">
      <c r="A20" s="4" t="s">
        <v>17</v>
      </c>
      <c r="B20" s="4" t="s">
        <v>18</v>
      </c>
      <c r="C20" s="4" t="s">
        <v>19</v>
      </c>
      <c r="D20" s="4" t="s">
        <v>20</v>
      </c>
    </row>
    <row r="21" customFormat="false" ht="15" hidden="false" customHeight="false" outlineLevel="0" collapsed="false">
      <c r="A21" s="4" t="str">
        <f aca="false">INDEX(Features!$A$2:$A$1462,MATCH(1,Features!$I$2:$I$1462,0))</f>
        <v>rPMW3</v>
      </c>
      <c r="B21" s="6" t="n">
        <f aca="false">INDEX(Features!$H$2:$H$1462,MATCH(1,Features!$I$2:$I$1462,0))</f>
        <v>0.058739543870909</v>
      </c>
      <c r="C21" s="4" t="str">
        <f aca="false">INDEX(Features!$B$2:$B$1462,MATCH(1,Features!$I$2:$I$1462,0))</f>
        <v>Custom metrics</v>
      </c>
      <c r="D21" s="4" t="str">
        <f aca="false">INDEX(Features!$D$2:$D$1462,MATCH(1,Features!$I$2:$I$1462,0))</f>
        <v>Within-race rank (1 = highest in the field) of PMW3: performance-adjusted prize money (prize x RB^2), recency-weighted, last 3 runs</v>
      </c>
    </row>
    <row r="22" customFormat="false" ht="15" hidden="false" customHeight="false" outlineLevel="0" collapsed="false">
      <c r="A22" s="4" t="str">
        <f aca="false">INDEX(Features!$A$2:$A$1462,MATCH(2,Features!$I$2:$I$1462,0))</f>
        <v>rPMW5</v>
      </c>
      <c r="B22" s="6" t="n">
        <f aca="false">INDEX(Features!$H$2:$H$1462,MATCH(2,Features!$I$2:$I$1462,0))</f>
        <v>0.0538349567969076</v>
      </c>
      <c r="C22" s="4" t="str">
        <f aca="false">INDEX(Features!$B$2:$B$1462,MATCH(2,Features!$I$2:$I$1462,0))</f>
        <v>Custom metrics</v>
      </c>
      <c r="D22" s="4" t="str">
        <f aca="false">INDEX(Features!$D$2:$D$1462,MATCH(2,Features!$I$2:$I$1462,0))</f>
        <v>Within-race rank (1 = highest in the field) of PMW5: performance-adjusted prize money (prize x RB^2), recency-weighted, last 5 runs</v>
      </c>
    </row>
    <row r="23" customFormat="false" ht="15" hidden="false" customHeight="false" outlineLevel="0" collapsed="false">
      <c r="A23" s="4" t="str">
        <f aca="false">INDEX(Features!$A$2:$A$1462,MATCH(3,Features!$I$2:$I$1462,0))</f>
        <v>rPMW10</v>
      </c>
      <c r="B23" s="6" t="n">
        <f aca="false">INDEX(Features!$H$2:$H$1462,MATCH(3,Features!$I$2:$I$1462,0))</f>
        <v>0.0415442788518407</v>
      </c>
      <c r="C23" s="4" t="str">
        <f aca="false">INDEX(Features!$B$2:$B$1462,MATCH(3,Features!$I$2:$I$1462,0))</f>
        <v>Custom metrics</v>
      </c>
      <c r="D23" s="4" t="str">
        <f aca="false">INDEX(Features!$D$2:$D$1462,MATCH(3,Features!$I$2:$I$1462,0))</f>
        <v>Within-race rank (1 = highest in the field) of PMW10: performance-adjusted prize money (prize x RB^2), recency-weighted, last 10 runs</v>
      </c>
    </row>
    <row r="24" customFormat="false" ht="15" hidden="false" customHeight="false" outlineLevel="0" collapsed="false">
      <c r="A24" s="4" t="str">
        <f aca="false">INDEX(Features!$A$2:$A$1462,MATCH(4,Features!$I$2:$I$1462,0))</f>
        <v>OFS1</v>
      </c>
      <c r="B24" s="6" t="n">
        <f aca="false">INDEX(Features!$H$2:$H$1462,MATCH(4,Features!$I$2:$I$1462,0))</f>
        <v>0.0279499544871068</v>
      </c>
      <c r="C24" s="4" t="str">
        <f aca="false">INDEX(Features!$B$2:$B$1462,MATCH(4,Features!$I$2:$I$1462,0))</f>
        <v>Custom metrics</v>
      </c>
      <c r="D24" s="4" t="str">
        <f aca="false">INDEX(Features!$D$2:$D$1462,MATCH(4,Features!$I$2:$I$1462,0))</f>
        <v>Odds x field size in the last run (runners / BSP; equals LR_ORR2)</v>
      </c>
    </row>
    <row r="25" customFormat="false" ht="15" hidden="false" customHeight="false" outlineLevel="0" collapsed="false">
      <c r="A25" s="4" t="str">
        <f aca="false">INDEX(Features!$A$2:$A$1462,MATCH(5,Features!$I$2:$I$1462,0))</f>
        <v>fw_mkt_l1</v>
      </c>
      <c r="B25" s="6" t="n">
        <f aca="false">INDEX(Features!$H$2:$H$1462,MATCH(5,Features!$I$2:$I$1462,0))</f>
        <v>0.023252616746738</v>
      </c>
      <c r="C25" s="4" t="str">
        <f aca="false">INDEX(Features!$B$2:$B$1462,MATCH(5,Features!$I$2:$I$1462,0))</f>
        <v>Form windows</v>
      </c>
      <c r="D25" s="4" t="str">
        <f aca="false">INDEX(Features!$D$2:$D$1462,MATCH(5,Features!$I$2:$I$1462,0))</f>
        <v>The market's view, log(N x BSP chance): last run (earlier days only)</v>
      </c>
    </row>
    <row r="26" customFormat="false" ht="15" hidden="false" customHeight="false" outlineLevel="0" collapsed="false">
      <c r="A26" s="4" t="str">
        <f aca="false">INDEX(Features!$A$2:$A$1462,MATCH(6,Features!$I$2:$I$1462,0))</f>
        <v>rRWOLR3</v>
      </c>
      <c r="B26" s="6" t="n">
        <f aca="false">INDEX(Features!$H$2:$H$1462,MATCH(6,Features!$I$2:$I$1462,0))</f>
        <v>0.0213374451664252</v>
      </c>
      <c r="C26" s="4" t="str">
        <f aca="false">INDEX(Features!$B$2:$B$1462,MATCH(6,Features!$I$2:$I$1462,0))</f>
        <v>Custom metrics</v>
      </c>
      <c r="D26" s="4" t="str">
        <f aca="false">INDEX(Features!$D$2:$D$1462,MATCH(6,Features!$I$2:$I$1462,0))</f>
        <v>Within-race rank (1 = highest in the field) of LR3_RWO: harmonic-weighted mean ORR2 over the last 3 runs</v>
      </c>
    </row>
    <row r="27" customFormat="false" ht="15" hidden="false" customHeight="false" outlineLevel="0" collapsed="false">
      <c r="A27" s="4" t="str">
        <f aca="false">INDEX(Features!$A$2:$A$1462,MATCH(7,Features!$I$2:$I$1462,0))</f>
        <v>fw_lbs_w3</v>
      </c>
      <c r="B27" s="6" t="n">
        <f aca="false">INDEX(Features!$H$2:$H$1462,MATCH(7,Features!$I$2:$I$1462,0))</f>
        <v>0.0207813543392266</v>
      </c>
      <c r="C27" s="4" t="str">
        <f aca="false">INDEX(Features!$B$2:$B$1462,MATCH(7,Features!$I$2:$I$1462,0))</f>
        <v>Form windows</v>
      </c>
      <c r="D27" s="4" t="str">
        <f aca="false">INDEX(Features!$D$2:$D$1462,MATCH(7,Features!$I$2:$I$1462,0))</f>
        <v>Pounds beaten at the trip (capped 20): last 3 runs weighted 3-2-1 by recency (earlier days only)</v>
      </c>
    </row>
    <row r="28" customFormat="false" ht="15" hidden="false" customHeight="false" outlineLevel="0" collapsed="false">
      <c r="A28" s="4" t="str">
        <f aca="false">INDEX(Features!$A$2:$A$1462,MATCH(8,Features!$I$2:$I$1462,0))</f>
        <v>fw_lbsc_w3</v>
      </c>
      <c r="B28" s="6" t="n">
        <f aca="false">INDEX(Features!$H$2:$H$1462,MATCH(8,Features!$I$2:$I$1462,0))</f>
        <v>0.020573693542544</v>
      </c>
      <c r="C28" s="4" t="str">
        <f aca="false">INDEX(Features!$B$2:$B$1462,MATCH(8,Features!$I$2:$I$1462,0))</f>
        <v>Form windows</v>
      </c>
      <c r="D28" s="4" t="str">
        <f aca="false">INDEX(Features!$D$2:$D$1462,MATCH(8,Features!$I$2:$I$1462,0))</f>
        <v>Pounds better than the race's average runner: last 3 runs weighted 3-2-1 by recency (earlier days only)</v>
      </c>
    </row>
    <row r="29" customFormat="false" ht="15" hidden="false" customHeight="false" outlineLevel="0" collapsed="false">
      <c r="A29" s="4" t="str">
        <f aca="false">INDEX(Features!$A$2:$A$1462,MATCH(9,Features!$I$2:$I$1462,0))</f>
        <v>rTJNFP</v>
      </c>
      <c r="B29" s="6" t="n">
        <f aca="false">INDEX(Features!$H$2:$H$1462,MATCH(9,Features!$I$2:$I$1462,0))</f>
        <v>0.0201337727006528</v>
      </c>
      <c r="C29" s="4" t="str">
        <f aca="false">INDEX(Features!$B$2:$B$1462,MATCH(9,Features!$I$2:$I$1462,0))</f>
        <v>Custom metrics</v>
      </c>
      <c r="D29" s="4" t="str">
        <f aca="false">INDEX(Features!$D$2:$D$1462,MATCH(9,Features!$I$2:$I$1462,0))</f>
        <v>Within-race rank (1 = highest in the field) of trainerjockeycareerNFP: trainer-jockey combination's career normalised finishing position (1 = won, 0 = last)</v>
      </c>
    </row>
    <row r="30" customFormat="false" ht="15" hidden="false" customHeight="false" outlineLevel="0" collapsed="false">
      <c r="A30" s="4" t="str">
        <f aca="false">INDEX(Features!$A$2:$A$1462,MATCH(10,Features!$I$2:$I$1462,0))</f>
        <v>LR_ORR2</v>
      </c>
      <c r="B30" s="6" t="n">
        <f aca="false">INDEX(Features!$H$2:$H$1462,MATCH(10,Features!$I$2:$I$1462,0))</f>
        <v>0.0197806931141844</v>
      </c>
      <c r="C30" s="4" t="str">
        <f aca="false">INDEX(Features!$B$2:$B$1462,MATCH(10,Features!$I$2:$I$1462,0))</f>
        <v>Custom metrics</v>
      </c>
      <c r="D30" s="4" t="str">
        <f aca="false">INDEX(Features!$D$2:$D$1462,MATCH(10,Features!$I$2:$I$1462,0))</f>
        <v>Market rating (runners / BSP) in the last run</v>
      </c>
    </row>
    <row r="31" customFormat="false" ht="15" hidden="false" customHeight="false" outlineLevel="0" collapsed="false">
      <c r="A31" s="4" t="str">
        <f aca="false">INDEX(Features!$A$2:$A$1462,MATCH(11,Features!$I$2:$I$1462,0))</f>
        <v>rORR2LR</v>
      </c>
      <c r="B31" s="6" t="n">
        <f aca="false">INDEX(Features!$H$2:$H$1462,MATCH(11,Features!$I$2:$I$1462,0))</f>
        <v>0.0183989949149144</v>
      </c>
      <c r="C31" s="4" t="str">
        <f aca="false">INDEX(Features!$B$2:$B$1462,MATCH(11,Features!$I$2:$I$1462,0))</f>
        <v>Custom metrics</v>
      </c>
      <c r="D31" s="4" t="str">
        <f aca="false">INDEX(Features!$D$2:$D$1462,MATCH(11,Features!$I$2:$I$1462,0))</f>
        <v>Within-race rank (1 = highest in the field) of LR_ORR2: market rating (runners / BSP) in the last run</v>
      </c>
    </row>
    <row r="32" customFormat="false" ht="15" hidden="false" customHeight="false" outlineLevel="0" collapsed="false">
      <c r="A32" s="4" t="str">
        <f aca="false">INDEX(Features!$A$2:$A$1462,MATCH(12,Features!$I$2:$I$1462,0))</f>
        <v>race_type_cat</v>
      </c>
      <c r="B32" s="6" t="n">
        <f aca="false">INDEX(Features!$H$2:$H$1462,MATCH(12,Features!$I$2:$I$1462,0))</f>
        <v>0.0172916313613445</v>
      </c>
      <c r="C32" s="4" t="str">
        <f aca="false">INDEX(Features!$B$2:$B$1462,MATCH(12,Features!$I$2:$I$1462,0))</f>
        <v>Card fields</v>
      </c>
      <c r="D32" s="4" t="str">
        <f aca="false">INDEX(Features!$D$2:$D$1462,MATCH(12,Features!$I$2:$I$1462,0))</f>
        <v>Race type, category code</v>
      </c>
    </row>
    <row r="33" customFormat="false" ht="15" hidden="false" customHeight="false" outlineLevel="0" collapsed="false">
      <c r="A33" s="4" t="str">
        <f aca="false">INDEX(Features!$A$2:$A$1462,MATCH(13,Features!$I$2:$I$1462,0))</f>
        <v>rRWOLR5</v>
      </c>
      <c r="B33" s="6" t="n">
        <f aca="false">INDEX(Features!$H$2:$H$1462,MATCH(13,Features!$I$2:$I$1462,0))</f>
        <v>0.0162881234884117</v>
      </c>
      <c r="C33" s="4" t="str">
        <f aca="false">INDEX(Features!$B$2:$B$1462,MATCH(13,Features!$I$2:$I$1462,0))</f>
        <v>Custom metrics</v>
      </c>
      <c r="D33" s="4" t="str">
        <f aca="false">INDEX(Features!$D$2:$D$1462,MATCH(13,Features!$I$2:$I$1462,0))</f>
        <v>Within-race rank (1 = highest in the field) of LR5_RWO: harmonic-weighted mean ORR2 over the last 5 runs</v>
      </c>
    </row>
    <row r="34" customFormat="false" ht="15" hidden="false" customHeight="false" outlineLevel="0" collapsed="false">
      <c r="A34" s="4" t="str">
        <f aca="false">INDEX(Features!$A$2:$A$1462,MATCH(14,Features!$I$2:$I$1462,0))</f>
        <v>median_or_num</v>
      </c>
      <c r="B34" s="6" t="n">
        <f aca="false">INDEX(Features!$H$2:$H$1462,MATCH(14,Features!$I$2:$I$1462,0))</f>
        <v>0.016183862762279</v>
      </c>
      <c r="C34" s="4" t="str">
        <f aca="false">INDEX(Features!$B$2:$B$1462,MATCH(14,Features!$I$2:$I$1462,0))</f>
        <v>Card fields</v>
      </c>
      <c r="D34" s="4" t="str">
        <f aca="false">INDEX(Features!$D$2:$D$1462,MATCH(14,Features!$I$2:$I$1462,0))</f>
        <v>Median official rating in the race</v>
      </c>
    </row>
    <row r="35" customFormat="false" ht="15" hidden="false" customHeight="false" outlineLevel="0" collapsed="false">
      <c r="A35" s="4" t="str">
        <f aca="false">INDEX(Features!$A$2:$A$1462,MATCH(15,Features!$I$2:$I$1462,0))</f>
        <v>or_num</v>
      </c>
      <c r="B35" s="6" t="n">
        <f aca="false">INDEX(Features!$H$2:$H$1462,MATCH(15,Features!$I$2:$I$1462,0))</f>
        <v>0.0156468569633242</v>
      </c>
      <c r="C35" s="4" t="str">
        <f aca="false">INDEX(Features!$B$2:$B$1462,MATCH(15,Features!$I$2:$I$1462,0))</f>
        <v>Card fields</v>
      </c>
      <c r="D35" s="4" t="str">
        <f aca="false">INDEX(Features!$D$2:$D$1462,MATCH(15,Features!$I$2:$I$1462,0))</f>
        <v>Official rating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80"/>
    <col collapsed="false" customWidth="true" hidden="false" outlineLevel="0" max="5" min="5" style="0" width="30"/>
    <col collapsed="false" customWidth="true" hidden="false" outlineLevel="0" max="6" min="6" style="0" width="36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</cols>
  <sheetData>
    <row r="1" customFormat="false" ht="23.85" hidden="false" customHeight="false" outlineLevel="0" collapsed="false">
      <c r="A1" s="3" t="s">
        <v>21</v>
      </c>
      <c r="B1" s="3" t="s">
        <v>19</v>
      </c>
      <c r="C1" s="3" t="s">
        <v>22</v>
      </c>
      <c r="D1" s="3" t="s">
        <v>20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</row>
    <row r="2" customFormat="false" ht="15" hidden="false" customHeight="false" outlineLevel="0" collapsed="false">
      <c r="A2" s="4" t="s">
        <v>29</v>
      </c>
      <c r="B2" s="4" t="s">
        <v>30</v>
      </c>
      <c r="C2" s="4" t="s">
        <v>31</v>
      </c>
      <c r="D2" s="7" t="s">
        <v>32</v>
      </c>
      <c r="E2" s="4" t="s">
        <v>33</v>
      </c>
      <c r="F2" s="4" t="s">
        <v>4</v>
      </c>
      <c r="G2" s="8" t="n">
        <v>569845.665595532</v>
      </c>
      <c r="H2" s="6" t="n">
        <f aca="false">IF(G2="","",G2/SUMIFS($G$2:$G$1462,$F$2:$F$1462,"Served"))</f>
        <v>0.058739543870909</v>
      </c>
      <c r="I2" s="4" t="n">
        <f aca="false">IF(G2="","",RANK(G2,$G$2:$G$1462,0))</f>
        <v>1</v>
      </c>
      <c r="J2" s="4" t="s">
        <v>34</v>
      </c>
    </row>
    <row r="3" customFormat="false" ht="15" hidden="false" customHeight="false" outlineLevel="0" collapsed="false">
      <c r="A3" s="4" t="s">
        <v>35</v>
      </c>
      <c r="B3" s="4" t="s">
        <v>30</v>
      </c>
      <c r="C3" s="4" t="s">
        <v>31</v>
      </c>
      <c r="D3" s="7" t="s">
        <v>36</v>
      </c>
      <c r="E3" s="4" t="s">
        <v>33</v>
      </c>
      <c r="F3" s="4" t="s">
        <v>4</v>
      </c>
      <c r="G3" s="8" t="n">
        <v>522265.151661038</v>
      </c>
      <c r="H3" s="6" t="n">
        <f aca="false">IF(G3="","",G3/SUMIFS($G$2:$G$1462,$F$2:$F$1462,"Served"))</f>
        <v>0.0538349567969076</v>
      </c>
      <c r="I3" s="4" t="n">
        <f aca="false">IF(G3="","",RANK(G3,$G$2:$G$1462,0))</f>
        <v>2</v>
      </c>
      <c r="J3" s="4" t="s">
        <v>34</v>
      </c>
    </row>
    <row r="4" customFormat="false" ht="15" hidden="false" customHeight="false" outlineLevel="0" collapsed="false">
      <c r="A4" s="4" t="s">
        <v>37</v>
      </c>
      <c r="B4" s="4" t="s">
        <v>30</v>
      </c>
      <c r="C4" s="4" t="s">
        <v>31</v>
      </c>
      <c r="D4" s="7" t="s">
        <v>38</v>
      </c>
      <c r="E4" s="4" t="s">
        <v>33</v>
      </c>
      <c r="F4" s="4" t="s">
        <v>4</v>
      </c>
      <c r="G4" s="8" t="n">
        <v>403030.491452932</v>
      </c>
      <c r="H4" s="6" t="n">
        <f aca="false">IF(G4="","",G4/SUMIFS($G$2:$G$1462,$F$2:$F$1462,"Served"))</f>
        <v>0.0415442788518407</v>
      </c>
      <c r="I4" s="4" t="n">
        <f aca="false">IF(G4="","",RANK(G4,$G$2:$G$1462,0))</f>
        <v>3</v>
      </c>
      <c r="J4" s="4" t="s">
        <v>34</v>
      </c>
    </row>
    <row r="5" customFormat="false" ht="15" hidden="false" customHeight="false" outlineLevel="0" collapsed="false">
      <c r="A5" s="4" t="s">
        <v>39</v>
      </c>
      <c r="B5" s="4" t="s">
        <v>30</v>
      </c>
      <c r="C5" s="4" t="s">
        <v>40</v>
      </c>
      <c r="D5" s="7" t="s">
        <v>41</v>
      </c>
      <c r="E5" s="4" t="s">
        <v>33</v>
      </c>
      <c r="F5" s="4" t="s">
        <v>4</v>
      </c>
      <c r="G5" s="8" t="n">
        <v>271148.861030877</v>
      </c>
      <c r="H5" s="6" t="n">
        <f aca="false">IF(G5="","",G5/SUMIFS($G$2:$G$1462,$F$2:$F$1462,"Served"))</f>
        <v>0.0279499544871068</v>
      </c>
      <c r="I5" s="4" t="n">
        <f aca="false">IF(G5="","",RANK(G5,$G$2:$G$1462,0))</f>
        <v>4</v>
      </c>
      <c r="J5" s="4" t="s">
        <v>34</v>
      </c>
    </row>
    <row r="6" customFormat="false" ht="15" hidden="false" customHeight="false" outlineLevel="0" collapsed="false">
      <c r="A6" s="4" t="s">
        <v>42</v>
      </c>
      <c r="B6" s="4" t="s">
        <v>43</v>
      </c>
      <c r="C6" s="4" t="s">
        <v>44</v>
      </c>
      <c r="D6" s="7" t="s">
        <v>45</v>
      </c>
      <c r="E6" s="4" t="s">
        <v>46</v>
      </c>
      <c r="F6" s="4" t="s">
        <v>4</v>
      </c>
      <c r="G6" s="8" t="n">
        <v>225578.919986218</v>
      </c>
      <c r="H6" s="6" t="n">
        <f aca="false">IF(G6="","",G6/SUMIFS($G$2:$G$1462,$F$2:$F$1462,"Served"))</f>
        <v>0.023252616746738</v>
      </c>
      <c r="I6" s="4" t="n">
        <f aca="false">IF(G6="","",RANK(G6,$G$2:$G$1462,0))</f>
        <v>5</v>
      </c>
      <c r="J6" s="4" t="s">
        <v>34</v>
      </c>
    </row>
    <row r="7" customFormat="false" ht="15" hidden="false" customHeight="false" outlineLevel="0" collapsed="false">
      <c r="A7" s="4" t="s">
        <v>47</v>
      </c>
      <c r="B7" s="4" t="s">
        <v>30</v>
      </c>
      <c r="C7" s="4" t="s">
        <v>31</v>
      </c>
      <c r="D7" s="7" t="s">
        <v>48</v>
      </c>
      <c r="E7" s="4" t="s">
        <v>33</v>
      </c>
      <c r="F7" s="4" t="s">
        <v>4</v>
      </c>
      <c r="G7" s="8" t="n">
        <v>206999.405199528</v>
      </c>
      <c r="H7" s="6" t="n">
        <f aca="false">IF(G7="","",G7/SUMIFS($G$2:$G$1462,$F$2:$F$1462,"Served"))</f>
        <v>0.0213374451664252</v>
      </c>
      <c r="I7" s="4" t="n">
        <f aca="false">IF(G7="","",RANK(G7,$G$2:$G$1462,0))</f>
        <v>6</v>
      </c>
      <c r="J7" s="4" t="s">
        <v>34</v>
      </c>
    </row>
    <row r="8" customFormat="false" ht="15" hidden="false" customHeight="false" outlineLevel="0" collapsed="false">
      <c r="A8" s="4" t="s">
        <v>49</v>
      </c>
      <c r="B8" s="4" t="s">
        <v>43</v>
      </c>
      <c r="C8" s="4" t="s">
        <v>44</v>
      </c>
      <c r="D8" s="7" t="s">
        <v>50</v>
      </c>
      <c r="E8" s="4" t="s">
        <v>46</v>
      </c>
      <c r="F8" s="4" t="s">
        <v>4</v>
      </c>
      <c r="G8" s="8" t="n">
        <v>201604.641694844</v>
      </c>
      <c r="H8" s="6" t="n">
        <f aca="false">IF(G8="","",G8/SUMIFS($G$2:$G$1462,$F$2:$F$1462,"Served"))</f>
        <v>0.0207813543392266</v>
      </c>
      <c r="I8" s="4" t="n">
        <f aca="false">IF(G8="","",RANK(G8,$G$2:$G$1462,0))</f>
        <v>7</v>
      </c>
      <c r="J8" s="4" t="s">
        <v>34</v>
      </c>
    </row>
    <row r="9" customFormat="false" ht="15" hidden="false" customHeight="false" outlineLevel="0" collapsed="false">
      <c r="A9" s="4" t="s">
        <v>51</v>
      </c>
      <c r="B9" s="4" t="s">
        <v>43</v>
      </c>
      <c r="C9" s="4" t="s">
        <v>44</v>
      </c>
      <c r="D9" s="7" t="s">
        <v>52</v>
      </c>
      <c r="E9" s="4" t="s">
        <v>46</v>
      </c>
      <c r="F9" s="4" t="s">
        <v>4</v>
      </c>
      <c r="G9" s="8" t="n">
        <v>199590.077108443</v>
      </c>
      <c r="H9" s="6" t="n">
        <f aca="false">IF(G9="","",G9/SUMIFS($G$2:$G$1462,$F$2:$F$1462,"Served"))</f>
        <v>0.020573693542544</v>
      </c>
      <c r="I9" s="4" t="n">
        <f aca="false">IF(G9="","",RANK(G9,$G$2:$G$1462,0))</f>
        <v>8</v>
      </c>
      <c r="J9" s="4" t="s">
        <v>34</v>
      </c>
    </row>
    <row r="10" customFormat="false" ht="15" hidden="false" customHeight="false" outlineLevel="0" collapsed="false">
      <c r="A10" s="4" t="s">
        <v>53</v>
      </c>
      <c r="B10" s="4" t="s">
        <v>30</v>
      </c>
      <c r="C10" s="4" t="s">
        <v>31</v>
      </c>
      <c r="D10" s="7" t="s">
        <v>54</v>
      </c>
      <c r="E10" s="4" t="s">
        <v>33</v>
      </c>
      <c r="F10" s="4" t="s">
        <v>4</v>
      </c>
      <c r="G10" s="8" t="n">
        <v>195322.305034697</v>
      </c>
      <c r="H10" s="6" t="n">
        <f aca="false">IF(G10="","",G10/SUMIFS($G$2:$G$1462,$F$2:$F$1462,"Served"))</f>
        <v>0.0201337727006528</v>
      </c>
      <c r="I10" s="4" t="n">
        <f aca="false">IF(G10="","",RANK(G10,$G$2:$G$1462,0))</f>
        <v>9</v>
      </c>
      <c r="J10" s="4" t="s">
        <v>34</v>
      </c>
    </row>
    <row r="11" customFormat="false" ht="15" hidden="false" customHeight="false" outlineLevel="0" collapsed="false">
      <c r="A11" s="4" t="s">
        <v>55</v>
      </c>
      <c r="B11" s="4" t="s">
        <v>30</v>
      </c>
      <c r="C11" s="4" t="s">
        <v>56</v>
      </c>
      <c r="D11" s="7" t="s">
        <v>57</v>
      </c>
      <c r="E11" s="4" t="s">
        <v>33</v>
      </c>
      <c r="F11" s="4" t="s">
        <v>4</v>
      </c>
      <c r="G11" s="8" t="n">
        <v>191896.999717355</v>
      </c>
      <c r="H11" s="6" t="n">
        <f aca="false">IF(G11="","",G11/SUMIFS($G$2:$G$1462,$F$2:$F$1462,"Served"))</f>
        <v>0.0197806931141844</v>
      </c>
      <c r="I11" s="4" t="n">
        <f aca="false">IF(G11="","",RANK(G11,$G$2:$G$1462,0))</f>
        <v>10</v>
      </c>
      <c r="J11" s="4" t="s">
        <v>34</v>
      </c>
    </row>
    <row r="12" customFormat="false" ht="15" hidden="false" customHeight="false" outlineLevel="0" collapsed="false">
      <c r="A12" s="4" t="s">
        <v>58</v>
      </c>
      <c r="B12" s="4" t="s">
        <v>30</v>
      </c>
      <c r="C12" s="4" t="s">
        <v>31</v>
      </c>
      <c r="D12" s="7" t="s">
        <v>59</v>
      </c>
      <c r="E12" s="4" t="s">
        <v>33</v>
      </c>
      <c r="F12" s="4" t="s">
        <v>4</v>
      </c>
      <c r="G12" s="8" t="n">
        <v>178492.831449628</v>
      </c>
      <c r="H12" s="6" t="n">
        <f aca="false">IF(G12="","",G12/SUMIFS($G$2:$G$1462,$F$2:$F$1462,"Served"))</f>
        <v>0.0183989949149144</v>
      </c>
      <c r="I12" s="4" t="n">
        <f aca="false">IF(G12="","",RANK(G12,$G$2:$G$1462,0))</f>
        <v>11</v>
      </c>
      <c r="J12" s="4" t="s">
        <v>34</v>
      </c>
    </row>
    <row r="13" customFormat="false" ht="15" hidden="false" customHeight="false" outlineLevel="0" collapsed="false">
      <c r="A13" s="4" t="s">
        <v>60</v>
      </c>
      <c r="B13" s="4" t="s">
        <v>61</v>
      </c>
      <c r="C13" s="4" t="s">
        <v>62</v>
      </c>
      <c r="D13" s="7" t="s">
        <v>63</v>
      </c>
      <c r="E13" s="4" t="s">
        <v>64</v>
      </c>
      <c r="F13" s="4" t="s">
        <v>4</v>
      </c>
      <c r="G13" s="8" t="n">
        <v>167750.045931459</v>
      </c>
      <c r="H13" s="6" t="n">
        <f aca="false">IF(G13="","",G13/SUMIFS($G$2:$G$1462,$F$2:$F$1462,"Served"))</f>
        <v>0.0172916313613445</v>
      </c>
      <c r="I13" s="4" t="n">
        <f aca="false">IF(G13="","",RANK(G13,$G$2:$G$1462,0))</f>
        <v>12</v>
      </c>
      <c r="J13" s="4" t="s">
        <v>34</v>
      </c>
    </row>
    <row r="14" customFormat="false" ht="15" hidden="false" customHeight="false" outlineLevel="0" collapsed="false">
      <c r="A14" s="4" t="s">
        <v>65</v>
      </c>
      <c r="B14" s="4" t="s">
        <v>30</v>
      </c>
      <c r="C14" s="4" t="s">
        <v>31</v>
      </c>
      <c r="D14" s="7" t="s">
        <v>66</v>
      </c>
      <c r="E14" s="4" t="s">
        <v>33</v>
      </c>
      <c r="F14" s="4" t="s">
        <v>4</v>
      </c>
      <c r="G14" s="8" t="n">
        <v>158014.787975788</v>
      </c>
      <c r="H14" s="6" t="n">
        <f aca="false">IF(G14="","",G14/SUMIFS($G$2:$G$1462,$F$2:$F$1462,"Served"))</f>
        <v>0.0162881234884117</v>
      </c>
      <c r="I14" s="4" t="n">
        <f aca="false">IF(G14="","",RANK(G14,$G$2:$G$1462,0))</f>
        <v>13</v>
      </c>
      <c r="J14" s="4" t="s">
        <v>34</v>
      </c>
    </row>
    <row r="15" customFormat="false" ht="15" hidden="false" customHeight="false" outlineLevel="0" collapsed="false">
      <c r="A15" s="4" t="s">
        <v>67</v>
      </c>
      <c r="B15" s="4" t="s">
        <v>61</v>
      </c>
      <c r="C15" s="4" t="s">
        <v>62</v>
      </c>
      <c r="D15" s="7" t="s">
        <v>68</v>
      </c>
      <c r="E15" s="4" t="s">
        <v>64</v>
      </c>
      <c r="F15" s="4" t="s">
        <v>4</v>
      </c>
      <c r="G15" s="8" t="n">
        <v>157003.330974877</v>
      </c>
      <c r="H15" s="6" t="n">
        <f aca="false">IF(G15="","",G15/SUMIFS($G$2:$G$1462,$F$2:$F$1462,"Served"))</f>
        <v>0.016183862762279</v>
      </c>
      <c r="I15" s="4" t="n">
        <f aca="false">IF(G15="","",RANK(G15,$G$2:$G$1462,0))</f>
        <v>14</v>
      </c>
      <c r="J15" s="4" t="s">
        <v>34</v>
      </c>
    </row>
    <row r="16" customFormat="false" ht="15" hidden="false" customHeight="false" outlineLevel="0" collapsed="false">
      <c r="A16" s="4" t="s">
        <v>69</v>
      </c>
      <c r="B16" s="4" t="s">
        <v>61</v>
      </c>
      <c r="C16" s="4" t="s">
        <v>62</v>
      </c>
      <c r="D16" s="7" t="s">
        <v>70</v>
      </c>
      <c r="E16" s="4" t="s">
        <v>64</v>
      </c>
      <c r="F16" s="4" t="s">
        <v>4</v>
      </c>
      <c r="G16" s="8" t="n">
        <v>151793.71566689</v>
      </c>
      <c r="H16" s="6" t="n">
        <f aca="false">IF(G16="","",G16/SUMIFS($G$2:$G$1462,$F$2:$F$1462,"Served"))</f>
        <v>0.0156468569633242</v>
      </c>
      <c r="I16" s="4" t="n">
        <f aca="false">IF(G16="","",RANK(G16,$G$2:$G$1462,0))</f>
        <v>15</v>
      </c>
      <c r="J16" s="4" t="s">
        <v>34</v>
      </c>
    </row>
    <row r="17" customFormat="false" ht="15" hidden="false" customHeight="false" outlineLevel="0" collapsed="false">
      <c r="A17" s="4" t="s">
        <v>71</v>
      </c>
      <c r="B17" s="4" t="s">
        <v>72</v>
      </c>
      <c r="C17" s="4" t="s">
        <v>73</v>
      </c>
      <c r="D17" s="7" t="s">
        <v>74</v>
      </c>
      <c r="E17" s="4" t="s">
        <v>75</v>
      </c>
      <c r="F17" s="4" t="s">
        <v>4</v>
      </c>
      <c r="G17" s="8" t="n">
        <v>145079.060825467</v>
      </c>
      <c r="H17" s="6" t="n">
        <f aca="false">IF(G17="","",G17/SUMIFS($G$2:$G$1462,$F$2:$F$1462,"Served"))</f>
        <v>0.0149547120784042</v>
      </c>
      <c r="I17" s="4" t="n">
        <f aca="false">IF(G17="","",RANK(G17,$G$2:$G$1462,0))</f>
        <v>16</v>
      </c>
      <c r="J17" s="4" t="s">
        <v>34</v>
      </c>
    </row>
    <row r="18" customFormat="false" ht="15" hidden="false" customHeight="false" outlineLevel="0" collapsed="false">
      <c r="A18" s="4" t="s">
        <v>76</v>
      </c>
      <c r="B18" s="4" t="s">
        <v>43</v>
      </c>
      <c r="C18" s="4" t="s">
        <v>44</v>
      </c>
      <c r="D18" s="7" t="s">
        <v>77</v>
      </c>
      <c r="E18" s="4" t="s">
        <v>46</v>
      </c>
      <c r="F18" s="4" t="s">
        <v>4</v>
      </c>
      <c r="G18" s="8" t="n">
        <v>139631.664850354</v>
      </c>
      <c r="H18" s="6" t="n">
        <f aca="false">IF(G18="","",G18/SUMIFS($G$2:$G$1462,$F$2:$F$1462,"Served"))</f>
        <v>0.0143931959097624</v>
      </c>
      <c r="I18" s="4" t="n">
        <f aca="false">IF(G18="","",RANK(G18,$G$2:$G$1462,0))</f>
        <v>17</v>
      </c>
      <c r="J18" s="4" t="s">
        <v>34</v>
      </c>
    </row>
    <row r="19" customFormat="false" ht="15" hidden="false" customHeight="false" outlineLevel="0" collapsed="false">
      <c r="A19" s="4" t="s">
        <v>78</v>
      </c>
      <c r="B19" s="4" t="s">
        <v>43</v>
      </c>
      <c r="C19" s="4" t="s">
        <v>44</v>
      </c>
      <c r="D19" s="7" t="s">
        <v>79</v>
      </c>
      <c r="E19" s="4" t="s">
        <v>46</v>
      </c>
      <c r="F19" s="4" t="s">
        <v>4</v>
      </c>
      <c r="G19" s="8" t="n">
        <v>118380.761097252</v>
      </c>
      <c r="H19" s="6" t="n">
        <f aca="false">IF(G19="","",G19/SUMIFS($G$2:$G$1462,$F$2:$F$1462,"Served"))</f>
        <v>0.0122026582455033</v>
      </c>
      <c r="I19" s="4" t="n">
        <f aca="false">IF(G19="","",RANK(G19,$G$2:$G$1462,0))</f>
        <v>18</v>
      </c>
      <c r="J19" s="4" t="s">
        <v>34</v>
      </c>
    </row>
    <row r="20" customFormat="false" ht="15" hidden="false" customHeight="false" outlineLevel="0" collapsed="false">
      <c r="A20" s="4" t="s">
        <v>80</v>
      </c>
      <c r="B20" s="4" t="s">
        <v>30</v>
      </c>
      <c r="C20" s="4" t="s">
        <v>40</v>
      </c>
      <c r="D20" s="7" t="s">
        <v>81</v>
      </c>
      <c r="E20" s="4" t="s">
        <v>33</v>
      </c>
      <c r="F20" s="4" t="s">
        <v>4</v>
      </c>
      <c r="G20" s="8" t="n">
        <v>103921.033769429</v>
      </c>
      <c r="H20" s="6" t="n">
        <f aca="false">IF(G20="","",G20/SUMIFS($G$2:$G$1462,$F$2:$F$1462,"Served"))</f>
        <v>0.0107121532912427</v>
      </c>
      <c r="I20" s="4" t="n">
        <f aca="false">IF(G20="","",RANK(G20,$G$2:$G$1462,0))</f>
        <v>19</v>
      </c>
      <c r="J20" s="4" t="s">
        <v>34</v>
      </c>
    </row>
    <row r="21" customFormat="false" ht="15" hidden="false" customHeight="false" outlineLevel="0" collapsed="false">
      <c r="A21" s="4" t="s">
        <v>82</v>
      </c>
      <c r="B21" s="4" t="s">
        <v>30</v>
      </c>
      <c r="C21" s="4" t="s">
        <v>31</v>
      </c>
      <c r="D21" s="7" t="s">
        <v>83</v>
      </c>
      <c r="E21" s="4" t="s">
        <v>33</v>
      </c>
      <c r="F21" s="4" t="s">
        <v>4</v>
      </c>
      <c r="G21" s="8" t="n">
        <v>100992.847106636</v>
      </c>
      <c r="H21" s="6" t="n">
        <f aca="false">IF(G21="","",G21/SUMIFS($G$2:$G$1462,$F$2:$F$1462,"Served"))</f>
        <v>0.0104103165671508</v>
      </c>
      <c r="I21" s="4" t="n">
        <f aca="false">IF(G21="","",RANK(G21,$G$2:$G$1462,0))</f>
        <v>20</v>
      </c>
      <c r="J21" s="4" t="s">
        <v>34</v>
      </c>
    </row>
    <row r="22" customFormat="false" ht="15" hidden="false" customHeight="false" outlineLevel="0" collapsed="false">
      <c r="A22" s="4" t="s">
        <v>84</v>
      </c>
      <c r="B22" s="4" t="s">
        <v>30</v>
      </c>
      <c r="C22" s="4" t="s">
        <v>31</v>
      </c>
      <c r="D22" s="7" t="s">
        <v>85</v>
      </c>
      <c r="E22" s="4" t="s">
        <v>33</v>
      </c>
      <c r="F22" s="4" t="s">
        <v>4</v>
      </c>
      <c r="G22" s="8" t="n">
        <v>94575.7753584385</v>
      </c>
      <c r="H22" s="6" t="n">
        <f aca="false">IF(G22="","",G22/SUMIFS($G$2:$G$1462,$F$2:$F$1462,"Served"))</f>
        <v>0.00974884647053774</v>
      </c>
      <c r="I22" s="4" t="n">
        <f aca="false">IF(G22="","",RANK(G22,$G$2:$G$1462,0))</f>
        <v>21</v>
      </c>
      <c r="J22" s="4" t="s">
        <v>34</v>
      </c>
    </row>
    <row r="23" customFormat="false" ht="15" hidden="false" customHeight="false" outlineLevel="0" collapsed="false">
      <c r="A23" s="4" t="s">
        <v>86</v>
      </c>
      <c r="B23" s="4" t="s">
        <v>87</v>
      </c>
      <c r="C23" s="4" t="s">
        <v>88</v>
      </c>
      <c r="D23" s="7" t="s">
        <v>89</v>
      </c>
      <c r="E23" s="4" t="s">
        <v>90</v>
      </c>
      <c r="F23" s="4" t="s">
        <v>4</v>
      </c>
      <c r="G23" s="8" t="n">
        <v>91217.5136237145</v>
      </c>
      <c r="H23" s="6" t="n">
        <f aca="false">IF(G23="","",G23/SUMIFS($G$2:$G$1462,$F$2:$F$1462,"Served"))</f>
        <v>0.00940267771923091</v>
      </c>
      <c r="I23" s="4" t="n">
        <f aca="false">IF(G23="","",RANK(G23,$G$2:$G$1462,0))</f>
        <v>22</v>
      </c>
      <c r="J23" s="4" t="s">
        <v>34</v>
      </c>
    </row>
    <row r="24" customFormat="false" ht="15" hidden="false" customHeight="false" outlineLevel="0" collapsed="false">
      <c r="A24" s="4" t="s">
        <v>91</v>
      </c>
      <c r="B24" s="4" t="s">
        <v>43</v>
      </c>
      <c r="C24" s="4" t="s">
        <v>44</v>
      </c>
      <c r="D24" s="7" t="s">
        <v>92</v>
      </c>
      <c r="E24" s="4" t="s">
        <v>46</v>
      </c>
      <c r="F24" s="4" t="s">
        <v>4</v>
      </c>
      <c r="G24" s="8" t="n">
        <v>89065.518011272</v>
      </c>
      <c r="H24" s="6" t="n">
        <f aca="false">IF(G24="","",G24/SUMIFS($G$2:$G$1462,$F$2:$F$1462,"Served"))</f>
        <v>0.00918085056791799</v>
      </c>
      <c r="I24" s="4" t="n">
        <f aca="false">IF(G24="","",RANK(G24,$G$2:$G$1462,0))</f>
        <v>23</v>
      </c>
      <c r="J24" s="4" t="s">
        <v>34</v>
      </c>
    </row>
    <row r="25" customFormat="false" ht="15" hidden="false" customHeight="false" outlineLevel="0" collapsed="false">
      <c r="A25" s="4" t="s">
        <v>93</v>
      </c>
      <c r="B25" s="4" t="s">
        <v>30</v>
      </c>
      <c r="C25" s="4" t="s">
        <v>94</v>
      </c>
      <c r="D25" s="7" t="s">
        <v>95</v>
      </c>
      <c r="E25" s="4" t="s">
        <v>33</v>
      </c>
      <c r="F25" s="4" t="s">
        <v>4</v>
      </c>
      <c r="G25" s="8" t="n">
        <v>84589.6543105245</v>
      </c>
      <c r="H25" s="6" t="n">
        <f aca="false">IF(G25="","",G25/SUMIFS($G$2:$G$1462,$F$2:$F$1462,"Served"))</f>
        <v>0.00871947969491941</v>
      </c>
      <c r="I25" s="4" t="n">
        <f aca="false">IF(G25="","",RANK(G25,$G$2:$G$1462,0))</f>
        <v>24</v>
      </c>
      <c r="J25" s="4" t="s">
        <v>34</v>
      </c>
    </row>
    <row r="26" customFormat="false" ht="15" hidden="false" customHeight="false" outlineLevel="0" collapsed="false">
      <c r="A26" s="4" t="s">
        <v>96</v>
      </c>
      <c r="B26" s="4" t="s">
        <v>30</v>
      </c>
      <c r="C26" s="4" t="s">
        <v>31</v>
      </c>
      <c r="D26" s="7" t="s">
        <v>97</v>
      </c>
      <c r="E26" s="4" t="s">
        <v>33</v>
      </c>
      <c r="F26" s="4" t="s">
        <v>4</v>
      </c>
      <c r="G26" s="8" t="n">
        <v>78773.9685195088</v>
      </c>
      <c r="H26" s="6" t="n">
        <f aca="false">IF(G26="","",G26/SUMIFS($G$2:$G$1462,$F$2:$F$1462,"Served"))</f>
        <v>0.00812000030727894</v>
      </c>
      <c r="I26" s="4" t="n">
        <f aca="false">IF(G26="","",RANK(G26,$G$2:$G$1462,0))</f>
        <v>25</v>
      </c>
      <c r="J26" s="4" t="s">
        <v>34</v>
      </c>
    </row>
    <row r="27" customFormat="false" ht="15" hidden="false" customHeight="false" outlineLevel="0" collapsed="false">
      <c r="A27" s="4" t="s">
        <v>98</v>
      </c>
      <c r="B27" s="4" t="s">
        <v>30</v>
      </c>
      <c r="C27" s="4" t="s">
        <v>31</v>
      </c>
      <c r="D27" s="7" t="s">
        <v>99</v>
      </c>
      <c r="E27" s="4" t="s">
        <v>33</v>
      </c>
      <c r="F27" s="4" t="s">
        <v>4</v>
      </c>
      <c r="G27" s="8" t="n">
        <v>77531.3321546912</v>
      </c>
      <c r="H27" s="6" t="n">
        <f aca="false">IF(G27="","",G27/SUMIFS($G$2:$G$1462,$F$2:$F$1462,"Served"))</f>
        <v>0.00799190967208826</v>
      </c>
      <c r="I27" s="4" t="n">
        <f aca="false">IF(G27="","",RANK(G27,$G$2:$G$1462,0))</f>
        <v>26</v>
      </c>
      <c r="J27" s="4" t="s">
        <v>34</v>
      </c>
    </row>
    <row r="28" customFormat="false" ht="15" hidden="false" customHeight="false" outlineLevel="0" collapsed="false">
      <c r="A28" s="4" t="s">
        <v>100</v>
      </c>
      <c r="B28" s="4" t="s">
        <v>30</v>
      </c>
      <c r="C28" s="4" t="s">
        <v>56</v>
      </c>
      <c r="D28" s="7" t="s">
        <v>101</v>
      </c>
      <c r="E28" s="4" t="s">
        <v>33</v>
      </c>
      <c r="F28" s="4" t="s">
        <v>4</v>
      </c>
      <c r="G28" s="8" t="n">
        <v>70606.0121663213</v>
      </c>
      <c r="H28" s="6" t="n">
        <f aca="false">IF(G28="","",G28/SUMIFS($G$2:$G$1462,$F$2:$F$1462,"Served"))</f>
        <v>0.00727804947829032</v>
      </c>
      <c r="I28" s="4" t="n">
        <f aca="false">IF(G28="","",RANK(G28,$G$2:$G$1462,0))</f>
        <v>27</v>
      </c>
      <c r="J28" s="4" t="s">
        <v>34</v>
      </c>
    </row>
    <row r="29" customFormat="false" ht="15" hidden="false" customHeight="false" outlineLevel="0" collapsed="false">
      <c r="A29" s="4" t="s">
        <v>102</v>
      </c>
      <c r="B29" s="4" t="s">
        <v>30</v>
      </c>
      <c r="C29" s="4" t="s">
        <v>31</v>
      </c>
      <c r="D29" s="7" t="s">
        <v>103</v>
      </c>
      <c r="E29" s="4" t="s">
        <v>33</v>
      </c>
      <c r="F29" s="4" t="s">
        <v>4</v>
      </c>
      <c r="G29" s="8" t="n">
        <v>70136.0769141913</v>
      </c>
      <c r="H29" s="6" t="n">
        <f aca="false">IF(G29="","",G29/SUMIFS($G$2:$G$1462,$F$2:$F$1462,"Served"))</f>
        <v>0.00722960867400671</v>
      </c>
      <c r="I29" s="4" t="n">
        <f aca="false">IF(G29="","",RANK(G29,$G$2:$G$1462,0))</f>
        <v>28</v>
      </c>
      <c r="J29" s="4" t="s">
        <v>34</v>
      </c>
    </row>
    <row r="30" customFormat="false" ht="15" hidden="false" customHeight="false" outlineLevel="0" collapsed="false">
      <c r="A30" s="4" t="s">
        <v>104</v>
      </c>
      <c r="B30" s="4" t="s">
        <v>30</v>
      </c>
      <c r="C30" s="4" t="s">
        <v>31</v>
      </c>
      <c r="D30" s="7" t="s">
        <v>105</v>
      </c>
      <c r="E30" s="4" t="s">
        <v>33</v>
      </c>
      <c r="F30" s="4" t="s">
        <v>4</v>
      </c>
      <c r="G30" s="8" t="n">
        <v>68294.6589303613</v>
      </c>
      <c r="H30" s="6" t="n">
        <f aca="false">IF(G30="","",G30/SUMIFS($G$2:$G$1462,$F$2:$F$1462,"Served"))</f>
        <v>0.00703979578434856</v>
      </c>
      <c r="I30" s="4" t="n">
        <f aca="false">IF(G30="","",RANK(G30,$G$2:$G$1462,0))</f>
        <v>29</v>
      </c>
      <c r="J30" s="4" t="s">
        <v>34</v>
      </c>
    </row>
    <row r="31" customFormat="false" ht="15" hidden="false" customHeight="false" outlineLevel="0" collapsed="false">
      <c r="A31" s="4" t="s">
        <v>106</v>
      </c>
      <c r="B31" s="4" t="s">
        <v>43</v>
      </c>
      <c r="C31" s="4" t="s">
        <v>44</v>
      </c>
      <c r="D31" s="7" t="s">
        <v>107</v>
      </c>
      <c r="E31" s="4" t="s">
        <v>46</v>
      </c>
      <c r="F31" s="4" t="s">
        <v>4</v>
      </c>
      <c r="G31" s="8" t="n">
        <v>65016.1791375876</v>
      </c>
      <c r="H31" s="6" t="n">
        <f aca="false">IF(G31="","",G31/SUMIFS($G$2:$G$1462,$F$2:$F$1462,"Served"))</f>
        <v>0.00670185093498963</v>
      </c>
      <c r="I31" s="4" t="n">
        <f aca="false">IF(G31="","",RANK(G31,$G$2:$G$1462,0))</f>
        <v>30</v>
      </c>
      <c r="J31" s="4" t="s">
        <v>34</v>
      </c>
    </row>
    <row r="32" customFormat="false" ht="15" hidden="false" customHeight="false" outlineLevel="0" collapsed="false">
      <c r="A32" s="4" t="s">
        <v>108</v>
      </c>
      <c r="B32" s="4" t="s">
        <v>30</v>
      </c>
      <c r="C32" s="4" t="s">
        <v>109</v>
      </c>
      <c r="D32" s="7" t="s">
        <v>110</v>
      </c>
      <c r="E32" s="4" t="s">
        <v>33</v>
      </c>
      <c r="F32" s="4" t="s">
        <v>4</v>
      </c>
      <c r="G32" s="8" t="n">
        <v>62916.7438669205</v>
      </c>
      <c r="H32" s="6" t="n">
        <f aca="false">IF(G32="","",G32/SUMIFS($G$2:$G$1462,$F$2:$F$1462,"Served"))</f>
        <v>0.00648544169011698</v>
      </c>
      <c r="I32" s="4" t="n">
        <f aca="false">IF(G32="","",RANK(G32,$G$2:$G$1462,0))</f>
        <v>31</v>
      </c>
      <c r="J32" s="4" t="s">
        <v>34</v>
      </c>
    </row>
    <row r="33" customFormat="false" ht="15" hidden="false" customHeight="false" outlineLevel="0" collapsed="false">
      <c r="A33" s="4" t="s">
        <v>111</v>
      </c>
      <c r="B33" s="4" t="s">
        <v>61</v>
      </c>
      <c r="C33" s="4" t="s">
        <v>62</v>
      </c>
      <c r="D33" s="7" t="s">
        <v>112</v>
      </c>
      <c r="E33" s="4" t="s">
        <v>64</v>
      </c>
      <c r="F33" s="4" t="s">
        <v>4</v>
      </c>
      <c r="G33" s="8" t="n">
        <v>62824.4948107004</v>
      </c>
      <c r="H33" s="6" t="n">
        <f aca="false">IF(G33="","",G33/SUMIFS($G$2:$G$1462,$F$2:$F$1462,"Served"))</f>
        <v>0.00647593268125363</v>
      </c>
      <c r="I33" s="4" t="n">
        <f aca="false">IF(G33="","",RANK(G33,$G$2:$G$1462,0))</f>
        <v>32</v>
      </c>
      <c r="J33" s="4" t="s">
        <v>34</v>
      </c>
    </row>
    <row r="34" customFormat="false" ht="15" hidden="false" customHeight="false" outlineLevel="0" collapsed="false">
      <c r="A34" s="4" t="s">
        <v>113</v>
      </c>
      <c r="B34" s="4" t="s">
        <v>30</v>
      </c>
      <c r="C34" s="4" t="s">
        <v>31</v>
      </c>
      <c r="D34" s="7" t="s">
        <v>114</v>
      </c>
      <c r="E34" s="4" t="s">
        <v>33</v>
      </c>
      <c r="F34" s="4" t="s">
        <v>4</v>
      </c>
      <c r="G34" s="8" t="n">
        <v>58684.7717767358</v>
      </c>
      <c r="H34" s="6" t="n">
        <f aca="false">IF(G34="","",G34/SUMIFS($G$2:$G$1462,$F$2:$F$1462,"Served"))</f>
        <v>0.00604921110127486</v>
      </c>
      <c r="I34" s="4" t="n">
        <f aca="false">IF(G34="","",RANK(G34,$G$2:$G$1462,0))</f>
        <v>33</v>
      </c>
      <c r="J34" s="4" t="s">
        <v>34</v>
      </c>
    </row>
    <row r="35" customFormat="false" ht="15" hidden="false" customHeight="false" outlineLevel="0" collapsed="false">
      <c r="A35" s="4" t="s">
        <v>115</v>
      </c>
      <c r="B35" s="4" t="s">
        <v>30</v>
      </c>
      <c r="C35" s="4" t="s">
        <v>31</v>
      </c>
      <c r="D35" s="7" t="s">
        <v>116</v>
      </c>
      <c r="E35" s="4" t="s">
        <v>33</v>
      </c>
      <c r="F35" s="4" t="s">
        <v>4</v>
      </c>
      <c r="G35" s="8" t="n">
        <v>52093.3456298113</v>
      </c>
      <c r="H35" s="6" t="n">
        <f aca="false">IF(G35="","",G35/SUMIFS($G$2:$G$1462,$F$2:$F$1462,"Served"))</f>
        <v>0.00536976859832189</v>
      </c>
      <c r="I35" s="4" t="n">
        <f aca="false">IF(G35="","",RANK(G35,$G$2:$G$1462,0))</f>
        <v>34</v>
      </c>
      <c r="J35" s="4" t="s">
        <v>34</v>
      </c>
    </row>
    <row r="36" customFormat="false" ht="15" hidden="false" customHeight="false" outlineLevel="0" collapsed="false">
      <c r="A36" s="4" t="s">
        <v>117</v>
      </c>
      <c r="B36" s="4" t="s">
        <v>30</v>
      </c>
      <c r="C36" s="4" t="s">
        <v>31</v>
      </c>
      <c r="D36" s="7" t="s">
        <v>118</v>
      </c>
      <c r="E36" s="4" t="s">
        <v>33</v>
      </c>
      <c r="F36" s="4" t="s">
        <v>4</v>
      </c>
      <c r="G36" s="8" t="n">
        <v>51672.4989110827</v>
      </c>
      <c r="H36" s="6" t="n">
        <f aca="false">IF(G36="","",G36/SUMIFS($G$2:$G$1462,$F$2:$F$1462,"Served"))</f>
        <v>0.00532638782736903</v>
      </c>
      <c r="I36" s="4" t="n">
        <f aca="false">IF(G36="","",RANK(G36,$G$2:$G$1462,0))</f>
        <v>35</v>
      </c>
      <c r="J36" s="4" t="s">
        <v>34</v>
      </c>
    </row>
    <row r="37" customFormat="false" ht="15" hidden="false" customHeight="false" outlineLevel="0" collapsed="false">
      <c r="A37" s="4" t="s">
        <v>119</v>
      </c>
      <c r="B37" s="4" t="s">
        <v>43</v>
      </c>
      <c r="C37" s="4" t="s">
        <v>44</v>
      </c>
      <c r="D37" s="7" t="s">
        <v>120</v>
      </c>
      <c r="E37" s="4" t="s">
        <v>46</v>
      </c>
      <c r="F37" s="4" t="s">
        <v>4</v>
      </c>
      <c r="G37" s="8" t="n">
        <v>51527.1668435931</v>
      </c>
      <c r="H37" s="6" t="n">
        <f aca="false">IF(G37="","",G37/SUMIFS($G$2:$G$1462,$F$2:$F$1462,"Served"))</f>
        <v>0.0053114070354291</v>
      </c>
      <c r="I37" s="4" t="n">
        <f aca="false">IF(G37="","",RANK(G37,$G$2:$G$1462,0))</f>
        <v>36</v>
      </c>
      <c r="J37" s="4" t="s">
        <v>34</v>
      </c>
    </row>
    <row r="38" customFormat="false" ht="15" hidden="false" customHeight="false" outlineLevel="0" collapsed="false">
      <c r="A38" s="4" t="s">
        <v>121</v>
      </c>
      <c r="B38" s="4" t="s">
        <v>30</v>
      </c>
      <c r="C38" s="4" t="s">
        <v>31</v>
      </c>
      <c r="D38" s="7" t="s">
        <v>122</v>
      </c>
      <c r="E38" s="4" t="s">
        <v>33</v>
      </c>
      <c r="F38" s="4" t="s">
        <v>4</v>
      </c>
      <c r="G38" s="8" t="n">
        <v>49291.5811269283</v>
      </c>
      <c r="H38" s="6" t="n">
        <f aca="false">IF(G38="","",G38/SUMIFS($G$2:$G$1462,$F$2:$F$1462,"Served"))</f>
        <v>0.00508096343778591</v>
      </c>
      <c r="I38" s="4" t="n">
        <f aca="false">IF(G38="","",RANK(G38,$G$2:$G$1462,0))</f>
        <v>37</v>
      </c>
      <c r="J38" s="4" t="s">
        <v>34</v>
      </c>
    </row>
    <row r="39" customFormat="false" ht="15" hidden="false" customHeight="false" outlineLevel="0" collapsed="false">
      <c r="A39" s="4" t="s">
        <v>123</v>
      </c>
      <c r="B39" s="4" t="s">
        <v>87</v>
      </c>
      <c r="C39" s="4" t="s">
        <v>88</v>
      </c>
      <c r="D39" s="7" t="s">
        <v>124</v>
      </c>
      <c r="E39" s="4" t="s">
        <v>90</v>
      </c>
      <c r="F39" s="4" t="s">
        <v>4</v>
      </c>
      <c r="G39" s="8" t="n">
        <v>49157.7712141275</v>
      </c>
      <c r="H39" s="6" t="n">
        <f aca="false">IF(G39="","",G39/SUMIFS($G$2:$G$1462,$F$2:$F$1462,"Served"))</f>
        <v>0.00506717034657216</v>
      </c>
      <c r="I39" s="4" t="n">
        <f aca="false">IF(G39="","",RANK(G39,$G$2:$G$1462,0))</f>
        <v>38</v>
      </c>
      <c r="J39" s="4" t="s">
        <v>34</v>
      </c>
    </row>
    <row r="40" customFormat="false" ht="15" hidden="false" customHeight="false" outlineLevel="0" collapsed="false">
      <c r="A40" s="4" t="s">
        <v>125</v>
      </c>
      <c r="B40" s="4" t="s">
        <v>87</v>
      </c>
      <c r="C40" s="4" t="s">
        <v>88</v>
      </c>
      <c r="D40" s="7" t="s">
        <v>126</v>
      </c>
      <c r="E40" s="4" t="s">
        <v>90</v>
      </c>
      <c r="F40" s="4" t="s">
        <v>4</v>
      </c>
      <c r="G40" s="8" t="n">
        <v>48928.4591042996</v>
      </c>
      <c r="H40" s="6" t="n">
        <f aca="false">IF(G40="","",G40/SUMIFS($G$2:$G$1462,$F$2:$F$1462,"Served"))</f>
        <v>0.00504353291358178</v>
      </c>
      <c r="I40" s="4" t="n">
        <f aca="false">IF(G40="","",RANK(G40,$G$2:$G$1462,0))</f>
        <v>39</v>
      </c>
      <c r="J40" s="4" t="s">
        <v>34</v>
      </c>
    </row>
    <row r="41" customFormat="false" ht="15" hidden="false" customHeight="false" outlineLevel="0" collapsed="false">
      <c r="A41" s="4" t="s">
        <v>127</v>
      </c>
      <c r="B41" s="4" t="s">
        <v>30</v>
      </c>
      <c r="C41" s="4" t="s">
        <v>31</v>
      </c>
      <c r="D41" s="7" t="s">
        <v>128</v>
      </c>
      <c r="E41" s="4" t="s">
        <v>33</v>
      </c>
      <c r="F41" s="4" t="s">
        <v>4</v>
      </c>
      <c r="G41" s="8" t="n">
        <v>48347.6847646833</v>
      </c>
      <c r="H41" s="6" t="n">
        <f aca="false">IF(G41="","",G41/SUMIFS($G$2:$G$1462,$F$2:$F$1462,"Served"))</f>
        <v>0.00498366684481851</v>
      </c>
      <c r="I41" s="4" t="n">
        <f aca="false">IF(G41="","",RANK(G41,$G$2:$G$1462,0))</f>
        <v>40</v>
      </c>
      <c r="J41" s="4" t="s">
        <v>34</v>
      </c>
    </row>
    <row r="42" customFormat="false" ht="15" hidden="false" customHeight="false" outlineLevel="0" collapsed="false">
      <c r="A42" s="4" t="s">
        <v>129</v>
      </c>
      <c r="B42" s="4" t="s">
        <v>30</v>
      </c>
      <c r="C42" s="4" t="s">
        <v>40</v>
      </c>
      <c r="D42" s="7" t="s">
        <v>130</v>
      </c>
      <c r="E42" s="4" t="s">
        <v>33</v>
      </c>
      <c r="F42" s="4" t="s">
        <v>4</v>
      </c>
      <c r="G42" s="8" t="n">
        <v>48243.7999638915</v>
      </c>
      <c r="H42" s="6" t="n">
        <f aca="false">IF(G42="","",G42/SUMIFS($G$2:$G$1462,$F$2:$F$1462,"Served"))</f>
        <v>0.00497295842641324</v>
      </c>
      <c r="I42" s="4" t="n">
        <f aca="false">IF(G42="","",RANK(G42,$G$2:$G$1462,0))</f>
        <v>41</v>
      </c>
      <c r="J42" s="4" t="s">
        <v>34</v>
      </c>
    </row>
    <row r="43" customFormat="false" ht="15" hidden="false" customHeight="false" outlineLevel="0" collapsed="false">
      <c r="A43" s="4" t="s">
        <v>131</v>
      </c>
      <c r="B43" s="4" t="s">
        <v>132</v>
      </c>
      <c r="C43" s="4" t="s">
        <v>133</v>
      </c>
      <c r="D43" s="7" t="s">
        <v>134</v>
      </c>
      <c r="E43" s="4" t="s">
        <v>135</v>
      </c>
      <c r="F43" s="4" t="s">
        <v>4</v>
      </c>
      <c r="G43" s="8" t="n">
        <v>45202.7409248352</v>
      </c>
      <c r="H43" s="6" t="n">
        <f aca="false">IF(G43="","",G43/SUMIFS($G$2:$G$1462,$F$2:$F$1462,"Served"))</f>
        <v>0.00465948684696025</v>
      </c>
      <c r="I43" s="4" t="n">
        <f aca="false">IF(G43="","",RANK(G43,$G$2:$G$1462,0))</f>
        <v>42</v>
      </c>
      <c r="J43" s="4" t="s">
        <v>34</v>
      </c>
    </row>
    <row r="44" customFormat="false" ht="15" hidden="false" customHeight="false" outlineLevel="0" collapsed="false">
      <c r="A44" s="4" t="s">
        <v>136</v>
      </c>
      <c r="B44" s="4" t="s">
        <v>43</v>
      </c>
      <c r="C44" s="4" t="s">
        <v>44</v>
      </c>
      <c r="D44" s="7" t="s">
        <v>137</v>
      </c>
      <c r="E44" s="4" t="s">
        <v>46</v>
      </c>
      <c r="F44" s="4" t="s">
        <v>4</v>
      </c>
      <c r="G44" s="8" t="n">
        <v>44529.2311200798</v>
      </c>
      <c r="H44" s="6" t="n">
        <f aca="false">IF(G44="","",G44/SUMIFS($G$2:$G$1462,$F$2:$F$1462,"Served"))</f>
        <v>0.00459006163042803</v>
      </c>
      <c r="I44" s="4" t="n">
        <f aca="false">IF(G44="","",RANK(G44,$G$2:$G$1462,0))</f>
        <v>43</v>
      </c>
      <c r="J44" s="4" t="s">
        <v>34</v>
      </c>
    </row>
    <row r="45" customFormat="false" ht="15" hidden="false" customHeight="false" outlineLevel="0" collapsed="false">
      <c r="A45" s="4" t="s">
        <v>138</v>
      </c>
      <c r="B45" s="4" t="s">
        <v>72</v>
      </c>
      <c r="C45" s="4" t="s">
        <v>73</v>
      </c>
      <c r="D45" s="7" t="s">
        <v>139</v>
      </c>
      <c r="E45" s="4" t="s">
        <v>75</v>
      </c>
      <c r="F45" s="4" t="s">
        <v>4</v>
      </c>
      <c r="G45" s="8" t="n">
        <v>43532.064316988</v>
      </c>
      <c r="H45" s="6" t="n">
        <f aca="false">IF(G45="","",G45/SUMIFS($G$2:$G$1462,$F$2:$F$1462,"Served"))</f>
        <v>0.0044872739341917</v>
      </c>
      <c r="I45" s="4" t="n">
        <f aca="false">IF(G45="","",RANK(G45,$G$2:$G$1462,0))</f>
        <v>44</v>
      </c>
      <c r="J45" s="4" t="s">
        <v>34</v>
      </c>
    </row>
    <row r="46" customFormat="false" ht="15" hidden="false" customHeight="false" outlineLevel="0" collapsed="false">
      <c r="A46" s="4" t="s">
        <v>140</v>
      </c>
      <c r="B46" s="4" t="s">
        <v>30</v>
      </c>
      <c r="C46" s="4" t="s">
        <v>31</v>
      </c>
      <c r="D46" s="7" t="s">
        <v>141</v>
      </c>
      <c r="E46" s="4" t="s">
        <v>33</v>
      </c>
      <c r="F46" s="4" t="s">
        <v>4</v>
      </c>
      <c r="G46" s="8" t="n">
        <v>43309.2735808492</v>
      </c>
      <c r="H46" s="6" t="n">
        <f aca="false">IF(G46="","",G46/SUMIFS($G$2:$G$1462,$F$2:$F$1462,"Served"))</f>
        <v>0.00446430872271504</v>
      </c>
      <c r="I46" s="4" t="n">
        <f aca="false">IF(G46="","",RANK(G46,$G$2:$G$1462,0))</f>
        <v>45</v>
      </c>
      <c r="J46" s="4" t="s">
        <v>34</v>
      </c>
    </row>
    <row r="47" customFormat="false" ht="15" hidden="false" customHeight="false" outlineLevel="0" collapsed="false">
      <c r="A47" s="4" t="s">
        <v>142</v>
      </c>
      <c r="B47" s="4" t="s">
        <v>30</v>
      </c>
      <c r="C47" s="4" t="s">
        <v>31</v>
      </c>
      <c r="D47" s="7" t="s">
        <v>143</v>
      </c>
      <c r="E47" s="4" t="s">
        <v>33</v>
      </c>
      <c r="F47" s="4" t="s">
        <v>4</v>
      </c>
      <c r="G47" s="8" t="n">
        <v>42555.1744514108</v>
      </c>
      <c r="H47" s="6" t="n">
        <f aca="false">IF(G47="","",G47/SUMIFS($G$2:$G$1462,$F$2:$F$1462,"Served"))</f>
        <v>0.00438657637943158</v>
      </c>
      <c r="I47" s="4" t="n">
        <f aca="false">IF(G47="","",RANK(G47,$G$2:$G$1462,0))</f>
        <v>46</v>
      </c>
      <c r="J47" s="4" t="s">
        <v>34</v>
      </c>
    </row>
    <row r="48" customFormat="false" ht="15" hidden="false" customHeight="false" outlineLevel="0" collapsed="false">
      <c r="A48" s="4" t="s">
        <v>144</v>
      </c>
      <c r="B48" s="4" t="s">
        <v>43</v>
      </c>
      <c r="C48" s="4" t="s">
        <v>44</v>
      </c>
      <c r="D48" s="7" t="s">
        <v>145</v>
      </c>
      <c r="E48" s="4" t="s">
        <v>46</v>
      </c>
      <c r="F48" s="4" t="s">
        <v>4</v>
      </c>
      <c r="G48" s="8" t="n">
        <v>41876.946724385</v>
      </c>
      <c r="H48" s="6" t="n">
        <f aca="false">IF(G48="","",G48/SUMIFS($G$2:$G$1462,$F$2:$F$1462,"Served"))</f>
        <v>0.0043166648406916</v>
      </c>
      <c r="I48" s="4" t="n">
        <f aca="false">IF(G48="","",RANK(G48,$G$2:$G$1462,0))</f>
        <v>47</v>
      </c>
      <c r="J48" s="4" t="s">
        <v>34</v>
      </c>
    </row>
    <row r="49" customFormat="false" ht="15" hidden="false" customHeight="false" outlineLevel="0" collapsed="false">
      <c r="A49" s="4" t="s">
        <v>146</v>
      </c>
      <c r="B49" s="4" t="s">
        <v>61</v>
      </c>
      <c r="C49" s="4" t="s">
        <v>62</v>
      </c>
      <c r="D49" s="7" t="s">
        <v>147</v>
      </c>
      <c r="E49" s="4" t="s">
        <v>64</v>
      </c>
      <c r="F49" s="4" t="s">
        <v>4</v>
      </c>
      <c r="G49" s="8" t="n">
        <v>40217.2392629385</v>
      </c>
      <c r="H49" s="6" t="n">
        <f aca="false">IF(G49="","",G49/SUMIFS($G$2:$G$1462,$F$2:$F$1462,"Served"))</f>
        <v>0.00414558262469785</v>
      </c>
      <c r="I49" s="4" t="n">
        <f aca="false">IF(G49="","",RANK(G49,$G$2:$G$1462,0))</f>
        <v>48</v>
      </c>
      <c r="J49" s="4" t="s">
        <v>34</v>
      </c>
    </row>
    <row r="50" customFormat="false" ht="15" hidden="false" customHeight="false" outlineLevel="0" collapsed="false">
      <c r="A50" s="4" t="s">
        <v>148</v>
      </c>
      <c r="B50" s="4" t="s">
        <v>30</v>
      </c>
      <c r="C50" s="4" t="s">
        <v>31</v>
      </c>
      <c r="D50" s="7" t="s">
        <v>149</v>
      </c>
      <c r="E50" s="4" t="s">
        <v>33</v>
      </c>
      <c r="F50" s="4" t="s">
        <v>4</v>
      </c>
      <c r="G50" s="8" t="n">
        <v>40022.665099144</v>
      </c>
      <c r="H50" s="6" t="n">
        <f aca="false">IF(G50="","",G50/SUMIFS($G$2:$G$1462,$F$2:$F$1462,"Served"))</f>
        <v>0.0041255259702028</v>
      </c>
      <c r="I50" s="4" t="n">
        <f aca="false">IF(G50="","",RANK(G50,$G$2:$G$1462,0))</f>
        <v>49</v>
      </c>
      <c r="J50" s="4" t="s">
        <v>34</v>
      </c>
    </row>
    <row r="51" customFormat="false" ht="15" hidden="false" customHeight="false" outlineLevel="0" collapsed="false">
      <c r="A51" s="4" t="s">
        <v>150</v>
      </c>
      <c r="B51" s="4" t="s">
        <v>132</v>
      </c>
      <c r="C51" s="4" t="s">
        <v>133</v>
      </c>
      <c r="D51" s="7" t="s">
        <v>151</v>
      </c>
      <c r="E51" s="4" t="s">
        <v>135</v>
      </c>
      <c r="F51" s="4" t="s">
        <v>4</v>
      </c>
      <c r="G51" s="8" t="n">
        <v>39039.3682210445</v>
      </c>
      <c r="H51" s="6" t="n">
        <f aca="false">IF(G51="","",G51/SUMIFS($G$2:$G$1462,$F$2:$F$1462,"Served"))</f>
        <v>0.00402416798224848</v>
      </c>
      <c r="I51" s="4" t="n">
        <f aca="false">IF(G51="","",RANK(G51,$G$2:$G$1462,0))</f>
        <v>50</v>
      </c>
      <c r="J51" s="4" t="s">
        <v>34</v>
      </c>
    </row>
    <row r="52" customFormat="false" ht="15" hidden="false" customHeight="false" outlineLevel="0" collapsed="false">
      <c r="A52" s="4" t="s">
        <v>152</v>
      </c>
      <c r="B52" s="4" t="s">
        <v>132</v>
      </c>
      <c r="C52" s="4" t="s">
        <v>133</v>
      </c>
      <c r="D52" s="7" t="s">
        <v>153</v>
      </c>
      <c r="E52" s="4" t="s">
        <v>135</v>
      </c>
      <c r="F52" s="4" t="s">
        <v>4</v>
      </c>
      <c r="G52" s="8" t="n">
        <v>38750.7065198422</v>
      </c>
      <c r="H52" s="6" t="n">
        <f aca="false">IF(G52="","",G52/SUMIFS($G$2:$G$1462,$F$2:$F$1462,"Served"))</f>
        <v>0.0039944128087246</v>
      </c>
      <c r="I52" s="4" t="n">
        <f aca="false">IF(G52="","",RANK(G52,$G$2:$G$1462,0))</f>
        <v>51</v>
      </c>
      <c r="J52" s="4" t="s">
        <v>34</v>
      </c>
    </row>
    <row r="53" customFormat="false" ht="15" hidden="false" customHeight="false" outlineLevel="0" collapsed="false">
      <c r="A53" s="4" t="s">
        <v>154</v>
      </c>
      <c r="B53" s="4" t="s">
        <v>30</v>
      </c>
      <c r="C53" s="4" t="s">
        <v>31</v>
      </c>
      <c r="D53" s="7" t="s">
        <v>155</v>
      </c>
      <c r="E53" s="4" t="s">
        <v>33</v>
      </c>
      <c r="F53" s="4" t="s">
        <v>4</v>
      </c>
      <c r="G53" s="8" t="n">
        <v>38061.8029388189</v>
      </c>
      <c r="H53" s="6" t="n">
        <f aca="false">IF(G53="","",G53/SUMIFS($G$2:$G$1462,$F$2:$F$1462,"Served"))</f>
        <v>0.00392340080571489</v>
      </c>
      <c r="I53" s="4" t="n">
        <f aca="false">IF(G53="","",RANK(G53,$G$2:$G$1462,0))</f>
        <v>52</v>
      </c>
      <c r="J53" s="4" t="s">
        <v>34</v>
      </c>
    </row>
    <row r="54" customFormat="false" ht="15" hidden="false" customHeight="false" outlineLevel="0" collapsed="false">
      <c r="A54" s="4" t="s">
        <v>156</v>
      </c>
      <c r="B54" s="4" t="s">
        <v>61</v>
      </c>
      <c r="C54" s="4" t="s">
        <v>62</v>
      </c>
      <c r="D54" s="7" t="s">
        <v>157</v>
      </c>
      <c r="E54" s="4" t="s">
        <v>64</v>
      </c>
      <c r="F54" s="4" t="s">
        <v>4</v>
      </c>
      <c r="G54" s="8" t="n">
        <v>37252.4788166881</v>
      </c>
      <c r="H54" s="6" t="n">
        <f aca="false">IF(G54="","",G54/SUMIFS($G$2:$G$1462,$F$2:$F$1462,"Served"))</f>
        <v>0.00383997588446361</v>
      </c>
      <c r="I54" s="4" t="n">
        <f aca="false">IF(G54="","",RANK(G54,$G$2:$G$1462,0))</f>
        <v>53</v>
      </c>
      <c r="J54" s="4" t="s">
        <v>34</v>
      </c>
    </row>
    <row r="55" customFormat="false" ht="15" hidden="false" customHeight="false" outlineLevel="0" collapsed="false">
      <c r="A55" s="4" t="s">
        <v>158</v>
      </c>
      <c r="B55" s="4" t="s">
        <v>87</v>
      </c>
      <c r="C55" s="4" t="s">
        <v>88</v>
      </c>
      <c r="D55" s="7" t="s">
        <v>159</v>
      </c>
      <c r="E55" s="4" t="s">
        <v>90</v>
      </c>
      <c r="F55" s="4" t="s">
        <v>4</v>
      </c>
      <c r="G55" s="8" t="n">
        <v>36367.681823045</v>
      </c>
      <c r="H55" s="6" t="n">
        <f aca="false">IF(G55="","",G55/SUMIFS($G$2:$G$1462,$F$2:$F$1462,"Served"))</f>
        <v>0.00374877123913104</v>
      </c>
      <c r="I55" s="4" t="n">
        <f aca="false">IF(G55="","",RANK(G55,$G$2:$G$1462,0))</f>
        <v>54</v>
      </c>
      <c r="J55" s="4" t="s">
        <v>34</v>
      </c>
    </row>
    <row r="56" customFormat="false" ht="15" hidden="false" customHeight="false" outlineLevel="0" collapsed="false">
      <c r="A56" s="4" t="s">
        <v>160</v>
      </c>
      <c r="B56" s="4" t="s">
        <v>30</v>
      </c>
      <c r="C56" s="4" t="s">
        <v>56</v>
      </c>
      <c r="D56" s="7" t="s">
        <v>161</v>
      </c>
      <c r="E56" s="4" t="s">
        <v>33</v>
      </c>
      <c r="F56" s="4" t="s">
        <v>4</v>
      </c>
      <c r="G56" s="8" t="n">
        <v>36202.0141356587</v>
      </c>
      <c r="H56" s="6" t="n">
        <f aca="false">IF(G56="","",G56/SUMIFS($G$2:$G$1462,$F$2:$F$1462,"Served"))</f>
        <v>0.00373169425675012</v>
      </c>
      <c r="I56" s="4" t="n">
        <f aca="false">IF(G56="","",RANK(G56,$G$2:$G$1462,0))</f>
        <v>55</v>
      </c>
      <c r="J56" s="4" t="s">
        <v>34</v>
      </c>
    </row>
    <row r="57" customFormat="false" ht="15" hidden="false" customHeight="false" outlineLevel="0" collapsed="false">
      <c r="A57" s="4" t="s">
        <v>162</v>
      </c>
      <c r="B57" s="4" t="s">
        <v>30</v>
      </c>
      <c r="C57" s="4" t="s">
        <v>40</v>
      </c>
      <c r="D57" s="7" t="s">
        <v>163</v>
      </c>
      <c r="E57" s="4" t="s">
        <v>33</v>
      </c>
      <c r="F57" s="4" t="s">
        <v>4</v>
      </c>
      <c r="G57" s="8" t="n">
        <v>34415.0046054125</v>
      </c>
      <c r="H57" s="6" t="n">
        <f aca="false">IF(G57="","",G57/SUMIFS($G$2:$G$1462,$F$2:$F$1462,"Served"))</f>
        <v>0.00354748977641958</v>
      </c>
      <c r="I57" s="4" t="n">
        <f aca="false">IF(G57="","",RANK(G57,$G$2:$G$1462,0))</f>
        <v>56</v>
      </c>
      <c r="J57" s="4" t="s">
        <v>34</v>
      </c>
    </row>
    <row r="58" customFormat="false" ht="15" hidden="false" customHeight="false" outlineLevel="0" collapsed="false">
      <c r="A58" s="4" t="s">
        <v>164</v>
      </c>
      <c r="B58" s="4" t="s">
        <v>30</v>
      </c>
      <c r="C58" s="4" t="s">
        <v>31</v>
      </c>
      <c r="D58" s="7" t="s">
        <v>165</v>
      </c>
      <c r="E58" s="4" t="s">
        <v>33</v>
      </c>
      <c r="F58" s="4" t="s">
        <v>4</v>
      </c>
      <c r="G58" s="8" t="n">
        <v>33569.6985493004</v>
      </c>
      <c r="H58" s="6" t="n">
        <f aca="false">IF(G58="","",G58/SUMIFS($G$2:$G$1462,$F$2:$F$1462,"Served"))</f>
        <v>0.00346035584671697</v>
      </c>
      <c r="I58" s="4" t="n">
        <f aca="false">IF(G58="","",RANK(G58,$G$2:$G$1462,0))</f>
        <v>57</v>
      </c>
      <c r="J58" s="4" t="s">
        <v>34</v>
      </c>
    </row>
    <row r="59" customFormat="false" ht="15" hidden="false" customHeight="false" outlineLevel="0" collapsed="false">
      <c r="A59" s="4" t="s">
        <v>166</v>
      </c>
      <c r="B59" s="4" t="s">
        <v>72</v>
      </c>
      <c r="C59" s="4" t="s">
        <v>73</v>
      </c>
      <c r="D59" s="7" t="s">
        <v>167</v>
      </c>
      <c r="E59" s="4" t="s">
        <v>75</v>
      </c>
      <c r="F59" s="4" t="s">
        <v>4</v>
      </c>
      <c r="G59" s="8" t="n">
        <v>32517.208758831</v>
      </c>
      <c r="H59" s="6" t="n">
        <f aca="false">IF(G59="","",G59/SUMIFS($G$2:$G$1462,$F$2:$F$1462,"Served"))</f>
        <v>0.003351865471246</v>
      </c>
      <c r="I59" s="4" t="n">
        <f aca="false">IF(G59="","",RANK(G59,$G$2:$G$1462,0))</f>
        <v>58</v>
      </c>
      <c r="J59" s="4" t="s">
        <v>34</v>
      </c>
    </row>
    <row r="60" customFormat="false" ht="15" hidden="false" customHeight="false" outlineLevel="0" collapsed="false">
      <c r="A60" s="4" t="s">
        <v>168</v>
      </c>
      <c r="B60" s="4" t="s">
        <v>30</v>
      </c>
      <c r="C60" s="4" t="s">
        <v>56</v>
      </c>
      <c r="D60" s="7" t="s">
        <v>169</v>
      </c>
      <c r="E60" s="4" t="s">
        <v>33</v>
      </c>
      <c r="F60" s="4" t="s">
        <v>4</v>
      </c>
      <c r="G60" s="8" t="n">
        <v>32008.3321291804</v>
      </c>
      <c r="H60" s="6" t="n">
        <f aca="false">IF(G60="","",G60/SUMIFS($G$2:$G$1462,$F$2:$F$1462,"Served"))</f>
        <v>0.00329941059983621</v>
      </c>
      <c r="I60" s="4" t="n">
        <f aca="false">IF(G60="","",RANK(G60,$G$2:$G$1462,0))</f>
        <v>59</v>
      </c>
      <c r="J60" s="4" t="s">
        <v>34</v>
      </c>
    </row>
    <row r="61" customFormat="false" ht="15" hidden="false" customHeight="false" outlineLevel="0" collapsed="false">
      <c r="A61" s="4" t="s">
        <v>170</v>
      </c>
      <c r="B61" s="4" t="s">
        <v>171</v>
      </c>
      <c r="C61" s="4" t="s">
        <v>172</v>
      </c>
      <c r="D61" s="7" t="s">
        <v>173</v>
      </c>
      <c r="E61" s="4" t="s">
        <v>33</v>
      </c>
      <c r="F61" s="4" t="s">
        <v>4</v>
      </c>
      <c r="G61" s="8" t="n">
        <v>30762.0571207404</v>
      </c>
      <c r="H61" s="6" t="n">
        <f aca="false">IF(G61="","",G61/SUMIFS($G$2:$G$1462,$F$2:$F$1462,"Served"))</f>
        <v>0.00317094489420173</v>
      </c>
      <c r="I61" s="4" t="n">
        <f aca="false">IF(G61="","",RANK(G61,$G$2:$G$1462,0))</f>
        <v>60</v>
      </c>
      <c r="J61" s="4" t="s">
        <v>34</v>
      </c>
    </row>
    <row r="62" customFormat="false" ht="15" hidden="false" customHeight="false" outlineLevel="0" collapsed="false">
      <c r="A62" s="4" t="s">
        <v>174</v>
      </c>
      <c r="B62" s="4" t="s">
        <v>87</v>
      </c>
      <c r="C62" s="4" t="s">
        <v>88</v>
      </c>
      <c r="D62" s="7" t="s">
        <v>175</v>
      </c>
      <c r="E62" s="4" t="s">
        <v>90</v>
      </c>
      <c r="F62" s="4" t="s">
        <v>4</v>
      </c>
      <c r="G62" s="8" t="n">
        <v>30573.0203233063</v>
      </c>
      <c r="H62" s="6" t="n">
        <f aca="false">IF(G62="","",G62/SUMIFS($G$2:$G$1462,$F$2:$F$1462,"Served"))</f>
        <v>0.00315145902999938</v>
      </c>
      <c r="I62" s="4" t="n">
        <f aca="false">IF(G62="","",RANK(G62,$G$2:$G$1462,0))</f>
        <v>61</v>
      </c>
      <c r="J62" s="4" t="s">
        <v>34</v>
      </c>
    </row>
    <row r="63" customFormat="false" ht="15" hidden="false" customHeight="false" outlineLevel="0" collapsed="false">
      <c r="A63" s="4" t="s">
        <v>176</v>
      </c>
      <c r="B63" s="4" t="s">
        <v>43</v>
      </c>
      <c r="C63" s="4" t="s">
        <v>44</v>
      </c>
      <c r="D63" s="7" t="s">
        <v>177</v>
      </c>
      <c r="E63" s="4" t="s">
        <v>46</v>
      </c>
      <c r="F63" s="4" t="s">
        <v>4</v>
      </c>
      <c r="G63" s="8" t="n">
        <v>30166.2553690672</v>
      </c>
      <c r="H63" s="6" t="n">
        <f aca="false">IF(G63="","",G63/SUMIFS($G$2:$G$1462,$F$2:$F$1462,"Served"))</f>
        <v>0.00310952980368911</v>
      </c>
      <c r="I63" s="4" t="n">
        <f aca="false">IF(G63="","",RANK(G63,$G$2:$G$1462,0))</f>
        <v>62</v>
      </c>
      <c r="J63" s="4" t="s">
        <v>34</v>
      </c>
    </row>
    <row r="64" customFormat="false" ht="15" hidden="false" customHeight="false" outlineLevel="0" collapsed="false">
      <c r="A64" s="4" t="s">
        <v>178</v>
      </c>
      <c r="B64" s="4" t="s">
        <v>61</v>
      </c>
      <c r="C64" s="4" t="s">
        <v>62</v>
      </c>
      <c r="D64" s="7" t="s">
        <v>179</v>
      </c>
      <c r="E64" s="4" t="s">
        <v>64</v>
      </c>
      <c r="F64" s="4" t="s">
        <v>4</v>
      </c>
      <c r="G64" s="8" t="n">
        <v>29161.7344325781</v>
      </c>
      <c r="H64" s="6" t="n">
        <f aca="false">IF(G64="","",G64/SUMIFS($G$2:$G$1462,$F$2:$F$1462,"Served"))</f>
        <v>0.00300598404528366</v>
      </c>
      <c r="I64" s="4" t="n">
        <f aca="false">IF(G64="","",RANK(G64,$G$2:$G$1462,0))</f>
        <v>63</v>
      </c>
      <c r="J64" s="4" t="s">
        <v>34</v>
      </c>
    </row>
    <row r="65" customFormat="false" ht="15" hidden="false" customHeight="false" outlineLevel="0" collapsed="false">
      <c r="A65" s="4" t="s">
        <v>180</v>
      </c>
      <c r="B65" s="4" t="s">
        <v>30</v>
      </c>
      <c r="C65" s="4" t="s">
        <v>31</v>
      </c>
      <c r="D65" s="7" t="s">
        <v>181</v>
      </c>
      <c r="E65" s="4" t="s">
        <v>33</v>
      </c>
      <c r="F65" s="4" t="s">
        <v>4</v>
      </c>
      <c r="G65" s="8" t="n">
        <v>28141.8594187498</v>
      </c>
      <c r="H65" s="6" t="n">
        <f aca="false">IF(G65="","",G65/SUMIFS($G$2:$G$1462,$F$2:$F$1462,"Served"))</f>
        <v>0.00290085559255602</v>
      </c>
      <c r="I65" s="4" t="n">
        <f aca="false">IF(G65="","",RANK(G65,$G$2:$G$1462,0))</f>
        <v>64</v>
      </c>
      <c r="J65" s="4" t="s">
        <v>34</v>
      </c>
    </row>
    <row r="66" customFormat="false" ht="15" hidden="false" customHeight="false" outlineLevel="0" collapsed="false">
      <c r="A66" s="4" t="s">
        <v>182</v>
      </c>
      <c r="B66" s="4" t="s">
        <v>171</v>
      </c>
      <c r="C66" s="4" t="s">
        <v>183</v>
      </c>
      <c r="D66" s="7" t="s">
        <v>184</v>
      </c>
      <c r="E66" s="4" t="s">
        <v>33</v>
      </c>
      <c r="F66" s="4" t="s">
        <v>4</v>
      </c>
      <c r="G66" s="8" t="n">
        <v>26877.8405021429</v>
      </c>
      <c r="H66" s="6" t="n">
        <f aca="false">IF(G66="","",G66/SUMIFS($G$2:$G$1462,$F$2:$F$1462,"Served"))</f>
        <v>0.00277056084945555</v>
      </c>
      <c r="I66" s="4" t="n">
        <f aca="false">IF(G66="","",RANK(G66,$G$2:$G$1462,0))</f>
        <v>65</v>
      </c>
      <c r="J66" s="4" t="s">
        <v>34</v>
      </c>
    </row>
    <row r="67" customFormat="false" ht="15" hidden="false" customHeight="false" outlineLevel="0" collapsed="false">
      <c r="A67" s="4" t="s">
        <v>185</v>
      </c>
      <c r="B67" s="4" t="s">
        <v>61</v>
      </c>
      <c r="C67" s="4" t="s">
        <v>62</v>
      </c>
      <c r="D67" s="7" t="s">
        <v>186</v>
      </c>
      <c r="E67" s="4" t="s">
        <v>64</v>
      </c>
      <c r="F67" s="4" t="s">
        <v>4</v>
      </c>
      <c r="G67" s="8" t="n">
        <v>26067.104991436</v>
      </c>
      <c r="H67" s="6" t="n">
        <f aca="false">IF(G67="","",G67/SUMIFS($G$2:$G$1462,$F$2:$F$1462,"Served"))</f>
        <v>0.00268699044263477</v>
      </c>
      <c r="I67" s="4" t="n">
        <f aca="false">IF(G67="","",RANK(G67,$G$2:$G$1462,0))</f>
        <v>66</v>
      </c>
      <c r="J67" s="4" t="s">
        <v>34</v>
      </c>
    </row>
    <row r="68" customFormat="false" ht="15" hidden="false" customHeight="false" outlineLevel="0" collapsed="false">
      <c r="A68" s="4" t="s">
        <v>187</v>
      </c>
      <c r="B68" s="4" t="s">
        <v>132</v>
      </c>
      <c r="C68" s="4" t="s">
        <v>133</v>
      </c>
      <c r="D68" s="7" t="s">
        <v>188</v>
      </c>
      <c r="E68" s="4" t="s">
        <v>135</v>
      </c>
      <c r="F68" s="4" t="s">
        <v>4</v>
      </c>
      <c r="G68" s="8" t="n">
        <v>25849.5267879367</v>
      </c>
      <c r="H68" s="6" t="n">
        <f aca="false">IF(G68="","",G68/SUMIFS($G$2:$G$1462,$F$2:$F$1462,"Served"))</f>
        <v>0.00266456253767485</v>
      </c>
      <c r="I68" s="4" t="n">
        <f aca="false">IF(G68="","",RANK(G68,$G$2:$G$1462,0))</f>
        <v>67</v>
      </c>
      <c r="J68" s="4" t="s">
        <v>34</v>
      </c>
    </row>
    <row r="69" customFormat="false" ht="15" hidden="false" customHeight="false" outlineLevel="0" collapsed="false">
      <c r="A69" s="4" t="s">
        <v>189</v>
      </c>
      <c r="B69" s="4" t="s">
        <v>72</v>
      </c>
      <c r="C69" s="4" t="s">
        <v>73</v>
      </c>
      <c r="D69" s="7" t="s">
        <v>190</v>
      </c>
      <c r="E69" s="4" t="s">
        <v>75</v>
      </c>
      <c r="F69" s="4" t="s">
        <v>4</v>
      </c>
      <c r="G69" s="8" t="n">
        <v>25782.8774567246</v>
      </c>
      <c r="H69" s="6" t="n">
        <f aca="false">IF(G69="","",G69/SUMIFS($G$2:$G$1462,$F$2:$F$1462,"Served"))</f>
        <v>0.00265769234184629</v>
      </c>
      <c r="I69" s="4" t="n">
        <f aca="false">IF(G69="","",RANK(G69,$G$2:$G$1462,0))</f>
        <v>68</v>
      </c>
      <c r="J69" s="4" t="s">
        <v>34</v>
      </c>
    </row>
    <row r="70" customFormat="false" ht="15" hidden="false" customHeight="false" outlineLevel="0" collapsed="false">
      <c r="A70" s="4" t="s">
        <v>191</v>
      </c>
      <c r="B70" s="4" t="s">
        <v>171</v>
      </c>
      <c r="C70" s="4" t="s">
        <v>192</v>
      </c>
      <c r="D70" s="7" t="s">
        <v>193</v>
      </c>
      <c r="E70" s="4" t="s">
        <v>33</v>
      </c>
      <c r="F70" s="4" t="s">
        <v>4</v>
      </c>
      <c r="G70" s="8" t="n">
        <v>24652.8168382645</v>
      </c>
      <c r="H70" s="6" t="n">
        <f aca="false">IF(G70="","",G70/SUMIFS($G$2:$G$1462,$F$2:$F$1462,"Served"))</f>
        <v>0.00254120598548267</v>
      </c>
      <c r="I70" s="4" t="n">
        <f aca="false">IF(G70="","",RANK(G70,$G$2:$G$1462,0))</f>
        <v>69</v>
      </c>
      <c r="J70" s="4" t="s">
        <v>34</v>
      </c>
    </row>
    <row r="71" customFormat="false" ht="15" hidden="false" customHeight="false" outlineLevel="0" collapsed="false">
      <c r="A71" s="4" t="s">
        <v>194</v>
      </c>
      <c r="B71" s="4" t="s">
        <v>30</v>
      </c>
      <c r="C71" s="4" t="s">
        <v>31</v>
      </c>
      <c r="D71" s="7" t="s">
        <v>195</v>
      </c>
      <c r="E71" s="4" t="s">
        <v>33</v>
      </c>
      <c r="F71" s="4" t="s">
        <v>4</v>
      </c>
      <c r="G71" s="8" t="n">
        <v>24640.6264668703</v>
      </c>
      <c r="H71" s="6" t="n">
        <f aca="false">IF(G71="","",G71/SUMIFS($G$2:$G$1462,$F$2:$F$1462,"Served"))</f>
        <v>0.00253994940515129</v>
      </c>
      <c r="I71" s="4" t="n">
        <f aca="false">IF(G71="","",RANK(G71,$G$2:$G$1462,0))</f>
        <v>70</v>
      </c>
      <c r="J71" s="4" t="s">
        <v>34</v>
      </c>
    </row>
    <row r="72" customFormat="false" ht="15" hidden="false" customHeight="false" outlineLevel="0" collapsed="false">
      <c r="A72" s="4" t="s">
        <v>196</v>
      </c>
      <c r="B72" s="4" t="s">
        <v>30</v>
      </c>
      <c r="C72" s="4" t="s">
        <v>31</v>
      </c>
      <c r="D72" s="7" t="s">
        <v>197</v>
      </c>
      <c r="E72" s="4" t="s">
        <v>33</v>
      </c>
      <c r="F72" s="4" t="s">
        <v>4</v>
      </c>
      <c r="G72" s="8" t="n">
        <v>24377.6857050061</v>
      </c>
      <c r="H72" s="6" t="n">
        <f aca="false">IF(G72="","",G72/SUMIFS($G$2:$G$1462,$F$2:$F$1462,"Served"))</f>
        <v>0.002512845539404</v>
      </c>
      <c r="I72" s="4" t="n">
        <f aca="false">IF(G72="","",RANK(G72,$G$2:$G$1462,0))</f>
        <v>71</v>
      </c>
      <c r="J72" s="4" t="s">
        <v>34</v>
      </c>
    </row>
    <row r="73" customFormat="false" ht="15" hidden="false" customHeight="false" outlineLevel="0" collapsed="false">
      <c r="A73" s="4" t="s">
        <v>198</v>
      </c>
      <c r="B73" s="4" t="s">
        <v>171</v>
      </c>
      <c r="C73" s="4" t="s">
        <v>199</v>
      </c>
      <c r="D73" s="7" t="s">
        <v>200</v>
      </c>
      <c r="E73" s="4" t="s">
        <v>33</v>
      </c>
      <c r="F73" s="4" t="s">
        <v>4</v>
      </c>
      <c r="G73" s="8" t="n">
        <v>24328.4700843692</v>
      </c>
      <c r="H73" s="6" t="n">
        <f aca="false">IF(G73="","",G73/SUMIFS($G$2:$G$1462,$F$2:$F$1462,"Served"))</f>
        <v>0.00250777240595389</v>
      </c>
      <c r="I73" s="4" t="n">
        <f aca="false">IF(G73="","",RANK(G73,$G$2:$G$1462,0))</f>
        <v>72</v>
      </c>
      <c r="J73" s="4" t="s">
        <v>34</v>
      </c>
    </row>
    <row r="74" customFormat="false" ht="15" hidden="false" customHeight="false" outlineLevel="0" collapsed="false">
      <c r="A74" s="4" t="s">
        <v>201</v>
      </c>
      <c r="B74" s="4" t="s">
        <v>30</v>
      </c>
      <c r="C74" s="4" t="s">
        <v>31</v>
      </c>
      <c r="D74" s="7" t="s">
        <v>202</v>
      </c>
      <c r="E74" s="4" t="s">
        <v>33</v>
      </c>
      <c r="F74" s="4" t="s">
        <v>4</v>
      </c>
      <c r="G74" s="8" t="n">
        <v>24196.0957536697</v>
      </c>
      <c r="H74" s="6" t="n">
        <f aca="false">IF(G74="","",G74/SUMIFS($G$2:$G$1462,$F$2:$F$1462,"Served"))</f>
        <v>0.00249412729417195</v>
      </c>
      <c r="I74" s="4" t="n">
        <f aca="false">IF(G74="","",RANK(G74,$G$2:$G$1462,0))</f>
        <v>73</v>
      </c>
      <c r="J74" s="4" t="s">
        <v>34</v>
      </c>
    </row>
    <row r="75" customFormat="false" ht="15" hidden="false" customHeight="false" outlineLevel="0" collapsed="false">
      <c r="A75" s="4" t="s">
        <v>203</v>
      </c>
      <c r="B75" s="4" t="s">
        <v>204</v>
      </c>
      <c r="C75" s="4" t="s">
        <v>205</v>
      </c>
      <c r="D75" s="7" t="s">
        <v>206</v>
      </c>
      <c r="E75" s="4" t="s">
        <v>207</v>
      </c>
      <c r="F75" s="4" t="s">
        <v>4</v>
      </c>
      <c r="G75" s="8" t="n">
        <v>23842.0595757365</v>
      </c>
      <c r="H75" s="6" t="n">
        <f aca="false">IF(G75="","",G75/SUMIFS($G$2:$G$1462,$F$2:$F$1462,"Served"))</f>
        <v>0.00245763333648981</v>
      </c>
      <c r="I75" s="4" t="n">
        <f aca="false">IF(G75="","",RANK(G75,$G$2:$G$1462,0))</f>
        <v>74</v>
      </c>
      <c r="J75" s="4" t="s">
        <v>34</v>
      </c>
    </row>
    <row r="76" customFormat="false" ht="15" hidden="false" customHeight="false" outlineLevel="0" collapsed="false">
      <c r="A76" s="4" t="s">
        <v>208</v>
      </c>
      <c r="B76" s="4" t="s">
        <v>30</v>
      </c>
      <c r="C76" s="4" t="s">
        <v>209</v>
      </c>
      <c r="D76" s="7" t="s">
        <v>210</v>
      </c>
      <c r="E76" s="4" t="s">
        <v>33</v>
      </c>
      <c r="F76" s="4" t="s">
        <v>4</v>
      </c>
      <c r="G76" s="8" t="n">
        <v>23656.8662411571</v>
      </c>
      <c r="H76" s="6" t="n">
        <f aca="false">IF(G76="","",G76/SUMIFS($G$2:$G$1462,$F$2:$F$1462,"Served"))</f>
        <v>0.00243854365544474</v>
      </c>
      <c r="I76" s="4" t="n">
        <f aca="false">IF(G76="","",RANK(G76,$G$2:$G$1462,0))</f>
        <v>75</v>
      </c>
      <c r="J76" s="4" t="s">
        <v>34</v>
      </c>
    </row>
    <row r="77" customFormat="false" ht="15" hidden="false" customHeight="false" outlineLevel="0" collapsed="false">
      <c r="A77" s="4" t="s">
        <v>211</v>
      </c>
      <c r="B77" s="4" t="s">
        <v>204</v>
      </c>
      <c r="C77" s="4" t="s">
        <v>212</v>
      </c>
      <c r="D77" s="7" t="s">
        <v>213</v>
      </c>
      <c r="E77" s="4" t="s">
        <v>207</v>
      </c>
      <c r="F77" s="4" t="s">
        <v>4</v>
      </c>
      <c r="G77" s="8" t="n">
        <v>23324.1323705912</v>
      </c>
      <c r="H77" s="6" t="n">
        <f aca="false">IF(G77="","",G77/SUMIFS($G$2:$G$1462,$F$2:$F$1462,"Served"))</f>
        <v>0.00240424553409812</v>
      </c>
      <c r="I77" s="4" t="n">
        <f aca="false">IF(G77="","",RANK(G77,$G$2:$G$1462,0))</f>
        <v>76</v>
      </c>
      <c r="J77" s="4" t="s">
        <v>34</v>
      </c>
    </row>
    <row r="78" customFormat="false" ht="15" hidden="false" customHeight="false" outlineLevel="0" collapsed="false">
      <c r="A78" s="4" t="s">
        <v>214</v>
      </c>
      <c r="B78" s="4" t="s">
        <v>61</v>
      </c>
      <c r="C78" s="4" t="s">
        <v>62</v>
      </c>
      <c r="D78" s="7" t="s">
        <v>215</v>
      </c>
      <c r="E78" s="4" t="s">
        <v>64</v>
      </c>
      <c r="F78" s="4" t="s">
        <v>4</v>
      </c>
      <c r="G78" s="8" t="n">
        <v>22315.5153144002</v>
      </c>
      <c r="H78" s="6" t="n">
        <f aca="false">IF(G78="","",G78/SUMIFS($G$2:$G$1462,$F$2:$F$1462,"Served"))</f>
        <v>0.00230027754873289</v>
      </c>
      <c r="I78" s="4" t="n">
        <f aca="false">IF(G78="","",RANK(G78,$G$2:$G$1462,0))</f>
        <v>77</v>
      </c>
      <c r="J78" s="4" t="s">
        <v>34</v>
      </c>
    </row>
    <row r="79" customFormat="false" ht="15" hidden="false" customHeight="false" outlineLevel="0" collapsed="false">
      <c r="A79" s="4" t="s">
        <v>216</v>
      </c>
      <c r="B79" s="4" t="s">
        <v>171</v>
      </c>
      <c r="C79" s="4" t="s">
        <v>199</v>
      </c>
      <c r="D79" s="7" t="s">
        <v>217</v>
      </c>
      <c r="E79" s="4" t="s">
        <v>33</v>
      </c>
      <c r="F79" s="4" t="s">
        <v>4</v>
      </c>
      <c r="G79" s="8" t="n">
        <v>21717.8043615818</v>
      </c>
      <c r="H79" s="6" t="n">
        <f aca="false">IF(G79="","",G79/SUMIFS($G$2:$G$1462,$F$2:$F$1462,"Served"))</f>
        <v>0.00223866565825987</v>
      </c>
      <c r="I79" s="4" t="n">
        <f aca="false">IF(G79="","",RANK(G79,$G$2:$G$1462,0))</f>
        <v>78</v>
      </c>
      <c r="J79" s="4" t="s">
        <v>34</v>
      </c>
    </row>
    <row r="80" customFormat="false" ht="15" hidden="false" customHeight="false" outlineLevel="0" collapsed="false">
      <c r="A80" s="4" t="s">
        <v>218</v>
      </c>
      <c r="B80" s="4" t="s">
        <v>171</v>
      </c>
      <c r="C80" s="4" t="s">
        <v>219</v>
      </c>
      <c r="D80" s="7" t="s">
        <v>220</v>
      </c>
      <c r="E80" s="4" t="s">
        <v>33</v>
      </c>
      <c r="F80" s="4" t="s">
        <v>4</v>
      </c>
      <c r="G80" s="8" t="n">
        <v>21596.9884061813</v>
      </c>
      <c r="H80" s="6" t="n">
        <f aca="false">IF(G80="","",G80/SUMIFS($G$2:$G$1462,$F$2:$F$1462,"Served"))</f>
        <v>0.00222621198081523</v>
      </c>
      <c r="I80" s="4" t="n">
        <f aca="false">IF(G80="","",RANK(G80,$G$2:$G$1462,0))</f>
        <v>79</v>
      </c>
      <c r="J80" s="4" t="s">
        <v>34</v>
      </c>
    </row>
    <row r="81" customFormat="false" ht="15" hidden="false" customHeight="false" outlineLevel="0" collapsed="false">
      <c r="A81" s="4" t="s">
        <v>221</v>
      </c>
      <c r="B81" s="4" t="s">
        <v>30</v>
      </c>
      <c r="C81" s="4" t="s">
        <v>31</v>
      </c>
      <c r="D81" s="7" t="s">
        <v>222</v>
      </c>
      <c r="E81" s="4" t="s">
        <v>33</v>
      </c>
      <c r="F81" s="4" t="s">
        <v>4</v>
      </c>
      <c r="G81" s="8" t="n">
        <v>21494.8469921351</v>
      </c>
      <c r="H81" s="6" t="n">
        <f aca="false">IF(G81="","",G81/SUMIFS($G$2:$G$1462,$F$2:$F$1462,"Served"))</f>
        <v>0.00221568327026491</v>
      </c>
      <c r="I81" s="4" t="n">
        <f aca="false">IF(G81="","",RANK(G81,$G$2:$G$1462,0))</f>
        <v>80</v>
      </c>
      <c r="J81" s="4" t="s">
        <v>34</v>
      </c>
    </row>
    <row r="82" customFormat="false" ht="15" hidden="false" customHeight="false" outlineLevel="0" collapsed="false">
      <c r="A82" s="4" t="s">
        <v>223</v>
      </c>
      <c r="B82" s="4" t="s">
        <v>30</v>
      </c>
      <c r="C82" s="4" t="s">
        <v>31</v>
      </c>
      <c r="D82" s="7" t="s">
        <v>224</v>
      </c>
      <c r="E82" s="4" t="s">
        <v>33</v>
      </c>
      <c r="F82" s="4" t="s">
        <v>4</v>
      </c>
      <c r="G82" s="8" t="n">
        <v>21491.7822732329</v>
      </c>
      <c r="H82" s="6" t="n">
        <f aca="false">IF(G82="","",G82/SUMIFS($G$2:$G$1462,$F$2:$F$1462,"Served"))</f>
        <v>0.00221536735983289</v>
      </c>
      <c r="I82" s="4" t="n">
        <f aca="false">IF(G82="","",RANK(G82,$G$2:$G$1462,0))</f>
        <v>81</v>
      </c>
      <c r="J82" s="4" t="s">
        <v>34</v>
      </c>
    </row>
    <row r="83" customFormat="false" ht="15" hidden="false" customHeight="false" outlineLevel="0" collapsed="false">
      <c r="A83" s="4" t="s">
        <v>225</v>
      </c>
      <c r="B83" s="4" t="s">
        <v>30</v>
      </c>
      <c r="C83" s="4" t="s">
        <v>226</v>
      </c>
      <c r="D83" s="7" t="s">
        <v>227</v>
      </c>
      <c r="E83" s="4" t="s">
        <v>33</v>
      </c>
      <c r="F83" s="4" t="s">
        <v>4</v>
      </c>
      <c r="G83" s="8" t="n">
        <v>21304.6128726006</v>
      </c>
      <c r="H83" s="6" t="n">
        <f aca="false">IF(G83="","",G83/SUMIFS($G$2:$G$1462,$F$2:$F$1462,"Served"))</f>
        <v>0.00219607398641002</v>
      </c>
      <c r="I83" s="4" t="n">
        <f aca="false">IF(G83="","",RANK(G83,$G$2:$G$1462,0))</f>
        <v>82</v>
      </c>
      <c r="J83" s="4" t="s">
        <v>34</v>
      </c>
    </row>
    <row r="84" customFormat="false" ht="15" hidden="false" customHeight="false" outlineLevel="0" collapsed="false">
      <c r="A84" s="4" t="s">
        <v>228</v>
      </c>
      <c r="B84" s="4" t="s">
        <v>30</v>
      </c>
      <c r="C84" s="4" t="s">
        <v>31</v>
      </c>
      <c r="D84" s="7" t="s">
        <v>229</v>
      </c>
      <c r="E84" s="4" t="s">
        <v>33</v>
      </c>
      <c r="F84" s="4" t="s">
        <v>4</v>
      </c>
      <c r="G84" s="8" t="n">
        <v>21002.9680422545</v>
      </c>
      <c r="H84" s="6" t="n">
        <f aca="false">IF(G84="","",G84/SUMIFS($G$2:$G$1462,$F$2:$F$1462,"Served"))</f>
        <v>0.00216498051529091</v>
      </c>
      <c r="I84" s="4" t="n">
        <f aca="false">IF(G84="","",RANK(G84,$G$2:$G$1462,0))</f>
        <v>83</v>
      </c>
      <c r="J84" s="4" t="s">
        <v>34</v>
      </c>
    </row>
    <row r="85" customFormat="false" ht="15" hidden="false" customHeight="false" outlineLevel="0" collapsed="false">
      <c r="A85" s="4" t="s">
        <v>230</v>
      </c>
      <c r="B85" s="4" t="s">
        <v>30</v>
      </c>
      <c r="C85" s="4" t="s">
        <v>31</v>
      </c>
      <c r="D85" s="7" t="s">
        <v>231</v>
      </c>
      <c r="E85" s="4" t="s">
        <v>33</v>
      </c>
      <c r="F85" s="4" t="s">
        <v>4</v>
      </c>
      <c r="G85" s="8" t="n">
        <v>20596.193633914</v>
      </c>
      <c r="H85" s="6" t="n">
        <f aca="false">IF(G85="","",G85/SUMIFS($G$2:$G$1462,$F$2:$F$1462,"Served"))</f>
        <v>0.00212305031445432</v>
      </c>
      <c r="I85" s="4" t="n">
        <f aca="false">IF(G85="","",RANK(G85,$G$2:$G$1462,0))</f>
        <v>84</v>
      </c>
      <c r="J85" s="4" t="s">
        <v>34</v>
      </c>
    </row>
    <row r="86" customFormat="false" ht="15" hidden="false" customHeight="false" outlineLevel="0" collapsed="false">
      <c r="A86" s="4" t="s">
        <v>232</v>
      </c>
      <c r="B86" s="4" t="s">
        <v>132</v>
      </c>
      <c r="C86" s="4" t="s">
        <v>133</v>
      </c>
      <c r="D86" s="7" t="s">
        <v>220</v>
      </c>
      <c r="E86" s="4" t="s">
        <v>135</v>
      </c>
      <c r="F86" s="4" t="s">
        <v>4</v>
      </c>
      <c r="G86" s="8" t="n">
        <v>20570.6522454619</v>
      </c>
      <c r="H86" s="6" t="n">
        <f aca="false">IF(G86="","",G86/SUMIFS($G$2:$G$1462,$F$2:$F$1462,"Served"))</f>
        <v>0.00212041751473664</v>
      </c>
      <c r="I86" s="4" t="n">
        <f aca="false">IF(G86="","",RANK(G86,$G$2:$G$1462,0))</f>
        <v>85</v>
      </c>
      <c r="J86" s="4" t="s">
        <v>34</v>
      </c>
    </row>
    <row r="87" customFormat="false" ht="15" hidden="false" customHeight="false" outlineLevel="0" collapsed="false">
      <c r="A87" s="4" t="s">
        <v>233</v>
      </c>
      <c r="B87" s="4" t="s">
        <v>30</v>
      </c>
      <c r="C87" s="4" t="s">
        <v>31</v>
      </c>
      <c r="D87" s="7" t="s">
        <v>234</v>
      </c>
      <c r="E87" s="4" t="s">
        <v>33</v>
      </c>
      <c r="F87" s="4" t="s">
        <v>4</v>
      </c>
      <c r="G87" s="8" t="n">
        <v>20355.0434849858</v>
      </c>
      <c r="H87" s="6" t="n">
        <f aca="false">IF(G87="","",G87/SUMIFS($G$2:$G$1462,$F$2:$F$1462,"Served"))</f>
        <v>0.00209819261945433</v>
      </c>
      <c r="I87" s="4" t="n">
        <f aca="false">IF(G87="","",RANK(G87,$G$2:$G$1462,0))</f>
        <v>86</v>
      </c>
      <c r="J87" s="4" t="s">
        <v>34</v>
      </c>
    </row>
    <row r="88" customFormat="false" ht="15" hidden="false" customHeight="false" outlineLevel="0" collapsed="false">
      <c r="A88" s="4" t="s">
        <v>235</v>
      </c>
      <c r="B88" s="4" t="s">
        <v>87</v>
      </c>
      <c r="C88" s="4" t="s">
        <v>88</v>
      </c>
      <c r="D88" s="7" t="s">
        <v>236</v>
      </c>
      <c r="E88" s="4" t="s">
        <v>90</v>
      </c>
      <c r="F88" s="4" t="s">
        <v>4</v>
      </c>
      <c r="G88" s="8" t="n">
        <v>20107.6288204193</v>
      </c>
      <c r="H88" s="6" t="n">
        <f aca="false">IF(G88="","",G88/SUMIFS($G$2:$G$1462,$F$2:$F$1462,"Served"))</f>
        <v>0.00207268917980208</v>
      </c>
      <c r="I88" s="4" t="n">
        <f aca="false">IF(G88="","",RANK(G88,$G$2:$G$1462,0))</f>
        <v>87</v>
      </c>
      <c r="J88" s="4" t="s">
        <v>34</v>
      </c>
    </row>
    <row r="89" customFormat="false" ht="15" hidden="false" customHeight="false" outlineLevel="0" collapsed="false">
      <c r="A89" s="4" t="s">
        <v>237</v>
      </c>
      <c r="B89" s="4" t="s">
        <v>171</v>
      </c>
      <c r="C89" s="4" t="s">
        <v>238</v>
      </c>
      <c r="D89" s="7" t="s">
        <v>239</v>
      </c>
      <c r="E89" s="4" t="s">
        <v>33</v>
      </c>
      <c r="F89" s="4" t="s">
        <v>4</v>
      </c>
      <c r="G89" s="8" t="n">
        <v>20097.2581570149</v>
      </c>
      <c r="H89" s="6" t="n">
        <f aca="false">IF(G89="","",G89/SUMIFS($G$2:$G$1462,$F$2:$F$1462,"Served"))</f>
        <v>0.00207162017449978</v>
      </c>
      <c r="I89" s="4" t="n">
        <f aca="false">IF(G89="","",RANK(G89,$G$2:$G$1462,0))</f>
        <v>88</v>
      </c>
      <c r="J89" s="4" t="s">
        <v>34</v>
      </c>
    </row>
    <row r="90" customFormat="false" ht="15" hidden="false" customHeight="false" outlineLevel="0" collapsed="false">
      <c r="A90" s="4" t="s">
        <v>240</v>
      </c>
      <c r="B90" s="4" t="s">
        <v>30</v>
      </c>
      <c r="C90" s="4" t="s">
        <v>31</v>
      </c>
      <c r="D90" s="7" t="s">
        <v>241</v>
      </c>
      <c r="E90" s="4" t="s">
        <v>33</v>
      </c>
      <c r="F90" s="4" t="s">
        <v>4</v>
      </c>
      <c r="G90" s="8" t="n">
        <v>19346.0094866753</v>
      </c>
      <c r="H90" s="6" t="n">
        <f aca="false">IF(G90="","",G90/SUMIFS($G$2:$G$1462,$F$2:$F$1462,"Served"))</f>
        <v>0.00199418165580322</v>
      </c>
      <c r="I90" s="4" t="n">
        <f aca="false">IF(G90="","",RANK(G90,$G$2:$G$1462,0))</f>
        <v>89</v>
      </c>
      <c r="J90" s="4" t="s">
        <v>34</v>
      </c>
    </row>
    <row r="91" customFormat="false" ht="15" hidden="false" customHeight="false" outlineLevel="0" collapsed="false">
      <c r="A91" s="4" t="s">
        <v>242</v>
      </c>
      <c r="B91" s="4" t="s">
        <v>30</v>
      </c>
      <c r="C91" s="4" t="s">
        <v>243</v>
      </c>
      <c r="D91" s="7" t="s">
        <v>244</v>
      </c>
      <c r="E91" s="4" t="s">
        <v>33</v>
      </c>
      <c r="F91" s="4" t="s">
        <v>4</v>
      </c>
      <c r="G91" s="8" t="n">
        <v>19267.4455232024</v>
      </c>
      <c r="H91" s="6" t="n">
        <f aca="false">IF(G91="","",G91/SUMIFS($G$2:$G$1462,$F$2:$F$1462,"Served"))</f>
        <v>0.00198608330276185</v>
      </c>
      <c r="I91" s="4" t="n">
        <f aca="false">IF(G91="","",RANK(G91,$G$2:$G$1462,0))</f>
        <v>90</v>
      </c>
      <c r="J91" s="4" t="s">
        <v>34</v>
      </c>
    </row>
    <row r="92" customFormat="false" ht="15" hidden="false" customHeight="false" outlineLevel="0" collapsed="false">
      <c r="A92" s="4" t="s">
        <v>245</v>
      </c>
      <c r="B92" s="4" t="s">
        <v>30</v>
      </c>
      <c r="C92" s="4" t="s">
        <v>246</v>
      </c>
      <c r="D92" s="7" t="s">
        <v>247</v>
      </c>
      <c r="E92" s="4" t="s">
        <v>33</v>
      </c>
      <c r="F92" s="4" t="s">
        <v>4</v>
      </c>
      <c r="G92" s="8" t="n">
        <v>19140.487105906</v>
      </c>
      <c r="H92" s="6" t="n">
        <f aca="false">IF(G92="","",G92/SUMIFS($G$2:$G$1462,$F$2:$F$1462,"Served"))</f>
        <v>0.00197299646193317</v>
      </c>
      <c r="I92" s="4" t="n">
        <f aca="false">IF(G92="","",RANK(G92,$G$2:$G$1462,0))</f>
        <v>91</v>
      </c>
      <c r="J92" s="4" t="s">
        <v>34</v>
      </c>
    </row>
    <row r="93" customFormat="false" ht="15" hidden="false" customHeight="false" outlineLevel="0" collapsed="false">
      <c r="A93" s="4" t="s">
        <v>248</v>
      </c>
      <c r="B93" s="4" t="s">
        <v>171</v>
      </c>
      <c r="C93" s="4" t="s">
        <v>249</v>
      </c>
      <c r="D93" s="7" t="s">
        <v>250</v>
      </c>
      <c r="E93" s="4" t="s">
        <v>33</v>
      </c>
      <c r="F93" s="4" t="s">
        <v>4</v>
      </c>
      <c r="G93" s="8" t="n">
        <v>18698.61899966</v>
      </c>
      <c r="H93" s="6" t="n">
        <f aca="false">IF(G93="","",G93/SUMIFS($G$2:$G$1462,$F$2:$F$1462,"Served"))</f>
        <v>0.00192744881179027</v>
      </c>
      <c r="I93" s="4" t="n">
        <f aca="false">IF(G93="","",RANK(G93,$G$2:$G$1462,0))</f>
        <v>92</v>
      </c>
      <c r="J93" s="4" t="s">
        <v>34</v>
      </c>
    </row>
    <row r="94" customFormat="false" ht="15" hidden="false" customHeight="false" outlineLevel="0" collapsed="false">
      <c r="A94" s="4" t="s">
        <v>251</v>
      </c>
      <c r="B94" s="4" t="s">
        <v>171</v>
      </c>
      <c r="C94" s="4" t="s">
        <v>219</v>
      </c>
      <c r="D94" s="7" t="s">
        <v>252</v>
      </c>
      <c r="E94" s="4" t="s">
        <v>33</v>
      </c>
      <c r="F94" s="4" t="s">
        <v>4</v>
      </c>
      <c r="G94" s="8" t="n">
        <v>18572.0774926841</v>
      </c>
      <c r="H94" s="6" t="n">
        <f aca="false">IF(G94="","",G94/SUMIFS($G$2:$G$1462,$F$2:$F$1462,"Served"))</f>
        <v>0.00191440494596963</v>
      </c>
      <c r="I94" s="4" t="n">
        <f aca="false">IF(G94="","",RANK(G94,$G$2:$G$1462,0))</f>
        <v>93</v>
      </c>
      <c r="J94" s="4" t="s">
        <v>34</v>
      </c>
    </row>
    <row r="95" customFormat="false" ht="15" hidden="false" customHeight="false" outlineLevel="0" collapsed="false">
      <c r="A95" s="4" t="s">
        <v>253</v>
      </c>
      <c r="B95" s="4" t="s">
        <v>30</v>
      </c>
      <c r="C95" s="4" t="s">
        <v>246</v>
      </c>
      <c r="D95" s="7" t="s">
        <v>254</v>
      </c>
      <c r="E95" s="4" t="s">
        <v>33</v>
      </c>
      <c r="F95" s="4" t="s">
        <v>4</v>
      </c>
      <c r="G95" s="8" t="n">
        <v>18519.7783415914</v>
      </c>
      <c r="H95" s="6" t="n">
        <f aca="false">IF(G95="","",G95/SUMIFS($G$2:$G$1462,$F$2:$F$1462,"Served"))</f>
        <v>0.0019090139629974</v>
      </c>
      <c r="I95" s="4" t="n">
        <f aca="false">IF(G95="","",RANK(G95,$G$2:$G$1462,0))</f>
        <v>94</v>
      </c>
      <c r="J95" s="4" t="s">
        <v>34</v>
      </c>
    </row>
    <row r="96" customFormat="false" ht="15" hidden="false" customHeight="false" outlineLevel="0" collapsed="false">
      <c r="A96" s="4" t="s">
        <v>255</v>
      </c>
      <c r="B96" s="4" t="s">
        <v>171</v>
      </c>
      <c r="C96" s="4" t="s">
        <v>256</v>
      </c>
      <c r="D96" s="7" t="s">
        <v>257</v>
      </c>
      <c r="E96" s="4" t="s">
        <v>33</v>
      </c>
      <c r="F96" s="4" t="s">
        <v>4</v>
      </c>
      <c r="G96" s="8" t="n">
        <v>17993.1212364435</v>
      </c>
      <c r="H96" s="6" t="n">
        <f aca="false">IF(G96="","",G96/SUMIFS($G$2:$G$1462,$F$2:$F$1462,"Served"))</f>
        <v>0.00185472628477065</v>
      </c>
      <c r="I96" s="4" t="n">
        <f aca="false">IF(G96="","",RANK(G96,$G$2:$G$1462,0))</f>
        <v>95</v>
      </c>
      <c r="J96" s="4" t="s">
        <v>34</v>
      </c>
    </row>
    <row r="97" customFormat="false" ht="15" hidden="false" customHeight="false" outlineLevel="0" collapsed="false">
      <c r="A97" s="4" t="s">
        <v>258</v>
      </c>
      <c r="B97" s="4" t="s">
        <v>171</v>
      </c>
      <c r="C97" s="4" t="s">
        <v>259</v>
      </c>
      <c r="D97" s="7" t="s">
        <v>260</v>
      </c>
      <c r="E97" s="4" t="s">
        <v>33</v>
      </c>
      <c r="F97" s="4" t="s">
        <v>4</v>
      </c>
      <c r="G97" s="8" t="n">
        <v>17749.6145097315</v>
      </c>
      <c r="H97" s="6" t="n">
        <f aca="false">IF(G97="","",G97/SUMIFS($G$2:$G$1462,$F$2:$F$1462,"Served"))</f>
        <v>0.00182962567434201</v>
      </c>
      <c r="I97" s="4" t="n">
        <f aca="false">IF(G97="","",RANK(G97,$G$2:$G$1462,0))</f>
        <v>96</v>
      </c>
      <c r="J97" s="4" t="s">
        <v>34</v>
      </c>
    </row>
    <row r="98" customFormat="false" ht="15" hidden="false" customHeight="false" outlineLevel="0" collapsed="false">
      <c r="A98" s="4" t="s">
        <v>261</v>
      </c>
      <c r="B98" s="4" t="s">
        <v>30</v>
      </c>
      <c r="C98" s="4" t="s">
        <v>246</v>
      </c>
      <c r="D98" s="7" t="s">
        <v>262</v>
      </c>
      <c r="E98" s="4" t="s">
        <v>33</v>
      </c>
      <c r="F98" s="4" t="s">
        <v>4</v>
      </c>
      <c r="G98" s="8" t="n">
        <v>17723.7493773699</v>
      </c>
      <c r="H98" s="6" t="n">
        <f aca="false">IF(G98="","",G98/SUMIFS($G$2:$G$1462,$F$2:$F$1462,"Served"))</f>
        <v>0.00182695950318583</v>
      </c>
      <c r="I98" s="4" t="n">
        <f aca="false">IF(G98="","",RANK(G98,$G$2:$G$1462,0))</f>
        <v>97</v>
      </c>
      <c r="J98" s="4" t="s">
        <v>34</v>
      </c>
    </row>
    <row r="99" customFormat="false" ht="15" hidden="false" customHeight="false" outlineLevel="0" collapsed="false">
      <c r="A99" s="4" t="s">
        <v>263</v>
      </c>
      <c r="B99" s="4" t="s">
        <v>43</v>
      </c>
      <c r="C99" s="4" t="s">
        <v>44</v>
      </c>
      <c r="D99" s="7" t="s">
        <v>264</v>
      </c>
      <c r="E99" s="4" t="s">
        <v>46</v>
      </c>
      <c r="F99" s="4" t="s">
        <v>4</v>
      </c>
      <c r="G99" s="8" t="n">
        <v>17469.9791428447</v>
      </c>
      <c r="H99" s="6" t="n">
        <f aca="false">IF(G99="","",G99/SUMIFS($G$2:$G$1462,$F$2:$F$1462,"Served"))</f>
        <v>0.00180080093302553</v>
      </c>
      <c r="I99" s="4" t="n">
        <f aca="false">IF(G99="","",RANK(G99,$G$2:$G$1462,0))</f>
        <v>98</v>
      </c>
      <c r="J99" s="4" t="s">
        <v>34</v>
      </c>
    </row>
    <row r="100" customFormat="false" ht="15" hidden="false" customHeight="false" outlineLevel="0" collapsed="false">
      <c r="A100" s="4" t="s">
        <v>265</v>
      </c>
      <c r="B100" s="4" t="s">
        <v>171</v>
      </c>
      <c r="C100" s="4" t="s">
        <v>219</v>
      </c>
      <c r="D100" s="7" t="s">
        <v>266</v>
      </c>
      <c r="E100" s="4" t="s">
        <v>33</v>
      </c>
      <c r="F100" s="4" t="s">
        <v>4</v>
      </c>
      <c r="G100" s="8" t="n">
        <v>17459.454580605</v>
      </c>
      <c r="H100" s="6" t="n">
        <f aca="false">IF(G100="","",G100/SUMIFS($G$2:$G$1462,$F$2:$F$1462,"Served"))</f>
        <v>0.00179971606387109</v>
      </c>
      <c r="I100" s="4" t="n">
        <f aca="false">IF(G100="","",RANK(G100,$G$2:$G$1462,0))</f>
        <v>99</v>
      </c>
      <c r="J100" s="4" t="s">
        <v>34</v>
      </c>
    </row>
    <row r="101" customFormat="false" ht="15" hidden="false" customHeight="false" outlineLevel="0" collapsed="false">
      <c r="A101" s="4" t="s">
        <v>267</v>
      </c>
      <c r="B101" s="4" t="s">
        <v>72</v>
      </c>
      <c r="C101" s="4" t="s">
        <v>73</v>
      </c>
      <c r="D101" s="7" t="s">
        <v>268</v>
      </c>
      <c r="E101" s="4" t="s">
        <v>75</v>
      </c>
      <c r="F101" s="4" t="s">
        <v>4</v>
      </c>
      <c r="G101" s="8" t="n">
        <v>16718.1359568238</v>
      </c>
      <c r="H101" s="6" t="n">
        <f aca="false">IF(G101="","",G101/SUMIFS($G$2:$G$1462,$F$2:$F$1462,"Served"))</f>
        <v>0.00172330113180627</v>
      </c>
      <c r="I101" s="4" t="n">
        <f aca="false">IF(G101="","",RANK(G101,$G$2:$G$1462,0))</f>
        <v>100</v>
      </c>
      <c r="J101" s="4" t="s">
        <v>34</v>
      </c>
    </row>
    <row r="102" customFormat="false" ht="15" hidden="false" customHeight="false" outlineLevel="0" collapsed="false">
      <c r="A102" s="4" t="s">
        <v>269</v>
      </c>
      <c r="B102" s="4" t="s">
        <v>87</v>
      </c>
      <c r="C102" s="4" t="s">
        <v>88</v>
      </c>
      <c r="D102" s="7" t="s">
        <v>270</v>
      </c>
      <c r="E102" s="4" t="s">
        <v>90</v>
      </c>
      <c r="F102" s="4" t="s">
        <v>4</v>
      </c>
      <c r="G102" s="8" t="n">
        <v>16537.4710693359</v>
      </c>
      <c r="H102" s="6" t="n">
        <f aca="false">IF(G102="","",G102/SUMIFS($G$2:$G$1462,$F$2:$F$1462,"Served"))</f>
        <v>0.00170467824191653</v>
      </c>
      <c r="I102" s="4" t="n">
        <f aca="false">IF(G102="","",RANK(G102,$G$2:$G$1462,0))</f>
        <v>101</v>
      </c>
      <c r="J102" s="4" t="s">
        <v>34</v>
      </c>
    </row>
    <row r="103" customFormat="false" ht="15" hidden="false" customHeight="false" outlineLevel="0" collapsed="false">
      <c r="A103" s="4" t="s">
        <v>271</v>
      </c>
      <c r="B103" s="4" t="s">
        <v>72</v>
      </c>
      <c r="C103" s="4" t="s">
        <v>73</v>
      </c>
      <c r="D103" s="7" t="s">
        <v>272</v>
      </c>
      <c r="E103" s="4" t="s">
        <v>75</v>
      </c>
      <c r="F103" s="4" t="s">
        <v>4</v>
      </c>
      <c r="G103" s="8" t="n">
        <v>16388.3324224353</v>
      </c>
      <c r="H103" s="6" t="n">
        <f aca="false">IF(G103="","",G103/SUMIFS($G$2:$G$1462,$F$2:$F$1462,"Served"))</f>
        <v>0.00168930506875514</v>
      </c>
      <c r="I103" s="4" t="n">
        <f aca="false">IF(G103="","",RANK(G103,$G$2:$G$1462,0))</f>
        <v>102</v>
      </c>
      <c r="J103" s="4" t="s">
        <v>34</v>
      </c>
    </row>
    <row r="104" customFormat="false" ht="15" hidden="false" customHeight="false" outlineLevel="0" collapsed="false">
      <c r="A104" s="4" t="s">
        <v>273</v>
      </c>
      <c r="B104" s="4" t="s">
        <v>171</v>
      </c>
      <c r="C104" s="4" t="s">
        <v>199</v>
      </c>
      <c r="D104" s="7" t="s">
        <v>274</v>
      </c>
      <c r="E104" s="4" t="s">
        <v>33</v>
      </c>
      <c r="F104" s="4" t="s">
        <v>4</v>
      </c>
      <c r="G104" s="8" t="n">
        <v>15851.5972461104</v>
      </c>
      <c r="H104" s="6" t="n">
        <f aca="false">IF(G104="","",G104/SUMIFS($G$2:$G$1462,$F$2:$F$1462,"Served"))</f>
        <v>0.00163397854555724</v>
      </c>
      <c r="I104" s="4" t="n">
        <f aca="false">IF(G104="","",RANK(G104,$G$2:$G$1462,0))</f>
        <v>103</v>
      </c>
      <c r="J104" s="4" t="s">
        <v>34</v>
      </c>
    </row>
    <row r="105" customFormat="false" ht="15" hidden="false" customHeight="false" outlineLevel="0" collapsed="false">
      <c r="A105" s="4" t="s">
        <v>275</v>
      </c>
      <c r="B105" s="4" t="s">
        <v>43</v>
      </c>
      <c r="C105" s="4" t="s">
        <v>44</v>
      </c>
      <c r="D105" s="7" t="s">
        <v>276</v>
      </c>
      <c r="E105" s="4" t="s">
        <v>46</v>
      </c>
      <c r="F105" s="4" t="s">
        <v>4</v>
      </c>
      <c r="G105" s="8" t="n">
        <v>15260.0131188631</v>
      </c>
      <c r="H105" s="6" t="n">
        <f aca="false">IF(G105="","",G105/SUMIFS($G$2:$G$1462,$F$2:$F$1462,"Served"))</f>
        <v>0.00157299820667994</v>
      </c>
      <c r="I105" s="4" t="n">
        <f aca="false">IF(G105="","",RANK(G105,$G$2:$G$1462,0))</f>
        <v>104</v>
      </c>
      <c r="J105" s="4" t="s">
        <v>34</v>
      </c>
    </row>
    <row r="106" customFormat="false" ht="15" hidden="false" customHeight="false" outlineLevel="0" collapsed="false">
      <c r="A106" s="4" t="s">
        <v>277</v>
      </c>
      <c r="B106" s="4" t="s">
        <v>171</v>
      </c>
      <c r="C106" s="4" t="s">
        <v>259</v>
      </c>
      <c r="D106" s="7" t="s">
        <v>278</v>
      </c>
      <c r="E106" s="4" t="s">
        <v>33</v>
      </c>
      <c r="F106" s="4" t="s">
        <v>4</v>
      </c>
      <c r="G106" s="8" t="n">
        <v>15123.4317084551</v>
      </c>
      <c r="H106" s="6" t="n">
        <f aca="false">IF(G106="","",G106/SUMIFS($G$2:$G$1462,$F$2:$F$1462,"Served"))</f>
        <v>0.00155891943020942</v>
      </c>
      <c r="I106" s="4" t="n">
        <f aca="false">IF(G106="","",RANK(G106,$G$2:$G$1462,0))</f>
        <v>105</v>
      </c>
      <c r="J106" s="4" t="s">
        <v>34</v>
      </c>
    </row>
    <row r="107" customFormat="false" ht="15" hidden="false" customHeight="false" outlineLevel="0" collapsed="false">
      <c r="A107" s="4" t="s">
        <v>279</v>
      </c>
      <c r="B107" s="4" t="s">
        <v>30</v>
      </c>
      <c r="C107" s="4" t="s">
        <v>280</v>
      </c>
      <c r="D107" s="7" t="s">
        <v>281</v>
      </c>
      <c r="E107" s="4" t="s">
        <v>33</v>
      </c>
      <c r="F107" s="4" t="s">
        <v>4</v>
      </c>
      <c r="G107" s="8" t="n">
        <v>14868.6633548141</v>
      </c>
      <c r="H107" s="6" t="n">
        <f aca="false">IF(G107="","",G107/SUMIFS($G$2:$G$1462,$F$2:$F$1462,"Served"))</f>
        <v>0.00153265797418873</v>
      </c>
      <c r="I107" s="4" t="n">
        <f aca="false">IF(G107="","",RANK(G107,$G$2:$G$1462,0))</f>
        <v>106</v>
      </c>
      <c r="J107" s="4" t="s">
        <v>34</v>
      </c>
    </row>
    <row r="108" customFormat="false" ht="15" hidden="false" customHeight="false" outlineLevel="0" collapsed="false">
      <c r="A108" s="4" t="s">
        <v>282</v>
      </c>
      <c r="B108" s="4" t="s">
        <v>72</v>
      </c>
      <c r="C108" s="4" t="s">
        <v>73</v>
      </c>
      <c r="D108" s="7" t="s">
        <v>283</v>
      </c>
      <c r="E108" s="4" t="s">
        <v>75</v>
      </c>
      <c r="F108" s="4" t="s">
        <v>4</v>
      </c>
      <c r="G108" s="8" t="n">
        <v>14801.7413764</v>
      </c>
      <c r="H108" s="6" t="n">
        <f aca="false">IF(G108="","",G108/SUMIFS($G$2:$G$1462,$F$2:$F$1462,"Served"))</f>
        <v>0.00152575967395708</v>
      </c>
      <c r="I108" s="4" t="n">
        <f aca="false">IF(G108="","",RANK(G108,$G$2:$G$1462,0))</f>
        <v>107</v>
      </c>
      <c r="J108" s="4" t="s">
        <v>34</v>
      </c>
    </row>
    <row r="109" customFormat="false" ht="15" hidden="false" customHeight="false" outlineLevel="0" collapsed="false">
      <c r="A109" s="4" t="s">
        <v>284</v>
      </c>
      <c r="B109" s="4" t="s">
        <v>171</v>
      </c>
      <c r="C109" s="4" t="s">
        <v>249</v>
      </c>
      <c r="D109" s="7" t="s">
        <v>285</v>
      </c>
      <c r="E109" s="4" t="s">
        <v>33</v>
      </c>
      <c r="F109" s="4" t="s">
        <v>4</v>
      </c>
      <c r="G109" s="8" t="n">
        <v>14237.2642279863</v>
      </c>
      <c r="H109" s="6" t="n">
        <f aca="false">IF(G109="","",G109/SUMIFS($G$2:$G$1462,$F$2:$F$1462,"Served"))</f>
        <v>0.00146757351544921</v>
      </c>
      <c r="I109" s="4" t="n">
        <f aca="false">IF(G109="","",RANK(G109,$G$2:$G$1462,0))</f>
        <v>108</v>
      </c>
      <c r="J109" s="4" t="s">
        <v>34</v>
      </c>
    </row>
    <row r="110" customFormat="false" ht="15" hidden="false" customHeight="false" outlineLevel="0" collapsed="false">
      <c r="A110" s="4" t="s">
        <v>286</v>
      </c>
      <c r="B110" s="4" t="s">
        <v>171</v>
      </c>
      <c r="C110" s="4" t="s">
        <v>199</v>
      </c>
      <c r="D110" s="7" t="s">
        <v>287</v>
      </c>
      <c r="E110" s="4" t="s">
        <v>33</v>
      </c>
      <c r="F110" s="4" t="s">
        <v>4</v>
      </c>
      <c r="G110" s="8" t="n">
        <v>14089.616612494</v>
      </c>
      <c r="H110" s="6" t="n">
        <f aca="false">IF(G110="","",G110/SUMIFS($G$2:$G$1462,$F$2:$F$1462,"Served"))</f>
        <v>0.00145235403741986</v>
      </c>
      <c r="I110" s="4" t="n">
        <f aca="false">IF(G110="","",RANK(G110,$G$2:$G$1462,0))</f>
        <v>109</v>
      </c>
      <c r="J110" s="4" t="s">
        <v>34</v>
      </c>
    </row>
    <row r="111" customFormat="false" ht="15" hidden="false" customHeight="false" outlineLevel="0" collapsed="false">
      <c r="A111" s="4" t="s">
        <v>288</v>
      </c>
      <c r="B111" s="4" t="s">
        <v>171</v>
      </c>
      <c r="C111" s="4" t="s">
        <v>256</v>
      </c>
      <c r="D111" s="7" t="s">
        <v>289</v>
      </c>
      <c r="E111" s="4" t="s">
        <v>33</v>
      </c>
      <c r="F111" s="4" t="s">
        <v>4</v>
      </c>
      <c r="G111" s="8" t="n">
        <v>14032.4536057115</v>
      </c>
      <c r="H111" s="6" t="n">
        <f aca="false">IF(G111="","",G111/SUMIFS($G$2:$G$1462,$F$2:$F$1462,"Served"))</f>
        <v>0.00144646168946072</v>
      </c>
      <c r="I111" s="4" t="n">
        <f aca="false">IF(G111="","",RANK(G111,$G$2:$G$1462,0))</f>
        <v>110</v>
      </c>
      <c r="J111" s="4" t="s">
        <v>34</v>
      </c>
    </row>
    <row r="112" customFormat="false" ht="15" hidden="false" customHeight="false" outlineLevel="0" collapsed="false">
      <c r="A112" s="4" t="s">
        <v>290</v>
      </c>
      <c r="B112" s="4" t="s">
        <v>43</v>
      </c>
      <c r="C112" s="4" t="s">
        <v>44</v>
      </c>
      <c r="D112" s="7" t="s">
        <v>291</v>
      </c>
      <c r="E112" s="4" t="s">
        <v>46</v>
      </c>
      <c r="F112" s="4" t="s">
        <v>4</v>
      </c>
      <c r="G112" s="8" t="n">
        <v>13895.6260613799</v>
      </c>
      <c r="H112" s="6" t="n">
        <f aca="false">IF(G112="","",G112/SUMIFS($G$2:$G$1462,$F$2:$F$1462,"Served"))</f>
        <v>0.00143235754156901</v>
      </c>
      <c r="I112" s="4" t="n">
        <f aca="false">IF(G112="","",RANK(G112,$G$2:$G$1462,0))</f>
        <v>111</v>
      </c>
      <c r="J112" s="4" t="s">
        <v>34</v>
      </c>
    </row>
    <row r="113" customFormat="false" ht="15" hidden="false" customHeight="false" outlineLevel="0" collapsed="false">
      <c r="A113" s="4" t="s">
        <v>292</v>
      </c>
      <c r="B113" s="4" t="s">
        <v>72</v>
      </c>
      <c r="C113" s="4" t="s">
        <v>73</v>
      </c>
      <c r="D113" s="7" t="s">
        <v>293</v>
      </c>
      <c r="E113" s="4" t="s">
        <v>75</v>
      </c>
      <c r="F113" s="4" t="s">
        <v>4</v>
      </c>
      <c r="G113" s="8" t="n">
        <v>13806.8118258119</v>
      </c>
      <c r="H113" s="6" t="n">
        <f aca="false">IF(G113="","",G113/SUMIFS($G$2:$G$1462,$F$2:$F$1462,"Served"))</f>
        <v>0.00142320259313037</v>
      </c>
      <c r="I113" s="4" t="n">
        <f aca="false">IF(G113="","",RANK(G113,$G$2:$G$1462,0))</f>
        <v>112</v>
      </c>
      <c r="J113" s="4" t="s">
        <v>34</v>
      </c>
    </row>
    <row r="114" customFormat="false" ht="15" hidden="false" customHeight="false" outlineLevel="0" collapsed="false">
      <c r="A114" s="4" t="s">
        <v>294</v>
      </c>
      <c r="B114" s="4" t="s">
        <v>30</v>
      </c>
      <c r="C114" s="4" t="s">
        <v>246</v>
      </c>
      <c r="D114" s="7" t="s">
        <v>295</v>
      </c>
      <c r="E114" s="4" t="s">
        <v>33</v>
      </c>
      <c r="F114" s="4" t="s">
        <v>4</v>
      </c>
      <c r="G114" s="8" t="n">
        <v>13618.3475496173</v>
      </c>
      <c r="H114" s="6" t="n">
        <f aca="false">IF(G114="","",G114/SUMIFS($G$2:$G$1462,$F$2:$F$1462,"Served"))</f>
        <v>0.00140377574426935</v>
      </c>
      <c r="I114" s="4" t="n">
        <f aca="false">IF(G114="","",RANK(G114,$G$2:$G$1462,0))</f>
        <v>113</v>
      </c>
      <c r="J114" s="4" t="s">
        <v>34</v>
      </c>
    </row>
    <row r="115" customFormat="false" ht="15" hidden="false" customHeight="false" outlineLevel="0" collapsed="false">
      <c r="A115" s="4" t="s">
        <v>296</v>
      </c>
      <c r="B115" s="4" t="s">
        <v>171</v>
      </c>
      <c r="C115" s="4" t="s">
        <v>238</v>
      </c>
      <c r="D115" s="7" t="s">
        <v>297</v>
      </c>
      <c r="E115" s="4" t="s">
        <v>33</v>
      </c>
      <c r="F115" s="4" t="s">
        <v>4</v>
      </c>
      <c r="G115" s="8" t="n">
        <v>13611.9446416497</v>
      </c>
      <c r="H115" s="6" t="n">
        <f aca="false">IF(G115="","",G115/SUMIFS($G$2:$G$1462,$F$2:$F$1462,"Served"))</f>
        <v>0.00140311573417158</v>
      </c>
      <c r="I115" s="4" t="n">
        <f aca="false">IF(G115="","",RANK(G115,$G$2:$G$1462,0))</f>
        <v>114</v>
      </c>
      <c r="J115" s="4" t="s">
        <v>34</v>
      </c>
    </row>
    <row r="116" customFormat="false" ht="15" hidden="false" customHeight="false" outlineLevel="0" collapsed="false">
      <c r="A116" s="4" t="s">
        <v>298</v>
      </c>
      <c r="B116" s="4" t="s">
        <v>171</v>
      </c>
      <c r="C116" s="4" t="s">
        <v>219</v>
      </c>
      <c r="D116" s="7" t="s">
        <v>299</v>
      </c>
      <c r="E116" s="4" t="s">
        <v>33</v>
      </c>
      <c r="F116" s="4" t="s">
        <v>4</v>
      </c>
      <c r="G116" s="8" t="n">
        <v>13578.6371524334</v>
      </c>
      <c r="H116" s="6" t="n">
        <f aca="false">IF(G116="","",G116/SUMIFS($G$2:$G$1462,$F$2:$F$1462,"Served"))</f>
        <v>0.00139968240679511</v>
      </c>
      <c r="I116" s="4" t="n">
        <f aca="false">IF(G116="","",RANK(G116,$G$2:$G$1462,0))</f>
        <v>115</v>
      </c>
      <c r="J116" s="4" t="s">
        <v>34</v>
      </c>
    </row>
    <row r="117" customFormat="false" ht="15" hidden="false" customHeight="false" outlineLevel="0" collapsed="false">
      <c r="A117" s="4" t="s">
        <v>300</v>
      </c>
      <c r="B117" s="4" t="s">
        <v>171</v>
      </c>
      <c r="C117" s="4" t="s">
        <v>256</v>
      </c>
      <c r="D117" s="7" t="s">
        <v>301</v>
      </c>
      <c r="E117" s="4" t="s">
        <v>33</v>
      </c>
      <c r="F117" s="4" t="s">
        <v>4</v>
      </c>
      <c r="G117" s="8" t="n">
        <v>13549.217386663</v>
      </c>
      <c r="H117" s="6" t="n">
        <f aca="false">IF(G117="","",G117/SUMIFS($G$2:$G$1462,$F$2:$F$1462,"Served"))</f>
        <v>0.00139664982494624</v>
      </c>
      <c r="I117" s="4" t="n">
        <f aca="false">IF(G117="","",RANK(G117,$G$2:$G$1462,0))</f>
        <v>116</v>
      </c>
      <c r="J117" s="4" t="s">
        <v>34</v>
      </c>
    </row>
    <row r="118" customFormat="false" ht="15" hidden="false" customHeight="false" outlineLevel="0" collapsed="false">
      <c r="A118" s="4" t="s">
        <v>302</v>
      </c>
      <c r="B118" s="4" t="s">
        <v>30</v>
      </c>
      <c r="C118" s="4" t="s">
        <v>56</v>
      </c>
      <c r="D118" s="7" t="s">
        <v>303</v>
      </c>
      <c r="E118" s="4" t="s">
        <v>33</v>
      </c>
      <c r="F118" s="4" t="s">
        <v>4</v>
      </c>
      <c r="G118" s="8" t="n">
        <v>13486.0973041058</v>
      </c>
      <c r="H118" s="6" t="n">
        <f aca="false">IF(G118="","",G118/SUMIFS($G$2:$G$1462,$F$2:$F$1462,"Served"))</f>
        <v>0.0013901434231565</v>
      </c>
      <c r="I118" s="4" t="n">
        <f aca="false">IF(G118="","",RANK(G118,$G$2:$G$1462,0))</f>
        <v>117</v>
      </c>
      <c r="J118" s="4" t="s">
        <v>34</v>
      </c>
    </row>
    <row r="119" customFormat="false" ht="15" hidden="false" customHeight="false" outlineLevel="0" collapsed="false">
      <c r="A119" s="4" t="s">
        <v>304</v>
      </c>
      <c r="B119" s="4" t="s">
        <v>132</v>
      </c>
      <c r="C119" s="4" t="s">
        <v>133</v>
      </c>
      <c r="D119" s="7" t="s">
        <v>305</v>
      </c>
      <c r="E119" s="4" t="s">
        <v>135</v>
      </c>
      <c r="F119" s="4" t="s">
        <v>4</v>
      </c>
      <c r="G119" s="8" t="n">
        <v>13230.1448645592</v>
      </c>
      <c r="H119" s="6" t="n">
        <f aca="false">IF(G119="","",G119/SUMIFS($G$2:$G$1462,$F$2:$F$1462,"Served"))</f>
        <v>0.00136375991186682</v>
      </c>
      <c r="I119" s="4" t="n">
        <f aca="false">IF(G119="","",RANK(G119,$G$2:$G$1462,0))</f>
        <v>118</v>
      </c>
      <c r="J119" s="4" t="s">
        <v>34</v>
      </c>
    </row>
    <row r="120" customFormat="false" ht="15" hidden="false" customHeight="false" outlineLevel="0" collapsed="false">
      <c r="A120" s="4" t="s">
        <v>306</v>
      </c>
      <c r="B120" s="4" t="s">
        <v>61</v>
      </c>
      <c r="C120" s="4" t="s">
        <v>62</v>
      </c>
      <c r="D120" s="7" t="s">
        <v>307</v>
      </c>
      <c r="E120" s="4" t="s">
        <v>64</v>
      </c>
      <c r="F120" s="4" t="s">
        <v>4</v>
      </c>
      <c r="G120" s="8" t="n">
        <v>13170.7674279809</v>
      </c>
      <c r="H120" s="6" t="n">
        <f aca="false">IF(G120="","",G120/SUMIFS($G$2:$G$1462,$F$2:$F$1462,"Served"))</f>
        <v>0.0013576393010569</v>
      </c>
      <c r="I120" s="4" t="n">
        <f aca="false">IF(G120="","",RANK(G120,$G$2:$G$1462,0))</f>
        <v>119</v>
      </c>
      <c r="J120" s="4" t="s">
        <v>34</v>
      </c>
    </row>
    <row r="121" customFormat="false" ht="15" hidden="false" customHeight="false" outlineLevel="0" collapsed="false">
      <c r="A121" s="4" t="s">
        <v>308</v>
      </c>
      <c r="B121" s="4" t="s">
        <v>171</v>
      </c>
      <c r="C121" s="4" t="s">
        <v>259</v>
      </c>
      <c r="D121" s="7" t="s">
        <v>309</v>
      </c>
      <c r="E121" s="4" t="s">
        <v>33</v>
      </c>
      <c r="F121" s="4" t="s">
        <v>4</v>
      </c>
      <c r="G121" s="8" t="n">
        <v>13159.1985515356</v>
      </c>
      <c r="H121" s="6" t="n">
        <f aca="false">IF(G121="","",G121/SUMIFS($G$2:$G$1462,$F$2:$F$1462,"Served"))</f>
        <v>0.00135644678426416</v>
      </c>
      <c r="I121" s="4" t="n">
        <f aca="false">IF(G121="","",RANK(G121,$G$2:$G$1462,0))</f>
        <v>120</v>
      </c>
      <c r="J121" s="4" t="s">
        <v>34</v>
      </c>
    </row>
    <row r="122" customFormat="false" ht="15" hidden="false" customHeight="false" outlineLevel="0" collapsed="false">
      <c r="A122" s="4" t="s">
        <v>310</v>
      </c>
      <c r="B122" s="4" t="s">
        <v>204</v>
      </c>
      <c r="C122" s="4" t="s">
        <v>205</v>
      </c>
      <c r="D122" s="7" t="s">
        <v>311</v>
      </c>
      <c r="E122" s="4" t="s">
        <v>207</v>
      </c>
      <c r="F122" s="4" t="s">
        <v>4</v>
      </c>
      <c r="G122" s="8" t="n">
        <v>13101.799634546</v>
      </c>
      <c r="H122" s="6" t="n">
        <f aca="false">IF(G122="","",G122/SUMIFS($G$2:$G$1462,$F$2:$F$1462,"Served"))</f>
        <v>0.00135053011874188</v>
      </c>
      <c r="I122" s="4" t="n">
        <f aca="false">IF(G122="","",RANK(G122,$G$2:$G$1462,0))</f>
        <v>121</v>
      </c>
      <c r="J122" s="4" t="s">
        <v>34</v>
      </c>
    </row>
    <row r="123" customFormat="false" ht="15" hidden="false" customHeight="false" outlineLevel="0" collapsed="false">
      <c r="A123" s="4" t="s">
        <v>312</v>
      </c>
      <c r="B123" s="4" t="s">
        <v>171</v>
      </c>
      <c r="C123" s="4" t="s">
        <v>249</v>
      </c>
      <c r="D123" s="7" t="s">
        <v>309</v>
      </c>
      <c r="E123" s="4" t="s">
        <v>33</v>
      </c>
      <c r="F123" s="4" t="s">
        <v>4</v>
      </c>
      <c r="G123" s="8" t="n">
        <v>12990.419922173</v>
      </c>
      <c r="H123" s="6" t="n">
        <f aca="false">IF(G123="","",G123/SUMIFS($G$2:$G$1462,$F$2:$F$1462,"Served"))</f>
        <v>0.00133904912678868</v>
      </c>
      <c r="I123" s="4" t="n">
        <f aca="false">IF(G123="","",RANK(G123,$G$2:$G$1462,0))</f>
        <v>122</v>
      </c>
      <c r="J123" s="4" t="s">
        <v>34</v>
      </c>
    </row>
    <row r="124" customFormat="false" ht="15" hidden="false" customHeight="false" outlineLevel="0" collapsed="false">
      <c r="A124" s="4" t="s">
        <v>313</v>
      </c>
      <c r="B124" s="4" t="s">
        <v>171</v>
      </c>
      <c r="C124" s="4" t="s">
        <v>259</v>
      </c>
      <c r="D124" s="7" t="s">
        <v>314</v>
      </c>
      <c r="E124" s="4" t="s">
        <v>33</v>
      </c>
      <c r="F124" s="4" t="s">
        <v>4</v>
      </c>
      <c r="G124" s="8" t="n">
        <v>12646.814326942</v>
      </c>
      <c r="H124" s="6" t="n">
        <f aca="false">IF(G124="","",G124/SUMIFS($G$2:$G$1462,$F$2:$F$1462,"Served"))</f>
        <v>0.00130363035087456</v>
      </c>
      <c r="I124" s="4" t="n">
        <f aca="false">IF(G124="","",RANK(G124,$G$2:$G$1462,0))</f>
        <v>123</v>
      </c>
      <c r="J124" s="4" t="s">
        <v>34</v>
      </c>
    </row>
    <row r="125" customFormat="false" ht="15" hidden="false" customHeight="false" outlineLevel="0" collapsed="false">
      <c r="A125" s="4" t="s">
        <v>315</v>
      </c>
      <c r="B125" s="4" t="s">
        <v>30</v>
      </c>
      <c r="C125" s="4" t="s">
        <v>316</v>
      </c>
      <c r="D125" s="7" t="s">
        <v>317</v>
      </c>
      <c r="E125" s="4" t="s">
        <v>33</v>
      </c>
      <c r="F125" s="4" t="s">
        <v>4</v>
      </c>
      <c r="G125" s="8" t="n">
        <v>12169.1410061717</v>
      </c>
      <c r="H125" s="6" t="n">
        <f aca="false">IF(G125="","",G125/SUMIFS($G$2:$G$1462,$F$2:$F$1462,"Served"))</f>
        <v>0.00125439190847625</v>
      </c>
      <c r="I125" s="4" t="n">
        <f aca="false">IF(G125="","",RANK(G125,$G$2:$G$1462,0))</f>
        <v>124</v>
      </c>
      <c r="J125" s="4" t="s">
        <v>34</v>
      </c>
    </row>
    <row r="126" customFormat="false" ht="15" hidden="false" customHeight="false" outlineLevel="0" collapsed="false">
      <c r="A126" s="4" t="s">
        <v>318</v>
      </c>
      <c r="B126" s="4" t="s">
        <v>43</v>
      </c>
      <c r="C126" s="4" t="s">
        <v>44</v>
      </c>
      <c r="D126" s="7" t="s">
        <v>319</v>
      </c>
      <c r="E126" s="4" t="s">
        <v>46</v>
      </c>
      <c r="F126" s="4" t="s">
        <v>4</v>
      </c>
      <c r="G126" s="8" t="n">
        <v>12066.9571549296</v>
      </c>
      <c r="H126" s="6" t="n">
        <f aca="false">IF(G126="","",G126/SUMIFS($G$2:$G$1462,$F$2:$F$1462,"Served"))</f>
        <v>0.00124385882351077</v>
      </c>
      <c r="I126" s="4" t="n">
        <f aca="false">IF(G126="","",RANK(G126,$G$2:$G$1462,0))</f>
        <v>125</v>
      </c>
      <c r="J126" s="4" t="s">
        <v>34</v>
      </c>
    </row>
    <row r="127" customFormat="false" ht="15" hidden="false" customHeight="false" outlineLevel="0" collapsed="false">
      <c r="A127" s="4" t="s">
        <v>320</v>
      </c>
      <c r="B127" s="4" t="s">
        <v>321</v>
      </c>
      <c r="C127" s="4" t="s">
        <v>322</v>
      </c>
      <c r="D127" s="7" t="s">
        <v>323</v>
      </c>
      <c r="E127" s="4" t="s">
        <v>324</v>
      </c>
      <c r="F127" s="4" t="s">
        <v>4</v>
      </c>
      <c r="G127" s="8" t="n">
        <v>12041.862403214</v>
      </c>
      <c r="H127" s="6" t="n">
        <f aca="false">IF(G127="","",G127/SUMIFS($G$2:$G$1462,$F$2:$F$1462,"Served"))</f>
        <v>0.00124127206299239</v>
      </c>
      <c r="I127" s="4" t="n">
        <f aca="false">IF(G127="","",RANK(G127,$G$2:$G$1462,0))</f>
        <v>126</v>
      </c>
      <c r="J127" s="4" t="s">
        <v>34</v>
      </c>
    </row>
    <row r="128" customFormat="false" ht="15" hidden="false" customHeight="false" outlineLevel="0" collapsed="false">
      <c r="A128" s="4" t="s">
        <v>325</v>
      </c>
      <c r="B128" s="4" t="s">
        <v>30</v>
      </c>
      <c r="C128" s="4" t="s">
        <v>246</v>
      </c>
      <c r="D128" s="7" t="s">
        <v>326</v>
      </c>
      <c r="E128" s="4" t="s">
        <v>33</v>
      </c>
      <c r="F128" s="4" t="s">
        <v>4</v>
      </c>
      <c r="G128" s="8" t="n">
        <v>12015.9746930301</v>
      </c>
      <c r="H128" s="6" t="n">
        <f aca="false">IF(G128="","",G128/SUMIFS($G$2:$G$1462,$F$2:$F$1462,"Served"))</f>
        <v>0.00123860356452014</v>
      </c>
      <c r="I128" s="4" t="n">
        <f aca="false">IF(G128="","",RANK(G128,$G$2:$G$1462,0))</f>
        <v>127</v>
      </c>
      <c r="J128" s="4" t="s">
        <v>34</v>
      </c>
    </row>
    <row r="129" customFormat="false" ht="15" hidden="false" customHeight="false" outlineLevel="0" collapsed="false">
      <c r="A129" s="4" t="s">
        <v>327</v>
      </c>
      <c r="B129" s="4" t="s">
        <v>30</v>
      </c>
      <c r="C129" s="4" t="s">
        <v>56</v>
      </c>
      <c r="D129" s="7" t="s">
        <v>328</v>
      </c>
      <c r="E129" s="4" t="s">
        <v>33</v>
      </c>
      <c r="F129" s="4" t="s">
        <v>4</v>
      </c>
      <c r="G129" s="8" t="n">
        <v>11926.2042747736</v>
      </c>
      <c r="H129" s="6" t="n">
        <f aca="false">IF(G129="","",G129/SUMIFS($G$2:$G$1462,$F$2:$F$1462,"Served"))</f>
        <v>0.0012293500530172</v>
      </c>
      <c r="I129" s="4" t="n">
        <f aca="false">IF(G129="","",RANK(G129,$G$2:$G$1462,0))</f>
        <v>128</v>
      </c>
      <c r="J129" s="4" t="s">
        <v>34</v>
      </c>
    </row>
    <row r="130" customFormat="false" ht="15" hidden="false" customHeight="false" outlineLevel="0" collapsed="false">
      <c r="A130" s="4" t="s">
        <v>329</v>
      </c>
      <c r="B130" s="4" t="s">
        <v>171</v>
      </c>
      <c r="C130" s="4" t="s">
        <v>330</v>
      </c>
      <c r="D130" s="7" t="s">
        <v>331</v>
      </c>
      <c r="E130" s="4" t="s">
        <v>33</v>
      </c>
      <c r="F130" s="4" t="s">
        <v>4</v>
      </c>
      <c r="G130" s="8" t="n">
        <v>11647.7180461884</v>
      </c>
      <c r="H130" s="6" t="n">
        <f aca="false">IF(G130="","",G130/SUMIFS($G$2:$G$1462,$F$2:$F$1462,"Served"))</f>
        <v>0.00120064376457973</v>
      </c>
      <c r="I130" s="4" t="n">
        <f aca="false">IF(G130="","",RANK(G130,$G$2:$G$1462,0))</f>
        <v>129</v>
      </c>
      <c r="J130" s="4" t="s">
        <v>34</v>
      </c>
    </row>
    <row r="131" customFormat="false" ht="15" hidden="false" customHeight="false" outlineLevel="0" collapsed="false">
      <c r="A131" s="4" t="s">
        <v>332</v>
      </c>
      <c r="B131" s="4" t="s">
        <v>72</v>
      </c>
      <c r="C131" s="4" t="s">
        <v>73</v>
      </c>
      <c r="D131" s="7" t="s">
        <v>333</v>
      </c>
      <c r="E131" s="4" t="s">
        <v>75</v>
      </c>
      <c r="F131" s="4" t="s">
        <v>4</v>
      </c>
      <c r="G131" s="8" t="n">
        <v>11525.526155293</v>
      </c>
      <c r="H131" s="6" t="n">
        <f aca="false">IF(G131="","",G131/SUMIFS($G$2:$G$1462,$F$2:$F$1462,"Served"))</f>
        <v>0.00118804825606004</v>
      </c>
      <c r="I131" s="4" t="n">
        <f aca="false">IF(G131="","",RANK(G131,$G$2:$G$1462,0))</f>
        <v>130</v>
      </c>
      <c r="J131" s="4" t="s">
        <v>34</v>
      </c>
    </row>
    <row r="132" customFormat="false" ht="15" hidden="false" customHeight="false" outlineLevel="0" collapsed="false">
      <c r="A132" s="4" t="s">
        <v>334</v>
      </c>
      <c r="B132" s="4" t="s">
        <v>72</v>
      </c>
      <c r="C132" s="4" t="s">
        <v>73</v>
      </c>
      <c r="D132" s="7" t="s">
        <v>335</v>
      </c>
      <c r="E132" s="4" t="s">
        <v>75</v>
      </c>
      <c r="F132" s="4" t="s">
        <v>4</v>
      </c>
      <c r="G132" s="8" t="n">
        <v>11479.7811319232</v>
      </c>
      <c r="H132" s="6" t="n">
        <f aca="false">IF(G132="","",G132/SUMIFS($G$2:$G$1462,$F$2:$F$1462,"Served"))</f>
        <v>0.00118333287087886</v>
      </c>
      <c r="I132" s="4" t="n">
        <f aca="false">IF(G132="","",RANK(G132,$G$2:$G$1462,0))</f>
        <v>131</v>
      </c>
      <c r="J132" s="4" t="s">
        <v>34</v>
      </c>
    </row>
    <row r="133" customFormat="false" ht="15" hidden="false" customHeight="false" outlineLevel="0" collapsed="false">
      <c r="A133" s="4" t="s">
        <v>336</v>
      </c>
      <c r="B133" s="4" t="s">
        <v>171</v>
      </c>
      <c r="C133" s="4" t="s">
        <v>172</v>
      </c>
      <c r="D133" s="7" t="s">
        <v>337</v>
      </c>
      <c r="E133" s="4" t="s">
        <v>33</v>
      </c>
      <c r="F133" s="4" t="s">
        <v>4</v>
      </c>
      <c r="G133" s="8" t="n">
        <v>11442.5344405174</v>
      </c>
      <c r="H133" s="6" t="n">
        <f aca="false">IF(G133="","",G133/SUMIFS($G$2:$G$1462,$F$2:$F$1462,"Served"))</f>
        <v>0.00117949349155922</v>
      </c>
      <c r="I133" s="4" t="n">
        <f aca="false">IF(G133="","",RANK(G133,$G$2:$G$1462,0))</f>
        <v>132</v>
      </c>
      <c r="J133" s="4" t="s">
        <v>34</v>
      </c>
    </row>
    <row r="134" customFormat="false" ht="15" hidden="false" customHeight="false" outlineLevel="0" collapsed="false">
      <c r="A134" s="4" t="s">
        <v>338</v>
      </c>
      <c r="B134" s="4" t="s">
        <v>171</v>
      </c>
      <c r="C134" s="4" t="s">
        <v>330</v>
      </c>
      <c r="D134" s="7" t="s">
        <v>339</v>
      </c>
      <c r="E134" s="4" t="s">
        <v>33</v>
      </c>
      <c r="F134" s="4" t="s">
        <v>4</v>
      </c>
      <c r="G134" s="8" t="n">
        <v>11296.4854909182</v>
      </c>
      <c r="H134" s="6" t="n">
        <f aca="false">IF(G134="","",G134/SUMIFS($G$2:$G$1462,$F$2:$F$1462,"Served"))</f>
        <v>0.00116443880359678</v>
      </c>
      <c r="I134" s="4" t="n">
        <f aca="false">IF(G134="","",RANK(G134,$G$2:$G$1462,0))</f>
        <v>133</v>
      </c>
      <c r="J134" s="4" t="s">
        <v>34</v>
      </c>
    </row>
    <row r="135" customFormat="false" ht="15" hidden="false" customHeight="false" outlineLevel="0" collapsed="false">
      <c r="A135" s="4" t="s">
        <v>340</v>
      </c>
      <c r="B135" s="4" t="s">
        <v>171</v>
      </c>
      <c r="C135" s="4" t="s">
        <v>341</v>
      </c>
      <c r="D135" s="7" t="s">
        <v>342</v>
      </c>
      <c r="E135" s="4" t="s">
        <v>33</v>
      </c>
      <c r="F135" s="4" t="s">
        <v>4</v>
      </c>
      <c r="G135" s="8" t="n">
        <v>11208.2066911459</v>
      </c>
      <c r="H135" s="6" t="n">
        <f aca="false">IF(G135="","",G135/SUMIFS($G$2:$G$1462,$F$2:$F$1462,"Served"))</f>
        <v>0.00115533904774153</v>
      </c>
      <c r="I135" s="4" t="n">
        <f aca="false">IF(G135="","",RANK(G135,$G$2:$G$1462,0))</f>
        <v>134</v>
      </c>
      <c r="J135" s="4" t="s">
        <v>34</v>
      </c>
    </row>
    <row r="136" customFormat="false" ht="15" hidden="false" customHeight="false" outlineLevel="0" collapsed="false">
      <c r="A136" s="4" t="s">
        <v>343</v>
      </c>
      <c r="B136" s="4" t="s">
        <v>30</v>
      </c>
      <c r="C136" s="4" t="s">
        <v>246</v>
      </c>
      <c r="D136" s="7" t="s">
        <v>344</v>
      </c>
      <c r="E136" s="4" t="s">
        <v>33</v>
      </c>
      <c r="F136" s="4" t="s">
        <v>4</v>
      </c>
      <c r="G136" s="8" t="n">
        <v>11049.6306143999</v>
      </c>
      <c r="H136" s="6" t="n">
        <f aca="false">IF(G136="","",G136/SUMIFS($G$2:$G$1462,$F$2:$F$1462,"Served"))</f>
        <v>0.00113899306675181</v>
      </c>
      <c r="I136" s="4" t="n">
        <f aca="false">IF(G136="","",RANK(G136,$G$2:$G$1462,0))</f>
        <v>135</v>
      </c>
      <c r="J136" s="4" t="s">
        <v>34</v>
      </c>
    </row>
    <row r="137" customFormat="false" ht="15" hidden="false" customHeight="false" outlineLevel="0" collapsed="false">
      <c r="A137" s="4" t="s">
        <v>345</v>
      </c>
      <c r="B137" s="4" t="s">
        <v>30</v>
      </c>
      <c r="C137" s="4" t="s">
        <v>246</v>
      </c>
      <c r="D137" s="7" t="s">
        <v>346</v>
      </c>
      <c r="E137" s="4" t="s">
        <v>33</v>
      </c>
      <c r="F137" s="4" t="s">
        <v>4</v>
      </c>
      <c r="G137" s="8" t="n">
        <v>10995.5109642148</v>
      </c>
      <c r="H137" s="6" t="n">
        <f aca="false">IF(G137="","",G137/SUMIFS($G$2:$G$1462,$F$2:$F$1462,"Served"))</f>
        <v>0.00113341442720385</v>
      </c>
      <c r="I137" s="4" t="n">
        <f aca="false">IF(G137="","",RANK(G137,$G$2:$G$1462,0))</f>
        <v>136</v>
      </c>
      <c r="J137" s="4" t="s">
        <v>34</v>
      </c>
    </row>
    <row r="138" customFormat="false" ht="15" hidden="false" customHeight="false" outlineLevel="0" collapsed="false">
      <c r="A138" s="4" t="s">
        <v>347</v>
      </c>
      <c r="B138" s="4" t="s">
        <v>30</v>
      </c>
      <c r="C138" s="4" t="s">
        <v>348</v>
      </c>
      <c r="D138" s="7" t="s">
        <v>349</v>
      </c>
      <c r="E138" s="4" t="s">
        <v>33</v>
      </c>
      <c r="F138" s="4" t="s">
        <v>4</v>
      </c>
      <c r="G138" s="8" t="n">
        <v>10938.3166145086</v>
      </c>
      <c r="H138" s="6" t="n">
        <f aca="false">IF(G138="","",G138/SUMIFS($G$2:$G$1462,$F$2:$F$1462,"Served"))</f>
        <v>0.00112751884842425</v>
      </c>
      <c r="I138" s="4" t="n">
        <f aca="false">IF(G138="","",RANK(G138,$G$2:$G$1462,0))</f>
        <v>137</v>
      </c>
      <c r="J138" s="4" t="s">
        <v>34</v>
      </c>
    </row>
    <row r="139" customFormat="false" ht="15" hidden="false" customHeight="false" outlineLevel="0" collapsed="false">
      <c r="A139" s="4" t="s">
        <v>350</v>
      </c>
      <c r="B139" s="4" t="s">
        <v>171</v>
      </c>
      <c r="C139" s="4" t="s">
        <v>330</v>
      </c>
      <c r="D139" s="7" t="s">
        <v>351</v>
      </c>
      <c r="E139" s="4" t="s">
        <v>33</v>
      </c>
      <c r="F139" s="4" t="s">
        <v>4</v>
      </c>
      <c r="G139" s="8" t="n">
        <v>10936.9391180873</v>
      </c>
      <c r="H139" s="6" t="n">
        <f aca="false">IF(G139="","",G139/SUMIFS($G$2:$G$1462,$F$2:$F$1462,"Served"))</f>
        <v>0.0011273768564493</v>
      </c>
      <c r="I139" s="4" t="n">
        <f aca="false">IF(G139="","",RANK(G139,$G$2:$G$1462,0))</f>
        <v>138</v>
      </c>
      <c r="J139" s="4" t="s">
        <v>34</v>
      </c>
    </row>
    <row r="140" customFormat="false" ht="15" hidden="false" customHeight="false" outlineLevel="0" collapsed="false">
      <c r="A140" s="4" t="s">
        <v>352</v>
      </c>
      <c r="B140" s="4" t="s">
        <v>30</v>
      </c>
      <c r="C140" s="4" t="s">
        <v>31</v>
      </c>
      <c r="D140" s="7" t="s">
        <v>353</v>
      </c>
      <c r="E140" s="4" t="s">
        <v>33</v>
      </c>
      <c r="F140" s="4" t="s">
        <v>4</v>
      </c>
      <c r="G140" s="8" t="n">
        <v>10921.4769743085</v>
      </c>
      <c r="H140" s="6" t="n">
        <f aca="false">IF(G140="","",G140/SUMIFS($G$2:$G$1462,$F$2:$F$1462,"Served"))</f>
        <v>0.00112578302266646</v>
      </c>
      <c r="I140" s="4" t="n">
        <f aca="false">IF(G140="","",RANK(G140,$G$2:$G$1462,0))</f>
        <v>139</v>
      </c>
      <c r="J140" s="4" t="s">
        <v>34</v>
      </c>
    </row>
    <row r="141" customFormat="false" ht="15" hidden="false" customHeight="false" outlineLevel="0" collapsed="false">
      <c r="A141" s="4" t="s">
        <v>354</v>
      </c>
      <c r="B141" s="4" t="s">
        <v>321</v>
      </c>
      <c r="C141" s="4" t="s">
        <v>322</v>
      </c>
      <c r="D141" s="7" t="s">
        <v>355</v>
      </c>
      <c r="E141" s="4" t="s">
        <v>324</v>
      </c>
      <c r="F141" s="4" t="s">
        <v>4</v>
      </c>
      <c r="G141" s="8" t="n">
        <v>10687.6399879456</v>
      </c>
      <c r="H141" s="6" t="n">
        <f aca="false">IF(G141="","",G141/SUMIFS($G$2:$G$1462,$F$2:$F$1462,"Served"))</f>
        <v>0.0011016791665728</v>
      </c>
      <c r="I141" s="4" t="n">
        <f aca="false">IF(G141="","",RANK(G141,$G$2:$G$1462,0))</f>
        <v>140</v>
      </c>
      <c r="J141" s="4" t="s">
        <v>34</v>
      </c>
    </row>
    <row r="142" customFormat="false" ht="15" hidden="false" customHeight="false" outlineLevel="0" collapsed="false">
      <c r="A142" s="4" t="s">
        <v>356</v>
      </c>
      <c r="B142" s="4" t="s">
        <v>30</v>
      </c>
      <c r="C142" s="4" t="s">
        <v>209</v>
      </c>
      <c r="D142" s="7" t="s">
        <v>357</v>
      </c>
      <c r="E142" s="4" t="s">
        <v>33</v>
      </c>
      <c r="F142" s="4" t="s">
        <v>4</v>
      </c>
      <c r="G142" s="8" t="n">
        <v>10651.6617542505</v>
      </c>
      <c r="H142" s="6" t="n">
        <f aca="false">IF(G142="","",G142/SUMIFS($G$2:$G$1462,$F$2:$F$1462,"Served"))</f>
        <v>0.00109797053954601</v>
      </c>
      <c r="I142" s="4" t="n">
        <f aca="false">IF(G142="","",RANK(G142,$G$2:$G$1462,0))</f>
        <v>141</v>
      </c>
      <c r="J142" s="4" t="s">
        <v>34</v>
      </c>
    </row>
    <row r="143" customFormat="false" ht="15" hidden="false" customHeight="false" outlineLevel="0" collapsed="false">
      <c r="A143" s="4" t="s">
        <v>358</v>
      </c>
      <c r="B143" s="4" t="s">
        <v>72</v>
      </c>
      <c r="C143" s="4" t="s">
        <v>73</v>
      </c>
      <c r="D143" s="7" t="s">
        <v>359</v>
      </c>
      <c r="E143" s="4" t="s">
        <v>75</v>
      </c>
      <c r="F143" s="4" t="s">
        <v>4</v>
      </c>
      <c r="G143" s="8" t="n">
        <v>10559.7296763063</v>
      </c>
      <c r="H143" s="6" t="n">
        <f aca="false">IF(G143="","",G143/SUMIFS($G$2:$G$1462,$F$2:$F$1462,"Served"))</f>
        <v>0.00108849420472137</v>
      </c>
      <c r="I143" s="4" t="n">
        <f aca="false">IF(G143="","",RANK(G143,$G$2:$G$1462,0))</f>
        <v>142</v>
      </c>
      <c r="J143" s="4" t="s">
        <v>34</v>
      </c>
    </row>
    <row r="144" customFormat="false" ht="15" hidden="false" customHeight="false" outlineLevel="0" collapsed="false">
      <c r="A144" s="4" t="s">
        <v>360</v>
      </c>
      <c r="B144" s="4" t="s">
        <v>30</v>
      </c>
      <c r="C144" s="4" t="s">
        <v>226</v>
      </c>
      <c r="D144" s="7" t="s">
        <v>361</v>
      </c>
      <c r="E144" s="4" t="s">
        <v>33</v>
      </c>
      <c r="F144" s="4" t="s">
        <v>4</v>
      </c>
      <c r="G144" s="8" t="n">
        <v>10558.1443979144</v>
      </c>
      <c r="H144" s="6" t="n">
        <f aca="false">IF(G144="","",G144/SUMIFS($G$2:$G$1462,$F$2:$F$1462,"Served"))</f>
        <v>0.00108833079463463</v>
      </c>
      <c r="I144" s="4" t="n">
        <f aca="false">IF(G144="","",RANK(G144,$G$2:$G$1462,0))</f>
        <v>143</v>
      </c>
      <c r="J144" s="4" t="s">
        <v>34</v>
      </c>
    </row>
    <row r="145" customFormat="false" ht="15" hidden="false" customHeight="false" outlineLevel="0" collapsed="false">
      <c r="A145" s="4" t="s">
        <v>362</v>
      </c>
      <c r="B145" s="4" t="s">
        <v>43</v>
      </c>
      <c r="C145" s="4" t="s">
        <v>44</v>
      </c>
      <c r="D145" s="7" t="s">
        <v>363</v>
      </c>
      <c r="E145" s="4" t="s">
        <v>46</v>
      </c>
      <c r="F145" s="4" t="s">
        <v>4</v>
      </c>
      <c r="G145" s="8" t="n">
        <v>10507.5252459049</v>
      </c>
      <c r="H145" s="6" t="n">
        <f aca="false">IF(G145="","",G145/SUMIFS($G$2:$G$1462,$F$2:$F$1462,"Served"))</f>
        <v>0.00108311298553353</v>
      </c>
      <c r="I145" s="4" t="n">
        <f aca="false">IF(G145="","",RANK(G145,$G$2:$G$1462,0))</f>
        <v>144</v>
      </c>
      <c r="J145" s="4" t="s">
        <v>34</v>
      </c>
    </row>
    <row r="146" customFormat="false" ht="15" hidden="false" customHeight="false" outlineLevel="0" collapsed="false">
      <c r="A146" s="4" t="s">
        <v>364</v>
      </c>
      <c r="B146" s="4" t="s">
        <v>30</v>
      </c>
      <c r="C146" s="4" t="s">
        <v>31</v>
      </c>
      <c r="D146" s="7" t="s">
        <v>365</v>
      </c>
      <c r="E146" s="4" t="s">
        <v>33</v>
      </c>
      <c r="F146" s="4" t="s">
        <v>4</v>
      </c>
      <c r="G146" s="8" t="n">
        <v>10496.1243923903</v>
      </c>
      <c r="H146" s="6" t="n">
        <f aca="false">IF(G146="","",G146/SUMIFS($G$2:$G$1462,$F$2:$F$1462,"Served"))</f>
        <v>0.00108193778850103</v>
      </c>
      <c r="I146" s="4" t="n">
        <f aca="false">IF(G146="","",RANK(G146,$G$2:$G$1462,0))</f>
        <v>145</v>
      </c>
      <c r="J146" s="4" t="s">
        <v>34</v>
      </c>
    </row>
    <row r="147" customFormat="false" ht="15" hidden="false" customHeight="false" outlineLevel="0" collapsed="false">
      <c r="A147" s="4" t="s">
        <v>366</v>
      </c>
      <c r="B147" s="4" t="s">
        <v>30</v>
      </c>
      <c r="C147" s="4" t="s">
        <v>246</v>
      </c>
      <c r="D147" s="7" t="s">
        <v>367</v>
      </c>
      <c r="E147" s="4" t="s">
        <v>33</v>
      </c>
      <c r="F147" s="4" t="s">
        <v>4</v>
      </c>
      <c r="G147" s="8" t="n">
        <v>10398.4791705608</v>
      </c>
      <c r="H147" s="6" t="n">
        <f aca="false">IF(G147="","",G147/SUMIFS($G$2:$G$1462,$F$2:$F$1462,"Served"))</f>
        <v>0.00107187254428189</v>
      </c>
      <c r="I147" s="4" t="n">
        <f aca="false">IF(G147="","",RANK(G147,$G$2:$G$1462,0))</f>
        <v>146</v>
      </c>
      <c r="J147" s="4" t="s">
        <v>34</v>
      </c>
    </row>
    <row r="148" customFormat="false" ht="15" hidden="false" customHeight="false" outlineLevel="0" collapsed="false">
      <c r="A148" s="4" t="s">
        <v>368</v>
      </c>
      <c r="B148" s="4" t="s">
        <v>87</v>
      </c>
      <c r="C148" s="4" t="s">
        <v>88</v>
      </c>
      <c r="D148" s="7" t="s">
        <v>369</v>
      </c>
      <c r="E148" s="4" t="s">
        <v>90</v>
      </c>
      <c r="F148" s="4" t="s">
        <v>4</v>
      </c>
      <c r="G148" s="8" t="n">
        <v>10329.6889356971</v>
      </c>
      <c r="H148" s="6" t="n">
        <f aca="false">IF(G148="","",G148/SUMIFS($G$2:$G$1462,$F$2:$F$1462,"Served"))</f>
        <v>0.00106478166465847</v>
      </c>
      <c r="I148" s="4" t="n">
        <f aca="false">IF(G148="","",RANK(G148,$G$2:$G$1462,0))</f>
        <v>147</v>
      </c>
      <c r="J148" s="4" t="s">
        <v>34</v>
      </c>
    </row>
    <row r="149" customFormat="false" ht="15" hidden="false" customHeight="false" outlineLevel="0" collapsed="false">
      <c r="A149" s="4" t="s">
        <v>370</v>
      </c>
      <c r="B149" s="4" t="s">
        <v>171</v>
      </c>
      <c r="C149" s="4" t="s">
        <v>341</v>
      </c>
      <c r="D149" s="7" t="s">
        <v>371</v>
      </c>
      <c r="E149" s="4" t="s">
        <v>33</v>
      </c>
      <c r="F149" s="4" t="s">
        <v>4</v>
      </c>
      <c r="G149" s="8" t="n">
        <v>10295.5874418616</v>
      </c>
      <c r="H149" s="6" t="n">
        <f aca="false">IF(G149="","",G149/SUMIFS($G$2:$G$1462,$F$2:$F$1462,"Served"))</f>
        <v>0.00106126649149115</v>
      </c>
      <c r="I149" s="4" t="n">
        <f aca="false">IF(G149="","",RANK(G149,$G$2:$G$1462,0))</f>
        <v>148</v>
      </c>
      <c r="J149" s="4" t="s">
        <v>34</v>
      </c>
    </row>
    <row r="150" customFormat="false" ht="15" hidden="false" customHeight="false" outlineLevel="0" collapsed="false">
      <c r="A150" s="4" t="s">
        <v>372</v>
      </c>
      <c r="B150" s="4" t="s">
        <v>321</v>
      </c>
      <c r="C150" s="4" t="s">
        <v>322</v>
      </c>
      <c r="D150" s="7" t="s">
        <v>373</v>
      </c>
      <c r="E150" s="4" t="s">
        <v>324</v>
      </c>
      <c r="F150" s="4" t="s">
        <v>4</v>
      </c>
      <c r="G150" s="8" t="n">
        <v>10271.5932279825</v>
      </c>
      <c r="H150" s="6" t="n">
        <f aca="false">IF(G150="","",G150/SUMIFS($G$2:$G$1462,$F$2:$F$1462,"Served"))</f>
        <v>0.00105879317412841</v>
      </c>
      <c r="I150" s="4" t="n">
        <f aca="false">IF(G150="","",RANK(G150,$G$2:$G$1462,0))</f>
        <v>149</v>
      </c>
      <c r="J150" s="4" t="s">
        <v>34</v>
      </c>
    </row>
    <row r="151" customFormat="false" ht="15" hidden="false" customHeight="false" outlineLevel="0" collapsed="false">
      <c r="A151" s="4" t="s">
        <v>374</v>
      </c>
      <c r="B151" s="4" t="s">
        <v>30</v>
      </c>
      <c r="C151" s="4" t="s">
        <v>209</v>
      </c>
      <c r="D151" s="7" t="s">
        <v>375</v>
      </c>
      <c r="E151" s="4" t="s">
        <v>33</v>
      </c>
      <c r="F151" s="4" t="s">
        <v>4</v>
      </c>
      <c r="G151" s="8" t="n">
        <v>10136.7635336518</v>
      </c>
      <c r="H151" s="6" t="n">
        <f aca="false">IF(G151="","",G151/SUMIFS($G$2:$G$1462,$F$2:$F$1462,"Served"))</f>
        <v>0.00104489496409822</v>
      </c>
      <c r="I151" s="4" t="n">
        <f aca="false">IF(G151="","",RANK(G151,$G$2:$G$1462,0))</f>
        <v>150</v>
      </c>
      <c r="J151" s="4" t="s">
        <v>34</v>
      </c>
    </row>
    <row r="152" customFormat="false" ht="15" hidden="false" customHeight="false" outlineLevel="0" collapsed="false">
      <c r="A152" s="4" t="s">
        <v>376</v>
      </c>
      <c r="B152" s="4" t="s">
        <v>72</v>
      </c>
      <c r="C152" s="4" t="s">
        <v>73</v>
      </c>
      <c r="D152" s="7" t="s">
        <v>377</v>
      </c>
      <c r="E152" s="4" t="s">
        <v>75</v>
      </c>
      <c r="F152" s="4" t="s">
        <v>4</v>
      </c>
      <c r="G152" s="8" t="n">
        <v>9881.95836806297</v>
      </c>
      <c r="H152" s="6" t="n">
        <f aca="false">IF(G152="","",G152/SUMIFS($G$2:$G$1462,$F$2:$F$1462,"Served"))</f>
        <v>0.00101862971351147</v>
      </c>
      <c r="I152" s="4" t="n">
        <f aca="false">IF(G152="","",RANK(G152,$G$2:$G$1462,0))</f>
        <v>151</v>
      </c>
      <c r="J152" s="4" t="s">
        <v>34</v>
      </c>
    </row>
    <row r="153" customFormat="false" ht="15" hidden="false" customHeight="false" outlineLevel="0" collapsed="false">
      <c r="A153" s="4" t="s">
        <v>378</v>
      </c>
      <c r="B153" s="4" t="s">
        <v>30</v>
      </c>
      <c r="C153" s="4" t="s">
        <v>348</v>
      </c>
      <c r="D153" s="7" t="s">
        <v>379</v>
      </c>
      <c r="E153" s="4" t="s">
        <v>33</v>
      </c>
      <c r="F153" s="4" t="s">
        <v>4</v>
      </c>
      <c r="G153" s="8" t="n">
        <v>9759.94084012508</v>
      </c>
      <c r="H153" s="6" t="n">
        <f aca="false">IF(G153="","",G153/SUMIFS($G$2:$G$1462,$F$2:$F$1462,"Served"))</f>
        <v>0.00100605217828036</v>
      </c>
      <c r="I153" s="4" t="n">
        <f aca="false">IF(G153="","",RANK(G153,$G$2:$G$1462,0))</f>
        <v>152</v>
      </c>
      <c r="J153" s="4" t="s">
        <v>34</v>
      </c>
    </row>
    <row r="154" customFormat="false" ht="15" hidden="false" customHeight="false" outlineLevel="0" collapsed="false">
      <c r="A154" s="4" t="s">
        <v>380</v>
      </c>
      <c r="B154" s="4" t="s">
        <v>43</v>
      </c>
      <c r="C154" s="4" t="s">
        <v>44</v>
      </c>
      <c r="D154" s="7" t="s">
        <v>381</v>
      </c>
      <c r="E154" s="4" t="s">
        <v>46</v>
      </c>
      <c r="F154" s="4" t="s">
        <v>4</v>
      </c>
      <c r="G154" s="8" t="n">
        <v>9692.00366294384</v>
      </c>
      <c r="H154" s="6" t="n">
        <f aca="false">IF(G154="","",G154/SUMIFS($G$2:$G$1462,$F$2:$F$1462,"Served"))</f>
        <v>0.000999049231622276</v>
      </c>
      <c r="I154" s="4" t="n">
        <f aca="false">IF(G154="","",RANK(G154,$G$2:$G$1462,0))</f>
        <v>153</v>
      </c>
      <c r="J154" s="4" t="s">
        <v>34</v>
      </c>
    </row>
    <row r="155" customFormat="false" ht="15" hidden="false" customHeight="false" outlineLevel="0" collapsed="false">
      <c r="A155" s="4" t="s">
        <v>382</v>
      </c>
      <c r="B155" s="4" t="s">
        <v>30</v>
      </c>
      <c r="C155" s="4" t="s">
        <v>31</v>
      </c>
      <c r="D155" s="7" t="s">
        <v>383</v>
      </c>
      <c r="E155" s="4" t="s">
        <v>33</v>
      </c>
      <c r="F155" s="4" t="s">
        <v>4</v>
      </c>
      <c r="G155" s="8" t="n">
        <v>9647.09591269493</v>
      </c>
      <c r="H155" s="6" t="n">
        <f aca="false">IF(G155="","",G155/SUMIFS($G$2:$G$1462,$F$2:$F$1462,"Served"))</f>
        <v>0.000994420152337917</v>
      </c>
      <c r="I155" s="4" t="n">
        <f aca="false">IF(G155="","",RANK(G155,$G$2:$G$1462,0))</f>
        <v>154</v>
      </c>
      <c r="J155" s="4" t="s">
        <v>34</v>
      </c>
    </row>
    <row r="156" customFormat="false" ht="15" hidden="false" customHeight="false" outlineLevel="0" collapsed="false">
      <c r="A156" s="4" t="s">
        <v>384</v>
      </c>
      <c r="B156" s="4" t="s">
        <v>43</v>
      </c>
      <c r="C156" s="4" t="s">
        <v>44</v>
      </c>
      <c r="D156" s="7" t="s">
        <v>385</v>
      </c>
      <c r="E156" s="4" t="s">
        <v>46</v>
      </c>
      <c r="F156" s="4" t="s">
        <v>4</v>
      </c>
      <c r="G156" s="8" t="n">
        <v>9548.85426527262</v>
      </c>
      <c r="H156" s="6" t="n">
        <f aca="false">IF(G156="","",G156/SUMIFS($G$2:$G$1462,$F$2:$F$1462,"Served"))</f>
        <v>0.000984293428722879</v>
      </c>
      <c r="I156" s="4" t="n">
        <f aca="false">IF(G156="","",RANK(G156,$G$2:$G$1462,0))</f>
        <v>155</v>
      </c>
      <c r="J156" s="4" t="s">
        <v>34</v>
      </c>
    </row>
    <row r="157" customFormat="false" ht="15" hidden="false" customHeight="false" outlineLevel="0" collapsed="false">
      <c r="A157" s="4" t="s">
        <v>386</v>
      </c>
      <c r="B157" s="4" t="s">
        <v>171</v>
      </c>
      <c r="C157" s="4" t="s">
        <v>172</v>
      </c>
      <c r="D157" s="7" t="s">
        <v>387</v>
      </c>
      <c r="E157" s="4" t="s">
        <v>33</v>
      </c>
      <c r="F157" s="4" t="s">
        <v>4</v>
      </c>
      <c r="G157" s="8" t="n">
        <v>9490.96659946442</v>
      </c>
      <c r="H157" s="6" t="n">
        <f aca="false">IF(G157="","",G157/SUMIFS($G$2:$G$1462,$F$2:$F$1462,"Served"))</f>
        <v>0.000978326383098742</v>
      </c>
      <c r="I157" s="4" t="n">
        <f aca="false">IF(G157="","",RANK(G157,$G$2:$G$1462,0))</f>
        <v>156</v>
      </c>
      <c r="J157" s="4" t="s">
        <v>34</v>
      </c>
    </row>
    <row r="158" customFormat="false" ht="15" hidden="false" customHeight="false" outlineLevel="0" collapsed="false">
      <c r="A158" s="4" t="s">
        <v>388</v>
      </c>
      <c r="B158" s="4" t="s">
        <v>43</v>
      </c>
      <c r="C158" s="4" t="s">
        <v>44</v>
      </c>
      <c r="D158" s="7" t="s">
        <v>389</v>
      </c>
      <c r="E158" s="4" t="s">
        <v>46</v>
      </c>
      <c r="F158" s="4" t="s">
        <v>4</v>
      </c>
      <c r="G158" s="8" t="n">
        <v>9472.97594577074</v>
      </c>
      <c r="H158" s="6" t="n">
        <f aca="false">IF(G158="","",G158/SUMIFS($G$2:$G$1462,$F$2:$F$1462,"Served"))</f>
        <v>0.000976471911167642</v>
      </c>
      <c r="I158" s="4" t="n">
        <f aca="false">IF(G158="","",RANK(G158,$G$2:$G$1462,0))</f>
        <v>157</v>
      </c>
      <c r="J158" s="4" t="s">
        <v>34</v>
      </c>
    </row>
    <row r="159" customFormat="false" ht="15" hidden="false" customHeight="false" outlineLevel="0" collapsed="false">
      <c r="A159" s="4" t="s">
        <v>390</v>
      </c>
      <c r="B159" s="4" t="s">
        <v>87</v>
      </c>
      <c r="C159" s="4" t="s">
        <v>88</v>
      </c>
      <c r="D159" s="7" t="s">
        <v>391</v>
      </c>
      <c r="E159" s="4" t="s">
        <v>90</v>
      </c>
      <c r="F159" s="4" t="s">
        <v>4</v>
      </c>
      <c r="G159" s="8" t="n">
        <v>9444.78163218498</v>
      </c>
      <c r="H159" s="6" t="n">
        <f aca="false">IF(G159="","",G159/SUMIFS($G$2:$G$1462,$F$2:$F$1462,"Served"))</f>
        <v>0.000973565648613113</v>
      </c>
      <c r="I159" s="4" t="n">
        <f aca="false">IF(G159="","",RANK(G159,$G$2:$G$1462,0))</f>
        <v>158</v>
      </c>
      <c r="J159" s="4" t="s">
        <v>34</v>
      </c>
    </row>
    <row r="160" customFormat="false" ht="15" hidden="false" customHeight="false" outlineLevel="0" collapsed="false">
      <c r="A160" s="4" t="s">
        <v>392</v>
      </c>
      <c r="B160" s="4" t="s">
        <v>30</v>
      </c>
      <c r="C160" s="4" t="s">
        <v>316</v>
      </c>
      <c r="D160" s="7" t="s">
        <v>393</v>
      </c>
      <c r="E160" s="4" t="s">
        <v>33</v>
      </c>
      <c r="F160" s="4" t="s">
        <v>4</v>
      </c>
      <c r="G160" s="8" t="n">
        <v>9255.00078505278</v>
      </c>
      <c r="H160" s="6" t="n">
        <f aca="false">IF(G160="","",G160/SUMIFS($G$2:$G$1462,$F$2:$F$1462,"Served"))</f>
        <v>0.000954003087960256</v>
      </c>
      <c r="I160" s="4" t="n">
        <f aca="false">IF(G160="","",RANK(G160,$G$2:$G$1462,0))</f>
        <v>159</v>
      </c>
      <c r="J160" s="4" t="s">
        <v>34</v>
      </c>
    </row>
    <row r="161" customFormat="false" ht="15" hidden="false" customHeight="false" outlineLevel="0" collapsed="false">
      <c r="A161" s="4" t="s">
        <v>394</v>
      </c>
      <c r="B161" s="4" t="s">
        <v>61</v>
      </c>
      <c r="C161" s="4" t="s">
        <v>62</v>
      </c>
      <c r="D161" s="7" t="s">
        <v>395</v>
      </c>
      <c r="E161" s="4" t="s">
        <v>64</v>
      </c>
      <c r="F161" s="4" t="s">
        <v>4</v>
      </c>
      <c r="G161" s="8" t="n">
        <v>9151.48839873076</v>
      </c>
      <c r="H161" s="6" t="n">
        <f aca="false">IF(G161="","",G161/SUMIFS($G$2:$G$1462,$F$2:$F$1462,"Served"))</f>
        <v>0.000943333057942233</v>
      </c>
      <c r="I161" s="4" t="n">
        <f aca="false">IF(G161="","",RANK(G161,$G$2:$G$1462,0))</f>
        <v>160</v>
      </c>
      <c r="J161" s="4" t="s">
        <v>34</v>
      </c>
    </row>
    <row r="162" customFormat="false" ht="15" hidden="false" customHeight="false" outlineLevel="0" collapsed="false">
      <c r="A162" s="4" t="s">
        <v>396</v>
      </c>
      <c r="B162" s="4" t="s">
        <v>30</v>
      </c>
      <c r="C162" s="4" t="s">
        <v>209</v>
      </c>
      <c r="D162" s="7" t="s">
        <v>397</v>
      </c>
      <c r="E162" s="4" t="s">
        <v>33</v>
      </c>
      <c r="F162" s="4" t="s">
        <v>4</v>
      </c>
      <c r="G162" s="8" t="n">
        <v>9116.02025902271</v>
      </c>
      <c r="H162" s="6" t="n">
        <f aca="false">IF(G162="","",G162/SUMIFS($G$2:$G$1462,$F$2:$F$1462,"Served"))</f>
        <v>0.000939677011271731</v>
      </c>
      <c r="I162" s="4" t="n">
        <f aca="false">IF(G162="","",RANK(G162,$G$2:$G$1462,0))</f>
        <v>161</v>
      </c>
      <c r="J162" s="4" t="s">
        <v>34</v>
      </c>
    </row>
    <row r="163" customFormat="false" ht="15" hidden="false" customHeight="false" outlineLevel="0" collapsed="false">
      <c r="A163" s="4" t="s">
        <v>398</v>
      </c>
      <c r="B163" s="4" t="s">
        <v>132</v>
      </c>
      <c r="C163" s="4" t="s">
        <v>133</v>
      </c>
      <c r="D163" s="7" t="s">
        <v>299</v>
      </c>
      <c r="E163" s="4" t="s">
        <v>135</v>
      </c>
      <c r="F163" s="4" t="s">
        <v>4</v>
      </c>
      <c r="G163" s="8" t="n">
        <v>9099.81098914146</v>
      </c>
      <c r="H163" s="6" t="n">
        <f aca="false">IF(G163="","",G163/SUMIFS($G$2:$G$1462,$F$2:$F$1462,"Served"))</f>
        <v>0.000938006163923423</v>
      </c>
      <c r="I163" s="4" t="n">
        <f aca="false">IF(G163="","",RANK(G163,$G$2:$G$1462,0))</f>
        <v>162</v>
      </c>
      <c r="J163" s="4" t="s">
        <v>34</v>
      </c>
    </row>
    <row r="164" customFormat="false" ht="15" hidden="false" customHeight="false" outlineLevel="0" collapsed="false">
      <c r="A164" s="4" t="s">
        <v>399</v>
      </c>
      <c r="B164" s="4" t="s">
        <v>204</v>
      </c>
      <c r="C164" s="4" t="s">
        <v>212</v>
      </c>
      <c r="D164" s="7" t="s">
        <v>400</v>
      </c>
      <c r="E164" s="4" t="s">
        <v>207</v>
      </c>
      <c r="F164" s="4" t="s">
        <v>4</v>
      </c>
      <c r="G164" s="8" t="n">
        <v>9097.47862046957</v>
      </c>
      <c r="H164" s="6" t="n">
        <f aca="false">IF(G164="","",G164/SUMIFS($G$2:$G$1462,$F$2:$F$1462,"Served"))</f>
        <v>0.000937765743963779</v>
      </c>
      <c r="I164" s="4" t="n">
        <f aca="false">IF(G164="","",RANK(G164,$G$2:$G$1462,0))</f>
        <v>163</v>
      </c>
      <c r="J164" s="4" t="s">
        <v>34</v>
      </c>
    </row>
    <row r="165" customFormat="false" ht="15" hidden="false" customHeight="false" outlineLevel="0" collapsed="false">
      <c r="A165" s="4" t="s">
        <v>401</v>
      </c>
      <c r="B165" s="4" t="s">
        <v>321</v>
      </c>
      <c r="C165" s="4" t="s">
        <v>322</v>
      </c>
      <c r="D165" s="7" t="s">
        <v>402</v>
      </c>
      <c r="E165" s="4" t="s">
        <v>324</v>
      </c>
      <c r="F165" s="4" t="s">
        <v>4</v>
      </c>
      <c r="G165" s="8" t="n">
        <v>9085.12934076786</v>
      </c>
      <c r="H165" s="6" t="n">
        <f aca="false">IF(G165="","",G165/SUMIFS($G$2:$G$1462,$F$2:$F$1462,"Served"))</f>
        <v>0.000936492783405143</v>
      </c>
      <c r="I165" s="4" t="n">
        <f aca="false">IF(G165="","",RANK(G165,$G$2:$G$1462,0))</f>
        <v>164</v>
      </c>
      <c r="J165" s="4" t="s">
        <v>34</v>
      </c>
    </row>
    <row r="166" customFormat="false" ht="15" hidden="false" customHeight="false" outlineLevel="0" collapsed="false">
      <c r="A166" s="4" t="s">
        <v>403</v>
      </c>
      <c r="B166" s="4" t="s">
        <v>171</v>
      </c>
      <c r="C166" s="4" t="s">
        <v>330</v>
      </c>
      <c r="D166" s="7" t="s">
        <v>404</v>
      </c>
      <c r="E166" s="4" t="s">
        <v>33</v>
      </c>
      <c r="F166" s="4" t="s">
        <v>4</v>
      </c>
      <c r="G166" s="8" t="n">
        <v>9083.96250003577</v>
      </c>
      <c r="H166" s="6" t="n">
        <f aca="false">IF(G166="","",G166/SUMIFS($G$2:$G$1462,$F$2:$F$1462,"Served"))</f>
        <v>0.000936372505764176</v>
      </c>
      <c r="I166" s="4" t="n">
        <f aca="false">IF(G166="","",RANK(G166,$G$2:$G$1462,0))</f>
        <v>165</v>
      </c>
      <c r="J166" s="4" t="s">
        <v>34</v>
      </c>
    </row>
    <row r="167" customFormat="false" ht="15" hidden="false" customHeight="false" outlineLevel="0" collapsed="false">
      <c r="A167" s="4" t="s">
        <v>405</v>
      </c>
      <c r="B167" s="4" t="s">
        <v>204</v>
      </c>
      <c r="C167" s="4" t="s">
        <v>212</v>
      </c>
      <c r="D167" s="7" t="s">
        <v>406</v>
      </c>
      <c r="E167" s="4" t="s">
        <v>207</v>
      </c>
      <c r="F167" s="4" t="s">
        <v>4</v>
      </c>
      <c r="G167" s="8" t="n">
        <v>9076.72802084684</v>
      </c>
      <c r="H167" s="6" t="n">
        <f aca="false">IF(G167="","",G167/SUMIFS($G$2:$G$1462,$F$2:$F$1462,"Served"))</f>
        <v>0.000935626777519921</v>
      </c>
      <c r="I167" s="4" t="n">
        <f aca="false">IF(G167="","",RANK(G167,$G$2:$G$1462,0))</f>
        <v>166</v>
      </c>
      <c r="J167" s="4" t="s">
        <v>34</v>
      </c>
    </row>
    <row r="168" customFormat="false" ht="15" hidden="false" customHeight="false" outlineLevel="0" collapsed="false">
      <c r="A168" s="4" t="s">
        <v>407</v>
      </c>
      <c r="B168" s="4" t="s">
        <v>171</v>
      </c>
      <c r="C168" s="4" t="s">
        <v>256</v>
      </c>
      <c r="D168" s="7" t="s">
        <v>408</v>
      </c>
      <c r="E168" s="4" t="s">
        <v>33</v>
      </c>
      <c r="F168" s="4" t="s">
        <v>4</v>
      </c>
      <c r="G168" s="8" t="n">
        <v>8946.2399558425</v>
      </c>
      <c r="H168" s="6" t="n">
        <f aca="false">IF(G168="","",G168/SUMIFS($G$2:$G$1462,$F$2:$F$1462,"Served"))</f>
        <v>0.000922176101518126</v>
      </c>
      <c r="I168" s="4" t="n">
        <f aca="false">IF(G168="","",RANK(G168,$G$2:$G$1462,0))</f>
        <v>167</v>
      </c>
      <c r="J168" s="4" t="s">
        <v>34</v>
      </c>
    </row>
    <row r="169" customFormat="false" ht="15" hidden="false" customHeight="false" outlineLevel="0" collapsed="false">
      <c r="A169" s="4" t="s">
        <v>409</v>
      </c>
      <c r="B169" s="4" t="s">
        <v>72</v>
      </c>
      <c r="C169" s="4" t="s">
        <v>73</v>
      </c>
      <c r="D169" s="7" t="s">
        <v>410</v>
      </c>
      <c r="E169" s="4" t="s">
        <v>75</v>
      </c>
      <c r="F169" s="4" t="s">
        <v>4</v>
      </c>
      <c r="G169" s="8" t="n">
        <v>8918.6132350564</v>
      </c>
      <c r="H169" s="6" t="n">
        <f aca="false">IF(G169="","",G169/SUMIFS($G$2:$G$1462,$F$2:$F$1462,"Served"))</f>
        <v>0.00091932834628263</v>
      </c>
      <c r="I169" s="4" t="n">
        <f aca="false">IF(G169="","",RANK(G169,$G$2:$G$1462,0))</f>
        <v>168</v>
      </c>
      <c r="J169" s="4" t="s">
        <v>34</v>
      </c>
    </row>
    <row r="170" customFormat="false" ht="15" hidden="false" customHeight="false" outlineLevel="0" collapsed="false">
      <c r="A170" s="4" t="s">
        <v>411</v>
      </c>
      <c r="B170" s="4" t="s">
        <v>72</v>
      </c>
      <c r="C170" s="4" t="s">
        <v>73</v>
      </c>
      <c r="D170" s="7" t="s">
        <v>412</v>
      </c>
      <c r="E170" s="4" t="s">
        <v>75</v>
      </c>
      <c r="F170" s="4" t="s">
        <v>4</v>
      </c>
      <c r="G170" s="8" t="n">
        <v>8894.33114469051</v>
      </c>
      <c r="H170" s="6" t="n">
        <f aca="false">IF(G170="","",G170/SUMIFS($G$2:$G$1462,$F$2:$F$1462,"Served"))</f>
        <v>0.000916825354686066</v>
      </c>
      <c r="I170" s="4" t="n">
        <f aca="false">IF(G170="","",RANK(G170,$G$2:$G$1462,0))</f>
        <v>169</v>
      </c>
      <c r="J170" s="4" t="s">
        <v>34</v>
      </c>
    </row>
    <row r="171" customFormat="false" ht="15" hidden="false" customHeight="false" outlineLevel="0" collapsed="false">
      <c r="A171" s="4" t="s">
        <v>413</v>
      </c>
      <c r="B171" s="4" t="s">
        <v>171</v>
      </c>
      <c r="C171" s="4" t="s">
        <v>341</v>
      </c>
      <c r="D171" s="7" t="s">
        <v>414</v>
      </c>
      <c r="E171" s="4" t="s">
        <v>33</v>
      </c>
      <c r="F171" s="4" t="s">
        <v>4</v>
      </c>
      <c r="G171" s="8" t="n">
        <v>8783.28225874901</v>
      </c>
      <c r="H171" s="6" t="n">
        <f aca="false">IF(G171="","",G171/SUMIFS($G$2:$G$1462,$F$2:$F$1462,"Served"))</f>
        <v>0.000905378464235895</v>
      </c>
      <c r="I171" s="4" t="n">
        <f aca="false">IF(G171="","",RANK(G171,$G$2:$G$1462,0))</f>
        <v>170</v>
      </c>
      <c r="J171" s="4" t="s">
        <v>34</v>
      </c>
    </row>
    <row r="172" customFormat="false" ht="15" hidden="false" customHeight="false" outlineLevel="0" collapsed="false">
      <c r="A172" s="4" t="s">
        <v>415</v>
      </c>
      <c r="B172" s="4" t="s">
        <v>171</v>
      </c>
      <c r="C172" s="4" t="s">
        <v>341</v>
      </c>
      <c r="D172" s="7" t="s">
        <v>416</v>
      </c>
      <c r="E172" s="4" t="s">
        <v>33</v>
      </c>
      <c r="F172" s="4" t="s">
        <v>4</v>
      </c>
      <c r="G172" s="8" t="n">
        <v>8688.53837418556</v>
      </c>
      <c r="H172" s="6" t="n">
        <f aca="false">IF(G172="","",G172/SUMIFS($G$2:$G$1462,$F$2:$F$1462,"Served"))</f>
        <v>0.000895612289111971</v>
      </c>
      <c r="I172" s="4" t="n">
        <f aca="false">IF(G172="","",RANK(G172,$G$2:$G$1462,0))</f>
        <v>171</v>
      </c>
      <c r="J172" s="4" t="s">
        <v>34</v>
      </c>
    </row>
    <row r="173" customFormat="false" ht="15" hidden="false" customHeight="false" outlineLevel="0" collapsed="false">
      <c r="A173" s="4" t="s">
        <v>417</v>
      </c>
      <c r="B173" s="4" t="s">
        <v>321</v>
      </c>
      <c r="C173" s="4" t="s">
        <v>322</v>
      </c>
      <c r="D173" s="7" t="s">
        <v>418</v>
      </c>
      <c r="E173" s="4" t="s">
        <v>324</v>
      </c>
      <c r="F173" s="4" t="s">
        <v>4</v>
      </c>
      <c r="G173" s="8" t="n">
        <v>8652.98575425148</v>
      </c>
      <c r="H173" s="6" t="n">
        <f aca="false">IF(G173="","",G173/SUMIFS($G$2:$G$1462,$F$2:$F$1462,"Served"))</f>
        <v>0.000891947534241613</v>
      </c>
      <c r="I173" s="4" t="n">
        <f aca="false">IF(G173="","",RANK(G173,$G$2:$G$1462,0))</f>
        <v>172</v>
      </c>
      <c r="J173" s="4" t="s">
        <v>34</v>
      </c>
    </row>
    <row r="174" customFormat="false" ht="15" hidden="false" customHeight="false" outlineLevel="0" collapsed="false">
      <c r="A174" s="4" t="s">
        <v>419</v>
      </c>
      <c r="B174" s="4" t="s">
        <v>30</v>
      </c>
      <c r="C174" s="4" t="s">
        <v>31</v>
      </c>
      <c r="D174" s="7" t="s">
        <v>420</v>
      </c>
      <c r="E174" s="4" t="s">
        <v>33</v>
      </c>
      <c r="F174" s="4" t="s">
        <v>4</v>
      </c>
      <c r="G174" s="8" t="n">
        <v>8601.25473809242</v>
      </c>
      <c r="H174" s="6" t="n">
        <f aca="false">IF(G174="","",G174/SUMIFS($G$2:$G$1462,$F$2:$F$1462,"Served"))</f>
        <v>0.000886615114471453</v>
      </c>
      <c r="I174" s="4" t="n">
        <f aca="false">IF(G174="","",RANK(G174,$G$2:$G$1462,0))</f>
        <v>173</v>
      </c>
      <c r="J174" s="4" t="s">
        <v>34</v>
      </c>
    </row>
    <row r="175" customFormat="false" ht="15" hidden="false" customHeight="false" outlineLevel="0" collapsed="false">
      <c r="A175" s="4" t="s">
        <v>421</v>
      </c>
      <c r="B175" s="4" t="s">
        <v>43</v>
      </c>
      <c r="C175" s="4" t="s">
        <v>44</v>
      </c>
      <c r="D175" s="7" t="s">
        <v>422</v>
      </c>
      <c r="E175" s="4" t="s">
        <v>46</v>
      </c>
      <c r="F175" s="4" t="s">
        <v>4</v>
      </c>
      <c r="G175" s="8" t="n">
        <v>8516.46786803007</v>
      </c>
      <c r="H175" s="6" t="n">
        <f aca="false">IF(G175="","",G175/SUMIFS($G$2:$G$1462,$F$2:$F$1462,"Served"))</f>
        <v>0.000877875305827827</v>
      </c>
      <c r="I175" s="4" t="n">
        <f aca="false">IF(G175="","",RANK(G175,$G$2:$G$1462,0))</f>
        <v>174</v>
      </c>
      <c r="J175" s="4" t="s">
        <v>34</v>
      </c>
    </row>
    <row r="176" customFormat="false" ht="15" hidden="false" customHeight="false" outlineLevel="0" collapsed="false">
      <c r="A176" s="4" t="s">
        <v>423</v>
      </c>
      <c r="B176" s="4" t="s">
        <v>321</v>
      </c>
      <c r="C176" s="4" t="s">
        <v>322</v>
      </c>
      <c r="D176" s="7" t="s">
        <v>424</v>
      </c>
      <c r="E176" s="4" t="s">
        <v>324</v>
      </c>
      <c r="F176" s="4" t="s">
        <v>4</v>
      </c>
      <c r="G176" s="8" t="n">
        <v>8501.75210297108</v>
      </c>
      <c r="H176" s="6" t="n">
        <f aca="false">IF(G176="","",G176/SUMIFS($G$2:$G$1462,$F$2:$F$1462,"Served"))</f>
        <v>0.000876358408570438</v>
      </c>
      <c r="I176" s="4" t="n">
        <f aca="false">IF(G176="","",RANK(G176,$G$2:$G$1462,0))</f>
        <v>175</v>
      </c>
      <c r="J176" s="4" t="s">
        <v>34</v>
      </c>
    </row>
    <row r="177" customFormat="false" ht="15" hidden="false" customHeight="false" outlineLevel="0" collapsed="false">
      <c r="A177" s="4" t="s">
        <v>425</v>
      </c>
      <c r="B177" s="4" t="s">
        <v>171</v>
      </c>
      <c r="C177" s="4" t="s">
        <v>426</v>
      </c>
      <c r="D177" s="7" t="s">
        <v>427</v>
      </c>
      <c r="E177" s="4" t="s">
        <v>33</v>
      </c>
      <c r="F177" s="4" t="s">
        <v>4</v>
      </c>
      <c r="G177" s="8" t="n">
        <v>8466.41541403532</v>
      </c>
      <c r="H177" s="6" t="n">
        <f aca="false">IF(G177="","",G177/SUMIFS($G$2:$G$1462,$F$2:$F$1462,"Served"))</f>
        <v>0.000872715911811556</v>
      </c>
      <c r="I177" s="4" t="n">
        <f aca="false">IF(G177="","",RANK(G177,$G$2:$G$1462,0))</f>
        <v>176</v>
      </c>
      <c r="J177" s="4" t="s">
        <v>34</v>
      </c>
    </row>
    <row r="178" customFormat="false" ht="15" hidden="false" customHeight="false" outlineLevel="0" collapsed="false">
      <c r="A178" s="4" t="s">
        <v>428</v>
      </c>
      <c r="B178" s="4" t="s">
        <v>171</v>
      </c>
      <c r="C178" s="4" t="s">
        <v>330</v>
      </c>
      <c r="D178" s="7" t="s">
        <v>429</v>
      </c>
      <c r="E178" s="4" t="s">
        <v>33</v>
      </c>
      <c r="F178" s="4" t="s">
        <v>4</v>
      </c>
      <c r="G178" s="8" t="n">
        <v>8385.28827136755</v>
      </c>
      <c r="H178" s="6" t="n">
        <f aca="false">IF(G178="","",G178/SUMIFS($G$2:$G$1462,$F$2:$F$1462,"Served"))</f>
        <v>0.000864353346921509</v>
      </c>
      <c r="I178" s="4" t="n">
        <f aca="false">IF(G178="","",RANK(G178,$G$2:$G$1462,0))</f>
        <v>177</v>
      </c>
      <c r="J178" s="4" t="s">
        <v>34</v>
      </c>
    </row>
    <row r="179" customFormat="false" ht="15" hidden="false" customHeight="false" outlineLevel="0" collapsed="false">
      <c r="A179" s="4" t="s">
        <v>430</v>
      </c>
      <c r="B179" s="4" t="s">
        <v>132</v>
      </c>
      <c r="C179" s="4" t="s">
        <v>133</v>
      </c>
      <c r="D179" s="7" t="s">
        <v>431</v>
      </c>
      <c r="E179" s="4" t="s">
        <v>135</v>
      </c>
      <c r="F179" s="4" t="s">
        <v>4</v>
      </c>
      <c r="G179" s="8" t="n">
        <v>8347.65198296309</v>
      </c>
      <c r="H179" s="6" t="n">
        <f aca="false">IF(G179="","",G179/SUMIFS($G$2:$G$1462,$F$2:$F$1462,"Served"))</f>
        <v>0.000860473808043975</v>
      </c>
      <c r="I179" s="4" t="n">
        <f aca="false">IF(G179="","",RANK(G179,$G$2:$G$1462,0))</f>
        <v>178</v>
      </c>
      <c r="J179" s="4" t="s">
        <v>34</v>
      </c>
    </row>
    <row r="180" customFormat="false" ht="15" hidden="false" customHeight="false" outlineLevel="0" collapsed="false">
      <c r="A180" s="4" t="s">
        <v>432</v>
      </c>
      <c r="B180" s="4" t="s">
        <v>171</v>
      </c>
      <c r="C180" s="4" t="s">
        <v>219</v>
      </c>
      <c r="D180" s="7" t="s">
        <v>433</v>
      </c>
      <c r="E180" s="4" t="s">
        <v>33</v>
      </c>
      <c r="F180" s="4" t="s">
        <v>4</v>
      </c>
      <c r="G180" s="8" t="n">
        <v>8321.77366787195</v>
      </c>
      <c r="H180" s="6" t="n">
        <f aca="false">IF(G180="","",G180/SUMIFS($G$2:$G$1462,$F$2:$F$1462,"Served"))</f>
        <v>0.00085780627801545</v>
      </c>
      <c r="I180" s="4" t="n">
        <f aca="false">IF(G180="","",RANK(G180,$G$2:$G$1462,0))</f>
        <v>179</v>
      </c>
      <c r="J180" s="4" t="s">
        <v>34</v>
      </c>
    </row>
    <row r="181" customFormat="false" ht="15" hidden="false" customHeight="false" outlineLevel="0" collapsed="false">
      <c r="A181" s="4" t="s">
        <v>434</v>
      </c>
      <c r="B181" s="4" t="s">
        <v>30</v>
      </c>
      <c r="C181" s="4" t="s">
        <v>226</v>
      </c>
      <c r="D181" s="7" t="s">
        <v>435</v>
      </c>
      <c r="E181" s="4" t="s">
        <v>33</v>
      </c>
      <c r="F181" s="4" t="s">
        <v>4</v>
      </c>
      <c r="G181" s="8" t="n">
        <v>8318.88613849878</v>
      </c>
      <c r="H181" s="6" t="n">
        <f aca="false">IF(G181="","",G181/SUMIFS($G$2:$G$1462,$F$2:$F$1462,"Served"))</f>
        <v>0.00085750863223426</v>
      </c>
      <c r="I181" s="4" t="n">
        <f aca="false">IF(G181="","",RANK(G181,$G$2:$G$1462,0))</f>
        <v>180</v>
      </c>
      <c r="J181" s="4" t="s">
        <v>34</v>
      </c>
    </row>
    <row r="182" customFormat="false" ht="15" hidden="false" customHeight="false" outlineLevel="0" collapsed="false">
      <c r="A182" s="4" t="s">
        <v>436</v>
      </c>
      <c r="B182" s="4" t="s">
        <v>171</v>
      </c>
      <c r="C182" s="4" t="s">
        <v>341</v>
      </c>
      <c r="D182" s="7" t="s">
        <v>437</v>
      </c>
      <c r="E182" s="4" t="s">
        <v>33</v>
      </c>
      <c r="F182" s="4" t="s">
        <v>4</v>
      </c>
      <c r="G182" s="8" t="n">
        <v>8150.04431718588</v>
      </c>
      <c r="H182" s="6" t="n">
        <f aca="false">IF(G182="","",G182/SUMIFS($G$2:$G$1462,$F$2:$F$1462,"Served"))</f>
        <v>0.000840104460948884</v>
      </c>
      <c r="I182" s="4" t="n">
        <f aca="false">IF(G182="","",RANK(G182,$G$2:$G$1462,0))</f>
        <v>181</v>
      </c>
      <c r="J182" s="4" t="s">
        <v>34</v>
      </c>
    </row>
    <row r="183" customFormat="false" ht="15" hidden="false" customHeight="false" outlineLevel="0" collapsed="false">
      <c r="A183" s="4" t="s">
        <v>438</v>
      </c>
      <c r="B183" s="4" t="s">
        <v>132</v>
      </c>
      <c r="C183" s="4" t="s">
        <v>133</v>
      </c>
      <c r="D183" s="7" t="s">
        <v>439</v>
      </c>
      <c r="E183" s="4" t="s">
        <v>135</v>
      </c>
      <c r="F183" s="4" t="s">
        <v>4</v>
      </c>
      <c r="G183" s="8" t="n">
        <v>8083.66866457462</v>
      </c>
      <c r="H183" s="6" t="n">
        <f aca="false">IF(G183="","",G183/SUMIFS($G$2:$G$1462,$F$2:$F$1462,"Served"))</f>
        <v>0.000833262475839733</v>
      </c>
      <c r="I183" s="4" t="n">
        <f aca="false">IF(G183="","",RANK(G183,$G$2:$G$1462,0))</f>
        <v>182</v>
      </c>
      <c r="J183" s="4" t="s">
        <v>34</v>
      </c>
    </row>
    <row r="184" customFormat="false" ht="15" hidden="false" customHeight="false" outlineLevel="0" collapsed="false">
      <c r="A184" s="4" t="s">
        <v>440</v>
      </c>
      <c r="B184" s="4" t="s">
        <v>171</v>
      </c>
      <c r="C184" s="4" t="s">
        <v>341</v>
      </c>
      <c r="D184" s="7" t="s">
        <v>441</v>
      </c>
      <c r="E184" s="4" t="s">
        <v>33</v>
      </c>
      <c r="F184" s="4" t="s">
        <v>4</v>
      </c>
      <c r="G184" s="8" t="n">
        <v>8068.57467800379</v>
      </c>
      <c r="H184" s="6" t="n">
        <f aca="false">IF(G184="","",G184/SUMIFS($G$2:$G$1462,$F$2:$F$1462,"Served"))</f>
        <v>0.000831706591606696</v>
      </c>
      <c r="I184" s="4" t="n">
        <f aca="false">IF(G184="","",RANK(G184,$G$2:$G$1462,0))</f>
        <v>183</v>
      </c>
      <c r="J184" s="4" t="s">
        <v>34</v>
      </c>
    </row>
    <row r="185" customFormat="false" ht="15" hidden="false" customHeight="false" outlineLevel="0" collapsed="false">
      <c r="A185" s="4" t="s">
        <v>442</v>
      </c>
      <c r="B185" s="4" t="s">
        <v>30</v>
      </c>
      <c r="C185" s="4" t="s">
        <v>209</v>
      </c>
      <c r="D185" s="7" t="s">
        <v>443</v>
      </c>
      <c r="E185" s="4" t="s">
        <v>33</v>
      </c>
      <c r="F185" s="4" t="s">
        <v>4</v>
      </c>
      <c r="G185" s="8" t="n">
        <v>7959.68130481243</v>
      </c>
      <c r="H185" s="6" t="n">
        <f aca="false">IF(G185="","",G185/SUMIFS($G$2:$G$1462,$F$2:$F$1462,"Served"))</f>
        <v>0.000820481890853484</v>
      </c>
      <c r="I185" s="4" t="n">
        <f aca="false">IF(G185="","",RANK(G185,$G$2:$G$1462,0))</f>
        <v>184</v>
      </c>
      <c r="J185" s="4" t="s">
        <v>34</v>
      </c>
    </row>
    <row r="186" customFormat="false" ht="15" hidden="false" customHeight="false" outlineLevel="0" collapsed="false">
      <c r="A186" s="4" t="s">
        <v>444</v>
      </c>
      <c r="B186" s="4" t="s">
        <v>43</v>
      </c>
      <c r="C186" s="4" t="s">
        <v>44</v>
      </c>
      <c r="D186" s="7" t="s">
        <v>445</v>
      </c>
      <c r="E186" s="4" t="s">
        <v>46</v>
      </c>
      <c r="F186" s="4" t="s">
        <v>4</v>
      </c>
      <c r="G186" s="8" t="n">
        <v>7948.08415359259</v>
      </c>
      <c r="H186" s="6" t="n">
        <f aca="false">IF(G186="","",G186/SUMIFS($G$2:$G$1462,$F$2:$F$1462,"Served"))</f>
        <v>0.000819286459504289</v>
      </c>
      <c r="I186" s="4" t="n">
        <f aca="false">IF(G186="","",RANK(G186,$G$2:$G$1462,0))</f>
        <v>185</v>
      </c>
      <c r="J186" s="4" t="s">
        <v>34</v>
      </c>
    </row>
    <row r="187" customFormat="false" ht="15" hidden="false" customHeight="false" outlineLevel="0" collapsed="false">
      <c r="A187" s="4" t="s">
        <v>446</v>
      </c>
      <c r="B187" s="4" t="s">
        <v>321</v>
      </c>
      <c r="C187" s="4" t="s">
        <v>322</v>
      </c>
      <c r="D187" s="7" t="s">
        <v>447</v>
      </c>
      <c r="E187" s="4" t="s">
        <v>324</v>
      </c>
      <c r="F187" s="4" t="s">
        <v>4</v>
      </c>
      <c r="G187" s="8" t="n">
        <v>7928.26909908652</v>
      </c>
      <c r="H187" s="6" t="n">
        <f aca="false">IF(G187="","",G187/SUMIFS($G$2:$G$1462,$F$2:$F$1462,"Served"))</f>
        <v>0.000817243928809163</v>
      </c>
      <c r="I187" s="4" t="n">
        <f aca="false">IF(G187="","",RANK(G187,$G$2:$G$1462,0))</f>
        <v>186</v>
      </c>
      <c r="J187" s="4" t="s">
        <v>34</v>
      </c>
    </row>
    <row r="188" customFormat="false" ht="15" hidden="false" customHeight="false" outlineLevel="0" collapsed="false">
      <c r="A188" s="4" t="s">
        <v>448</v>
      </c>
      <c r="B188" s="4" t="s">
        <v>171</v>
      </c>
      <c r="C188" s="4" t="s">
        <v>341</v>
      </c>
      <c r="D188" s="7" t="s">
        <v>449</v>
      </c>
      <c r="E188" s="4" t="s">
        <v>33</v>
      </c>
      <c r="F188" s="4" t="s">
        <v>4</v>
      </c>
      <c r="G188" s="8" t="n">
        <v>7816.59604245424</v>
      </c>
      <c r="H188" s="6" t="n">
        <f aca="false">IF(G188="","",G188/SUMIFS($G$2:$G$1462,$F$2:$F$1462,"Served"))</f>
        <v>0.000805732699005572</v>
      </c>
      <c r="I188" s="4" t="n">
        <f aca="false">IF(G188="","",RANK(G188,$G$2:$G$1462,0))</f>
        <v>187</v>
      </c>
      <c r="J188" s="4" t="s">
        <v>34</v>
      </c>
    </row>
    <row r="189" customFormat="false" ht="15" hidden="false" customHeight="false" outlineLevel="0" collapsed="false">
      <c r="A189" s="4" t="s">
        <v>450</v>
      </c>
      <c r="B189" s="4" t="s">
        <v>43</v>
      </c>
      <c r="C189" s="4" t="s">
        <v>44</v>
      </c>
      <c r="D189" s="7" t="s">
        <v>451</v>
      </c>
      <c r="E189" s="4" t="s">
        <v>46</v>
      </c>
      <c r="F189" s="4" t="s">
        <v>4</v>
      </c>
      <c r="G189" s="8" t="n">
        <v>7765.01179394126</v>
      </c>
      <c r="H189" s="6" t="n">
        <f aca="false">IF(G189="","",G189/SUMIFS($G$2:$G$1462,$F$2:$F$1462,"Served"))</f>
        <v>0.000800415408006421</v>
      </c>
      <c r="I189" s="4" t="n">
        <f aca="false">IF(G189="","",RANK(G189,$G$2:$G$1462,0))</f>
        <v>188</v>
      </c>
      <c r="J189" s="4" t="s">
        <v>34</v>
      </c>
    </row>
    <row r="190" customFormat="false" ht="15" hidden="false" customHeight="false" outlineLevel="0" collapsed="false">
      <c r="A190" s="4" t="s">
        <v>452</v>
      </c>
      <c r="B190" s="4" t="s">
        <v>72</v>
      </c>
      <c r="C190" s="4" t="s">
        <v>73</v>
      </c>
      <c r="D190" s="7" t="s">
        <v>453</v>
      </c>
      <c r="E190" s="4" t="s">
        <v>75</v>
      </c>
      <c r="F190" s="4" t="s">
        <v>4</v>
      </c>
      <c r="G190" s="8" t="n">
        <v>7700.19932341576</v>
      </c>
      <c r="H190" s="6" t="n">
        <f aca="false">IF(G190="","",G190/SUMIFS($G$2:$G$1462,$F$2:$F$1462,"Served"))</f>
        <v>0.000793734555302495</v>
      </c>
      <c r="I190" s="4" t="n">
        <f aca="false">IF(G190="","",RANK(G190,$G$2:$G$1462,0))</f>
        <v>189</v>
      </c>
      <c r="J190" s="4" t="s">
        <v>34</v>
      </c>
    </row>
    <row r="191" customFormat="false" ht="15" hidden="false" customHeight="false" outlineLevel="0" collapsed="false">
      <c r="A191" s="4" t="s">
        <v>454</v>
      </c>
      <c r="B191" s="4" t="s">
        <v>204</v>
      </c>
      <c r="C191" s="4" t="s">
        <v>212</v>
      </c>
      <c r="D191" s="7" t="s">
        <v>455</v>
      </c>
      <c r="E191" s="4" t="s">
        <v>207</v>
      </c>
      <c r="F191" s="4" t="s">
        <v>4</v>
      </c>
      <c r="G191" s="8" t="n">
        <v>7686.45945322514</v>
      </c>
      <c r="H191" s="6" t="n">
        <f aca="false">IF(G191="","",G191/SUMIFS($G$2:$G$1462,$F$2:$F$1462,"Served"))</f>
        <v>0.000792318253035812</v>
      </c>
      <c r="I191" s="4" t="n">
        <f aca="false">IF(G191="","",RANK(G191,$G$2:$G$1462,0))</f>
        <v>190</v>
      </c>
      <c r="J191" s="4" t="s">
        <v>34</v>
      </c>
    </row>
    <row r="192" customFormat="false" ht="15" hidden="false" customHeight="false" outlineLevel="0" collapsed="false">
      <c r="A192" s="4" t="s">
        <v>456</v>
      </c>
      <c r="B192" s="4" t="s">
        <v>72</v>
      </c>
      <c r="C192" s="4" t="s">
        <v>73</v>
      </c>
      <c r="D192" s="7" t="s">
        <v>457</v>
      </c>
      <c r="E192" s="4" t="s">
        <v>75</v>
      </c>
      <c r="F192" s="4" t="s">
        <v>4</v>
      </c>
      <c r="G192" s="8" t="n">
        <v>7668.40092754364</v>
      </c>
      <c r="H192" s="6" t="n">
        <f aca="false">IF(G192="","",G192/SUMIFS($G$2:$G$1462,$F$2:$F$1462,"Served"))</f>
        <v>0.000790456784877756</v>
      </c>
      <c r="I192" s="4" t="n">
        <f aca="false">IF(G192="","",RANK(G192,$G$2:$G$1462,0))</f>
        <v>191</v>
      </c>
      <c r="J192" s="4" t="s">
        <v>34</v>
      </c>
    </row>
    <row r="193" customFormat="false" ht="15" hidden="false" customHeight="false" outlineLevel="0" collapsed="false">
      <c r="A193" s="4" t="s">
        <v>458</v>
      </c>
      <c r="B193" s="4" t="s">
        <v>321</v>
      </c>
      <c r="C193" s="4" t="s">
        <v>322</v>
      </c>
      <c r="D193" s="7" t="s">
        <v>459</v>
      </c>
      <c r="E193" s="4" t="s">
        <v>324</v>
      </c>
      <c r="F193" s="4" t="s">
        <v>4</v>
      </c>
      <c r="G193" s="8" t="n">
        <v>7578.38516819477</v>
      </c>
      <c r="H193" s="6" t="n">
        <f aca="false">IF(G193="","",G193/SUMIFS($G$2:$G$1462,$F$2:$F$1462,"Served"))</f>
        <v>0.000781177983678452</v>
      </c>
      <c r="I193" s="4" t="n">
        <f aca="false">IF(G193="","",RANK(G193,$G$2:$G$1462,0))</f>
        <v>192</v>
      </c>
      <c r="J193" s="4" t="s">
        <v>34</v>
      </c>
    </row>
    <row r="194" customFormat="false" ht="15" hidden="false" customHeight="false" outlineLevel="0" collapsed="false">
      <c r="A194" s="4" t="s">
        <v>460</v>
      </c>
      <c r="B194" s="4" t="s">
        <v>30</v>
      </c>
      <c r="C194" s="4" t="s">
        <v>226</v>
      </c>
      <c r="D194" s="7" t="s">
        <v>461</v>
      </c>
      <c r="E194" s="4" t="s">
        <v>33</v>
      </c>
      <c r="F194" s="4" t="s">
        <v>4</v>
      </c>
      <c r="G194" s="8" t="n">
        <v>7565.67247420549</v>
      </c>
      <c r="H194" s="6" t="n">
        <f aca="false">IF(G194="","",G194/SUMIFS($G$2:$G$1462,$F$2:$F$1462,"Served"))</f>
        <v>0.000779867562469017</v>
      </c>
      <c r="I194" s="4" t="n">
        <f aca="false">IF(G194="","",RANK(G194,$G$2:$G$1462,0))</f>
        <v>193</v>
      </c>
      <c r="J194" s="4" t="s">
        <v>34</v>
      </c>
    </row>
    <row r="195" customFormat="false" ht="15" hidden="false" customHeight="false" outlineLevel="0" collapsed="false">
      <c r="A195" s="4" t="s">
        <v>462</v>
      </c>
      <c r="B195" s="4" t="s">
        <v>72</v>
      </c>
      <c r="C195" s="4" t="s">
        <v>73</v>
      </c>
      <c r="D195" s="7" t="s">
        <v>463</v>
      </c>
      <c r="E195" s="4" t="s">
        <v>75</v>
      </c>
      <c r="F195" s="4" t="s">
        <v>4</v>
      </c>
      <c r="G195" s="8" t="n">
        <v>7564.68828457594</v>
      </c>
      <c r="H195" s="6" t="n">
        <f aca="false">IF(G195="","",G195/SUMIFS($G$2:$G$1462,$F$2:$F$1462,"Served"))</f>
        <v>0.000779766112456474</v>
      </c>
      <c r="I195" s="4" t="n">
        <f aca="false">IF(G195="","",RANK(G195,$G$2:$G$1462,0))</f>
        <v>194</v>
      </c>
      <c r="J195" s="4" t="s">
        <v>34</v>
      </c>
    </row>
    <row r="196" customFormat="false" ht="15" hidden="false" customHeight="false" outlineLevel="0" collapsed="false">
      <c r="A196" s="4" t="s">
        <v>464</v>
      </c>
      <c r="B196" s="4" t="s">
        <v>171</v>
      </c>
      <c r="C196" s="4" t="s">
        <v>341</v>
      </c>
      <c r="D196" s="7" t="s">
        <v>465</v>
      </c>
      <c r="E196" s="4" t="s">
        <v>33</v>
      </c>
      <c r="F196" s="4" t="s">
        <v>4</v>
      </c>
      <c r="G196" s="8" t="n">
        <v>7542.55378842354</v>
      </c>
      <c r="H196" s="6" t="n">
        <f aca="false">IF(G196="","",G196/SUMIFS($G$2:$G$1462,$F$2:$F$1462,"Served"))</f>
        <v>0.000777484494316156</v>
      </c>
      <c r="I196" s="4" t="n">
        <f aca="false">IF(G196="","",RANK(G196,$G$2:$G$1462,0))</f>
        <v>195</v>
      </c>
      <c r="J196" s="4" t="s">
        <v>34</v>
      </c>
    </row>
    <row r="197" customFormat="false" ht="15" hidden="false" customHeight="false" outlineLevel="0" collapsed="false">
      <c r="A197" s="4" t="s">
        <v>466</v>
      </c>
      <c r="B197" s="4" t="s">
        <v>30</v>
      </c>
      <c r="C197" s="4" t="s">
        <v>467</v>
      </c>
      <c r="D197" s="7" t="s">
        <v>468</v>
      </c>
      <c r="E197" s="4" t="s">
        <v>33</v>
      </c>
      <c r="F197" s="4" t="s">
        <v>4</v>
      </c>
      <c r="G197" s="8" t="n">
        <v>7539.49227565527</v>
      </c>
      <c r="H197" s="6" t="n">
        <f aca="false">IF(G197="","",G197/SUMIFS($G$2:$G$1462,$F$2:$F$1462,"Served"))</f>
        <v>0.000777168914371584</v>
      </c>
      <c r="I197" s="4" t="n">
        <f aca="false">IF(G197="","",RANK(G197,$G$2:$G$1462,0))</f>
        <v>196</v>
      </c>
      <c r="J197" s="4" t="s">
        <v>34</v>
      </c>
    </row>
    <row r="198" customFormat="false" ht="15" hidden="false" customHeight="false" outlineLevel="0" collapsed="false">
      <c r="A198" s="4" t="s">
        <v>469</v>
      </c>
      <c r="B198" s="4" t="s">
        <v>171</v>
      </c>
      <c r="C198" s="4" t="s">
        <v>470</v>
      </c>
      <c r="D198" s="7" t="s">
        <v>471</v>
      </c>
      <c r="E198" s="4" t="s">
        <v>33</v>
      </c>
      <c r="F198" s="4" t="s">
        <v>4</v>
      </c>
      <c r="G198" s="8" t="n">
        <v>7529.55621397495</v>
      </c>
      <c r="H198" s="6" t="n">
        <f aca="false">IF(G198="","",G198/SUMIFS($G$2:$G$1462,$F$2:$F$1462,"Served"))</f>
        <v>0.000776144707702634</v>
      </c>
      <c r="I198" s="4" t="n">
        <f aca="false">IF(G198="","",RANK(G198,$G$2:$G$1462,0))</f>
        <v>197</v>
      </c>
      <c r="J198" s="4" t="s">
        <v>34</v>
      </c>
    </row>
    <row r="199" customFormat="false" ht="15" hidden="false" customHeight="false" outlineLevel="0" collapsed="false">
      <c r="A199" s="4" t="s">
        <v>472</v>
      </c>
      <c r="B199" s="4" t="s">
        <v>321</v>
      </c>
      <c r="C199" s="4" t="s">
        <v>322</v>
      </c>
      <c r="D199" s="7" t="s">
        <v>473</v>
      </c>
      <c r="E199" s="4" t="s">
        <v>324</v>
      </c>
      <c r="F199" s="4" t="s">
        <v>4</v>
      </c>
      <c r="G199" s="8" t="n">
        <v>7494.22247153521</v>
      </c>
      <c r="H199" s="6" t="n">
        <f aca="false">IF(G199="","",G199/SUMIFS($G$2:$G$1462,$F$2:$F$1462,"Served"))</f>
        <v>0.000772502514667799</v>
      </c>
      <c r="I199" s="4" t="n">
        <f aca="false">IF(G199="","",RANK(G199,$G$2:$G$1462,0))</f>
        <v>198</v>
      </c>
      <c r="J199" s="4" t="s">
        <v>34</v>
      </c>
    </row>
    <row r="200" customFormat="false" ht="15" hidden="false" customHeight="false" outlineLevel="0" collapsed="false">
      <c r="A200" s="4" t="s">
        <v>474</v>
      </c>
      <c r="B200" s="4" t="s">
        <v>30</v>
      </c>
      <c r="C200" s="4" t="s">
        <v>348</v>
      </c>
      <c r="D200" s="7" t="s">
        <v>475</v>
      </c>
      <c r="E200" s="4" t="s">
        <v>33</v>
      </c>
      <c r="F200" s="4" t="s">
        <v>4</v>
      </c>
      <c r="G200" s="8" t="n">
        <v>7471.21883159876</v>
      </c>
      <c r="H200" s="6" t="n">
        <f aca="false">IF(G200="","",G200/SUMIFS($G$2:$G$1462,$F$2:$F$1462,"Served"))</f>
        <v>0.000770131305410947</v>
      </c>
      <c r="I200" s="4" t="n">
        <f aca="false">IF(G200="","",RANK(G200,$G$2:$G$1462,0))</f>
        <v>199</v>
      </c>
      <c r="J200" s="4" t="s">
        <v>34</v>
      </c>
    </row>
    <row r="201" customFormat="false" ht="15" hidden="false" customHeight="false" outlineLevel="0" collapsed="false">
      <c r="A201" s="4" t="s">
        <v>476</v>
      </c>
      <c r="B201" s="4" t="s">
        <v>30</v>
      </c>
      <c r="C201" s="4" t="s">
        <v>348</v>
      </c>
      <c r="D201" s="7" t="s">
        <v>477</v>
      </c>
      <c r="E201" s="4" t="s">
        <v>33</v>
      </c>
      <c r="F201" s="4" t="s">
        <v>4</v>
      </c>
      <c r="G201" s="8" t="n">
        <v>7464.27027922869</v>
      </c>
      <c r="H201" s="6" t="n">
        <f aca="false">IF(G201="","",G201/SUMIFS($G$2:$G$1462,$F$2:$F$1462,"Served"))</f>
        <v>0.00076941505042925</v>
      </c>
      <c r="I201" s="4" t="n">
        <f aca="false">IF(G201="","",RANK(G201,$G$2:$G$1462,0))</f>
        <v>200</v>
      </c>
      <c r="J201" s="4" t="s">
        <v>34</v>
      </c>
    </row>
    <row r="202" customFormat="false" ht="15" hidden="false" customHeight="false" outlineLevel="0" collapsed="false">
      <c r="A202" s="4" t="s">
        <v>478</v>
      </c>
      <c r="B202" s="4" t="s">
        <v>43</v>
      </c>
      <c r="C202" s="4" t="s">
        <v>44</v>
      </c>
      <c r="D202" s="7" t="s">
        <v>479</v>
      </c>
      <c r="E202" s="4" t="s">
        <v>46</v>
      </c>
      <c r="F202" s="4" t="s">
        <v>4</v>
      </c>
      <c r="G202" s="8" t="n">
        <v>7416.36516129971</v>
      </c>
      <c r="H202" s="6" t="n">
        <f aca="false">IF(G202="","",G202/SUMIFS($G$2:$G$1462,$F$2:$F$1462,"Served"))</f>
        <v>0.000764477003259426</v>
      </c>
      <c r="I202" s="4" t="n">
        <f aca="false">IF(G202="","",RANK(G202,$G$2:$G$1462,0))</f>
        <v>201</v>
      </c>
      <c r="J202" s="4" t="s">
        <v>34</v>
      </c>
    </row>
    <row r="203" customFormat="false" ht="15" hidden="false" customHeight="false" outlineLevel="0" collapsed="false">
      <c r="A203" s="4" t="s">
        <v>480</v>
      </c>
      <c r="B203" s="4" t="s">
        <v>30</v>
      </c>
      <c r="C203" s="4" t="s">
        <v>467</v>
      </c>
      <c r="D203" s="7" t="s">
        <v>481</v>
      </c>
      <c r="E203" s="4" t="s">
        <v>33</v>
      </c>
      <c r="F203" s="4" t="s">
        <v>4</v>
      </c>
      <c r="G203" s="8" t="n">
        <v>7343.45350211859</v>
      </c>
      <c r="H203" s="6" t="n">
        <f aca="false">IF(G203="","",G203/SUMIFS($G$2:$G$1462,$F$2:$F$1462,"Served"))</f>
        <v>0.000756961288282996</v>
      </c>
      <c r="I203" s="4" t="n">
        <f aca="false">IF(G203="","",RANK(G203,$G$2:$G$1462,0))</f>
        <v>202</v>
      </c>
      <c r="J203" s="4" t="s">
        <v>34</v>
      </c>
    </row>
    <row r="204" customFormat="false" ht="15" hidden="false" customHeight="false" outlineLevel="0" collapsed="false">
      <c r="A204" s="4" t="s">
        <v>482</v>
      </c>
      <c r="B204" s="4" t="s">
        <v>72</v>
      </c>
      <c r="C204" s="4" t="s">
        <v>73</v>
      </c>
      <c r="D204" s="7" t="s">
        <v>483</v>
      </c>
      <c r="E204" s="4" t="s">
        <v>75</v>
      </c>
      <c r="F204" s="4" t="s">
        <v>4</v>
      </c>
      <c r="G204" s="8" t="n">
        <v>7321.99234551191</v>
      </c>
      <c r="H204" s="6" t="n">
        <f aca="false">IF(G204="","",G204/SUMIFS($G$2:$G$1462,$F$2:$F$1462,"Served"))</f>
        <v>0.000754749077808953</v>
      </c>
      <c r="I204" s="4" t="n">
        <f aca="false">IF(G204="","",RANK(G204,$G$2:$G$1462,0))</f>
        <v>203</v>
      </c>
      <c r="J204" s="4" t="s">
        <v>34</v>
      </c>
    </row>
    <row r="205" customFormat="false" ht="15" hidden="false" customHeight="false" outlineLevel="0" collapsed="false">
      <c r="A205" s="4" t="s">
        <v>484</v>
      </c>
      <c r="B205" s="4" t="s">
        <v>72</v>
      </c>
      <c r="C205" s="4" t="s">
        <v>73</v>
      </c>
      <c r="D205" s="7" t="s">
        <v>485</v>
      </c>
      <c r="E205" s="4" t="s">
        <v>75</v>
      </c>
      <c r="F205" s="4" t="s">
        <v>4</v>
      </c>
      <c r="G205" s="8" t="n">
        <v>7296.96859437227</v>
      </c>
      <c r="H205" s="6" t="n">
        <f aca="false">IF(G205="","",G205/SUMIFS($G$2:$G$1462,$F$2:$F$1462,"Served"))</f>
        <v>0.000752169636011593</v>
      </c>
      <c r="I205" s="4" t="n">
        <f aca="false">IF(G205="","",RANK(G205,$G$2:$G$1462,0))</f>
        <v>204</v>
      </c>
      <c r="J205" s="4" t="s">
        <v>34</v>
      </c>
    </row>
    <row r="206" customFormat="false" ht="15" hidden="false" customHeight="false" outlineLevel="0" collapsed="false">
      <c r="A206" s="4" t="s">
        <v>486</v>
      </c>
      <c r="B206" s="4" t="s">
        <v>30</v>
      </c>
      <c r="C206" s="4" t="s">
        <v>226</v>
      </c>
      <c r="D206" s="7" t="s">
        <v>487</v>
      </c>
      <c r="E206" s="4" t="s">
        <v>33</v>
      </c>
      <c r="F206" s="4" t="s">
        <v>4</v>
      </c>
      <c r="G206" s="8" t="n">
        <v>7244.81223374605</v>
      </c>
      <c r="H206" s="6" t="n">
        <f aca="false">IF(G206="","",G206/SUMIFS($G$2:$G$1462,$F$2:$F$1462,"Served"))</f>
        <v>0.000746793371843735</v>
      </c>
      <c r="I206" s="4" t="n">
        <f aca="false">IF(G206="","",RANK(G206,$G$2:$G$1462,0))</f>
        <v>205</v>
      </c>
      <c r="J206" s="4" t="s">
        <v>34</v>
      </c>
    </row>
    <row r="207" customFormat="false" ht="15" hidden="false" customHeight="false" outlineLevel="0" collapsed="false">
      <c r="A207" s="4" t="s">
        <v>488</v>
      </c>
      <c r="B207" s="4" t="s">
        <v>30</v>
      </c>
      <c r="C207" s="4" t="s">
        <v>209</v>
      </c>
      <c r="D207" s="7" t="s">
        <v>489</v>
      </c>
      <c r="E207" s="4" t="s">
        <v>33</v>
      </c>
      <c r="F207" s="4" t="s">
        <v>4</v>
      </c>
      <c r="G207" s="8" t="n">
        <v>7237.41316723824</v>
      </c>
      <c r="H207" s="6" t="n">
        <f aca="false">IF(G207="","",G207/SUMIFS($G$2:$G$1462,$F$2:$F$1462,"Served"))</f>
        <v>0.000746030677981203</v>
      </c>
      <c r="I207" s="4" t="n">
        <f aca="false">IF(G207="","",RANK(G207,$G$2:$G$1462,0))</f>
        <v>206</v>
      </c>
      <c r="J207" s="4" t="s">
        <v>34</v>
      </c>
    </row>
    <row r="208" customFormat="false" ht="15" hidden="false" customHeight="false" outlineLevel="0" collapsed="false">
      <c r="A208" s="4" t="s">
        <v>490</v>
      </c>
      <c r="B208" s="4" t="s">
        <v>43</v>
      </c>
      <c r="C208" s="4" t="s">
        <v>44</v>
      </c>
      <c r="D208" s="7" t="s">
        <v>491</v>
      </c>
      <c r="E208" s="4" t="s">
        <v>46</v>
      </c>
      <c r="F208" s="4" t="s">
        <v>4</v>
      </c>
      <c r="G208" s="8" t="n">
        <v>7226.91940224171</v>
      </c>
      <c r="H208" s="6" t="n">
        <f aca="false">IF(G208="","",G208/SUMIFS($G$2:$G$1462,$F$2:$F$1462,"Served"))</f>
        <v>0.000744948983398618</v>
      </c>
      <c r="I208" s="4" t="n">
        <f aca="false">IF(G208="","",RANK(G208,$G$2:$G$1462,0))</f>
        <v>207</v>
      </c>
      <c r="J208" s="4" t="s">
        <v>34</v>
      </c>
    </row>
    <row r="209" customFormat="false" ht="15" hidden="false" customHeight="false" outlineLevel="0" collapsed="false">
      <c r="A209" s="4" t="s">
        <v>492</v>
      </c>
      <c r="B209" s="4" t="s">
        <v>72</v>
      </c>
      <c r="C209" s="4" t="s">
        <v>73</v>
      </c>
      <c r="D209" s="7" t="s">
        <v>493</v>
      </c>
      <c r="E209" s="4" t="s">
        <v>75</v>
      </c>
      <c r="F209" s="4" t="s">
        <v>4</v>
      </c>
      <c r="G209" s="8" t="n">
        <v>7214.7020226121</v>
      </c>
      <c r="H209" s="6" t="n">
        <f aca="false">IF(G209="","",G209/SUMIFS($G$2:$G$1462,$F$2:$F$1462,"Served"))</f>
        <v>0.00074368961906531</v>
      </c>
      <c r="I209" s="4" t="n">
        <f aca="false">IF(G209="","",RANK(G209,$G$2:$G$1462,0))</f>
        <v>208</v>
      </c>
      <c r="J209" s="4" t="s">
        <v>34</v>
      </c>
    </row>
    <row r="210" customFormat="false" ht="15" hidden="false" customHeight="false" outlineLevel="0" collapsed="false">
      <c r="A210" s="4" t="s">
        <v>494</v>
      </c>
      <c r="B210" s="4" t="s">
        <v>72</v>
      </c>
      <c r="C210" s="4" t="s">
        <v>73</v>
      </c>
      <c r="D210" s="7" t="s">
        <v>495</v>
      </c>
      <c r="E210" s="4" t="s">
        <v>75</v>
      </c>
      <c r="F210" s="4" t="s">
        <v>4</v>
      </c>
      <c r="G210" s="8" t="n">
        <v>7211.1419107914</v>
      </c>
      <c r="H210" s="6" t="n">
        <f aca="false">IF(G210="","",G210/SUMIFS($G$2:$G$1462,$F$2:$F$1462,"Served"))</f>
        <v>0.000743322643659331</v>
      </c>
      <c r="I210" s="4" t="n">
        <f aca="false">IF(G210="","",RANK(G210,$G$2:$G$1462,0))</f>
        <v>209</v>
      </c>
      <c r="J210" s="4" t="s">
        <v>34</v>
      </c>
    </row>
    <row r="211" customFormat="false" ht="15" hidden="false" customHeight="false" outlineLevel="0" collapsed="false">
      <c r="A211" s="4" t="s">
        <v>496</v>
      </c>
      <c r="B211" s="4" t="s">
        <v>61</v>
      </c>
      <c r="C211" s="4" t="s">
        <v>62</v>
      </c>
      <c r="D211" s="7" t="s">
        <v>497</v>
      </c>
      <c r="E211" s="4" t="s">
        <v>64</v>
      </c>
      <c r="F211" s="4" t="s">
        <v>4</v>
      </c>
      <c r="G211" s="8" t="n">
        <v>7196.25470107794</v>
      </c>
      <c r="H211" s="6" t="n">
        <f aca="false">IF(G211="","",G211/SUMIFS($G$2:$G$1462,$F$2:$F$1462,"Served"))</f>
        <v>0.000741788073931288</v>
      </c>
      <c r="I211" s="4" t="n">
        <f aca="false">IF(G211="","",RANK(G211,$G$2:$G$1462,0))</f>
        <v>210</v>
      </c>
      <c r="J211" s="4" t="s">
        <v>34</v>
      </c>
    </row>
    <row r="212" customFormat="false" ht="15" hidden="false" customHeight="false" outlineLevel="0" collapsed="false">
      <c r="A212" s="4" t="s">
        <v>498</v>
      </c>
      <c r="B212" s="4" t="s">
        <v>321</v>
      </c>
      <c r="C212" s="4" t="s">
        <v>322</v>
      </c>
      <c r="D212" s="7" t="s">
        <v>499</v>
      </c>
      <c r="E212" s="4" t="s">
        <v>324</v>
      </c>
      <c r="F212" s="4" t="s">
        <v>4</v>
      </c>
      <c r="G212" s="8" t="n">
        <v>7149.27768415213</v>
      </c>
      <c r="H212" s="6" t="n">
        <f aca="false">IF(G212="","",G212/SUMIFS($G$2:$G$1462,$F$2:$F$1462,"Served"))</f>
        <v>0.000736945695172902</v>
      </c>
      <c r="I212" s="4" t="n">
        <f aca="false">IF(G212="","",RANK(G212,$G$2:$G$1462,0))</f>
        <v>211</v>
      </c>
      <c r="J212" s="4" t="s">
        <v>34</v>
      </c>
    </row>
    <row r="213" customFormat="false" ht="15" hidden="false" customHeight="false" outlineLevel="0" collapsed="false">
      <c r="A213" s="4" t="s">
        <v>500</v>
      </c>
      <c r="B213" s="4" t="s">
        <v>43</v>
      </c>
      <c r="C213" s="4" t="s">
        <v>44</v>
      </c>
      <c r="D213" s="7" t="s">
        <v>501</v>
      </c>
      <c r="E213" s="4" t="s">
        <v>46</v>
      </c>
      <c r="F213" s="4" t="s">
        <v>4</v>
      </c>
      <c r="G213" s="8" t="n">
        <v>7134.40561944246</v>
      </c>
      <c r="H213" s="6" t="n">
        <f aca="false">IF(G213="","",G213/SUMIFS($G$2:$G$1462,$F$2:$F$1462,"Served"))</f>
        <v>0.000735412686587935</v>
      </c>
      <c r="I213" s="4" t="n">
        <f aca="false">IF(G213="","",RANK(G213,$G$2:$G$1462,0))</f>
        <v>212</v>
      </c>
      <c r="J213" s="4" t="s">
        <v>34</v>
      </c>
    </row>
    <row r="214" customFormat="false" ht="15" hidden="false" customHeight="false" outlineLevel="0" collapsed="false">
      <c r="A214" s="4" t="s">
        <v>502</v>
      </c>
      <c r="B214" s="4" t="s">
        <v>204</v>
      </c>
      <c r="C214" s="4" t="s">
        <v>212</v>
      </c>
      <c r="D214" s="7" t="s">
        <v>503</v>
      </c>
      <c r="E214" s="4" t="s">
        <v>207</v>
      </c>
      <c r="F214" s="4" t="s">
        <v>4</v>
      </c>
      <c r="G214" s="8" t="n">
        <v>7085.8255161643</v>
      </c>
      <c r="H214" s="6" t="n">
        <f aca="false">IF(G214="","",G214/SUMIFS($G$2:$G$1462,$F$2:$F$1462,"Served"))</f>
        <v>0.000730405062102841</v>
      </c>
      <c r="I214" s="4" t="n">
        <f aca="false">IF(G214="","",RANK(G214,$G$2:$G$1462,0))</f>
        <v>213</v>
      </c>
      <c r="J214" s="4" t="s">
        <v>34</v>
      </c>
    </row>
    <row r="215" customFormat="false" ht="15" hidden="false" customHeight="false" outlineLevel="0" collapsed="false">
      <c r="A215" s="4" t="s">
        <v>504</v>
      </c>
      <c r="B215" s="4" t="s">
        <v>43</v>
      </c>
      <c r="C215" s="4" t="s">
        <v>44</v>
      </c>
      <c r="D215" s="7" t="s">
        <v>505</v>
      </c>
      <c r="E215" s="4" t="s">
        <v>46</v>
      </c>
      <c r="F215" s="4" t="s">
        <v>4</v>
      </c>
      <c r="G215" s="8" t="n">
        <v>7074.22906887531</v>
      </c>
      <c r="H215" s="6" t="n">
        <f aca="false">IF(G215="","",G215/SUMIFS($G$2:$G$1462,$F$2:$F$1462,"Served"))</f>
        <v>0.000729209703314657</v>
      </c>
      <c r="I215" s="4" t="n">
        <f aca="false">IF(G215="","",RANK(G215,$G$2:$G$1462,0))</f>
        <v>214</v>
      </c>
      <c r="J215" s="4" t="s">
        <v>34</v>
      </c>
    </row>
    <row r="216" customFormat="false" ht="15" hidden="false" customHeight="false" outlineLevel="0" collapsed="false">
      <c r="A216" s="4" t="s">
        <v>506</v>
      </c>
      <c r="B216" s="4" t="s">
        <v>171</v>
      </c>
      <c r="C216" s="4" t="s">
        <v>341</v>
      </c>
      <c r="D216" s="7" t="s">
        <v>507</v>
      </c>
      <c r="E216" s="4" t="s">
        <v>33</v>
      </c>
      <c r="F216" s="4" t="s">
        <v>4</v>
      </c>
      <c r="G216" s="8" t="n">
        <v>7065.54317766428</v>
      </c>
      <c r="H216" s="6" t="n">
        <f aca="false">IF(G216="","",G216/SUMIFS($G$2:$G$1462,$F$2:$F$1462,"Served"))</f>
        <v>0.000728314363894438</v>
      </c>
      <c r="I216" s="4" t="n">
        <f aca="false">IF(G216="","",RANK(G216,$G$2:$G$1462,0))</f>
        <v>215</v>
      </c>
      <c r="J216" s="4" t="s">
        <v>34</v>
      </c>
    </row>
    <row r="217" customFormat="false" ht="15" hidden="false" customHeight="false" outlineLevel="0" collapsed="false">
      <c r="A217" s="4" t="s">
        <v>508</v>
      </c>
      <c r="B217" s="4" t="s">
        <v>321</v>
      </c>
      <c r="C217" s="4" t="s">
        <v>322</v>
      </c>
      <c r="D217" s="7" t="s">
        <v>509</v>
      </c>
      <c r="E217" s="4" t="s">
        <v>324</v>
      </c>
      <c r="F217" s="4" t="s">
        <v>4</v>
      </c>
      <c r="G217" s="8" t="n">
        <v>7040.95494389534</v>
      </c>
      <c r="H217" s="6" t="n">
        <f aca="false">IF(G217="","",G217/SUMIFS($G$2:$G$1462,$F$2:$F$1462,"Served"))</f>
        <v>0.000725779815115043</v>
      </c>
      <c r="I217" s="4" t="n">
        <f aca="false">IF(G217="","",RANK(G217,$G$2:$G$1462,0))</f>
        <v>216</v>
      </c>
      <c r="J217" s="4" t="s">
        <v>34</v>
      </c>
    </row>
    <row r="218" customFormat="false" ht="15" hidden="false" customHeight="false" outlineLevel="0" collapsed="false">
      <c r="A218" s="4" t="s">
        <v>510</v>
      </c>
      <c r="B218" s="4" t="s">
        <v>30</v>
      </c>
      <c r="C218" s="4" t="s">
        <v>467</v>
      </c>
      <c r="D218" s="7" t="s">
        <v>511</v>
      </c>
      <c r="E218" s="4" t="s">
        <v>33</v>
      </c>
      <c r="F218" s="4" t="s">
        <v>4</v>
      </c>
      <c r="G218" s="8" t="n">
        <v>7011.83888697624</v>
      </c>
      <c r="H218" s="6" t="n">
        <f aca="false">IF(G218="","",G218/SUMIFS($G$2:$G$1462,$F$2:$F$1462,"Served"))</f>
        <v>0.000722778539496039</v>
      </c>
      <c r="I218" s="4" t="n">
        <f aca="false">IF(G218="","",RANK(G218,$G$2:$G$1462,0))</f>
        <v>217</v>
      </c>
      <c r="J218" s="4" t="s">
        <v>34</v>
      </c>
    </row>
    <row r="219" customFormat="false" ht="15" hidden="false" customHeight="false" outlineLevel="0" collapsed="false">
      <c r="A219" s="4" t="s">
        <v>512</v>
      </c>
      <c r="B219" s="4" t="s">
        <v>321</v>
      </c>
      <c r="C219" s="4" t="s">
        <v>322</v>
      </c>
      <c r="D219" s="7" t="s">
        <v>513</v>
      </c>
      <c r="E219" s="4" t="s">
        <v>324</v>
      </c>
      <c r="F219" s="4" t="s">
        <v>4</v>
      </c>
      <c r="G219" s="8" t="n">
        <v>7004.52224338055</v>
      </c>
      <c r="H219" s="6" t="n">
        <f aca="false">IF(G219="","",G219/SUMIFS($G$2:$G$1462,$F$2:$F$1462,"Served"))</f>
        <v>0.000722024341765978</v>
      </c>
      <c r="I219" s="4" t="n">
        <f aca="false">IF(G219="","",RANK(G219,$G$2:$G$1462,0))</f>
        <v>218</v>
      </c>
      <c r="J219" s="4" t="s">
        <v>34</v>
      </c>
    </row>
    <row r="220" customFormat="false" ht="15" hidden="false" customHeight="false" outlineLevel="0" collapsed="false">
      <c r="A220" s="4" t="s">
        <v>514</v>
      </c>
      <c r="B220" s="4" t="s">
        <v>171</v>
      </c>
      <c r="C220" s="4" t="s">
        <v>515</v>
      </c>
      <c r="D220" s="7" t="s">
        <v>516</v>
      </c>
      <c r="E220" s="4" t="s">
        <v>33</v>
      </c>
      <c r="F220" s="4" t="s">
        <v>4</v>
      </c>
      <c r="G220" s="8" t="n">
        <v>6988.30437004566</v>
      </c>
      <c r="H220" s="6" t="n">
        <f aca="false">IF(G220="","",G220/SUMIFS($G$2:$G$1462,$F$2:$F$1462,"Served"))</f>
        <v>0.000720352607575894</v>
      </c>
      <c r="I220" s="4" t="n">
        <f aca="false">IF(G220="","",RANK(G220,$G$2:$G$1462,0))</f>
        <v>219</v>
      </c>
      <c r="J220" s="4" t="s">
        <v>34</v>
      </c>
    </row>
    <row r="221" customFormat="false" ht="15" hidden="false" customHeight="false" outlineLevel="0" collapsed="false">
      <c r="A221" s="4" t="s">
        <v>517</v>
      </c>
      <c r="B221" s="4" t="s">
        <v>30</v>
      </c>
      <c r="C221" s="4" t="s">
        <v>280</v>
      </c>
      <c r="D221" s="7" t="s">
        <v>518</v>
      </c>
      <c r="E221" s="4" t="s">
        <v>33</v>
      </c>
      <c r="F221" s="4" t="s">
        <v>4</v>
      </c>
      <c r="G221" s="8" t="n">
        <v>6949.23713999987</v>
      </c>
      <c r="H221" s="6" t="n">
        <f aca="false">IF(G221="","",G221/SUMIFS($G$2:$G$1462,$F$2:$F$1462,"Served"))</f>
        <v>0.000716325567603954</v>
      </c>
      <c r="I221" s="4" t="n">
        <f aca="false">IF(G221="","",RANK(G221,$G$2:$G$1462,0))</f>
        <v>220</v>
      </c>
      <c r="J221" s="4" t="s">
        <v>34</v>
      </c>
    </row>
    <row r="222" customFormat="false" ht="15" hidden="false" customHeight="false" outlineLevel="0" collapsed="false">
      <c r="A222" s="4" t="s">
        <v>519</v>
      </c>
      <c r="B222" s="4" t="s">
        <v>321</v>
      </c>
      <c r="C222" s="4" t="s">
        <v>322</v>
      </c>
      <c r="D222" s="7" t="s">
        <v>520</v>
      </c>
      <c r="E222" s="4" t="s">
        <v>324</v>
      </c>
      <c r="F222" s="4" t="s">
        <v>4</v>
      </c>
      <c r="G222" s="8" t="n">
        <v>6908.09904199839</v>
      </c>
      <c r="H222" s="6" t="n">
        <f aca="false">IF(G222="","",G222/SUMIFS($G$2:$G$1462,$F$2:$F$1462,"Served"))</f>
        <v>0.000712085063098583</v>
      </c>
      <c r="I222" s="4" t="n">
        <f aca="false">IF(G222="","",RANK(G222,$G$2:$G$1462,0))</f>
        <v>221</v>
      </c>
      <c r="J222" s="4" t="s">
        <v>34</v>
      </c>
    </row>
    <row r="223" customFormat="false" ht="15" hidden="false" customHeight="false" outlineLevel="0" collapsed="false">
      <c r="A223" s="4" t="s">
        <v>521</v>
      </c>
      <c r="B223" s="4" t="s">
        <v>72</v>
      </c>
      <c r="C223" s="4" t="s">
        <v>73</v>
      </c>
      <c r="D223" s="7" t="s">
        <v>522</v>
      </c>
      <c r="E223" s="4" t="s">
        <v>75</v>
      </c>
      <c r="F223" s="4" t="s">
        <v>4</v>
      </c>
      <c r="G223" s="8" t="n">
        <v>6886.58294922113</v>
      </c>
      <c r="H223" s="6" t="n">
        <f aca="false">IF(G223="","",G223/SUMIFS($G$2:$G$1462,$F$2:$F$1462,"Served"))</f>
        <v>0.000709867189818282</v>
      </c>
      <c r="I223" s="4" t="n">
        <f aca="false">IF(G223="","",RANK(G223,$G$2:$G$1462,0))</f>
        <v>222</v>
      </c>
      <c r="J223" s="4" t="s">
        <v>34</v>
      </c>
    </row>
    <row r="224" customFormat="false" ht="15" hidden="false" customHeight="false" outlineLevel="0" collapsed="false">
      <c r="A224" s="4" t="s">
        <v>523</v>
      </c>
      <c r="B224" s="4" t="s">
        <v>30</v>
      </c>
      <c r="C224" s="4" t="s">
        <v>94</v>
      </c>
      <c r="D224" s="7" t="s">
        <v>524</v>
      </c>
      <c r="E224" s="4" t="s">
        <v>33</v>
      </c>
      <c r="F224" s="4" t="s">
        <v>4</v>
      </c>
      <c r="G224" s="8" t="n">
        <v>6830.85255169869</v>
      </c>
      <c r="H224" s="6" t="n">
        <f aca="false">IF(G224="","",G224/SUMIFS($G$2:$G$1462,$F$2:$F$1462,"Served"))</f>
        <v>0.000704122514851259</v>
      </c>
      <c r="I224" s="4" t="n">
        <f aca="false">IF(G224="","",RANK(G224,$G$2:$G$1462,0))</f>
        <v>223</v>
      </c>
      <c r="J224" s="4" t="s">
        <v>34</v>
      </c>
    </row>
    <row r="225" customFormat="false" ht="15" hidden="false" customHeight="false" outlineLevel="0" collapsed="false">
      <c r="A225" s="4" t="s">
        <v>525</v>
      </c>
      <c r="B225" s="4" t="s">
        <v>30</v>
      </c>
      <c r="C225" s="4" t="s">
        <v>348</v>
      </c>
      <c r="D225" s="7" t="s">
        <v>526</v>
      </c>
      <c r="E225" s="4" t="s">
        <v>33</v>
      </c>
      <c r="F225" s="4" t="s">
        <v>4</v>
      </c>
      <c r="G225" s="8" t="n">
        <v>6823.05642020702</v>
      </c>
      <c r="H225" s="6" t="n">
        <f aca="false">IF(G225="","",G225/SUMIFS($G$2:$G$1462,$F$2:$F$1462,"Served"))</f>
        <v>0.000703318891632858</v>
      </c>
      <c r="I225" s="4" t="n">
        <f aca="false">IF(G225="","",RANK(G225,$G$2:$G$1462,0))</f>
        <v>224</v>
      </c>
      <c r="J225" s="4" t="s">
        <v>34</v>
      </c>
    </row>
    <row r="226" customFormat="false" ht="15" hidden="false" customHeight="false" outlineLevel="0" collapsed="false">
      <c r="A226" s="4" t="s">
        <v>527</v>
      </c>
      <c r="B226" s="4" t="s">
        <v>61</v>
      </c>
      <c r="C226" s="4" t="s">
        <v>62</v>
      </c>
      <c r="D226" s="7" t="s">
        <v>528</v>
      </c>
      <c r="E226" s="4" t="s">
        <v>64</v>
      </c>
      <c r="F226" s="4" t="s">
        <v>4</v>
      </c>
      <c r="G226" s="8" t="n">
        <v>6819.98184758425</v>
      </c>
      <c r="H226" s="6" t="n">
        <f aca="false">IF(G226="","",G226/SUMIFS($G$2:$G$1462,$F$2:$F$1462,"Served"))</f>
        <v>0.00070300196548186</v>
      </c>
      <c r="I226" s="4" t="n">
        <f aca="false">IF(G226="","",RANK(G226,$G$2:$G$1462,0))</f>
        <v>225</v>
      </c>
      <c r="J226" s="4" t="s">
        <v>34</v>
      </c>
    </row>
    <row r="227" customFormat="false" ht="15" hidden="false" customHeight="false" outlineLevel="0" collapsed="false">
      <c r="A227" s="4" t="s">
        <v>529</v>
      </c>
      <c r="B227" s="4" t="s">
        <v>30</v>
      </c>
      <c r="C227" s="4" t="s">
        <v>467</v>
      </c>
      <c r="D227" s="7" t="s">
        <v>530</v>
      </c>
      <c r="E227" s="4" t="s">
        <v>33</v>
      </c>
      <c r="F227" s="4" t="s">
        <v>4</v>
      </c>
      <c r="G227" s="8" t="n">
        <v>6819.71726936102</v>
      </c>
      <c r="H227" s="6" t="n">
        <f aca="false">IF(G227="","",G227/SUMIFS($G$2:$G$1462,$F$2:$F$1462,"Served"))</f>
        <v>0.000702974692827019</v>
      </c>
      <c r="I227" s="4" t="n">
        <f aca="false">IF(G227="","",RANK(G227,$G$2:$G$1462,0))</f>
        <v>226</v>
      </c>
      <c r="J227" s="4" t="s">
        <v>34</v>
      </c>
    </row>
    <row r="228" customFormat="false" ht="15" hidden="false" customHeight="false" outlineLevel="0" collapsed="false">
      <c r="A228" s="4" t="s">
        <v>531</v>
      </c>
      <c r="B228" s="4" t="s">
        <v>204</v>
      </c>
      <c r="C228" s="4" t="s">
        <v>212</v>
      </c>
      <c r="D228" s="7" t="s">
        <v>532</v>
      </c>
      <c r="E228" s="4" t="s">
        <v>207</v>
      </c>
      <c r="F228" s="4" t="s">
        <v>4</v>
      </c>
      <c r="G228" s="8" t="n">
        <v>6806.78290593624</v>
      </c>
      <c r="H228" s="6" t="n">
        <f aca="false">IF(G228="","",G228/SUMIFS($G$2:$G$1462,$F$2:$F$1462,"Served"))</f>
        <v>0.000701641421989488</v>
      </c>
      <c r="I228" s="4" t="n">
        <f aca="false">IF(G228="","",RANK(G228,$G$2:$G$1462,0))</f>
        <v>227</v>
      </c>
      <c r="J228" s="4" t="s">
        <v>34</v>
      </c>
    </row>
    <row r="229" customFormat="false" ht="15" hidden="false" customHeight="false" outlineLevel="0" collapsed="false">
      <c r="A229" s="4" t="s">
        <v>533</v>
      </c>
      <c r="B229" s="4" t="s">
        <v>171</v>
      </c>
      <c r="C229" s="4" t="s">
        <v>192</v>
      </c>
      <c r="D229" s="7" t="s">
        <v>534</v>
      </c>
      <c r="E229" s="4" t="s">
        <v>33</v>
      </c>
      <c r="F229" s="4" t="s">
        <v>4</v>
      </c>
      <c r="G229" s="8" t="n">
        <v>6741.67764139175</v>
      </c>
      <c r="H229" s="6" t="n">
        <f aca="false">IF(G229="","",G229/SUMIFS($G$2:$G$1462,$F$2:$F$1462,"Served"))</f>
        <v>0.000694930388153789</v>
      </c>
      <c r="I229" s="4" t="n">
        <f aca="false">IF(G229="","",RANK(G229,$G$2:$G$1462,0))</f>
        <v>228</v>
      </c>
      <c r="J229" s="4" t="s">
        <v>34</v>
      </c>
    </row>
    <row r="230" customFormat="false" ht="15" hidden="false" customHeight="false" outlineLevel="0" collapsed="false">
      <c r="A230" s="4" t="s">
        <v>535</v>
      </c>
      <c r="B230" s="4" t="s">
        <v>171</v>
      </c>
      <c r="C230" s="4" t="s">
        <v>192</v>
      </c>
      <c r="D230" s="7" t="s">
        <v>536</v>
      </c>
      <c r="E230" s="4" t="s">
        <v>33</v>
      </c>
      <c r="F230" s="4" t="s">
        <v>4</v>
      </c>
      <c r="G230" s="8" t="n">
        <v>6715.8120456934</v>
      </c>
      <c r="H230" s="6" t="n">
        <f aca="false">IF(G230="","",G230/SUMIFS($G$2:$G$1462,$F$2:$F$1462,"Served"))</f>
        <v>0.000692264169236983</v>
      </c>
      <c r="I230" s="4" t="n">
        <f aca="false">IF(G230="","",RANK(G230,$G$2:$G$1462,0))</f>
        <v>229</v>
      </c>
      <c r="J230" s="4" t="s">
        <v>34</v>
      </c>
    </row>
    <row r="231" customFormat="false" ht="15" hidden="false" customHeight="false" outlineLevel="0" collapsed="false">
      <c r="A231" s="4" t="s">
        <v>537</v>
      </c>
      <c r="B231" s="4" t="s">
        <v>30</v>
      </c>
      <c r="C231" s="4" t="s">
        <v>56</v>
      </c>
      <c r="D231" s="7" t="s">
        <v>538</v>
      </c>
      <c r="E231" s="4" t="s">
        <v>33</v>
      </c>
      <c r="F231" s="4" t="s">
        <v>4</v>
      </c>
      <c r="G231" s="8" t="n">
        <v>6711.59604394436</v>
      </c>
      <c r="H231" s="6" t="n">
        <f aca="false">IF(G231="","",G231/SUMIFS($G$2:$G$1462,$F$2:$F$1462,"Served"))</f>
        <v>0.000691829584866777</v>
      </c>
      <c r="I231" s="4" t="n">
        <f aca="false">IF(G231="","",RANK(G231,$G$2:$G$1462,0))</f>
        <v>230</v>
      </c>
      <c r="J231" s="4" t="s">
        <v>34</v>
      </c>
    </row>
    <row r="232" customFormat="false" ht="15" hidden="false" customHeight="false" outlineLevel="0" collapsed="false">
      <c r="A232" s="4" t="s">
        <v>539</v>
      </c>
      <c r="B232" s="4" t="s">
        <v>321</v>
      </c>
      <c r="C232" s="4" t="s">
        <v>322</v>
      </c>
      <c r="D232" s="7" t="s">
        <v>540</v>
      </c>
      <c r="E232" s="4" t="s">
        <v>324</v>
      </c>
      <c r="F232" s="4" t="s">
        <v>4</v>
      </c>
      <c r="G232" s="8" t="n">
        <v>6710.28323817253</v>
      </c>
      <c r="H232" s="6" t="n">
        <f aca="false">IF(G232="","",G232/SUMIFS($G$2:$G$1462,$F$2:$F$1462,"Served"))</f>
        <v>0.000691694261187254</v>
      </c>
      <c r="I232" s="4" t="n">
        <f aca="false">IF(G232="","",RANK(G232,$G$2:$G$1462,0))</f>
        <v>231</v>
      </c>
      <c r="J232" s="4" t="s">
        <v>34</v>
      </c>
    </row>
    <row r="233" customFormat="false" ht="15" hidden="false" customHeight="false" outlineLevel="0" collapsed="false">
      <c r="A233" s="4" t="s">
        <v>541</v>
      </c>
      <c r="B233" s="4" t="s">
        <v>321</v>
      </c>
      <c r="C233" s="4" t="s">
        <v>322</v>
      </c>
      <c r="D233" s="7" t="s">
        <v>542</v>
      </c>
      <c r="E233" s="4" t="s">
        <v>324</v>
      </c>
      <c r="F233" s="4" t="s">
        <v>4</v>
      </c>
      <c r="G233" s="8" t="n">
        <v>6576.02523332834</v>
      </c>
      <c r="H233" s="6" t="n">
        <f aca="false">IF(G233="","",G233/SUMIFS($G$2:$G$1462,$F$2:$F$1462,"Served"))</f>
        <v>0.00067785498076152</v>
      </c>
      <c r="I233" s="4" t="n">
        <f aca="false">IF(G233="","",RANK(G233,$G$2:$G$1462,0))</f>
        <v>232</v>
      </c>
      <c r="J233" s="4" t="s">
        <v>34</v>
      </c>
    </row>
    <row r="234" customFormat="false" ht="15" hidden="false" customHeight="false" outlineLevel="0" collapsed="false">
      <c r="A234" s="4" t="s">
        <v>543</v>
      </c>
      <c r="B234" s="4" t="s">
        <v>72</v>
      </c>
      <c r="C234" s="4" t="s">
        <v>73</v>
      </c>
      <c r="D234" s="7" t="s">
        <v>544</v>
      </c>
      <c r="E234" s="4" t="s">
        <v>75</v>
      </c>
      <c r="F234" s="4" t="s">
        <v>4</v>
      </c>
      <c r="G234" s="8" t="n">
        <v>6544.10984271765</v>
      </c>
      <c r="H234" s="6" t="n">
        <f aca="false">IF(G234="","",G234/SUMIFS($G$2:$G$1462,$F$2:$F$1462,"Served"))</f>
        <v>0.000674565150549378</v>
      </c>
      <c r="I234" s="4" t="n">
        <f aca="false">IF(G234="","",RANK(G234,$G$2:$G$1462,0))</f>
        <v>233</v>
      </c>
      <c r="J234" s="4" t="s">
        <v>34</v>
      </c>
    </row>
    <row r="235" customFormat="false" ht="15" hidden="false" customHeight="false" outlineLevel="0" collapsed="false">
      <c r="A235" s="4" t="s">
        <v>545</v>
      </c>
      <c r="B235" s="4" t="s">
        <v>72</v>
      </c>
      <c r="C235" s="4" t="s">
        <v>73</v>
      </c>
      <c r="D235" s="7" t="s">
        <v>546</v>
      </c>
      <c r="E235" s="4" t="s">
        <v>75</v>
      </c>
      <c r="F235" s="4" t="s">
        <v>4</v>
      </c>
      <c r="G235" s="8" t="n">
        <v>6464.61348760128</v>
      </c>
      <c r="H235" s="6" t="n">
        <f aca="false">IF(G235="","",G235/SUMIFS($G$2:$G$1462,$F$2:$F$1462,"Served"))</f>
        <v>0.000666370686818475</v>
      </c>
      <c r="I235" s="4" t="n">
        <f aca="false">IF(G235="","",RANK(G235,$G$2:$G$1462,0))</f>
        <v>234</v>
      </c>
      <c r="J235" s="4" t="s">
        <v>34</v>
      </c>
    </row>
    <row r="236" customFormat="false" ht="15" hidden="false" customHeight="false" outlineLevel="0" collapsed="false">
      <c r="A236" s="4" t="s">
        <v>547</v>
      </c>
      <c r="B236" s="4" t="s">
        <v>204</v>
      </c>
      <c r="C236" s="4" t="s">
        <v>212</v>
      </c>
      <c r="D236" s="7" t="s">
        <v>548</v>
      </c>
      <c r="E236" s="4" t="s">
        <v>207</v>
      </c>
      <c r="F236" s="4" t="s">
        <v>4</v>
      </c>
      <c r="G236" s="8" t="n">
        <v>6451.80767160654</v>
      </c>
      <c r="H236" s="6" t="n">
        <f aca="false">IF(G236="","",G236/SUMIFS($G$2:$G$1462,$F$2:$F$1462,"Served"))</f>
        <v>0.000665050666616795</v>
      </c>
      <c r="I236" s="4" t="n">
        <f aca="false">IF(G236="","",RANK(G236,$G$2:$G$1462,0))</f>
        <v>235</v>
      </c>
      <c r="J236" s="4" t="s">
        <v>34</v>
      </c>
    </row>
    <row r="237" customFormat="false" ht="15" hidden="false" customHeight="false" outlineLevel="0" collapsed="false">
      <c r="A237" s="4" t="s">
        <v>549</v>
      </c>
      <c r="B237" s="4" t="s">
        <v>72</v>
      </c>
      <c r="C237" s="4" t="s">
        <v>73</v>
      </c>
      <c r="D237" s="7" t="s">
        <v>550</v>
      </c>
      <c r="E237" s="4" t="s">
        <v>75</v>
      </c>
      <c r="F237" s="4" t="s">
        <v>4</v>
      </c>
      <c r="G237" s="8" t="n">
        <v>6442.02136087418</v>
      </c>
      <c r="H237" s="6" t="n">
        <f aca="false">IF(G237="","",G237/SUMIFS($G$2:$G$1462,$F$2:$F$1462,"Served"))</f>
        <v>0.000664041896236841</v>
      </c>
      <c r="I237" s="4" t="n">
        <f aca="false">IF(G237="","",RANK(G237,$G$2:$G$1462,0))</f>
        <v>236</v>
      </c>
      <c r="J237" s="4" t="s">
        <v>34</v>
      </c>
    </row>
    <row r="238" customFormat="false" ht="15" hidden="false" customHeight="false" outlineLevel="0" collapsed="false">
      <c r="A238" s="4" t="s">
        <v>551</v>
      </c>
      <c r="B238" s="4" t="s">
        <v>30</v>
      </c>
      <c r="C238" s="4" t="s">
        <v>467</v>
      </c>
      <c r="D238" s="7" t="s">
        <v>552</v>
      </c>
      <c r="E238" s="4" t="s">
        <v>33</v>
      </c>
      <c r="F238" s="4" t="s">
        <v>4</v>
      </c>
      <c r="G238" s="8" t="n">
        <v>6434.05712777376</v>
      </c>
      <c r="H238" s="6" t="n">
        <f aca="false">IF(G238="","",G238/SUMIFS($G$2:$G$1462,$F$2:$F$1462,"Served"))</f>
        <v>0.000663220945148073</v>
      </c>
      <c r="I238" s="4" t="n">
        <f aca="false">IF(G238="","",RANK(G238,$G$2:$G$1462,0))</f>
        <v>237</v>
      </c>
      <c r="J238" s="4" t="s">
        <v>34</v>
      </c>
    </row>
    <row r="239" customFormat="false" ht="15" hidden="false" customHeight="false" outlineLevel="0" collapsed="false">
      <c r="A239" s="4" t="s">
        <v>553</v>
      </c>
      <c r="B239" s="4" t="s">
        <v>43</v>
      </c>
      <c r="C239" s="4" t="s">
        <v>44</v>
      </c>
      <c r="D239" s="7" t="s">
        <v>554</v>
      </c>
      <c r="E239" s="4" t="s">
        <v>46</v>
      </c>
      <c r="F239" s="4" t="s">
        <v>4</v>
      </c>
      <c r="G239" s="8" t="n">
        <v>6429.95528489351</v>
      </c>
      <c r="H239" s="6" t="n">
        <f aca="false">IF(G239="","",G239/SUMIFS($G$2:$G$1462,$F$2:$F$1462,"Served"))</f>
        <v>0.000662798128244545</v>
      </c>
      <c r="I239" s="4" t="n">
        <f aca="false">IF(G239="","",RANK(G239,$G$2:$G$1462,0))</f>
        <v>238</v>
      </c>
      <c r="J239" s="4" t="s">
        <v>34</v>
      </c>
    </row>
    <row r="240" customFormat="false" ht="15" hidden="false" customHeight="false" outlineLevel="0" collapsed="false">
      <c r="A240" s="4" t="s">
        <v>555</v>
      </c>
      <c r="B240" s="4" t="s">
        <v>72</v>
      </c>
      <c r="C240" s="4" t="s">
        <v>73</v>
      </c>
      <c r="D240" s="7" t="s">
        <v>556</v>
      </c>
      <c r="E240" s="4" t="s">
        <v>75</v>
      </c>
      <c r="F240" s="4" t="s">
        <v>4</v>
      </c>
      <c r="G240" s="8" t="n">
        <v>6418.33963751793</v>
      </c>
      <c r="H240" s="6" t="n">
        <f aca="false">IF(G240="","",G240/SUMIFS($G$2:$G$1462,$F$2:$F$1462,"Served"))</f>
        <v>0.000661600790316399</v>
      </c>
      <c r="I240" s="4" t="n">
        <f aca="false">IF(G240="","",RANK(G240,$G$2:$G$1462,0))</f>
        <v>239</v>
      </c>
      <c r="J240" s="4" t="s">
        <v>34</v>
      </c>
    </row>
    <row r="241" customFormat="false" ht="15" hidden="false" customHeight="false" outlineLevel="0" collapsed="false">
      <c r="A241" s="4" t="s">
        <v>557</v>
      </c>
      <c r="B241" s="4" t="s">
        <v>171</v>
      </c>
      <c r="C241" s="4" t="s">
        <v>341</v>
      </c>
      <c r="D241" s="7" t="s">
        <v>558</v>
      </c>
      <c r="E241" s="4" t="s">
        <v>33</v>
      </c>
      <c r="F241" s="4" t="s">
        <v>4</v>
      </c>
      <c r="G241" s="8" t="n">
        <v>6403.42924821377</v>
      </c>
      <c r="H241" s="6" t="n">
        <f aca="false">IF(G241="","",G241/SUMIFS($G$2:$G$1462,$F$2:$F$1462,"Served"))</f>
        <v>0.000660063831242141</v>
      </c>
      <c r="I241" s="4" t="n">
        <f aca="false">IF(G241="","",RANK(G241,$G$2:$G$1462,0))</f>
        <v>240</v>
      </c>
      <c r="J241" s="4" t="s">
        <v>34</v>
      </c>
    </row>
    <row r="242" customFormat="false" ht="15" hidden="false" customHeight="false" outlineLevel="0" collapsed="false">
      <c r="A242" s="4" t="s">
        <v>559</v>
      </c>
      <c r="B242" s="4" t="s">
        <v>30</v>
      </c>
      <c r="C242" s="4" t="s">
        <v>94</v>
      </c>
      <c r="D242" s="7" t="s">
        <v>560</v>
      </c>
      <c r="E242" s="4" t="s">
        <v>33</v>
      </c>
      <c r="F242" s="4" t="s">
        <v>4</v>
      </c>
      <c r="G242" s="8" t="n">
        <v>6399.83074331284</v>
      </c>
      <c r="H242" s="6" t="n">
        <f aca="false">IF(G242="","",G242/SUMIFS($G$2:$G$1462,$F$2:$F$1462,"Served"))</f>
        <v>0.000659692898287378</v>
      </c>
      <c r="I242" s="4" t="n">
        <f aca="false">IF(G242="","",RANK(G242,$G$2:$G$1462,0))</f>
        <v>241</v>
      </c>
      <c r="J242" s="4" t="s">
        <v>34</v>
      </c>
    </row>
    <row r="243" customFormat="false" ht="15" hidden="false" customHeight="false" outlineLevel="0" collapsed="false">
      <c r="A243" s="4" t="s">
        <v>561</v>
      </c>
      <c r="B243" s="4" t="s">
        <v>61</v>
      </c>
      <c r="C243" s="4" t="s">
        <v>62</v>
      </c>
      <c r="D243" s="7" t="s">
        <v>562</v>
      </c>
      <c r="E243" s="4" t="s">
        <v>64</v>
      </c>
      <c r="F243" s="4" t="s">
        <v>4</v>
      </c>
      <c r="G243" s="8" t="n">
        <v>6326.83388757706</v>
      </c>
      <c r="H243" s="6" t="n">
        <f aca="false">IF(G243="","",G243/SUMIFS($G$2:$G$1462,$F$2:$F$1462,"Served"))</f>
        <v>0.000652168401272122</v>
      </c>
      <c r="I243" s="4" t="n">
        <f aca="false">IF(G243="","",RANK(G243,$G$2:$G$1462,0))</f>
        <v>242</v>
      </c>
      <c r="J243" s="4" t="s">
        <v>34</v>
      </c>
    </row>
    <row r="244" customFormat="false" ht="15" hidden="false" customHeight="false" outlineLevel="0" collapsed="false">
      <c r="A244" s="4" t="s">
        <v>563</v>
      </c>
      <c r="B244" s="4" t="s">
        <v>72</v>
      </c>
      <c r="C244" s="4" t="s">
        <v>73</v>
      </c>
      <c r="D244" s="7" t="s">
        <v>564</v>
      </c>
      <c r="E244" s="4" t="s">
        <v>75</v>
      </c>
      <c r="F244" s="4" t="s">
        <v>4</v>
      </c>
      <c r="G244" s="8" t="n">
        <v>6300.08013916016</v>
      </c>
      <c r="H244" s="6" t="n">
        <f aca="false">IF(G244="","",G244/SUMIFS($G$2:$G$1462,$F$2:$F$1462,"Served"))</f>
        <v>0.000649410631802728</v>
      </c>
      <c r="I244" s="4" t="n">
        <f aca="false">IF(G244="","",RANK(G244,$G$2:$G$1462,0))</f>
        <v>243</v>
      </c>
      <c r="J244" s="4" t="s">
        <v>34</v>
      </c>
    </row>
    <row r="245" customFormat="false" ht="15" hidden="false" customHeight="false" outlineLevel="0" collapsed="false">
      <c r="A245" s="4" t="s">
        <v>565</v>
      </c>
      <c r="B245" s="4" t="s">
        <v>30</v>
      </c>
      <c r="C245" s="4" t="s">
        <v>348</v>
      </c>
      <c r="D245" s="7" t="s">
        <v>566</v>
      </c>
      <c r="E245" s="4" t="s">
        <v>33</v>
      </c>
      <c r="F245" s="4" t="s">
        <v>4</v>
      </c>
      <c r="G245" s="8" t="n">
        <v>6300.03542172909</v>
      </c>
      <c r="H245" s="6" t="n">
        <f aca="false">IF(G245="","",G245/SUMIFS($G$2:$G$1462,$F$2:$F$1462,"Served"))</f>
        <v>0.000649406022341496</v>
      </c>
      <c r="I245" s="4" t="n">
        <f aca="false">IF(G245="","",RANK(G245,$G$2:$G$1462,0))</f>
        <v>244</v>
      </c>
      <c r="J245" s="4" t="s">
        <v>34</v>
      </c>
    </row>
    <row r="246" customFormat="false" ht="15" hidden="false" customHeight="false" outlineLevel="0" collapsed="false">
      <c r="A246" s="4" t="s">
        <v>567</v>
      </c>
      <c r="B246" s="4" t="s">
        <v>30</v>
      </c>
      <c r="C246" s="4" t="s">
        <v>209</v>
      </c>
      <c r="D246" s="7" t="s">
        <v>568</v>
      </c>
      <c r="E246" s="4" t="s">
        <v>33</v>
      </c>
      <c r="F246" s="4" t="s">
        <v>4</v>
      </c>
      <c r="G246" s="8" t="n">
        <v>6292.71291297674</v>
      </c>
      <c r="H246" s="6" t="n">
        <f aca="false">IF(G246="","",G246/SUMIFS($G$2:$G$1462,$F$2:$F$1462,"Served"))</f>
        <v>0.000648651220032604</v>
      </c>
      <c r="I246" s="4" t="n">
        <f aca="false">IF(G246="","",RANK(G246,$G$2:$G$1462,0))</f>
        <v>245</v>
      </c>
      <c r="J246" s="4" t="s">
        <v>34</v>
      </c>
    </row>
    <row r="247" customFormat="false" ht="15" hidden="false" customHeight="false" outlineLevel="0" collapsed="false">
      <c r="A247" s="4" t="s">
        <v>569</v>
      </c>
      <c r="B247" s="4" t="s">
        <v>171</v>
      </c>
      <c r="C247" s="4" t="s">
        <v>515</v>
      </c>
      <c r="D247" s="7" t="s">
        <v>570</v>
      </c>
      <c r="E247" s="4" t="s">
        <v>33</v>
      </c>
      <c r="F247" s="4" t="s">
        <v>4</v>
      </c>
      <c r="G247" s="8" t="n">
        <v>6291.73606079817</v>
      </c>
      <c r="H247" s="6" t="n">
        <f aca="false">IF(G247="","",G247/SUMIFS($G$2:$G$1462,$F$2:$F$1462,"Served"))</f>
        <v>0.00064855052636261</v>
      </c>
      <c r="I247" s="4" t="n">
        <f aca="false">IF(G247="","",RANK(G247,$G$2:$G$1462,0))</f>
        <v>246</v>
      </c>
      <c r="J247" s="4" t="s">
        <v>34</v>
      </c>
    </row>
    <row r="248" customFormat="false" ht="15" hidden="false" customHeight="false" outlineLevel="0" collapsed="false">
      <c r="A248" s="4" t="s">
        <v>571</v>
      </c>
      <c r="B248" s="4" t="s">
        <v>61</v>
      </c>
      <c r="C248" s="4" t="s">
        <v>62</v>
      </c>
      <c r="D248" s="7" t="s">
        <v>572</v>
      </c>
      <c r="E248" s="4" t="s">
        <v>64</v>
      </c>
      <c r="F248" s="4" t="s">
        <v>4</v>
      </c>
      <c r="G248" s="8" t="n">
        <v>6279.37081634998</v>
      </c>
      <c r="H248" s="6" t="n">
        <f aca="false">IF(G248="","",G248/SUMIFS($G$2:$G$1462,$F$2:$F$1462,"Served"))</f>
        <v>0.000647275920162035</v>
      </c>
      <c r="I248" s="4" t="n">
        <f aca="false">IF(G248="","",RANK(G248,$G$2:$G$1462,0))</f>
        <v>247</v>
      </c>
      <c r="J248" s="4" t="s">
        <v>34</v>
      </c>
    </row>
    <row r="249" customFormat="false" ht="15" hidden="false" customHeight="false" outlineLevel="0" collapsed="false">
      <c r="A249" s="4" t="s">
        <v>573</v>
      </c>
      <c r="B249" s="4" t="s">
        <v>30</v>
      </c>
      <c r="C249" s="4" t="s">
        <v>348</v>
      </c>
      <c r="D249" s="7" t="s">
        <v>574</v>
      </c>
      <c r="E249" s="4" t="s">
        <v>33</v>
      </c>
      <c r="F249" s="4" t="s">
        <v>4</v>
      </c>
      <c r="G249" s="8" t="n">
        <v>6277.61776331067</v>
      </c>
      <c r="H249" s="6" t="n">
        <f aca="false">IF(G249="","",G249/SUMIFS($G$2:$G$1462,$F$2:$F$1462,"Served"))</f>
        <v>0.000647095215908011</v>
      </c>
      <c r="I249" s="4" t="n">
        <f aca="false">IF(G249="","",RANK(G249,$G$2:$G$1462,0))</f>
        <v>248</v>
      </c>
      <c r="J249" s="4" t="s">
        <v>34</v>
      </c>
    </row>
    <row r="250" customFormat="false" ht="15" hidden="false" customHeight="false" outlineLevel="0" collapsed="false">
      <c r="A250" s="4" t="s">
        <v>575</v>
      </c>
      <c r="B250" s="4" t="s">
        <v>204</v>
      </c>
      <c r="C250" s="4" t="s">
        <v>212</v>
      </c>
      <c r="D250" s="7" t="s">
        <v>576</v>
      </c>
      <c r="E250" s="4" t="s">
        <v>207</v>
      </c>
      <c r="F250" s="4" t="s">
        <v>4</v>
      </c>
      <c r="G250" s="8" t="n">
        <v>6268.63046258688</v>
      </c>
      <c r="H250" s="6" t="n">
        <f aca="false">IF(G250="","",G250/SUMIFS($G$2:$G$1462,$F$2:$F$1462,"Served"))</f>
        <v>0.000646168807273149</v>
      </c>
      <c r="I250" s="4" t="n">
        <f aca="false">IF(G250="","",RANK(G250,$G$2:$G$1462,0))</f>
        <v>249</v>
      </c>
      <c r="J250" s="4" t="s">
        <v>34</v>
      </c>
    </row>
    <row r="251" customFormat="false" ht="15" hidden="false" customHeight="false" outlineLevel="0" collapsed="false">
      <c r="A251" s="4" t="s">
        <v>577</v>
      </c>
      <c r="B251" s="4" t="s">
        <v>72</v>
      </c>
      <c r="C251" s="4" t="s">
        <v>73</v>
      </c>
      <c r="D251" s="7" t="s">
        <v>578</v>
      </c>
      <c r="E251" s="4" t="s">
        <v>75</v>
      </c>
      <c r="F251" s="4" t="s">
        <v>4</v>
      </c>
      <c r="G251" s="8" t="n">
        <v>6246.76437005401</v>
      </c>
      <c r="H251" s="6" t="n">
        <f aca="false">IF(G251="","",G251/SUMIFS($G$2:$G$1462,$F$2:$F$1462,"Served"))</f>
        <v>0.000643914856108534</v>
      </c>
      <c r="I251" s="4" t="n">
        <f aca="false">IF(G251="","",RANK(G251,$G$2:$G$1462,0))</f>
        <v>250</v>
      </c>
      <c r="J251" s="4" t="s">
        <v>34</v>
      </c>
    </row>
    <row r="252" customFormat="false" ht="15" hidden="false" customHeight="false" outlineLevel="0" collapsed="false">
      <c r="A252" s="4" t="s">
        <v>579</v>
      </c>
      <c r="B252" s="4" t="s">
        <v>171</v>
      </c>
      <c r="C252" s="4" t="s">
        <v>192</v>
      </c>
      <c r="D252" s="7" t="s">
        <v>580</v>
      </c>
      <c r="E252" s="4" t="s">
        <v>33</v>
      </c>
      <c r="F252" s="4" t="s">
        <v>4</v>
      </c>
      <c r="G252" s="8" t="n">
        <v>6237.01839363575</v>
      </c>
      <c r="H252" s="6" t="n">
        <f aca="false">IF(G252="","",G252/SUMIFS($G$2:$G$1462,$F$2:$F$1462,"Served"))</f>
        <v>0.000642910243379249</v>
      </c>
      <c r="I252" s="4" t="n">
        <f aca="false">IF(G252="","",RANK(G252,$G$2:$G$1462,0))</f>
        <v>251</v>
      </c>
      <c r="J252" s="4" t="s">
        <v>34</v>
      </c>
    </row>
    <row r="253" customFormat="false" ht="15" hidden="false" customHeight="false" outlineLevel="0" collapsed="false">
      <c r="A253" s="4" t="s">
        <v>581</v>
      </c>
      <c r="B253" s="4" t="s">
        <v>72</v>
      </c>
      <c r="C253" s="4" t="s">
        <v>73</v>
      </c>
      <c r="D253" s="7" t="s">
        <v>582</v>
      </c>
      <c r="E253" s="4" t="s">
        <v>75</v>
      </c>
      <c r="F253" s="4" t="s">
        <v>4</v>
      </c>
      <c r="G253" s="8" t="n">
        <v>6227.14514124394</v>
      </c>
      <c r="H253" s="6" t="n">
        <f aca="false">IF(G253="","",G253/SUMIFS($G$2:$G$1462,$F$2:$F$1462,"Served"))</f>
        <v>0.000641892511075518</v>
      </c>
      <c r="I253" s="4" t="n">
        <f aca="false">IF(G253="","",RANK(G253,$G$2:$G$1462,0))</f>
        <v>252</v>
      </c>
      <c r="J253" s="4" t="s">
        <v>34</v>
      </c>
    </row>
    <row r="254" customFormat="false" ht="15" hidden="false" customHeight="false" outlineLevel="0" collapsed="false">
      <c r="A254" s="4" t="s">
        <v>583</v>
      </c>
      <c r="B254" s="4" t="s">
        <v>171</v>
      </c>
      <c r="C254" s="4" t="s">
        <v>584</v>
      </c>
      <c r="D254" s="7" t="s">
        <v>585</v>
      </c>
      <c r="E254" s="4" t="s">
        <v>33</v>
      </c>
      <c r="F254" s="4" t="s">
        <v>4</v>
      </c>
      <c r="G254" s="8" t="n">
        <v>6214.37046056986</v>
      </c>
      <c r="H254" s="6" t="n">
        <f aca="false">IF(G254="","",G254/SUMIFS($G$2:$G$1462,$F$2:$F$1462,"Served"))</f>
        <v>0.000640575700294642</v>
      </c>
      <c r="I254" s="4" t="n">
        <f aca="false">IF(G254="","",RANK(G254,$G$2:$G$1462,0))</f>
        <v>253</v>
      </c>
      <c r="J254" s="4" t="s">
        <v>34</v>
      </c>
    </row>
    <row r="255" customFormat="false" ht="15" hidden="false" customHeight="false" outlineLevel="0" collapsed="false">
      <c r="A255" s="4" t="s">
        <v>586</v>
      </c>
      <c r="B255" s="4" t="s">
        <v>72</v>
      </c>
      <c r="C255" s="4" t="s">
        <v>73</v>
      </c>
      <c r="D255" s="7" t="s">
        <v>587</v>
      </c>
      <c r="E255" s="4" t="s">
        <v>75</v>
      </c>
      <c r="F255" s="4" t="s">
        <v>4</v>
      </c>
      <c r="G255" s="8" t="n">
        <v>6194.96951687336</v>
      </c>
      <c r="H255" s="6" t="n">
        <f aca="false">IF(G255="","",G255/SUMIFS($G$2:$G$1462,$F$2:$F$1462,"Served"))</f>
        <v>0.000638575856034694</v>
      </c>
      <c r="I255" s="4" t="n">
        <f aca="false">IF(G255="","",RANK(G255,$G$2:$G$1462,0))</f>
        <v>254</v>
      </c>
      <c r="J255" s="4" t="s">
        <v>34</v>
      </c>
    </row>
    <row r="256" customFormat="false" ht="15" hidden="false" customHeight="false" outlineLevel="0" collapsed="false">
      <c r="A256" s="4" t="s">
        <v>588</v>
      </c>
      <c r="B256" s="4" t="s">
        <v>43</v>
      </c>
      <c r="C256" s="4" t="s">
        <v>44</v>
      </c>
      <c r="D256" s="7" t="s">
        <v>589</v>
      </c>
      <c r="E256" s="4" t="s">
        <v>46</v>
      </c>
      <c r="F256" s="4" t="s">
        <v>4</v>
      </c>
      <c r="G256" s="8" t="n">
        <v>6134.13783717156</v>
      </c>
      <c r="H256" s="6" t="n">
        <f aca="false">IF(G256="","",G256/SUMIFS($G$2:$G$1462,$F$2:$F$1462,"Served"))</f>
        <v>0.000632305342219605</v>
      </c>
      <c r="I256" s="4" t="n">
        <f aca="false">IF(G256="","",RANK(G256,$G$2:$G$1462,0))</f>
        <v>255</v>
      </c>
      <c r="J256" s="4" t="s">
        <v>34</v>
      </c>
    </row>
    <row r="257" customFormat="false" ht="15" hidden="false" customHeight="false" outlineLevel="0" collapsed="false">
      <c r="A257" s="4" t="s">
        <v>590</v>
      </c>
      <c r="B257" s="4" t="s">
        <v>171</v>
      </c>
      <c r="C257" s="4" t="s">
        <v>591</v>
      </c>
      <c r="D257" s="7" t="s">
        <v>592</v>
      </c>
      <c r="E257" s="4" t="s">
        <v>33</v>
      </c>
      <c r="F257" s="4" t="s">
        <v>4</v>
      </c>
      <c r="G257" s="8" t="n">
        <v>6107.70571559668</v>
      </c>
      <c r="H257" s="6" t="n">
        <f aca="false">IF(G257="","",G257/SUMIFS($G$2:$G$1462,$F$2:$F$1462,"Served"))</f>
        <v>0.000629580725961927</v>
      </c>
      <c r="I257" s="4" t="n">
        <f aca="false">IF(G257="","",RANK(G257,$G$2:$G$1462,0))</f>
        <v>256</v>
      </c>
      <c r="J257" s="4" t="s">
        <v>34</v>
      </c>
    </row>
    <row r="258" customFormat="false" ht="15" hidden="false" customHeight="false" outlineLevel="0" collapsed="false">
      <c r="A258" s="4" t="s">
        <v>593</v>
      </c>
      <c r="B258" s="4" t="s">
        <v>72</v>
      </c>
      <c r="C258" s="4" t="s">
        <v>73</v>
      </c>
      <c r="D258" s="7" t="s">
        <v>594</v>
      </c>
      <c r="E258" s="4" t="s">
        <v>75</v>
      </c>
      <c r="F258" s="4" t="s">
        <v>4</v>
      </c>
      <c r="G258" s="8" t="n">
        <v>6107.6995177865</v>
      </c>
      <c r="H258" s="6" t="n">
        <f aca="false">IF(G258="","",G258/SUMIFS($G$2:$G$1462,$F$2:$F$1462,"Served"))</f>
        <v>0.000629580087093257</v>
      </c>
      <c r="I258" s="4" t="n">
        <f aca="false">IF(G258="","",RANK(G258,$G$2:$G$1462,0))</f>
        <v>257</v>
      </c>
      <c r="J258" s="4" t="s">
        <v>34</v>
      </c>
    </row>
    <row r="259" customFormat="false" ht="15" hidden="false" customHeight="false" outlineLevel="0" collapsed="false">
      <c r="A259" s="4" t="s">
        <v>595</v>
      </c>
      <c r="B259" s="4" t="s">
        <v>204</v>
      </c>
      <c r="C259" s="4" t="s">
        <v>212</v>
      </c>
      <c r="D259" s="7" t="s">
        <v>596</v>
      </c>
      <c r="E259" s="4" t="s">
        <v>207</v>
      </c>
      <c r="F259" s="4" t="s">
        <v>4</v>
      </c>
      <c r="G259" s="8" t="n">
        <v>6101.10066175461</v>
      </c>
      <c r="H259" s="6" t="n">
        <f aca="false">IF(G259="","",G259/SUMIFS($G$2:$G$1462,$F$2:$F$1462,"Served"))</f>
        <v>0.000628899878719682</v>
      </c>
      <c r="I259" s="4" t="n">
        <f aca="false">IF(G259="","",RANK(G259,$G$2:$G$1462,0))</f>
        <v>258</v>
      </c>
      <c r="J259" s="4" t="s">
        <v>34</v>
      </c>
    </row>
    <row r="260" customFormat="false" ht="15" hidden="false" customHeight="false" outlineLevel="0" collapsed="false">
      <c r="A260" s="4" t="s">
        <v>597</v>
      </c>
      <c r="B260" s="4" t="s">
        <v>30</v>
      </c>
      <c r="C260" s="4" t="s">
        <v>109</v>
      </c>
      <c r="D260" s="7" t="s">
        <v>598</v>
      </c>
      <c r="E260" s="4" t="s">
        <v>33</v>
      </c>
      <c r="F260" s="4" t="s">
        <v>4</v>
      </c>
      <c r="G260" s="8" t="n">
        <v>6045.46472984552</v>
      </c>
      <c r="H260" s="6" t="n">
        <f aca="false">IF(G260="","",G260/SUMIFS($G$2:$G$1462,$F$2:$F$1462,"Served"))</f>
        <v>0.00062316494124366</v>
      </c>
      <c r="I260" s="4" t="n">
        <f aca="false">IF(G260="","",RANK(G260,$G$2:$G$1462,0))</f>
        <v>259</v>
      </c>
      <c r="J260" s="4" t="s">
        <v>34</v>
      </c>
    </row>
    <row r="261" customFormat="false" ht="15" hidden="false" customHeight="false" outlineLevel="0" collapsed="false">
      <c r="A261" s="4" t="s">
        <v>599</v>
      </c>
      <c r="B261" s="4" t="s">
        <v>30</v>
      </c>
      <c r="C261" s="4" t="s">
        <v>348</v>
      </c>
      <c r="D261" s="7" t="s">
        <v>600</v>
      </c>
      <c r="E261" s="4" t="s">
        <v>33</v>
      </c>
      <c r="F261" s="4" t="s">
        <v>4</v>
      </c>
      <c r="G261" s="8" t="n">
        <v>5999.84090971947</v>
      </c>
      <c r="H261" s="6" t="n">
        <f aca="false">IF(G261="","",G261/SUMIFS($G$2:$G$1462,$F$2:$F$1462,"Served"))</f>
        <v>0.000618462049661512</v>
      </c>
      <c r="I261" s="4" t="n">
        <f aca="false">IF(G261="","",RANK(G261,$G$2:$G$1462,0))</f>
        <v>260</v>
      </c>
      <c r="J261" s="4" t="s">
        <v>34</v>
      </c>
    </row>
    <row r="262" customFormat="false" ht="15" hidden="false" customHeight="false" outlineLevel="0" collapsed="false">
      <c r="A262" s="4" t="s">
        <v>601</v>
      </c>
      <c r="B262" s="4" t="s">
        <v>321</v>
      </c>
      <c r="C262" s="4" t="s">
        <v>322</v>
      </c>
      <c r="D262" s="7" t="s">
        <v>602</v>
      </c>
      <c r="E262" s="4" t="s">
        <v>324</v>
      </c>
      <c r="F262" s="4" t="s">
        <v>4</v>
      </c>
      <c r="G262" s="8" t="n">
        <v>5957.72830682993</v>
      </c>
      <c r="H262" s="6" t="n">
        <f aca="false">IF(G262="","",G262/SUMIFS($G$2:$G$1462,$F$2:$F$1462,"Served"))</f>
        <v>0.000614121093444247</v>
      </c>
      <c r="I262" s="4" t="n">
        <f aca="false">IF(G262="","",RANK(G262,$G$2:$G$1462,0))</f>
        <v>261</v>
      </c>
      <c r="J262" s="4" t="s">
        <v>34</v>
      </c>
    </row>
    <row r="263" customFormat="false" ht="15" hidden="false" customHeight="false" outlineLevel="0" collapsed="false">
      <c r="A263" s="4" t="s">
        <v>603</v>
      </c>
      <c r="B263" s="4" t="s">
        <v>61</v>
      </c>
      <c r="C263" s="4" t="s">
        <v>62</v>
      </c>
      <c r="D263" s="7" t="s">
        <v>604</v>
      </c>
      <c r="E263" s="4" t="s">
        <v>64</v>
      </c>
      <c r="F263" s="4" t="s">
        <v>4</v>
      </c>
      <c r="G263" s="8" t="n">
        <v>5927.55619180203</v>
      </c>
      <c r="H263" s="6" t="n">
        <f aca="false">IF(G263="","",G263/SUMIFS($G$2:$G$1462,$F$2:$F$1462,"Served"))</f>
        <v>0.00061101095962844</v>
      </c>
      <c r="I263" s="4" t="n">
        <f aca="false">IF(G263="","",RANK(G263,$G$2:$G$1462,0))</f>
        <v>262</v>
      </c>
      <c r="J263" s="4" t="s">
        <v>34</v>
      </c>
    </row>
    <row r="264" customFormat="false" ht="15" hidden="false" customHeight="false" outlineLevel="0" collapsed="false">
      <c r="A264" s="4" t="s">
        <v>605</v>
      </c>
      <c r="B264" s="4" t="s">
        <v>43</v>
      </c>
      <c r="C264" s="4" t="s">
        <v>44</v>
      </c>
      <c r="D264" s="7" t="s">
        <v>606</v>
      </c>
      <c r="E264" s="4" t="s">
        <v>46</v>
      </c>
      <c r="F264" s="4" t="s">
        <v>4</v>
      </c>
      <c r="G264" s="8" t="n">
        <v>5901.48637020588</v>
      </c>
      <c r="H264" s="6" t="n">
        <f aca="false">IF(G264="","",G264/SUMIFS($G$2:$G$1462,$F$2:$F$1462,"Served"))</f>
        <v>0.000608323689158895</v>
      </c>
      <c r="I264" s="4" t="n">
        <f aca="false">IF(G264="","",RANK(G264,$G$2:$G$1462,0))</f>
        <v>263</v>
      </c>
      <c r="J264" s="4" t="s">
        <v>34</v>
      </c>
    </row>
    <row r="265" customFormat="false" ht="15" hidden="false" customHeight="false" outlineLevel="0" collapsed="false">
      <c r="A265" s="4" t="s">
        <v>607</v>
      </c>
      <c r="B265" s="4" t="s">
        <v>72</v>
      </c>
      <c r="C265" s="4" t="s">
        <v>73</v>
      </c>
      <c r="D265" s="7" t="s">
        <v>608</v>
      </c>
      <c r="E265" s="4" t="s">
        <v>75</v>
      </c>
      <c r="F265" s="4" t="s">
        <v>4</v>
      </c>
      <c r="G265" s="8" t="n">
        <v>5876.86903274059</v>
      </c>
      <c r="H265" s="6" t="n">
        <f aca="false">IF(G265="","",G265/SUMIFS($G$2:$G$1462,$F$2:$F$1462,"Served"))</f>
        <v>0.000605786140378005</v>
      </c>
      <c r="I265" s="4" t="n">
        <f aca="false">IF(G265="","",RANK(G265,$G$2:$G$1462,0))</f>
        <v>264</v>
      </c>
      <c r="J265" s="4" t="s">
        <v>34</v>
      </c>
    </row>
    <row r="266" customFormat="false" ht="15" hidden="false" customHeight="false" outlineLevel="0" collapsed="false">
      <c r="A266" s="4" t="s">
        <v>609</v>
      </c>
      <c r="B266" s="4" t="s">
        <v>171</v>
      </c>
      <c r="C266" s="4" t="s">
        <v>330</v>
      </c>
      <c r="D266" s="7" t="s">
        <v>610</v>
      </c>
      <c r="E266" s="4" t="s">
        <v>33</v>
      </c>
      <c r="F266" s="4" t="s">
        <v>4</v>
      </c>
      <c r="G266" s="8" t="n">
        <v>5775.52675223351</v>
      </c>
      <c r="H266" s="6" t="n">
        <f aca="false">IF(G266="","",G266/SUMIFS($G$2:$G$1462,$F$2:$F$1462,"Served"))</f>
        <v>0.000595339804306285</v>
      </c>
      <c r="I266" s="4" t="n">
        <f aca="false">IF(G266="","",RANK(G266,$G$2:$G$1462,0))</f>
        <v>265</v>
      </c>
      <c r="J266" s="4" t="s">
        <v>34</v>
      </c>
    </row>
    <row r="267" customFormat="false" ht="15" hidden="false" customHeight="false" outlineLevel="0" collapsed="false">
      <c r="A267" s="4" t="s">
        <v>611</v>
      </c>
      <c r="B267" s="4" t="s">
        <v>43</v>
      </c>
      <c r="C267" s="4" t="s">
        <v>44</v>
      </c>
      <c r="D267" s="7" t="s">
        <v>612</v>
      </c>
      <c r="E267" s="4" t="s">
        <v>46</v>
      </c>
      <c r="F267" s="4" t="s">
        <v>4</v>
      </c>
      <c r="G267" s="8" t="n">
        <v>5768.76187741756</v>
      </c>
      <c r="H267" s="6" t="n">
        <f aca="false">IF(G267="","",G267/SUMIFS($G$2:$G$1462,$F$2:$F$1462,"Served"))</f>
        <v>0.000594642482759376</v>
      </c>
      <c r="I267" s="4" t="n">
        <f aca="false">IF(G267="","",RANK(G267,$G$2:$G$1462,0))</f>
        <v>266</v>
      </c>
      <c r="J267" s="4" t="s">
        <v>34</v>
      </c>
    </row>
    <row r="268" customFormat="false" ht="15" hidden="false" customHeight="false" outlineLevel="0" collapsed="false">
      <c r="A268" s="4" t="s">
        <v>613</v>
      </c>
      <c r="B268" s="4" t="s">
        <v>72</v>
      </c>
      <c r="C268" s="4" t="s">
        <v>73</v>
      </c>
      <c r="D268" s="7" t="s">
        <v>614</v>
      </c>
      <c r="E268" s="4" t="s">
        <v>75</v>
      </c>
      <c r="F268" s="4" t="s">
        <v>4</v>
      </c>
      <c r="G268" s="8" t="n">
        <v>5747.74289122224</v>
      </c>
      <c r="H268" s="6" t="n">
        <f aca="false">IF(G268="","",G268/SUMIFS($G$2:$G$1462,$F$2:$F$1462,"Served"))</f>
        <v>0.000592475851097009</v>
      </c>
      <c r="I268" s="4" t="n">
        <f aca="false">IF(G268="","",RANK(G268,$G$2:$G$1462,0))</f>
        <v>267</v>
      </c>
      <c r="J268" s="4" t="s">
        <v>34</v>
      </c>
    </row>
    <row r="269" customFormat="false" ht="15" hidden="false" customHeight="false" outlineLevel="0" collapsed="false">
      <c r="A269" s="4" t="s">
        <v>615</v>
      </c>
      <c r="B269" s="4" t="s">
        <v>43</v>
      </c>
      <c r="C269" s="4" t="s">
        <v>44</v>
      </c>
      <c r="D269" s="7" t="s">
        <v>616</v>
      </c>
      <c r="E269" s="4" t="s">
        <v>46</v>
      </c>
      <c r="F269" s="4" t="s">
        <v>4</v>
      </c>
      <c r="G269" s="8" t="n">
        <v>5744.79133605957</v>
      </c>
      <c r="H269" s="6" t="n">
        <f aca="false">IF(G269="","",G269/SUMIFS($G$2:$G$1462,$F$2:$F$1462,"Served"))</f>
        <v>0.000592171605553992</v>
      </c>
      <c r="I269" s="4" t="n">
        <f aca="false">IF(G269="","",RANK(G269,$G$2:$G$1462,0))</f>
        <v>268</v>
      </c>
      <c r="J269" s="4" t="s">
        <v>34</v>
      </c>
    </row>
    <row r="270" customFormat="false" ht="15" hidden="false" customHeight="false" outlineLevel="0" collapsed="false">
      <c r="A270" s="4" t="s">
        <v>617</v>
      </c>
      <c r="B270" s="4" t="s">
        <v>30</v>
      </c>
      <c r="C270" s="4" t="s">
        <v>467</v>
      </c>
      <c r="D270" s="7" t="s">
        <v>618</v>
      </c>
      <c r="E270" s="4" t="s">
        <v>33</v>
      </c>
      <c r="F270" s="4" t="s">
        <v>4</v>
      </c>
      <c r="G270" s="8" t="n">
        <v>5741.60070410371</v>
      </c>
      <c r="H270" s="6" t="n">
        <f aca="false">IF(G270="","",G270/SUMIFS($G$2:$G$1462,$F$2:$F$1462,"Served"))</f>
        <v>0.000591842716036948</v>
      </c>
      <c r="I270" s="4" t="n">
        <f aca="false">IF(G270="","",RANK(G270,$G$2:$G$1462,0))</f>
        <v>269</v>
      </c>
      <c r="J270" s="4" t="s">
        <v>34</v>
      </c>
    </row>
    <row r="271" customFormat="false" ht="15" hidden="false" customHeight="false" outlineLevel="0" collapsed="false">
      <c r="A271" s="4" t="s">
        <v>619</v>
      </c>
      <c r="B271" s="4" t="s">
        <v>171</v>
      </c>
      <c r="C271" s="4" t="s">
        <v>341</v>
      </c>
      <c r="D271" s="7" t="s">
        <v>620</v>
      </c>
      <c r="E271" s="4" t="s">
        <v>33</v>
      </c>
      <c r="F271" s="4" t="s">
        <v>4</v>
      </c>
      <c r="G271" s="8" t="n">
        <v>5718.61400526762</v>
      </c>
      <c r="H271" s="6" t="n">
        <f aca="false">IF(G271="","",G271/SUMIFS($G$2:$G$1462,$F$2:$F$1462,"Served"))</f>
        <v>0.00058947325306434</v>
      </c>
      <c r="I271" s="4" t="n">
        <f aca="false">IF(G271="","",RANK(G271,$G$2:$G$1462,0))</f>
        <v>270</v>
      </c>
      <c r="J271" s="4" t="s">
        <v>34</v>
      </c>
    </row>
    <row r="272" customFormat="false" ht="15" hidden="false" customHeight="false" outlineLevel="0" collapsed="false">
      <c r="A272" s="4" t="s">
        <v>621</v>
      </c>
      <c r="B272" s="4" t="s">
        <v>171</v>
      </c>
      <c r="C272" s="4" t="s">
        <v>341</v>
      </c>
      <c r="D272" s="7" t="s">
        <v>622</v>
      </c>
      <c r="E272" s="4" t="s">
        <v>33</v>
      </c>
      <c r="F272" s="4" t="s">
        <v>4</v>
      </c>
      <c r="G272" s="8" t="n">
        <v>5689.13477581739</v>
      </c>
      <c r="H272" s="6" t="n">
        <f aca="false">IF(G272="","",G272/SUMIFS($G$2:$G$1462,$F$2:$F$1462,"Served"))</f>
        <v>0.000586434541714728</v>
      </c>
      <c r="I272" s="4" t="n">
        <f aca="false">IF(G272="","",RANK(G272,$G$2:$G$1462,0))</f>
        <v>271</v>
      </c>
      <c r="J272" s="4" t="s">
        <v>34</v>
      </c>
    </row>
    <row r="273" customFormat="false" ht="15" hidden="false" customHeight="false" outlineLevel="0" collapsed="false">
      <c r="A273" s="4" t="s">
        <v>623</v>
      </c>
      <c r="B273" s="4" t="s">
        <v>30</v>
      </c>
      <c r="C273" s="4" t="s">
        <v>31</v>
      </c>
      <c r="D273" s="7" t="s">
        <v>624</v>
      </c>
      <c r="E273" s="4" t="s">
        <v>33</v>
      </c>
      <c r="F273" s="4" t="s">
        <v>4</v>
      </c>
      <c r="G273" s="8" t="n">
        <v>5663.14815169573</v>
      </c>
      <c r="H273" s="6" t="n">
        <f aca="false">IF(G273="","",G273/SUMIFS($G$2:$G$1462,$F$2:$F$1462,"Served"))</f>
        <v>0.00058375584721934</v>
      </c>
      <c r="I273" s="4" t="n">
        <f aca="false">IF(G273="","",RANK(G273,$G$2:$G$1462,0))</f>
        <v>272</v>
      </c>
      <c r="J273" s="4" t="s">
        <v>34</v>
      </c>
    </row>
    <row r="274" customFormat="false" ht="15" hidden="false" customHeight="false" outlineLevel="0" collapsed="false">
      <c r="A274" s="4" t="s">
        <v>625</v>
      </c>
      <c r="B274" s="4" t="s">
        <v>171</v>
      </c>
      <c r="C274" s="4" t="s">
        <v>584</v>
      </c>
      <c r="D274" s="7" t="s">
        <v>626</v>
      </c>
      <c r="E274" s="4" t="s">
        <v>33</v>
      </c>
      <c r="F274" s="4" t="s">
        <v>4</v>
      </c>
      <c r="G274" s="8" t="n">
        <v>5662.40353041887</v>
      </c>
      <c r="H274" s="6" t="n">
        <f aca="false">IF(G274="","",G274/SUMIFS($G$2:$G$1462,$F$2:$F$1462,"Served"))</f>
        <v>0.00058367909185065</v>
      </c>
      <c r="I274" s="4" t="n">
        <f aca="false">IF(G274="","",RANK(G274,$G$2:$G$1462,0))</f>
        <v>273</v>
      </c>
      <c r="J274" s="4" t="s">
        <v>34</v>
      </c>
    </row>
    <row r="275" customFormat="false" ht="15" hidden="false" customHeight="false" outlineLevel="0" collapsed="false">
      <c r="A275" s="4" t="s">
        <v>627</v>
      </c>
      <c r="B275" s="4" t="s">
        <v>321</v>
      </c>
      <c r="C275" s="4" t="s">
        <v>322</v>
      </c>
      <c r="D275" s="7" t="s">
        <v>628</v>
      </c>
      <c r="E275" s="4" t="s">
        <v>324</v>
      </c>
      <c r="F275" s="4" t="s">
        <v>4</v>
      </c>
      <c r="G275" s="8" t="n">
        <v>5627.66078472138</v>
      </c>
      <c r="H275" s="6" t="n">
        <f aca="false">IF(G275="","",G275/SUMIFS($G$2:$G$1462,$F$2:$F$1462,"Served"))</f>
        <v>0.000580097818607199</v>
      </c>
      <c r="I275" s="4" t="n">
        <f aca="false">IF(G275="","",RANK(G275,$G$2:$G$1462,0))</f>
        <v>274</v>
      </c>
      <c r="J275" s="4" t="s">
        <v>34</v>
      </c>
    </row>
    <row r="276" customFormat="false" ht="15" hidden="false" customHeight="false" outlineLevel="0" collapsed="false">
      <c r="A276" s="4" t="s">
        <v>629</v>
      </c>
      <c r="B276" s="4" t="s">
        <v>171</v>
      </c>
      <c r="C276" s="4" t="s">
        <v>330</v>
      </c>
      <c r="D276" s="7" t="s">
        <v>630</v>
      </c>
      <c r="E276" s="4" t="s">
        <v>33</v>
      </c>
      <c r="F276" s="4" t="s">
        <v>4</v>
      </c>
      <c r="G276" s="8" t="n">
        <v>5620.37122887373</v>
      </c>
      <c r="H276" s="6" t="n">
        <f aca="false">IF(G276="","",G276/SUMIFS($G$2:$G$1462,$F$2:$F$1462,"Served"))</f>
        <v>0.000579346413075203</v>
      </c>
      <c r="I276" s="4" t="n">
        <f aca="false">IF(G276="","",RANK(G276,$G$2:$G$1462,0))</f>
        <v>275</v>
      </c>
      <c r="J276" s="4" t="s">
        <v>34</v>
      </c>
    </row>
    <row r="277" customFormat="false" ht="15" hidden="false" customHeight="false" outlineLevel="0" collapsed="false">
      <c r="A277" s="4" t="s">
        <v>631</v>
      </c>
      <c r="B277" s="4" t="s">
        <v>43</v>
      </c>
      <c r="C277" s="4" t="s">
        <v>44</v>
      </c>
      <c r="D277" s="7" t="s">
        <v>632</v>
      </c>
      <c r="E277" s="4" t="s">
        <v>46</v>
      </c>
      <c r="F277" s="4" t="s">
        <v>4</v>
      </c>
      <c r="G277" s="8" t="n">
        <v>5525.45076304674</v>
      </c>
      <c r="H277" s="6" t="n">
        <f aca="false">IF(G277="","",G277/SUMIFS($G$2:$G$1462,$F$2:$F$1462,"Served"))</f>
        <v>0.00056956203600029</v>
      </c>
      <c r="I277" s="4" t="n">
        <f aca="false">IF(G277="","",RANK(G277,$G$2:$G$1462,0))</f>
        <v>276</v>
      </c>
      <c r="J277" s="4" t="s">
        <v>34</v>
      </c>
    </row>
    <row r="278" customFormat="false" ht="15" hidden="false" customHeight="false" outlineLevel="0" collapsed="false">
      <c r="A278" s="4" t="s">
        <v>633</v>
      </c>
      <c r="B278" s="4" t="s">
        <v>43</v>
      </c>
      <c r="C278" s="4" t="s">
        <v>44</v>
      </c>
      <c r="D278" s="7" t="s">
        <v>634</v>
      </c>
      <c r="E278" s="4" t="s">
        <v>46</v>
      </c>
      <c r="F278" s="4" t="s">
        <v>4</v>
      </c>
      <c r="G278" s="8" t="n">
        <v>5500.12657678127</v>
      </c>
      <c r="H278" s="6" t="n">
        <f aca="false">IF(G278="","",G278/SUMIFS($G$2:$G$1462,$F$2:$F$1462,"Served"))</f>
        <v>0.00056695162542784</v>
      </c>
      <c r="I278" s="4" t="n">
        <f aca="false">IF(G278="","",RANK(G278,$G$2:$G$1462,0))</f>
        <v>277</v>
      </c>
      <c r="J278" s="4" t="s">
        <v>34</v>
      </c>
    </row>
    <row r="279" customFormat="false" ht="15" hidden="false" customHeight="false" outlineLevel="0" collapsed="false">
      <c r="A279" s="4" t="s">
        <v>635</v>
      </c>
      <c r="B279" s="4" t="s">
        <v>43</v>
      </c>
      <c r="C279" s="4" t="s">
        <v>44</v>
      </c>
      <c r="D279" s="7" t="s">
        <v>636</v>
      </c>
      <c r="E279" s="4" t="s">
        <v>46</v>
      </c>
      <c r="F279" s="4" t="s">
        <v>4</v>
      </c>
      <c r="G279" s="8" t="n">
        <v>5479.76732358336</v>
      </c>
      <c r="H279" s="6" t="n">
        <f aca="false">IF(G279="","",G279/SUMIFS($G$2:$G$1462,$F$2:$F$1462,"Served"))</f>
        <v>0.000564852998872266</v>
      </c>
      <c r="I279" s="4" t="n">
        <f aca="false">IF(G279="","",RANK(G279,$G$2:$G$1462,0))</f>
        <v>278</v>
      </c>
      <c r="J279" s="4" t="s">
        <v>34</v>
      </c>
    </row>
    <row r="280" customFormat="false" ht="15" hidden="false" customHeight="false" outlineLevel="0" collapsed="false">
      <c r="A280" s="4" t="s">
        <v>637</v>
      </c>
      <c r="B280" s="4" t="s">
        <v>204</v>
      </c>
      <c r="C280" s="4" t="s">
        <v>212</v>
      </c>
      <c r="D280" s="7" t="s">
        <v>638</v>
      </c>
      <c r="E280" s="4" t="s">
        <v>207</v>
      </c>
      <c r="F280" s="4" t="s">
        <v>4</v>
      </c>
      <c r="G280" s="8" t="n">
        <v>5477.04766494036</v>
      </c>
      <c r="H280" s="6" t="n">
        <f aca="false">IF(G280="","",G280/SUMIFS($G$2:$G$1462,$F$2:$F$1462,"Served"))</f>
        <v>0.000564572657162537</v>
      </c>
      <c r="I280" s="4" t="n">
        <f aca="false">IF(G280="","",RANK(G280,$G$2:$G$1462,0))</f>
        <v>279</v>
      </c>
      <c r="J280" s="4" t="s">
        <v>34</v>
      </c>
    </row>
    <row r="281" customFormat="false" ht="15" hidden="false" customHeight="false" outlineLevel="0" collapsed="false">
      <c r="A281" s="4" t="s">
        <v>639</v>
      </c>
      <c r="B281" s="4" t="s">
        <v>204</v>
      </c>
      <c r="C281" s="4" t="s">
        <v>212</v>
      </c>
      <c r="D281" s="7" t="s">
        <v>640</v>
      </c>
      <c r="E281" s="4" t="s">
        <v>207</v>
      </c>
      <c r="F281" s="4" t="s">
        <v>4</v>
      </c>
      <c r="G281" s="8" t="n">
        <v>5430.05912131071</v>
      </c>
      <c r="H281" s="6" t="n">
        <f aca="false">IF(G281="","",G281/SUMIFS($G$2:$G$1462,$F$2:$F$1462,"Served"))</f>
        <v>0.0005597290902345</v>
      </c>
      <c r="I281" s="4" t="n">
        <f aca="false">IF(G281="","",RANK(G281,$G$2:$G$1462,0))</f>
        <v>280</v>
      </c>
      <c r="J281" s="4" t="s">
        <v>34</v>
      </c>
    </row>
    <row r="282" customFormat="false" ht="15" hidden="false" customHeight="false" outlineLevel="0" collapsed="false">
      <c r="A282" s="4" t="s">
        <v>641</v>
      </c>
      <c r="B282" s="4" t="s">
        <v>204</v>
      </c>
      <c r="C282" s="4" t="s">
        <v>212</v>
      </c>
      <c r="D282" s="7" t="s">
        <v>642</v>
      </c>
      <c r="E282" s="4" t="s">
        <v>207</v>
      </c>
      <c r="F282" s="4" t="s">
        <v>4</v>
      </c>
      <c r="G282" s="8" t="n">
        <v>5402.46102482081</v>
      </c>
      <c r="H282" s="6" t="n">
        <f aca="false">IF(G282="","",G282/SUMIFS($G$2:$G$1462,$F$2:$F$1462,"Served"))</f>
        <v>0.000556884285584054</v>
      </c>
      <c r="I282" s="4" t="n">
        <f aca="false">IF(G282="","",RANK(G282,$G$2:$G$1462,0))</f>
        <v>281</v>
      </c>
      <c r="J282" s="4" t="s">
        <v>34</v>
      </c>
    </row>
    <row r="283" customFormat="false" ht="15" hidden="false" customHeight="false" outlineLevel="0" collapsed="false">
      <c r="A283" s="4" t="s">
        <v>643</v>
      </c>
      <c r="B283" s="4" t="s">
        <v>30</v>
      </c>
      <c r="C283" s="4" t="s">
        <v>246</v>
      </c>
      <c r="D283" s="7" t="s">
        <v>644</v>
      </c>
      <c r="E283" s="4" t="s">
        <v>33</v>
      </c>
      <c r="F283" s="4" t="s">
        <v>4</v>
      </c>
      <c r="G283" s="8" t="n">
        <v>5399.98319762945</v>
      </c>
      <c r="H283" s="6" t="n">
        <f aca="false">IF(G283="","",G283/SUMIFS($G$2:$G$1462,$F$2:$F$1462,"Served"))</f>
        <v>0.000556628871797834</v>
      </c>
      <c r="I283" s="4" t="n">
        <f aca="false">IF(G283="","",RANK(G283,$G$2:$G$1462,0))</f>
        <v>282</v>
      </c>
      <c r="J283" s="4" t="s">
        <v>34</v>
      </c>
    </row>
    <row r="284" customFormat="false" ht="15" hidden="false" customHeight="false" outlineLevel="0" collapsed="false">
      <c r="A284" s="4" t="s">
        <v>645</v>
      </c>
      <c r="B284" s="4" t="s">
        <v>171</v>
      </c>
      <c r="C284" s="4" t="s">
        <v>256</v>
      </c>
      <c r="D284" s="7" t="s">
        <v>646</v>
      </c>
      <c r="E284" s="4" t="s">
        <v>33</v>
      </c>
      <c r="F284" s="4" t="s">
        <v>4</v>
      </c>
      <c r="G284" s="8" t="n">
        <v>5377.9296335578</v>
      </c>
      <c r="H284" s="6" t="n">
        <f aca="false">IF(G284="","",G284/SUMIFS($G$2:$G$1462,$F$2:$F$1462,"Served"))</f>
        <v>0.000554355596115473</v>
      </c>
      <c r="I284" s="4" t="n">
        <f aca="false">IF(G284="","",RANK(G284,$G$2:$G$1462,0))</f>
        <v>283</v>
      </c>
      <c r="J284" s="4" t="s">
        <v>34</v>
      </c>
    </row>
    <row r="285" customFormat="false" ht="15" hidden="false" customHeight="false" outlineLevel="0" collapsed="false">
      <c r="A285" s="4" t="s">
        <v>647</v>
      </c>
      <c r="B285" s="4" t="s">
        <v>321</v>
      </c>
      <c r="C285" s="4" t="s">
        <v>322</v>
      </c>
      <c r="D285" s="7" t="s">
        <v>648</v>
      </c>
      <c r="E285" s="4" t="s">
        <v>324</v>
      </c>
      <c r="F285" s="4" t="s">
        <v>4</v>
      </c>
      <c r="G285" s="8" t="n">
        <v>5359.87521353364</v>
      </c>
      <c r="H285" s="6" t="n">
        <f aca="false">IF(G285="","",G285/SUMIFS($G$2:$G$1462,$F$2:$F$1462,"Served"))</f>
        <v>0.000552494551167515</v>
      </c>
      <c r="I285" s="4" t="n">
        <f aca="false">IF(G285="","",RANK(G285,$G$2:$G$1462,0))</f>
        <v>284</v>
      </c>
      <c r="J285" s="4" t="s">
        <v>34</v>
      </c>
    </row>
    <row r="286" customFormat="false" ht="15" hidden="false" customHeight="false" outlineLevel="0" collapsed="false">
      <c r="A286" s="4" t="s">
        <v>649</v>
      </c>
      <c r="B286" s="4" t="s">
        <v>30</v>
      </c>
      <c r="C286" s="4" t="s">
        <v>94</v>
      </c>
      <c r="D286" s="7" t="s">
        <v>650</v>
      </c>
      <c r="E286" s="4" t="s">
        <v>33</v>
      </c>
      <c r="F286" s="4" t="s">
        <v>4</v>
      </c>
      <c r="G286" s="8" t="n">
        <v>5300.0425453186</v>
      </c>
      <c r="H286" s="6" t="n">
        <f aca="false">IF(G286="","",G286/SUMIFS($G$2:$G$1462,$F$2:$F$1462,"Served"))</f>
        <v>0.000546327015198179</v>
      </c>
      <c r="I286" s="4" t="n">
        <f aca="false">IF(G286="","",RANK(G286,$G$2:$G$1462,0))</f>
        <v>285</v>
      </c>
      <c r="J286" s="4" t="s">
        <v>34</v>
      </c>
    </row>
    <row r="287" customFormat="false" ht="15" hidden="false" customHeight="false" outlineLevel="0" collapsed="false">
      <c r="A287" s="4" t="s">
        <v>651</v>
      </c>
      <c r="B287" s="4" t="s">
        <v>30</v>
      </c>
      <c r="C287" s="4" t="s">
        <v>316</v>
      </c>
      <c r="D287" s="7" t="s">
        <v>652</v>
      </c>
      <c r="E287" s="4" t="s">
        <v>33</v>
      </c>
      <c r="F287" s="4" t="s">
        <v>4</v>
      </c>
      <c r="G287" s="8" t="n">
        <v>5292.55931848288</v>
      </c>
      <c r="H287" s="6" t="n">
        <f aca="false">IF(G287="","",G287/SUMIFS($G$2:$G$1462,$F$2:$F$1462,"Served"))</f>
        <v>0.000545555646110807</v>
      </c>
      <c r="I287" s="4" t="n">
        <f aca="false">IF(G287="","",RANK(G287,$G$2:$G$1462,0))</f>
        <v>286</v>
      </c>
      <c r="J287" s="4" t="s">
        <v>34</v>
      </c>
    </row>
    <row r="288" customFormat="false" ht="15" hidden="false" customHeight="false" outlineLevel="0" collapsed="false">
      <c r="A288" s="4" t="s">
        <v>653</v>
      </c>
      <c r="B288" s="4" t="s">
        <v>204</v>
      </c>
      <c r="C288" s="4" t="s">
        <v>212</v>
      </c>
      <c r="D288" s="7" t="s">
        <v>654</v>
      </c>
      <c r="E288" s="4" t="s">
        <v>207</v>
      </c>
      <c r="F288" s="4" t="s">
        <v>4</v>
      </c>
      <c r="G288" s="8" t="n">
        <v>5247.3082216382</v>
      </c>
      <c r="H288" s="6" t="n">
        <f aca="false">IF(G288="","",G288/SUMIFS($G$2:$G$1462,$F$2:$F$1462,"Served"))</f>
        <v>0.000540891174748132</v>
      </c>
      <c r="I288" s="4" t="n">
        <f aca="false">IF(G288="","",RANK(G288,$G$2:$G$1462,0))</f>
        <v>287</v>
      </c>
      <c r="J288" s="4" t="s">
        <v>34</v>
      </c>
    </row>
    <row r="289" customFormat="false" ht="15" hidden="false" customHeight="false" outlineLevel="0" collapsed="false">
      <c r="A289" s="4" t="s">
        <v>655</v>
      </c>
      <c r="B289" s="4" t="s">
        <v>321</v>
      </c>
      <c r="C289" s="4" t="s">
        <v>322</v>
      </c>
      <c r="D289" s="7" t="s">
        <v>656</v>
      </c>
      <c r="E289" s="4" t="s">
        <v>324</v>
      </c>
      <c r="F289" s="4" t="s">
        <v>4</v>
      </c>
      <c r="G289" s="8" t="n">
        <v>5216.34461420775</v>
      </c>
      <c r="H289" s="6" t="n">
        <f aca="false">IF(G289="","",G289/SUMIFS($G$2:$G$1462,$F$2:$F$1462,"Served"))</f>
        <v>0.000537699454100118</v>
      </c>
      <c r="I289" s="4" t="n">
        <f aca="false">IF(G289="","",RANK(G289,$G$2:$G$1462,0))</f>
        <v>288</v>
      </c>
      <c r="J289" s="4" t="s">
        <v>34</v>
      </c>
    </row>
    <row r="290" customFormat="false" ht="15" hidden="false" customHeight="false" outlineLevel="0" collapsed="false">
      <c r="A290" s="4" t="s">
        <v>657</v>
      </c>
      <c r="B290" s="4" t="s">
        <v>43</v>
      </c>
      <c r="C290" s="4" t="s">
        <v>44</v>
      </c>
      <c r="D290" s="7" t="s">
        <v>658</v>
      </c>
      <c r="E290" s="4" t="s">
        <v>46</v>
      </c>
      <c r="F290" s="4" t="s">
        <v>4</v>
      </c>
      <c r="G290" s="8" t="n">
        <v>5182.18479245901</v>
      </c>
      <c r="H290" s="6" t="n">
        <f aca="false">IF(G290="","",G290/SUMIFS($G$2:$G$1462,$F$2:$F$1462,"Served"))</f>
        <v>0.000534178268506585</v>
      </c>
      <c r="I290" s="4" t="n">
        <f aca="false">IF(G290="","",RANK(G290,$G$2:$G$1462,0))</f>
        <v>289</v>
      </c>
      <c r="J290" s="4" t="s">
        <v>34</v>
      </c>
    </row>
    <row r="291" customFormat="false" ht="15" hidden="false" customHeight="false" outlineLevel="0" collapsed="false">
      <c r="A291" s="4" t="s">
        <v>659</v>
      </c>
      <c r="B291" s="4" t="s">
        <v>30</v>
      </c>
      <c r="C291" s="4" t="s">
        <v>316</v>
      </c>
      <c r="D291" s="7" t="s">
        <v>660</v>
      </c>
      <c r="E291" s="4" t="s">
        <v>33</v>
      </c>
      <c r="F291" s="4" t="s">
        <v>4</v>
      </c>
      <c r="G291" s="8" t="n">
        <v>5178.2694838047</v>
      </c>
      <c r="H291" s="6" t="n">
        <f aca="false">IF(G291="","",G291/SUMIFS($G$2:$G$1462,$F$2:$F$1462,"Served"))</f>
        <v>0.000533774679502837</v>
      </c>
      <c r="I291" s="4" t="n">
        <f aca="false">IF(G291="","",RANK(G291,$G$2:$G$1462,0))</f>
        <v>290</v>
      </c>
      <c r="J291" s="4" t="s">
        <v>34</v>
      </c>
    </row>
    <row r="292" customFormat="false" ht="15" hidden="false" customHeight="false" outlineLevel="0" collapsed="false">
      <c r="A292" s="4" t="s">
        <v>661</v>
      </c>
      <c r="B292" s="4" t="s">
        <v>43</v>
      </c>
      <c r="C292" s="4" t="s">
        <v>44</v>
      </c>
      <c r="D292" s="7" t="s">
        <v>662</v>
      </c>
      <c r="E292" s="4" t="s">
        <v>46</v>
      </c>
      <c r="F292" s="4" t="s">
        <v>4</v>
      </c>
      <c r="G292" s="8" t="n">
        <v>5176.19356840849</v>
      </c>
      <c r="H292" s="6" t="n">
        <f aca="false">IF(G292="","",G292/SUMIFS($G$2:$G$1462,$F$2:$F$1462,"Served"))</f>
        <v>0.000533560694680541</v>
      </c>
      <c r="I292" s="4" t="n">
        <f aca="false">IF(G292="","",RANK(G292,$G$2:$G$1462,0))</f>
        <v>291</v>
      </c>
      <c r="J292" s="4" t="s">
        <v>34</v>
      </c>
    </row>
    <row r="293" customFormat="false" ht="15" hidden="false" customHeight="false" outlineLevel="0" collapsed="false">
      <c r="A293" s="4" t="s">
        <v>663</v>
      </c>
      <c r="B293" s="4" t="s">
        <v>30</v>
      </c>
      <c r="C293" s="4" t="s">
        <v>31</v>
      </c>
      <c r="D293" s="7" t="s">
        <v>664</v>
      </c>
      <c r="E293" s="4" t="s">
        <v>33</v>
      </c>
      <c r="F293" s="4" t="s">
        <v>4</v>
      </c>
      <c r="G293" s="8" t="n">
        <v>5165.52545368671</v>
      </c>
      <c r="H293" s="6" t="n">
        <f aca="false">IF(G293="","",G293/SUMIFS($G$2:$G$1462,$F$2:$F$1462,"Served"))</f>
        <v>0.000532461028173357</v>
      </c>
      <c r="I293" s="4" t="n">
        <f aca="false">IF(G293="","",RANK(G293,$G$2:$G$1462,0))</f>
        <v>292</v>
      </c>
      <c r="J293" s="4" t="s">
        <v>34</v>
      </c>
    </row>
    <row r="294" customFormat="false" ht="15" hidden="false" customHeight="false" outlineLevel="0" collapsed="false">
      <c r="A294" s="4" t="s">
        <v>665</v>
      </c>
      <c r="B294" s="4" t="s">
        <v>30</v>
      </c>
      <c r="C294" s="4" t="s">
        <v>109</v>
      </c>
      <c r="D294" s="7" t="s">
        <v>666</v>
      </c>
      <c r="E294" s="4" t="s">
        <v>33</v>
      </c>
      <c r="F294" s="4" t="s">
        <v>4</v>
      </c>
      <c r="G294" s="8" t="n">
        <v>5093.98277544975</v>
      </c>
      <c r="H294" s="6" t="n">
        <f aca="false">IF(G294="","",G294/SUMIFS($G$2:$G$1462,$F$2:$F$1462,"Served"))</f>
        <v>0.000525086427398688</v>
      </c>
      <c r="I294" s="4" t="n">
        <f aca="false">IF(G294="","",RANK(G294,$G$2:$G$1462,0))</f>
        <v>293</v>
      </c>
      <c r="J294" s="4" t="s">
        <v>34</v>
      </c>
    </row>
    <row r="295" customFormat="false" ht="15" hidden="false" customHeight="false" outlineLevel="0" collapsed="false">
      <c r="A295" s="4" t="s">
        <v>667</v>
      </c>
      <c r="B295" s="4" t="s">
        <v>171</v>
      </c>
      <c r="C295" s="4" t="s">
        <v>256</v>
      </c>
      <c r="D295" s="7" t="s">
        <v>668</v>
      </c>
      <c r="E295" s="4" t="s">
        <v>33</v>
      </c>
      <c r="F295" s="4" t="s">
        <v>4</v>
      </c>
      <c r="G295" s="8" t="n">
        <v>5039.27050250769</v>
      </c>
      <c r="H295" s="6" t="n">
        <f aca="false">IF(G295="","",G295/SUMIFS($G$2:$G$1462,$F$2:$F$1462,"Served"))</f>
        <v>0.000519446700450166</v>
      </c>
      <c r="I295" s="4" t="n">
        <f aca="false">IF(G295="","",RANK(G295,$G$2:$G$1462,0))</f>
        <v>294</v>
      </c>
      <c r="J295" s="4" t="s">
        <v>34</v>
      </c>
    </row>
    <row r="296" customFormat="false" ht="15" hidden="false" customHeight="false" outlineLevel="0" collapsed="false">
      <c r="A296" s="4" t="s">
        <v>669</v>
      </c>
      <c r="B296" s="4" t="s">
        <v>30</v>
      </c>
      <c r="C296" s="4" t="s">
        <v>467</v>
      </c>
      <c r="D296" s="7" t="s">
        <v>670</v>
      </c>
      <c r="E296" s="4" t="s">
        <v>33</v>
      </c>
      <c r="F296" s="4" t="s">
        <v>4</v>
      </c>
      <c r="G296" s="8" t="n">
        <v>5029.56763041019</v>
      </c>
      <c r="H296" s="6" t="n">
        <f aca="false">IF(G296="","",G296/SUMIFS($G$2:$G$1462,$F$2:$F$1462,"Served"))</f>
        <v>0.000518446530903121</v>
      </c>
      <c r="I296" s="4" t="n">
        <f aca="false">IF(G296="","",RANK(G296,$G$2:$G$1462,0))</f>
        <v>295</v>
      </c>
      <c r="J296" s="4" t="s">
        <v>34</v>
      </c>
    </row>
    <row r="297" customFormat="false" ht="15" hidden="false" customHeight="false" outlineLevel="0" collapsed="false">
      <c r="A297" s="4" t="s">
        <v>671</v>
      </c>
      <c r="B297" s="4" t="s">
        <v>43</v>
      </c>
      <c r="C297" s="4" t="s">
        <v>44</v>
      </c>
      <c r="D297" s="7" t="s">
        <v>672</v>
      </c>
      <c r="E297" s="4" t="s">
        <v>46</v>
      </c>
      <c r="F297" s="4" t="s">
        <v>4</v>
      </c>
      <c r="G297" s="8" t="n">
        <v>5003.66623580456</v>
      </c>
      <c r="H297" s="6" t="n">
        <f aca="false">IF(G297="","",G297/SUMIFS($G$2:$G$1462,$F$2:$F$1462,"Served"))</f>
        <v>0.000515776621844208</v>
      </c>
      <c r="I297" s="4" t="n">
        <f aca="false">IF(G297="","",RANK(G297,$G$2:$G$1462,0))</f>
        <v>296</v>
      </c>
      <c r="J297" s="4" t="s">
        <v>34</v>
      </c>
    </row>
    <row r="298" customFormat="false" ht="15" hidden="false" customHeight="false" outlineLevel="0" collapsed="false">
      <c r="A298" s="4" t="s">
        <v>673</v>
      </c>
      <c r="B298" s="4" t="s">
        <v>171</v>
      </c>
      <c r="C298" s="4" t="s">
        <v>341</v>
      </c>
      <c r="D298" s="7" t="s">
        <v>674</v>
      </c>
      <c r="E298" s="4" t="s">
        <v>33</v>
      </c>
      <c r="F298" s="4" t="s">
        <v>4</v>
      </c>
      <c r="G298" s="8" t="n">
        <v>4994.25325030088</v>
      </c>
      <c r="H298" s="6" t="n">
        <f aca="false">IF(G298="","",G298/SUMIFS($G$2:$G$1462,$F$2:$F$1462,"Served"))</f>
        <v>0.000514806333732301</v>
      </c>
      <c r="I298" s="4" t="n">
        <f aca="false">IF(G298="","",RANK(G298,$G$2:$G$1462,0))</f>
        <v>297</v>
      </c>
      <c r="J298" s="4" t="s">
        <v>34</v>
      </c>
    </row>
    <row r="299" customFormat="false" ht="15" hidden="false" customHeight="false" outlineLevel="0" collapsed="false">
      <c r="A299" s="4" t="s">
        <v>675</v>
      </c>
      <c r="B299" s="4" t="s">
        <v>171</v>
      </c>
      <c r="C299" s="4" t="s">
        <v>515</v>
      </c>
      <c r="D299" s="7" t="s">
        <v>676</v>
      </c>
      <c r="E299" s="4" t="s">
        <v>33</v>
      </c>
      <c r="F299" s="4" t="s">
        <v>4</v>
      </c>
      <c r="G299" s="8" t="n">
        <v>4974.32208144665</v>
      </c>
      <c r="H299" s="6" t="n">
        <f aca="false">IF(G299="","",G299/SUMIFS($G$2:$G$1462,$F$2:$F$1462,"Served"))</f>
        <v>0.000512751834000188</v>
      </c>
      <c r="I299" s="4" t="n">
        <f aca="false">IF(G299="","",RANK(G299,$G$2:$G$1462,0))</f>
        <v>298</v>
      </c>
      <c r="J299" s="4" t="s">
        <v>34</v>
      </c>
    </row>
    <row r="300" customFormat="false" ht="15" hidden="false" customHeight="false" outlineLevel="0" collapsed="false">
      <c r="A300" s="4" t="s">
        <v>677</v>
      </c>
      <c r="B300" s="4" t="s">
        <v>30</v>
      </c>
      <c r="C300" s="4" t="s">
        <v>467</v>
      </c>
      <c r="D300" s="7" t="s">
        <v>678</v>
      </c>
      <c r="E300" s="4" t="s">
        <v>33</v>
      </c>
      <c r="F300" s="4" t="s">
        <v>4</v>
      </c>
      <c r="G300" s="8" t="n">
        <v>4963.75350338221</v>
      </c>
      <c r="H300" s="6" t="n">
        <f aca="false">IF(G300="","",G300/SUMIFS($G$2:$G$1462,$F$2:$F$1462,"Served"))</f>
        <v>0.000511662427705905</v>
      </c>
      <c r="I300" s="4" t="n">
        <f aca="false">IF(G300="","",RANK(G300,$G$2:$G$1462,0))</f>
        <v>299</v>
      </c>
      <c r="J300" s="4" t="s">
        <v>34</v>
      </c>
    </row>
    <row r="301" customFormat="false" ht="15" hidden="false" customHeight="false" outlineLevel="0" collapsed="false">
      <c r="A301" s="4" t="s">
        <v>679</v>
      </c>
      <c r="B301" s="4" t="s">
        <v>30</v>
      </c>
      <c r="C301" s="4" t="s">
        <v>56</v>
      </c>
      <c r="D301" s="7" t="s">
        <v>680</v>
      </c>
      <c r="E301" s="4" t="s">
        <v>33</v>
      </c>
      <c r="F301" s="4" t="s">
        <v>4</v>
      </c>
      <c r="G301" s="8" t="n">
        <v>4828.90395092964</v>
      </c>
      <c r="H301" s="6" t="n">
        <f aca="false">IF(G301="","",G301/SUMIFS($G$2:$G$1462,$F$2:$F$1462,"Served"))</f>
        <v>0.000497762170705649</v>
      </c>
      <c r="I301" s="4" t="n">
        <f aca="false">IF(G301="","",RANK(G301,$G$2:$G$1462,0))</f>
        <v>300</v>
      </c>
      <c r="J301" s="4" t="s">
        <v>34</v>
      </c>
    </row>
    <row r="302" customFormat="false" ht="15" hidden="false" customHeight="false" outlineLevel="0" collapsed="false">
      <c r="A302" s="4" t="s">
        <v>681</v>
      </c>
      <c r="B302" s="4" t="s">
        <v>72</v>
      </c>
      <c r="C302" s="4" t="s">
        <v>73</v>
      </c>
      <c r="D302" s="7" t="s">
        <v>682</v>
      </c>
      <c r="E302" s="4" t="s">
        <v>75</v>
      </c>
      <c r="F302" s="4" t="s">
        <v>4</v>
      </c>
      <c r="G302" s="8" t="n">
        <v>4825.34193235636</v>
      </c>
      <c r="H302" s="6" t="n">
        <f aca="false">IF(G302="","",G302/SUMIFS($G$2:$G$1462,$F$2:$F$1462,"Served"))</f>
        <v>0.000497394998752107</v>
      </c>
      <c r="I302" s="4" t="n">
        <f aca="false">IF(G302="","",RANK(G302,$G$2:$G$1462,0))</f>
        <v>301</v>
      </c>
      <c r="J302" s="4" t="s">
        <v>34</v>
      </c>
    </row>
    <row r="303" customFormat="false" ht="15" hidden="false" customHeight="false" outlineLevel="0" collapsed="false">
      <c r="A303" s="4" t="s">
        <v>683</v>
      </c>
      <c r="B303" s="4" t="s">
        <v>171</v>
      </c>
      <c r="C303" s="4" t="s">
        <v>259</v>
      </c>
      <c r="D303" s="7" t="s">
        <v>684</v>
      </c>
      <c r="E303" s="4" t="s">
        <v>33</v>
      </c>
      <c r="F303" s="4" t="s">
        <v>4</v>
      </c>
      <c r="G303" s="8" t="n">
        <v>4803.93100315332</v>
      </c>
      <c r="H303" s="6" t="n">
        <f aca="false">IF(G303="","",G303/SUMIFS($G$2:$G$1462,$F$2:$F$1462,"Served"))</f>
        <v>0.000495187965705845</v>
      </c>
      <c r="I303" s="4" t="n">
        <f aca="false">IF(G303="","",RANK(G303,$G$2:$G$1462,0))</f>
        <v>302</v>
      </c>
      <c r="J303" s="4" t="s">
        <v>34</v>
      </c>
    </row>
    <row r="304" customFormat="false" ht="15" hidden="false" customHeight="false" outlineLevel="0" collapsed="false">
      <c r="A304" s="4" t="s">
        <v>685</v>
      </c>
      <c r="B304" s="4" t="s">
        <v>171</v>
      </c>
      <c r="C304" s="4" t="s">
        <v>591</v>
      </c>
      <c r="D304" s="7" t="s">
        <v>686</v>
      </c>
      <c r="E304" s="4" t="s">
        <v>33</v>
      </c>
      <c r="F304" s="4" t="s">
        <v>4</v>
      </c>
      <c r="G304" s="8" t="n">
        <v>4802.39725014567</v>
      </c>
      <c r="H304" s="6" t="n">
        <f aca="false">IF(G304="","",G304/SUMIFS($G$2:$G$1462,$F$2:$F$1462,"Served"))</f>
        <v>0.000495029866842382</v>
      </c>
      <c r="I304" s="4" t="n">
        <f aca="false">IF(G304="","",RANK(G304,$G$2:$G$1462,0))</f>
        <v>303</v>
      </c>
      <c r="J304" s="4" t="s">
        <v>34</v>
      </c>
    </row>
    <row r="305" customFormat="false" ht="15" hidden="false" customHeight="false" outlineLevel="0" collapsed="false">
      <c r="A305" s="4" t="s">
        <v>687</v>
      </c>
      <c r="B305" s="4" t="s">
        <v>72</v>
      </c>
      <c r="C305" s="4" t="s">
        <v>73</v>
      </c>
      <c r="D305" s="7" t="s">
        <v>688</v>
      </c>
      <c r="E305" s="4" t="s">
        <v>75</v>
      </c>
      <c r="F305" s="4" t="s">
        <v>4</v>
      </c>
      <c r="G305" s="8" t="n">
        <v>4743.30103904009</v>
      </c>
      <c r="H305" s="6" t="n">
        <f aca="false">IF(G305="","",G305/SUMIFS($G$2:$G$1462,$F$2:$F$1462,"Served"))</f>
        <v>0.00048893824468147</v>
      </c>
      <c r="I305" s="4" t="n">
        <f aca="false">IF(G305="","",RANK(G305,$G$2:$G$1462,0))</f>
        <v>304</v>
      </c>
      <c r="J305" s="4" t="s">
        <v>34</v>
      </c>
    </row>
    <row r="306" customFormat="false" ht="15" hidden="false" customHeight="false" outlineLevel="0" collapsed="false">
      <c r="A306" s="4" t="s">
        <v>689</v>
      </c>
      <c r="B306" s="4" t="s">
        <v>72</v>
      </c>
      <c r="C306" s="4" t="s">
        <v>73</v>
      </c>
      <c r="D306" s="7" t="s">
        <v>690</v>
      </c>
      <c r="E306" s="4" t="s">
        <v>75</v>
      </c>
      <c r="F306" s="4" t="s">
        <v>4</v>
      </c>
      <c r="G306" s="8" t="n">
        <v>4718.82897055149</v>
      </c>
      <c r="H306" s="6" t="n">
        <f aca="false">IF(G306="","",G306/SUMIFS($G$2:$G$1462,$F$2:$F$1462,"Served"))</f>
        <v>0.000486415670189137</v>
      </c>
      <c r="I306" s="4" t="n">
        <f aca="false">IF(G306="","",RANK(G306,$G$2:$G$1462,0))</f>
        <v>305</v>
      </c>
      <c r="J306" s="4" t="s">
        <v>34</v>
      </c>
    </row>
    <row r="307" customFormat="false" ht="15" hidden="false" customHeight="false" outlineLevel="0" collapsed="false">
      <c r="A307" s="4" t="s">
        <v>691</v>
      </c>
      <c r="B307" s="4" t="s">
        <v>171</v>
      </c>
      <c r="C307" s="4" t="s">
        <v>692</v>
      </c>
      <c r="D307" s="7" t="s">
        <v>693</v>
      </c>
      <c r="E307" s="4" t="s">
        <v>33</v>
      </c>
      <c r="F307" s="4" t="s">
        <v>4</v>
      </c>
      <c r="G307" s="8" t="n">
        <v>4705.10255438089</v>
      </c>
      <c r="H307" s="6" t="n">
        <f aca="false">IF(G307="","",G307/SUMIFS($G$2:$G$1462,$F$2:$F$1462,"Served"))</f>
        <v>0.000485000754759359</v>
      </c>
      <c r="I307" s="4" t="n">
        <f aca="false">IF(G307="","",RANK(G307,$G$2:$G$1462,0))</f>
        <v>306</v>
      </c>
      <c r="J307" s="4" t="s">
        <v>34</v>
      </c>
    </row>
    <row r="308" customFormat="false" ht="15" hidden="false" customHeight="false" outlineLevel="0" collapsed="false">
      <c r="A308" s="4" t="s">
        <v>694</v>
      </c>
      <c r="B308" s="4" t="s">
        <v>171</v>
      </c>
      <c r="C308" s="4" t="s">
        <v>330</v>
      </c>
      <c r="D308" s="7" t="s">
        <v>695</v>
      </c>
      <c r="E308" s="4" t="s">
        <v>33</v>
      </c>
      <c r="F308" s="4" t="s">
        <v>4</v>
      </c>
      <c r="G308" s="8" t="n">
        <v>4672.09510922432</v>
      </c>
      <c r="H308" s="6" t="n">
        <f aca="false">IF(G308="","",G308/SUMIFS($G$2:$G$1462,$F$2:$F$1462,"Served"))</f>
        <v>0.000481598355846989</v>
      </c>
      <c r="I308" s="4" t="n">
        <f aca="false">IF(G308="","",RANK(G308,$G$2:$G$1462,0))</f>
        <v>307</v>
      </c>
      <c r="J308" s="4" t="s">
        <v>34</v>
      </c>
    </row>
    <row r="309" customFormat="false" ht="15" hidden="false" customHeight="false" outlineLevel="0" collapsed="false">
      <c r="A309" s="4" t="s">
        <v>696</v>
      </c>
      <c r="B309" s="4" t="s">
        <v>30</v>
      </c>
      <c r="C309" s="4" t="s">
        <v>243</v>
      </c>
      <c r="D309" s="7" t="s">
        <v>697</v>
      </c>
      <c r="E309" s="4" t="s">
        <v>33</v>
      </c>
      <c r="F309" s="4" t="s">
        <v>4</v>
      </c>
      <c r="G309" s="8" t="n">
        <v>4622.30660396814</v>
      </c>
      <c r="H309" s="6" t="n">
        <f aca="false">IF(G309="","",G309/SUMIFS($G$2:$G$1462,$F$2:$F$1462,"Served"))</f>
        <v>0.000476466169598445</v>
      </c>
      <c r="I309" s="4" t="n">
        <f aca="false">IF(G309="","",RANK(G309,$G$2:$G$1462,0))</f>
        <v>308</v>
      </c>
      <c r="J309" s="4" t="s">
        <v>34</v>
      </c>
    </row>
    <row r="310" customFormat="false" ht="15" hidden="false" customHeight="false" outlineLevel="0" collapsed="false">
      <c r="A310" s="4" t="s">
        <v>698</v>
      </c>
      <c r="B310" s="4" t="s">
        <v>321</v>
      </c>
      <c r="C310" s="4" t="s">
        <v>322</v>
      </c>
      <c r="D310" s="7" t="s">
        <v>699</v>
      </c>
      <c r="E310" s="4" t="s">
        <v>324</v>
      </c>
      <c r="F310" s="4" t="s">
        <v>4</v>
      </c>
      <c r="G310" s="8" t="n">
        <v>4577.5442944169</v>
      </c>
      <c r="H310" s="6" t="n">
        <f aca="false">IF(G310="","",G310/SUMIFS($G$2:$G$1462,$F$2:$F$1462,"Served"))</f>
        <v>0.000471852082303597</v>
      </c>
      <c r="I310" s="4" t="n">
        <f aca="false">IF(G310="","",RANK(G310,$G$2:$G$1462,0))</f>
        <v>309</v>
      </c>
      <c r="J310" s="4" t="s">
        <v>34</v>
      </c>
    </row>
    <row r="311" customFormat="false" ht="15" hidden="false" customHeight="false" outlineLevel="0" collapsed="false">
      <c r="A311" s="4" t="s">
        <v>700</v>
      </c>
      <c r="B311" s="4" t="s">
        <v>61</v>
      </c>
      <c r="C311" s="4" t="s">
        <v>62</v>
      </c>
      <c r="D311" s="7" t="s">
        <v>701</v>
      </c>
      <c r="E311" s="4" t="s">
        <v>64</v>
      </c>
      <c r="F311" s="4" t="s">
        <v>4</v>
      </c>
      <c r="G311" s="8" t="n">
        <v>4505.84808266163</v>
      </c>
      <c r="H311" s="6" t="n">
        <f aca="false">IF(G311="","",G311/SUMIFS($G$2:$G$1462,$F$2:$F$1462,"Served"))</f>
        <v>0.000464461655333558</v>
      </c>
      <c r="I311" s="4" t="n">
        <f aca="false">IF(G311="","",RANK(G311,$G$2:$G$1462,0))</f>
        <v>310</v>
      </c>
      <c r="J311" s="4" t="s">
        <v>34</v>
      </c>
    </row>
    <row r="312" customFormat="false" ht="15" hidden="false" customHeight="false" outlineLevel="0" collapsed="false">
      <c r="A312" s="4" t="s">
        <v>702</v>
      </c>
      <c r="B312" s="4" t="s">
        <v>171</v>
      </c>
      <c r="C312" s="4" t="s">
        <v>249</v>
      </c>
      <c r="D312" s="7" t="s">
        <v>703</v>
      </c>
      <c r="E312" s="4" t="s">
        <v>33</v>
      </c>
      <c r="F312" s="4" t="s">
        <v>4</v>
      </c>
      <c r="G312" s="8" t="n">
        <v>4478.67549479008</v>
      </c>
      <c r="H312" s="6" t="n">
        <f aca="false">IF(G312="","",G312/SUMIFS($G$2:$G$1462,$F$2:$F$1462,"Served"))</f>
        <v>0.000461660712001473</v>
      </c>
      <c r="I312" s="4" t="n">
        <f aca="false">IF(G312="","",RANK(G312,$G$2:$G$1462,0))</f>
        <v>311</v>
      </c>
      <c r="J312" s="4" t="s">
        <v>34</v>
      </c>
    </row>
    <row r="313" customFormat="false" ht="15" hidden="false" customHeight="false" outlineLevel="0" collapsed="false">
      <c r="A313" s="4" t="s">
        <v>704</v>
      </c>
      <c r="B313" s="4" t="s">
        <v>43</v>
      </c>
      <c r="C313" s="4" t="s">
        <v>44</v>
      </c>
      <c r="D313" s="7" t="s">
        <v>705</v>
      </c>
      <c r="E313" s="4" t="s">
        <v>46</v>
      </c>
      <c r="F313" s="4" t="s">
        <v>4</v>
      </c>
      <c r="G313" s="8" t="n">
        <v>4467.66547614336</v>
      </c>
      <c r="H313" s="6" t="n">
        <f aca="false">IF(G313="","",G313/SUMIFS($G$2:$G$1462,$F$2:$F$1462,"Served"))</f>
        <v>0.000460525802126108</v>
      </c>
      <c r="I313" s="4" t="n">
        <f aca="false">IF(G313="","",RANK(G313,$G$2:$G$1462,0))</f>
        <v>312</v>
      </c>
      <c r="J313" s="4" t="s">
        <v>34</v>
      </c>
    </row>
    <row r="314" customFormat="false" ht="15" hidden="false" customHeight="false" outlineLevel="0" collapsed="false">
      <c r="A314" s="4" t="s">
        <v>706</v>
      </c>
      <c r="B314" s="4" t="s">
        <v>171</v>
      </c>
      <c r="C314" s="4" t="s">
        <v>341</v>
      </c>
      <c r="D314" s="7" t="s">
        <v>707</v>
      </c>
      <c r="E314" s="4" t="s">
        <v>33</v>
      </c>
      <c r="F314" s="4" t="s">
        <v>4</v>
      </c>
      <c r="G314" s="8" t="n">
        <v>4454.63111203909</v>
      </c>
      <c r="H314" s="6" t="n">
        <f aca="false">IF(G314="","",G314/SUMIFS($G$2:$G$1462,$F$2:$F$1462,"Served"))</f>
        <v>0.000459182223244391</v>
      </c>
      <c r="I314" s="4" t="n">
        <f aca="false">IF(G314="","",RANK(G314,$G$2:$G$1462,0))</f>
        <v>313</v>
      </c>
      <c r="J314" s="4" t="s">
        <v>34</v>
      </c>
    </row>
    <row r="315" customFormat="false" ht="15" hidden="false" customHeight="false" outlineLevel="0" collapsed="false">
      <c r="A315" s="4" t="s">
        <v>708</v>
      </c>
      <c r="B315" s="4" t="s">
        <v>72</v>
      </c>
      <c r="C315" s="4" t="s">
        <v>73</v>
      </c>
      <c r="D315" s="7" t="s">
        <v>709</v>
      </c>
      <c r="E315" s="4" t="s">
        <v>75</v>
      </c>
      <c r="F315" s="4" t="s">
        <v>4</v>
      </c>
      <c r="G315" s="8" t="n">
        <v>4426.61461400986</v>
      </c>
      <c r="H315" s="6" t="n">
        <f aca="false">IF(G315="","",G315/SUMIFS($G$2:$G$1462,$F$2:$F$1462,"Served"))</f>
        <v>0.000456294289871453</v>
      </c>
      <c r="I315" s="4" t="n">
        <f aca="false">IF(G315="","",RANK(G315,$G$2:$G$1462,0))</f>
        <v>314</v>
      </c>
      <c r="J315" s="4" t="s">
        <v>34</v>
      </c>
    </row>
    <row r="316" customFormat="false" ht="15" hidden="false" customHeight="false" outlineLevel="0" collapsed="false">
      <c r="A316" s="4" t="s">
        <v>710</v>
      </c>
      <c r="B316" s="4" t="s">
        <v>132</v>
      </c>
      <c r="C316" s="4" t="s">
        <v>133</v>
      </c>
      <c r="D316" s="7" t="s">
        <v>711</v>
      </c>
      <c r="E316" s="4" t="s">
        <v>135</v>
      </c>
      <c r="F316" s="4" t="s">
        <v>4</v>
      </c>
      <c r="G316" s="8" t="n">
        <v>4412.20105189085</v>
      </c>
      <c r="H316" s="6" t="n">
        <f aca="false">IF(G316="","",G316/SUMIFS($G$2:$G$1462,$F$2:$F$1462,"Served"))</f>
        <v>0.000454808543614981</v>
      </c>
      <c r="I316" s="4" t="n">
        <f aca="false">IF(G316="","",RANK(G316,$G$2:$G$1462,0))</f>
        <v>315</v>
      </c>
      <c r="J316" s="4" t="s">
        <v>34</v>
      </c>
    </row>
    <row r="317" customFormat="false" ht="15" hidden="false" customHeight="false" outlineLevel="0" collapsed="false">
      <c r="A317" s="4" t="s">
        <v>712</v>
      </c>
      <c r="B317" s="4" t="s">
        <v>30</v>
      </c>
      <c r="C317" s="4" t="s">
        <v>109</v>
      </c>
      <c r="D317" s="7" t="s">
        <v>713</v>
      </c>
      <c r="E317" s="4" t="s">
        <v>33</v>
      </c>
      <c r="F317" s="4" t="s">
        <v>4</v>
      </c>
      <c r="G317" s="8" t="n">
        <v>4362.68310672045</v>
      </c>
      <c r="H317" s="6" t="n">
        <f aca="false">IF(G317="","",G317/SUMIFS($G$2:$G$1462,$F$2:$F$1462,"Served"))</f>
        <v>0.000449704246630122</v>
      </c>
      <c r="I317" s="4" t="n">
        <f aca="false">IF(G317="","",RANK(G317,$G$2:$G$1462,0))</f>
        <v>316</v>
      </c>
      <c r="J317" s="4" t="s">
        <v>34</v>
      </c>
    </row>
    <row r="318" customFormat="false" ht="15" hidden="false" customHeight="false" outlineLevel="0" collapsed="false">
      <c r="A318" s="4" t="s">
        <v>714</v>
      </c>
      <c r="B318" s="4" t="s">
        <v>30</v>
      </c>
      <c r="C318" s="4" t="s">
        <v>31</v>
      </c>
      <c r="D318" s="7" t="s">
        <v>715</v>
      </c>
      <c r="E318" s="4" t="s">
        <v>33</v>
      </c>
      <c r="F318" s="4" t="s">
        <v>4</v>
      </c>
      <c r="G318" s="8" t="n">
        <v>4350.76280188561</v>
      </c>
      <c r="H318" s="6" t="n">
        <f aca="false">IF(G318="","",G318/SUMIFS($G$2:$G$1462,$F$2:$F$1462,"Served"))</f>
        <v>0.000448475504689848</v>
      </c>
      <c r="I318" s="4" t="n">
        <f aca="false">IF(G318="","",RANK(G318,$G$2:$G$1462,0))</f>
        <v>317</v>
      </c>
      <c r="J318" s="4" t="s">
        <v>34</v>
      </c>
    </row>
    <row r="319" customFormat="false" ht="15" hidden="false" customHeight="false" outlineLevel="0" collapsed="false">
      <c r="A319" s="4" t="s">
        <v>716</v>
      </c>
      <c r="B319" s="4" t="s">
        <v>321</v>
      </c>
      <c r="C319" s="4" t="s">
        <v>322</v>
      </c>
      <c r="D319" s="7" t="s">
        <v>717</v>
      </c>
      <c r="E319" s="4" t="s">
        <v>324</v>
      </c>
      <c r="F319" s="4" t="s">
        <v>4</v>
      </c>
      <c r="G319" s="8" t="n">
        <v>4324.74164932966</v>
      </c>
      <c r="H319" s="6" t="n">
        <f aca="false">IF(G319="","",G319/SUMIFS($G$2:$G$1462,$F$2:$F$1462,"Served"))</f>
        <v>0.000445793251012382</v>
      </c>
      <c r="I319" s="4" t="n">
        <f aca="false">IF(G319="","",RANK(G319,$G$2:$G$1462,0))</f>
        <v>318</v>
      </c>
      <c r="J319" s="4" t="s">
        <v>34</v>
      </c>
    </row>
    <row r="320" customFormat="false" ht="15" hidden="false" customHeight="false" outlineLevel="0" collapsed="false">
      <c r="A320" s="4" t="s">
        <v>718</v>
      </c>
      <c r="B320" s="4" t="s">
        <v>321</v>
      </c>
      <c r="C320" s="4" t="s">
        <v>322</v>
      </c>
      <c r="D320" s="7" t="s">
        <v>719</v>
      </c>
      <c r="E320" s="4" t="s">
        <v>324</v>
      </c>
      <c r="F320" s="4" t="s">
        <v>4</v>
      </c>
      <c r="G320" s="8" t="n">
        <v>4318.5561426878</v>
      </c>
      <c r="H320" s="6" t="n">
        <f aca="false">IF(G320="","",G320/SUMIFS($G$2:$G$1462,$F$2:$F$1462,"Served"))</f>
        <v>0.000445155650587057</v>
      </c>
      <c r="I320" s="4" t="n">
        <f aca="false">IF(G320="","",RANK(G320,$G$2:$G$1462,0))</f>
        <v>319</v>
      </c>
      <c r="J320" s="4" t="s">
        <v>34</v>
      </c>
    </row>
    <row r="321" customFormat="false" ht="15" hidden="false" customHeight="false" outlineLevel="0" collapsed="false">
      <c r="A321" s="4" t="s">
        <v>720</v>
      </c>
      <c r="B321" s="4" t="s">
        <v>204</v>
      </c>
      <c r="C321" s="4" t="s">
        <v>212</v>
      </c>
      <c r="D321" s="7" t="s">
        <v>721</v>
      </c>
      <c r="E321" s="4" t="s">
        <v>207</v>
      </c>
      <c r="F321" s="4" t="s">
        <v>4</v>
      </c>
      <c r="G321" s="8" t="n">
        <v>4289.94064575434</v>
      </c>
      <c r="H321" s="6" t="n">
        <f aca="false">IF(G321="","",G321/SUMIFS($G$2:$G$1462,$F$2:$F$1462,"Served"))</f>
        <v>0.000442205972561948</v>
      </c>
      <c r="I321" s="4" t="n">
        <f aca="false">IF(G321="","",RANK(G321,$G$2:$G$1462,0))</f>
        <v>320</v>
      </c>
      <c r="J321" s="4" t="s">
        <v>34</v>
      </c>
    </row>
    <row r="322" customFormat="false" ht="15" hidden="false" customHeight="false" outlineLevel="0" collapsed="false">
      <c r="A322" s="4" t="s">
        <v>722</v>
      </c>
      <c r="B322" s="4" t="s">
        <v>43</v>
      </c>
      <c r="C322" s="4" t="s">
        <v>44</v>
      </c>
      <c r="D322" s="7" t="s">
        <v>723</v>
      </c>
      <c r="E322" s="4" t="s">
        <v>46</v>
      </c>
      <c r="F322" s="4" t="s">
        <v>4</v>
      </c>
      <c r="G322" s="8" t="n">
        <v>4276.03752988577</v>
      </c>
      <c r="H322" s="6" t="n">
        <f aca="false">IF(G322="","",G322/SUMIFS($G$2:$G$1462,$F$2:$F$1462,"Served"))</f>
        <v>0.00044077284297299</v>
      </c>
      <c r="I322" s="4" t="n">
        <f aca="false">IF(G322="","",RANK(G322,$G$2:$G$1462,0))</f>
        <v>321</v>
      </c>
      <c r="J322" s="4" t="s">
        <v>34</v>
      </c>
    </row>
    <row r="323" customFormat="false" ht="15" hidden="false" customHeight="false" outlineLevel="0" collapsed="false">
      <c r="A323" s="4" t="s">
        <v>724</v>
      </c>
      <c r="B323" s="4" t="s">
        <v>171</v>
      </c>
      <c r="C323" s="4" t="s">
        <v>515</v>
      </c>
      <c r="D323" s="7" t="s">
        <v>725</v>
      </c>
      <c r="E323" s="4" t="s">
        <v>33</v>
      </c>
      <c r="F323" s="4" t="s">
        <v>4</v>
      </c>
      <c r="G323" s="8" t="n">
        <v>4267.19288259745</v>
      </c>
      <c r="H323" s="6" t="n">
        <f aca="false">IF(G323="","",G323/SUMIFS($G$2:$G$1462,$F$2:$F$1462,"Served"))</f>
        <v>0.000439861139017372</v>
      </c>
      <c r="I323" s="4" t="n">
        <f aca="false">IF(G323="","",RANK(G323,$G$2:$G$1462,0))</f>
        <v>322</v>
      </c>
      <c r="J323" s="4" t="s">
        <v>34</v>
      </c>
    </row>
    <row r="324" customFormat="false" ht="15" hidden="false" customHeight="false" outlineLevel="0" collapsed="false">
      <c r="A324" s="4" t="s">
        <v>726</v>
      </c>
      <c r="B324" s="4" t="s">
        <v>61</v>
      </c>
      <c r="C324" s="4" t="s">
        <v>62</v>
      </c>
      <c r="D324" s="7" t="s">
        <v>727</v>
      </c>
      <c r="E324" s="4" t="s">
        <v>64</v>
      </c>
      <c r="F324" s="4" t="s">
        <v>4</v>
      </c>
      <c r="G324" s="8" t="n">
        <v>4244.88277590275</v>
      </c>
      <c r="H324" s="6" t="n">
        <f aca="false">IF(G324="","",G324/SUMIFS($G$2:$G$1462,$F$2:$F$1462,"Served"))</f>
        <v>0.00043756141898776</v>
      </c>
      <c r="I324" s="4" t="n">
        <f aca="false">IF(G324="","",RANK(G324,$G$2:$G$1462,0))</f>
        <v>323</v>
      </c>
      <c r="J324" s="4" t="s">
        <v>34</v>
      </c>
    </row>
    <row r="325" customFormat="false" ht="15" hidden="false" customHeight="false" outlineLevel="0" collapsed="false">
      <c r="A325" s="4" t="s">
        <v>728</v>
      </c>
      <c r="B325" s="4" t="s">
        <v>87</v>
      </c>
      <c r="C325" s="4" t="s">
        <v>88</v>
      </c>
      <c r="D325" s="7" t="s">
        <v>729</v>
      </c>
      <c r="E325" s="4" t="s">
        <v>90</v>
      </c>
      <c r="F325" s="4" t="s">
        <v>4</v>
      </c>
      <c r="G325" s="8" t="n">
        <v>4217.59625351429</v>
      </c>
      <c r="H325" s="6" t="n">
        <f aca="false">IF(G325="","",G325/SUMIFS($G$2:$G$1462,$F$2:$F$1462,"Served"))</f>
        <v>0.000434748731315131</v>
      </c>
      <c r="I325" s="4" t="n">
        <f aca="false">IF(G325="","",RANK(G325,$G$2:$G$1462,0))</f>
        <v>324</v>
      </c>
      <c r="J325" s="4" t="s">
        <v>34</v>
      </c>
    </row>
    <row r="326" customFormat="false" ht="15" hidden="false" customHeight="false" outlineLevel="0" collapsed="false">
      <c r="A326" s="4" t="s">
        <v>730</v>
      </c>
      <c r="B326" s="4" t="s">
        <v>30</v>
      </c>
      <c r="C326" s="4" t="s">
        <v>109</v>
      </c>
      <c r="D326" s="7" t="s">
        <v>731</v>
      </c>
      <c r="E326" s="4" t="s">
        <v>33</v>
      </c>
      <c r="F326" s="4" t="s">
        <v>4</v>
      </c>
      <c r="G326" s="8" t="n">
        <v>4165.5520286262</v>
      </c>
      <c r="H326" s="6" t="n">
        <f aca="false">IF(G326="","",G326/SUMIFS($G$2:$G$1462,$F$2:$F$1462,"Served"))</f>
        <v>0.000429384026070166</v>
      </c>
      <c r="I326" s="4" t="n">
        <f aca="false">IF(G326="","",RANK(G326,$G$2:$G$1462,0))</f>
        <v>325</v>
      </c>
      <c r="J326" s="4" t="s">
        <v>34</v>
      </c>
    </row>
    <row r="327" customFormat="false" ht="15" hidden="false" customHeight="false" outlineLevel="0" collapsed="false">
      <c r="A327" s="4" t="s">
        <v>732</v>
      </c>
      <c r="B327" s="4" t="s">
        <v>43</v>
      </c>
      <c r="C327" s="4" t="s">
        <v>44</v>
      </c>
      <c r="D327" s="7" t="s">
        <v>733</v>
      </c>
      <c r="E327" s="4" t="s">
        <v>46</v>
      </c>
      <c r="F327" s="4" t="s">
        <v>4</v>
      </c>
      <c r="G327" s="8" t="n">
        <v>4010.3475125432</v>
      </c>
      <c r="H327" s="6" t="n">
        <f aca="false">IF(G327="","",G327/SUMIFS($G$2:$G$1462,$F$2:$F$1462,"Served"))</f>
        <v>0.000413385584681842</v>
      </c>
      <c r="I327" s="4" t="n">
        <f aca="false">IF(G327="","",RANK(G327,$G$2:$G$1462,0))</f>
        <v>326</v>
      </c>
      <c r="J327" s="4" t="s">
        <v>34</v>
      </c>
    </row>
    <row r="328" customFormat="false" ht="15" hidden="false" customHeight="false" outlineLevel="0" collapsed="false">
      <c r="A328" s="4" t="s">
        <v>734</v>
      </c>
      <c r="B328" s="4" t="s">
        <v>321</v>
      </c>
      <c r="C328" s="4" t="s">
        <v>322</v>
      </c>
      <c r="D328" s="7" t="s">
        <v>735</v>
      </c>
      <c r="E328" s="4" t="s">
        <v>324</v>
      </c>
      <c r="F328" s="4" t="s">
        <v>4</v>
      </c>
      <c r="G328" s="8" t="n">
        <v>4010.10307466984</v>
      </c>
      <c r="H328" s="6" t="n">
        <f aca="false">IF(G328="","",G328/SUMIFS($G$2:$G$1462,$F$2:$F$1462,"Served"))</f>
        <v>0.000413360388089057</v>
      </c>
      <c r="I328" s="4" t="n">
        <f aca="false">IF(G328="","",RANK(G328,$G$2:$G$1462,0))</f>
        <v>327</v>
      </c>
      <c r="J328" s="4" t="s">
        <v>34</v>
      </c>
    </row>
    <row r="329" customFormat="false" ht="15" hidden="false" customHeight="false" outlineLevel="0" collapsed="false">
      <c r="A329" s="4" t="s">
        <v>736</v>
      </c>
      <c r="B329" s="4" t="s">
        <v>30</v>
      </c>
      <c r="C329" s="4" t="s">
        <v>737</v>
      </c>
      <c r="D329" s="7" t="s">
        <v>738</v>
      </c>
      <c r="E329" s="4" t="s">
        <v>33</v>
      </c>
      <c r="F329" s="4" t="s">
        <v>4</v>
      </c>
      <c r="G329" s="8" t="n">
        <v>3980.37805914879</v>
      </c>
      <c r="H329" s="6" t="n">
        <f aca="false">IF(G329="","",G329/SUMIFS($G$2:$G$1462,$F$2:$F$1462,"Served"))</f>
        <v>0.000410296341174815</v>
      </c>
      <c r="I329" s="4" t="n">
        <f aca="false">IF(G329="","",RANK(G329,$G$2:$G$1462,0))</f>
        <v>328</v>
      </c>
      <c r="J329" s="4" t="s">
        <v>34</v>
      </c>
    </row>
    <row r="330" customFormat="false" ht="15" hidden="false" customHeight="false" outlineLevel="0" collapsed="false">
      <c r="A330" s="4" t="s">
        <v>739</v>
      </c>
      <c r="B330" s="4" t="s">
        <v>72</v>
      </c>
      <c r="C330" s="4" t="s">
        <v>73</v>
      </c>
      <c r="D330" s="7" t="s">
        <v>740</v>
      </c>
      <c r="E330" s="4" t="s">
        <v>75</v>
      </c>
      <c r="F330" s="4" t="s">
        <v>4</v>
      </c>
      <c r="G330" s="8" t="n">
        <v>3934.06720453501</v>
      </c>
      <c r="H330" s="6" t="n">
        <f aca="false">IF(G330="","",G330/SUMIFS($G$2:$G$1462,$F$2:$F$1462,"Served"))</f>
        <v>0.000405522630255311</v>
      </c>
      <c r="I330" s="4" t="n">
        <f aca="false">IF(G330="","",RANK(G330,$G$2:$G$1462,0))</f>
        <v>329</v>
      </c>
      <c r="J330" s="4" t="s">
        <v>34</v>
      </c>
    </row>
    <row r="331" customFormat="false" ht="15" hidden="false" customHeight="false" outlineLevel="0" collapsed="false">
      <c r="A331" s="4" t="s">
        <v>741</v>
      </c>
      <c r="B331" s="4" t="s">
        <v>30</v>
      </c>
      <c r="C331" s="4" t="s">
        <v>246</v>
      </c>
      <c r="D331" s="7" t="s">
        <v>742</v>
      </c>
      <c r="E331" s="4" t="s">
        <v>33</v>
      </c>
      <c r="F331" s="4" t="s">
        <v>4</v>
      </c>
      <c r="G331" s="8" t="n">
        <v>3913.4486746192</v>
      </c>
      <c r="H331" s="6" t="n">
        <f aca="false">IF(G331="","",G331/SUMIFS($G$2:$G$1462,$F$2:$F$1462,"Served"))</f>
        <v>0.000403397277522694</v>
      </c>
      <c r="I331" s="4" t="n">
        <f aca="false">IF(G331="","",RANK(G331,$G$2:$G$1462,0))</f>
        <v>330</v>
      </c>
      <c r="J331" s="4" t="s">
        <v>34</v>
      </c>
    </row>
    <row r="332" customFormat="false" ht="15" hidden="false" customHeight="false" outlineLevel="0" collapsed="false">
      <c r="A332" s="4" t="s">
        <v>743</v>
      </c>
      <c r="B332" s="4" t="s">
        <v>43</v>
      </c>
      <c r="C332" s="4" t="s">
        <v>44</v>
      </c>
      <c r="D332" s="7" t="s">
        <v>744</v>
      </c>
      <c r="E332" s="4" t="s">
        <v>46</v>
      </c>
      <c r="F332" s="4" t="s">
        <v>4</v>
      </c>
      <c r="G332" s="8" t="n">
        <v>3909.64416432381</v>
      </c>
      <c r="H332" s="6" t="n">
        <f aca="false">IF(G332="","",G332/SUMIFS($G$2:$G$1462,$F$2:$F$1462,"Served"))</f>
        <v>0.000403005109585135</v>
      </c>
      <c r="I332" s="4" t="n">
        <f aca="false">IF(G332="","",RANK(G332,$G$2:$G$1462,0))</f>
        <v>331</v>
      </c>
      <c r="J332" s="4" t="s">
        <v>34</v>
      </c>
    </row>
    <row r="333" customFormat="false" ht="15" hidden="false" customHeight="false" outlineLevel="0" collapsed="false">
      <c r="A333" s="4" t="s">
        <v>745</v>
      </c>
      <c r="B333" s="4" t="s">
        <v>43</v>
      </c>
      <c r="C333" s="4" t="s">
        <v>44</v>
      </c>
      <c r="D333" s="7" t="s">
        <v>746</v>
      </c>
      <c r="E333" s="4" t="s">
        <v>46</v>
      </c>
      <c r="F333" s="4" t="s">
        <v>4</v>
      </c>
      <c r="G333" s="8" t="n">
        <v>3898.31820681691</v>
      </c>
      <c r="H333" s="6" t="n">
        <f aca="false">IF(G333="","",G333/SUMIFS($G$2:$G$1462,$F$2:$F$1462,"Served"))</f>
        <v>0.000401837632813752</v>
      </c>
      <c r="I333" s="4" t="n">
        <f aca="false">IF(G333="","",RANK(G333,$G$2:$G$1462,0))</f>
        <v>332</v>
      </c>
      <c r="J333" s="4" t="s">
        <v>34</v>
      </c>
    </row>
    <row r="334" customFormat="false" ht="15" hidden="false" customHeight="false" outlineLevel="0" collapsed="false">
      <c r="A334" s="4" t="s">
        <v>747</v>
      </c>
      <c r="B334" s="4" t="s">
        <v>30</v>
      </c>
      <c r="C334" s="4" t="s">
        <v>243</v>
      </c>
      <c r="D334" s="7" t="s">
        <v>748</v>
      </c>
      <c r="E334" s="4" t="s">
        <v>33</v>
      </c>
      <c r="F334" s="4" t="s">
        <v>4</v>
      </c>
      <c r="G334" s="8" t="n">
        <v>3879.26264661551</v>
      </c>
      <c r="H334" s="6" t="n">
        <f aca="false">IF(G334="","",G334/SUMIFS($G$2:$G$1462,$F$2:$F$1462,"Served"))</f>
        <v>0.000399873390595176</v>
      </c>
      <c r="I334" s="4" t="n">
        <f aca="false">IF(G334="","",RANK(G334,$G$2:$G$1462,0))</f>
        <v>333</v>
      </c>
      <c r="J334" s="4" t="s">
        <v>34</v>
      </c>
    </row>
    <row r="335" customFormat="false" ht="15" hidden="false" customHeight="false" outlineLevel="0" collapsed="false">
      <c r="A335" s="4" t="s">
        <v>749</v>
      </c>
      <c r="B335" s="4" t="s">
        <v>43</v>
      </c>
      <c r="C335" s="4" t="s">
        <v>44</v>
      </c>
      <c r="D335" s="7" t="s">
        <v>750</v>
      </c>
      <c r="E335" s="4" t="s">
        <v>46</v>
      </c>
      <c r="F335" s="4" t="s">
        <v>4</v>
      </c>
      <c r="G335" s="8" t="n">
        <v>3877.02881962061</v>
      </c>
      <c r="H335" s="6" t="n">
        <f aca="false">IF(G335="","",G335/SUMIFS($G$2:$G$1462,$F$2:$F$1462,"Served"))</f>
        <v>0.000399643128286118</v>
      </c>
      <c r="I335" s="4" t="n">
        <f aca="false">IF(G335="","",RANK(G335,$G$2:$G$1462,0))</f>
        <v>334</v>
      </c>
      <c r="J335" s="4" t="s">
        <v>34</v>
      </c>
    </row>
    <row r="336" customFormat="false" ht="15" hidden="false" customHeight="false" outlineLevel="0" collapsed="false">
      <c r="A336" s="4" t="s">
        <v>751</v>
      </c>
      <c r="B336" s="4" t="s">
        <v>171</v>
      </c>
      <c r="C336" s="4" t="s">
        <v>238</v>
      </c>
      <c r="D336" s="7" t="s">
        <v>752</v>
      </c>
      <c r="E336" s="4" t="s">
        <v>33</v>
      </c>
      <c r="F336" s="4" t="s">
        <v>4</v>
      </c>
      <c r="G336" s="8" t="n">
        <v>3876.12401080132</v>
      </c>
      <c r="H336" s="6" t="n">
        <f aca="false">IF(G336="","",G336/SUMIFS($G$2:$G$1462,$F$2:$F$1462,"Served"))</f>
        <v>0.000399549860826971</v>
      </c>
      <c r="I336" s="4" t="n">
        <f aca="false">IF(G336="","",RANK(G336,$G$2:$G$1462,0))</f>
        <v>335</v>
      </c>
      <c r="J336" s="4" t="s">
        <v>34</v>
      </c>
    </row>
    <row r="337" customFormat="false" ht="15" hidden="false" customHeight="false" outlineLevel="0" collapsed="false">
      <c r="A337" s="4" t="s">
        <v>753</v>
      </c>
      <c r="B337" s="4" t="s">
        <v>43</v>
      </c>
      <c r="C337" s="4" t="s">
        <v>44</v>
      </c>
      <c r="D337" s="7" t="s">
        <v>754</v>
      </c>
      <c r="E337" s="4" t="s">
        <v>46</v>
      </c>
      <c r="F337" s="4" t="s">
        <v>4</v>
      </c>
      <c r="G337" s="8" t="n">
        <v>3871.8645902276</v>
      </c>
      <c r="H337" s="6" t="n">
        <f aca="false">IF(G337="","",G337/SUMIFS($G$2:$G$1462,$F$2:$F$1462,"Served"))</f>
        <v>0.000399110800855544</v>
      </c>
      <c r="I337" s="4" t="n">
        <f aca="false">IF(G337="","",RANK(G337,$G$2:$G$1462,0))</f>
        <v>336</v>
      </c>
      <c r="J337" s="4" t="s">
        <v>34</v>
      </c>
    </row>
    <row r="338" customFormat="false" ht="15" hidden="false" customHeight="false" outlineLevel="0" collapsed="false">
      <c r="A338" s="4" t="s">
        <v>755</v>
      </c>
      <c r="B338" s="4" t="s">
        <v>321</v>
      </c>
      <c r="C338" s="4" t="s">
        <v>322</v>
      </c>
      <c r="D338" s="7" t="s">
        <v>756</v>
      </c>
      <c r="E338" s="4" t="s">
        <v>324</v>
      </c>
      <c r="F338" s="4" t="s">
        <v>4</v>
      </c>
      <c r="G338" s="8" t="n">
        <v>3861.03980207443</v>
      </c>
      <c r="H338" s="6" t="n">
        <f aca="false">IF(G338="","",G338/SUMIFS($G$2:$G$1462,$F$2:$F$1462,"Served"))</f>
        <v>0.000397994984491561</v>
      </c>
      <c r="I338" s="4" t="n">
        <f aca="false">IF(G338="","",RANK(G338,$G$2:$G$1462,0))</f>
        <v>337</v>
      </c>
      <c r="J338" s="4" t="s">
        <v>34</v>
      </c>
    </row>
    <row r="339" customFormat="false" ht="15" hidden="false" customHeight="false" outlineLevel="0" collapsed="false">
      <c r="A339" s="4" t="s">
        <v>757</v>
      </c>
      <c r="B339" s="4" t="s">
        <v>321</v>
      </c>
      <c r="C339" s="4" t="s">
        <v>322</v>
      </c>
      <c r="D339" s="7" t="s">
        <v>758</v>
      </c>
      <c r="E339" s="4" t="s">
        <v>324</v>
      </c>
      <c r="F339" s="4" t="s">
        <v>4</v>
      </c>
      <c r="G339" s="8" t="n">
        <v>3840.56468069553</v>
      </c>
      <c r="H339" s="6" t="n">
        <f aca="false">IF(G339="","",G339/SUMIFS($G$2:$G$1462,$F$2:$F$1462,"Served"))</f>
        <v>0.000395884414273849</v>
      </c>
      <c r="I339" s="4" t="n">
        <f aca="false">IF(G339="","",RANK(G339,$G$2:$G$1462,0))</f>
        <v>338</v>
      </c>
      <c r="J339" s="4" t="s">
        <v>34</v>
      </c>
    </row>
    <row r="340" customFormat="false" ht="15" hidden="false" customHeight="false" outlineLevel="0" collapsed="false">
      <c r="A340" s="4" t="s">
        <v>759</v>
      </c>
      <c r="B340" s="4" t="s">
        <v>132</v>
      </c>
      <c r="C340" s="4" t="s">
        <v>133</v>
      </c>
      <c r="D340" s="7" t="s">
        <v>760</v>
      </c>
      <c r="E340" s="4" t="s">
        <v>135</v>
      </c>
      <c r="F340" s="4" t="s">
        <v>4</v>
      </c>
      <c r="G340" s="8" t="n">
        <v>3803.25952541828</v>
      </c>
      <c r="H340" s="6" t="n">
        <f aca="false">IF(G340="","",G340/SUMIFS($G$2:$G$1462,$F$2:$F$1462,"Served"))</f>
        <v>0.000392039008513451</v>
      </c>
      <c r="I340" s="4" t="n">
        <f aca="false">IF(G340="","",RANK(G340,$G$2:$G$1462,0))</f>
        <v>339</v>
      </c>
      <c r="J340" s="4" t="s">
        <v>34</v>
      </c>
    </row>
    <row r="341" customFormat="false" ht="15" hidden="false" customHeight="false" outlineLevel="0" collapsed="false">
      <c r="A341" s="4" t="s">
        <v>761</v>
      </c>
      <c r="B341" s="4" t="s">
        <v>30</v>
      </c>
      <c r="C341" s="4" t="s">
        <v>243</v>
      </c>
      <c r="D341" s="7" t="s">
        <v>762</v>
      </c>
      <c r="E341" s="4" t="s">
        <v>33</v>
      </c>
      <c r="F341" s="4" t="s">
        <v>4</v>
      </c>
      <c r="G341" s="8" t="n">
        <v>3751.8240274787</v>
      </c>
      <c r="H341" s="6" t="n">
        <f aca="false">IF(G341="","",G341/SUMIFS($G$2:$G$1462,$F$2:$F$1462,"Served"))</f>
        <v>0.000386737050684945</v>
      </c>
      <c r="I341" s="4" t="n">
        <f aca="false">IF(G341="","",RANK(G341,$G$2:$G$1462,0))</f>
        <v>340</v>
      </c>
      <c r="J341" s="4" t="s">
        <v>34</v>
      </c>
    </row>
    <row r="342" customFormat="false" ht="15" hidden="false" customHeight="false" outlineLevel="0" collapsed="false">
      <c r="A342" s="4" t="s">
        <v>763</v>
      </c>
      <c r="B342" s="4" t="s">
        <v>30</v>
      </c>
      <c r="C342" s="4" t="s">
        <v>737</v>
      </c>
      <c r="D342" s="7" t="s">
        <v>764</v>
      </c>
      <c r="E342" s="4" t="s">
        <v>33</v>
      </c>
      <c r="F342" s="4" t="s">
        <v>4</v>
      </c>
      <c r="G342" s="8" t="n">
        <v>3744.16761940718</v>
      </c>
      <c r="H342" s="6" t="n">
        <f aca="false">IF(G342="","",G342/SUMIFS($G$2:$G$1462,$F$2:$F$1462,"Served"))</f>
        <v>0.000385947830120565</v>
      </c>
      <c r="I342" s="4" t="n">
        <f aca="false">IF(G342="","",RANK(G342,$G$2:$G$1462,0))</f>
        <v>341</v>
      </c>
      <c r="J342" s="4" t="s">
        <v>34</v>
      </c>
    </row>
    <row r="343" customFormat="false" ht="15" hidden="false" customHeight="false" outlineLevel="0" collapsed="false">
      <c r="A343" s="4" t="s">
        <v>765</v>
      </c>
      <c r="B343" s="4" t="s">
        <v>43</v>
      </c>
      <c r="C343" s="4" t="s">
        <v>44</v>
      </c>
      <c r="D343" s="7" t="s">
        <v>766</v>
      </c>
      <c r="E343" s="4" t="s">
        <v>46</v>
      </c>
      <c r="F343" s="4" t="s">
        <v>4</v>
      </c>
      <c r="G343" s="8" t="n">
        <v>3733.99908328056</v>
      </c>
      <c r="H343" s="6" t="n">
        <f aca="false">IF(G343="","",G343/SUMIFS($G$2:$G$1462,$F$2:$F$1462,"Served"))</f>
        <v>0.0003848996600458</v>
      </c>
      <c r="I343" s="4" t="n">
        <f aca="false">IF(G343="","",RANK(G343,$G$2:$G$1462,0))</f>
        <v>342</v>
      </c>
      <c r="J343" s="4" t="s">
        <v>34</v>
      </c>
    </row>
    <row r="344" customFormat="false" ht="15" hidden="false" customHeight="false" outlineLevel="0" collapsed="false">
      <c r="A344" s="4" t="s">
        <v>767</v>
      </c>
      <c r="B344" s="4" t="s">
        <v>204</v>
      </c>
      <c r="C344" s="4" t="s">
        <v>212</v>
      </c>
      <c r="D344" s="7" t="s">
        <v>768</v>
      </c>
      <c r="E344" s="4" t="s">
        <v>207</v>
      </c>
      <c r="F344" s="4" t="s">
        <v>4</v>
      </c>
      <c r="G344" s="8" t="n">
        <v>3713.88291943073</v>
      </c>
      <c r="H344" s="6" t="n">
        <f aca="false">IF(G344="","",G344/SUMIFS($G$2:$G$1462,$F$2:$F$1462,"Served"))</f>
        <v>0.000382826091077373</v>
      </c>
      <c r="I344" s="4" t="n">
        <f aca="false">IF(G344="","",RANK(G344,$G$2:$G$1462,0))</f>
        <v>343</v>
      </c>
      <c r="J344" s="4" t="s">
        <v>34</v>
      </c>
    </row>
    <row r="345" customFormat="false" ht="15" hidden="false" customHeight="false" outlineLevel="0" collapsed="false">
      <c r="A345" s="4" t="s">
        <v>769</v>
      </c>
      <c r="B345" s="4" t="s">
        <v>72</v>
      </c>
      <c r="C345" s="4" t="s">
        <v>73</v>
      </c>
      <c r="D345" s="7" t="s">
        <v>770</v>
      </c>
      <c r="E345" s="4" t="s">
        <v>75</v>
      </c>
      <c r="F345" s="4" t="s">
        <v>4</v>
      </c>
      <c r="G345" s="8" t="n">
        <v>3686.29375261068</v>
      </c>
      <c r="H345" s="6" t="n">
        <f aca="false">IF(G345="","",G345/SUMIFS($G$2:$G$1462,$F$2:$F$1462,"Served"))</f>
        <v>0.000379982206894987</v>
      </c>
      <c r="I345" s="4" t="n">
        <f aca="false">IF(G345="","",RANK(G345,$G$2:$G$1462,0))</f>
        <v>344</v>
      </c>
      <c r="J345" s="4" t="s">
        <v>34</v>
      </c>
    </row>
    <row r="346" customFormat="false" ht="15" hidden="false" customHeight="false" outlineLevel="0" collapsed="false">
      <c r="A346" s="4" t="s">
        <v>771</v>
      </c>
      <c r="B346" s="4" t="s">
        <v>321</v>
      </c>
      <c r="C346" s="4" t="s">
        <v>322</v>
      </c>
      <c r="D346" s="7" t="s">
        <v>772</v>
      </c>
      <c r="E346" s="4" t="s">
        <v>324</v>
      </c>
      <c r="F346" s="4" t="s">
        <v>4</v>
      </c>
      <c r="G346" s="8" t="n">
        <v>3639.16039735079</v>
      </c>
      <c r="H346" s="6" t="n">
        <f aca="false">IF(G346="","",G346/SUMIFS($G$2:$G$1462,$F$2:$F$1462,"Served"))</f>
        <v>0.000375123712821546</v>
      </c>
      <c r="I346" s="4" t="n">
        <f aca="false">IF(G346="","",RANK(G346,$G$2:$G$1462,0))</f>
        <v>345</v>
      </c>
      <c r="J346" s="4" t="s">
        <v>34</v>
      </c>
    </row>
    <row r="347" customFormat="false" ht="15" hidden="false" customHeight="false" outlineLevel="0" collapsed="false">
      <c r="A347" s="4" t="s">
        <v>773</v>
      </c>
      <c r="B347" s="4" t="s">
        <v>321</v>
      </c>
      <c r="C347" s="4" t="s">
        <v>322</v>
      </c>
      <c r="D347" s="7" t="s">
        <v>774</v>
      </c>
      <c r="E347" s="4" t="s">
        <v>324</v>
      </c>
      <c r="F347" s="4" t="s">
        <v>4</v>
      </c>
      <c r="G347" s="8" t="n">
        <v>3613.11202096939</v>
      </c>
      <c r="H347" s="6" t="n">
        <f aca="false">IF(G347="","",G347/SUMIFS($G$2:$G$1462,$F$2:$F$1462,"Served"))</f>
        <v>0.000372438652919192</v>
      </c>
      <c r="I347" s="4" t="n">
        <f aca="false">IF(G347="","",RANK(G347,$G$2:$G$1462,0))</f>
        <v>346</v>
      </c>
      <c r="J347" s="4" t="s">
        <v>34</v>
      </c>
    </row>
    <row r="348" customFormat="false" ht="15" hidden="false" customHeight="false" outlineLevel="0" collapsed="false">
      <c r="A348" s="4" t="s">
        <v>775</v>
      </c>
      <c r="B348" s="4" t="s">
        <v>30</v>
      </c>
      <c r="C348" s="4" t="s">
        <v>737</v>
      </c>
      <c r="D348" s="7" t="s">
        <v>776</v>
      </c>
      <c r="E348" s="4" t="s">
        <v>33</v>
      </c>
      <c r="F348" s="4" t="s">
        <v>4</v>
      </c>
      <c r="G348" s="8" t="n">
        <v>3603.11147457361</v>
      </c>
      <c r="H348" s="6" t="n">
        <f aca="false">IF(G348="","",G348/SUMIFS($G$2:$G$1462,$F$2:$F$1462,"Served"))</f>
        <v>0.000371407799182445</v>
      </c>
      <c r="I348" s="4" t="n">
        <f aca="false">IF(G348="","",RANK(G348,$G$2:$G$1462,0))</f>
        <v>347</v>
      </c>
      <c r="J348" s="4" t="s">
        <v>34</v>
      </c>
    </row>
    <row r="349" customFormat="false" ht="15" hidden="false" customHeight="false" outlineLevel="0" collapsed="false">
      <c r="A349" s="4" t="s">
        <v>777</v>
      </c>
      <c r="B349" s="4" t="s">
        <v>30</v>
      </c>
      <c r="C349" s="4" t="s">
        <v>56</v>
      </c>
      <c r="D349" s="7" t="s">
        <v>778</v>
      </c>
      <c r="E349" s="4" t="s">
        <v>33</v>
      </c>
      <c r="F349" s="4" t="s">
        <v>4</v>
      </c>
      <c r="G349" s="8" t="n">
        <v>3599.88270843029</v>
      </c>
      <c r="H349" s="6" t="n">
        <f aca="false">IF(G349="","",G349/SUMIFS($G$2:$G$1462,$F$2:$F$1462,"Served"))</f>
        <v>0.000371074978803218</v>
      </c>
      <c r="I349" s="4" t="n">
        <f aca="false">IF(G349="","",RANK(G349,$G$2:$G$1462,0))</f>
        <v>348</v>
      </c>
      <c r="J349" s="4" t="s">
        <v>34</v>
      </c>
    </row>
    <row r="350" customFormat="false" ht="15" hidden="false" customHeight="false" outlineLevel="0" collapsed="false">
      <c r="A350" s="4" t="s">
        <v>779</v>
      </c>
      <c r="B350" s="4" t="s">
        <v>43</v>
      </c>
      <c r="C350" s="4" t="s">
        <v>44</v>
      </c>
      <c r="D350" s="7" t="s">
        <v>780</v>
      </c>
      <c r="E350" s="4" t="s">
        <v>46</v>
      </c>
      <c r="F350" s="4" t="s">
        <v>4</v>
      </c>
      <c r="G350" s="8" t="n">
        <v>3596.27032649517</v>
      </c>
      <c r="H350" s="6" t="n">
        <f aca="false">IF(G350="","",G350/SUMIFS($G$2:$G$1462,$F$2:$F$1462,"Served"))</f>
        <v>0.00037070261540736</v>
      </c>
      <c r="I350" s="4" t="n">
        <f aca="false">IF(G350="","",RANK(G350,$G$2:$G$1462,0))</f>
        <v>349</v>
      </c>
      <c r="J350" s="4" t="s">
        <v>34</v>
      </c>
    </row>
    <row r="351" customFormat="false" ht="15" hidden="false" customHeight="false" outlineLevel="0" collapsed="false">
      <c r="A351" s="4" t="s">
        <v>781</v>
      </c>
      <c r="B351" s="4" t="s">
        <v>43</v>
      </c>
      <c r="C351" s="4" t="s">
        <v>44</v>
      </c>
      <c r="D351" s="7" t="s">
        <v>782</v>
      </c>
      <c r="E351" s="4" t="s">
        <v>46</v>
      </c>
      <c r="F351" s="4" t="s">
        <v>4</v>
      </c>
      <c r="G351" s="8" t="n">
        <v>3588.87978565693</v>
      </c>
      <c r="H351" s="6" t="n">
        <f aca="false">IF(G351="","",G351/SUMIFS($G$2:$G$1462,$F$2:$F$1462,"Served"))</f>
        <v>0.000369940800368644</v>
      </c>
      <c r="I351" s="4" t="n">
        <f aca="false">IF(G351="","",RANK(G351,$G$2:$G$1462,0))</f>
        <v>350</v>
      </c>
      <c r="J351" s="4" t="s">
        <v>34</v>
      </c>
    </row>
    <row r="352" customFormat="false" ht="15" hidden="false" customHeight="false" outlineLevel="0" collapsed="false">
      <c r="A352" s="4" t="s">
        <v>783</v>
      </c>
      <c r="B352" s="4" t="s">
        <v>43</v>
      </c>
      <c r="C352" s="4" t="s">
        <v>44</v>
      </c>
      <c r="D352" s="7" t="s">
        <v>784</v>
      </c>
      <c r="E352" s="4" t="s">
        <v>46</v>
      </c>
      <c r="F352" s="4" t="s">
        <v>4</v>
      </c>
      <c r="G352" s="8" t="n">
        <v>3576.43005394936</v>
      </c>
      <c r="H352" s="6" t="n">
        <f aca="false">IF(G352="","",G352/SUMIFS($G$2:$G$1462,$F$2:$F$1462,"Served"))</f>
        <v>0.000368657485243216</v>
      </c>
      <c r="I352" s="4" t="n">
        <f aca="false">IF(G352="","",RANK(G352,$G$2:$G$1462,0))</f>
        <v>351</v>
      </c>
      <c r="J352" s="4" t="s">
        <v>34</v>
      </c>
    </row>
    <row r="353" customFormat="false" ht="15" hidden="false" customHeight="false" outlineLevel="0" collapsed="false">
      <c r="A353" s="4" t="s">
        <v>785</v>
      </c>
      <c r="B353" s="4" t="s">
        <v>30</v>
      </c>
      <c r="C353" s="4" t="s">
        <v>109</v>
      </c>
      <c r="D353" s="7" t="s">
        <v>786</v>
      </c>
      <c r="E353" s="4" t="s">
        <v>33</v>
      </c>
      <c r="F353" s="4" t="s">
        <v>4</v>
      </c>
      <c r="G353" s="8" t="n">
        <v>3576.08479362726</v>
      </c>
      <c r="H353" s="6" t="n">
        <f aca="false">IF(G353="","",G353/SUMIFS($G$2:$G$1462,$F$2:$F$1462,"Served"))</f>
        <v>0.000368621895898485</v>
      </c>
      <c r="I353" s="4" t="n">
        <f aca="false">IF(G353="","",RANK(G353,$G$2:$G$1462,0))</f>
        <v>352</v>
      </c>
      <c r="J353" s="4" t="s">
        <v>34</v>
      </c>
    </row>
    <row r="354" customFormat="false" ht="15" hidden="false" customHeight="false" outlineLevel="0" collapsed="false">
      <c r="A354" s="4" t="s">
        <v>787</v>
      </c>
      <c r="B354" s="4" t="s">
        <v>30</v>
      </c>
      <c r="C354" s="4" t="s">
        <v>788</v>
      </c>
      <c r="D354" s="7" t="s">
        <v>789</v>
      </c>
      <c r="E354" s="4" t="s">
        <v>33</v>
      </c>
      <c r="F354" s="4" t="s">
        <v>4</v>
      </c>
      <c r="G354" s="8" t="n">
        <v>3523.0317491293</v>
      </c>
      <c r="H354" s="6" t="n">
        <f aca="false">IF(G354="","",G354/SUMIFS($G$2:$G$1462,$F$2:$F$1462,"Served"))</f>
        <v>0.000363153201788973</v>
      </c>
      <c r="I354" s="4" t="n">
        <f aca="false">IF(G354="","",RANK(G354,$G$2:$G$1462,0))</f>
        <v>353</v>
      </c>
      <c r="J354" s="4" t="s">
        <v>34</v>
      </c>
    </row>
    <row r="355" customFormat="false" ht="15" hidden="false" customHeight="false" outlineLevel="0" collapsed="false">
      <c r="A355" s="4" t="s">
        <v>790</v>
      </c>
      <c r="B355" s="4" t="s">
        <v>321</v>
      </c>
      <c r="C355" s="4" t="s">
        <v>322</v>
      </c>
      <c r="D355" s="7" t="s">
        <v>791</v>
      </c>
      <c r="E355" s="4" t="s">
        <v>324</v>
      </c>
      <c r="F355" s="4" t="s">
        <v>4</v>
      </c>
      <c r="G355" s="8" t="n">
        <v>3514.67623096705</v>
      </c>
      <c r="H355" s="6" t="n">
        <f aca="false">IF(G355="","",G355/SUMIFS($G$2:$G$1462,$F$2:$F$1462,"Served"))</f>
        <v>0.000362291917137201</v>
      </c>
      <c r="I355" s="4" t="n">
        <f aca="false">IF(G355="","",RANK(G355,$G$2:$G$1462,0))</f>
        <v>354</v>
      </c>
      <c r="J355" s="4" t="s">
        <v>34</v>
      </c>
    </row>
    <row r="356" customFormat="false" ht="15" hidden="false" customHeight="false" outlineLevel="0" collapsed="false">
      <c r="A356" s="4" t="s">
        <v>792</v>
      </c>
      <c r="B356" s="4" t="s">
        <v>30</v>
      </c>
      <c r="C356" s="4" t="s">
        <v>109</v>
      </c>
      <c r="D356" s="7" t="s">
        <v>793</v>
      </c>
      <c r="E356" s="4" t="s">
        <v>33</v>
      </c>
      <c r="F356" s="4" t="s">
        <v>4</v>
      </c>
      <c r="G356" s="8" t="n">
        <v>3507.10331189632</v>
      </c>
      <c r="H356" s="6" t="n">
        <f aca="false">IF(G356="","",G356/SUMIFS($G$2:$G$1462,$F$2:$F$1462,"Served"))</f>
        <v>0.000361511302597437</v>
      </c>
      <c r="I356" s="4" t="n">
        <f aca="false">IF(G356="","",RANK(G356,$G$2:$G$1462,0))</f>
        <v>355</v>
      </c>
      <c r="J356" s="4" t="s">
        <v>34</v>
      </c>
    </row>
    <row r="357" customFormat="false" ht="15" hidden="false" customHeight="false" outlineLevel="0" collapsed="false">
      <c r="A357" s="4" t="s">
        <v>794</v>
      </c>
      <c r="B357" s="4" t="s">
        <v>43</v>
      </c>
      <c r="C357" s="4" t="s">
        <v>44</v>
      </c>
      <c r="D357" s="7" t="s">
        <v>795</v>
      </c>
      <c r="E357" s="4" t="s">
        <v>46</v>
      </c>
      <c r="F357" s="4" t="s">
        <v>4</v>
      </c>
      <c r="G357" s="8" t="n">
        <v>3488.15337502956</v>
      </c>
      <c r="H357" s="6" t="n">
        <f aca="false">IF(G357="","",G357/SUMIFS($G$2:$G$1462,$F$2:$F$1462,"Served"))</f>
        <v>0.000359557948004887</v>
      </c>
      <c r="I357" s="4" t="n">
        <f aca="false">IF(G357="","",RANK(G357,$G$2:$G$1462,0))</f>
        <v>356</v>
      </c>
      <c r="J357" s="4" t="s">
        <v>34</v>
      </c>
    </row>
    <row r="358" customFormat="false" ht="15" hidden="false" customHeight="false" outlineLevel="0" collapsed="false">
      <c r="A358" s="4" t="s">
        <v>796</v>
      </c>
      <c r="B358" s="4" t="s">
        <v>43</v>
      </c>
      <c r="C358" s="4" t="s">
        <v>44</v>
      </c>
      <c r="D358" s="7" t="s">
        <v>797</v>
      </c>
      <c r="E358" s="4" t="s">
        <v>46</v>
      </c>
      <c r="F358" s="4" t="s">
        <v>4</v>
      </c>
      <c r="G358" s="8" t="n">
        <v>3450.42360758781</v>
      </c>
      <c r="H358" s="6" t="n">
        <f aca="false">IF(G358="","",G358/SUMIFS($G$2:$G$1462,$F$2:$F$1462,"Served"))</f>
        <v>0.000355668773332359</v>
      </c>
      <c r="I358" s="4" t="n">
        <f aca="false">IF(G358="","",RANK(G358,$G$2:$G$1462,0))</f>
        <v>357</v>
      </c>
      <c r="J358" s="4" t="s">
        <v>34</v>
      </c>
    </row>
    <row r="359" customFormat="false" ht="15" hidden="false" customHeight="false" outlineLevel="0" collapsed="false">
      <c r="A359" s="4" t="s">
        <v>798</v>
      </c>
      <c r="B359" s="4" t="s">
        <v>30</v>
      </c>
      <c r="C359" s="4" t="s">
        <v>799</v>
      </c>
      <c r="D359" s="7" t="s">
        <v>800</v>
      </c>
      <c r="E359" s="4" t="s">
        <v>33</v>
      </c>
      <c r="F359" s="4" t="s">
        <v>4</v>
      </c>
      <c r="G359" s="8" t="n">
        <v>3446.41680902243</v>
      </c>
      <c r="H359" s="6" t="n">
        <f aca="false">IF(G359="","",G359/SUMIFS($G$2:$G$1462,$F$2:$F$1462,"Served"))</f>
        <v>0.000355255753572232</v>
      </c>
      <c r="I359" s="4" t="n">
        <f aca="false">IF(G359="","",RANK(G359,$G$2:$G$1462,0))</f>
        <v>358</v>
      </c>
      <c r="J359" s="4" t="s">
        <v>34</v>
      </c>
    </row>
    <row r="360" customFormat="false" ht="15" hidden="false" customHeight="false" outlineLevel="0" collapsed="false">
      <c r="A360" s="4" t="s">
        <v>801</v>
      </c>
      <c r="B360" s="4" t="s">
        <v>72</v>
      </c>
      <c r="C360" s="4" t="s">
        <v>73</v>
      </c>
      <c r="D360" s="7" t="s">
        <v>802</v>
      </c>
      <c r="E360" s="4" t="s">
        <v>75</v>
      </c>
      <c r="F360" s="4" t="s">
        <v>4</v>
      </c>
      <c r="G360" s="8" t="n">
        <v>3437.77355885506</v>
      </c>
      <c r="H360" s="6" t="n">
        <f aca="false">IF(G360="","",G360/SUMIFS($G$2:$G$1462,$F$2:$F$1462,"Served"))</f>
        <v>0.000354364809579769</v>
      </c>
      <c r="I360" s="4" t="n">
        <f aca="false">IF(G360="","",RANK(G360,$G$2:$G$1462,0))</f>
        <v>359</v>
      </c>
      <c r="J360" s="4" t="s">
        <v>34</v>
      </c>
    </row>
    <row r="361" customFormat="false" ht="15" hidden="false" customHeight="false" outlineLevel="0" collapsed="false">
      <c r="A361" s="4" t="s">
        <v>803</v>
      </c>
      <c r="B361" s="4" t="s">
        <v>43</v>
      </c>
      <c r="C361" s="4" t="s">
        <v>44</v>
      </c>
      <c r="D361" s="7" t="s">
        <v>804</v>
      </c>
      <c r="E361" s="4" t="s">
        <v>46</v>
      </c>
      <c r="F361" s="4" t="s">
        <v>4</v>
      </c>
      <c r="G361" s="8" t="n">
        <v>3432.37205696106</v>
      </c>
      <c r="H361" s="6" t="n">
        <f aca="false">IF(G361="","",G361/SUMIFS($G$2:$G$1462,$F$2:$F$1462,"Served"))</f>
        <v>0.000353808024161143</v>
      </c>
      <c r="I361" s="4" t="n">
        <f aca="false">IF(G361="","",RANK(G361,$G$2:$G$1462,0))</f>
        <v>360</v>
      </c>
      <c r="J361" s="4" t="s">
        <v>34</v>
      </c>
    </row>
    <row r="362" customFormat="false" ht="15" hidden="false" customHeight="false" outlineLevel="0" collapsed="false">
      <c r="A362" s="4" t="s">
        <v>805</v>
      </c>
      <c r="B362" s="4" t="s">
        <v>171</v>
      </c>
      <c r="C362" s="4" t="s">
        <v>515</v>
      </c>
      <c r="D362" s="7" t="s">
        <v>806</v>
      </c>
      <c r="E362" s="4" t="s">
        <v>33</v>
      </c>
      <c r="F362" s="4" t="s">
        <v>4</v>
      </c>
      <c r="G362" s="8" t="n">
        <v>3423.79099696875</v>
      </c>
      <c r="H362" s="6" t="n">
        <f aca="false">IF(G362="","",G362/SUMIFS($G$2:$G$1462,$F$2:$F$1462,"Served"))</f>
        <v>0.000352923490715845</v>
      </c>
      <c r="I362" s="4" t="n">
        <f aca="false">IF(G362="","",RANK(G362,$G$2:$G$1462,0))</f>
        <v>361</v>
      </c>
      <c r="J362" s="4" t="s">
        <v>34</v>
      </c>
    </row>
    <row r="363" customFormat="false" ht="15" hidden="false" customHeight="false" outlineLevel="0" collapsed="false">
      <c r="A363" s="4" t="s">
        <v>807</v>
      </c>
      <c r="B363" s="4" t="s">
        <v>43</v>
      </c>
      <c r="C363" s="4" t="s">
        <v>44</v>
      </c>
      <c r="D363" s="7" t="s">
        <v>808</v>
      </c>
      <c r="E363" s="4" t="s">
        <v>46</v>
      </c>
      <c r="F363" s="4" t="s">
        <v>4</v>
      </c>
      <c r="G363" s="8" t="n">
        <v>3393.10978764296</v>
      </c>
      <c r="H363" s="6" t="n">
        <f aca="false">IF(G363="","",G363/SUMIFS($G$2:$G$1462,$F$2:$F$1462,"Served"))</f>
        <v>0.000349760879591442</v>
      </c>
      <c r="I363" s="4" t="n">
        <f aca="false">IF(G363="","",RANK(G363,$G$2:$G$1462,0))</f>
        <v>362</v>
      </c>
      <c r="J363" s="4" t="s">
        <v>34</v>
      </c>
    </row>
    <row r="364" customFormat="false" ht="15" hidden="false" customHeight="false" outlineLevel="0" collapsed="false">
      <c r="A364" s="4" t="s">
        <v>809</v>
      </c>
      <c r="B364" s="4" t="s">
        <v>43</v>
      </c>
      <c r="C364" s="4" t="s">
        <v>44</v>
      </c>
      <c r="D364" s="7" t="s">
        <v>810</v>
      </c>
      <c r="E364" s="4" t="s">
        <v>46</v>
      </c>
      <c r="F364" s="4" t="s">
        <v>4</v>
      </c>
      <c r="G364" s="8" t="n">
        <v>3374.89827656746</v>
      </c>
      <c r="H364" s="6" t="n">
        <f aca="false">IF(G364="","",G364/SUMIFS($G$2:$G$1462,$F$2:$F$1462,"Served"))</f>
        <v>0.000347883641738529</v>
      </c>
      <c r="I364" s="4" t="n">
        <f aca="false">IF(G364="","",RANK(G364,$G$2:$G$1462,0))</f>
        <v>363</v>
      </c>
      <c r="J364" s="4" t="s">
        <v>34</v>
      </c>
    </row>
    <row r="365" customFormat="false" ht="15" hidden="false" customHeight="false" outlineLevel="0" collapsed="false">
      <c r="A365" s="4" t="s">
        <v>811</v>
      </c>
      <c r="B365" s="4" t="s">
        <v>321</v>
      </c>
      <c r="C365" s="4" t="s">
        <v>322</v>
      </c>
      <c r="D365" s="7" t="s">
        <v>812</v>
      </c>
      <c r="E365" s="4" t="s">
        <v>324</v>
      </c>
      <c r="F365" s="4" t="s">
        <v>4</v>
      </c>
      <c r="G365" s="8" t="n">
        <v>3351.33231931925</v>
      </c>
      <c r="H365" s="6" t="n">
        <f aca="false">IF(G365="","",G365/SUMIFS($G$2:$G$1462,$F$2:$F$1462,"Served"))</f>
        <v>0.000345454468958571</v>
      </c>
      <c r="I365" s="4" t="n">
        <f aca="false">IF(G365="","",RANK(G365,$G$2:$G$1462,0))</f>
        <v>364</v>
      </c>
      <c r="J365" s="4" t="s">
        <v>34</v>
      </c>
    </row>
    <row r="366" customFormat="false" ht="15" hidden="false" customHeight="false" outlineLevel="0" collapsed="false">
      <c r="A366" s="4" t="s">
        <v>813</v>
      </c>
      <c r="B366" s="4" t="s">
        <v>30</v>
      </c>
      <c r="C366" s="4" t="s">
        <v>109</v>
      </c>
      <c r="D366" s="7" t="s">
        <v>814</v>
      </c>
      <c r="E366" s="4" t="s">
        <v>33</v>
      </c>
      <c r="F366" s="4" t="s">
        <v>4</v>
      </c>
      <c r="G366" s="8" t="n">
        <v>3318.1064043045</v>
      </c>
      <c r="H366" s="6" t="n">
        <f aca="false">IF(G366="","",G366/SUMIFS($G$2:$G$1462,$F$2:$F$1462,"Served"))</f>
        <v>0.000342029550229708</v>
      </c>
      <c r="I366" s="4" t="n">
        <f aca="false">IF(G366="","",RANK(G366,$G$2:$G$1462,0))</f>
        <v>365</v>
      </c>
      <c r="J366" s="4" t="s">
        <v>34</v>
      </c>
    </row>
    <row r="367" customFormat="false" ht="15" hidden="false" customHeight="false" outlineLevel="0" collapsed="false">
      <c r="A367" s="4" t="s">
        <v>815</v>
      </c>
      <c r="B367" s="4" t="s">
        <v>43</v>
      </c>
      <c r="C367" s="4" t="s">
        <v>44</v>
      </c>
      <c r="D367" s="7" t="s">
        <v>816</v>
      </c>
      <c r="E367" s="4" t="s">
        <v>46</v>
      </c>
      <c r="F367" s="4" t="s">
        <v>4</v>
      </c>
      <c r="G367" s="8" t="n">
        <v>3314.46032321453</v>
      </c>
      <c r="H367" s="6" t="n">
        <f aca="false">IF(G367="","",G367/SUMIFS($G$2:$G$1462,$F$2:$F$1462,"Served"))</f>
        <v>0.000341653713133681</v>
      </c>
      <c r="I367" s="4" t="n">
        <f aca="false">IF(G367="","",RANK(G367,$G$2:$G$1462,0))</f>
        <v>366</v>
      </c>
      <c r="J367" s="4" t="s">
        <v>34</v>
      </c>
    </row>
    <row r="368" customFormat="false" ht="15" hidden="false" customHeight="false" outlineLevel="0" collapsed="false">
      <c r="A368" s="4" t="s">
        <v>817</v>
      </c>
      <c r="B368" s="4" t="s">
        <v>204</v>
      </c>
      <c r="C368" s="4" t="s">
        <v>212</v>
      </c>
      <c r="D368" s="7" t="s">
        <v>818</v>
      </c>
      <c r="E368" s="4" t="s">
        <v>207</v>
      </c>
      <c r="F368" s="4" t="s">
        <v>4</v>
      </c>
      <c r="G368" s="8" t="n">
        <v>3306.34886974096</v>
      </c>
      <c r="H368" s="6" t="n">
        <f aca="false">IF(G368="","",G368/SUMIFS($G$2:$G$1462,$F$2:$F$1462,"Served"))</f>
        <v>0.000340817586606914</v>
      </c>
      <c r="I368" s="4" t="n">
        <f aca="false">IF(G368="","",RANK(G368,$G$2:$G$1462,0))</f>
        <v>367</v>
      </c>
      <c r="J368" s="4" t="s">
        <v>34</v>
      </c>
    </row>
    <row r="369" customFormat="false" ht="15" hidden="false" customHeight="false" outlineLevel="0" collapsed="false">
      <c r="A369" s="4" t="s">
        <v>819</v>
      </c>
      <c r="B369" s="4" t="s">
        <v>43</v>
      </c>
      <c r="C369" s="4" t="s">
        <v>44</v>
      </c>
      <c r="D369" s="7" t="s">
        <v>820</v>
      </c>
      <c r="E369" s="4" t="s">
        <v>46</v>
      </c>
      <c r="F369" s="4" t="s">
        <v>4</v>
      </c>
      <c r="G369" s="8" t="n">
        <v>3296.34062731266</v>
      </c>
      <c r="H369" s="6" t="n">
        <f aca="false">IF(G369="","",G369/SUMIFS($G$2:$G$1462,$F$2:$F$1462,"Served"))</f>
        <v>0.000339785939565125</v>
      </c>
      <c r="I369" s="4" t="n">
        <f aca="false">IF(G369="","",RANK(G369,$G$2:$G$1462,0))</f>
        <v>368</v>
      </c>
      <c r="J369" s="4" t="s">
        <v>34</v>
      </c>
    </row>
    <row r="370" customFormat="false" ht="15" hidden="false" customHeight="false" outlineLevel="0" collapsed="false">
      <c r="A370" s="4" t="s">
        <v>821</v>
      </c>
      <c r="B370" s="4" t="s">
        <v>43</v>
      </c>
      <c r="C370" s="4" t="s">
        <v>44</v>
      </c>
      <c r="D370" s="7" t="s">
        <v>822</v>
      </c>
      <c r="E370" s="4" t="s">
        <v>46</v>
      </c>
      <c r="F370" s="4" t="s">
        <v>4</v>
      </c>
      <c r="G370" s="8" t="n">
        <v>3277.81506204605</v>
      </c>
      <c r="H370" s="6" t="n">
        <f aca="false">IF(G370="","",G370/SUMIFS($G$2:$G$1462,$F$2:$F$1462,"Served"))</f>
        <v>0.000337876329087393</v>
      </c>
      <c r="I370" s="4" t="n">
        <f aca="false">IF(G370="","",RANK(G370,$G$2:$G$1462,0))</f>
        <v>369</v>
      </c>
      <c r="J370" s="4" t="s">
        <v>34</v>
      </c>
    </row>
    <row r="371" customFormat="false" ht="15" hidden="false" customHeight="false" outlineLevel="0" collapsed="false">
      <c r="A371" s="4" t="s">
        <v>823</v>
      </c>
      <c r="B371" s="4" t="s">
        <v>321</v>
      </c>
      <c r="C371" s="4" t="s">
        <v>322</v>
      </c>
      <c r="D371" s="7" t="s">
        <v>824</v>
      </c>
      <c r="E371" s="4" t="s">
        <v>324</v>
      </c>
      <c r="F371" s="4" t="s">
        <v>4</v>
      </c>
      <c r="G371" s="8" t="n">
        <v>3267.99516677856</v>
      </c>
      <c r="H371" s="6" t="n">
        <f aca="false">IF(G371="","",G371/SUMIFS($G$2:$G$1462,$F$2:$F$1462,"Served"))</f>
        <v>0.000336864096822242</v>
      </c>
      <c r="I371" s="4" t="n">
        <f aca="false">IF(G371="","",RANK(G371,$G$2:$G$1462,0))</f>
        <v>370</v>
      </c>
      <c r="J371" s="4" t="s">
        <v>34</v>
      </c>
    </row>
    <row r="372" customFormat="false" ht="15" hidden="false" customHeight="false" outlineLevel="0" collapsed="false">
      <c r="A372" s="4" t="s">
        <v>825</v>
      </c>
      <c r="B372" s="4" t="s">
        <v>171</v>
      </c>
      <c r="C372" s="4" t="s">
        <v>249</v>
      </c>
      <c r="D372" s="7" t="s">
        <v>826</v>
      </c>
      <c r="E372" s="4" t="s">
        <v>33</v>
      </c>
      <c r="F372" s="4" t="s">
        <v>4</v>
      </c>
      <c r="G372" s="8" t="n">
        <v>3254.99033743143</v>
      </c>
      <c r="H372" s="6" t="n">
        <f aca="false">IF(G372="","",G372/SUMIFS($G$2:$G$1462,$F$2:$F$1462,"Served"))</f>
        <v>0.000335523562375654</v>
      </c>
      <c r="I372" s="4" t="n">
        <f aca="false">IF(G372="","",RANK(G372,$G$2:$G$1462,0))</f>
        <v>371</v>
      </c>
      <c r="J372" s="4" t="s">
        <v>34</v>
      </c>
    </row>
    <row r="373" customFormat="false" ht="15" hidden="false" customHeight="false" outlineLevel="0" collapsed="false">
      <c r="A373" s="4" t="s">
        <v>827</v>
      </c>
      <c r="B373" s="4" t="s">
        <v>30</v>
      </c>
      <c r="C373" s="4" t="s">
        <v>109</v>
      </c>
      <c r="D373" s="7" t="s">
        <v>828</v>
      </c>
      <c r="E373" s="4" t="s">
        <v>33</v>
      </c>
      <c r="F373" s="4" t="s">
        <v>4</v>
      </c>
      <c r="G373" s="8" t="n">
        <v>3247.89639353752</v>
      </c>
      <c r="H373" s="6" t="n">
        <f aca="false">IF(G373="","",G373/SUMIFS($G$2:$G$1462,$F$2:$F$1462,"Served"))</f>
        <v>0.000334792320473272</v>
      </c>
      <c r="I373" s="4" t="n">
        <f aca="false">IF(G373="","",RANK(G373,$G$2:$G$1462,0))</f>
        <v>372</v>
      </c>
      <c r="J373" s="4" t="s">
        <v>34</v>
      </c>
    </row>
    <row r="374" customFormat="false" ht="15" hidden="false" customHeight="false" outlineLevel="0" collapsed="false">
      <c r="A374" s="4" t="s">
        <v>829</v>
      </c>
      <c r="B374" s="4" t="s">
        <v>171</v>
      </c>
      <c r="C374" s="4" t="s">
        <v>830</v>
      </c>
      <c r="D374" s="7" t="s">
        <v>831</v>
      </c>
      <c r="E374" s="4" t="s">
        <v>33</v>
      </c>
      <c r="F374" s="4" t="s">
        <v>4</v>
      </c>
      <c r="G374" s="8" t="n">
        <v>3242.32123929262</v>
      </c>
      <c r="H374" s="6" t="n">
        <f aca="false">IF(G374="","",G374/SUMIFS($G$2:$G$1462,$F$2:$F$1462,"Served"))</f>
        <v>0.000334217635015214</v>
      </c>
      <c r="I374" s="4" t="n">
        <f aca="false">IF(G374="","",RANK(G374,$G$2:$G$1462,0))</f>
        <v>373</v>
      </c>
      <c r="J374" s="4" t="s">
        <v>34</v>
      </c>
    </row>
    <row r="375" customFormat="false" ht="15" hidden="false" customHeight="false" outlineLevel="0" collapsed="false">
      <c r="A375" s="4" t="s">
        <v>832</v>
      </c>
      <c r="B375" s="4" t="s">
        <v>204</v>
      </c>
      <c r="C375" s="4" t="s">
        <v>212</v>
      </c>
      <c r="D375" s="7" t="s">
        <v>833</v>
      </c>
      <c r="E375" s="4" t="s">
        <v>207</v>
      </c>
      <c r="F375" s="4" t="s">
        <v>4</v>
      </c>
      <c r="G375" s="8" t="n">
        <v>3241.84671390057</v>
      </c>
      <c r="H375" s="6" t="n">
        <f aca="false">IF(G375="","",G375/SUMIFS($G$2:$G$1462,$F$2:$F$1462,"Served"))</f>
        <v>0.000334168721060493</v>
      </c>
      <c r="I375" s="4" t="n">
        <f aca="false">IF(G375="","",RANK(G375,$G$2:$G$1462,0))</f>
        <v>374</v>
      </c>
      <c r="J375" s="4" t="s">
        <v>34</v>
      </c>
    </row>
    <row r="376" customFormat="false" ht="15" hidden="false" customHeight="false" outlineLevel="0" collapsed="false">
      <c r="A376" s="4" t="s">
        <v>834</v>
      </c>
      <c r="B376" s="4" t="s">
        <v>30</v>
      </c>
      <c r="C376" s="4" t="s">
        <v>109</v>
      </c>
      <c r="D376" s="7" t="s">
        <v>835</v>
      </c>
      <c r="E376" s="4" t="s">
        <v>33</v>
      </c>
      <c r="F376" s="4" t="s">
        <v>4</v>
      </c>
      <c r="G376" s="8" t="n">
        <v>3215.37165039778</v>
      </c>
      <c r="H376" s="6" t="n">
        <f aca="false">IF(G376="","",G376/SUMIFS($G$2:$G$1462,$F$2:$F$1462,"Served"))</f>
        <v>0.00033143967835999</v>
      </c>
      <c r="I376" s="4" t="n">
        <f aca="false">IF(G376="","",RANK(G376,$G$2:$G$1462,0))</f>
        <v>375</v>
      </c>
      <c r="J376" s="4" t="s">
        <v>34</v>
      </c>
    </row>
    <row r="377" customFormat="false" ht="15" hidden="false" customHeight="false" outlineLevel="0" collapsed="false">
      <c r="A377" s="4" t="s">
        <v>836</v>
      </c>
      <c r="B377" s="4" t="s">
        <v>321</v>
      </c>
      <c r="C377" s="4" t="s">
        <v>322</v>
      </c>
      <c r="D377" s="7" t="s">
        <v>837</v>
      </c>
      <c r="E377" s="4" t="s">
        <v>324</v>
      </c>
      <c r="F377" s="4" t="s">
        <v>4</v>
      </c>
      <c r="G377" s="8" t="n">
        <v>3208.03067040443</v>
      </c>
      <c r="H377" s="6" t="n">
        <f aca="false">IF(G377="","",G377/SUMIFS($G$2:$G$1462,$F$2:$F$1462,"Served"))</f>
        <v>0.000330682972040352</v>
      </c>
      <c r="I377" s="4" t="n">
        <f aca="false">IF(G377="","",RANK(G377,$G$2:$G$1462,0))</f>
        <v>376</v>
      </c>
      <c r="J377" s="4" t="s">
        <v>34</v>
      </c>
    </row>
    <row r="378" customFormat="false" ht="15" hidden="false" customHeight="false" outlineLevel="0" collapsed="false">
      <c r="A378" s="4" t="s">
        <v>838</v>
      </c>
      <c r="B378" s="4" t="s">
        <v>30</v>
      </c>
      <c r="C378" s="4" t="s">
        <v>31</v>
      </c>
      <c r="D378" s="7" t="s">
        <v>839</v>
      </c>
      <c r="E378" s="4" t="s">
        <v>33</v>
      </c>
      <c r="F378" s="4" t="s">
        <v>4</v>
      </c>
      <c r="G378" s="8" t="n">
        <v>3187.97241151333</v>
      </c>
      <c r="H378" s="6" t="n">
        <f aca="false">IF(G378="","",G378/SUMIFS($G$2:$G$1462,$F$2:$F$1462,"Served"))</f>
        <v>0.000328615371900098</v>
      </c>
      <c r="I378" s="4" t="n">
        <f aca="false">IF(G378="","",RANK(G378,$G$2:$G$1462,0))</f>
        <v>377</v>
      </c>
      <c r="J378" s="4" t="s">
        <v>34</v>
      </c>
    </row>
    <row r="379" customFormat="false" ht="15" hidden="false" customHeight="false" outlineLevel="0" collapsed="false">
      <c r="A379" s="4" t="s">
        <v>840</v>
      </c>
      <c r="B379" s="4" t="s">
        <v>171</v>
      </c>
      <c r="C379" s="4" t="s">
        <v>515</v>
      </c>
      <c r="D379" s="7" t="s">
        <v>841</v>
      </c>
      <c r="E379" s="4" t="s">
        <v>33</v>
      </c>
      <c r="F379" s="4" t="s">
        <v>4</v>
      </c>
      <c r="G379" s="8" t="n">
        <v>3162.96554887295</v>
      </c>
      <c r="H379" s="6" t="n">
        <f aca="false">IF(G379="","",G379/SUMIFS($G$2:$G$1462,$F$2:$F$1462,"Served"))</f>
        <v>0.000326037670964875</v>
      </c>
      <c r="I379" s="4" t="n">
        <f aca="false">IF(G379="","",RANK(G379,$G$2:$G$1462,0))</f>
        <v>378</v>
      </c>
      <c r="J379" s="4" t="s">
        <v>34</v>
      </c>
    </row>
    <row r="380" customFormat="false" ht="15" hidden="false" customHeight="false" outlineLevel="0" collapsed="false">
      <c r="A380" s="4" t="s">
        <v>842</v>
      </c>
      <c r="B380" s="4" t="s">
        <v>43</v>
      </c>
      <c r="C380" s="4" t="s">
        <v>44</v>
      </c>
      <c r="D380" s="7" t="s">
        <v>843</v>
      </c>
      <c r="E380" s="4" t="s">
        <v>46</v>
      </c>
      <c r="F380" s="4" t="s">
        <v>4</v>
      </c>
      <c r="G380" s="8" t="n">
        <v>3155.86572626233</v>
      </c>
      <c r="H380" s="6" t="n">
        <f aca="false">IF(G380="","",G380/SUMIFS($G$2:$G$1462,$F$2:$F$1462,"Served"))</f>
        <v>0.000325305823085895</v>
      </c>
      <c r="I380" s="4" t="n">
        <f aca="false">IF(G380="","",RANK(G380,$G$2:$G$1462,0))</f>
        <v>379</v>
      </c>
      <c r="J380" s="4" t="s">
        <v>34</v>
      </c>
    </row>
    <row r="381" customFormat="false" ht="15" hidden="false" customHeight="false" outlineLevel="0" collapsed="false">
      <c r="A381" s="4" t="s">
        <v>844</v>
      </c>
      <c r="B381" s="4" t="s">
        <v>43</v>
      </c>
      <c r="C381" s="4" t="s">
        <v>44</v>
      </c>
      <c r="D381" s="7" t="s">
        <v>845</v>
      </c>
      <c r="E381" s="4" t="s">
        <v>46</v>
      </c>
      <c r="F381" s="4" t="s">
        <v>4</v>
      </c>
      <c r="G381" s="8" t="n">
        <v>3143.59336256981</v>
      </c>
      <c r="H381" s="6" t="n">
        <f aca="false">IF(G381="","",G381/SUMIFS($G$2:$G$1462,$F$2:$F$1462,"Served"))</f>
        <v>0.000324040791009599</v>
      </c>
      <c r="I381" s="4" t="n">
        <f aca="false">IF(G381="","",RANK(G381,$G$2:$G$1462,0))</f>
        <v>380</v>
      </c>
      <c r="J381" s="4" t="s">
        <v>34</v>
      </c>
    </row>
    <row r="382" customFormat="false" ht="15" hidden="false" customHeight="false" outlineLevel="0" collapsed="false">
      <c r="A382" s="4" t="s">
        <v>846</v>
      </c>
      <c r="B382" s="4" t="s">
        <v>171</v>
      </c>
      <c r="C382" s="4" t="s">
        <v>249</v>
      </c>
      <c r="D382" s="7" t="s">
        <v>847</v>
      </c>
      <c r="E382" s="4" t="s">
        <v>33</v>
      </c>
      <c r="F382" s="4" t="s">
        <v>4</v>
      </c>
      <c r="G382" s="8" t="n">
        <v>3126.10993492603</v>
      </c>
      <c r="H382" s="6" t="n">
        <f aca="false">IF(G382="","",G382/SUMIFS($G$2:$G$1462,$F$2:$F$1462,"Served"))</f>
        <v>0.000322238603808575</v>
      </c>
      <c r="I382" s="4" t="n">
        <f aca="false">IF(G382="","",RANK(G382,$G$2:$G$1462,0))</f>
        <v>381</v>
      </c>
      <c r="J382" s="4" t="s">
        <v>34</v>
      </c>
    </row>
    <row r="383" customFormat="false" ht="15" hidden="false" customHeight="false" outlineLevel="0" collapsed="false">
      <c r="A383" s="4" t="s">
        <v>848</v>
      </c>
      <c r="B383" s="4" t="s">
        <v>43</v>
      </c>
      <c r="C383" s="4" t="s">
        <v>44</v>
      </c>
      <c r="D383" s="7" t="s">
        <v>849</v>
      </c>
      <c r="E383" s="4" t="s">
        <v>46</v>
      </c>
      <c r="F383" s="4" t="s">
        <v>4</v>
      </c>
      <c r="G383" s="8" t="n">
        <v>3122.15432411432</v>
      </c>
      <c r="H383" s="6" t="n">
        <f aca="false">IF(G383="","",G383/SUMIFS($G$2:$G$1462,$F$2:$F$1462,"Served"))</f>
        <v>0.000321830860468862</v>
      </c>
      <c r="I383" s="4" t="n">
        <f aca="false">IF(G383="","",RANK(G383,$G$2:$G$1462,0))</f>
        <v>382</v>
      </c>
      <c r="J383" s="4" t="s">
        <v>34</v>
      </c>
    </row>
    <row r="384" customFormat="false" ht="15" hidden="false" customHeight="false" outlineLevel="0" collapsed="false">
      <c r="A384" s="4" t="s">
        <v>850</v>
      </c>
      <c r="B384" s="4" t="s">
        <v>321</v>
      </c>
      <c r="C384" s="4" t="s">
        <v>322</v>
      </c>
      <c r="D384" s="7" t="s">
        <v>851</v>
      </c>
      <c r="E384" s="4" t="s">
        <v>324</v>
      </c>
      <c r="F384" s="4" t="s">
        <v>4</v>
      </c>
      <c r="G384" s="8" t="n">
        <v>3117.60771477222</v>
      </c>
      <c r="H384" s="6" t="n">
        <f aca="false">IF(G384="","",G384/SUMIFS($G$2:$G$1462,$F$2:$F$1462,"Served"))</f>
        <v>0.000321362197153445</v>
      </c>
      <c r="I384" s="4" t="n">
        <f aca="false">IF(G384="","",RANK(G384,$G$2:$G$1462,0))</f>
        <v>383</v>
      </c>
      <c r="J384" s="4" t="s">
        <v>34</v>
      </c>
    </row>
    <row r="385" customFormat="false" ht="15" hidden="false" customHeight="false" outlineLevel="0" collapsed="false">
      <c r="A385" s="4" t="s">
        <v>852</v>
      </c>
      <c r="B385" s="4" t="s">
        <v>30</v>
      </c>
      <c r="C385" s="4" t="s">
        <v>788</v>
      </c>
      <c r="D385" s="7" t="s">
        <v>853</v>
      </c>
      <c r="E385" s="4" t="s">
        <v>33</v>
      </c>
      <c r="F385" s="4" t="s">
        <v>4</v>
      </c>
      <c r="G385" s="8" t="n">
        <v>3113.67562431097</v>
      </c>
      <c r="H385" s="6" t="n">
        <f aca="false">IF(G385="","",G385/SUMIFS($G$2:$G$1462,$F$2:$F$1462,"Served"))</f>
        <v>0.000320956878285376</v>
      </c>
      <c r="I385" s="4" t="n">
        <f aca="false">IF(G385="","",RANK(G385,$G$2:$G$1462,0))</f>
        <v>384</v>
      </c>
      <c r="J385" s="4" t="s">
        <v>34</v>
      </c>
    </row>
    <row r="386" customFormat="false" ht="15" hidden="false" customHeight="false" outlineLevel="0" collapsed="false">
      <c r="A386" s="4" t="s">
        <v>854</v>
      </c>
      <c r="B386" s="4" t="s">
        <v>321</v>
      </c>
      <c r="C386" s="4" t="s">
        <v>322</v>
      </c>
      <c r="D386" s="7" t="s">
        <v>855</v>
      </c>
      <c r="E386" s="4" t="s">
        <v>324</v>
      </c>
      <c r="F386" s="4" t="s">
        <v>4</v>
      </c>
      <c r="G386" s="8" t="n">
        <v>3101.28168898821</v>
      </c>
      <c r="H386" s="6" t="n">
        <f aca="false">IF(G386="","",G386/SUMIFS($G$2:$G$1462,$F$2:$F$1462,"Served"))</f>
        <v>0.000319679314636868</v>
      </c>
      <c r="I386" s="4" t="n">
        <f aca="false">IF(G386="","",RANK(G386,$G$2:$G$1462,0))</f>
        <v>385</v>
      </c>
      <c r="J386" s="4" t="s">
        <v>34</v>
      </c>
    </row>
    <row r="387" customFormat="false" ht="15" hidden="false" customHeight="false" outlineLevel="0" collapsed="false">
      <c r="A387" s="4" t="s">
        <v>856</v>
      </c>
      <c r="B387" s="4" t="s">
        <v>30</v>
      </c>
      <c r="C387" s="4" t="s">
        <v>109</v>
      </c>
      <c r="D387" s="7" t="s">
        <v>857</v>
      </c>
      <c r="E387" s="4" t="s">
        <v>33</v>
      </c>
      <c r="F387" s="4" t="s">
        <v>4</v>
      </c>
      <c r="G387" s="8" t="n">
        <v>3089.15786749125</v>
      </c>
      <c r="H387" s="6" t="n">
        <f aca="false">IF(G387="","",G387/SUMIFS($G$2:$G$1462,$F$2:$F$1462,"Served"))</f>
        <v>0.000318429594251683</v>
      </c>
      <c r="I387" s="4" t="n">
        <f aca="false">IF(G387="","",RANK(G387,$G$2:$G$1462,0))</f>
        <v>386</v>
      </c>
      <c r="J387" s="4" t="s">
        <v>34</v>
      </c>
    </row>
    <row r="388" customFormat="false" ht="15" hidden="false" customHeight="false" outlineLevel="0" collapsed="false">
      <c r="A388" s="4" t="s">
        <v>858</v>
      </c>
      <c r="B388" s="4" t="s">
        <v>321</v>
      </c>
      <c r="C388" s="4" t="s">
        <v>322</v>
      </c>
      <c r="D388" s="7" t="s">
        <v>859</v>
      </c>
      <c r="E388" s="4" t="s">
        <v>324</v>
      </c>
      <c r="F388" s="4" t="s">
        <v>4</v>
      </c>
      <c r="G388" s="8" t="n">
        <v>3080.28172135353</v>
      </c>
      <c r="H388" s="6" t="n">
        <f aca="false">IF(G388="","",G388/SUMIFS($G$2:$G$1462,$F$2:$F$1462,"Served"))</f>
        <v>0.000317514643402815</v>
      </c>
      <c r="I388" s="4" t="n">
        <f aca="false">IF(G388="","",RANK(G388,$G$2:$G$1462,0))</f>
        <v>387</v>
      </c>
      <c r="J388" s="4" t="s">
        <v>34</v>
      </c>
    </row>
    <row r="389" customFormat="false" ht="15" hidden="false" customHeight="false" outlineLevel="0" collapsed="false">
      <c r="A389" s="4" t="s">
        <v>860</v>
      </c>
      <c r="B389" s="4" t="s">
        <v>72</v>
      </c>
      <c r="C389" s="4" t="s">
        <v>73</v>
      </c>
      <c r="D389" s="7" t="s">
        <v>861</v>
      </c>
      <c r="E389" s="4" t="s">
        <v>75</v>
      </c>
      <c r="F389" s="4" t="s">
        <v>4</v>
      </c>
      <c r="G389" s="8" t="n">
        <v>3079.05456328392</v>
      </c>
      <c r="H389" s="6" t="n">
        <f aca="false">IF(G389="","",G389/SUMIFS($G$2:$G$1462,$F$2:$F$1462,"Served"))</f>
        <v>0.000317388148266292</v>
      </c>
      <c r="I389" s="4" t="n">
        <f aca="false">IF(G389="","",RANK(G389,$G$2:$G$1462,0))</f>
        <v>388</v>
      </c>
      <c r="J389" s="4" t="s">
        <v>34</v>
      </c>
    </row>
    <row r="390" customFormat="false" ht="15" hidden="false" customHeight="false" outlineLevel="0" collapsed="false">
      <c r="A390" s="4" t="s">
        <v>862</v>
      </c>
      <c r="B390" s="4" t="s">
        <v>43</v>
      </c>
      <c r="C390" s="4" t="s">
        <v>44</v>
      </c>
      <c r="D390" s="7" t="s">
        <v>863</v>
      </c>
      <c r="E390" s="4" t="s">
        <v>46</v>
      </c>
      <c r="F390" s="4" t="s">
        <v>4</v>
      </c>
      <c r="G390" s="8" t="n">
        <v>3074.83804106712</v>
      </c>
      <c r="H390" s="6" t="n">
        <f aca="false">IF(G390="","",G390/SUMIFS($G$2:$G$1462,$F$2:$F$1462,"Served"))</f>
        <v>0.000316953510246404</v>
      </c>
      <c r="I390" s="4" t="n">
        <f aca="false">IF(G390="","",RANK(G390,$G$2:$G$1462,0))</f>
        <v>389</v>
      </c>
      <c r="J390" s="4" t="s">
        <v>34</v>
      </c>
    </row>
    <row r="391" customFormat="false" ht="15" hidden="false" customHeight="false" outlineLevel="0" collapsed="false">
      <c r="A391" s="4" t="s">
        <v>864</v>
      </c>
      <c r="B391" s="4" t="s">
        <v>171</v>
      </c>
      <c r="C391" s="4" t="s">
        <v>830</v>
      </c>
      <c r="D391" s="7" t="s">
        <v>865</v>
      </c>
      <c r="E391" s="4" t="s">
        <v>33</v>
      </c>
      <c r="F391" s="4" t="s">
        <v>4</v>
      </c>
      <c r="G391" s="8" t="n">
        <v>3065.63002026081</v>
      </c>
      <c r="H391" s="6" t="n">
        <f aca="false">IF(G391="","",G391/SUMIFS($G$2:$G$1462,$F$2:$F$1462,"Served"))</f>
        <v>0.000316004349842505</v>
      </c>
      <c r="I391" s="4" t="n">
        <f aca="false">IF(G391="","",RANK(G391,$G$2:$G$1462,0))</f>
        <v>390</v>
      </c>
      <c r="J391" s="4" t="s">
        <v>34</v>
      </c>
    </row>
    <row r="392" customFormat="false" ht="15" hidden="false" customHeight="false" outlineLevel="0" collapsed="false">
      <c r="A392" s="4" t="s">
        <v>866</v>
      </c>
      <c r="B392" s="4" t="s">
        <v>72</v>
      </c>
      <c r="C392" s="4" t="s">
        <v>73</v>
      </c>
      <c r="D392" s="7" t="s">
        <v>867</v>
      </c>
      <c r="E392" s="4" t="s">
        <v>75</v>
      </c>
      <c r="F392" s="4" t="s">
        <v>4</v>
      </c>
      <c r="G392" s="8" t="n">
        <v>3006.01192492247</v>
      </c>
      <c r="H392" s="6" t="n">
        <f aca="false">IF(G392="","",G392/SUMIFS($G$2:$G$1462,$F$2:$F$1462,"Served"))</f>
        <v>0.000309858931989819</v>
      </c>
      <c r="I392" s="4" t="n">
        <f aca="false">IF(G392="","",RANK(G392,$G$2:$G$1462,0))</f>
        <v>391</v>
      </c>
      <c r="J392" s="4" t="s">
        <v>34</v>
      </c>
    </row>
    <row r="393" customFormat="false" ht="15" hidden="false" customHeight="false" outlineLevel="0" collapsed="false">
      <c r="A393" s="4" t="s">
        <v>868</v>
      </c>
      <c r="B393" s="4" t="s">
        <v>43</v>
      </c>
      <c r="C393" s="4" t="s">
        <v>44</v>
      </c>
      <c r="D393" s="7" t="s">
        <v>869</v>
      </c>
      <c r="E393" s="4" t="s">
        <v>46</v>
      </c>
      <c r="F393" s="4" t="s">
        <v>4</v>
      </c>
      <c r="G393" s="8" t="n">
        <v>3002.17593026161</v>
      </c>
      <c r="H393" s="6" t="n">
        <f aca="false">IF(G393="","",G393/SUMIFS($G$2:$G$1462,$F$2:$F$1462,"Served"))</f>
        <v>0.000309463518652008</v>
      </c>
      <c r="I393" s="4" t="n">
        <f aca="false">IF(G393="","",RANK(G393,$G$2:$G$1462,0))</f>
        <v>392</v>
      </c>
      <c r="J393" s="4" t="s">
        <v>34</v>
      </c>
    </row>
    <row r="394" customFormat="false" ht="15" hidden="false" customHeight="false" outlineLevel="0" collapsed="false">
      <c r="A394" s="4" t="s">
        <v>870</v>
      </c>
      <c r="B394" s="4" t="s">
        <v>321</v>
      </c>
      <c r="C394" s="4" t="s">
        <v>322</v>
      </c>
      <c r="D394" s="7" t="s">
        <v>871</v>
      </c>
      <c r="E394" s="4" t="s">
        <v>324</v>
      </c>
      <c r="F394" s="4" t="s">
        <v>4</v>
      </c>
      <c r="G394" s="8" t="n">
        <v>2999.98183459044</v>
      </c>
      <c r="H394" s="6" t="n">
        <f aca="false">IF(G394="","",G394/SUMIFS($G$2:$G$1462,$F$2:$F$1462,"Served"))</f>
        <v>0.000309237351837526</v>
      </c>
      <c r="I394" s="4" t="n">
        <f aca="false">IF(G394="","",RANK(G394,$G$2:$G$1462,0))</f>
        <v>393</v>
      </c>
      <c r="J394" s="4" t="s">
        <v>34</v>
      </c>
    </row>
    <row r="395" customFormat="false" ht="15" hidden="false" customHeight="false" outlineLevel="0" collapsed="false">
      <c r="A395" s="4" t="s">
        <v>872</v>
      </c>
      <c r="B395" s="4" t="s">
        <v>30</v>
      </c>
      <c r="C395" s="4" t="s">
        <v>799</v>
      </c>
      <c r="D395" s="7" t="s">
        <v>873</v>
      </c>
      <c r="E395" s="4" t="s">
        <v>33</v>
      </c>
      <c r="F395" s="4" t="s">
        <v>4</v>
      </c>
      <c r="G395" s="8" t="n">
        <v>2996.46018975973</v>
      </c>
      <c r="H395" s="6" t="n">
        <f aca="false">IF(G395="","",G395/SUMIFS($G$2:$G$1462,$F$2:$F$1462,"Served"))</f>
        <v>0.00030887434159893</v>
      </c>
      <c r="I395" s="4" t="n">
        <f aca="false">IF(G395="","",RANK(G395,$G$2:$G$1462,0))</f>
        <v>394</v>
      </c>
      <c r="J395" s="4" t="s">
        <v>34</v>
      </c>
    </row>
    <row r="396" customFormat="false" ht="15" hidden="false" customHeight="false" outlineLevel="0" collapsed="false">
      <c r="A396" s="4" t="s">
        <v>874</v>
      </c>
      <c r="B396" s="4" t="s">
        <v>43</v>
      </c>
      <c r="C396" s="4" t="s">
        <v>44</v>
      </c>
      <c r="D396" s="7" t="s">
        <v>875</v>
      </c>
      <c r="E396" s="4" t="s">
        <v>46</v>
      </c>
      <c r="F396" s="4" t="s">
        <v>4</v>
      </c>
      <c r="G396" s="8" t="n">
        <v>2983.03606510162</v>
      </c>
      <c r="H396" s="6" t="n">
        <f aca="false">IF(G396="","",G396/SUMIFS($G$2:$G$1462,$F$2:$F$1462,"Served"))</f>
        <v>0.0003074905863001</v>
      </c>
      <c r="I396" s="4" t="n">
        <f aca="false">IF(G396="","",RANK(G396,$G$2:$G$1462,0))</f>
        <v>395</v>
      </c>
      <c r="J396" s="4" t="s">
        <v>34</v>
      </c>
    </row>
    <row r="397" customFormat="false" ht="15" hidden="false" customHeight="false" outlineLevel="0" collapsed="false">
      <c r="A397" s="4" t="s">
        <v>876</v>
      </c>
      <c r="B397" s="4" t="s">
        <v>43</v>
      </c>
      <c r="C397" s="4" t="s">
        <v>44</v>
      </c>
      <c r="D397" s="7" t="s">
        <v>877</v>
      </c>
      <c r="E397" s="4" t="s">
        <v>46</v>
      </c>
      <c r="F397" s="4" t="s">
        <v>4</v>
      </c>
      <c r="G397" s="8" t="n">
        <v>2982.3072283268</v>
      </c>
      <c r="H397" s="6" t="n">
        <f aca="false">IF(G397="","",G397/SUMIFS($G$2:$G$1462,$F$2:$F$1462,"Served"))</f>
        <v>0.000307415457993798</v>
      </c>
      <c r="I397" s="4" t="n">
        <f aca="false">IF(G397="","",RANK(G397,$G$2:$G$1462,0))</f>
        <v>396</v>
      </c>
      <c r="J397" s="4" t="s">
        <v>34</v>
      </c>
    </row>
    <row r="398" customFormat="false" ht="15" hidden="false" customHeight="false" outlineLevel="0" collapsed="false">
      <c r="A398" s="4" t="s">
        <v>878</v>
      </c>
      <c r="B398" s="4" t="s">
        <v>171</v>
      </c>
      <c r="C398" s="4" t="s">
        <v>259</v>
      </c>
      <c r="D398" s="7" t="s">
        <v>879</v>
      </c>
      <c r="E398" s="4" t="s">
        <v>33</v>
      </c>
      <c r="F398" s="4" t="s">
        <v>4</v>
      </c>
      <c r="G398" s="8" t="n">
        <v>2971.3785867095</v>
      </c>
      <c r="H398" s="6" t="n">
        <f aca="false">IF(G398="","",G398/SUMIFS($G$2:$G$1462,$F$2:$F$1462,"Served"))</f>
        <v>0.000306288936441584</v>
      </c>
      <c r="I398" s="4" t="n">
        <f aca="false">IF(G398="","",RANK(G398,$G$2:$G$1462,0))</f>
        <v>397</v>
      </c>
      <c r="J398" s="4" t="s">
        <v>34</v>
      </c>
    </row>
    <row r="399" customFormat="false" ht="15" hidden="false" customHeight="false" outlineLevel="0" collapsed="false">
      <c r="A399" s="4" t="s">
        <v>880</v>
      </c>
      <c r="B399" s="4" t="s">
        <v>321</v>
      </c>
      <c r="C399" s="4" t="s">
        <v>322</v>
      </c>
      <c r="D399" s="7" t="s">
        <v>881</v>
      </c>
      <c r="E399" s="4" t="s">
        <v>324</v>
      </c>
      <c r="F399" s="4" t="s">
        <v>4</v>
      </c>
      <c r="G399" s="8" t="n">
        <v>2971.24498295784</v>
      </c>
      <c r="H399" s="6" t="n">
        <f aca="false">IF(G399="","",G399/SUMIFS($G$2:$G$1462,$F$2:$F$1462,"Served"))</f>
        <v>0.000306275164601408</v>
      </c>
      <c r="I399" s="4" t="n">
        <f aca="false">IF(G399="","",RANK(G399,$G$2:$G$1462,0))</f>
        <v>398</v>
      </c>
      <c r="J399" s="4" t="s">
        <v>34</v>
      </c>
    </row>
    <row r="400" customFormat="false" ht="15" hidden="false" customHeight="false" outlineLevel="0" collapsed="false">
      <c r="A400" s="4" t="s">
        <v>882</v>
      </c>
      <c r="B400" s="4" t="s">
        <v>43</v>
      </c>
      <c r="C400" s="4" t="s">
        <v>44</v>
      </c>
      <c r="D400" s="7" t="s">
        <v>883</v>
      </c>
      <c r="E400" s="4" t="s">
        <v>46</v>
      </c>
      <c r="F400" s="4" t="s">
        <v>4</v>
      </c>
      <c r="G400" s="8" t="n">
        <v>2949.02903348208</v>
      </c>
      <c r="H400" s="6" t="n">
        <f aca="false">IF(G400="","",G400/SUMIFS($G$2:$G$1462,$F$2:$F$1462,"Served"))</f>
        <v>0.000303985150273578</v>
      </c>
      <c r="I400" s="4" t="n">
        <f aca="false">IF(G400="","",RANK(G400,$G$2:$G$1462,0))</f>
        <v>399</v>
      </c>
      <c r="J400" s="4" t="s">
        <v>34</v>
      </c>
    </row>
    <row r="401" customFormat="false" ht="15" hidden="false" customHeight="false" outlineLevel="0" collapsed="false">
      <c r="A401" s="4" t="s">
        <v>884</v>
      </c>
      <c r="B401" s="4" t="s">
        <v>171</v>
      </c>
      <c r="C401" s="4" t="s">
        <v>830</v>
      </c>
      <c r="D401" s="7" t="s">
        <v>885</v>
      </c>
      <c r="E401" s="4" t="s">
        <v>33</v>
      </c>
      <c r="F401" s="4" t="s">
        <v>4</v>
      </c>
      <c r="G401" s="8" t="n">
        <v>2943.29610586166</v>
      </c>
      <c r="H401" s="6" t="n">
        <f aca="false">IF(G401="","",G401/SUMIFS($G$2:$G$1462,$F$2:$F$1462,"Served"))</f>
        <v>0.000303394201576765</v>
      </c>
      <c r="I401" s="4" t="n">
        <f aca="false">IF(G401="","",RANK(G401,$G$2:$G$1462,0))</f>
        <v>400</v>
      </c>
      <c r="J401" s="4" t="s">
        <v>34</v>
      </c>
    </row>
    <row r="402" customFormat="false" ht="15" hidden="false" customHeight="false" outlineLevel="0" collapsed="false">
      <c r="A402" s="4" t="s">
        <v>886</v>
      </c>
      <c r="B402" s="4" t="s">
        <v>30</v>
      </c>
      <c r="C402" s="4" t="s">
        <v>109</v>
      </c>
      <c r="D402" s="7" t="s">
        <v>887</v>
      </c>
      <c r="E402" s="4" t="s">
        <v>33</v>
      </c>
      <c r="F402" s="4" t="s">
        <v>4</v>
      </c>
      <c r="G402" s="8" t="n">
        <v>2940.67842572928</v>
      </c>
      <c r="H402" s="6" t="n">
        <f aca="false">IF(G402="","",G402/SUMIFS($G$2:$G$1462,$F$2:$F$1462,"Served"))</f>
        <v>0.000303124371785543</v>
      </c>
      <c r="I402" s="4" t="n">
        <f aca="false">IF(G402="","",RANK(G402,$G$2:$G$1462,0))</f>
        <v>401</v>
      </c>
      <c r="J402" s="4" t="s">
        <v>34</v>
      </c>
    </row>
    <row r="403" customFormat="false" ht="15" hidden="false" customHeight="false" outlineLevel="0" collapsed="false">
      <c r="A403" s="4" t="s">
        <v>888</v>
      </c>
      <c r="B403" s="4" t="s">
        <v>43</v>
      </c>
      <c r="C403" s="4" t="s">
        <v>44</v>
      </c>
      <c r="D403" s="7" t="s">
        <v>889</v>
      </c>
      <c r="E403" s="4" t="s">
        <v>46</v>
      </c>
      <c r="F403" s="4" t="s">
        <v>4</v>
      </c>
      <c r="G403" s="8" t="n">
        <v>2940.05222606659</v>
      </c>
      <c r="H403" s="6" t="n">
        <f aca="false">IF(G403="","",G403/SUMIFS($G$2:$G$1462,$F$2:$F$1462,"Served"))</f>
        <v>0.000303059823286223</v>
      </c>
      <c r="I403" s="4" t="n">
        <f aca="false">IF(G403="","",RANK(G403,$G$2:$G$1462,0))</f>
        <v>402</v>
      </c>
      <c r="J403" s="4" t="s">
        <v>34</v>
      </c>
    </row>
    <row r="404" customFormat="false" ht="15" hidden="false" customHeight="false" outlineLevel="0" collapsed="false">
      <c r="A404" s="4" t="s">
        <v>890</v>
      </c>
      <c r="B404" s="4" t="s">
        <v>321</v>
      </c>
      <c r="C404" s="4" t="s">
        <v>322</v>
      </c>
      <c r="D404" s="7" t="s">
        <v>891</v>
      </c>
      <c r="E404" s="4" t="s">
        <v>324</v>
      </c>
      <c r="F404" s="4" t="s">
        <v>4</v>
      </c>
      <c r="G404" s="8" t="n">
        <v>2929.80297440291</v>
      </c>
      <c r="H404" s="6" t="n">
        <f aca="false">IF(G404="","",G404/SUMIFS($G$2:$G$1462,$F$2:$F$1462,"Served"))</f>
        <v>0.000302003333074766</v>
      </c>
      <c r="I404" s="4" t="n">
        <f aca="false">IF(G404="","",RANK(G404,$G$2:$G$1462,0))</f>
        <v>403</v>
      </c>
      <c r="J404" s="4" t="s">
        <v>34</v>
      </c>
    </row>
    <row r="405" customFormat="false" ht="15" hidden="false" customHeight="false" outlineLevel="0" collapsed="false">
      <c r="A405" s="4" t="s">
        <v>892</v>
      </c>
      <c r="B405" s="4" t="s">
        <v>321</v>
      </c>
      <c r="C405" s="4" t="s">
        <v>322</v>
      </c>
      <c r="D405" s="7" t="s">
        <v>893</v>
      </c>
      <c r="E405" s="4" t="s">
        <v>324</v>
      </c>
      <c r="F405" s="4" t="s">
        <v>4</v>
      </c>
      <c r="G405" s="8" t="n">
        <v>2927.8565196991</v>
      </c>
      <c r="H405" s="6" t="n">
        <f aca="false">IF(G405="","",G405/SUMIFS($G$2:$G$1462,$F$2:$F$1462,"Served"))</f>
        <v>0.000301802693027171</v>
      </c>
      <c r="I405" s="4" t="n">
        <f aca="false">IF(G405="","",RANK(G405,$G$2:$G$1462,0))</f>
        <v>404</v>
      </c>
      <c r="J405" s="4" t="s">
        <v>34</v>
      </c>
    </row>
    <row r="406" customFormat="false" ht="15" hidden="false" customHeight="false" outlineLevel="0" collapsed="false">
      <c r="A406" s="4" t="s">
        <v>894</v>
      </c>
      <c r="B406" s="4" t="s">
        <v>321</v>
      </c>
      <c r="C406" s="4" t="s">
        <v>322</v>
      </c>
      <c r="D406" s="7" t="s">
        <v>895</v>
      </c>
      <c r="E406" s="4" t="s">
        <v>324</v>
      </c>
      <c r="F406" s="4" t="s">
        <v>4</v>
      </c>
      <c r="G406" s="8" t="n">
        <v>2916.35802042484</v>
      </c>
      <c r="H406" s="6" t="n">
        <f aca="false">IF(G406="","",G406/SUMIFS($G$2:$G$1462,$F$2:$F$1462,"Served"))</f>
        <v>0.00030061743069502</v>
      </c>
      <c r="I406" s="4" t="n">
        <f aca="false">IF(G406="","",RANK(G406,$G$2:$G$1462,0))</f>
        <v>405</v>
      </c>
      <c r="J406" s="4" t="s">
        <v>34</v>
      </c>
    </row>
    <row r="407" customFormat="false" ht="15" hidden="false" customHeight="false" outlineLevel="0" collapsed="false">
      <c r="A407" s="4" t="s">
        <v>896</v>
      </c>
      <c r="B407" s="4" t="s">
        <v>30</v>
      </c>
      <c r="C407" s="4" t="s">
        <v>788</v>
      </c>
      <c r="D407" s="7" t="s">
        <v>897</v>
      </c>
      <c r="E407" s="4" t="s">
        <v>33</v>
      </c>
      <c r="F407" s="4" t="s">
        <v>4</v>
      </c>
      <c r="G407" s="8" t="n">
        <v>2911.68983823061</v>
      </c>
      <c r="H407" s="6" t="n">
        <f aca="false">IF(G407="","",G407/SUMIFS($G$2:$G$1462,$F$2:$F$1462,"Served"))</f>
        <v>0.000300136235681439</v>
      </c>
      <c r="I407" s="4" t="n">
        <f aca="false">IF(G407="","",RANK(G407,$G$2:$G$1462,0))</f>
        <v>406</v>
      </c>
      <c r="J407" s="4" t="s">
        <v>34</v>
      </c>
    </row>
    <row r="408" customFormat="false" ht="15" hidden="false" customHeight="false" outlineLevel="0" collapsed="false">
      <c r="A408" s="4" t="s">
        <v>898</v>
      </c>
      <c r="B408" s="4" t="s">
        <v>321</v>
      </c>
      <c r="C408" s="4" t="s">
        <v>322</v>
      </c>
      <c r="D408" s="7" t="s">
        <v>899</v>
      </c>
      <c r="E408" s="4" t="s">
        <v>324</v>
      </c>
      <c r="F408" s="4" t="s">
        <v>4</v>
      </c>
      <c r="G408" s="8" t="n">
        <v>2906.00851619244</v>
      </c>
      <c r="H408" s="6" t="n">
        <f aca="false">IF(G408="","",G408/SUMIFS($G$2:$G$1462,$F$2:$F$1462,"Served"))</f>
        <v>0.0002995506064747</v>
      </c>
      <c r="I408" s="4" t="n">
        <f aca="false">IF(G408="","",RANK(G408,$G$2:$G$1462,0))</f>
        <v>407</v>
      </c>
      <c r="J408" s="4" t="s">
        <v>34</v>
      </c>
    </row>
    <row r="409" customFormat="false" ht="15" hidden="false" customHeight="false" outlineLevel="0" collapsed="false">
      <c r="A409" s="4" t="s">
        <v>900</v>
      </c>
      <c r="B409" s="4" t="s">
        <v>321</v>
      </c>
      <c r="C409" s="4" t="s">
        <v>322</v>
      </c>
      <c r="D409" s="7" t="s">
        <v>901</v>
      </c>
      <c r="E409" s="4" t="s">
        <v>324</v>
      </c>
      <c r="F409" s="4" t="s">
        <v>4</v>
      </c>
      <c r="G409" s="8" t="n">
        <v>2879.33816754818</v>
      </c>
      <c r="H409" s="6" t="n">
        <f aca="false">IF(G409="","",G409/SUMIFS($G$2:$G$1462,$F$2:$F$1462,"Served"))</f>
        <v>0.000296801433832307</v>
      </c>
      <c r="I409" s="4" t="n">
        <f aca="false">IF(G409="","",RANK(G409,$G$2:$G$1462,0))</f>
        <v>408</v>
      </c>
      <c r="J409" s="4" t="s">
        <v>34</v>
      </c>
    </row>
    <row r="410" customFormat="false" ht="15" hidden="false" customHeight="false" outlineLevel="0" collapsed="false">
      <c r="A410" s="4" t="s">
        <v>902</v>
      </c>
      <c r="B410" s="4" t="s">
        <v>321</v>
      </c>
      <c r="C410" s="4" t="s">
        <v>322</v>
      </c>
      <c r="D410" s="7" t="s">
        <v>903</v>
      </c>
      <c r="E410" s="4" t="s">
        <v>324</v>
      </c>
      <c r="F410" s="4" t="s">
        <v>4</v>
      </c>
      <c r="G410" s="8" t="n">
        <v>2879.33694046736</v>
      </c>
      <c r="H410" s="6" t="n">
        <f aca="false">IF(G410="","",G410/SUMIFS($G$2:$G$1462,$F$2:$F$1462,"Served"))</f>
        <v>0.000296801307345133</v>
      </c>
      <c r="I410" s="4" t="n">
        <f aca="false">IF(G410="","",RANK(G410,$G$2:$G$1462,0))</f>
        <v>409</v>
      </c>
      <c r="J410" s="4" t="s">
        <v>34</v>
      </c>
    </row>
    <row r="411" customFormat="false" ht="15" hidden="false" customHeight="false" outlineLevel="0" collapsed="false">
      <c r="A411" s="4" t="s">
        <v>904</v>
      </c>
      <c r="B411" s="4" t="s">
        <v>321</v>
      </c>
      <c r="C411" s="4" t="s">
        <v>322</v>
      </c>
      <c r="D411" s="7" t="s">
        <v>905</v>
      </c>
      <c r="E411" s="4" t="s">
        <v>324</v>
      </c>
      <c r="F411" s="4" t="s">
        <v>4</v>
      </c>
      <c r="G411" s="8" t="n">
        <v>2859.07898855209</v>
      </c>
      <c r="H411" s="6" t="n">
        <f aca="false">IF(G411="","",G411/SUMIFS($G$2:$G$1462,$F$2:$F$1462,"Served"))</f>
        <v>0.000294713122899581</v>
      </c>
      <c r="I411" s="4" t="n">
        <f aca="false">IF(G411="","",RANK(G411,$G$2:$G$1462,0))</f>
        <v>410</v>
      </c>
      <c r="J411" s="4" t="s">
        <v>34</v>
      </c>
    </row>
    <row r="412" customFormat="false" ht="15" hidden="false" customHeight="false" outlineLevel="0" collapsed="false">
      <c r="A412" s="4" t="s">
        <v>906</v>
      </c>
      <c r="B412" s="4" t="s">
        <v>43</v>
      </c>
      <c r="C412" s="4" t="s">
        <v>44</v>
      </c>
      <c r="D412" s="7" t="s">
        <v>907</v>
      </c>
      <c r="E412" s="4" t="s">
        <v>46</v>
      </c>
      <c r="F412" s="4" t="s">
        <v>4</v>
      </c>
      <c r="G412" s="8" t="n">
        <v>2826.23774176836</v>
      </c>
      <c r="H412" s="6" t="n">
        <f aca="false">IF(G412="","",G412/SUMIFS($G$2:$G$1462,$F$2:$F$1462,"Served"))</f>
        <v>0.000291327855672512</v>
      </c>
      <c r="I412" s="4" t="n">
        <f aca="false">IF(G412="","",RANK(G412,$G$2:$G$1462,0))</f>
        <v>411</v>
      </c>
      <c r="J412" s="4" t="s">
        <v>34</v>
      </c>
    </row>
    <row r="413" customFormat="false" ht="15" hidden="false" customHeight="false" outlineLevel="0" collapsed="false">
      <c r="A413" s="4" t="s">
        <v>908</v>
      </c>
      <c r="B413" s="4" t="s">
        <v>43</v>
      </c>
      <c r="C413" s="4" t="s">
        <v>44</v>
      </c>
      <c r="D413" s="7" t="s">
        <v>909</v>
      </c>
      <c r="E413" s="4" t="s">
        <v>46</v>
      </c>
      <c r="F413" s="4" t="s">
        <v>4</v>
      </c>
      <c r="G413" s="8" t="n">
        <v>2807.77467101812</v>
      </c>
      <c r="H413" s="6" t="n">
        <f aca="false">IF(G413="","",G413/SUMIFS($G$2:$G$1462,$F$2:$F$1462,"Served"))</f>
        <v>0.000289424687113369</v>
      </c>
      <c r="I413" s="4" t="n">
        <f aca="false">IF(G413="","",RANK(G413,$G$2:$G$1462,0))</f>
        <v>412</v>
      </c>
      <c r="J413" s="4" t="s">
        <v>34</v>
      </c>
    </row>
    <row r="414" customFormat="false" ht="15" hidden="false" customHeight="false" outlineLevel="0" collapsed="false">
      <c r="A414" s="4" t="s">
        <v>910</v>
      </c>
      <c r="B414" s="4" t="s">
        <v>171</v>
      </c>
      <c r="C414" s="4" t="s">
        <v>515</v>
      </c>
      <c r="D414" s="7" t="s">
        <v>911</v>
      </c>
      <c r="E414" s="4" t="s">
        <v>33</v>
      </c>
      <c r="F414" s="4" t="s">
        <v>4</v>
      </c>
      <c r="G414" s="8" t="n">
        <v>2806.24338430166</v>
      </c>
      <c r="H414" s="6" t="n">
        <f aca="false">IF(G414="","",G414/SUMIFS($G$2:$G$1462,$F$2:$F$1462,"Served"))</f>
        <v>0.000289266842474564</v>
      </c>
      <c r="I414" s="4" t="n">
        <f aca="false">IF(G414="","",RANK(G414,$G$2:$G$1462,0))</f>
        <v>413</v>
      </c>
      <c r="J414" s="4" t="s">
        <v>34</v>
      </c>
    </row>
    <row r="415" customFormat="false" ht="15" hidden="false" customHeight="false" outlineLevel="0" collapsed="false">
      <c r="A415" s="4" t="s">
        <v>912</v>
      </c>
      <c r="B415" s="4" t="s">
        <v>321</v>
      </c>
      <c r="C415" s="4" t="s">
        <v>322</v>
      </c>
      <c r="D415" s="7" t="s">
        <v>913</v>
      </c>
      <c r="E415" s="4" t="s">
        <v>324</v>
      </c>
      <c r="F415" s="4" t="s">
        <v>4</v>
      </c>
      <c r="G415" s="8" t="n">
        <v>2788.66442167759</v>
      </c>
      <c r="H415" s="6" t="n">
        <f aca="false">IF(G415="","",G415/SUMIFS($G$2:$G$1462,$F$2:$F$1462,"Served"))</f>
        <v>0.000287454807552472</v>
      </c>
      <c r="I415" s="4" t="n">
        <f aca="false">IF(G415="","",RANK(G415,$G$2:$G$1462,0))</f>
        <v>414</v>
      </c>
      <c r="J415" s="4" t="s">
        <v>34</v>
      </c>
    </row>
    <row r="416" customFormat="false" ht="15" hidden="false" customHeight="false" outlineLevel="0" collapsed="false">
      <c r="A416" s="4" t="s">
        <v>914</v>
      </c>
      <c r="B416" s="4" t="s">
        <v>171</v>
      </c>
      <c r="C416" s="4" t="s">
        <v>591</v>
      </c>
      <c r="D416" s="7" t="s">
        <v>915</v>
      </c>
      <c r="E416" s="4" t="s">
        <v>33</v>
      </c>
      <c r="F416" s="4" t="s">
        <v>4</v>
      </c>
      <c r="G416" s="8" t="n">
        <v>2762.96272540093</v>
      </c>
      <c r="H416" s="6" t="n">
        <f aca="false">IF(G416="","",G416/SUMIFS($G$2:$G$1462,$F$2:$F$1462,"Served"))</f>
        <v>0.000284805483345676</v>
      </c>
      <c r="I416" s="4" t="n">
        <f aca="false">IF(G416="","",RANK(G416,$G$2:$G$1462,0))</f>
        <v>415</v>
      </c>
      <c r="J416" s="4" t="s">
        <v>34</v>
      </c>
    </row>
    <row r="417" customFormat="false" ht="15" hidden="false" customHeight="false" outlineLevel="0" collapsed="false">
      <c r="A417" s="4" t="s">
        <v>916</v>
      </c>
      <c r="B417" s="4" t="s">
        <v>30</v>
      </c>
      <c r="C417" s="4" t="s">
        <v>109</v>
      </c>
      <c r="D417" s="7" t="s">
        <v>917</v>
      </c>
      <c r="E417" s="4" t="s">
        <v>33</v>
      </c>
      <c r="F417" s="4" t="s">
        <v>4</v>
      </c>
      <c r="G417" s="8" t="n">
        <v>2758.75559073687</v>
      </c>
      <c r="H417" s="6" t="n">
        <f aca="false">IF(G417="","",G417/SUMIFS($G$2:$G$1462,$F$2:$F$1462,"Served"))</f>
        <v>0.000284371812992297</v>
      </c>
      <c r="I417" s="4" t="n">
        <f aca="false">IF(G417="","",RANK(G417,$G$2:$G$1462,0))</f>
        <v>416</v>
      </c>
      <c r="J417" s="4" t="s">
        <v>34</v>
      </c>
    </row>
    <row r="418" customFormat="false" ht="15" hidden="false" customHeight="false" outlineLevel="0" collapsed="false">
      <c r="A418" s="4" t="s">
        <v>918</v>
      </c>
      <c r="B418" s="4" t="s">
        <v>30</v>
      </c>
      <c r="C418" s="4" t="s">
        <v>799</v>
      </c>
      <c r="D418" s="7" t="s">
        <v>919</v>
      </c>
      <c r="E418" s="4" t="s">
        <v>33</v>
      </c>
      <c r="F418" s="4" t="s">
        <v>4</v>
      </c>
      <c r="G418" s="8" t="n">
        <v>2743.2792185545</v>
      </c>
      <c r="H418" s="6" t="n">
        <f aca="false">IF(G418="","",G418/SUMIFS($G$2:$G$1462,$F$2:$F$1462,"Served"))</f>
        <v>0.000282776512549292</v>
      </c>
      <c r="I418" s="4" t="n">
        <f aca="false">IF(G418="","",RANK(G418,$G$2:$G$1462,0))</f>
        <v>417</v>
      </c>
      <c r="J418" s="4" t="s">
        <v>34</v>
      </c>
    </row>
    <row r="419" customFormat="false" ht="15" hidden="false" customHeight="false" outlineLevel="0" collapsed="false">
      <c r="A419" s="4" t="s">
        <v>920</v>
      </c>
      <c r="B419" s="4" t="s">
        <v>43</v>
      </c>
      <c r="C419" s="4" t="s">
        <v>44</v>
      </c>
      <c r="D419" s="7" t="s">
        <v>921</v>
      </c>
      <c r="E419" s="4" t="s">
        <v>46</v>
      </c>
      <c r="F419" s="4" t="s">
        <v>4</v>
      </c>
      <c r="G419" s="8" t="n">
        <v>2733.89009267092</v>
      </c>
      <c r="H419" s="6" t="n">
        <f aca="false">IF(G419="","",G419/SUMIFS($G$2:$G$1462,$F$2:$F$1462,"Served"))</f>
        <v>0.000281808683880855</v>
      </c>
      <c r="I419" s="4" t="n">
        <f aca="false">IF(G419="","",RANK(G419,$G$2:$G$1462,0))</f>
        <v>418</v>
      </c>
      <c r="J419" s="4" t="s">
        <v>34</v>
      </c>
    </row>
    <row r="420" customFormat="false" ht="15" hidden="false" customHeight="false" outlineLevel="0" collapsed="false">
      <c r="A420" s="4" t="s">
        <v>922</v>
      </c>
      <c r="B420" s="4" t="s">
        <v>171</v>
      </c>
      <c r="C420" s="4" t="s">
        <v>692</v>
      </c>
      <c r="D420" s="7" t="s">
        <v>923</v>
      </c>
      <c r="E420" s="4" t="s">
        <v>33</v>
      </c>
      <c r="F420" s="4" t="s">
        <v>4</v>
      </c>
      <c r="G420" s="8" t="n">
        <v>2714.67418897152</v>
      </c>
      <c r="H420" s="6" t="n">
        <f aca="false">IF(G420="","",G420/SUMIFS($G$2:$G$1462,$F$2:$F$1462,"Served"))</f>
        <v>0.000279827913495965</v>
      </c>
      <c r="I420" s="4" t="n">
        <f aca="false">IF(G420="","",RANK(G420,$G$2:$G$1462,0))</f>
        <v>419</v>
      </c>
      <c r="J420" s="4" t="s">
        <v>34</v>
      </c>
    </row>
    <row r="421" customFormat="false" ht="15" hidden="false" customHeight="false" outlineLevel="0" collapsed="false">
      <c r="A421" s="4" t="s">
        <v>924</v>
      </c>
      <c r="B421" s="4" t="s">
        <v>171</v>
      </c>
      <c r="C421" s="4" t="s">
        <v>692</v>
      </c>
      <c r="D421" s="7" t="s">
        <v>925</v>
      </c>
      <c r="E421" s="4" t="s">
        <v>33</v>
      </c>
      <c r="F421" s="4" t="s">
        <v>4</v>
      </c>
      <c r="G421" s="8" t="n">
        <v>2684.51475894451</v>
      </c>
      <c r="H421" s="6" t="n">
        <f aca="false">IF(G421="","",G421/SUMIFS($G$2:$G$1462,$F$2:$F$1462,"Served"))</f>
        <v>0.00027671908724677</v>
      </c>
      <c r="I421" s="4" t="n">
        <f aca="false">IF(G421="","",RANK(G421,$G$2:$G$1462,0))</f>
        <v>420</v>
      </c>
      <c r="J421" s="4" t="s">
        <v>34</v>
      </c>
    </row>
    <row r="422" customFormat="false" ht="15" hidden="false" customHeight="false" outlineLevel="0" collapsed="false">
      <c r="A422" s="4" t="s">
        <v>926</v>
      </c>
      <c r="B422" s="4" t="s">
        <v>171</v>
      </c>
      <c r="C422" s="4" t="s">
        <v>426</v>
      </c>
      <c r="D422" s="7" t="s">
        <v>927</v>
      </c>
      <c r="E422" s="4" t="s">
        <v>33</v>
      </c>
      <c r="F422" s="4" t="s">
        <v>4</v>
      </c>
      <c r="G422" s="8" t="n">
        <v>2637.58013671637</v>
      </c>
      <c r="H422" s="6" t="n">
        <f aca="false">IF(G422="","",G422/SUMIFS($G$2:$G$1462,$F$2:$F$1462,"Served"))</f>
        <v>0.000271881078522858</v>
      </c>
      <c r="I422" s="4" t="n">
        <f aca="false">IF(G422="","",RANK(G422,$G$2:$G$1462,0))</f>
        <v>421</v>
      </c>
      <c r="J422" s="4" t="s">
        <v>34</v>
      </c>
    </row>
    <row r="423" customFormat="false" ht="15" hidden="false" customHeight="false" outlineLevel="0" collapsed="false">
      <c r="A423" s="4" t="s">
        <v>928</v>
      </c>
      <c r="B423" s="4" t="s">
        <v>30</v>
      </c>
      <c r="C423" s="4" t="s">
        <v>109</v>
      </c>
      <c r="D423" s="7" t="s">
        <v>929</v>
      </c>
      <c r="E423" s="4" t="s">
        <v>33</v>
      </c>
      <c r="F423" s="4" t="s">
        <v>4</v>
      </c>
      <c r="G423" s="8" t="n">
        <v>2634.29780143499</v>
      </c>
      <c r="H423" s="6" t="n">
        <f aca="false">IF(G423="","",G423/SUMIFS($G$2:$G$1462,$F$2:$F$1462,"Served"))</f>
        <v>0.000271542736250731</v>
      </c>
      <c r="I423" s="4" t="n">
        <f aca="false">IF(G423="","",RANK(G423,$G$2:$G$1462,0))</f>
        <v>422</v>
      </c>
      <c r="J423" s="4" t="s">
        <v>34</v>
      </c>
    </row>
    <row r="424" customFormat="false" ht="15" hidden="false" customHeight="false" outlineLevel="0" collapsed="false">
      <c r="A424" s="4" t="s">
        <v>930</v>
      </c>
      <c r="B424" s="4" t="s">
        <v>30</v>
      </c>
      <c r="C424" s="4" t="s">
        <v>788</v>
      </c>
      <c r="D424" s="7" t="s">
        <v>931</v>
      </c>
      <c r="E424" s="4" t="s">
        <v>33</v>
      </c>
      <c r="F424" s="4" t="s">
        <v>4</v>
      </c>
      <c r="G424" s="8" t="n">
        <v>2629.36812633276</v>
      </c>
      <c r="H424" s="6" t="n">
        <f aca="false">IF(G424="","",G424/SUMIFS($G$2:$G$1462,$F$2:$F$1462,"Served"))</f>
        <v>0.000271034586615804</v>
      </c>
      <c r="I424" s="4" t="n">
        <f aca="false">IF(G424="","",RANK(G424,$G$2:$G$1462,0))</f>
        <v>423</v>
      </c>
      <c r="J424" s="4" t="s">
        <v>34</v>
      </c>
    </row>
    <row r="425" customFormat="false" ht="15" hidden="false" customHeight="false" outlineLevel="0" collapsed="false">
      <c r="A425" s="4" t="s">
        <v>932</v>
      </c>
      <c r="B425" s="4" t="s">
        <v>321</v>
      </c>
      <c r="C425" s="4" t="s">
        <v>322</v>
      </c>
      <c r="D425" s="7" t="s">
        <v>933</v>
      </c>
      <c r="E425" s="4" t="s">
        <v>324</v>
      </c>
      <c r="F425" s="4" t="s">
        <v>4</v>
      </c>
      <c r="G425" s="8" t="n">
        <v>2620.94669520855</v>
      </c>
      <c r="H425" s="6" t="n">
        <f aca="false">IF(G425="","",G425/SUMIFS($G$2:$G$1462,$F$2:$F$1462,"Served"))</f>
        <v>0.000270166507672957</v>
      </c>
      <c r="I425" s="4" t="n">
        <f aca="false">IF(G425="","",RANK(G425,$G$2:$G$1462,0))</f>
        <v>424</v>
      </c>
      <c r="J425" s="4" t="s">
        <v>34</v>
      </c>
    </row>
    <row r="426" customFormat="false" ht="15" hidden="false" customHeight="false" outlineLevel="0" collapsed="false">
      <c r="A426" s="4" t="s">
        <v>934</v>
      </c>
      <c r="B426" s="4" t="s">
        <v>43</v>
      </c>
      <c r="C426" s="4" t="s">
        <v>44</v>
      </c>
      <c r="D426" s="7" t="s">
        <v>935</v>
      </c>
      <c r="E426" s="4" t="s">
        <v>46</v>
      </c>
      <c r="F426" s="4" t="s">
        <v>4</v>
      </c>
      <c r="G426" s="8" t="n">
        <v>2605.05011343956</v>
      </c>
      <c r="H426" s="6" t="n">
        <f aca="false">IF(G426="","",G426/SUMIFS($G$2:$G$1462,$F$2:$F$1462,"Served"))</f>
        <v>0.000268527892134412</v>
      </c>
      <c r="I426" s="4" t="n">
        <f aca="false">IF(G426="","",RANK(G426,$G$2:$G$1462,0))</f>
        <v>425</v>
      </c>
      <c r="J426" s="4" t="s">
        <v>34</v>
      </c>
    </row>
    <row r="427" customFormat="false" ht="15" hidden="false" customHeight="false" outlineLevel="0" collapsed="false">
      <c r="A427" s="4" t="s">
        <v>936</v>
      </c>
      <c r="B427" s="4" t="s">
        <v>171</v>
      </c>
      <c r="C427" s="4" t="s">
        <v>830</v>
      </c>
      <c r="D427" s="7" t="s">
        <v>937</v>
      </c>
      <c r="E427" s="4" t="s">
        <v>33</v>
      </c>
      <c r="F427" s="4" t="s">
        <v>4</v>
      </c>
      <c r="G427" s="8" t="n">
        <v>2600.9848061204</v>
      </c>
      <c r="H427" s="6" t="n">
        <f aca="false">IF(G427="","",G427/SUMIFS($G$2:$G$1462,$F$2:$F$1462,"Served"))</f>
        <v>0.000268108841307075</v>
      </c>
      <c r="I427" s="4" t="n">
        <f aca="false">IF(G427="","",RANK(G427,$G$2:$G$1462,0))</f>
        <v>426</v>
      </c>
      <c r="J427" s="4" t="s">
        <v>34</v>
      </c>
    </row>
    <row r="428" customFormat="false" ht="15" hidden="false" customHeight="false" outlineLevel="0" collapsed="false">
      <c r="A428" s="4" t="s">
        <v>938</v>
      </c>
      <c r="B428" s="4" t="s">
        <v>30</v>
      </c>
      <c r="C428" s="4" t="s">
        <v>737</v>
      </c>
      <c r="D428" s="7" t="s">
        <v>939</v>
      </c>
      <c r="E428" s="4" t="s">
        <v>33</v>
      </c>
      <c r="F428" s="4" t="s">
        <v>4</v>
      </c>
      <c r="G428" s="8" t="n">
        <v>2589.57583791018</v>
      </c>
      <c r="H428" s="6" t="n">
        <f aca="false">IF(G428="","",G428/SUMIFS($G$2:$G$1462,$F$2:$F$1462,"Served"))</f>
        <v>0.000266932807813856</v>
      </c>
      <c r="I428" s="4" t="n">
        <f aca="false">IF(G428="","",RANK(G428,$G$2:$G$1462,0))</f>
        <v>427</v>
      </c>
      <c r="J428" s="4" t="s">
        <v>34</v>
      </c>
    </row>
    <row r="429" customFormat="false" ht="15" hidden="false" customHeight="false" outlineLevel="0" collapsed="false">
      <c r="A429" s="4" t="s">
        <v>940</v>
      </c>
      <c r="B429" s="4" t="s">
        <v>321</v>
      </c>
      <c r="C429" s="4" t="s">
        <v>322</v>
      </c>
      <c r="D429" s="7" t="s">
        <v>941</v>
      </c>
      <c r="E429" s="4" t="s">
        <v>324</v>
      </c>
      <c r="F429" s="4" t="s">
        <v>4</v>
      </c>
      <c r="G429" s="8" t="n">
        <v>2549.78599381447</v>
      </c>
      <c r="H429" s="6" t="n">
        <f aca="false">IF(G429="","",G429/SUMIFS($G$2:$G$1462,$F$2:$F$1462,"Served"))</f>
        <v>0.000262831280972489</v>
      </c>
      <c r="I429" s="4" t="n">
        <f aca="false">IF(G429="","",RANK(G429,$G$2:$G$1462,0))</f>
        <v>428</v>
      </c>
      <c r="J429" s="4" t="s">
        <v>34</v>
      </c>
    </row>
    <row r="430" customFormat="false" ht="15" hidden="false" customHeight="false" outlineLevel="0" collapsed="false">
      <c r="A430" s="4" t="s">
        <v>942</v>
      </c>
      <c r="B430" s="4" t="s">
        <v>171</v>
      </c>
      <c r="C430" s="4" t="s">
        <v>341</v>
      </c>
      <c r="D430" s="7" t="s">
        <v>943</v>
      </c>
      <c r="E430" s="4" t="s">
        <v>33</v>
      </c>
      <c r="F430" s="4" t="s">
        <v>4</v>
      </c>
      <c r="G430" s="8" t="n">
        <v>2544.00437504053</v>
      </c>
      <c r="H430" s="6" t="n">
        <f aca="false">IF(G430="","",G430/SUMIFS($G$2:$G$1462,$F$2:$F$1462,"Served"))</f>
        <v>0.000262235313204161</v>
      </c>
      <c r="I430" s="4" t="n">
        <f aca="false">IF(G430="","",RANK(G430,$G$2:$G$1462,0))</f>
        <v>429</v>
      </c>
      <c r="J430" s="4" t="s">
        <v>34</v>
      </c>
    </row>
    <row r="431" customFormat="false" ht="15" hidden="false" customHeight="false" outlineLevel="0" collapsed="false">
      <c r="A431" s="4" t="s">
        <v>944</v>
      </c>
      <c r="B431" s="4" t="s">
        <v>171</v>
      </c>
      <c r="C431" s="4" t="s">
        <v>183</v>
      </c>
      <c r="D431" s="7" t="s">
        <v>945</v>
      </c>
      <c r="E431" s="4" t="s">
        <v>33</v>
      </c>
      <c r="F431" s="4" t="s">
        <v>4</v>
      </c>
      <c r="G431" s="8" t="n">
        <v>2541.16690117121</v>
      </c>
      <c r="H431" s="6" t="n">
        <f aca="false">IF(G431="","",G431/SUMIFS($G$2:$G$1462,$F$2:$F$1462,"Served"))</f>
        <v>0.000261942827131365</v>
      </c>
      <c r="I431" s="4" t="n">
        <f aca="false">IF(G431="","",RANK(G431,$G$2:$G$1462,0))</f>
        <v>430</v>
      </c>
      <c r="J431" s="4" t="s">
        <v>34</v>
      </c>
    </row>
    <row r="432" customFormat="false" ht="15" hidden="false" customHeight="false" outlineLevel="0" collapsed="false">
      <c r="A432" s="4" t="s">
        <v>946</v>
      </c>
      <c r="B432" s="4" t="s">
        <v>321</v>
      </c>
      <c r="C432" s="4" t="s">
        <v>322</v>
      </c>
      <c r="D432" s="7" t="s">
        <v>947</v>
      </c>
      <c r="E432" s="4" t="s">
        <v>324</v>
      </c>
      <c r="F432" s="4" t="s">
        <v>4</v>
      </c>
      <c r="G432" s="8" t="n">
        <v>2525.86613601446</v>
      </c>
      <c r="H432" s="6" t="n">
        <f aca="false">IF(G432="","",G432/SUMIFS($G$2:$G$1462,$F$2:$F$1462,"Served"))</f>
        <v>0.000260365628215157</v>
      </c>
      <c r="I432" s="4" t="n">
        <f aca="false">IF(G432="","",RANK(G432,$G$2:$G$1462,0))</f>
        <v>431</v>
      </c>
      <c r="J432" s="4" t="s">
        <v>34</v>
      </c>
    </row>
    <row r="433" customFormat="false" ht="15" hidden="false" customHeight="false" outlineLevel="0" collapsed="false">
      <c r="A433" s="4" t="s">
        <v>948</v>
      </c>
      <c r="B433" s="4" t="s">
        <v>30</v>
      </c>
      <c r="C433" s="4" t="s">
        <v>788</v>
      </c>
      <c r="D433" s="7" t="s">
        <v>949</v>
      </c>
      <c r="E433" s="4" t="s">
        <v>33</v>
      </c>
      <c r="F433" s="4" t="s">
        <v>4</v>
      </c>
      <c r="G433" s="8" t="n">
        <v>2525.83230340481</v>
      </c>
      <c r="H433" s="6" t="n">
        <f aca="false">IF(G433="","",G433/SUMIFS($G$2:$G$1462,$F$2:$F$1462,"Served"))</f>
        <v>0.000260362140758501</v>
      </c>
      <c r="I433" s="4" t="n">
        <f aca="false">IF(G433="","",RANK(G433,$G$2:$G$1462,0))</f>
        <v>432</v>
      </c>
      <c r="J433" s="4" t="s">
        <v>34</v>
      </c>
    </row>
    <row r="434" customFormat="false" ht="15" hidden="false" customHeight="false" outlineLevel="0" collapsed="false">
      <c r="A434" s="4" t="s">
        <v>950</v>
      </c>
      <c r="B434" s="4" t="s">
        <v>321</v>
      </c>
      <c r="C434" s="4" t="s">
        <v>322</v>
      </c>
      <c r="D434" s="7" t="s">
        <v>951</v>
      </c>
      <c r="E434" s="4" t="s">
        <v>324</v>
      </c>
      <c r="F434" s="4" t="s">
        <v>4</v>
      </c>
      <c r="G434" s="8" t="n">
        <v>2509.78973591328</v>
      </c>
      <c r="H434" s="6" t="n">
        <f aca="false">IF(G434="","",G434/SUMIFS($G$2:$G$1462,$F$2:$F$1462,"Served"))</f>
        <v>0.000258708477049423</v>
      </c>
      <c r="I434" s="4" t="n">
        <f aca="false">IF(G434="","",RANK(G434,$G$2:$G$1462,0))</f>
        <v>433</v>
      </c>
      <c r="J434" s="4" t="s">
        <v>34</v>
      </c>
    </row>
    <row r="435" customFormat="false" ht="15" hidden="false" customHeight="false" outlineLevel="0" collapsed="false">
      <c r="A435" s="4" t="s">
        <v>952</v>
      </c>
      <c r="B435" s="4" t="s">
        <v>43</v>
      </c>
      <c r="C435" s="4" t="s">
        <v>44</v>
      </c>
      <c r="D435" s="7" t="s">
        <v>953</v>
      </c>
      <c r="E435" s="4" t="s">
        <v>46</v>
      </c>
      <c r="F435" s="4" t="s">
        <v>4</v>
      </c>
      <c r="G435" s="8" t="n">
        <v>2509.01093643904</v>
      </c>
      <c r="H435" s="6" t="n">
        <f aca="false">IF(G435="","",G435/SUMIFS($G$2:$G$1462,$F$2:$F$1462,"Served"))</f>
        <v>0.000258628198600984</v>
      </c>
      <c r="I435" s="4" t="n">
        <f aca="false">IF(G435="","",RANK(G435,$G$2:$G$1462,0))</f>
        <v>434</v>
      </c>
      <c r="J435" s="4" t="s">
        <v>34</v>
      </c>
    </row>
    <row r="436" customFormat="false" ht="15" hidden="false" customHeight="false" outlineLevel="0" collapsed="false">
      <c r="A436" s="4" t="s">
        <v>954</v>
      </c>
      <c r="B436" s="4" t="s">
        <v>30</v>
      </c>
      <c r="C436" s="4" t="s">
        <v>788</v>
      </c>
      <c r="D436" s="7" t="s">
        <v>955</v>
      </c>
      <c r="E436" s="4" t="s">
        <v>33</v>
      </c>
      <c r="F436" s="4" t="s">
        <v>4</v>
      </c>
      <c r="G436" s="8" t="n">
        <v>2496.421664536</v>
      </c>
      <c r="H436" s="6" t="n">
        <f aca="false">IF(G436="","",G436/SUMIFS($G$2:$G$1462,$F$2:$F$1462,"Served"))</f>
        <v>0.000257330499708288</v>
      </c>
      <c r="I436" s="4" t="n">
        <f aca="false">IF(G436="","",RANK(G436,$G$2:$G$1462,0))</f>
        <v>435</v>
      </c>
      <c r="J436" s="4" t="s">
        <v>34</v>
      </c>
    </row>
    <row r="437" customFormat="false" ht="15" hidden="false" customHeight="false" outlineLevel="0" collapsed="false">
      <c r="A437" s="4" t="s">
        <v>956</v>
      </c>
      <c r="B437" s="4" t="s">
        <v>321</v>
      </c>
      <c r="C437" s="4" t="s">
        <v>322</v>
      </c>
      <c r="D437" s="7" t="s">
        <v>957</v>
      </c>
      <c r="E437" s="4" t="s">
        <v>324</v>
      </c>
      <c r="F437" s="4" t="s">
        <v>4</v>
      </c>
      <c r="G437" s="8" t="n">
        <v>2464.76182889938</v>
      </c>
      <c r="H437" s="6" t="n">
        <f aca="false">IF(G437="","",G437/SUMIFS($G$2:$G$1462,$F$2:$F$1462,"Served"))</f>
        <v>0.000254067012036798</v>
      </c>
      <c r="I437" s="4" t="n">
        <f aca="false">IF(G437="","",RANK(G437,$G$2:$G$1462,0))</f>
        <v>436</v>
      </c>
      <c r="J437" s="4" t="s">
        <v>34</v>
      </c>
    </row>
    <row r="438" customFormat="false" ht="15" hidden="false" customHeight="false" outlineLevel="0" collapsed="false">
      <c r="A438" s="4" t="s">
        <v>958</v>
      </c>
      <c r="B438" s="4" t="s">
        <v>171</v>
      </c>
      <c r="C438" s="4" t="s">
        <v>238</v>
      </c>
      <c r="D438" s="7" t="s">
        <v>959</v>
      </c>
      <c r="E438" s="4" t="s">
        <v>33</v>
      </c>
      <c r="F438" s="4" t="s">
        <v>4</v>
      </c>
      <c r="G438" s="8" t="n">
        <v>2457.13392078877</v>
      </c>
      <c r="H438" s="6" t="n">
        <f aca="false">IF(G438="","",G438/SUMIFS($G$2:$G$1462,$F$2:$F$1462,"Served"))</f>
        <v>0.000253280729241019</v>
      </c>
      <c r="I438" s="4" t="n">
        <f aca="false">IF(G438="","",RANK(G438,$G$2:$G$1462,0))</f>
        <v>437</v>
      </c>
      <c r="J438" s="4" t="s">
        <v>34</v>
      </c>
    </row>
    <row r="439" customFormat="false" ht="15" hidden="false" customHeight="false" outlineLevel="0" collapsed="false">
      <c r="A439" s="4" t="s">
        <v>960</v>
      </c>
      <c r="B439" s="4" t="s">
        <v>321</v>
      </c>
      <c r="C439" s="4" t="s">
        <v>322</v>
      </c>
      <c r="D439" s="7" t="s">
        <v>961</v>
      </c>
      <c r="E439" s="4" t="s">
        <v>324</v>
      </c>
      <c r="F439" s="4" t="s">
        <v>4</v>
      </c>
      <c r="G439" s="8" t="n">
        <v>2399.84923440218</v>
      </c>
      <c r="H439" s="6" t="n">
        <f aca="false">IF(G439="","",G439/SUMIFS($G$2:$G$1462,$F$2:$F$1462,"Served"))</f>
        <v>0.000247375838579757</v>
      </c>
      <c r="I439" s="4" t="n">
        <f aca="false">IF(G439="","",RANK(G439,$G$2:$G$1462,0))</f>
        <v>438</v>
      </c>
      <c r="J439" s="4" t="s">
        <v>34</v>
      </c>
    </row>
    <row r="440" customFormat="false" ht="15" hidden="false" customHeight="false" outlineLevel="0" collapsed="false">
      <c r="A440" s="4" t="s">
        <v>962</v>
      </c>
      <c r="B440" s="4" t="s">
        <v>43</v>
      </c>
      <c r="C440" s="4" t="s">
        <v>44</v>
      </c>
      <c r="D440" s="7" t="s">
        <v>963</v>
      </c>
      <c r="E440" s="4" t="s">
        <v>46</v>
      </c>
      <c r="F440" s="4" t="s">
        <v>4</v>
      </c>
      <c r="G440" s="8" t="n">
        <v>2390.39863476157</v>
      </c>
      <c r="H440" s="6" t="n">
        <f aca="false">IF(G440="","",G440/SUMIFS($G$2:$G$1462,$F$2:$F$1462,"Served"))</f>
        <v>0.000246401673212339</v>
      </c>
      <c r="I440" s="4" t="n">
        <f aca="false">IF(G440="","",RANK(G440,$G$2:$G$1462,0))</f>
        <v>439</v>
      </c>
      <c r="J440" s="4" t="s">
        <v>34</v>
      </c>
    </row>
    <row r="441" customFormat="false" ht="15" hidden="false" customHeight="false" outlineLevel="0" collapsed="false">
      <c r="A441" s="4" t="s">
        <v>964</v>
      </c>
      <c r="B441" s="4" t="s">
        <v>171</v>
      </c>
      <c r="C441" s="4" t="s">
        <v>249</v>
      </c>
      <c r="D441" s="7" t="s">
        <v>965</v>
      </c>
      <c r="E441" s="4" t="s">
        <v>33</v>
      </c>
      <c r="F441" s="4" t="s">
        <v>4</v>
      </c>
      <c r="G441" s="8" t="n">
        <v>2389.33299642801</v>
      </c>
      <c r="H441" s="6" t="n">
        <f aca="false">IF(G441="","",G441/SUMIFS($G$2:$G$1462,$F$2:$F$1462,"Served"))</f>
        <v>0.000246291827488446</v>
      </c>
      <c r="I441" s="4" t="n">
        <f aca="false">IF(G441="","",RANK(G441,$G$2:$G$1462,0))</f>
        <v>440</v>
      </c>
      <c r="J441" s="4" t="s">
        <v>34</v>
      </c>
    </row>
    <row r="442" customFormat="false" ht="15" hidden="false" customHeight="false" outlineLevel="0" collapsed="false">
      <c r="A442" s="4" t="s">
        <v>966</v>
      </c>
      <c r="B442" s="4" t="s">
        <v>321</v>
      </c>
      <c r="C442" s="4" t="s">
        <v>322</v>
      </c>
      <c r="D442" s="7" t="s">
        <v>967</v>
      </c>
      <c r="E442" s="4" t="s">
        <v>324</v>
      </c>
      <c r="F442" s="4" t="s">
        <v>4</v>
      </c>
      <c r="G442" s="8" t="n">
        <v>2331.27950030565</v>
      </c>
      <c r="H442" s="6" t="n">
        <f aca="false">IF(G442="","",G442/SUMIFS($G$2:$G$1462,$F$2:$F$1462,"Served"))</f>
        <v>0.000240307688118403</v>
      </c>
      <c r="I442" s="4" t="n">
        <f aca="false">IF(G442="","",RANK(G442,$G$2:$G$1462,0))</f>
        <v>441</v>
      </c>
      <c r="J442" s="4" t="s">
        <v>34</v>
      </c>
    </row>
    <row r="443" customFormat="false" ht="15" hidden="false" customHeight="false" outlineLevel="0" collapsed="false">
      <c r="A443" s="4" t="s">
        <v>968</v>
      </c>
      <c r="B443" s="4" t="s">
        <v>43</v>
      </c>
      <c r="C443" s="4" t="s">
        <v>44</v>
      </c>
      <c r="D443" s="7" t="s">
        <v>969</v>
      </c>
      <c r="E443" s="4" t="s">
        <v>46</v>
      </c>
      <c r="F443" s="4" t="s">
        <v>4</v>
      </c>
      <c r="G443" s="8" t="n">
        <v>2304.22833633423</v>
      </c>
      <c r="H443" s="6" t="n">
        <f aca="false">IF(G443="","",G443/SUMIFS($G$2:$G$1462,$F$2:$F$1462,"Served"))</f>
        <v>0.000237519261130548</v>
      </c>
      <c r="I443" s="4" t="n">
        <f aca="false">IF(G443="","",RANK(G443,$G$2:$G$1462,0))</f>
        <v>442</v>
      </c>
      <c r="J443" s="4" t="s">
        <v>34</v>
      </c>
    </row>
    <row r="444" customFormat="false" ht="15" hidden="false" customHeight="false" outlineLevel="0" collapsed="false">
      <c r="A444" s="4" t="s">
        <v>970</v>
      </c>
      <c r="B444" s="4" t="s">
        <v>30</v>
      </c>
      <c r="C444" s="4" t="s">
        <v>56</v>
      </c>
      <c r="D444" s="7" t="s">
        <v>971</v>
      </c>
      <c r="E444" s="4" t="s">
        <v>33</v>
      </c>
      <c r="F444" s="4" t="s">
        <v>4</v>
      </c>
      <c r="G444" s="8" t="n">
        <v>2295.87940502167</v>
      </c>
      <c r="H444" s="6" t="n">
        <f aca="false">IF(G444="","",G444/SUMIFS($G$2:$G$1462,$F$2:$F$1462,"Served"))</f>
        <v>0.00023665865544954</v>
      </c>
      <c r="I444" s="4" t="n">
        <f aca="false">IF(G444="","",RANK(G444,$G$2:$G$1462,0))</f>
        <v>443</v>
      </c>
      <c r="J444" s="4" t="s">
        <v>34</v>
      </c>
    </row>
    <row r="445" customFormat="false" ht="15" hidden="false" customHeight="false" outlineLevel="0" collapsed="false">
      <c r="A445" s="4" t="s">
        <v>972</v>
      </c>
      <c r="B445" s="4" t="s">
        <v>321</v>
      </c>
      <c r="C445" s="4" t="s">
        <v>322</v>
      </c>
      <c r="D445" s="7" t="s">
        <v>973</v>
      </c>
      <c r="E445" s="4" t="s">
        <v>324</v>
      </c>
      <c r="F445" s="4" t="s">
        <v>4</v>
      </c>
      <c r="G445" s="8" t="n">
        <v>2246.94721221924</v>
      </c>
      <c r="H445" s="6" t="n">
        <f aca="false">IF(G445="","",G445/SUMIFS($G$2:$G$1462,$F$2:$F$1462,"Served"))</f>
        <v>0.00023161473766732</v>
      </c>
      <c r="I445" s="4" t="n">
        <f aca="false">IF(G445="","",RANK(G445,$G$2:$G$1462,0))</f>
        <v>444</v>
      </c>
      <c r="J445" s="4" t="s">
        <v>34</v>
      </c>
    </row>
    <row r="446" customFormat="false" ht="15" hidden="false" customHeight="false" outlineLevel="0" collapsed="false">
      <c r="A446" s="4" t="s">
        <v>974</v>
      </c>
      <c r="B446" s="4" t="s">
        <v>321</v>
      </c>
      <c r="C446" s="4" t="s">
        <v>322</v>
      </c>
      <c r="D446" s="7" t="s">
        <v>975</v>
      </c>
      <c r="E446" s="4" t="s">
        <v>324</v>
      </c>
      <c r="F446" s="4" t="s">
        <v>4</v>
      </c>
      <c r="G446" s="8" t="n">
        <v>2243.50704681873</v>
      </c>
      <c r="H446" s="6" t="n">
        <f aca="false">IF(G446="","",G446/SUMIFS($G$2:$G$1462,$F$2:$F$1462,"Served"))</f>
        <v>0.000231260126307322</v>
      </c>
      <c r="I446" s="4" t="n">
        <f aca="false">IF(G446="","",RANK(G446,$G$2:$G$1462,0))</f>
        <v>445</v>
      </c>
      <c r="J446" s="4" t="s">
        <v>34</v>
      </c>
    </row>
    <row r="447" customFormat="false" ht="15" hidden="false" customHeight="false" outlineLevel="0" collapsed="false">
      <c r="A447" s="4" t="s">
        <v>976</v>
      </c>
      <c r="B447" s="4" t="s">
        <v>132</v>
      </c>
      <c r="C447" s="4" t="s">
        <v>133</v>
      </c>
      <c r="D447" s="7" t="s">
        <v>977</v>
      </c>
      <c r="E447" s="4" t="s">
        <v>135</v>
      </c>
      <c r="F447" s="4" t="s">
        <v>4</v>
      </c>
      <c r="G447" s="8" t="n">
        <v>2171.84203112125</v>
      </c>
      <c r="H447" s="6" t="n">
        <f aca="false">IF(G447="","",G447/SUMIFS($G$2:$G$1462,$F$2:$F$1462,"Served"))</f>
        <v>0.000223872915018854</v>
      </c>
      <c r="I447" s="4" t="n">
        <f aca="false">IF(G447="","",RANK(G447,$G$2:$G$1462,0))</f>
        <v>446</v>
      </c>
      <c r="J447" s="4" t="s">
        <v>34</v>
      </c>
    </row>
    <row r="448" customFormat="false" ht="15" hidden="false" customHeight="false" outlineLevel="0" collapsed="false">
      <c r="A448" s="4" t="s">
        <v>978</v>
      </c>
      <c r="B448" s="4" t="s">
        <v>171</v>
      </c>
      <c r="C448" s="4" t="s">
        <v>426</v>
      </c>
      <c r="D448" s="7" t="s">
        <v>979</v>
      </c>
      <c r="E448" s="4" t="s">
        <v>33</v>
      </c>
      <c r="F448" s="4" t="s">
        <v>4</v>
      </c>
      <c r="G448" s="8" t="n">
        <v>2160.15824115276</v>
      </c>
      <c r="H448" s="6" t="n">
        <f aca="false">IF(G448="","",G448/SUMIFS($G$2:$G$1462,$F$2:$F$1462,"Served"))</f>
        <v>0.00022266855296985</v>
      </c>
      <c r="I448" s="4" t="n">
        <f aca="false">IF(G448="","",RANK(G448,$G$2:$G$1462,0))</f>
        <v>447</v>
      </c>
      <c r="J448" s="4" t="s">
        <v>34</v>
      </c>
    </row>
    <row r="449" customFormat="false" ht="15" hidden="false" customHeight="false" outlineLevel="0" collapsed="false">
      <c r="A449" s="4" t="s">
        <v>980</v>
      </c>
      <c r="B449" s="4" t="s">
        <v>321</v>
      </c>
      <c r="C449" s="4" t="s">
        <v>322</v>
      </c>
      <c r="D449" s="7" t="s">
        <v>981</v>
      </c>
      <c r="E449" s="4" t="s">
        <v>324</v>
      </c>
      <c r="F449" s="4" t="s">
        <v>4</v>
      </c>
      <c r="G449" s="8" t="n">
        <v>2152.60599964857</v>
      </c>
      <c r="H449" s="6" t="n">
        <f aca="false">IF(G449="","",G449/SUMIFS($G$2:$G$1462,$F$2:$F$1462,"Served"))</f>
        <v>0.000221890069868298</v>
      </c>
      <c r="I449" s="4" t="n">
        <f aca="false">IF(G449="","",RANK(G449,$G$2:$G$1462,0))</f>
        <v>448</v>
      </c>
      <c r="J449" s="4" t="s">
        <v>34</v>
      </c>
    </row>
    <row r="450" customFormat="false" ht="15" hidden="false" customHeight="false" outlineLevel="0" collapsed="false">
      <c r="A450" s="4" t="s">
        <v>982</v>
      </c>
      <c r="B450" s="4" t="s">
        <v>171</v>
      </c>
      <c r="C450" s="4" t="s">
        <v>591</v>
      </c>
      <c r="D450" s="7" t="s">
        <v>983</v>
      </c>
      <c r="E450" s="4" t="s">
        <v>33</v>
      </c>
      <c r="F450" s="4" t="s">
        <v>4</v>
      </c>
      <c r="G450" s="8" t="n">
        <v>2120.36773300171</v>
      </c>
      <c r="H450" s="6" t="n">
        <f aca="false">IF(G450="","",G450/SUMIFS($G$2:$G$1462,$F$2:$F$1462,"Served"))</f>
        <v>0.00021856695767783</v>
      </c>
      <c r="I450" s="4" t="n">
        <f aca="false">IF(G450="","",RANK(G450,$G$2:$G$1462,0))</f>
        <v>449</v>
      </c>
      <c r="J450" s="4" t="s">
        <v>34</v>
      </c>
    </row>
    <row r="451" customFormat="false" ht="15" hidden="false" customHeight="false" outlineLevel="0" collapsed="false">
      <c r="A451" s="4" t="s">
        <v>984</v>
      </c>
      <c r="B451" s="4" t="s">
        <v>321</v>
      </c>
      <c r="C451" s="4" t="s">
        <v>322</v>
      </c>
      <c r="D451" s="7" t="s">
        <v>985</v>
      </c>
      <c r="E451" s="4" t="s">
        <v>324</v>
      </c>
      <c r="F451" s="4" t="s">
        <v>4</v>
      </c>
      <c r="G451" s="8" t="n">
        <v>2108.02337116003</v>
      </c>
      <c r="H451" s="6" t="n">
        <f aca="false">IF(G451="","",G451/SUMIFS($G$2:$G$1462,$F$2:$F$1462,"Served"))</f>
        <v>0.000217294504050935</v>
      </c>
      <c r="I451" s="4" t="n">
        <f aca="false">IF(G451="","",RANK(G451,$G$2:$G$1462,0))</f>
        <v>450</v>
      </c>
      <c r="J451" s="4" t="s">
        <v>34</v>
      </c>
    </row>
    <row r="452" customFormat="false" ht="15" hidden="false" customHeight="false" outlineLevel="0" collapsed="false">
      <c r="A452" s="4" t="s">
        <v>986</v>
      </c>
      <c r="B452" s="4" t="s">
        <v>171</v>
      </c>
      <c r="C452" s="4" t="s">
        <v>238</v>
      </c>
      <c r="D452" s="7" t="s">
        <v>987</v>
      </c>
      <c r="E452" s="4" t="s">
        <v>33</v>
      </c>
      <c r="F452" s="4" t="s">
        <v>4</v>
      </c>
      <c r="G452" s="8" t="n">
        <v>2098.80580565333</v>
      </c>
      <c r="H452" s="6" t="n">
        <f aca="false">IF(G452="","",G452/SUMIFS($G$2:$G$1462,$F$2:$F$1462,"Served"))</f>
        <v>0.000216344359781789</v>
      </c>
      <c r="I452" s="4" t="n">
        <f aca="false">IF(G452="","",RANK(G452,$G$2:$G$1462,0))</f>
        <v>451</v>
      </c>
      <c r="J452" s="4" t="s">
        <v>34</v>
      </c>
    </row>
    <row r="453" customFormat="false" ht="15" hidden="false" customHeight="false" outlineLevel="0" collapsed="false">
      <c r="A453" s="4" t="s">
        <v>988</v>
      </c>
      <c r="B453" s="4" t="s">
        <v>43</v>
      </c>
      <c r="C453" s="4" t="s">
        <v>44</v>
      </c>
      <c r="D453" s="7" t="s">
        <v>989</v>
      </c>
      <c r="E453" s="4" t="s">
        <v>46</v>
      </c>
      <c r="F453" s="4" t="s">
        <v>4</v>
      </c>
      <c r="G453" s="8" t="n">
        <v>2085.77001076937</v>
      </c>
      <c r="H453" s="6" t="n">
        <f aca="false">IF(G453="","",G453/SUMIFS($G$2:$G$1462,$F$2:$F$1462,"Served"))</f>
        <v>0.00021500063341567</v>
      </c>
      <c r="I453" s="4" t="n">
        <f aca="false">IF(G453="","",RANK(G453,$G$2:$G$1462,0))</f>
        <v>452</v>
      </c>
      <c r="J453" s="4" t="s">
        <v>34</v>
      </c>
    </row>
    <row r="454" customFormat="false" ht="15" hidden="false" customHeight="false" outlineLevel="0" collapsed="false">
      <c r="A454" s="4" t="s">
        <v>990</v>
      </c>
      <c r="B454" s="4" t="s">
        <v>321</v>
      </c>
      <c r="C454" s="4" t="s">
        <v>322</v>
      </c>
      <c r="D454" s="7" t="s">
        <v>991</v>
      </c>
      <c r="E454" s="4" t="s">
        <v>324</v>
      </c>
      <c r="F454" s="4" t="s">
        <v>4</v>
      </c>
      <c r="G454" s="8" t="n">
        <v>2085.75510102511</v>
      </c>
      <c r="H454" s="6" t="n">
        <f aca="false">IF(G454="","",G454/SUMIFS($G$2:$G$1462,$F$2:$F$1462,"Served"))</f>
        <v>0.000214999096523087</v>
      </c>
      <c r="I454" s="4" t="n">
        <f aca="false">IF(G454="","",RANK(G454,$G$2:$G$1462,0))</f>
        <v>453</v>
      </c>
      <c r="J454" s="4" t="s">
        <v>34</v>
      </c>
    </row>
    <row r="455" customFormat="false" ht="15" hidden="false" customHeight="false" outlineLevel="0" collapsed="false">
      <c r="A455" s="4" t="s">
        <v>992</v>
      </c>
      <c r="B455" s="4" t="s">
        <v>30</v>
      </c>
      <c r="C455" s="4" t="s">
        <v>788</v>
      </c>
      <c r="D455" s="7" t="s">
        <v>993</v>
      </c>
      <c r="E455" s="4" t="s">
        <v>33</v>
      </c>
      <c r="F455" s="4" t="s">
        <v>4</v>
      </c>
      <c r="G455" s="8" t="n">
        <v>2076.23002457619</v>
      </c>
      <c r="H455" s="6" t="n">
        <f aca="false">IF(G455="","",G455/SUMIFS($G$2:$G$1462,$F$2:$F$1462,"Served"))</f>
        <v>0.000214017254105526</v>
      </c>
      <c r="I455" s="4" t="n">
        <f aca="false">IF(G455="","",RANK(G455,$G$2:$G$1462,0))</f>
        <v>454</v>
      </c>
      <c r="J455" s="4" t="s">
        <v>34</v>
      </c>
    </row>
    <row r="456" customFormat="false" ht="15" hidden="false" customHeight="false" outlineLevel="0" collapsed="false">
      <c r="A456" s="4" t="s">
        <v>994</v>
      </c>
      <c r="B456" s="4" t="s">
        <v>43</v>
      </c>
      <c r="C456" s="4" t="s">
        <v>44</v>
      </c>
      <c r="D456" s="7" t="s">
        <v>995</v>
      </c>
      <c r="E456" s="4" t="s">
        <v>46</v>
      </c>
      <c r="F456" s="4" t="s">
        <v>4</v>
      </c>
      <c r="G456" s="8" t="n">
        <v>2066.47862350941</v>
      </c>
      <c r="H456" s="6" t="n">
        <f aca="false">IF(G456="","",G456/SUMIFS($G$2:$G$1462,$F$2:$F$1462,"Served"))</f>
        <v>0.000213012082204874</v>
      </c>
      <c r="I456" s="4" t="n">
        <f aca="false">IF(G456="","",RANK(G456,$G$2:$G$1462,0))</f>
        <v>455</v>
      </c>
      <c r="J456" s="4" t="s">
        <v>34</v>
      </c>
    </row>
    <row r="457" customFormat="false" ht="15" hidden="false" customHeight="false" outlineLevel="0" collapsed="false">
      <c r="A457" s="4" t="s">
        <v>996</v>
      </c>
      <c r="B457" s="4" t="s">
        <v>132</v>
      </c>
      <c r="C457" s="4" t="s">
        <v>133</v>
      </c>
      <c r="D457" s="7" t="s">
        <v>997</v>
      </c>
      <c r="E457" s="4" t="s">
        <v>135</v>
      </c>
      <c r="F457" s="4" t="s">
        <v>4</v>
      </c>
      <c r="G457" s="8" t="n">
        <v>2063.78981983662</v>
      </c>
      <c r="H457" s="6" t="n">
        <f aca="false">IF(G457="","",G457/SUMIFS($G$2:$G$1462,$F$2:$F$1462,"Served"))</f>
        <v>0.000212734921017497</v>
      </c>
      <c r="I457" s="4" t="n">
        <f aca="false">IF(G457="","",RANK(G457,$G$2:$G$1462,0))</f>
        <v>456</v>
      </c>
      <c r="J457" s="4" t="s">
        <v>34</v>
      </c>
    </row>
    <row r="458" customFormat="false" ht="15" hidden="false" customHeight="false" outlineLevel="0" collapsed="false">
      <c r="A458" s="4" t="s">
        <v>998</v>
      </c>
      <c r="B458" s="4" t="s">
        <v>30</v>
      </c>
      <c r="C458" s="4" t="s">
        <v>737</v>
      </c>
      <c r="D458" s="7" t="s">
        <v>999</v>
      </c>
      <c r="E458" s="4" t="s">
        <v>33</v>
      </c>
      <c r="F458" s="4" t="s">
        <v>4</v>
      </c>
      <c r="G458" s="8" t="n">
        <v>2049.16409629583</v>
      </c>
      <c r="H458" s="6" t="n">
        <f aca="false">IF(G458="","",G458/SUMIFS($G$2:$G$1462,$F$2:$F$1462,"Served"))</f>
        <v>0.000211227305216524</v>
      </c>
      <c r="I458" s="4" t="n">
        <f aca="false">IF(G458="","",RANK(G458,$G$2:$G$1462,0))</f>
        <v>457</v>
      </c>
      <c r="J458" s="4" t="s">
        <v>34</v>
      </c>
    </row>
    <row r="459" customFormat="false" ht="15" hidden="false" customHeight="false" outlineLevel="0" collapsed="false">
      <c r="A459" s="4" t="s">
        <v>1000</v>
      </c>
      <c r="B459" s="4" t="s">
        <v>30</v>
      </c>
      <c r="C459" s="4" t="s">
        <v>788</v>
      </c>
      <c r="D459" s="7" t="s">
        <v>1001</v>
      </c>
      <c r="E459" s="4" t="s">
        <v>33</v>
      </c>
      <c r="F459" s="4" t="s">
        <v>4</v>
      </c>
      <c r="G459" s="8" t="n">
        <v>2020.44747960568</v>
      </c>
      <c r="H459" s="6" t="n">
        <f aca="false">IF(G459="","",G459/SUMIFS($G$2:$G$1462,$F$2:$F$1462,"Served"))</f>
        <v>0.00020826720379304</v>
      </c>
      <c r="I459" s="4" t="n">
        <f aca="false">IF(G459="","",RANK(G459,$G$2:$G$1462,0))</f>
        <v>458</v>
      </c>
      <c r="J459" s="4" t="s">
        <v>34</v>
      </c>
    </row>
    <row r="460" customFormat="false" ht="15" hidden="false" customHeight="false" outlineLevel="0" collapsed="false">
      <c r="A460" s="4" t="s">
        <v>1002</v>
      </c>
      <c r="B460" s="4" t="s">
        <v>72</v>
      </c>
      <c r="C460" s="4" t="s">
        <v>73</v>
      </c>
      <c r="D460" s="7" t="s">
        <v>1003</v>
      </c>
      <c r="E460" s="4" t="s">
        <v>75</v>
      </c>
      <c r="F460" s="4" t="s">
        <v>4</v>
      </c>
      <c r="G460" s="8" t="n">
        <v>1999.21565651894</v>
      </c>
      <c r="H460" s="6" t="n">
        <f aca="false">IF(G460="","",G460/SUMIFS($G$2:$G$1462,$F$2:$F$1462,"Served"))</f>
        <v>0.000206078632958936</v>
      </c>
      <c r="I460" s="4" t="n">
        <f aca="false">IF(G460="","",RANK(G460,$G$2:$G$1462,0))</f>
        <v>459</v>
      </c>
      <c r="J460" s="4" t="s">
        <v>34</v>
      </c>
    </row>
    <row r="461" customFormat="false" ht="15" hidden="false" customHeight="false" outlineLevel="0" collapsed="false">
      <c r="A461" s="4" t="s">
        <v>1004</v>
      </c>
      <c r="B461" s="4" t="s">
        <v>321</v>
      </c>
      <c r="C461" s="4" t="s">
        <v>322</v>
      </c>
      <c r="D461" s="7" t="s">
        <v>1005</v>
      </c>
      <c r="E461" s="4" t="s">
        <v>324</v>
      </c>
      <c r="F461" s="4" t="s">
        <v>4</v>
      </c>
      <c r="G461" s="8" t="n">
        <v>1990.84404498339</v>
      </c>
      <c r="H461" s="6" t="n">
        <f aca="false">IF(G461="","",G461/SUMIFS($G$2:$G$1462,$F$2:$F$1462,"Served"))</f>
        <v>0.000205215689406406</v>
      </c>
      <c r="I461" s="4" t="n">
        <f aca="false">IF(G461="","",RANK(G461,$G$2:$G$1462,0))</f>
        <v>460</v>
      </c>
      <c r="J461" s="4" t="s">
        <v>34</v>
      </c>
    </row>
    <row r="462" customFormat="false" ht="15" hidden="false" customHeight="false" outlineLevel="0" collapsed="false">
      <c r="A462" s="4" t="s">
        <v>1006</v>
      </c>
      <c r="B462" s="4" t="s">
        <v>171</v>
      </c>
      <c r="C462" s="4" t="s">
        <v>249</v>
      </c>
      <c r="D462" s="7" t="s">
        <v>1007</v>
      </c>
      <c r="E462" s="4" t="s">
        <v>33</v>
      </c>
      <c r="F462" s="4" t="s">
        <v>4</v>
      </c>
      <c r="G462" s="8" t="n">
        <v>1919.80411607027</v>
      </c>
      <c r="H462" s="6" t="n">
        <f aca="false">IF(G462="","",G462/SUMIFS($G$2:$G$1462,$F$2:$F$1462,"Served"))</f>
        <v>0.000197892911902049</v>
      </c>
      <c r="I462" s="4" t="n">
        <f aca="false">IF(G462="","",RANK(G462,$G$2:$G$1462,0))</f>
        <v>461</v>
      </c>
      <c r="J462" s="4" t="s">
        <v>34</v>
      </c>
    </row>
    <row r="463" customFormat="false" ht="15" hidden="false" customHeight="false" outlineLevel="0" collapsed="false">
      <c r="A463" s="4" t="s">
        <v>1008</v>
      </c>
      <c r="B463" s="4" t="s">
        <v>321</v>
      </c>
      <c r="C463" s="4" t="s">
        <v>322</v>
      </c>
      <c r="D463" s="7" t="s">
        <v>1009</v>
      </c>
      <c r="E463" s="4" t="s">
        <v>324</v>
      </c>
      <c r="F463" s="4" t="s">
        <v>4</v>
      </c>
      <c r="G463" s="8" t="n">
        <v>1914.28884196281</v>
      </c>
      <c r="H463" s="6" t="n">
        <f aca="false">IF(G463="","",G463/SUMIFS($G$2:$G$1462,$F$2:$F$1462,"Served"))</f>
        <v>0.000197324398873076</v>
      </c>
      <c r="I463" s="4" t="n">
        <f aca="false">IF(G463="","",RANK(G463,$G$2:$G$1462,0))</f>
        <v>462</v>
      </c>
      <c r="J463" s="4" t="s">
        <v>34</v>
      </c>
    </row>
    <row r="464" customFormat="false" ht="15" hidden="false" customHeight="false" outlineLevel="0" collapsed="false">
      <c r="A464" s="4" t="s">
        <v>1010</v>
      </c>
      <c r="B464" s="4" t="s">
        <v>171</v>
      </c>
      <c r="C464" s="4" t="s">
        <v>470</v>
      </c>
      <c r="D464" s="7" t="s">
        <v>1011</v>
      </c>
      <c r="E464" s="4" t="s">
        <v>33</v>
      </c>
      <c r="F464" s="4" t="s">
        <v>4</v>
      </c>
      <c r="G464" s="8" t="n">
        <v>1910.7926043272</v>
      </c>
      <c r="H464" s="6" t="n">
        <f aca="false">IF(G464="","",G464/SUMIFS($G$2:$G$1462,$F$2:$F$1462,"Served"))</f>
        <v>0.000196964007601581</v>
      </c>
      <c r="I464" s="4" t="n">
        <f aca="false">IF(G464="","",RANK(G464,$G$2:$G$1462,0))</f>
        <v>463</v>
      </c>
      <c r="J464" s="4" t="s">
        <v>34</v>
      </c>
    </row>
    <row r="465" customFormat="false" ht="15" hidden="false" customHeight="false" outlineLevel="0" collapsed="false">
      <c r="A465" s="4" t="s">
        <v>1012</v>
      </c>
      <c r="B465" s="4" t="s">
        <v>321</v>
      </c>
      <c r="C465" s="4" t="s">
        <v>322</v>
      </c>
      <c r="D465" s="7" t="s">
        <v>1013</v>
      </c>
      <c r="E465" s="4" t="s">
        <v>324</v>
      </c>
      <c r="F465" s="4" t="s">
        <v>4</v>
      </c>
      <c r="G465" s="8" t="n">
        <v>1877.23714089394</v>
      </c>
      <c r="H465" s="6" t="n">
        <f aca="false">IF(G465="","",G465/SUMIFS($G$2:$G$1462,$F$2:$F$1462,"Served"))</f>
        <v>0.000193505119106944</v>
      </c>
      <c r="I465" s="4" t="n">
        <f aca="false">IF(G465="","",RANK(G465,$G$2:$G$1462,0))</f>
        <v>464</v>
      </c>
      <c r="J465" s="4" t="s">
        <v>34</v>
      </c>
    </row>
    <row r="466" customFormat="false" ht="15" hidden="false" customHeight="false" outlineLevel="0" collapsed="false">
      <c r="A466" s="4" t="s">
        <v>1014</v>
      </c>
      <c r="B466" s="4" t="s">
        <v>321</v>
      </c>
      <c r="C466" s="4" t="s">
        <v>322</v>
      </c>
      <c r="D466" s="7" t="s">
        <v>1015</v>
      </c>
      <c r="E466" s="4" t="s">
        <v>324</v>
      </c>
      <c r="F466" s="4" t="s">
        <v>4</v>
      </c>
      <c r="G466" s="8" t="n">
        <v>1875.35228431225</v>
      </c>
      <c r="H466" s="6" t="n">
        <f aca="false">IF(G466="","",G466/SUMIFS($G$2:$G$1462,$F$2:$F$1462,"Served"))</f>
        <v>0.00019331082857785</v>
      </c>
      <c r="I466" s="4" t="n">
        <f aca="false">IF(G466="","",RANK(G466,$G$2:$G$1462,0))</f>
        <v>465</v>
      </c>
      <c r="J466" s="4" t="s">
        <v>34</v>
      </c>
    </row>
    <row r="467" customFormat="false" ht="15" hidden="false" customHeight="false" outlineLevel="0" collapsed="false">
      <c r="A467" s="4" t="s">
        <v>1016</v>
      </c>
      <c r="B467" s="4" t="s">
        <v>321</v>
      </c>
      <c r="C467" s="4" t="s">
        <v>322</v>
      </c>
      <c r="D467" s="7" t="s">
        <v>1017</v>
      </c>
      <c r="E467" s="4" t="s">
        <v>324</v>
      </c>
      <c r="F467" s="4" t="s">
        <v>4</v>
      </c>
      <c r="G467" s="8" t="n">
        <v>1873.51650470495</v>
      </c>
      <c r="H467" s="6" t="n">
        <f aca="false">IF(G467="","",G467/SUMIFS($G$2:$G$1462,$F$2:$F$1462,"Served"))</f>
        <v>0.000193121596890587</v>
      </c>
      <c r="I467" s="4" t="n">
        <f aca="false">IF(G467="","",RANK(G467,$G$2:$G$1462,0))</f>
        <v>466</v>
      </c>
      <c r="J467" s="4" t="s">
        <v>34</v>
      </c>
    </row>
    <row r="468" customFormat="false" ht="15" hidden="false" customHeight="false" outlineLevel="0" collapsed="false">
      <c r="A468" s="4" t="s">
        <v>1018</v>
      </c>
      <c r="B468" s="4" t="s">
        <v>72</v>
      </c>
      <c r="C468" s="4" t="s">
        <v>73</v>
      </c>
      <c r="D468" s="7" t="s">
        <v>1019</v>
      </c>
      <c r="E468" s="4" t="s">
        <v>75</v>
      </c>
      <c r="F468" s="4" t="s">
        <v>4</v>
      </c>
      <c r="G468" s="8" t="n">
        <v>1871.50604522228</v>
      </c>
      <c r="H468" s="6" t="n">
        <f aca="false">IF(G468="","",G468/SUMIFS($G$2:$G$1462,$F$2:$F$1462,"Served"))</f>
        <v>0.000192914359246936</v>
      </c>
      <c r="I468" s="4" t="n">
        <f aca="false">IF(G468="","",RANK(G468,$G$2:$G$1462,0))</f>
        <v>467</v>
      </c>
      <c r="J468" s="4" t="s">
        <v>34</v>
      </c>
    </row>
    <row r="469" customFormat="false" ht="15" hidden="false" customHeight="false" outlineLevel="0" collapsed="false">
      <c r="A469" s="4" t="s">
        <v>1020</v>
      </c>
      <c r="B469" s="4" t="s">
        <v>171</v>
      </c>
      <c r="C469" s="4" t="s">
        <v>584</v>
      </c>
      <c r="D469" s="7" t="s">
        <v>1021</v>
      </c>
      <c r="E469" s="4" t="s">
        <v>33</v>
      </c>
      <c r="F469" s="4" t="s">
        <v>4</v>
      </c>
      <c r="G469" s="8" t="n">
        <v>1867.19913631678</v>
      </c>
      <c r="H469" s="6" t="n">
        <f aca="false">IF(G469="","",G469/SUMIFS($G$2:$G$1462,$F$2:$F$1462,"Served"))</f>
        <v>0.000192470404190546</v>
      </c>
      <c r="I469" s="4" t="n">
        <f aca="false">IF(G469="","",RANK(G469,$G$2:$G$1462,0))</f>
        <v>468</v>
      </c>
      <c r="J469" s="4" t="s">
        <v>34</v>
      </c>
    </row>
    <row r="470" customFormat="false" ht="15" hidden="false" customHeight="false" outlineLevel="0" collapsed="false">
      <c r="A470" s="4" t="s">
        <v>1022</v>
      </c>
      <c r="B470" s="4" t="s">
        <v>171</v>
      </c>
      <c r="C470" s="4" t="s">
        <v>238</v>
      </c>
      <c r="D470" s="7" t="s">
        <v>1023</v>
      </c>
      <c r="E470" s="4" t="s">
        <v>33</v>
      </c>
      <c r="F470" s="4" t="s">
        <v>4</v>
      </c>
      <c r="G470" s="8" t="n">
        <v>1863.01428949833</v>
      </c>
      <c r="H470" s="6" t="n">
        <f aca="false">IF(G470="","",G470/SUMIFS($G$2:$G$1462,$F$2:$F$1462,"Served"))</f>
        <v>0.00019203903126253</v>
      </c>
      <c r="I470" s="4" t="n">
        <f aca="false">IF(G470="","",RANK(G470,$G$2:$G$1462,0))</f>
        <v>469</v>
      </c>
      <c r="J470" s="4" t="s">
        <v>34</v>
      </c>
    </row>
    <row r="471" customFormat="false" ht="15" hidden="false" customHeight="false" outlineLevel="0" collapsed="false">
      <c r="A471" s="4" t="s">
        <v>1024</v>
      </c>
      <c r="B471" s="4" t="s">
        <v>30</v>
      </c>
      <c r="C471" s="4" t="s">
        <v>109</v>
      </c>
      <c r="D471" s="7" t="s">
        <v>1025</v>
      </c>
      <c r="E471" s="4" t="s">
        <v>33</v>
      </c>
      <c r="F471" s="4" t="s">
        <v>4</v>
      </c>
      <c r="G471" s="8" t="n">
        <v>1850.68900227547</v>
      </c>
      <c r="H471" s="6" t="n">
        <f aca="false">IF(G471="","",G471/SUMIFS($G$2:$G$1462,$F$2:$F$1462,"Served"))</f>
        <v>0.00019076854384241</v>
      </c>
      <c r="I471" s="4" t="n">
        <f aca="false">IF(G471="","",RANK(G471,$G$2:$G$1462,0))</f>
        <v>470</v>
      </c>
      <c r="J471" s="4" t="s">
        <v>34</v>
      </c>
    </row>
    <row r="472" customFormat="false" ht="15" hidden="false" customHeight="false" outlineLevel="0" collapsed="false">
      <c r="A472" s="4" t="s">
        <v>1026</v>
      </c>
      <c r="B472" s="4" t="s">
        <v>30</v>
      </c>
      <c r="C472" s="4" t="s">
        <v>109</v>
      </c>
      <c r="D472" s="7" t="s">
        <v>1027</v>
      </c>
      <c r="E472" s="4" t="s">
        <v>33</v>
      </c>
      <c r="F472" s="4" t="s">
        <v>4</v>
      </c>
      <c r="G472" s="8" t="n">
        <v>1841.47081851959</v>
      </c>
      <c r="H472" s="6" t="n">
        <f aca="false">IF(G472="","",G472/SUMIFS($G$2:$G$1462,$F$2:$F$1462,"Served"))</f>
        <v>0.000189818335844298</v>
      </c>
      <c r="I472" s="4" t="n">
        <f aca="false">IF(G472="","",RANK(G472,$G$2:$G$1462,0))</f>
        <v>471</v>
      </c>
      <c r="J472" s="4" t="s">
        <v>34</v>
      </c>
    </row>
    <row r="473" customFormat="false" ht="15" hidden="false" customHeight="false" outlineLevel="0" collapsed="false">
      <c r="A473" s="4" t="s">
        <v>1028</v>
      </c>
      <c r="B473" s="4" t="s">
        <v>171</v>
      </c>
      <c r="C473" s="4" t="s">
        <v>515</v>
      </c>
      <c r="D473" s="7" t="s">
        <v>1029</v>
      </c>
      <c r="E473" s="4" t="s">
        <v>33</v>
      </c>
      <c r="F473" s="4" t="s">
        <v>4</v>
      </c>
      <c r="G473" s="8" t="n">
        <v>1809.1902333498</v>
      </c>
      <c r="H473" s="6" t="n">
        <f aca="false">IF(G473="","",G473/SUMIFS($G$2:$G$1462,$F$2:$F$1462,"Served"))</f>
        <v>0.000186490861471429</v>
      </c>
      <c r="I473" s="4" t="n">
        <f aca="false">IF(G473="","",RANK(G473,$G$2:$G$1462,0))</f>
        <v>472</v>
      </c>
      <c r="J473" s="4" t="s">
        <v>34</v>
      </c>
    </row>
    <row r="474" customFormat="false" ht="15" hidden="false" customHeight="false" outlineLevel="0" collapsed="false">
      <c r="A474" s="4" t="s">
        <v>1030</v>
      </c>
      <c r="B474" s="4" t="s">
        <v>30</v>
      </c>
      <c r="C474" s="4" t="s">
        <v>788</v>
      </c>
      <c r="D474" s="7" t="s">
        <v>1031</v>
      </c>
      <c r="E474" s="4" t="s">
        <v>33</v>
      </c>
      <c r="F474" s="4" t="s">
        <v>4</v>
      </c>
      <c r="G474" s="8" t="n">
        <v>1807.54755324125</v>
      </c>
      <c r="H474" s="6" t="n">
        <f aca="false">IF(G474="","",G474/SUMIFS($G$2:$G$1462,$F$2:$F$1462,"Served"))</f>
        <v>0.00018632153443057</v>
      </c>
      <c r="I474" s="4" t="n">
        <f aca="false">IF(G474="","",RANK(G474,$G$2:$G$1462,0))</f>
        <v>473</v>
      </c>
      <c r="J474" s="4" t="s">
        <v>34</v>
      </c>
    </row>
    <row r="475" customFormat="false" ht="15" hidden="false" customHeight="false" outlineLevel="0" collapsed="false">
      <c r="A475" s="4" t="s">
        <v>1032</v>
      </c>
      <c r="B475" s="4" t="s">
        <v>171</v>
      </c>
      <c r="C475" s="4" t="s">
        <v>238</v>
      </c>
      <c r="D475" s="7" t="s">
        <v>1033</v>
      </c>
      <c r="E475" s="4" t="s">
        <v>33</v>
      </c>
      <c r="F475" s="4" t="s">
        <v>4</v>
      </c>
      <c r="G475" s="8" t="n">
        <v>1806.4309155345</v>
      </c>
      <c r="H475" s="6" t="n">
        <f aca="false">IF(G475="","",G475/SUMIFS($G$2:$G$1462,$F$2:$F$1462,"Served"))</f>
        <v>0.000186206431704474</v>
      </c>
      <c r="I475" s="4" t="n">
        <f aca="false">IF(G475="","",RANK(G475,$G$2:$G$1462,0))</f>
        <v>474</v>
      </c>
      <c r="J475" s="4" t="s">
        <v>34</v>
      </c>
    </row>
    <row r="476" customFormat="false" ht="15" hidden="false" customHeight="false" outlineLevel="0" collapsed="false">
      <c r="A476" s="4" t="s">
        <v>1034</v>
      </c>
      <c r="B476" s="4" t="s">
        <v>171</v>
      </c>
      <c r="C476" s="4" t="s">
        <v>830</v>
      </c>
      <c r="D476" s="7" t="s">
        <v>1035</v>
      </c>
      <c r="E476" s="4" t="s">
        <v>33</v>
      </c>
      <c r="F476" s="4" t="s">
        <v>4</v>
      </c>
      <c r="G476" s="8" t="n">
        <v>1767.11913561821</v>
      </c>
      <c r="H476" s="6" t="n">
        <f aca="false">IF(G476="","",G476/SUMIFS($G$2:$G$1462,$F$2:$F$1462,"Served"))</f>
        <v>0.000182154183595114</v>
      </c>
      <c r="I476" s="4" t="n">
        <f aca="false">IF(G476="","",RANK(G476,$G$2:$G$1462,0))</f>
        <v>475</v>
      </c>
      <c r="J476" s="4" t="s">
        <v>34</v>
      </c>
    </row>
    <row r="477" customFormat="false" ht="15" hidden="false" customHeight="false" outlineLevel="0" collapsed="false">
      <c r="A477" s="4" t="s">
        <v>1036</v>
      </c>
      <c r="B477" s="4" t="s">
        <v>132</v>
      </c>
      <c r="C477" s="4" t="s">
        <v>133</v>
      </c>
      <c r="D477" s="7" t="s">
        <v>1037</v>
      </c>
      <c r="E477" s="4" t="s">
        <v>135</v>
      </c>
      <c r="F477" s="4" t="s">
        <v>4</v>
      </c>
      <c r="G477" s="8" t="n">
        <v>1729.02066296339</v>
      </c>
      <c r="H477" s="6" t="n">
        <f aca="false">IF(G477="","",G477/SUMIFS($G$2:$G$1462,$F$2:$F$1462,"Served"))</f>
        <v>0.000178227002884555</v>
      </c>
      <c r="I477" s="4" t="n">
        <f aca="false">IF(G477="","",RANK(G477,$G$2:$G$1462,0))</f>
        <v>476</v>
      </c>
      <c r="J477" s="4" t="s">
        <v>34</v>
      </c>
    </row>
    <row r="478" customFormat="false" ht="15" hidden="false" customHeight="false" outlineLevel="0" collapsed="false">
      <c r="A478" s="4" t="s">
        <v>1038</v>
      </c>
      <c r="B478" s="4" t="s">
        <v>43</v>
      </c>
      <c r="C478" s="4" t="s">
        <v>44</v>
      </c>
      <c r="D478" s="7" t="s">
        <v>1039</v>
      </c>
      <c r="E478" s="4" t="s">
        <v>46</v>
      </c>
      <c r="F478" s="4" t="s">
        <v>4</v>
      </c>
      <c r="G478" s="8" t="n">
        <v>1693.39812839031</v>
      </c>
      <c r="H478" s="6" t="n">
        <f aca="false">IF(G478="","",G478/SUMIFS($G$2:$G$1462,$F$2:$F$1462,"Served"))</f>
        <v>0.000174555041231286</v>
      </c>
      <c r="I478" s="4" t="n">
        <f aca="false">IF(G478="","",RANK(G478,$G$2:$G$1462,0))</f>
        <v>477</v>
      </c>
      <c r="J478" s="4" t="s">
        <v>34</v>
      </c>
    </row>
    <row r="479" customFormat="false" ht="15" hidden="false" customHeight="false" outlineLevel="0" collapsed="false">
      <c r="A479" s="4" t="s">
        <v>1040</v>
      </c>
      <c r="B479" s="4" t="s">
        <v>321</v>
      </c>
      <c r="C479" s="4" t="s">
        <v>322</v>
      </c>
      <c r="D479" s="7" t="s">
        <v>1041</v>
      </c>
      <c r="E479" s="4" t="s">
        <v>324</v>
      </c>
      <c r="F479" s="4" t="s">
        <v>4</v>
      </c>
      <c r="G479" s="8" t="n">
        <v>1663.26707202196</v>
      </c>
      <c r="H479" s="6" t="n">
        <f aca="false">IF(G479="","",G479/SUMIFS($G$2:$G$1462,$F$2:$F$1462,"Served"))</f>
        <v>0.00017144913973149</v>
      </c>
      <c r="I479" s="4" t="n">
        <f aca="false">IF(G479="","",RANK(G479,$G$2:$G$1462,0))</f>
        <v>478</v>
      </c>
      <c r="J479" s="4" t="s">
        <v>34</v>
      </c>
    </row>
    <row r="480" customFormat="false" ht="15" hidden="false" customHeight="false" outlineLevel="0" collapsed="false">
      <c r="A480" s="4" t="s">
        <v>1042</v>
      </c>
      <c r="B480" s="4" t="s">
        <v>43</v>
      </c>
      <c r="C480" s="4" t="s">
        <v>44</v>
      </c>
      <c r="D480" s="7" t="s">
        <v>1043</v>
      </c>
      <c r="E480" s="4" t="s">
        <v>46</v>
      </c>
      <c r="F480" s="4" t="s">
        <v>4</v>
      </c>
      <c r="G480" s="8" t="n">
        <v>1603.9544621706</v>
      </c>
      <c r="H480" s="6" t="n">
        <f aca="false">IF(G480="","",G480/SUMIFS($G$2:$G$1462,$F$2:$F$1462,"Served"))</f>
        <v>0.000165335211243816</v>
      </c>
      <c r="I480" s="4" t="n">
        <f aca="false">IF(G480="","",RANK(G480,$G$2:$G$1462,0))</f>
        <v>479</v>
      </c>
      <c r="J480" s="4" t="s">
        <v>34</v>
      </c>
    </row>
    <row r="481" customFormat="false" ht="15" hidden="false" customHeight="false" outlineLevel="0" collapsed="false">
      <c r="A481" s="4" t="s">
        <v>1044</v>
      </c>
      <c r="B481" s="4" t="s">
        <v>171</v>
      </c>
      <c r="C481" s="4" t="s">
        <v>183</v>
      </c>
      <c r="D481" s="7" t="s">
        <v>1045</v>
      </c>
      <c r="E481" s="4" t="s">
        <v>33</v>
      </c>
      <c r="F481" s="4" t="s">
        <v>4</v>
      </c>
      <c r="G481" s="8" t="n">
        <v>1579.16591757536</v>
      </c>
      <c r="H481" s="6" t="n">
        <f aca="false">IF(G481="","",G481/SUMIFS($G$2:$G$1462,$F$2:$F$1462,"Served"))</f>
        <v>0.000162780014476238</v>
      </c>
      <c r="I481" s="4" t="n">
        <f aca="false">IF(G481="","",RANK(G481,$G$2:$G$1462,0))</f>
        <v>480</v>
      </c>
      <c r="J481" s="4" t="s">
        <v>34</v>
      </c>
    </row>
    <row r="482" customFormat="false" ht="15" hidden="false" customHeight="false" outlineLevel="0" collapsed="false">
      <c r="A482" s="4" t="s">
        <v>1046</v>
      </c>
      <c r="B482" s="4" t="s">
        <v>30</v>
      </c>
      <c r="C482" s="4" t="s">
        <v>109</v>
      </c>
      <c r="D482" s="7" t="s">
        <v>1047</v>
      </c>
      <c r="E482" s="4" t="s">
        <v>33</v>
      </c>
      <c r="F482" s="4" t="s">
        <v>4</v>
      </c>
      <c r="G482" s="8" t="n">
        <v>1564.16887283325</v>
      </c>
      <c r="H482" s="6" t="n">
        <f aca="false">IF(G482="","",G482/SUMIFS($G$2:$G$1462,$F$2:$F$1462,"Served"))</f>
        <v>0.000161234122981841</v>
      </c>
      <c r="I482" s="4" t="n">
        <f aca="false">IF(G482="","",RANK(G482,$G$2:$G$1462,0))</f>
        <v>481</v>
      </c>
      <c r="J482" s="4" t="s">
        <v>34</v>
      </c>
    </row>
    <row r="483" customFormat="false" ht="15" hidden="false" customHeight="false" outlineLevel="0" collapsed="false">
      <c r="A483" s="4" t="s">
        <v>1048</v>
      </c>
      <c r="B483" s="4" t="s">
        <v>43</v>
      </c>
      <c r="C483" s="4" t="s">
        <v>44</v>
      </c>
      <c r="D483" s="7" t="s">
        <v>1049</v>
      </c>
      <c r="E483" s="4" t="s">
        <v>46</v>
      </c>
      <c r="F483" s="4" t="s">
        <v>4</v>
      </c>
      <c r="G483" s="8" t="n">
        <v>1539.2260915041</v>
      </c>
      <c r="H483" s="6" t="n">
        <f aca="false">IF(G483="","",G483/SUMIFS($G$2:$G$1462,$F$2:$F$1462,"Served"))</f>
        <v>0.00015866302753161</v>
      </c>
      <c r="I483" s="4" t="n">
        <f aca="false">IF(G483="","",RANK(G483,$G$2:$G$1462,0))</f>
        <v>482</v>
      </c>
      <c r="J483" s="4" t="s">
        <v>34</v>
      </c>
    </row>
    <row r="484" customFormat="false" ht="15" hidden="false" customHeight="false" outlineLevel="0" collapsed="false">
      <c r="A484" s="4" t="s">
        <v>1050</v>
      </c>
      <c r="B484" s="4" t="s">
        <v>321</v>
      </c>
      <c r="C484" s="4" t="s">
        <v>322</v>
      </c>
      <c r="D484" s="7" t="s">
        <v>1051</v>
      </c>
      <c r="E484" s="4" t="s">
        <v>324</v>
      </c>
      <c r="F484" s="4" t="s">
        <v>4</v>
      </c>
      <c r="G484" s="8" t="n">
        <v>1528.54471224546</v>
      </c>
      <c r="H484" s="6" t="n">
        <f aca="false">IF(G484="","",G484/SUMIFS($G$2:$G$1462,$F$2:$F$1462,"Served"))</f>
        <v>0.000157561993719396</v>
      </c>
      <c r="I484" s="4" t="n">
        <f aca="false">IF(G484="","",RANK(G484,$G$2:$G$1462,0))</f>
        <v>483</v>
      </c>
      <c r="J484" s="4" t="s">
        <v>34</v>
      </c>
    </row>
    <row r="485" customFormat="false" ht="15" hidden="false" customHeight="false" outlineLevel="0" collapsed="false">
      <c r="A485" s="4" t="s">
        <v>1052</v>
      </c>
      <c r="B485" s="4" t="s">
        <v>171</v>
      </c>
      <c r="C485" s="4" t="s">
        <v>238</v>
      </c>
      <c r="D485" s="7" t="s">
        <v>1053</v>
      </c>
      <c r="E485" s="4" t="s">
        <v>33</v>
      </c>
      <c r="F485" s="4" t="s">
        <v>4</v>
      </c>
      <c r="G485" s="8" t="n">
        <v>1525.67524820566</v>
      </c>
      <c r="H485" s="6" t="n">
        <f aca="false">IF(G485="","",G485/SUMIFS($G$2:$G$1462,$F$2:$F$1462,"Served"))</f>
        <v>0.000157266210108099</v>
      </c>
      <c r="I485" s="4" t="n">
        <f aca="false">IF(G485="","",RANK(G485,$G$2:$G$1462,0))</f>
        <v>484</v>
      </c>
      <c r="J485" s="4" t="s">
        <v>34</v>
      </c>
    </row>
    <row r="486" customFormat="false" ht="15" hidden="false" customHeight="false" outlineLevel="0" collapsed="false">
      <c r="A486" s="4" t="s">
        <v>1054</v>
      </c>
      <c r="B486" s="4" t="s">
        <v>132</v>
      </c>
      <c r="C486" s="4" t="s">
        <v>133</v>
      </c>
      <c r="D486" s="7" t="s">
        <v>1055</v>
      </c>
      <c r="E486" s="4" t="s">
        <v>135</v>
      </c>
      <c r="F486" s="4" t="s">
        <v>4</v>
      </c>
      <c r="G486" s="8" t="n">
        <v>1521.26413929462</v>
      </c>
      <c r="H486" s="6" t="n">
        <f aca="false">IF(G486="","",G486/SUMIFS($G$2:$G$1462,$F$2:$F$1462,"Served"))</f>
        <v>0.000156811514142081</v>
      </c>
      <c r="I486" s="4" t="n">
        <f aca="false">IF(G486="","",RANK(G486,$G$2:$G$1462,0))</f>
        <v>485</v>
      </c>
      <c r="J486" s="4" t="s">
        <v>34</v>
      </c>
    </row>
    <row r="487" customFormat="false" ht="15" hidden="false" customHeight="false" outlineLevel="0" collapsed="false">
      <c r="A487" s="4" t="s">
        <v>1056</v>
      </c>
      <c r="B487" s="4" t="s">
        <v>30</v>
      </c>
      <c r="C487" s="4" t="s">
        <v>788</v>
      </c>
      <c r="D487" s="7" t="s">
        <v>1057</v>
      </c>
      <c r="E487" s="4" t="s">
        <v>33</v>
      </c>
      <c r="F487" s="4" t="s">
        <v>4</v>
      </c>
      <c r="G487" s="8" t="n">
        <v>1515.50535726547</v>
      </c>
      <c r="H487" s="6" t="n">
        <f aca="false">IF(G487="","",G487/SUMIFS($G$2:$G$1462,$F$2:$F$1462,"Served"))</f>
        <v>0.0001562179003795</v>
      </c>
      <c r="I487" s="4" t="n">
        <f aca="false">IF(G487="","",RANK(G487,$G$2:$G$1462,0))</f>
        <v>486</v>
      </c>
      <c r="J487" s="4" t="s">
        <v>34</v>
      </c>
    </row>
    <row r="488" customFormat="false" ht="15" hidden="false" customHeight="false" outlineLevel="0" collapsed="false">
      <c r="A488" s="4" t="s">
        <v>1058</v>
      </c>
      <c r="B488" s="4" t="s">
        <v>321</v>
      </c>
      <c r="C488" s="4" t="s">
        <v>322</v>
      </c>
      <c r="D488" s="7" t="s">
        <v>1059</v>
      </c>
      <c r="E488" s="4" t="s">
        <v>324</v>
      </c>
      <c r="F488" s="4" t="s">
        <v>4</v>
      </c>
      <c r="G488" s="8" t="n">
        <v>1511.09972018004</v>
      </c>
      <c r="H488" s="6" t="n">
        <f aca="false">IF(G488="","",G488/SUMIFS($G$2:$G$1462,$F$2:$F$1462,"Served"))</f>
        <v>0.00015576376844785</v>
      </c>
      <c r="I488" s="4" t="n">
        <f aca="false">IF(G488="","",RANK(G488,$G$2:$G$1462,0))</f>
        <v>487</v>
      </c>
      <c r="J488" s="4" t="s">
        <v>34</v>
      </c>
    </row>
    <row r="489" customFormat="false" ht="15" hidden="false" customHeight="false" outlineLevel="0" collapsed="false">
      <c r="A489" s="4" t="s">
        <v>1060</v>
      </c>
      <c r="B489" s="4" t="s">
        <v>30</v>
      </c>
      <c r="C489" s="4" t="s">
        <v>788</v>
      </c>
      <c r="D489" s="7" t="s">
        <v>1061</v>
      </c>
      <c r="E489" s="4" t="s">
        <v>33</v>
      </c>
      <c r="F489" s="4" t="s">
        <v>4</v>
      </c>
      <c r="G489" s="8" t="n">
        <v>1508.80506747961</v>
      </c>
      <c r="H489" s="6" t="n">
        <f aca="false">IF(G489="","",G489/SUMIFS($G$2:$G$1462,$F$2:$F$1462,"Served"))</f>
        <v>0.000155527236240793</v>
      </c>
      <c r="I489" s="4" t="n">
        <f aca="false">IF(G489="","",RANK(G489,$G$2:$G$1462,0))</f>
        <v>488</v>
      </c>
      <c r="J489" s="4" t="s">
        <v>34</v>
      </c>
    </row>
    <row r="490" customFormat="false" ht="15" hidden="false" customHeight="false" outlineLevel="0" collapsed="false">
      <c r="A490" s="4" t="s">
        <v>1062</v>
      </c>
      <c r="B490" s="4" t="s">
        <v>30</v>
      </c>
      <c r="C490" s="4" t="s">
        <v>109</v>
      </c>
      <c r="D490" s="7" t="s">
        <v>1063</v>
      </c>
      <c r="E490" s="4" t="s">
        <v>33</v>
      </c>
      <c r="F490" s="4" t="s">
        <v>4</v>
      </c>
      <c r="G490" s="8" t="n">
        <v>1504.15990099311</v>
      </c>
      <c r="H490" s="6" t="n">
        <f aca="false">IF(G490="","",G490/SUMIFS($G$2:$G$1462,$F$2:$F$1462,"Served"))</f>
        <v>0.000155048413680414</v>
      </c>
      <c r="I490" s="4" t="n">
        <f aca="false">IF(G490="","",RANK(G490,$G$2:$G$1462,0))</f>
        <v>489</v>
      </c>
      <c r="J490" s="4" t="s">
        <v>34</v>
      </c>
    </row>
    <row r="491" customFormat="false" ht="15" hidden="false" customHeight="false" outlineLevel="0" collapsed="false">
      <c r="A491" s="4" t="s">
        <v>1064</v>
      </c>
      <c r="B491" s="4" t="s">
        <v>30</v>
      </c>
      <c r="C491" s="4" t="s">
        <v>737</v>
      </c>
      <c r="D491" s="7" t="s">
        <v>1065</v>
      </c>
      <c r="E491" s="4" t="s">
        <v>33</v>
      </c>
      <c r="F491" s="4" t="s">
        <v>4</v>
      </c>
      <c r="G491" s="8" t="n">
        <v>1501.11343163252</v>
      </c>
      <c r="H491" s="6" t="n">
        <f aca="false">IF(G491="","",G491/SUMIFS($G$2:$G$1462,$F$2:$F$1462,"Served"))</f>
        <v>0.000154734384406416</v>
      </c>
      <c r="I491" s="4" t="n">
        <f aca="false">IF(G491="","",RANK(G491,$G$2:$G$1462,0))</f>
        <v>490</v>
      </c>
      <c r="J491" s="4" t="s">
        <v>34</v>
      </c>
    </row>
    <row r="492" customFormat="false" ht="15" hidden="false" customHeight="false" outlineLevel="0" collapsed="false">
      <c r="A492" s="4" t="s">
        <v>1066</v>
      </c>
      <c r="B492" s="4" t="s">
        <v>171</v>
      </c>
      <c r="C492" s="4" t="s">
        <v>830</v>
      </c>
      <c r="D492" s="7" t="s">
        <v>1067</v>
      </c>
      <c r="E492" s="4" t="s">
        <v>33</v>
      </c>
      <c r="F492" s="4" t="s">
        <v>4</v>
      </c>
      <c r="G492" s="8" t="n">
        <v>1500.88048660755</v>
      </c>
      <c r="H492" s="6" t="n">
        <f aca="false">IF(G492="","",G492/SUMIFS($G$2:$G$1462,$F$2:$F$1462,"Served"))</f>
        <v>0.000154710372493473</v>
      </c>
      <c r="I492" s="4" t="n">
        <f aca="false">IF(G492="","",RANK(G492,$G$2:$G$1462,0))</f>
        <v>491</v>
      </c>
      <c r="J492" s="4" t="s">
        <v>34</v>
      </c>
    </row>
    <row r="493" customFormat="false" ht="15" hidden="false" customHeight="false" outlineLevel="0" collapsed="false">
      <c r="A493" s="4" t="s">
        <v>1068</v>
      </c>
      <c r="B493" s="4" t="s">
        <v>171</v>
      </c>
      <c r="C493" s="4" t="s">
        <v>692</v>
      </c>
      <c r="D493" s="7" t="s">
        <v>1069</v>
      </c>
      <c r="E493" s="4" t="s">
        <v>33</v>
      </c>
      <c r="F493" s="4" t="s">
        <v>4</v>
      </c>
      <c r="G493" s="8" t="n">
        <v>1485.66606846452</v>
      </c>
      <c r="H493" s="6" t="n">
        <f aca="false">IF(G493="","",G493/SUMIFS($G$2:$G$1462,$F$2:$F$1462,"Served"))</f>
        <v>0.000153142074205112</v>
      </c>
      <c r="I493" s="4" t="n">
        <f aca="false">IF(G493="","",RANK(G493,$G$2:$G$1462,0))</f>
        <v>492</v>
      </c>
      <c r="J493" s="4" t="s">
        <v>34</v>
      </c>
    </row>
    <row r="494" customFormat="false" ht="15" hidden="false" customHeight="false" outlineLevel="0" collapsed="false">
      <c r="A494" s="4" t="s">
        <v>1070</v>
      </c>
      <c r="B494" s="4" t="s">
        <v>30</v>
      </c>
      <c r="C494" s="4" t="s">
        <v>31</v>
      </c>
      <c r="D494" s="7" t="s">
        <v>1071</v>
      </c>
      <c r="E494" s="4" t="s">
        <v>33</v>
      </c>
      <c r="F494" s="4" t="s">
        <v>4</v>
      </c>
      <c r="G494" s="8" t="n">
        <v>1482.481338799</v>
      </c>
      <c r="H494" s="6" t="n">
        <f aca="false">IF(G494="","",G494/SUMIFS($G$2:$G$1462,$F$2:$F$1462,"Served"))</f>
        <v>0.000152813793094631</v>
      </c>
      <c r="I494" s="4" t="n">
        <f aca="false">IF(G494="","",RANK(G494,$G$2:$G$1462,0))</f>
        <v>493</v>
      </c>
      <c r="J494" s="4" t="s">
        <v>34</v>
      </c>
    </row>
    <row r="495" customFormat="false" ht="15" hidden="false" customHeight="false" outlineLevel="0" collapsed="false">
      <c r="A495" s="4" t="s">
        <v>1072</v>
      </c>
      <c r="B495" s="4" t="s">
        <v>61</v>
      </c>
      <c r="C495" s="4" t="s">
        <v>62</v>
      </c>
      <c r="D495" s="7" t="s">
        <v>1073</v>
      </c>
      <c r="E495" s="4" t="s">
        <v>64</v>
      </c>
      <c r="F495" s="4" t="s">
        <v>4</v>
      </c>
      <c r="G495" s="8" t="n">
        <v>1481.4803493619</v>
      </c>
      <c r="H495" s="6" t="n">
        <f aca="false">IF(G495="","",G495/SUMIFS($G$2:$G$1462,$F$2:$F$1462,"Served"))</f>
        <v>0.000152710611362269</v>
      </c>
      <c r="I495" s="4" t="n">
        <f aca="false">IF(G495="","",RANK(G495,$G$2:$G$1462,0))</f>
        <v>494</v>
      </c>
      <c r="J495" s="4" t="s">
        <v>34</v>
      </c>
    </row>
    <row r="496" customFormat="false" ht="15" hidden="false" customHeight="false" outlineLevel="0" collapsed="false">
      <c r="A496" s="4" t="s">
        <v>1074</v>
      </c>
      <c r="B496" s="4" t="s">
        <v>171</v>
      </c>
      <c r="C496" s="4" t="s">
        <v>238</v>
      </c>
      <c r="D496" s="7" t="s">
        <v>1075</v>
      </c>
      <c r="E496" s="4" t="s">
        <v>33</v>
      </c>
      <c r="F496" s="4" t="s">
        <v>4</v>
      </c>
      <c r="G496" s="8" t="n">
        <v>1456.94830340147</v>
      </c>
      <c r="H496" s="6" t="n">
        <f aca="false">IF(G496="","",G496/SUMIFS($G$2:$G$1462,$F$2:$F$1462,"Served"))</f>
        <v>0.000150181854407647</v>
      </c>
      <c r="I496" s="4" t="n">
        <f aca="false">IF(G496="","",RANK(G496,$G$2:$G$1462,0))</f>
        <v>495</v>
      </c>
      <c r="J496" s="4" t="s">
        <v>34</v>
      </c>
    </row>
    <row r="497" customFormat="false" ht="15" hidden="false" customHeight="false" outlineLevel="0" collapsed="false">
      <c r="A497" s="4" t="s">
        <v>1076</v>
      </c>
      <c r="B497" s="4" t="s">
        <v>204</v>
      </c>
      <c r="C497" s="4" t="s">
        <v>205</v>
      </c>
      <c r="D497" s="7" t="s">
        <v>1077</v>
      </c>
      <c r="E497" s="4" t="s">
        <v>207</v>
      </c>
      <c r="F497" s="4" t="s">
        <v>4</v>
      </c>
      <c r="G497" s="8" t="n">
        <v>1454.3051430583</v>
      </c>
      <c r="H497" s="6" t="n">
        <f aca="false">IF(G497="","",G497/SUMIFS($G$2:$G$1462,$F$2:$F$1462,"Served"))</f>
        <v>0.000149909398122886</v>
      </c>
      <c r="I497" s="4" t="n">
        <f aca="false">IF(G497="","",RANK(G497,$G$2:$G$1462,0))</f>
        <v>496</v>
      </c>
      <c r="J497" s="4" t="s">
        <v>34</v>
      </c>
    </row>
    <row r="498" customFormat="false" ht="15" hidden="false" customHeight="false" outlineLevel="0" collapsed="false">
      <c r="A498" s="4" t="s">
        <v>1078</v>
      </c>
      <c r="B498" s="4" t="s">
        <v>321</v>
      </c>
      <c r="C498" s="4" t="s">
        <v>322</v>
      </c>
      <c r="D498" s="7" t="s">
        <v>1079</v>
      </c>
      <c r="E498" s="4" t="s">
        <v>324</v>
      </c>
      <c r="F498" s="4" t="s">
        <v>4</v>
      </c>
      <c r="G498" s="8" t="n">
        <v>1447.75588548183</v>
      </c>
      <c r="H498" s="6" t="n">
        <f aca="false">IF(G498="","",G498/SUMIFS($G$2:$G$1462,$F$2:$F$1462,"Served"))</f>
        <v>0.000149234302345273</v>
      </c>
      <c r="I498" s="4" t="n">
        <f aca="false">IF(G498="","",RANK(G498,$G$2:$G$1462,0))</f>
        <v>497</v>
      </c>
      <c r="J498" s="4" t="s">
        <v>34</v>
      </c>
    </row>
    <row r="499" customFormat="false" ht="15" hidden="false" customHeight="false" outlineLevel="0" collapsed="false">
      <c r="A499" s="4" t="s">
        <v>1080</v>
      </c>
      <c r="B499" s="4" t="s">
        <v>132</v>
      </c>
      <c r="C499" s="4" t="s">
        <v>133</v>
      </c>
      <c r="D499" s="7" t="s">
        <v>1081</v>
      </c>
      <c r="E499" s="4" t="s">
        <v>135</v>
      </c>
      <c r="F499" s="4" t="s">
        <v>4</v>
      </c>
      <c r="G499" s="8" t="n">
        <v>1444.68775188923</v>
      </c>
      <c r="H499" s="6" t="n">
        <f aca="false">IF(G499="","",G499/SUMIFS($G$2:$G$1462,$F$2:$F$1462,"Served"))</f>
        <v>0.000148918039927841</v>
      </c>
      <c r="I499" s="4" t="n">
        <f aca="false">IF(G499="","",RANK(G499,$G$2:$G$1462,0))</f>
        <v>498</v>
      </c>
      <c r="J499" s="4" t="s">
        <v>34</v>
      </c>
    </row>
    <row r="500" customFormat="false" ht="15" hidden="false" customHeight="false" outlineLevel="0" collapsed="false">
      <c r="A500" s="4" t="s">
        <v>1082</v>
      </c>
      <c r="B500" s="4" t="s">
        <v>43</v>
      </c>
      <c r="C500" s="4" t="s">
        <v>44</v>
      </c>
      <c r="D500" s="7" t="s">
        <v>1083</v>
      </c>
      <c r="E500" s="4" t="s">
        <v>46</v>
      </c>
      <c r="F500" s="4" t="s">
        <v>4</v>
      </c>
      <c r="G500" s="8" t="n">
        <v>1435.97622835636</v>
      </c>
      <c r="H500" s="6" t="n">
        <f aca="false">IF(G500="","",G500/SUMIFS($G$2:$G$1462,$F$2:$F$1462,"Served"))</f>
        <v>0.000148020058334515</v>
      </c>
      <c r="I500" s="4" t="n">
        <f aca="false">IF(G500="","",RANK(G500,$G$2:$G$1462,0))</f>
        <v>499</v>
      </c>
      <c r="J500" s="4" t="s">
        <v>34</v>
      </c>
    </row>
    <row r="501" customFormat="false" ht="15" hidden="false" customHeight="false" outlineLevel="0" collapsed="false">
      <c r="A501" s="4" t="s">
        <v>1084</v>
      </c>
      <c r="B501" s="4" t="s">
        <v>321</v>
      </c>
      <c r="C501" s="4" t="s">
        <v>322</v>
      </c>
      <c r="D501" s="7" t="s">
        <v>1085</v>
      </c>
      <c r="E501" s="4" t="s">
        <v>324</v>
      </c>
      <c r="F501" s="4" t="s">
        <v>4</v>
      </c>
      <c r="G501" s="8" t="n">
        <v>1429.39751195908</v>
      </c>
      <c r="H501" s="6" t="n">
        <f aca="false">IF(G501="","",G501/SUMIFS($G$2:$G$1462,$F$2:$F$1462,"Served"))</f>
        <v>0.000147341925949268</v>
      </c>
      <c r="I501" s="4" t="n">
        <f aca="false">IF(G501="","",RANK(G501,$G$2:$G$1462,0))</f>
        <v>500</v>
      </c>
      <c r="J501" s="4" t="s">
        <v>34</v>
      </c>
    </row>
    <row r="502" customFormat="false" ht="15" hidden="false" customHeight="false" outlineLevel="0" collapsed="false">
      <c r="A502" s="4" t="s">
        <v>1086</v>
      </c>
      <c r="B502" s="4" t="s">
        <v>30</v>
      </c>
      <c r="C502" s="4" t="s">
        <v>243</v>
      </c>
      <c r="D502" s="7" t="s">
        <v>1087</v>
      </c>
      <c r="E502" s="4" t="s">
        <v>33</v>
      </c>
      <c r="F502" s="4" t="s">
        <v>4</v>
      </c>
      <c r="G502" s="8" t="n">
        <v>1421.42742979527</v>
      </c>
      <c r="H502" s="6" t="n">
        <f aca="false">IF(G502="","",G502/SUMIFS($G$2:$G$1462,$F$2:$F$1462,"Served"))</f>
        <v>0.000146520371940558</v>
      </c>
      <c r="I502" s="4" t="n">
        <f aca="false">IF(G502="","",RANK(G502,$G$2:$G$1462,0))</f>
        <v>501</v>
      </c>
      <c r="J502" s="4" t="s">
        <v>34</v>
      </c>
    </row>
    <row r="503" customFormat="false" ht="15" hidden="false" customHeight="false" outlineLevel="0" collapsed="false">
      <c r="A503" s="4" t="s">
        <v>1088</v>
      </c>
      <c r="B503" s="4" t="s">
        <v>30</v>
      </c>
      <c r="C503" s="4" t="s">
        <v>56</v>
      </c>
      <c r="D503" s="7" t="s">
        <v>1089</v>
      </c>
      <c r="E503" s="4" t="s">
        <v>33</v>
      </c>
      <c r="F503" s="4" t="s">
        <v>4</v>
      </c>
      <c r="G503" s="8" t="n">
        <v>1419.42386704683</v>
      </c>
      <c r="H503" s="6" t="n">
        <f aca="false">IF(G503="","",G503/SUMIFS($G$2:$G$1462,$F$2:$F$1462,"Served"))</f>
        <v>0.000146313845210489</v>
      </c>
      <c r="I503" s="4" t="n">
        <f aca="false">IF(G503="","",RANK(G503,$G$2:$G$1462,0))</f>
        <v>502</v>
      </c>
      <c r="J503" s="4" t="s">
        <v>34</v>
      </c>
    </row>
    <row r="504" customFormat="false" ht="15" hidden="false" customHeight="false" outlineLevel="0" collapsed="false">
      <c r="A504" s="4" t="s">
        <v>1090</v>
      </c>
      <c r="B504" s="4" t="s">
        <v>43</v>
      </c>
      <c r="C504" s="4" t="s">
        <v>44</v>
      </c>
      <c r="D504" s="7" t="s">
        <v>1091</v>
      </c>
      <c r="E504" s="4" t="s">
        <v>46</v>
      </c>
      <c r="F504" s="4" t="s">
        <v>4</v>
      </c>
      <c r="G504" s="8" t="n">
        <v>1382.42625629902</v>
      </c>
      <c r="H504" s="6" t="n">
        <f aca="false">IF(G504="","",G504/SUMIFS($G$2:$G$1462,$F$2:$F$1462,"Served"))</f>
        <v>0.000142500141060667</v>
      </c>
      <c r="I504" s="4" t="n">
        <f aca="false">IF(G504="","",RANK(G504,$G$2:$G$1462,0))</f>
        <v>503</v>
      </c>
      <c r="J504" s="4" t="s">
        <v>34</v>
      </c>
    </row>
    <row r="505" customFormat="false" ht="15" hidden="false" customHeight="false" outlineLevel="0" collapsed="false">
      <c r="A505" s="4" t="s">
        <v>1092</v>
      </c>
      <c r="B505" s="4" t="s">
        <v>171</v>
      </c>
      <c r="C505" s="4" t="s">
        <v>183</v>
      </c>
      <c r="D505" s="7" t="s">
        <v>1093</v>
      </c>
      <c r="E505" s="4" t="s">
        <v>33</v>
      </c>
      <c r="F505" s="4" t="s">
        <v>4</v>
      </c>
      <c r="G505" s="8" t="n">
        <v>1354.36787188053</v>
      </c>
      <c r="H505" s="6" t="n">
        <f aca="false">IF(G505="","",G505/SUMIFS($G$2:$G$1462,$F$2:$F$1462,"Served"))</f>
        <v>0.000139607890049554</v>
      </c>
      <c r="I505" s="4" t="n">
        <f aca="false">IF(G505="","",RANK(G505,$G$2:$G$1462,0))</f>
        <v>504</v>
      </c>
      <c r="J505" s="4" t="s">
        <v>34</v>
      </c>
    </row>
    <row r="506" customFormat="false" ht="15" hidden="false" customHeight="false" outlineLevel="0" collapsed="false">
      <c r="A506" s="4" t="s">
        <v>1094</v>
      </c>
      <c r="B506" s="4" t="s">
        <v>321</v>
      </c>
      <c r="C506" s="4" t="s">
        <v>322</v>
      </c>
      <c r="D506" s="7" t="s">
        <v>1095</v>
      </c>
      <c r="E506" s="4" t="s">
        <v>324</v>
      </c>
      <c r="F506" s="4" t="s">
        <v>4</v>
      </c>
      <c r="G506" s="8" t="n">
        <v>1298.44227296114</v>
      </c>
      <c r="H506" s="6" t="n">
        <f aca="false">IF(G506="","",G506/SUMIFS($G$2:$G$1462,$F$2:$F$1462,"Served"))</f>
        <v>0.000133843093773006</v>
      </c>
      <c r="I506" s="4" t="n">
        <f aca="false">IF(G506="","",RANK(G506,$G$2:$G$1462,0))</f>
        <v>505</v>
      </c>
      <c r="J506" s="4" t="s">
        <v>34</v>
      </c>
    </row>
    <row r="507" customFormat="false" ht="15" hidden="false" customHeight="false" outlineLevel="0" collapsed="false">
      <c r="A507" s="4" t="s">
        <v>1096</v>
      </c>
      <c r="B507" s="4" t="s">
        <v>321</v>
      </c>
      <c r="C507" s="4" t="s">
        <v>322</v>
      </c>
      <c r="D507" s="7" t="s">
        <v>1097</v>
      </c>
      <c r="E507" s="4" t="s">
        <v>324</v>
      </c>
      <c r="F507" s="4" t="s">
        <v>4</v>
      </c>
      <c r="G507" s="8" t="n">
        <v>1267.22098642588</v>
      </c>
      <c r="H507" s="6" t="n">
        <f aca="false">IF(G507="","",G507/SUMIFS($G$2:$G$1462,$F$2:$F$1462,"Served"))</f>
        <v>0.000130624811629493</v>
      </c>
      <c r="I507" s="4" t="n">
        <f aca="false">IF(G507="","",RANK(G507,$G$2:$G$1462,0))</f>
        <v>506</v>
      </c>
      <c r="J507" s="4" t="s">
        <v>34</v>
      </c>
    </row>
    <row r="508" customFormat="false" ht="15" hidden="false" customHeight="false" outlineLevel="0" collapsed="false">
      <c r="A508" s="4" t="s">
        <v>1098</v>
      </c>
      <c r="B508" s="4" t="s">
        <v>171</v>
      </c>
      <c r="C508" s="4" t="s">
        <v>426</v>
      </c>
      <c r="D508" s="7" t="s">
        <v>1099</v>
      </c>
      <c r="E508" s="4" t="s">
        <v>33</v>
      </c>
      <c r="F508" s="4" t="s">
        <v>4</v>
      </c>
      <c r="G508" s="8" t="n">
        <v>1238.20650863648</v>
      </c>
      <c r="H508" s="6" t="n">
        <f aca="false">IF(G508="","",G508/SUMIFS($G$2:$G$1462,$F$2:$F$1462,"Served"))</f>
        <v>0.000127634006760913</v>
      </c>
      <c r="I508" s="4" t="n">
        <f aca="false">IF(G508="","",RANK(G508,$G$2:$G$1462,0))</f>
        <v>507</v>
      </c>
      <c r="J508" s="4" t="s">
        <v>34</v>
      </c>
    </row>
    <row r="509" customFormat="false" ht="15" hidden="false" customHeight="false" outlineLevel="0" collapsed="false">
      <c r="A509" s="4" t="s">
        <v>1100</v>
      </c>
      <c r="B509" s="4" t="s">
        <v>171</v>
      </c>
      <c r="C509" s="4" t="s">
        <v>591</v>
      </c>
      <c r="D509" s="7" t="s">
        <v>1101</v>
      </c>
      <c r="E509" s="4" t="s">
        <v>33</v>
      </c>
      <c r="F509" s="4" t="s">
        <v>4</v>
      </c>
      <c r="G509" s="8" t="n">
        <v>1198.50598716736</v>
      </c>
      <c r="H509" s="6" t="n">
        <f aca="false">IF(G509="","",G509/SUMIFS($G$2:$G$1462,$F$2:$F$1462,"Served"))</f>
        <v>0.000123541687272801</v>
      </c>
      <c r="I509" s="4" t="n">
        <f aca="false">IF(G509="","",RANK(G509,$G$2:$G$1462,0))</f>
        <v>508</v>
      </c>
      <c r="J509" s="4" t="s">
        <v>34</v>
      </c>
    </row>
    <row r="510" customFormat="false" ht="15" hidden="false" customHeight="false" outlineLevel="0" collapsed="false">
      <c r="A510" s="4" t="s">
        <v>1102</v>
      </c>
      <c r="B510" s="4" t="s">
        <v>321</v>
      </c>
      <c r="C510" s="4" t="s">
        <v>322</v>
      </c>
      <c r="D510" s="7" t="s">
        <v>1103</v>
      </c>
      <c r="E510" s="4" t="s">
        <v>324</v>
      </c>
      <c r="F510" s="4" t="s">
        <v>4</v>
      </c>
      <c r="G510" s="8" t="n">
        <v>1167.82397025824</v>
      </c>
      <c r="H510" s="6" t="n">
        <f aca="false">IF(G510="","",G510/SUMIFS($G$2:$G$1462,$F$2:$F$1462,"Served"))</f>
        <v>0.000120378992902917</v>
      </c>
      <c r="I510" s="4" t="n">
        <f aca="false">IF(G510="","",RANK(G510,$G$2:$G$1462,0))</f>
        <v>509</v>
      </c>
      <c r="J510" s="4" t="s">
        <v>34</v>
      </c>
    </row>
    <row r="511" customFormat="false" ht="15" hidden="false" customHeight="false" outlineLevel="0" collapsed="false">
      <c r="A511" s="4" t="s">
        <v>1104</v>
      </c>
      <c r="B511" s="4" t="s">
        <v>204</v>
      </c>
      <c r="C511" s="4" t="s">
        <v>205</v>
      </c>
      <c r="D511" s="7" t="s">
        <v>1105</v>
      </c>
      <c r="E511" s="4" t="s">
        <v>207</v>
      </c>
      <c r="F511" s="4" t="s">
        <v>4</v>
      </c>
      <c r="G511" s="8" t="n">
        <v>1127.89727559686</v>
      </c>
      <c r="H511" s="6" t="n">
        <f aca="false">IF(G511="","",G511/SUMIFS($G$2:$G$1462,$F$2:$F$1462,"Served"))</f>
        <v>0.000116263359540625</v>
      </c>
      <c r="I511" s="4" t="n">
        <f aca="false">IF(G511="","",RANK(G511,$G$2:$G$1462,0))</f>
        <v>510</v>
      </c>
      <c r="J511" s="4" t="s">
        <v>34</v>
      </c>
    </row>
    <row r="512" customFormat="false" ht="15" hidden="false" customHeight="false" outlineLevel="0" collapsed="false">
      <c r="A512" s="4" t="s">
        <v>1106</v>
      </c>
      <c r="B512" s="4" t="s">
        <v>72</v>
      </c>
      <c r="C512" s="4" t="s">
        <v>73</v>
      </c>
      <c r="D512" s="7" t="s">
        <v>1107</v>
      </c>
      <c r="E512" s="4" t="s">
        <v>75</v>
      </c>
      <c r="F512" s="4" t="s">
        <v>4</v>
      </c>
      <c r="G512" s="8" t="n">
        <v>1123.40488708019</v>
      </c>
      <c r="H512" s="6" t="n">
        <f aca="false">IF(G512="","",G512/SUMIFS($G$2:$G$1462,$F$2:$F$1462,"Served"))</f>
        <v>0.000115800285293875</v>
      </c>
      <c r="I512" s="4" t="n">
        <f aca="false">IF(G512="","",RANK(G512,$G$2:$G$1462,0))</f>
        <v>511</v>
      </c>
      <c r="J512" s="4" t="s">
        <v>34</v>
      </c>
    </row>
    <row r="513" customFormat="false" ht="15" hidden="false" customHeight="false" outlineLevel="0" collapsed="false">
      <c r="A513" s="4" t="s">
        <v>1108</v>
      </c>
      <c r="B513" s="4" t="s">
        <v>30</v>
      </c>
      <c r="C513" s="4" t="s">
        <v>31</v>
      </c>
      <c r="D513" s="7" t="s">
        <v>1109</v>
      </c>
      <c r="E513" s="4" t="s">
        <v>33</v>
      </c>
      <c r="F513" s="4" t="s">
        <v>4</v>
      </c>
      <c r="G513" s="8" t="n">
        <v>1121.42080646753</v>
      </c>
      <c r="H513" s="6" t="n">
        <f aca="false">IF(G513="","",G513/SUMIFS($G$2:$G$1462,$F$2:$F$1462,"Served"))</f>
        <v>0.000115595766777324</v>
      </c>
      <c r="I513" s="4" t="n">
        <f aca="false">IF(G513="","",RANK(G513,$G$2:$G$1462,0))</f>
        <v>512</v>
      </c>
      <c r="J513" s="4" t="s">
        <v>34</v>
      </c>
    </row>
    <row r="514" customFormat="false" ht="15" hidden="false" customHeight="false" outlineLevel="0" collapsed="false">
      <c r="A514" s="4" t="s">
        <v>1110</v>
      </c>
      <c r="B514" s="4" t="s">
        <v>43</v>
      </c>
      <c r="C514" s="4" t="s">
        <v>44</v>
      </c>
      <c r="D514" s="7" t="s">
        <v>1111</v>
      </c>
      <c r="E514" s="4" t="s">
        <v>46</v>
      </c>
      <c r="F514" s="4" t="s">
        <v>4</v>
      </c>
      <c r="G514" s="8" t="n">
        <v>1097.64132738113</v>
      </c>
      <c r="H514" s="6" t="n">
        <f aca="false">IF(G514="","",G514/SUMIFS($G$2:$G$1462,$F$2:$F$1462,"Served"))</f>
        <v>0.000113144584221494</v>
      </c>
      <c r="I514" s="4" t="n">
        <f aca="false">IF(G514="","",RANK(G514,$G$2:$G$1462,0))</f>
        <v>513</v>
      </c>
      <c r="J514" s="4" t="s">
        <v>34</v>
      </c>
    </row>
    <row r="515" customFormat="false" ht="15" hidden="false" customHeight="false" outlineLevel="0" collapsed="false">
      <c r="A515" s="4" t="s">
        <v>1112</v>
      </c>
      <c r="B515" s="4" t="s">
        <v>30</v>
      </c>
      <c r="C515" s="4" t="s">
        <v>788</v>
      </c>
      <c r="D515" s="7" t="s">
        <v>1113</v>
      </c>
      <c r="E515" s="4" t="s">
        <v>33</v>
      </c>
      <c r="F515" s="4" t="s">
        <v>4</v>
      </c>
      <c r="G515" s="8" t="n">
        <v>1072.39951312542</v>
      </c>
      <c r="H515" s="6" t="n">
        <f aca="false">IF(G515="","",G515/SUMIFS($G$2:$G$1462,$F$2:$F$1462,"Served"))</f>
        <v>0.000110542664534511</v>
      </c>
      <c r="I515" s="4" t="n">
        <f aca="false">IF(G515="","",RANK(G515,$G$2:$G$1462,0))</f>
        <v>514</v>
      </c>
      <c r="J515" s="4" t="s">
        <v>34</v>
      </c>
    </row>
    <row r="516" customFormat="false" ht="15" hidden="false" customHeight="false" outlineLevel="0" collapsed="false">
      <c r="A516" s="4" t="s">
        <v>1114</v>
      </c>
      <c r="B516" s="4" t="s">
        <v>321</v>
      </c>
      <c r="C516" s="4" t="s">
        <v>322</v>
      </c>
      <c r="D516" s="7" t="s">
        <v>1115</v>
      </c>
      <c r="E516" s="4" t="s">
        <v>324</v>
      </c>
      <c r="F516" s="4" t="s">
        <v>4</v>
      </c>
      <c r="G516" s="8" t="n">
        <v>1024.40251684189</v>
      </c>
      <c r="H516" s="6" t="n">
        <f aca="false">IF(G516="","",G516/SUMIFS($G$2:$G$1462,$F$2:$F$1462,"Served"))</f>
        <v>0.000105595146567656</v>
      </c>
      <c r="I516" s="4" t="n">
        <f aca="false">IF(G516="","",RANK(G516,$G$2:$G$1462,0))</f>
        <v>515</v>
      </c>
      <c r="J516" s="4" t="s">
        <v>34</v>
      </c>
    </row>
    <row r="517" customFormat="false" ht="15" hidden="false" customHeight="false" outlineLevel="0" collapsed="false">
      <c r="A517" s="4" t="s">
        <v>1116</v>
      </c>
      <c r="B517" s="4" t="s">
        <v>171</v>
      </c>
      <c r="C517" s="4" t="s">
        <v>591</v>
      </c>
      <c r="D517" s="7" t="s">
        <v>1117</v>
      </c>
      <c r="E517" s="4" t="s">
        <v>33</v>
      </c>
      <c r="F517" s="4" t="s">
        <v>4</v>
      </c>
      <c r="G517" s="8" t="n">
        <v>938.998402237892</v>
      </c>
      <c r="H517" s="6" t="n">
        <f aca="false">IF(G517="","",G517/SUMIFS($G$2:$G$1462,$F$2:$F$1462,"Served"))</f>
        <v>9.67917125162715E-005</v>
      </c>
      <c r="I517" s="4" t="n">
        <f aca="false">IF(G517="","",RANK(G517,$G$2:$G$1462,0))</f>
        <v>516</v>
      </c>
      <c r="J517" s="4" t="s">
        <v>34</v>
      </c>
    </row>
    <row r="518" customFormat="false" ht="15" hidden="false" customHeight="false" outlineLevel="0" collapsed="false">
      <c r="A518" s="4" t="s">
        <v>1118</v>
      </c>
      <c r="B518" s="4" t="s">
        <v>30</v>
      </c>
      <c r="C518" s="4" t="s">
        <v>31</v>
      </c>
      <c r="D518" s="7" t="s">
        <v>1119</v>
      </c>
      <c r="E518" s="4" t="s">
        <v>33</v>
      </c>
      <c r="F518" s="4" t="s">
        <v>4</v>
      </c>
      <c r="G518" s="8" t="n">
        <v>935.765417814255</v>
      </c>
      <c r="H518" s="6" t="n">
        <f aca="false">IF(G518="","",G518/SUMIFS($G$2:$G$1462,$F$2:$F$1462,"Served"))</f>
        <v>9.64584573177999E-005</v>
      </c>
      <c r="I518" s="4" t="n">
        <f aca="false">IF(G518="","",RANK(G518,$G$2:$G$1462,0))</f>
        <v>517</v>
      </c>
      <c r="J518" s="4" t="s">
        <v>34</v>
      </c>
    </row>
    <row r="519" customFormat="false" ht="15" hidden="false" customHeight="false" outlineLevel="0" collapsed="false">
      <c r="A519" s="4" t="s">
        <v>1120</v>
      </c>
      <c r="B519" s="4" t="s">
        <v>321</v>
      </c>
      <c r="C519" s="4" t="s">
        <v>322</v>
      </c>
      <c r="D519" s="7" t="s">
        <v>1121</v>
      </c>
      <c r="E519" s="4" t="s">
        <v>324</v>
      </c>
      <c r="F519" s="4" t="s">
        <v>4</v>
      </c>
      <c r="G519" s="8" t="n">
        <v>922.113197624683</v>
      </c>
      <c r="H519" s="6" t="n">
        <f aca="false">IF(G519="","",G519/SUMIFS($G$2:$G$1462,$F$2:$F$1462,"Served"))</f>
        <v>9.50511899905622E-005</v>
      </c>
      <c r="I519" s="4" t="n">
        <f aca="false">IF(G519="","",RANK(G519,$G$2:$G$1462,0))</f>
        <v>518</v>
      </c>
      <c r="J519" s="4" t="s">
        <v>34</v>
      </c>
    </row>
    <row r="520" customFormat="false" ht="15" hidden="false" customHeight="false" outlineLevel="0" collapsed="false">
      <c r="A520" s="4" t="s">
        <v>1122</v>
      </c>
      <c r="B520" s="4" t="s">
        <v>30</v>
      </c>
      <c r="C520" s="4" t="s">
        <v>31</v>
      </c>
      <c r="D520" s="7" t="s">
        <v>1123</v>
      </c>
      <c r="E520" s="4" t="s">
        <v>33</v>
      </c>
      <c r="F520" s="4" t="s">
        <v>4</v>
      </c>
      <c r="G520" s="8" t="n">
        <v>889.804676055908</v>
      </c>
      <c r="H520" s="6" t="n">
        <f aca="false">IF(G520="","",G520/SUMIFS($G$2:$G$1462,$F$2:$F$1462,"Served"))</f>
        <v>9.17208359409092E-005</v>
      </c>
      <c r="I520" s="4" t="n">
        <f aca="false">IF(G520="","",RANK(G520,$G$2:$G$1462,0))</f>
        <v>519</v>
      </c>
      <c r="J520" s="4" t="s">
        <v>34</v>
      </c>
    </row>
    <row r="521" customFormat="false" ht="15" hidden="false" customHeight="false" outlineLevel="0" collapsed="false">
      <c r="A521" s="4" t="s">
        <v>1124</v>
      </c>
      <c r="B521" s="4" t="s">
        <v>30</v>
      </c>
      <c r="C521" s="4" t="s">
        <v>31</v>
      </c>
      <c r="D521" s="7" t="s">
        <v>1125</v>
      </c>
      <c r="E521" s="4" t="s">
        <v>33</v>
      </c>
      <c r="F521" s="4" t="s">
        <v>4</v>
      </c>
      <c r="G521" s="8" t="n">
        <v>886.050037562847</v>
      </c>
      <c r="H521" s="6" t="n">
        <f aca="false">IF(G521="","",G521/SUMIFS($G$2:$G$1462,$F$2:$F$1462,"Served"))</f>
        <v>9.13338087758397E-005</v>
      </c>
      <c r="I521" s="4" t="n">
        <f aca="false">IF(G521="","",RANK(G521,$G$2:$G$1462,0))</f>
        <v>520</v>
      </c>
      <c r="J521" s="4" t="s">
        <v>34</v>
      </c>
    </row>
    <row r="522" customFormat="false" ht="15" hidden="false" customHeight="false" outlineLevel="0" collapsed="false">
      <c r="A522" s="4" t="s">
        <v>1126</v>
      </c>
      <c r="B522" s="4" t="s">
        <v>204</v>
      </c>
      <c r="C522" s="4" t="s">
        <v>205</v>
      </c>
      <c r="D522" s="7" t="s">
        <v>1127</v>
      </c>
      <c r="E522" s="4" t="s">
        <v>207</v>
      </c>
      <c r="F522" s="4" t="s">
        <v>4</v>
      </c>
      <c r="G522" s="8" t="n">
        <v>881.575957298279</v>
      </c>
      <c r="H522" s="6" t="n">
        <f aca="false">IF(G522="","",G522/SUMIFS($G$2:$G$1462,$F$2:$F$1462,"Served"))</f>
        <v>9.08726217389814E-005</v>
      </c>
      <c r="I522" s="4" t="n">
        <f aca="false">IF(G522="","",RANK(G522,$G$2:$G$1462,0))</f>
        <v>521</v>
      </c>
      <c r="J522" s="4" t="s">
        <v>34</v>
      </c>
    </row>
    <row r="523" customFormat="false" ht="15" hidden="false" customHeight="false" outlineLevel="0" collapsed="false">
      <c r="A523" s="4" t="s">
        <v>1128</v>
      </c>
      <c r="B523" s="4" t="s">
        <v>72</v>
      </c>
      <c r="C523" s="4" t="s">
        <v>73</v>
      </c>
      <c r="D523" s="7" t="s">
        <v>1129</v>
      </c>
      <c r="E523" s="4" t="s">
        <v>75</v>
      </c>
      <c r="F523" s="4" t="s">
        <v>4</v>
      </c>
      <c r="G523" s="8" t="n">
        <v>864.132062673569</v>
      </c>
      <c r="H523" s="6" t="n">
        <f aca="false">IF(G523="","",G523/SUMIFS($G$2:$G$1462,$F$2:$F$1462,"Served"))</f>
        <v>8.90745095913408E-005</v>
      </c>
      <c r="I523" s="4" t="n">
        <f aca="false">IF(G523="","",RANK(G523,$G$2:$G$1462,0))</f>
        <v>522</v>
      </c>
      <c r="J523" s="4" t="s">
        <v>34</v>
      </c>
    </row>
    <row r="524" customFormat="false" ht="15" hidden="false" customHeight="false" outlineLevel="0" collapsed="false">
      <c r="A524" s="4" t="s">
        <v>1130</v>
      </c>
      <c r="B524" s="4" t="s">
        <v>72</v>
      </c>
      <c r="C524" s="4" t="s">
        <v>73</v>
      </c>
      <c r="D524" s="7" t="s">
        <v>1131</v>
      </c>
      <c r="E524" s="4" t="s">
        <v>75</v>
      </c>
      <c r="F524" s="4" t="s">
        <v>4</v>
      </c>
      <c r="G524" s="8" t="n">
        <v>849.221291065216</v>
      </c>
      <c r="H524" s="6" t="n">
        <f aca="false">IF(G524="","",G524/SUMIFS($G$2:$G$1462,$F$2:$F$1462,"Served"))</f>
        <v>8.75375111092648E-005</v>
      </c>
      <c r="I524" s="4" t="n">
        <f aca="false">IF(G524="","",RANK(G524,$G$2:$G$1462,0))</f>
        <v>523</v>
      </c>
      <c r="J524" s="4" t="s">
        <v>34</v>
      </c>
    </row>
    <row r="525" customFormat="false" ht="15" hidden="false" customHeight="false" outlineLevel="0" collapsed="false">
      <c r="A525" s="4" t="s">
        <v>1132</v>
      </c>
      <c r="B525" s="4" t="s">
        <v>321</v>
      </c>
      <c r="C525" s="4" t="s">
        <v>322</v>
      </c>
      <c r="D525" s="7" t="s">
        <v>1133</v>
      </c>
      <c r="E525" s="4" t="s">
        <v>324</v>
      </c>
      <c r="F525" s="4" t="s">
        <v>4</v>
      </c>
      <c r="G525" s="8" t="n">
        <v>845.840077280998</v>
      </c>
      <c r="H525" s="6" t="n">
        <f aca="false">IF(G525="","",G525/SUMIFS($G$2:$G$1462,$F$2:$F$1462,"Served"))</f>
        <v>8.71889764666305E-005</v>
      </c>
      <c r="I525" s="4" t="n">
        <f aca="false">IF(G525="","",RANK(G525,$G$2:$G$1462,0))</f>
        <v>524</v>
      </c>
      <c r="J525" s="4" t="s">
        <v>34</v>
      </c>
    </row>
    <row r="526" customFormat="false" ht="15" hidden="false" customHeight="false" outlineLevel="0" collapsed="false">
      <c r="A526" s="4" t="s">
        <v>1134</v>
      </c>
      <c r="B526" s="4" t="s">
        <v>30</v>
      </c>
      <c r="C526" s="4" t="s">
        <v>243</v>
      </c>
      <c r="D526" s="7" t="s">
        <v>1135</v>
      </c>
      <c r="E526" s="4" t="s">
        <v>33</v>
      </c>
      <c r="F526" s="4" t="s">
        <v>4</v>
      </c>
      <c r="G526" s="8" t="n">
        <v>832.184048295021</v>
      </c>
      <c r="H526" s="6" t="n">
        <f aca="false">IF(G526="","",G526/SUMIFS($G$2:$G$1462,$F$2:$F$1462,"Served"))</f>
        <v>8.57813165296441E-005</v>
      </c>
      <c r="I526" s="4" t="n">
        <f aca="false">IF(G526="","",RANK(G526,$G$2:$G$1462,0))</f>
        <v>525</v>
      </c>
      <c r="J526" s="4" t="s">
        <v>34</v>
      </c>
    </row>
    <row r="527" customFormat="false" ht="15" hidden="false" customHeight="false" outlineLevel="0" collapsed="false">
      <c r="A527" s="4" t="s">
        <v>1136</v>
      </c>
      <c r="B527" s="4" t="s">
        <v>204</v>
      </c>
      <c r="C527" s="4" t="s">
        <v>205</v>
      </c>
      <c r="D527" s="7" t="s">
        <v>1137</v>
      </c>
      <c r="E527" s="4" t="s">
        <v>207</v>
      </c>
      <c r="F527" s="4" t="s">
        <v>4</v>
      </c>
      <c r="G527" s="8" t="n">
        <v>826.219211876392</v>
      </c>
      <c r="H527" s="6" t="n">
        <f aca="false">IF(G527="","",G527/SUMIFS($G$2:$G$1462,$F$2:$F$1462,"Served"))</f>
        <v>8.51664627338735E-005</v>
      </c>
      <c r="I527" s="4" t="n">
        <f aca="false">IF(G527="","",RANK(G527,$G$2:$G$1462,0))</f>
        <v>526</v>
      </c>
      <c r="J527" s="4" t="s">
        <v>34</v>
      </c>
    </row>
    <row r="528" customFormat="false" ht="15" hidden="false" customHeight="false" outlineLevel="0" collapsed="false">
      <c r="A528" s="4" t="s">
        <v>1138</v>
      </c>
      <c r="B528" s="4" t="s">
        <v>72</v>
      </c>
      <c r="C528" s="4" t="s">
        <v>73</v>
      </c>
      <c r="D528" s="7" t="s">
        <v>1139</v>
      </c>
      <c r="E528" s="4" t="s">
        <v>75</v>
      </c>
      <c r="F528" s="4" t="s">
        <v>4</v>
      </c>
      <c r="G528" s="8" t="n">
        <v>812.016721367836</v>
      </c>
      <c r="H528" s="6" t="n">
        <f aca="false">IF(G528="","",G528/SUMIFS($G$2:$G$1462,$F$2:$F$1462,"Served"))</f>
        <v>8.37024736844321E-005</v>
      </c>
      <c r="I528" s="4" t="n">
        <f aca="false">IF(G528="","",RANK(G528,$G$2:$G$1462,0))</f>
        <v>527</v>
      </c>
      <c r="J528" s="4" t="s">
        <v>34</v>
      </c>
    </row>
    <row r="529" customFormat="false" ht="15" hidden="false" customHeight="false" outlineLevel="0" collapsed="false">
      <c r="A529" s="4" t="s">
        <v>1140</v>
      </c>
      <c r="B529" s="4" t="s">
        <v>321</v>
      </c>
      <c r="C529" s="4" t="s">
        <v>322</v>
      </c>
      <c r="D529" s="7" t="s">
        <v>1141</v>
      </c>
      <c r="E529" s="4" t="s">
        <v>324</v>
      </c>
      <c r="F529" s="4" t="s">
        <v>4</v>
      </c>
      <c r="G529" s="8" t="n">
        <v>765.753700971603</v>
      </c>
      <c r="H529" s="6" t="n">
        <f aca="false">IF(G529="","",G529/SUMIFS($G$2:$G$1462,$F$2:$F$1462,"Served"))</f>
        <v>7.89336935037049E-005</v>
      </c>
      <c r="I529" s="4" t="n">
        <f aca="false">IF(G529="","",RANK(G529,$G$2:$G$1462,0))</f>
        <v>528</v>
      </c>
      <c r="J529" s="4" t="s">
        <v>34</v>
      </c>
    </row>
    <row r="530" customFormat="false" ht="15" hidden="false" customHeight="false" outlineLevel="0" collapsed="false">
      <c r="A530" s="4" t="s">
        <v>1142</v>
      </c>
      <c r="B530" s="4" t="s">
        <v>30</v>
      </c>
      <c r="C530" s="4" t="s">
        <v>31</v>
      </c>
      <c r="D530" s="7" t="s">
        <v>1143</v>
      </c>
      <c r="E530" s="4" t="s">
        <v>33</v>
      </c>
      <c r="F530" s="4" t="s">
        <v>4</v>
      </c>
      <c r="G530" s="8" t="n">
        <v>712.27120834589</v>
      </c>
      <c r="H530" s="6" t="n">
        <f aca="false">IF(G530="","",G530/SUMIFS($G$2:$G$1462,$F$2:$F$1462,"Served"))</f>
        <v>7.34207319922218E-005</v>
      </c>
      <c r="I530" s="4" t="n">
        <f aca="false">IF(G530="","",RANK(G530,$G$2:$G$1462,0))</f>
        <v>529</v>
      </c>
      <c r="J530" s="4" t="s">
        <v>34</v>
      </c>
    </row>
    <row r="531" customFormat="false" ht="15" hidden="false" customHeight="false" outlineLevel="0" collapsed="false">
      <c r="A531" s="4" t="s">
        <v>1144</v>
      </c>
      <c r="B531" s="4" t="s">
        <v>87</v>
      </c>
      <c r="C531" s="4" t="s">
        <v>88</v>
      </c>
      <c r="D531" s="7" t="s">
        <v>1145</v>
      </c>
      <c r="E531" s="4" t="s">
        <v>90</v>
      </c>
      <c r="F531" s="4" t="s">
        <v>4</v>
      </c>
      <c r="G531" s="8" t="n">
        <v>707.992929399014</v>
      </c>
      <c r="H531" s="6" t="n">
        <f aca="false">IF(G531="","",G531/SUMIFS($G$2:$G$1462,$F$2:$F$1462,"Served"))</f>
        <v>7.29797281045649E-005</v>
      </c>
      <c r="I531" s="4" t="n">
        <f aca="false">IF(G531="","",RANK(G531,$G$2:$G$1462,0))</f>
        <v>530</v>
      </c>
      <c r="J531" s="4" t="s">
        <v>34</v>
      </c>
    </row>
    <row r="532" customFormat="false" ht="15" hidden="false" customHeight="false" outlineLevel="0" collapsed="false">
      <c r="A532" s="4" t="s">
        <v>1146</v>
      </c>
      <c r="B532" s="4" t="s">
        <v>30</v>
      </c>
      <c r="C532" s="4" t="s">
        <v>788</v>
      </c>
      <c r="D532" s="7" t="s">
        <v>1147</v>
      </c>
      <c r="E532" s="4" t="s">
        <v>33</v>
      </c>
      <c r="F532" s="4" t="s">
        <v>4</v>
      </c>
      <c r="G532" s="8" t="n">
        <v>699.04290664196</v>
      </c>
      <c r="H532" s="6" t="n">
        <f aca="false">IF(G532="","",G532/SUMIFS($G$2:$G$1462,$F$2:$F$1462,"Served"))</f>
        <v>7.2057162072876E-005</v>
      </c>
      <c r="I532" s="4" t="n">
        <f aca="false">IF(G532="","",RANK(G532,$G$2:$G$1462,0))</f>
        <v>531</v>
      </c>
      <c r="J532" s="4" t="s">
        <v>34</v>
      </c>
    </row>
    <row r="533" customFormat="false" ht="15" hidden="false" customHeight="false" outlineLevel="0" collapsed="false">
      <c r="A533" s="4" t="s">
        <v>1148</v>
      </c>
      <c r="B533" s="4" t="s">
        <v>30</v>
      </c>
      <c r="C533" s="4" t="s">
        <v>737</v>
      </c>
      <c r="D533" s="7" t="s">
        <v>1149</v>
      </c>
      <c r="E533" s="4" t="s">
        <v>33</v>
      </c>
      <c r="F533" s="4" t="s">
        <v>4</v>
      </c>
      <c r="G533" s="8" t="n">
        <v>686.544557929039</v>
      </c>
      <c r="H533" s="6" t="n">
        <f aca="false">IF(G533="","",G533/SUMIFS($G$2:$G$1462,$F$2:$F$1462,"Served"))</f>
        <v>7.07688355191076E-005</v>
      </c>
      <c r="I533" s="4" t="n">
        <f aca="false">IF(G533="","",RANK(G533,$G$2:$G$1462,0))</f>
        <v>532</v>
      </c>
      <c r="J533" s="4" t="s">
        <v>34</v>
      </c>
    </row>
    <row r="534" customFormat="false" ht="15" hidden="false" customHeight="false" outlineLevel="0" collapsed="false">
      <c r="A534" s="4" t="s">
        <v>1150</v>
      </c>
      <c r="B534" s="4" t="s">
        <v>204</v>
      </c>
      <c r="C534" s="4" t="s">
        <v>205</v>
      </c>
      <c r="D534" s="7" t="s">
        <v>1151</v>
      </c>
      <c r="E534" s="4" t="s">
        <v>207</v>
      </c>
      <c r="F534" s="4" t="s">
        <v>4</v>
      </c>
      <c r="G534" s="8" t="n">
        <v>677.674951344729</v>
      </c>
      <c r="H534" s="6" t="n">
        <f aca="false">IF(G534="","",G534/SUMIFS($G$2:$G$1462,$F$2:$F$1462,"Served"))</f>
        <v>6.98545587657128E-005</v>
      </c>
      <c r="I534" s="4" t="n">
        <f aca="false">IF(G534="","",RANK(G534,$G$2:$G$1462,0))</f>
        <v>533</v>
      </c>
      <c r="J534" s="4" t="s">
        <v>34</v>
      </c>
    </row>
    <row r="535" customFormat="false" ht="15" hidden="false" customHeight="false" outlineLevel="0" collapsed="false">
      <c r="A535" s="4" t="s">
        <v>1152</v>
      </c>
      <c r="B535" s="4" t="s">
        <v>72</v>
      </c>
      <c r="C535" s="4" t="s">
        <v>73</v>
      </c>
      <c r="D535" s="7" t="s">
        <v>1153</v>
      </c>
      <c r="E535" s="4" t="s">
        <v>75</v>
      </c>
      <c r="F535" s="4" t="s">
        <v>4</v>
      </c>
      <c r="G535" s="8" t="n">
        <v>643.171451210976</v>
      </c>
      <c r="H535" s="6" t="n">
        <f aca="false">IF(G535="","",G535/SUMIFS($G$2:$G$1462,$F$2:$F$1462,"Served"))</f>
        <v>6.62979468931132E-005</v>
      </c>
      <c r="I535" s="4" t="n">
        <f aca="false">IF(G535="","",RANK(G535,$G$2:$G$1462,0))</f>
        <v>534</v>
      </c>
      <c r="J535" s="4" t="s">
        <v>34</v>
      </c>
    </row>
    <row r="536" customFormat="false" ht="15" hidden="false" customHeight="false" outlineLevel="0" collapsed="false">
      <c r="A536" s="4" t="s">
        <v>1154</v>
      </c>
      <c r="B536" s="4" t="s">
        <v>30</v>
      </c>
      <c r="C536" s="4" t="s">
        <v>737</v>
      </c>
      <c r="D536" s="7" t="s">
        <v>1155</v>
      </c>
      <c r="E536" s="4" t="s">
        <v>33</v>
      </c>
      <c r="F536" s="4" t="s">
        <v>4</v>
      </c>
      <c r="G536" s="8" t="n">
        <v>626.035515904427</v>
      </c>
      <c r="H536" s="6" t="n">
        <f aca="false">IF(G536="","",G536/SUMIFS($G$2:$G$1462,$F$2:$F$1462,"Served"))</f>
        <v>6.4531579112363E-005</v>
      </c>
      <c r="I536" s="4" t="n">
        <f aca="false">IF(G536="","",RANK(G536,$G$2:$G$1462,0))</f>
        <v>535</v>
      </c>
      <c r="J536" s="4" t="s">
        <v>34</v>
      </c>
    </row>
    <row r="537" customFormat="false" ht="15" hidden="false" customHeight="false" outlineLevel="0" collapsed="false">
      <c r="A537" s="4" t="s">
        <v>1156</v>
      </c>
      <c r="B537" s="4" t="s">
        <v>30</v>
      </c>
      <c r="C537" s="4" t="s">
        <v>31</v>
      </c>
      <c r="D537" s="7" t="s">
        <v>1157</v>
      </c>
      <c r="E537" s="4" t="s">
        <v>33</v>
      </c>
      <c r="F537" s="4" t="s">
        <v>4</v>
      </c>
      <c r="G537" s="8" t="n">
        <v>620.122817873955</v>
      </c>
      <c r="H537" s="6" t="n">
        <f aca="false">IF(G537="","",G537/SUMIFS($G$2:$G$1462,$F$2:$F$1462,"Served"))</f>
        <v>6.39220997281628E-005</v>
      </c>
      <c r="I537" s="4" t="n">
        <f aca="false">IF(G537="","",RANK(G537,$G$2:$G$1462,0))</f>
        <v>536</v>
      </c>
      <c r="J537" s="4" t="s">
        <v>34</v>
      </c>
    </row>
    <row r="538" customFormat="false" ht="15" hidden="false" customHeight="false" outlineLevel="0" collapsed="false">
      <c r="A538" s="4" t="s">
        <v>1158</v>
      </c>
      <c r="B538" s="4" t="s">
        <v>72</v>
      </c>
      <c r="C538" s="4" t="s">
        <v>73</v>
      </c>
      <c r="D538" s="7" t="s">
        <v>1159</v>
      </c>
      <c r="E538" s="4" t="s">
        <v>75</v>
      </c>
      <c r="F538" s="4" t="s">
        <v>4</v>
      </c>
      <c r="G538" s="8" t="n">
        <v>605.916661202908</v>
      </c>
      <c r="H538" s="6" t="n">
        <f aca="false">IF(G538="","",G538/SUMIFS($G$2:$G$1462,$F$2:$F$1462,"Served"))</f>
        <v>6.24577327716397E-005</v>
      </c>
      <c r="I538" s="4" t="n">
        <f aca="false">IF(G538="","",RANK(G538,$G$2:$G$1462,0))</f>
        <v>537</v>
      </c>
      <c r="J538" s="4" t="s">
        <v>34</v>
      </c>
    </row>
    <row r="539" customFormat="false" ht="15" hidden="false" customHeight="false" outlineLevel="0" collapsed="false">
      <c r="A539" s="4" t="s">
        <v>1160</v>
      </c>
      <c r="B539" s="4" t="s">
        <v>321</v>
      </c>
      <c r="C539" s="4" t="s">
        <v>322</v>
      </c>
      <c r="D539" s="7" t="s">
        <v>1161</v>
      </c>
      <c r="E539" s="4" t="s">
        <v>324</v>
      </c>
      <c r="F539" s="4" t="s">
        <v>4</v>
      </c>
      <c r="G539" s="8" t="n">
        <v>601.429981648922</v>
      </c>
      <c r="H539" s="6" t="n">
        <f aca="false">IF(G539="","",G539/SUMIFS($G$2:$G$1462,$F$2:$F$1462,"Served"))</f>
        <v>6.19952470032859E-005</v>
      </c>
      <c r="I539" s="4" t="n">
        <f aca="false">IF(G539="","",RANK(G539,$G$2:$G$1462,0))</f>
        <v>538</v>
      </c>
      <c r="J539" s="4" t="s">
        <v>34</v>
      </c>
    </row>
    <row r="540" customFormat="false" ht="15" hidden="false" customHeight="false" outlineLevel="0" collapsed="false">
      <c r="A540" s="4" t="s">
        <v>1162</v>
      </c>
      <c r="B540" s="4" t="s">
        <v>171</v>
      </c>
      <c r="C540" s="4" t="s">
        <v>249</v>
      </c>
      <c r="D540" s="7" t="s">
        <v>1163</v>
      </c>
      <c r="E540" s="4" t="s">
        <v>33</v>
      </c>
      <c r="F540" s="4" t="s">
        <v>4</v>
      </c>
      <c r="G540" s="8" t="n">
        <v>587.971165806055</v>
      </c>
      <c r="H540" s="6" t="n">
        <f aca="false">IF(G540="","",G540/SUMIFS($G$2:$G$1462,$F$2:$F$1462,"Served"))</f>
        <v>6.06079157461E-005</v>
      </c>
      <c r="I540" s="4" t="n">
        <f aca="false">IF(G540="","",RANK(G540,$G$2:$G$1462,0))</f>
        <v>539</v>
      </c>
      <c r="J540" s="4" t="s">
        <v>34</v>
      </c>
    </row>
    <row r="541" customFormat="false" ht="15" hidden="false" customHeight="false" outlineLevel="0" collapsed="false">
      <c r="A541" s="4" t="s">
        <v>1164</v>
      </c>
      <c r="B541" s="4" t="s">
        <v>87</v>
      </c>
      <c r="C541" s="4" t="s">
        <v>88</v>
      </c>
      <c r="D541" s="7" t="s">
        <v>1165</v>
      </c>
      <c r="E541" s="4" t="s">
        <v>90</v>
      </c>
      <c r="F541" s="4" t="s">
        <v>4</v>
      </c>
      <c r="G541" s="8" t="n">
        <v>553.665619313717</v>
      </c>
      <c r="H541" s="6" t="n">
        <f aca="false">IF(G541="","",G541/SUMIFS($G$2:$G$1462,$F$2:$F$1462,"Served"))</f>
        <v>5.70717088836748E-005</v>
      </c>
      <c r="I541" s="4" t="n">
        <f aca="false">IF(G541="","",RANK(G541,$G$2:$G$1462,0))</f>
        <v>540</v>
      </c>
      <c r="J541" s="4" t="s">
        <v>34</v>
      </c>
    </row>
    <row r="542" customFormat="false" ht="15" hidden="false" customHeight="false" outlineLevel="0" collapsed="false">
      <c r="A542" s="4" t="s">
        <v>1166</v>
      </c>
      <c r="B542" s="4" t="s">
        <v>61</v>
      </c>
      <c r="C542" s="4" t="s">
        <v>62</v>
      </c>
      <c r="D542" s="7" t="s">
        <v>1167</v>
      </c>
      <c r="E542" s="4" t="s">
        <v>64</v>
      </c>
      <c r="F542" s="4" t="s">
        <v>4</v>
      </c>
      <c r="G542" s="8" t="n">
        <v>535.878242373467</v>
      </c>
      <c r="H542" s="6" t="n">
        <f aca="false">IF(G542="","",G542/SUMIFS($G$2:$G$1462,$F$2:$F$1462,"Served"))</f>
        <v>5.52381906677587E-005</v>
      </c>
      <c r="I542" s="4" t="n">
        <f aca="false">IF(G542="","",RANK(G542,$G$2:$G$1462,0))</f>
        <v>541</v>
      </c>
      <c r="J542" s="4" t="s">
        <v>34</v>
      </c>
    </row>
    <row r="543" customFormat="false" ht="15" hidden="false" customHeight="false" outlineLevel="0" collapsed="false">
      <c r="A543" s="4" t="s">
        <v>1168</v>
      </c>
      <c r="B543" s="4" t="s">
        <v>72</v>
      </c>
      <c r="C543" s="4" t="s">
        <v>73</v>
      </c>
      <c r="D543" s="7" t="s">
        <v>1169</v>
      </c>
      <c r="E543" s="4" t="s">
        <v>75</v>
      </c>
      <c r="F543" s="4" t="s">
        <v>4</v>
      </c>
      <c r="G543" s="8" t="n">
        <v>522.671689927578</v>
      </c>
      <c r="H543" s="6" t="n">
        <f aca="false">IF(G543="","",G543/SUMIFS($G$2:$G$1462,$F$2:$F$1462,"Served"))</f>
        <v>5.38768626563084E-005</v>
      </c>
      <c r="I543" s="4" t="n">
        <f aca="false">IF(G543="","",RANK(G543,$G$2:$G$1462,0))</f>
        <v>542</v>
      </c>
      <c r="J543" s="4" t="s">
        <v>34</v>
      </c>
    </row>
    <row r="544" customFormat="false" ht="15" hidden="false" customHeight="false" outlineLevel="0" collapsed="false">
      <c r="A544" s="4" t="s">
        <v>1170</v>
      </c>
      <c r="B544" s="4" t="s">
        <v>132</v>
      </c>
      <c r="C544" s="4" t="s">
        <v>133</v>
      </c>
      <c r="D544" s="7" t="s">
        <v>1171</v>
      </c>
      <c r="E544" s="4" t="s">
        <v>135</v>
      </c>
      <c r="F544" s="4" t="s">
        <v>4</v>
      </c>
      <c r="G544" s="8" t="n">
        <v>520.122884333134</v>
      </c>
      <c r="H544" s="6" t="n">
        <f aca="false">IF(G544="","",G544/SUMIFS($G$2:$G$1462,$F$2:$F$1462,"Served"))</f>
        <v>5.36141324346495E-005</v>
      </c>
      <c r="I544" s="4" t="n">
        <f aca="false">IF(G544="","",RANK(G544,$G$2:$G$1462,0))</f>
        <v>543</v>
      </c>
      <c r="J544" s="4" t="s">
        <v>34</v>
      </c>
    </row>
    <row r="545" customFormat="false" ht="15" hidden="false" customHeight="false" outlineLevel="0" collapsed="false">
      <c r="A545" s="4" t="s">
        <v>1172</v>
      </c>
      <c r="B545" s="4" t="s">
        <v>87</v>
      </c>
      <c r="C545" s="4" t="s">
        <v>88</v>
      </c>
      <c r="D545" s="7" t="s">
        <v>1173</v>
      </c>
      <c r="E545" s="4" t="s">
        <v>90</v>
      </c>
      <c r="F545" s="4" t="s">
        <v>4</v>
      </c>
      <c r="G545" s="8" t="n">
        <v>508.874022185803</v>
      </c>
      <c r="H545" s="6" t="n">
        <f aca="false">IF(G545="","",G545/SUMIFS($G$2:$G$1462,$F$2:$F$1462,"Served"))</f>
        <v>5.24546026329962E-005</v>
      </c>
      <c r="I545" s="4" t="n">
        <f aca="false">IF(G545="","",RANK(G545,$G$2:$G$1462,0))</f>
        <v>544</v>
      </c>
      <c r="J545" s="4" t="s">
        <v>34</v>
      </c>
    </row>
    <row r="546" customFormat="false" ht="15" hidden="false" customHeight="false" outlineLevel="0" collapsed="false">
      <c r="A546" s="4" t="s">
        <v>1174</v>
      </c>
      <c r="B546" s="4" t="s">
        <v>30</v>
      </c>
      <c r="C546" s="4" t="s">
        <v>31</v>
      </c>
      <c r="D546" s="7" t="s">
        <v>1175</v>
      </c>
      <c r="E546" s="4" t="s">
        <v>33</v>
      </c>
      <c r="F546" s="4" t="s">
        <v>4</v>
      </c>
      <c r="G546" s="8" t="n">
        <v>497.060636401177</v>
      </c>
      <c r="H546" s="6" t="n">
        <f aca="false">IF(G546="","",G546/SUMIFS($G$2:$G$1462,$F$2:$F$1462,"Served"))</f>
        <v>5.12368818807732E-005</v>
      </c>
      <c r="I546" s="4" t="n">
        <f aca="false">IF(G546="","",RANK(G546,$G$2:$G$1462,0))</f>
        <v>545</v>
      </c>
      <c r="J546" s="4" t="s">
        <v>34</v>
      </c>
    </row>
    <row r="547" customFormat="false" ht="15" hidden="false" customHeight="false" outlineLevel="0" collapsed="false">
      <c r="A547" s="4" t="s">
        <v>1176</v>
      </c>
      <c r="B547" s="4" t="s">
        <v>204</v>
      </c>
      <c r="C547" s="4" t="s">
        <v>205</v>
      </c>
      <c r="D547" s="7" t="s">
        <v>1177</v>
      </c>
      <c r="E547" s="4" t="s">
        <v>207</v>
      </c>
      <c r="F547" s="4" t="s">
        <v>4</v>
      </c>
      <c r="G547" s="8" t="n">
        <v>489.460798680782</v>
      </c>
      <c r="H547" s="6" t="n">
        <f aca="false">IF(G547="","",G547/SUMIFS($G$2:$G$1462,$F$2:$F$1462,"Served"))</f>
        <v>5.04534925735608E-005</v>
      </c>
      <c r="I547" s="4" t="n">
        <f aca="false">IF(G547="","",RANK(G547,$G$2:$G$1462,0))</f>
        <v>546</v>
      </c>
      <c r="J547" s="4" t="s">
        <v>34</v>
      </c>
    </row>
    <row r="548" customFormat="false" ht="15" hidden="false" customHeight="false" outlineLevel="0" collapsed="false">
      <c r="A548" s="4" t="s">
        <v>1178</v>
      </c>
      <c r="B548" s="4" t="s">
        <v>72</v>
      </c>
      <c r="C548" s="4" t="s">
        <v>73</v>
      </c>
      <c r="D548" s="7" t="s">
        <v>1179</v>
      </c>
      <c r="E548" s="4" t="s">
        <v>75</v>
      </c>
      <c r="F548" s="4" t="s">
        <v>4</v>
      </c>
      <c r="G548" s="8" t="n">
        <v>483.202982783318</v>
      </c>
      <c r="H548" s="6" t="n">
        <f aca="false">IF(G548="","",G548/SUMIFS($G$2:$G$1462,$F$2:$F$1462,"Served"))</f>
        <v>4.98084385288642E-005</v>
      </c>
      <c r="I548" s="4" t="n">
        <f aca="false">IF(G548="","",RANK(G548,$G$2:$G$1462,0))</f>
        <v>547</v>
      </c>
      <c r="J548" s="4" t="s">
        <v>34</v>
      </c>
    </row>
    <row r="549" customFormat="false" ht="15" hidden="false" customHeight="false" outlineLevel="0" collapsed="false">
      <c r="A549" s="4" t="s">
        <v>1180</v>
      </c>
      <c r="B549" s="4" t="s">
        <v>87</v>
      </c>
      <c r="C549" s="4" t="s">
        <v>88</v>
      </c>
      <c r="D549" s="7" t="s">
        <v>1181</v>
      </c>
      <c r="E549" s="4" t="s">
        <v>90</v>
      </c>
      <c r="F549" s="4" t="s">
        <v>4</v>
      </c>
      <c r="G549" s="8" t="n">
        <v>474.158882200718</v>
      </c>
      <c r="H549" s="6" t="n">
        <f aca="false">IF(G549="","",G549/SUMIFS($G$2:$G$1462,$F$2:$F$1462,"Served"))</f>
        <v>4.88761749792427E-005</v>
      </c>
      <c r="I549" s="4" t="n">
        <f aca="false">IF(G549="","",RANK(G549,$G$2:$G$1462,0))</f>
        <v>548</v>
      </c>
      <c r="J549" s="4" t="s">
        <v>34</v>
      </c>
    </row>
    <row r="550" customFormat="false" ht="15" hidden="false" customHeight="false" outlineLevel="0" collapsed="false">
      <c r="A550" s="4" t="s">
        <v>1182</v>
      </c>
      <c r="B550" s="4" t="s">
        <v>30</v>
      </c>
      <c r="C550" s="4" t="s">
        <v>788</v>
      </c>
      <c r="D550" s="7" t="s">
        <v>1183</v>
      </c>
      <c r="E550" s="4" t="s">
        <v>33</v>
      </c>
      <c r="F550" s="4" t="s">
        <v>4</v>
      </c>
      <c r="G550" s="8" t="n">
        <v>440.774159789085</v>
      </c>
      <c r="H550" s="6" t="n">
        <f aca="false">IF(G550="","",G550/SUMIFS($G$2:$G$1462,$F$2:$F$1462,"Served"))</f>
        <v>4.54348864249693E-005</v>
      </c>
      <c r="I550" s="4" t="n">
        <f aca="false">IF(G550="","",RANK(G550,$G$2:$G$1462,0))</f>
        <v>549</v>
      </c>
      <c r="J550" s="4" t="s">
        <v>34</v>
      </c>
    </row>
    <row r="551" customFormat="false" ht="15" hidden="false" customHeight="false" outlineLevel="0" collapsed="false">
      <c r="A551" s="4" t="s">
        <v>1184</v>
      </c>
      <c r="B551" s="4" t="s">
        <v>321</v>
      </c>
      <c r="C551" s="4" t="s">
        <v>322</v>
      </c>
      <c r="D551" s="7" t="s">
        <v>1185</v>
      </c>
      <c r="E551" s="4" t="s">
        <v>324</v>
      </c>
      <c r="F551" s="4" t="s">
        <v>4</v>
      </c>
      <c r="G551" s="8" t="n">
        <v>429.384574174881</v>
      </c>
      <c r="H551" s="6" t="n">
        <f aca="false">IF(G551="","",G551/SUMIFS($G$2:$G$1462,$F$2:$F$1462,"Served"))</f>
        <v>4.4260850884736E-005</v>
      </c>
      <c r="I551" s="4" t="n">
        <f aca="false">IF(G551="","",RANK(G551,$G$2:$G$1462,0))</f>
        <v>550</v>
      </c>
      <c r="J551" s="4" t="s">
        <v>34</v>
      </c>
    </row>
    <row r="552" customFormat="false" ht="15" hidden="false" customHeight="false" outlineLevel="0" collapsed="false">
      <c r="A552" s="4" t="s">
        <v>1186</v>
      </c>
      <c r="B552" s="4" t="s">
        <v>204</v>
      </c>
      <c r="C552" s="4" t="s">
        <v>205</v>
      </c>
      <c r="D552" s="7" t="s">
        <v>1187</v>
      </c>
      <c r="E552" s="4" t="s">
        <v>207</v>
      </c>
      <c r="F552" s="4" t="s">
        <v>4</v>
      </c>
      <c r="G552" s="8" t="n">
        <v>423.989564925432</v>
      </c>
      <c r="H552" s="6" t="n">
        <f aca="false">IF(G552="","",G552/SUMIFS($G$2:$G$1462,$F$2:$F$1462,"Served"))</f>
        <v>4.37047347262306E-005</v>
      </c>
      <c r="I552" s="4" t="n">
        <f aca="false">IF(G552="","",RANK(G552,$G$2:$G$1462,0))</f>
        <v>551</v>
      </c>
      <c r="J552" s="4" t="s">
        <v>34</v>
      </c>
    </row>
    <row r="553" customFormat="false" ht="15" hidden="false" customHeight="false" outlineLevel="0" collapsed="false">
      <c r="A553" s="4" t="s">
        <v>1188</v>
      </c>
      <c r="B553" s="4" t="s">
        <v>30</v>
      </c>
      <c r="C553" s="4" t="s">
        <v>243</v>
      </c>
      <c r="D553" s="7" t="s">
        <v>1189</v>
      </c>
      <c r="E553" s="4" t="s">
        <v>33</v>
      </c>
      <c r="F553" s="4" t="s">
        <v>4</v>
      </c>
      <c r="G553" s="8" t="n">
        <v>408.282719612122</v>
      </c>
      <c r="H553" s="6" t="n">
        <f aca="false">IF(G553="","",G553/SUMIFS($G$2:$G$1462,$F$2:$F$1462,"Served"))</f>
        <v>4.20856771724795E-005</v>
      </c>
      <c r="I553" s="4" t="n">
        <f aca="false">IF(G553="","",RANK(G553,$G$2:$G$1462,0))</f>
        <v>552</v>
      </c>
      <c r="J553" s="4" t="s">
        <v>34</v>
      </c>
    </row>
    <row r="554" customFormat="false" ht="15" hidden="false" customHeight="false" outlineLevel="0" collapsed="false">
      <c r="A554" s="4" t="s">
        <v>1190</v>
      </c>
      <c r="B554" s="4" t="s">
        <v>171</v>
      </c>
      <c r="C554" s="4" t="s">
        <v>249</v>
      </c>
      <c r="D554" s="7" t="s">
        <v>1191</v>
      </c>
      <c r="E554" s="4" t="s">
        <v>33</v>
      </c>
      <c r="F554" s="4" t="s">
        <v>4</v>
      </c>
      <c r="G554" s="8" t="n">
        <v>403.611207216978</v>
      </c>
      <c r="H554" s="6" t="n">
        <f aca="false">IF(G554="","",G554/SUMIFS($G$2:$G$1462,$F$2:$F$1462,"Served"))</f>
        <v>4.16041388826493E-005</v>
      </c>
      <c r="I554" s="4" t="n">
        <f aca="false">IF(G554="","",RANK(G554,$G$2:$G$1462,0))</f>
        <v>553</v>
      </c>
      <c r="J554" s="4" t="s">
        <v>34</v>
      </c>
    </row>
    <row r="555" customFormat="false" ht="15" hidden="false" customHeight="false" outlineLevel="0" collapsed="false">
      <c r="A555" s="4" t="s">
        <v>1192</v>
      </c>
      <c r="B555" s="4" t="s">
        <v>30</v>
      </c>
      <c r="C555" s="4" t="s">
        <v>31</v>
      </c>
      <c r="D555" s="7" t="s">
        <v>1157</v>
      </c>
      <c r="E555" s="4" t="s">
        <v>33</v>
      </c>
      <c r="F555" s="4" t="s">
        <v>4</v>
      </c>
      <c r="G555" s="8" t="n">
        <v>394.520605385304</v>
      </c>
      <c r="H555" s="6" t="n">
        <f aca="false">IF(G555="","",G555/SUMIFS($G$2:$G$1462,$F$2:$F$1462,"Served"))</f>
        <v>4.06670819962964E-005</v>
      </c>
      <c r="I555" s="4" t="n">
        <f aca="false">IF(G555="","",RANK(G555,$G$2:$G$1462,0))</f>
        <v>554</v>
      </c>
      <c r="J555" s="4" t="s">
        <v>34</v>
      </c>
    </row>
    <row r="556" customFormat="false" ht="15" hidden="false" customHeight="false" outlineLevel="0" collapsed="false">
      <c r="A556" s="4" t="s">
        <v>1193</v>
      </c>
      <c r="B556" s="4" t="s">
        <v>72</v>
      </c>
      <c r="C556" s="4" t="s">
        <v>73</v>
      </c>
      <c r="D556" s="7" t="s">
        <v>1194</v>
      </c>
      <c r="E556" s="4" t="s">
        <v>75</v>
      </c>
      <c r="F556" s="4" t="s">
        <v>4</v>
      </c>
      <c r="G556" s="8" t="n">
        <v>388.511938273907</v>
      </c>
      <c r="H556" s="6" t="n">
        <f aca="false">IF(G556="","",G556/SUMIFS($G$2:$G$1462,$F$2:$F$1462,"Served"))</f>
        <v>4.00477101440481E-005</v>
      </c>
      <c r="I556" s="4" t="n">
        <f aca="false">IF(G556="","",RANK(G556,$G$2:$G$1462,0))</f>
        <v>555</v>
      </c>
      <c r="J556" s="4" t="s">
        <v>34</v>
      </c>
    </row>
    <row r="557" customFormat="false" ht="15" hidden="false" customHeight="false" outlineLevel="0" collapsed="false">
      <c r="A557" s="4" t="s">
        <v>1195</v>
      </c>
      <c r="B557" s="4" t="s">
        <v>171</v>
      </c>
      <c r="C557" s="4" t="s">
        <v>259</v>
      </c>
      <c r="D557" s="7" t="s">
        <v>1196</v>
      </c>
      <c r="E557" s="4" t="s">
        <v>33</v>
      </c>
      <c r="F557" s="4" t="s">
        <v>4</v>
      </c>
      <c r="G557" s="8" t="n">
        <v>335.947283536196</v>
      </c>
      <c r="H557" s="6" t="n">
        <f aca="false">IF(G557="","",G557/SUMIFS($G$2:$G$1462,$F$2:$F$1462,"Served"))</f>
        <v>3.46293591247451E-005</v>
      </c>
      <c r="I557" s="4" t="n">
        <f aca="false">IF(G557="","",RANK(G557,$G$2:$G$1462,0))</f>
        <v>556</v>
      </c>
      <c r="J557" s="4" t="s">
        <v>34</v>
      </c>
    </row>
    <row r="558" customFormat="false" ht="15" hidden="false" customHeight="false" outlineLevel="0" collapsed="false">
      <c r="A558" s="4" t="s">
        <v>1197</v>
      </c>
      <c r="B558" s="4" t="s">
        <v>72</v>
      </c>
      <c r="C558" s="4" t="s">
        <v>73</v>
      </c>
      <c r="D558" s="7" t="s">
        <v>1198</v>
      </c>
      <c r="E558" s="4" t="s">
        <v>75</v>
      </c>
      <c r="F558" s="4" t="s">
        <v>4</v>
      </c>
      <c r="G558" s="8" t="n">
        <v>306.861925899983</v>
      </c>
      <c r="H558" s="6" t="n">
        <f aca="false">IF(G558="","",G558/SUMIFS($G$2:$G$1462,$F$2:$F$1462,"Served"))</f>
        <v>3.16312479798828E-005</v>
      </c>
      <c r="I558" s="4" t="n">
        <f aca="false">IF(G558="","",RANK(G558,$G$2:$G$1462,0))</f>
        <v>557</v>
      </c>
      <c r="J558" s="4" t="s">
        <v>34</v>
      </c>
    </row>
    <row r="559" customFormat="false" ht="15" hidden="false" customHeight="false" outlineLevel="0" collapsed="false">
      <c r="A559" s="4" t="s">
        <v>1199</v>
      </c>
      <c r="B559" s="4" t="s">
        <v>321</v>
      </c>
      <c r="C559" s="4" t="s">
        <v>322</v>
      </c>
      <c r="D559" s="7" t="s">
        <v>1200</v>
      </c>
      <c r="E559" s="4" t="s">
        <v>324</v>
      </c>
      <c r="F559" s="4" t="s">
        <v>4</v>
      </c>
      <c r="G559" s="8" t="n">
        <v>299.826146423817</v>
      </c>
      <c r="H559" s="6" t="n">
        <f aca="false">IF(G559="","",G559/SUMIFS($G$2:$G$1462,$F$2:$F$1462,"Served"))</f>
        <v>3.09060016506432E-005</v>
      </c>
      <c r="I559" s="4" t="n">
        <f aca="false">IF(G559="","",RANK(G559,$G$2:$G$1462,0))</f>
        <v>558</v>
      </c>
      <c r="J559" s="4" t="s">
        <v>34</v>
      </c>
    </row>
    <row r="560" customFormat="false" ht="15" hidden="false" customHeight="false" outlineLevel="0" collapsed="false">
      <c r="A560" s="4" t="s">
        <v>1201</v>
      </c>
      <c r="B560" s="4" t="s">
        <v>132</v>
      </c>
      <c r="C560" s="4" t="s">
        <v>133</v>
      </c>
      <c r="D560" s="7" t="s">
        <v>1202</v>
      </c>
      <c r="E560" s="4" t="s">
        <v>135</v>
      </c>
      <c r="F560" s="4" t="s">
        <v>4</v>
      </c>
      <c r="G560" s="8" t="n">
        <v>291.557927787304</v>
      </c>
      <c r="H560" s="6" t="n">
        <f aca="false">IF(G560="","",G560/SUMIFS($G$2:$G$1462,$F$2:$F$1462,"Served"))</f>
        <v>3.00537158114131E-005</v>
      </c>
      <c r="I560" s="4" t="n">
        <f aca="false">IF(G560="","",RANK(G560,$G$2:$G$1462,0))</f>
        <v>559</v>
      </c>
      <c r="J560" s="4" t="s">
        <v>34</v>
      </c>
    </row>
    <row r="561" customFormat="false" ht="15" hidden="false" customHeight="false" outlineLevel="0" collapsed="false">
      <c r="A561" s="4" t="s">
        <v>1203</v>
      </c>
      <c r="B561" s="4" t="s">
        <v>72</v>
      </c>
      <c r="C561" s="4" t="s">
        <v>73</v>
      </c>
      <c r="D561" s="7" t="s">
        <v>1204</v>
      </c>
      <c r="E561" s="4" t="s">
        <v>75</v>
      </c>
      <c r="F561" s="4" t="s">
        <v>4</v>
      </c>
      <c r="G561" s="8" t="n">
        <v>284.039569497109</v>
      </c>
      <c r="H561" s="6" t="n">
        <f aca="false">IF(G561="","",G561/SUMIFS($G$2:$G$1462,$F$2:$F$1462,"Served"))</f>
        <v>2.92787253827983E-005</v>
      </c>
      <c r="I561" s="4" t="n">
        <f aca="false">IF(G561="","",RANK(G561,$G$2:$G$1462,0))</f>
        <v>560</v>
      </c>
      <c r="J561" s="4" t="s">
        <v>34</v>
      </c>
    </row>
    <row r="562" customFormat="false" ht="15" hidden="false" customHeight="false" outlineLevel="0" collapsed="false">
      <c r="A562" s="4" t="s">
        <v>1205</v>
      </c>
      <c r="B562" s="4" t="s">
        <v>132</v>
      </c>
      <c r="C562" s="4" t="s">
        <v>133</v>
      </c>
      <c r="D562" s="7" t="s">
        <v>1206</v>
      </c>
      <c r="E562" s="4" t="s">
        <v>135</v>
      </c>
      <c r="F562" s="4" t="s">
        <v>4</v>
      </c>
      <c r="G562" s="8" t="n">
        <v>282.433170199394</v>
      </c>
      <c r="H562" s="6" t="n">
        <f aca="false">IF(G562="","",G562/SUMIFS($G$2:$G$1462,$F$2:$F$1462,"Served"))</f>
        <v>2.91131381585388E-005</v>
      </c>
      <c r="I562" s="4" t="n">
        <f aca="false">IF(G562="","",RANK(G562,$G$2:$G$1462,0))</f>
        <v>561</v>
      </c>
      <c r="J562" s="4" t="s">
        <v>34</v>
      </c>
    </row>
    <row r="563" customFormat="false" ht="15" hidden="false" customHeight="false" outlineLevel="0" collapsed="false">
      <c r="A563" s="4" t="s">
        <v>1207</v>
      </c>
      <c r="B563" s="4" t="s">
        <v>204</v>
      </c>
      <c r="C563" s="4" t="s">
        <v>205</v>
      </c>
      <c r="D563" s="7" t="s">
        <v>1208</v>
      </c>
      <c r="E563" s="4" t="s">
        <v>207</v>
      </c>
      <c r="F563" s="4" t="s">
        <v>4</v>
      </c>
      <c r="G563" s="8" t="n">
        <v>274.470311701298</v>
      </c>
      <c r="H563" s="6" t="n">
        <f aca="false">IF(G563="","",G563/SUMIFS($G$2:$G$1462,$F$2:$F$1462,"Served"))</f>
        <v>2.82923287634231E-005</v>
      </c>
      <c r="I563" s="4" t="n">
        <f aca="false">IF(G563="","",RANK(G563,$G$2:$G$1462,0))</f>
        <v>562</v>
      </c>
      <c r="J563" s="4" t="s">
        <v>34</v>
      </c>
    </row>
    <row r="564" customFormat="false" ht="15" hidden="false" customHeight="false" outlineLevel="0" collapsed="false">
      <c r="A564" s="4" t="s">
        <v>1209</v>
      </c>
      <c r="B564" s="4" t="s">
        <v>30</v>
      </c>
      <c r="C564" s="4" t="s">
        <v>31</v>
      </c>
      <c r="D564" s="7" t="s">
        <v>1210</v>
      </c>
      <c r="E564" s="4" t="s">
        <v>33</v>
      </c>
      <c r="F564" s="4" t="s">
        <v>4</v>
      </c>
      <c r="G564" s="8" t="n">
        <v>256.042109072208</v>
      </c>
      <c r="H564" s="6" t="n">
        <f aca="false">IF(G564="","",G564/SUMIFS($G$2:$G$1462,$F$2:$F$1462,"Served"))</f>
        <v>2.63927544011927E-005</v>
      </c>
      <c r="I564" s="4" t="n">
        <f aca="false">IF(G564="","",RANK(G564,$G$2:$G$1462,0))</f>
        <v>563</v>
      </c>
      <c r="J564" s="4" t="s">
        <v>34</v>
      </c>
    </row>
    <row r="565" customFormat="false" ht="15" hidden="false" customHeight="false" outlineLevel="0" collapsed="false">
      <c r="A565" s="4" t="s">
        <v>1211</v>
      </c>
      <c r="B565" s="4" t="s">
        <v>30</v>
      </c>
      <c r="C565" s="4" t="s">
        <v>31</v>
      </c>
      <c r="D565" s="7" t="s">
        <v>1212</v>
      </c>
      <c r="E565" s="4" t="s">
        <v>33</v>
      </c>
      <c r="F565" s="4" t="s">
        <v>4</v>
      </c>
      <c r="G565" s="8" t="n">
        <v>248.366943717003</v>
      </c>
      <c r="H565" s="6" t="n">
        <f aca="false">IF(G565="","",G565/SUMIFS($G$2:$G$1462,$F$2:$F$1462,"Served"))</f>
        <v>2.56016003408606E-005</v>
      </c>
      <c r="I565" s="4" t="n">
        <f aca="false">IF(G565="","",RANK(G565,$G$2:$G$1462,0))</f>
        <v>564</v>
      </c>
      <c r="J565" s="4" t="s">
        <v>34</v>
      </c>
    </row>
    <row r="566" customFormat="false" ht="15" hidden="false" customHeight="false" outlineLevel="0" collapsed="false">
      <c r="A566" s="4" t="s">
        <v>1213</v>
      </c>
      <c r="B566" s="4" t="s">
        <v>321</v>
      </c>
      <c r="C566" s="4" t="s">
        <v>322</v>
      </c>
      <c r="D566" s="7" t="s">
        <v>1214</v>
      </c>
      <c r="E566" s="4" t="s">
        <v>324</v>
      </c>
      <c r="F566" s="4" t="s">
        <v>4</v>
      </c>
      <c r="G566" s="8" t="n">
        <v>237.741753280163</v>
      </c>
      <c r="H566" s="6" t="n">
        <f aca="false">IF(G566="","",G566/SUMIFS($G$2:$G$1462,$F$2:$F$1462,"Served"))</f>
        <v>2.45063584578688E-005</v>
      </c>
      <c r="I566" s="4" t="n">
        <f aca="false">IF(G566="","",RANK(G566,$G$2:$G$1462,0))</f>
        <v>565</v>
      </c>
      <c r="J566" s="4" t="s">
        <v>34</v>
      </c>
    </row>
    <row r="567" customFormat="false" ht="15" hidden="false" customHeight="false" outlineLevel="0" collapsed="false">
      <c r="A567" s="4" t="s">
        <v>1215</v>
      </c>
      <c r="B567" s="4" t="s">
        <v>72</v>
      </c>
      <c r="C567" s="4" t="s">
        <v>73</v>
      </c>
      <c r="D567" s="7" t="s">
        <v>1216</v>
      </c>
      <c r="E567" s="4" t="s">
        <v>75</v>
      </c>
      <c r="F567" s="4" t="s">
        <v>4</v>
      </c>
      <c r="G567" s="8" t="n">
        <v>220.210929751396</v>
      </c>
      <c r="H567" s="6" t="n">
        <f aca="false">IF(G567="","",G567/SUMIFS($G$2:$G$1462,$F$2:$F$1462,"Served"))</f>
        <v>2.26992857012743E-005</v>
      </c>
      <c r="I567" s="4" t="n">
        <f aca="false">IF(G567="","",RANK(G567,$G$2:$G$1462,0))</f>
        <v>566</v>
      </c>
      <c r="J567" s="4" t="s">
        <v>34</v>
      </c>
    </row>
    <row r="568" customFormat="false" ht="15" hidden="false" customHeight="false" outlineLevel="0" collapsed="false">
      <c r="A568" s="4" t="s">
        <v>1217</v>
      </c>
      <c r="B568" s="4" t="s">
        <v>321</v>
      </c>
      <c r="C568" s="4" t="s">
        <v>322</v>
      </c>
      <c r="D568" s="7" t="s">
        <v>1218</v>
      </c>
      <c r="E568" s="4" t="s">
        <v>324</v>
      </c>
      <c r="F568" s="4" t="s">
        <v>4</v>
      </c>
      <c r="G568" s="8" t="n">
        <v>208.702929437161</v>
      </c>
      <c r="H568" s="6" t="n">
        <f aca="false">IF(G568="","",G568/SUMIFS($G$2:$G$1462,$F$2:$F$1462,"Served"))</f>
        <v>2.1513044004379E-005</v>
      </c>
      <c r="I568" s="4" t="n">
        <f aca="false">IF(G568="","",RANK(G568,$G$2:$G$1462,0))</f>
        <v>567</v>
      </c>
      <c r="J568" s="4" t="s">
        <v>34</v>
      </c>
    </row>
    <row r="569" customFormat="false" ht="15" hidden="false" customHeight="false" outlineLevel="0" collapsed="false">
      <c r="A569" s="4" t="s">
        <v>1219</v>
      </c>
      <c r="B569" s="4" t="s">
        <v>30</v>
      </c>
      <c r="C569" s="4" t="s">
        <v>31</v>
      </c>
      <c r="D569" s="7" t="s">
        <v>1220</v>
      </c>
      <c r="E569" s="4" t="s">
        <v>33</v>
      </c>
      <c r="F569" s="4" t="s">
        <v>4</v>
      </c>
      <c r="G569" s="8" t="n">
        <v>207.906663060188</v>
      </c>
      <c r="H569" s="6" t="n">
        <f aca="false">IF(G569="","",G569/SUMIFS($G$2:$G$1462,$F$2:$F$1462,"Served"))</f>
        <v>2.14309650721225E-005</v>
      </c>
      <c r="I569" s="4" t="n">
        <f aca="false">IF(G569="","",RANK(G569,$G$2:$G$1462,0))</f>
        <v>568</v>
      </c>
      <c r="J569" s="4" t="s">
        <v>34</v>
      </c>
    </row>
    <row r="570" customFormat="false" ht="15" hidden="false" customHeight="false" outlineLevel="0" collapsed="false">
      <c r="A570" s="4" t="s">
        <v>1221</v>
      </c>
      <c r="B570" s="4" t="s">
        <v>321</v>
      </c>
      <c r="C570" s="4" t="s">
        <v>322</v>
      </c>
      <c r="D570" s="7" t="s">
        <v>1222</v>
      </c>
      <c r="E570" s="4" t="s">
        <v>324</v>
      </c>
      <c r="F570" s="4" t="s">
        <v>4</v>
      </c>
      <c r="G570" s="8" t="n">
        <v>200.894933700562</v>
      </c>
      <c r="H570" s="6" t="n">
        <f aca="false">IF(G570="","",G570/SUMIFS($G$2:$G$1462,$F$2:$F$1462,"Served"))</f>
        <v>2.07081978226773E-005</v>
      </c>
      <c r="I570" s="4" t="n">
        <f aca="false">IF(G570="","",RANK(G570,$G$2:$G$1462,0))</f>
        <v>569</v>
      </c>
      <c r="J570" s="4" t="s">
        <v>34</v>
      </c>
    </row>
    <row r="571" customFormat="false" ht="15" hidden="false" customHeight="false" outlineLevel="0" collapsed="false">
      <c r="A571" s="4" t="s">
        <v>1223</v>
      </c>
      <c r="B571" s="4" t="s">
        <v>30</v>
      </c>
      <c r="C571" s="4" t="s">
        <v>31</v>
      </c>
      <c r="D571" s="7" t="s">
        <v>1224</v>
      </c>
      <c r="E571" s="4" t="s">
        <v>33</v>
      </c>
      <c r="F571" s="4" t="s">
        <v>4</v>
      </c>
      <c r="G571" s="8" t="n">
        <v>198.76894146204</v>
      </c>
      <c r="H571" s="6" t="n">
        <f aca="false">IF(G571="","",G571/SUMIFS($G$2:$G$1462,$F$2:$F$1462,"Served"))</f>
        <v>2.04890510924247E-005</v>
      </c>
      <c r="I571" s="4" t="n">
        <f aca="false">IF(G571="","",RANK(G571,$G$2:$G$1462,0))</f>
        <v>570</v>
      </c>
      <c r="J571" s="4" t="s">
        <v>34</v>
      </c>
    </row>
    <row r="572" customFormat="false" ht="15" hidden="false" customHeight="false" outlineLevel="0" collapsed="false">
      <c r="A572" s="4" t="s">
        <v>1225</v>
      </c>
      <c r="B572" s="4" t="s">
        <v>321</v>
      </c>
      <c r="C572" s="4" t="s">
        <v>322</v>
      </c>
      <c r="D572" s="7" t="s">
        <v>1226</v>
      </c>
      <c r="E572" s="4" t="s">
        <v>324</v>
      </c>
      <c r="F572" s="4" t="s">
        <v>4</v>
      </c>
      <c r="G572" s="8" t="n">
        <v>190.832252383232</v>
      </c>
      <c r="H572" s="6" t="n">
        <f aca="false">IF(G572="","",G572/SUMIFS($G$2:$G$1462,$F$2:$F$1462,"Served"))</f>
        <v>1.9670939234283E-005</v>
      </c>
      <c r="I572" s="4" t="n">
        <f aca="false">IF(G572="","",RANK(G572,$G$2:$G$1462,0))</f>
        <v>571</v>
      </c>
      <c r="J572" s="4" t="s">
        <v>34</v>
      </c>
    </row>
    <row r="573" customFormat="false" ht="15" hidden="false" customHeight="false" outlineLevel="0" collapsed="false">
      <c r="A573" s="4" t="s">
        <v>1227</v>
      </c>
      <c r="B573" s="4" t="s">
        <v>30</v>
      </c>
      <c r="C573" s="4" t="s">
        <v>243</v>
      </c>
      <c r="D573" s="7" t="s">
        <v>1228</v>
      </c>
      <c r="E573" s="4" t="s">
        <v>33</v>
      </c>
      <c r="F573" s="4" t="s">
        <v>4</v>
      </c>
      <c r="G573" s="8" t="n">
        <v>186.896213412285</v>
      </c>
      <c r="H573" s="6" t="n">
        <f aca="false">IF(G573="","",G573/SUMIFS($G$2:$G$1462,$F$2:$F$1462,"Served"))</f>
        <v>1.92652133548557E-005</v>
      </c>
      <c r="I573" s="4" t="n">
        <f aca="false">IF(G573="","",RANK(G573,$G$2:$G$1462,0))</f>
        <v>572</v>
      </c>
      <c r="J573" s="4" t="s">
        <v>34</v>
      </c>
    </row>
    <row r="574" customFormat="false" ht="15" hidden="false" customHeight="false" outlineLevel="0" collapsed="false">
      <c r="A574" s="4" t="s">
        <v>1229</v>
      </c>
      <c r="B574" s="4" t="s">
        <v>321</v>
      </c>
      <c r="C574" s="4" t="s">
        <v>322</v>
      </c>
      <c r="D574" s="7" t="s">
        <v>1230</v>
      </c>
      <c r="E574" s="4" t="s">
        <v>324</v>
      </c>
      <c r="F574" s="4" t="s">
        <v>4</v>
      </c>
      <c r="G574" s="8" t="n">
        <v>177.10675662756</v>
      </c>
      <c r="H574" s="6" t="n">
        <f aca="false">IF(G574="","",G574/SUMIFS($G$2:$G$1462,$F$2:$F$1462,"Served"))</f>
        <v>1.82561186806376E-005</v>
      </c>
      <c r="I574" s="4" t="n">
        <f aca="false">IF(G574="","",RANK(G574,$G$2:$G$1462,0))</f>
        <v>573</v>
      </c>
      <c r="J574" s="4" t="s">
        <v>34</v>
      </c>
    </row>
    <row r="575" customFormat="false" ht="15" hidden="false" customHeight="false" outlineLevel="0" collapsed="false">
      <c r="A575" s="4" t="s">
        <v>1231</v>
      </c>
      <c r="B575" s="4" t="s">
        <v>321</v>
      </c>
      <c r="C575" s="4" t="s">
        <v>322</v>
      </c>
      <c r="D575" s="7" t="s">
        <v>1232</v>
      </c>
      <c r="E575" s="4" t="s">
        <v>324</v>
      </c>
      <c r="F575" s="4" t="s">
        <v>4</v>
      </c>
      <c r="G575" s="8" t="n">
        <v>177.057057261467</v>
      </c>
      <c r="H575" s="6" t="n">
        <f aca="false">IF(G575="","",G575/SUMIFS($G$2:$G$1462,$F$2:$F$1462,"Served"))</f>
        <v>1.8250995682831E-005</v>
      </c>
      <c r="I575" s="4" t="n">
        <f aca="false">IF(G575="","",RANK(G575,$G$2:$G$1462,0))</f>
        <v>574</v>
      </c>
      <c r="J575" s="4" t="s">
        <v>34</v>
      </c>
    </row>
    <row r="576" customFormat="false" ht="15" hidden="false" customHeight="false" outlineLevel="0" collapsed="false">
      <c r="A576" s="4" t="s">
        <v>1233</v>
      </c>
      <c r="B576" s="4" t="s">
        <v>204</v>
      </c>
      <c r="C576" s="4" t="s">
        <v>205</v>
      </c>
      <c r="D576" s="7" t="s">
        <v>1234</v>
      </c>
      <c r="E576" s="4" t="s">
        <v>207</v>
      </c>
      <c r="F576" s="4" t="s">
        <v>4</v>
      </c>
      <c r="G576" s="8" t="n">
        <v>170.09356033802</v>
      </c>
      <c r="H576" s="6" t="n">
        <f aca="false">IF(G576="","",G576/SUMIFS($G$2:$G$1462,$F$2:$F$1462,"Served"))</f>
        <v>1.75332002204363E-005</v>
      </c>
      <c r="I576" s="4" t="n">
        <f aca="false">IF(G576="","",RANK(G576,$G$2:$G$1462,0))</f>
        <v>575</v>
      </c>
      <c r="J576" s="4" t="s">
        <v>34</v>
      </c>
    </row>
    <row r="577" customFormat="false" ht="15" hidden="false" customHeight="false" outlineLevel="0" collapsed="false">
      <c r="A577" s="4" t="s">
        <v>1235</v>
      </c>
      <c r="B577" s="4" t="s">
        <v>72</v>
      </c>
      <c r="C577" s="4" t="s">
        <v>73</v>
      </c>
      <c r="D577" s="7" t="s">
        <v>1236</v>
      </c>
      <c r="E577" s="4" t="s">
        <v>75</v>
      </c>
      <c r="F577" s="4" t="s">
        <v>4</v>
      </c>
      <c r="G577" s="8" t="n">
        <v>161.956644833088</v>
      </c>
      <c r="H577" s="6" t="n">
        <f aca="false">IF(G577="","",G577/SUMIFS($G$2:$G$1462,$F$2:$F$1462,"Served"))</f>
        <v>1.66944490740599E-005</v>
      </c>
      <c r="I577" s="4" t="n">
        <f aca="false">IF(G577="","",RANK(G577,$G$2:$G$1462,0))</f>
        <v>576</v>
      </c>
      <c r="J577" s="4" t="s">
        <v>34</v>
      </c>
    </row>
    <row r="578" customFormat="false" ht="15" hidden="false" customHeight="false" outlineLevel="0" collapsed="false">
      <c r="A578" s="4" t="s">
        <v>1237</v>
      </c>
      <c r="B578" s="4" t="s">
        <v>321</v>
      </c>
      <c r="C578" s="4" t="s">
        <v>322</v>
      </c>
      <c r="D578" s="7" t="s">
        <v>1238</v>
      </c>
      <c r="E578" s="4" t="s">
        <v>324</v>
      </c>
      <c r="F578" s="4" t="s">
        <v>4</v>
      </c>
      <c r="G578" s="8" t="n">
        <v>158.459373950958</v>
      </c>
      <c r="H578" s="6" t="n">
        <f aca="false">IF(G578="","",G578/SUMIFS($G$2:$G$1462,$F$2:$F$1462,"Served"))</f>
        <v>1.63339512957806E-005</v>
      </c>
      <c r="I578" s="4" t="n">
        <f aca="false">IF(G578="","",RANK(G578,$G$2:$G$1462,0))</f>
        <v>577</v>
      </c>
      <c r="J578" s="4" t="s">
        <v>34</v>
      </c>
    </row>
    <row r="579" customFormat="false" ht="15" hidden="false" customHeight="false" outlineLevel="0" collapsed="false">
      <c r="A579" s="4" t="s">
        <v>1239</v>
      </c>
      <c r="B579" s="4" t="s">
        <v>30</v>
      </c>
      <c r="C579" s="4" t="s">
        <v>31</v>
      </c>
      <c r="D579" s="7" t="s">
        <v>1240</v>
      </c>
      <c r="E579" s="4" t="s">
        <v>33</v>
      </c>
      <c r="F579" s="4" t="s">
        <v>4</v>
      </c>
      <c r="G579" s="8" t="n">
        <v>154.04157614708</v>
      </c>
      <c r="H579" s="6" t="n">
        <f aca="false">IF(G579="","",G579/SUMIFS($G$2:$G$1462,$F$2:$F$1462,"Served"))</f>
        <v>1.58785658404178E-005</v>
      </c>
      <c r="I579" s="4" t="n">
        <f aca="false">IF(G579="","",RANK(G579,$G$2:$G$1462,0))</f>
        <v>578</v>
      </c>
      <c r="J579" s="4" t="s">
        <v>34</v>
      </c>
    </row>
    <row r="580" customFormat="false" ht="15" hidden="false" customHeight="false" outlineLevel="0" collapsed="false">
      <c r="A580" s="4" t="s">
        <v>1241</v>
      </c>
      <c r="B580" s="4" t="s">
        <v>30</v>
      </c>
      <c r="C580" s="4" t="s">
        <v>31</v>
      </c>
      <c r="D580" s="7" t="s">
        <v>1242</v>
      </c>
      <c r="E580" s="4" t="s">
        <v>33</v>
      </c>
      <c r="F580" s="4" t="s">
        <v>4</v>
      </c>
      <c r="G580" s="8" t="n">
        <v>146.185844600201</v>
      </c>
      <c r="H580" s="6" t="n">
        <f aca="false">IF(G580="","",G580/SUMIFS($G$2:$G$1462,$F$2:$F$1462,"Served"))</f>
        <v>1.5068799063735E-005</v>
      </c>
      <c r="I580" s="4" t="n">
        <f aca="false">IF(G580="","",RANK(G580,$G$2:$G$1462,0))</f>
        <v>579</v>
      </c>
      <c r="J580" s="4" t="s">
        <v>34</v>
      </c>
    </row>
    <row r="581" customFormat="false" ht="15" hidden="false" customHeight="false" outlineLevel="0" collapsed="false">
      <c r="A581" s="4" t="s">
        <v>1243</v>
      </c>
      <c r="B581" s="4" t="s">
        <v>30</v>
      </c>
      <c r="C581" s="4" t="s">
        <v>31</v>
      </c>
      <c r="D581" s="7" t="s">
        <v>1244</v>
      </c>
      <c r="E581" s="4" t="s">
        <v>33</v>
      </c>
      <c r="F581" s="4" t="s">
        <v>4</v>
      </c>
      <c r="G581" s="8" t="n">
        <v>145.800786554813</v>
      </c>
      <c r="H581" s="6" t="n">
        <f aca="false">IF(G581="","",G581/SUMIFS($G$2:$G$1462,$F$2:$F$1462,"Served"))</f>
        <v>1.50291073799766E-005</v>
      </c>
      <c r="I581" s="4" t="n">
        <f aca="false">IF(G581="","",RANK(G581,$G$2:$G$1462,0))</f>
        <v>580</v>
      </c>
      <c r="J581" s="4" t="s">
        <v>34</v>
      </c>
    </row>
    <row r="582" customFormat="false" ht="15" hidden="false" customHeight="false" outlineLevel="0" collapsed="false">
      <c r="A582" s="4" t="s">
        <v>1245</v>
      </c>
      <c r="B582" s="4" t="s">
        <v>30</v>
      </c>
      <c r="C582" s="4" t="s">
        <v>31</v>
      </c>
      <c r="D582" s="7" t="s">
        <v>1246</v>
      </c>
      <c r="E582" s="4" t="s">
        <v>33</v>
      </c>
      <c r="F582" s="4" t="s">
        <v>4</v>
      </c>
      <c r="G582" s="8" t="n">
        <v>142.502585589886</v>
      </c>
      <c r="H582" s="6" t="n">
        <f aca="false">IF(G582="","",G582/SUMIFS($G$2:$G$1462,$F$2:$F$1462,"Served"))</f>
        <v>1.46891296772911E-005</v>
      </c>
      <c r="I582" s="4" t="n">
        <f aca="false">IF(G582="","",RANK(G582,$G$2:$G$1462,0))</f>
        <v>581</v>
      </c>
      <c r="J582" s="4" t="s">
        <v>34</v>
      </c>
    </row>
    <row r="583" customFormat="false" ht="15" hidden="false" customHeight="false" outlineLevel="0" collapsed="false">
      <c r="A583" s="4" t="s">
        <v>1247</v>
      </c>
      <c r="B583" s="4" t="s">
        <v>30</v>
      </c>
      <c r="C583" s="4" t="s">
        <v>31</v>
      </c>
      <c r="D583" s="7" t="s">
        <v>1248</v>
      </c>
      <c r="E583" s="4" t="s">
        <v>33</v>
      </c>
      <c r="F583" s="4" t="s">
        <v>4</v>
      </c>
      <c r="G583" s="8" t="n">
        <v>138.456043243408</v>
      </c>
      <c r="H583" s="6" t="n">
        <f aca="false">IF(G583="","",G583/SUMIFS($G$2:$G$1462,$F$2:$F$1462,"Served"))</f>
        <v>1.42720131384859E-005</v>
      </c>
      <c r="I583" s="4" t="n">
        <f aca="false">IF(G583="","",RANK(G583,$G$2:$G$1462,0))</f>
        <v>582</v>
      </c>
      <c r="J583" s="4" t="s">
        <v>34</v>
      </c>
    </row>
    <row r="584" customFormat="false" ht="15" hidden="false" customHeight="false" outlineLevel="0" collapsed="false">
      <c r="A584" s="4" t="s">
        <v>1249</v>
      </c>
      <c r="B584" s="4" t="s">
        <v>30</v>
      </c>
      <c r="C584" s="4" t="s">
        <v>31</v>
      </c>
      <c r="D584" s="7" t="s">
        <v>1250</v>
      </c>
      <c r="E584" s="4" t="s">
        <v>33</v>
      </c>
      <c r="F584" s="4" t="s">
        <v>4</v>
      </c>
      <c r="G584" s="8" t="n">
        <v>136.863224625588</v>
      </c>
      <c r="H584" s="6" t="n">
        <f aca="false">IF(G584="","",G584/SUMIFS($G$2:$G$1462,$F$2:$F$1462,"Served"))</f>
        <v>1.41078258071984E-005</v>
      </c>
      <c r="I584" s="4" t="n">
        <f aca="false">IF(G584="","",RANK(G584,$G$2:$G$1462,0))</f>
        <v>583</v>
      </c>
      <c r="J584" s="4" t="s">
        <v>34</v>
      </c>
    </row>
    <row r="585" customFormat="false" ht="15" hidden="false" customHeight="false" outlineLevel="0" collapsed="false">
      <c r="A585" s="4" t="s">
        <v>1251</v>
      </c>
      <c r="B585" s="4" t="s">
        <v>72</v>
      </c>
      <c r="C585" s="4" t="s">
        <v>73</v>
      </c>
      <c r="D585" s="7" t="s">
        <v>1252</v>
      </c>
      <c r="E585" s="4" t="s">
        <v>75</v>
      </c>
      <c r="F585" s="4" t="s">
        <v>4</v>
      </c>
      <c r="G585" s="8" t="n">
        <v>136.570195555687</v>
      </c>
      <c r="H585" s="6" t="n">
        <f aca="false">IF(G585="","",G585/SUMIFS($G$2:$G$1462,$F$2:$F$1462,"Served"))</f>
        <v>1.40776204464383E-005</v>
      </c>
      <c r="I585" s="4" t="n">
        <f aca="false">IF(G585="","",RANK(G585,$G$2:$G$1462,0))</f>
        <v>584</v>
      </c>
      <c r="J585" s="4" t="s">
        <v>34</v>
      </c>
    </row>
    <row r="586" customFormat="false" ht="15" hidden="false" customHeight="false" outlineLevel="0" collapsed="false">
      <c r="A586" s="4" t="s">
        <v>1253</v>
      </c>
      <c r="B586" s="4" t="s">
        <v>30</v>
      </c>
      <c r="C586" s="4" t="s">
        <v>31</v>
      </c>
      <c r="D586" s="7" t="s">
        <v>1254</v>
      </c>
      <c r="E586" s="4" t="s">
        <v>33</v>
      </c>
      <c r="F586" s="4" t="s">
        <v>4</v>
      </c>
      <c r="G586" s="8" t="n">
        <v>134.701662242413</v>
      </c>
      <c r="H586" s="6" t="n">
        <f aca="false">IF(G586="","",G586/SUMIFS($G$2:$G$1462,$F$2:$F$1462,"Served"))</f>
        <v>1.38850125156319E-005</v>
      </c>
      <c r="I586" s="4" t="n">
        <f aca="false">IF(G586="","",RANK(G586,$G$2:$G$1462,0))</f>
        <v>585</v>
      </c>
      <c r="J586" s="4" t="s">
        <v>34</v>
      </c>
    </row>
    <row r="587" customFormat="false" ht="15" hidden="false" customHeight="false" outlineLevel="0" collapsed="false">
      <c r="A587" s="4" t="s">
        <v>1255</v>
      </c>
      <c r="B587" s="4" t="s">
        <v>30</v>
      </c>
      <c r="C587" s="4" t="s">
        <v>31</v>
      </c>
      <c r="D587" s="7" t="s">
        <v>1256</v>
      </c>
      <c r="E587" s="4" t="s">
        <v>33</v>
      </c>
      <c r="F587" s="4" t="s">
        <v>4</v>
      </c>
      <c r="G587" s="8" t="n">
        <v>124.543590605259</v>
      </c>
      <c r="H587" s="6" t="n">
        <f aca="false">IF(G587="","",G587/SUMIFS($G$2:$G$1462,$F$2:$F$1462,"Served"))</f>
        <v>1.28379211177341E-005</v>
      </c>
      <c r="I587" s="4" t="n">
        <f aca="false">IF(G587="","",RANK(G587,$G$2:$G$1462,0))</f>
        <v>586</v>
      </c>
      <c r="J587" s="4" t="s">
        <v>34</v>
      </c>
    </row>
    <row r="588" customFormat="false" ht="15" hidden="false" customHeight="false" outlineLevel="0" collapsed="false">
      <c r="A588" s="4" t="s">
        <v>1257</v>
      </c>
      <c r="B588" s="4" t="s">
        <v>321</v>
      </c>
      <c r="C588" s="4" t="s">
        <v>322</v>
      </c>
      <c r="D588" s="7" t="s">
        <v>1258</v>
      </c>
      <c r="E588" s="4" t="s">
        <v>324</v>
      </c>
      <c r="F588" s="4" t="s">
        <v>4</v>
      </c>
      <c r="G588" s="8" t="n">
        <v>121.839325964451</v>
      </c>
      <c r="H588" s="6" t="n">
        <f aca="false">IF(G588="","",G588/SUMIFS($G$2:$G$1462,$F$2:$F$1462,"Served"))</f>
        <v>1.25591662177714E-005</v>
      </c>
      <c r="I588" s="4" t="n">
        <f aca="false">IF(G588="","",RANK(G588,$G$2:$G$1462,0))</f>
        <v>587</v>
      </c>
      <c r="J588" s="4" t="s">
        <v>34</v>
      </c>
    </row>
    <row r="589" customFormat="false" ht="15" hidden="false" customHeight="false" outlineLevel="0" collapsed="false">
      <c r="A589" s="4" t="s">
        <v>1259</v>
      </c>
      <c r="B589" s="4" t="s">
        <v>30</v>
      </c>
      <c r="C589" s="4" t="s">
        <v>31</v>
      </c>
      <c r="D589" s="7" t="s">
        <v>1260</v>
      </c>
      <c r="E589" s="4" t="s">
        <v>33</v>
      </c>
      <c r="F589" s="4" t="s">
        <v>4</v>
      </c>
      <c r="G589" s="8" t="n">
        <v>118.045318722725</v>
      </c>
      <c r="H589" s="6" t="n">
        <f aca="false">IF(G589="","",G589/SUMIFS($G$2:$G$1462,$F$2:$F$1462,"Served"))</f>
        <v>1.21680809322687E-005</v>
      </c>
      <c r="I589" s="4" t="n">
        <f aca="false">IF(G589="","",RANK(G589,$G$2:$G$1462,0))</f>
        <v>588</v>
      </c>
      <c r="J589" s="4" t="s">
        <v>34</v>
      </c>
    </row>
    <row r="590" customFormat="false" ht="15" hidden="false" customHeight="false" outlineLevel="0" collapsed="false">
      <c r="A590" s="4" t="s">
        <v>1261</v>
      </c>
      <c r="B590" s="4" t="s">
        <v>132</v>
      </c>
      <c r="C590" s="4" t="s">
        <v>133</v>
      </c>
      <c r="D590" s="7" t="s">
        <v>1262</v>
      </c>
      <c r="E590" s="4" t="s">
        <v>135</v>
      </c>
      <c r="F590" s="4" t="s">
        <v>4</v>
      </c>
      <c r="G590" s="8" t="n">
        <v>108.986140489578</v>
      </c>
      <c r="H590" s="6" t="n">
        <f aca="false">IF(G590="","",G590/SUMIFS($G$2:$G$1462,$F$2:$F$1462,"Served"))</f>
        <v>1.12342631823272E-005</v>
      </c>
      <c r="I590" s="4" t="n">
        <f aca="false">IF(G590="","",RANK(G590,$G$2:$G$1462,0))</f>
        <v>589</v>
      </c>
      <c r="J590" s="4" t="s">
        <v>34</v>
      </c>
    </row>
    <row r="591" customFormat="false" ht="15" hidden="false" customHeight="false" outlineLevel="0" collapsed="false">
      <c r="A591" s="4" t="s">
        <v>1263</v>
      </c>
      <c r="B591" s="4" t="s">
        <v>321</v>
      </c>
      <c r="C591" s="4" t="s">
        <v>322</v>
      </c>
      <c r="D591" s="7" t="s">
        <v>1264</v>
      </c>
      <c r="E591" s="4" t="s">
        <v>324</v>
      </c>
      <c r="F591" s="4" t="s">
        <v>4</v>
      </c>
      <c r="G591" s="8" t="n">
        <v>107.180834770203</v>
      </c>
      <c r="H591" s="6" t="n">
        <f aca="false">IF(G591="","",G591/SUMIFS($G$2:$G$1462,$F$2:$F$1462,"Served"))</f>
        <v>1.10481727355519E-005</v>
      </c>
      <c r="I591" s="4" t="n">
        <f aca="false">IF(G591="","",RANK(G591,$G$2:$G$1462,0))</f>
        <v>590</v>
      </c>
      <c r="J591" s="4" t="s">
        <v>34</v>
      </c>
    </row>
    <row r="592" customFormat="false" ht="15" hidden="false" customHeight="false" outlineLevel="0" collapsed="false">
      <c r="A592" s="4" t="s">
        <v>1265</v>
      </c>
      <c r="B592" s="4" t="s">
        <v>30</v>
      </c>
      <c r="C592" s="4" t="s">
        <v>31</v>
      </c>
      <c r="D592" s="7" t="s">
        <v>1266</v>
      </c>
      <c r="E592" s="4" t="s">
        <v>33</v>
      </c>
      <c r="F592" s="4" t="s">
        <v>4</v>
      </c>
      <c r="G592" s="8" t="n">
        <v>104.32421502471</v>
      </c>
      <c r="H592" s="6" t="n">
        <f aca="false">IF(G592="","",G592/SUMIFS($G$2:$G$1462,$F$2:$F$1462,"Served"))</f>
        <v>1.0753713110791E-005</v>
      </c>
      <c r="I592" s="4" t="n">
        <f aca="false">IF(G592="","",RANK(G592,$G$2:$G$1462,0))</f>
        <v>591</v>
      </c>
      <c r="J592" s="4" t="s">
        <v>34</v>
      </c>
    </row>
    <row r="593" customFormat="false" ht="15" hidden="false" customHeight="false" outlineLevel="0" collapsed="false">
      <c r="A593" s="4" t="s">
        <v>1267</v>
      </c>
      <c r="B593" s="4" t="s">
        <v>30</v>
      </c>
      <c r="C593" s="4" t="s">
        <v>737</v>
      </c>
      <c r="D593" s="7" t="s">
        <v>1268</v>
      </c>
      <c r="E593" s="4" t="s">
        <v>33</v>
      </c>
      <c r="F593" s="4" t="s">
        <v>4</v>
      </c>
      <c r="G593" s="8" t="n">
        <v>101.09704053402</v>
      </c>
      <c r="H593" s="6" t="n">
        <f aca="false">IF(G593="","",G593/SUMIFS($G$2:$G$1462,$F$2:$F$1462,"Served"))</f>
        <v>1.04210567987054E-005</v>
      </c>
      <c r="I593" s="4" t="n">
        <f aca="false">IF(G593="","",RANK(G593,$G$2:$G$1462,0))</f>
        <v>592</v>
      </c>
      <c r="J593" s="4" t="s">
        <v>34</v>
      </c>
    </row>
    <row r="594" customFormat="false" ht="15" hidden="false" customHeight="false" outlineLevel="0" collapsed="false">
      <c r="A594" s="4" t="s">
        <v>1269</v>
      </c>
      <c r="B594" s="4" t="s">
        <v>30</v>
      </c>
      <c r="C594" s="4" t="s">
        <v>31</v>
      </c>
      <c r="D594" s="7" t="s">
        <v>1270</v>
      </c>
      <c r="E594" s="4" t="s">
        <v>33</v>
      </c>
      <c r="F594" s="4" t="s">
        <v>4</v>
      </c>
      <c r="G594" s="8" t="n">
        <v>90.8715962171555</v>
      </c>
      <c r="H594" s="6" t="n">
        <f aca="false">IF(G594="","",G594/SUMIFS($G$2:$G$1462,$F$2:$F$1462,"Served"))</f>
        <v>9.36702064240284E-006</v>
      </c>
      <c r="I594" s="4" t="n">
        <f aca="false">IF(G594="","",RANK(G594,$G$2:$G$1462,0))</f>
        <v>593</v>
      </c>
      <c r="J594" s="4" t="s">
        <v>34</v>
      </c>
    </row>
    <row r="595" customFormat="false" ht="15" hidden="false" customHeight="false" outlineLevel="0" collapsed="false">
      <c r="A595" s="4" t="s">
        <v>1271</v>
      </c>
      <c r="B595" s="4" t="s">
        <v>321</v>
      </c>
      <c r="C595" s="4" t="s">
        <v>322</v>
      </c>
      <c r="D595" s="7" t="s">
        <v>1272</v>
      </c>
      <c r="E595" s="4" t="s">
        <v>324</v>
      </c>
      <c r="F595" s="4" t="s">
        <v>4</v>
      </c>
      <c r="G595" s="8" t="n">
        <v>87.4279885292053</v>
      </c>
      <c r="H595" s="6" t="n">
        <f aca="false">IF(G595="","",G595/SUMIFS($G$2:$G$1462,$F$2:$F$1462,"Served"))</f>
        <v>9.01205445230441E-006</v>
      </c>
      <c r="I595" s="4" t="n">
        <f aca="false">IF(G595="","",RANK(G595,$G$2:$G$1462,0))</f>
        <v>594</v>
      </c>
      <c r="J595" s="4" t="s">
        <v>34</v>
      </c>
    </row>
    <row r="596" customFormat="false" ht="15" hidden="false" customHeight="false" outlineLevel="0" collapsed="false">
      <c r="A596" s="4" t="s">
        <v>1273</v>
      </c>
      <c r="B596" s="4" t="s">
        <v>30</v>
      </c>
      <c r="C596" s="4" t="s">
        <v>31</v>
      </c>
      <c r="D596" s="7" t="s">
        <v>1274</v>
      </c>
      <c r="E596" s="4" t="s">
        <v>33</v>
      </c>
      <c r="F596" s="4" t="s">
        <v>4</v>
      </c>
      <c r="G596" s="8" t="n">
        <v>72.4767825603485</v>
      </c>
      <c r="H596" s="6" t="n">
        <f aca="false">IF(G596="","",G596/SUMIFS($G$2:$G$1462,$F$2:$F$1462,"Served"))</f>
        <v>7.47088800680228E-006</v>
      </c>
      <c r="I596" s="4" t="n">
        <f aca="false">IF(G596="","",RANK(G596,$G$2:$G$1462,0))</f>
        <v>595</v>
      </c>
      <c r="J596" s="4" t="s">
        <v>34</v>
      </c>
    </row>
    <row r="597" customFormat="false" ht="15" hidden="false" customHeight="false" outlineLevel="0" collapsed="false">
      <c r="A597" s="4" t="s">
        <v>1275</v>
      </c>
      <c r="B597" s="4" t="s">
        <v>30</v>
      </c>
      <c r="C597" s="4" t="s">
        <v>31</v>
      </c>
      <c r="D597" s="7" t="s">
        <v>1276</v>
      </c>
      <c r="E597" s="4" t="s">
        <v>33</v>
      </c>
      <c r="F597" s="4" t="s">
        <v>4</v>
      </c>
      <c r="G597" s="8" t="n">
        <v>71.411628305912</v>
      </c>
      <c r="H597" s="6" t="n">
        <f aca="false">IF(G597="","",G597/SUMIFS($G$2:$G$1462,$F$2:$F$1462,"Served"))</f>
        <v>7.3610921816601E-006</v>
      </c>
      <c r="I597" s="4" t="n">
        <f aca="false">IF(G597="","",RANK(G597,$G$2:$G$1462,0))</f>
        <v>596</v>
      </c>
      <c r="J597" s="4" t="s">
        <v>34</v>
      </c>
    </row>
    <row r="598" customFormat="false" ht="15" hidden="false" customHeight="false" outlineLevel="0" collapsed="false">
      <c r="A598" s="4" t="s">
        <v>1277</v>
      </c>
      <c r="B598" s="4" t="s">
        <v>30</v>
      </c>
      <c r="C598" s="4" t="s">
        <v>31</v>
      </c>
      <c r="D598" s="7" t="s">
        <v>1278</v>
      </c>
      <c r="E598" s="4" t="s">
        <v>33</v>
      </c>
      <c r="F598" s="4" t="s">
        <v>4</v>
      </c>
      <c r="G598" s="8" t="n">
        <v>67.9038976430893</v>
      </c>
      <c r="H598" s="6" t="n">
        <f aca="false">IF(G598="","",G598/SUMIFS($G$2:$G$1462,$F$2:$F$1462,"Served"))</f>
        <v>6.99951621189138E-006</v>
      </c>
      <c r="I598" s="4" t="n">
        <f aca="false">IF(G598="","",RANK(G598,$G$2:$G$1462,0))</f>
        <v>597</v>
      </c>
      <c r="J598" s="4" t="s">
        <v>34</v>
      </c>
    </row>
    <row r="599" customFormat="false" ht="15" hidden="false" customHeight="false" outlineLevel="0" collapsed="false">
      <c r="A599" s="4" t="s">
        <v>1279</v>
      </c>
      <c r="B599" s="4" t="s">
        <v>321</v>
      </c>
      <c r="C599" s="4" t="s">
        <v>322</v>
      </c>
      <c r="D599" s="7" t="s">
        <v>1280</v>
      </c>
      <c r="E599" s="4" t="s">
        <v>324</v>
      </c>
      <c r="F599" s="4" t="s">
        <v>4</v>
      </c>
      <c r="G599" s="8" t="n">
        <v>64.5794140696526</v>
      </c>
      <c r="H599" s="6" t="n">
        <f aca="false">IF(G599="","",G599/SUMIFS($G$2:$G$1462,$F$2:$F$1462,"Served"))</f>
        <v>6.65682930471639E-006</v>
      </c>
      <c r="I599" s="4" t="n">
        <f aca="false">IF(G599="","",RANK(G599,$G$2:$G$1462,0))</f>
        <v>598</v>
      </c>
      <c r="J599" s="4" t="s">
        <v>34</v>
      </c>
    </row>
    <row r="600" customFormat="false" ht="15" hidden="false" customHeight="false" outlineLevel="0" collapsed="false">
      <c r="A600" s="4" t="s">
        <v>1281</v>
      </c>
      <c r="B600" s="4" t="s">
        <v>30</v>
      </c>
      <c r="C600" s="4" t="s">
        <v>31</v>
      </c>
      <c r="D600" s="7" t="s">
        <v>1282</v>
      </c>
      <c r="E600" s="4" t="s">
        <v>33</v>
      </c>
      <c r="F600" s="4" t="s">
        <v>4</v>
      </c>
      <c r="G600" s="8" t="n">
        <v>62.0752003192902</v>
      </c>
      <c r="H600" s="6" t="n">
        <f aca="false">IF(G600="","",G600/SUMIFS($G$2:$G$1462,$F$2:$F$1462,"Served"))</f>
        <v>6.39869559881583E-006</v>
      </c>
      <c r="I600" s="4" t="n">
        <f aca="false">IF(G600="","",RANK(G600,$G$2:$G$1462,0))</f>
        <v>599</v>
      </c>
      <c r="J600" s="4" t="s">
        <v>34</v>
      </c>
    </row>
    <row r="601" customFormat="false" ht="15" hidden="false" customHeight="false" outlineLevel="0" collapsed="false">
      <c r="A601" s="4" t="s">
        <v>1283</v>
      </c>
      <c r="B601" s="4" t="s">
        <v>30</v>
      </c>
      <c r="C601" s="4" t="s">
        <v>31</v>
      </c>
      <c r="D601" s="7" t="s">
        <v>1284</v>
      </c>
      <c r="E601" s="4" t="s">
        <v>33</v>
      </c>
      <c r="F601" s="4" t="s">
        <v>4</v>
      </c>
      <c r="G601" s="8" t="n">
        <v>58.8565456271172</v>
      </c>
      <c r="H601" s="6" t="n">
        <f aca="false">IF(G601="","",G601/SUMIFS($G$2:$G$1462,$F$2:$F$1462,"Served"))</f>
        <v>6.06691750535851E-006</v>
      </c>
      <c r="I601" s="4" t="n">
        <f aca="false">IF(G601="","",RANK(G601,$G$2:$G$1462,0))</f>
        <v>600</v>
      </c>
      <c r="J601" s="4" t="s">
        <v>34</v>
      </c>
    </row>
    <row r="602" customFormat="false" ht="15" hidden="false" customHeight="false" outlineLevel="0" collapsed="false">
      <c r="A602" s="4" t="s">
        <v>1285</v>
      </c>
      <c r="B602" s="4" t="s">
        <v>171</v>
      </c>
      <c r="C602" s="4" t="s">
        <v>249</v>
      </c>
      <c r="D602" s="7" t="s">
        <v>1286</v>
      </c>
      <c r="E602" s="4" t="s">
        <v>33</v>
      </c>
      <c r="F602" s="4" t="s">
        <v>4</v>
      </c>
      <c r="G602" s="8" t="n">
        <v>58.0073667764664</v>
      </c>
      <c r="H602" s="6" t="n">
        <f aca="false">IF(G602="","",G602/SUMIFS($G$2:$G$1462,$F$2:$F$1462,"Served"))</f>
        <v>5.97938436899619E-006</v>
      </c>
      <c r="I602" s="4" t="n">
        <f aca="false">IF(G602="","",RANK(G602,$G$2:$G$1462,0))</f>
        <v>601</v>
      </c>
      <c r="J602" s="4" t="s">
        <v>34</v>
      </c>
    </row>
    <row r="603" customFormat="false" ht="15" hidden="false" customHeight="false" outlineLevel="0" collapsed="false">
      <c r="A603" s="4" t="s">
        <v>1287</v>
      </c>
      <c r="B603" s="4" t="s">
        <v>30</v>
      </c>
      <c r="C603" s="4" t="s">
        <v>31</v>
      </c>
      <c r="D603" s="7" t="s">
        <v>1288</v>
      </c>
      <c r="E603" s="4" t="s">
        <v>33</v>
      </c>
      <c r="F603" s="4" t="s">
        <v>4</v>
      </c>
      <c r="G603" s="8" t="n">
        <v>56.1652902364731</v>
      </c>
      <c r="H603" s="6" t="n">
        <f aca="false">IF(G603="","",G603/SUMIFS($G$2:$G$1462,$F$2:$F$1462,"Served"))</f>
        <v>5.789503595539E-006</v>
      </c>
      <c r="I603" s="4" t="n">
        <f aca="false">IF(G603="","",RANK(G603,$G$2:$G$1462,0))</f>
        <v>602</v>
      </c>
      <c r="J603" s="4" t="s">
        <v>34</v>
      </c>
    </row>
    <row r="604" customFormat="false" ht="15" hidden="false" customHeight="false" outlineLevel="0" collapsed="false">
      <c r="A604" s="4" t="s">
        <v>1289</v>
      </c>
      <c r="B604" s="4" t="s">
        <v>321</v>
      </c>
      <c r="C604" s="4" t="s">
        <v>322</v>
      </c>
      <c r="D604" s="7" t="s">
        <v>1290</v>
      </c>
      <c r="E604" s="4" t="s">
        <v>324</v>
      </c>
      <c r="F604" s="4" t="s">
        <v>4</v>
      </c>
      <c r="G604" s="8" t="n">
        <v>54.9117852449417</v>
      </c>
      <c r="H604" s="6" t="n">
        <f aca="false">IF(G604="","",G604/SUMIFS($G$2:$G$1462,$F$2:$F$1462,"Served"))</f>
        <v>5.66029262511684E-006</v>
      </c>
      <c r="I604" s="4" t="n">
        <f aca="false">IF(G604="","",RANK(G604,$G$2:$G$1462,0))</f>
        <v>603</v>
      </c>
      <c r="J604" s="4" t="s">
        <v>34</v>
      </c>
    </row>
    <row r="605" customFormat="false" ht="15" hidden="false" customHeight="false" outlineLevel="0" collapsed="false">
      <c r="A605" s="4" t="s">
        <v>1291</v>
      </c>
      <c r="B605" s="4" t="s">
        <v>30</v>
      </c>
      <c r="C605" s="4" t="s">
        <v>31</v>
      </c>
      <c r="D605" s="7" t="s">
        <v>1292</v>
      </c>
      <c r="E605" s="4" t="s">
        <v>33</v>
      </c>
      <c r="F605" s="4" t="s">
        <v>4</v>
      </c>
      <c r="G605" s="8" t="n">
        <v>53.8481128811836</v>
      </c>
      <c r="H605" s="6" t="n">
        <f aca="false">IF(G605="","",G605/SUMIFS($G$2:$G$1462,$F$2:$F$1462,"Served"))</f>
        <v>5.55064955288263E-006</v>
      </c>
      <c r="I605" s="4" t="n">
        <f aca="false">IF(G605="","",RANK(G605,$G$2:$G$1462,0))</f>
        <v>604</v>
      </c>
      <c r="J605" s="4" t="s">
        <v>34</v>
      </c>
    </row>
    <row r="606" customFormat="false" ht="15" hidden="false" customHeight="false" outlineLevel="0" collapsed="false">
      <c r="A606" s="4" t="s">
        <v>1293</v>
      </c>
      <c r="B606" s="4" t="s">
        <v>171</v>
      </c>
      <c r="C606" s="4" t="s">
        <v>249</v>
      </c>
      <c r="D606" s="7" t="s">
        <v>1294</v>
      </c>
      <c r="E606" s="4" t="s">
        <v>33</v>
      </c>
      <c r="F606" s="4" t="s">
        <v>4</v>
      </c>
      <c r="G606" s="8" t="n">
        <v>47.7709797024727</v>
      </c>
      <c r="H606" s="6" t="n">
        <f aca="false">IF(G606="","",G606/SUMIFS($G$2:$G$1462,$F$2:$F$1462,"Served"))</f>
        <v>4.92422023611809E-006</v>
      </c>
      <c r="I606" s="4" t="n">
        <f aca="false">IF(G606="","",RANK(G606,$G$2:$G$1462,0))</f>
        <v>605</v>
      </c>
      <c r="J606" s="4" t="s">
        <v>34</v>
      </c>
    </row>
    <row r="607" customFormat="false" ht="15" hidden="false" customHeight="false" outlineLevel="0" collapsed="false">
      <c r="A607" s="4" t="s">
        <v>1295</v>
      </c>
      <c r="B607" s="4" t="s">
        <v>321</v>
      </c>
      <c r="C607" s="4" t="s">
        <v>322</v>
      </c>
      <c r="D607" s="7" t="s">
        <v>1296</v>
      </c>
      <c r="E607" s="4" t="s">
        <v>324</v>
      </c>
      <c r="F607" s="4" t="s">
        <v>4</v>
      </c>
      <c r="G607" s="8" t="n">
        <v>45.3901219964027</v>
      </c>
      <c r="H607" s="6" t="n">
        <f aca="false">IF(G607="","",G607/SUMIFS($G$2:$G$1462,$F$2:$F$1462,"Served"))</f>
        <v>4.67880203936839E-006</v>
      </c>
      <c r="I607" s="4" t="n">
        <f aca="false">IF(G607="","",RANK(G607,$G$2:$G$1462,0))</f>
        <v>606</v>
      </c>
      <c r="J607" s="4" t="s">
        <v>34</v>
      </c>
    </row>
    <row r="608" customFormat="false" ht="15" hidden="false" customHeight="false" outlineLevel="0" collapsed="false">
      <c r="A608" s="4" t="s">
        <v>1297</v>
      </c>
      <c r="B608" s="4" t="s">
        <v>72</v>
      </c>
      <c r="C608" s="4" t="s">
        <v>73</v>
      </c>
      <c r="D608" s="7" t="s">
        <v>1298</v>
      </c>
      <c r="E608" s="4" t="s">
        <v>75</v>
      </c>
      <c r="F608" s="4" t="s">
        <v>4</v>
      </c>
      <c r="G608" s="8" t="n">
        <v>43.4883484244347</v>
      </c>
      <c r="H608" s="6" t="n">
        <f aca="false">IF(G608="","",G608/SUMIFS($G$2:$G$1462,$F$2:$F$1462,"Served"))</f>
        <v>4.48276771129043E-006</v>
      </c>
      <c r="I608" s="4" t="n">
        <f aca="false">IF(G608="","",RANK(G608,$G$2:$G$1462,0))</f>
        <v>607</v>
      </c>
      <c r="J608" s="4" t="s">
        <v>34</v>
      </c>
    </row>
    <row r="609" customFormat="false" ht="15" hidden="false" customHeight="false" outlineLevel="0" collapsed="false">
      <c r="A609" s="4" t="s">
        <v>1299</v>
      </c>
      <c r="B609" s="4" t="s">
        <v>30</v>
      </c>
      <c r="C609" s="4" t="s">
        <v>243</v>
      </c>
      <c r="D609" s="7" t="s">
        <v>1300</v>
      </c>
      <c r="E609" s="4" t="s">
        <v>33</v>
      </c>
      <c r="F609" s="4" t="s">
        <v>4</v>
      </c>
      <c r="G609" s="8" t="n">
        <v>35.2272702455521</v>
      </c>
      <c r="H609" s="6" t="n">
        <f aca="false">IF(G609="","",G609/SUMIFS($G$2:$G$1462,$F$2:$F$1462,"Served"))</f>
        <v>3.63121790858665E-006</v>
      </c>
      <c r="I609" s="4" t="n">
        <f aca="false">IF(G609="","",RANK(G609,$G$2:$G$1462,0))</f>
        <v>608</v>
      </c>
      <c r="J609" s="4" t="s">
        <v>34</v>
      </c>
    </row>
    <row r="610" customFormat="false" ht="15" hidden="false" customHeight="false" outlineLevel="0" collapsed="false">
      <c r="A610" s="4" t="s">
        <v>1301</v>
      </c>
      <c r="B610" s="4" t="s">
        <v>321</v>
      </c>
      <c r="C610" s="4" t="s">
        <v>322</v>
      </c>
      <c r="D610" s="7" t="s">
        <v>1302</v>
      </c>
      <c r="E610" s="4" t="s">
        <v>324</v>
      </c>
      <c r="F610" s="4" t="s">
        <v>4</v>
      </c>
      <c r="G610" s="8" t="n">
        <v>34.5320311188698</v>
      </c>
      <c r="H610" s="6" t="n">
        <f aca="false">IF(G610="","",G610/SUMIFS($G$2:$G$1462,$F$2:$F$1462,"Served"))</f>
        <v>3.55955283916851E-006</v>
      </c>
      <c r="I610" s="4" t="n">
        <f aca="false">IF(G610="","",RANK(G610,$G$2:$G$1462,0))</f>
        <v>609</v>
      </c>
      <c r="J610" s="4" t="s">
        <v>34</v>
      </c>
    </row>
    <row r="611" customFormat="false" ht="15" hidden="false" customHeight="false" outlineLevel="0" collapsed="false">
      <c r="A611" s="4" t="s">
        <v>1303</v>
      </c>
      <c r="B611" s="4" t="s">
        <v>321</v>
      </c>
      <c r="C611" s="4" t="s">
        <v>322</v>
      </c>
      <c r="D611" s="7" t="s">
        <v>1304</v>
      </c>
      <c r="E611" s="4" t="s">
        <v>324</v>
      </c>
      <c r="F611" s="4" t="s">
        <v>4</v>
      </c>
      <c r="G611" s="8" t="n">
        <v>26.144534945488</v>
      </c>
      <c r="H611" s="6" t="n">
        <f aca="false">IF(G611="","",G611/SUMIFS($G$2:$G$1462,$F$2:$F$1462,"Served"))</f>
        <v>2.69497190227825E-006</v>
      </c>
      <c r="I611" s="4" t="n">
        <f aca="false">IF(G611="","",RANK(G611,$G$2:$G$1462,0))</f>
        <v>610</v>
      </c>
      <c r="J611" s="4" t="s">
        <v>34</v>
      </c>
    </row>
    <row r="612" customFormat="false" ht="15" hidden="false" customHeight="false" outlineLevel="0" collapsed="false">
      <c r="A612" s="4" t="s">
        <v>1305</v>
      </c>
      <c r="B612" s="4" t="s">
        <v>171</v>
      </c>
      <c r="C612" s="4" t="s">
        <v>584</v>
      </c>
      <c r="D612" s="7" t="s">
        <v>1306</v>
      </c>
      <c r="E612" s="4" t="s">
        <v>33</v>
      </c>
      <c r="F612" s="4" t="s">
        <v>4</v>
      </c>
      <c r="G612" s="8" t="n">
        <v>25.7065681815147</v>
      </c>
      <c r="H612" s="6" t="n">
        <f aca="false">IF(G612="","",G612/SUMIFS($G$2:$G$1462,$F$2:$F$1462,"Served"))</f>
        <v>2.6498264014881E-006</v>
      </c>
      <c r="I612" s="4" t="n">
        <f aca="false">IF(G612="","",RANK(G612,$G$2:$G$1462,0))</f>
        <v>611</v>
      </c>
      <c r="J612" s="4" t="s">
        <v>34</v>
      </c>
    </row>
    <row r="613" customFormat="false" ht="15" hidden="false" customHeight="false" outlineLevel="0" collapsed="false">
      <c r="A613" s="4" t="s">
        <v>1307</v>
      </c>
      <c r="B613" s="4" t="s">
        <v>171</v>
      </c>
      <c r="C613" s="4" t="s">
        <v>249</v>
      </c>
      <c r="D613" s="7" t="s">
        <v>1308</v>
      </c>
      <c r="E613" s="4" t="s">
        <v>33</v>
      </c>
      <c r="F613" s="4" t="s">
        <v>4</v>
      </c>
      <c r="G613" s="8" t="n">
        <v>0</v>
      </c>
      <c r="H613" s="6" t="n">
        <f aca="false">IF(G613="","",G613/SUMIFS($G$2:$G$1462,$F$2:$F$1462,"Served"))</f>
        <v>0</v>
      </c>
      <c r="I613" s="4" t="n">
        <f aca="false">IF(G613="","",RANK(G613,$G$2:$G$1462,0))</f>
        <v>612</v>
      </c>
      <c r="J613" s="4" t="s">
        <v>34</v>
      </c>
    </row>
    <row r="614" customFormat="false" ht="15" hidden="false" customHeight="false" outlineLevel="0" collapsed="false">
      <c r="A614" s="4" t="s">
        <v>1309</v>
      </c>
      <c r="B614" s="4" t="s">
        <v>171</v>
      </c>
      <c r="C614" s="4" t="s">
        <v>341</v>
      </c>
      <c r="D614" s="7" t="s">
        <v>1310</v>
      </c>
      <c r="E614" s="4" t="s">
        <v>33</v>
      </c>
      <c r="F614" s="4" t="s">
        <v>4</v>
      </c>
      <c r="G614" s="8"/>
      <c r="H614" s="6" t="str">
        <f aca="false">IF(G614="","",G614/SUMIFS($G$2:$G$1462,$F$2:$F$1462,"Served"))</f>
        <v/>
      </c>
      <c r="I614" s="4" t="str">
        <f aca="false">IF(G614="","",RANK(G614,$G$2:$G$1462,0))</f>
        <v/>
      </c>
      <c r="J614" s="4" t="s">
        <v>34</v>
      </c>
    </row>
    <row r="615" customFormat="false" ht="15" hidden="false" customHeight="false" outlineLevel="0" collapsed="false">
      <c r="A615" s="4" t="s">
        <v>1311</v>
      </c>
      <c r="B615" s="4" t="s">
        <v>171</v>
      </c>
      <c r="C615" s="4" t="s">
        <v>341</v>
      </c>
      <c r="D615" s="7" t="s">
        <v>1312</v>
      </c>
      <c r="E615" s="4" t="s">
        <v>33</v>
      </c>
      <c r="F615" s="4" t="s">
        <v>4</v>
      </c>
      <c r="G615" s="8"/>
      <c r="H615" s="6" t="str">
        <f aca="false">IF(G615="","",G615/SUMIFS($G$2:$G$1462,$F$2:$F$1462,"Served"))</f>
        <v/>
      </c>
      <c r="I615" s="4" t="str">
        <f aca="false">IF(G615="","",RANK(G615,$G$2:$G$1462,0))</f>
        <v/>
      </c>
      <c r="J615" s="4" t="s">
        <v>34</v>
      </c>
    </row>
    <row r="616" customFormat="false" ht="15" hidden="false" customHeight="false" outlineLevel="0" collapsed="false">
      <c r="A616" s="4" t="s">
        <v>1313</v>
      </c>
      <c r="B616" s="4" t="s">
        <v>72</v>
      </c>
      <c r="C616" s="4" t="s">
        <v>73</v>
      </c>
      <c r="D616" s="7" t="s">
        <v>1314</v>
      </c>
      <c r="E616" s="4" t="s">
        <v>75</v>
      </c>
      <c r="F616" s="4" t="s">
        <v>4</v>
      </c>
      <c r="G616" s="8" t="n">
        <v>0</v>
      </c>
      <c r="H616" s="6" t="n">
        <f aca="false">IF(G616="","",G616/SUMIFS($G$2:$G$1462,$F$2:$F$1462,"Served"))</f>
        <v>0</v>
      </c>
      <c r="I616" s="4" t="n">
        <f aca="false">IF(G616="","",RANK(G616,$G$2:$G$1462,0))</f>
        <v>612</v>
      </c>
      <c r="J616" s="4" t="s">
        <v>34</v>
      </c>
    </row>
    <row r="617" customFormat="false" ht="15" hidden="false" customHeight="false" outlineLevel="0" collapsed="false">
      <c r="A617" s="4" t="s">
        <v>1315</v>
      </c>
      <c r="B617" s="4" t="s">
        <v>1316</v>
      </c>
      <c r="C617" s="4" t="s">
        <v>1317</v>
      </c>
      <c r="D617" s="7" t="s">
        <v>1318</v>
      </c>
      <c r="E617" s="4" t="s">
        <v>1319</v>
      </c>
      <c r="F617" s="4" t="s">
        <v>5</v>
      </c>
      <c r="G617" s="8"/>
      <c r="H617" s="6" t="str">
        <f aca="false">IF(G617="","",G617/SUMIFS($G$2:$G$1462,$F$2:$F$1462,"Served"))</f>
        <v/>
      </c>
      <c r="I617" s="4" t="str">
        <f aca="false">IF(G617="","",RANK(G617,$G$2:$G$1462,0))</f>
        <v/>
      </c>
      <c r="J617" s="4" t="s">
        <v>34</v>
      </c>
    </row>
    <row r="618" customFormat="false" ht="15" hidden="false" customHeight="false" outlineLevel="0" collapsed="false">
      <c r="A618" s="4" t="s">
        <v>1320</v>
      </c>
      <c r="B618" s="4" t="s">
        <v>1316</v>
      </c>
      <c r="C618" s="4" t="s">
        <v>1317</v>
      </c>
      <c r="D618" s="7" t="s">
        <v>1321</v>
      </c>
      <c r="E618" s="4" t="s">
        <v>1319</v>
      </c>
      <c r="F618" s="4" t="s">
        <v>5</v>
      </c>
      <c r="G618" s="8"/>
      <c r="H618" s="6" t="str">
        <f aca="false">IF(G618="","",G618/SUMIFS($G$2:$G$1462,$F$2:$F$1462,"Served"))</f>
        <v/>
      </c>
      <c r="I618" s="4" t="str">
        <f aca="false">IF(G618="","",RANK(G618,$G$2:$G$1462,0))</f>
        <v/>
      </c>
      <c r="J618" s="4" t="s">
        <v>34</v>
      </c>
    </row>
    <row r="619" customFormat="false" ht="15" hidden="false" customHeight="false" outlineLevel="0" collapsed="false">
      <c r="A619" s="4" t="s">
        <v>1322</v>
      </c>
      <c r="B619" s="4" t="s">
        <v>1316</v>
      </c>
      <c r="C619" s="4" t="s">
        <v>1317</v>
      </c>
      <c r="D619" s="7" t="s">
        <v>1323</v>
      </c>
      <c r="E619" s="4" t="s">
        <v>1319</v>
      </c>
      <c r="F619" s="4" t="s">
        <v>5</v>
      </c>
      <c r="G619" s="8"/>
      <c r="H619" s="6" t="str">
        <f aca="false">IF(G619="","",G619/SUMIFS($G$2:$G$1462,$F$2:$F$1462,"Served"))</f>
        <v/>
      </c>
      <c r="I619" s="4" t="str">
        <f aca="false">IF(G619="","",RANK(G619,$G$2:$G$1462,0))</f>
        <v/>
      </c>
      <c r="J619" s="4" t="s">
        <v>34</v>
      </c>
    </row>
    <row r="620" customFormat="false" ht="15" hidden="false" customHeight="false" outlineLevel="0" collapsed="false">
      <c r="A620" s="4" t="s">
        <v>1324</v>
      </c>
      <c r="B620" s="4" t="s">
        <v>1316</v>
      </c>
      <c r="C620" s="4" t="s">
        <v>1317</v>
      </c>
      <c r="D620" s="7" t="s">
        <v>1325</v>
      </c>
      <c r="E620" s="4" t="s">
        <v>1319</v>
      </c>
      <c r="F620" s="4" t="s">
        <v>5</v>
      </c>
      <c r="G620" s="8"/>
      <c r="H620" s="6" t="str">
        <f aca="false">IF(G620="","",G620/SUMIFS($G$2:$G$1462,$F$2:$F$1462,"Served"))</f>
        <v/>
      </c>
      <c r="I620" s="4" t="str">
        <f aca="false">IF(G620="","",RANK(G620,$G$2:$G$1462,0))</f>
        <v/>
      </c>
      <c r="J620" s="4" t="s">
        <v>34</v>
      </c>
    </row>
    <row r="621" customFormat="false" ht="15" hidden="false" customHeight="false" outlineLevel="0" collapsed="false">
      <c r="A621" s="4" t="s">
        <v>1326</v>
      </c>
      <c r="B621" s="4" t="s">
        <v>1316</v>
      </c>
      <c r="C621" s="4" t="s">
        <v>1317</v>
      </c>
      <c r="D621" s="7" t="s">
        <v>1327</v>
      </c>
      <c r="E621" s="4" t="s">
        <v>1319</v>
      </c>
      <c r="F621" s="4" t="s">
        <v>5</v>
      </c>
      <c r="G621" s="8"/>
      <c r="H621" s="6" t="str">
        <f aca="false">IF(G621="","",G621/SUMIFS($G$2:$G$1462,$F$2:$F$1462,"Served"))</f>
        <v/>
      </c>
      <c r="I621" s="4" t="str">
        <f aca="false">IF(G621="","",RANK(G621,$G$2:$G$1462,0))</f>
        <v/>
      </c>
      <c r="J621" s="4" t="s">
        <v>34</v>
      </c>
    </row>
    <row r="622" customFormat="false" ht="15" hidden="false" customHeight="false" outlineLevel="0" collapsed="false">
      <c r="A622" s="4" t="s">
        <v>1328</v>
      </c>
      <c r="B622" s="4" t="s">
        <v>1316</v>
      </c>
      <c r="C622" s="4" t="s">
        <v>1317</v>
      </c>
      <c r="D622" s="7" t="s">
        <v>1329</v>
      </c>
      <c r="E622" s="4" t="s">
        <v>1319</v>
      </c>
      <c r="F622" s="4" t="s">
        <v>5</v>
      </c>
      <c r="G622" s="8"/>
      <c r="H622" s="6" t="str">
        <f aca="false">IF(G622="","",G622/SUMIFS($G$2:$G$1462,$F$2:$F$1462,"Served"))</f>
        <v/>
      </c>
      <c r="I622" s="4" t="str">
        <f aca="false">IF(G622="","",RANK(G622,$G$2:$G$1462,0))</f>
        <v/>
      </c>
      <c r="J622" s="4" t="s">
        <v>34</v>
      </c>
    </row>
    <row r="623" customFormat="false" ht="15" hidden="false" customHeight="false" outlineLevel="0" collapsed="false">
      <c r="A623" s="4" t="s">
        <v>1330</v>
      </c>
      <c r="B623" s="4" t="s">
        <v>1316</v>
      </c>
      <c r="C623" s="4" t="s">
        <v>1317</v>
      </c>
      <c r="D623" s="7" t="s">
        <v>1331</v>
      </c>
      <c r="E623" s="4" t="s">
        <v>1319</v>
      </c>
      <c r="F623" s="4" t="s">
        <v>5</v>
      </c>
      <c r="G623" s="8"/>
      <c r="H623" s="6" t="str">
        <f aca="false">IF(G623="","",G623/SUMIFS($G$2:$G$1462,$F$2:$F$1462,"Served"))</f>
        <v/>
      </c>
      <c r="I623" s="4" t="str">
        <f aca="false">IF(G623="","",RANK(G623,$G$2:$G$1462,0))</f>
        <v/>
      </c>
      <c r="J623" s="4" t="s">
        <v>34</v>
      </c>
    </row>
    <row r="624" customFormat="false" ht="15" hidden="false" customHeight="false" outlineLevel="0" collapsed="false">
      <c r="A624" s="4" t="s">
        <v>1332</v>
      </c>
      <c r="B624" s="4" t="s">
        <v>1316</v>
      </c>
      <c r="C624" s="4" t="s">
        <v>1317</v>
      </c>
      <c r="D624" s="7" t="s">
        <v>1333</v>
      </c>
      <c r="E624" s="4" t="s">
        <v>1319</v>
      </c>
      <c r="F624" s="4" t="s">
        <v>5</v>
      </c>
      <c r="G624" s="8"/>
      <c r="H624" s="6" t="str">
        <f aca="false">IF(G624="","",G624/SUMIFS($G$2:$G$1462,$F$2:$F$1462,"Served"))</f>
        <v/>
      </c>
      <c r="I624" s="4" t="str">
        <f aca="false">IF(G624="","",RANK(G624,$G$2:$G$1462,0))</f>
        <v/>
      </c>
      <c r="J624" s="4" t="s">
        <v>34</v>
      </c>
    </row>
    <row r="625" customFormat="false" ht="15" hidden="false" customHeight="false" outlineLevel="0" collapsed="false">
      <c r="A625" s="4" t="s">
        <v>1334</v>
      </c>
      <c r="B625" s="4" t="s">
        <v>1316</v>
      </c>
      <c r="C625" s="4" t="s">
        <v>1317</v>
      </c>
      <c r="D625" s="7" t="s">
        <v>1335</v>
      </c>
      <c r="E625" s="4" t="s">
        <v>1319</v>
      </c>
      <c r="F625" s="4" t="s">
        <v>5</v>
      </c>
      <c r="G625" s="8"/>
      <c r="H625" s="6" t="str">
        <f aca="false">IF(G625="","",G625/SUMIFS($G$2:$G$1462,$F$2:$F$1462,"Served"))</f>
        <v/>
      </c>
      <c r="I625" s="4" t="str">
        <f aca="false">IF(G625="","",RANK(G625,$G$2:$G$1462,0))</f>
        <v/>
      </c>
      <c r="J625" s="4" t="s">
        <v>34</v>
      </c>
    </row>
    <row r="626" customFormat="false" ht="15" hidden="false" customHeight="false" outlineLevel="0" collapsed="false">
      <c r="A626" s="4" t="s">
        <v>1336</v>
      </c>
      <c r="B626" s="4" t="s">
        <v>1316</v>
      </c>
      <c r="C626" s="4" t="s">
        <v>1317</v>
      </c>
      <c r="D626" s="7" t="s">
        <v>1337</v>
      </c>
      <c r="E626" s="4" t="s">
        <v>1319</v>
      </c>
      <c r="F626" s="4" t="s">
        <v>5</v>
      </c>
      <c r="G626" s="8"/>
      <c r="H626" s="6" t="str">
        <f aca="false">IF(G626="","",G626/SUMIFS($G$2:$G$1462,$F$2:$F$1462,"Served"))</f>
        <v/>
      </c>
      <c r="I626" s="4" t="str">
        <f aca="false">IF(G626="","",RANK(G626,$G$2:$G$1462,0))</f>
        <v/>
      </c>
      <c r="J626" s="4" t="s">
        <v>34</v>
      </c>
    </row>
    <row r="627" customFormat="false" ht="15" hidden="false" customHeight="false" outlineLevel="0" collapsed="false">
      <c r="A627" s="4" t="s">
        <v>1338</v>
      </c>
      <c r="B627" s="4" t="s">
        <v>1316</v>
      </c>
      <c r="C627" s="4" t="s">
        <v>1317</v>
      </c>
      <c r="D627" s="7" t="s">
        <v>1339</v>
      </c>
      <c r="E627" s="4" t="s">
        <v>1319</v>
      </c>
      <c r="F627" s="4" t="s">
        <v>5</v>
      </c>
      <c r="G627" s="8"/>
      <c r="H627" s="6" t="str">
        <f aca="false">IF(G627="","",G627/SUMIFS($G$2:$G$1462,$F$2:$F$1462,"Served"))</f>
        <v/>
      </c>
      <c r="I627" s="4" t="str">
        <f aca="false">IF(G627="","",RANK(G627,$G$2:$G$1462,0))</f>
        <v/>
      </c>
      <c r="J627" s="4" t="s">
        <v>34</v>
      </c>
    </row>
    <row r="628" customFormat="false" ht="15" hidden="false" customHeight="false" outlineLevel="0" collapsed="false">
      <c r="A628" s="4" t="s">
        <v>1340</v>
      </c>
      <c r="B628" s="4" t="s">
        <v>1316</v>
      </c>
      <c r="C628" s="4" t="s">
        <v>1317</v>
      </c>
      <c r="D628" s="7" t="s">
        <v>1341</v>
      </c>
      <c r="E628" s="4" t="s">
        <v>1319</v>
      </c>
      <c r="F628" s="4" t="s">
        <v>5</v>
      </c>
      <c r="G628" s="8"/>
      <c r="H628" s="6" t="str">
        <f aca="false">IF(G628="","",G628/SUMIFS($G$2:$G$1462,$F$2:$F$1462,"Served"))</f>
        <v/>
      </c>
      <c r="I628" s="4" t="str">
        <f aca="false">IF(G628="","",RANK(G628,$G$2:$G$1462,0))</f>
        <v/>
      </c>
      <c r="J628" s="4" t="s">
        <v>34</v>
      </c>
    </row>
    <row r="629" customFormat="false" ht="15" hidden="false" customHeight="false" outlineLevel="0" collapsed="false">
      <c r="A629" s="4" t="s">
        <v>1342</v>
      </c>
      <c r="B629" s="4" t="s">
        <v>1316</v>
      </c>
      <c r="C629" s="4" t="s">
        <v>1317</v>
      </c>
      <c r="D629" s="7" t="s">
        <v>1343</v>
      </c>
      <c r="E629" s="4" t="s">
        <v>1319</v>
      </c>
      <c r="F629" s="4" t="s">
        <v>5</v>
      </c>
      <c r="G629" s="8"/>
      <c r="H629" s="6" t="str">
        <f aca="false">IF(G629="","",G629/SUMIFS($G$2:$G$1462,$F$2:$F$1462,"Served"))</f>
        <v/>
      </c>
      <c r="I629" s="4" t="str">
        <f aca="false">IF(G629="","",RANK(G629,$G$2:$G$1462,0))</f>
        <v/>
      </c>
      <c r="J629" s="4" t="s">
        <v>34</v>
      </c>
    </row>
    <row r="630" customFormat="false" ht="15" hidden="false" customHeight="false" outlineLevel="0" collapsed="false">
      <c r="A630" s="4" t="s">
        <v>1344</v>
      </c>
      <c r="B630" s="4" t="s">
        <v>1316</v>
      </c>
      <c r="C630" s="4" t="s">
        <v>1317</v>
      </c>
      <c r="D630" s="7" t="s">
        <v>1345</v>
      </c>
      <c r="E630" s="4" t="s">
        <v>1319</v>
      </c>
      <c r="F630" s="4" t="s">
        <v>5</v>
      </c>
      <c r="G630" s="8"/>
      <c r="H630" s="6" t="str">
        <f aca="false">IF(G630="","",G630/SUMIFS($G$2:$G$1462,$F$2:$F$1462,"Served"))</f>
        <v/>
      </c>
      <c r="I630" s="4" t="str">
        <f aca="false">IF(G630="","",RANK(G630,$G$2:$G$1462,0))</f>
        <v/>
      </c>
      <c r="J630" s="4" t="s">
        <v>34</v>
      </c>
    </row>
    <row r="631" customFormat="false" ht="15" hidden="false" customHeight="false" outlineLevel="0" collapsed="false">
      <c r="A631" s="4" t="s">
        <v>1346</v>
      </c>
      <c r="B631" s="4" t="s">
        <v>1316</v>
      </c>
      <c r="C631" s="4" t="s">
        <v>1317</v>
      </c>
      <c r="D631" s="7" t="s">
        <v>1347</v>
      </c>
      <c r="E631" s="4" t="s">
        <v>1319</v>
      </c>
      <c r="F631" s="4" t="s">
        <v>5</v>
      </c>
      <c r="G631" s="8"/>
      <c r="H631" s="6" t="str">
        <f aca="false">IF(G631="","",G631/SUMIFS($G$2:$G$1462,$F$2:$F$1462,"Served"))</f>
        <v/>
      </c>
      <c r="I631" s="4" t="str">
        <f aca="false">IF(G631="","",RANK(G631,$G$2:$G$1462,0))</f>
        <v/>
      </c>
      <c r="J631" s="4" t="s">
        <v>34</v>
      </c>
    </row>
    <row r="632" customFormat="false" ht="15" hidden="false" customHeight="false" outlineLevel="0" collapsed="false">
      <c r="A632" s="4" t="s">
        <v>1348</v>
      </c>
      <c r="B632" s="4" t="s">
        <v>1316</v>
      </c>
      <c r="C632" s="4" t="s">
        <v>1317</v>
      </c>
      <c r="D632" s="7" t="s">
        <v>1349</v>
      </c>
      <c r="E632" s="4" t="s">
        <v>1319</v>
      </c>
      <c r="F632" s="4" t="s">
        <v>5</v>
      </c>
      <c r="G632" s="8"/>
      <c r="H632" s="6" t="str">
        <f aca="false">IF(G632="","",G632/SUMIFS($G$2:$G$1462,$F$2:$F$1462,"Served"))</f>
        <v/>
      </c>
      <c r="I632" s="4" t="str">
        <f aca="false">IF(G632="","",RANK(G632,$G$2:$G$1462,0))</f>
        <v/>
      </c>
      <c r="J632" s="4" t="s">
        <v>34</v>
      </c>
    </row>
    <row r="633" customFormat="false" ht="15" hidden="false" customHeight="false" outlineLevel="0" collapsed="false">
      <c r="A633" s="4" t="s">
        <v>1350</v>
      </c>
      <c r="B633" s="4" t="s">
        <v>1316</v>
      </c>
      <c r="C633" s="4" t="s">
        <v>1317</v>
      </c>
      <c r="D633" s="7" t="s">
        <v>1351</v>
      </c>
      <c r="E633" s="4" t="s">
        <v>1319</v>
      </c>
      <c r="F633" s="4" t="s">
        <v>5</v>
      </c>
      <c r="G633" s="8"/>
      <c r="H633" s="6" t="str">
        <f aca="false">IF(G633="","",G633/SUMIFS($G$2:$G$1462,$F$2:$F$1462,"Served"))</f>
        <v/>
      </c>
      <c r="I633" s="4" t="str">
        <f aca="false">IF(G633="","",RANK(G633,$G$2:$G$1462,0))</f>
        <v/>
      </c>
      <c r="J633" s="4" t="s">
        <v>34</v>
      </c>
    </row>
    <row r="634" customFormat="false" ht="15" hidden="false" customHeight="false" outlineLevel="0" collapsed="false">
      <c r="A634" s="4" t="s">
        <v>1352</v>
      </c>
      <c r="B634" s="4" t="s">
        <v>1316</v>
      </c>
      <c r="C634" s="4" t="s">
        <v>1317</v>
      </c>
      <c r="D634" s="7" t="s">
        <v>1353</v>
      </c>
      <c r="E634" s="4" t="s">
        <v>1319</v>
      </c>
      <c r="F634" s="4" t="s">
        <v>5</v>
      </c>
      <c r="G634" s="8"/>
      <c r="H634" s="6" t="str">
        <f aca="false">IF(G634="","",G634/SUMIFS($G$2:$G$1462,$F$2:$F$1462,"Served"))</f>
        <v/>
      </c>
      <c r="I634" s="4" t="str">
        <f aca="false">IF(G634="","",RANK(G634,$G$2:$G$1462,0))</f>
        <v/>
      </c>
      <c r="J634" s="4" t="s">
        <v>34</v>
      </c>
    </row>
    <row r="635" customFormat="false" ht="15" hidden="false" customHeight="false" outlineLevel="0" collapsed="false">
      <c r="A635" s="4" t="s">
        <v>1354</v>
      </c>
      <c r="B635" s="4" t="s">
        <v>1316</v>
      </c>
      <c r="C635" s="4" t="s">
        <v>1317</v>
      </c>
      <c r="D635" s="7" t="s">
        <v>1355</v>
      </c>
      <c r="E635" s="4" t="s">
        <v>1319</v>
      </c>
      <c r="F635" s="4" t="s">
        <v>5</v>
      </c>
      <c r="G635" s="8"/>
      <c r="H635" s="6" t="str">
        <f aca="false">IF(G635="","",G635/SUMIFS($G$2:$G$1462,$F$2:$F$1462,"Served"))</f>
        <v/>
      </c>
      <c r="I635" s="4" t="str">
        <f aca="false">IF(G635="","",RANK(G635,$G$2:$G$1462,0))</f>
        <v/>
      </c>
      <c r="J635" s="4" t="s">
        <v>34</v>
      </c>
    </row>
    <row r="636" customFormat="false" ht="15" hidden="false" customHeight="false" outlineLevel="0" collapsed="false">
      <c r="A636" s="4" t="s">
        <v>1356</v>
      </c>
      <c r="B636" s="4" t="s">
        <v>1316</v>
      </c>
      <c r="C636" s="4" t="s">
        <v>1317</v>
      </c>
      <c r="D636" s="7" t="s">
        <v>1357</v>
      </c>
      <c r="E636" s="4" t="s">
        <v>1319</v>
      </c>
      <c r="F636" s="4" t="s">
        <v>5</v>
      </c>
      <c r="G636" s="8"/>
      <c r="H636" s="6" t="str">
        <f aca="false">IF(G636="","",G636/SUMIFS($G$2:$G$1462,$F$2:$F$1462,"Served"))</f>
        <v/>
      </c>
      <c r="I636" s="4" t="str">
        <f aca="false">IF(G636="","",RANK(G636,$G$2:$G$1462,0))</f>
        <v/>
      </c>
      <c r="J636" s="4" t="s">
        <v>34</v>
      </c>
    </row>
    <row r="637" customFormat="false" ht="15" hidden="false" customHeight="false" outlineLevel="0" collapsed="false">
      <c r="A637" s="4" t="s">
        <v>1358</v>
      </c>
      <c r="B637" s="4" t="s">
        <v>1316</v>
      </c>
      <c r="C637" s="4" t="s">
        <v>1317</v>
      </c>
      <c r="D637" s="7" t="s">
        <v>1359</v>
      </c>
      <c r="E637" s="4" t="s">
        <v>1319</v>
      </c>
      <c r="F637" s="4" t="s">
        <v>5</v>
      </c>
      <c r="G637" s="8"/>
      <c r="H637" s="6" t="str">
        <f aca="false">IF(G637="","",G637/SUMIFS($G$2:$G$1462,$F$2:$F$1462,"Served"))</f>
        <v/>
      </c>
      <c r="I637" s="4" t="str">
        <f aca="false">IF(G637="","",RANK(G637,$G$2:$G$1462,0))</f>
        <v/>
      </c>
      <c r="J637" s="4" t="s">
        <v>34</v>
      </c>
    </row>
    <row r="638" customFormat="false" ht="15" hidden="false" customHeight="false" outlineLevel="0" collapsed="false">
      <c r="A638" s="4" t="s">
        <v>1360</v>
      </c>
      <c r="B638" s="4" t="s">
        <v>1316</v>
      </c>
      <c r="C638" s="4" t="s">
        <v>1317</v>
      </c>
      <c r="D638" s="7" t="s">
        <v>1361</v>
      </c>
      <c r="E638" s="4" t="s">
        <v>1319</v>
      </c>
      <c r="F638" s="4" t="s">
        <v>5</v>
      </c>
      <c r="G638" s="8"/>
      <c r="H638" s="6" t="str">
        <f aca="false">IF(G638="","",G638/SUMIFS($G$2:$G$1462,$F$2:$F$1462,"Served"))</f>
        <v/>
      </c>
      <c r="I638" s="4" t="str">
        <f aca="false">IF(G638="","",RANK(G638,$G$2:$G$1462,0))</f>
        <v/>
      </c>
      <c r="J638" s="4" t="s">
        <v>34</v>
      </c>
    </row>
    <row r="639" customFormat="false" ht="15" hidden="false" customHeight="false" outlineLevel="0" collapsed="false">
      <c r="A639" s="4" t="s">
        <v>1362</v>
      </c>
      <c r="B639" s="4" t="s">
        <v>1316</v>
      </c>
      <c r="C639" s="4" t="s">
        <v>1317</v>
      </c>
      <c r="D639" s="7" t="s">
        <v>1363</v>
      </c>
      <c r="E639" s="4" t="s">
        <v>1319</v>
      </c>
      <c r="F639" s="4" t="s">
        <v>5</v>
      </c>
      <c r="G639" s="8"/>
      <c r="H639" s="6" t="str">
        <f aca="false">IF(G639="","",G639/SUMIFS($G$2:$G$1462,$F$2:$F$1462,"Served"))</f>
        <v/>
      </c>
      <c r="I639" s="4" t="str">
        <f aca="false">IF(G639="","",RANK(G639,$G$2:$G$1462,0))</f>
        <v/>
      </c>
      <c r="J639" s="4" t="s">
        <v>34</v>
      </c>
    </row>
    <row r="640" customFormat="false" ht="15" hidden="false" customHeight="false" outlineLevel="0" collapsed="false">
      <c r="A640" s="4" t="s">
        <v>1364</v>
      </c>
      <c r="B640" s="4" t="s">
        <v>1316</v>
      </c>
      <c r="C640" s="4" t="s">
        <v>1317</v>
      </c>
      <c r="D640" s="7" t="s">
        <v>1365</v>
      </c>
      <c r="E640" s="4" t="s">
        <v>1319</v>
      </c>
      <c r="F640" s="4" t="s">
        <v>5</v>
      </c>
      <c r="G640" s="8"/>
      <c r="H640" s="6" t="str">
        <f aca="false">IF(G640="","",G640/SUMIFS($G$2:$G$1462,$F$2:$F$1462,"Served"))</f>
        <v/>
      </c>
      <c r="I640" s="4" t="str">
        <f aca="false">IF(G640="","",RANK(G640,$G$2:$G$1462,0))</f>
        <v/>
      </c>
      <c r="J640" s="4" t="s">
        <v>34</v>
      </c>
    </row>
    <row r="641" customFormat="false" ht="15" hidden="false" customHeight="false" outlineLevel="0" collapsed="false">
      <c r="A641" s="4" t="s">
        <v>1366</v>
      </c>
      <c r="B641" s="4" t="s">
        <v>1316</v>
      </c>
      <c r="C641" s="4" t="s">
        <v>1317</v>
      </c>
      <c r="D641" s="7" t="s">
        <v>1367</v>
      </c>
      <c r="E641" s="4" t="s">
        <v>1319</v>
      </c>
      <c r="F641" s="4" t="s">
        <v>5</v>
      </c>
      <c r="G641" s="8"/>
      <c r="H641" s="6" t="str">
        <f aca="false">IF(G641="","",G641/SUMIFS($G$2:$G$1462,$F$2:$F$1462,"Served"))</f>
        <v/>
      </c>
      <c r="I641" s="4" t="str">
        <f aca="false">IF(G641="","",RANK(G641,$G$2:$G$1462,0))</f>
        <v/>
      </c>
      <c r="J641" s="4" t="s">
        <v>34</v>
      </c>
    </row>
    <row r="642" customFormat="false" ht="15" hidden="false" customHeight="false" outlineLevel="0" collapsed="false">
      <c r="A642" s="4" t="s">
        <v>1368</v>
      </c>
      <c r="B642" s="4" t="s">
        <v>1316</v>
      </c>
      <c r="C642" s="4" t="s">
        <v>1317</v>
      </c>
      <c r="D642" s="7" t="s">
        <v>1369</v>
      </c>
      <c r="E642" s="4" t="s">
        <v>1319</v>
      </c>
      <c r="F642" s="4" t="s">
        <v>5</v>
      </c>
      <c r="G642" s="8"/>
      <c r="H642" s="6" t="str">
        <f aca="false">IF(G642="","",G642/SUMIFS($G$2:$G$1462,$F$2:$F$1462,"Served"))</f>
        <v/>
      </c>
      <c r="I642" s="4" t="str">
        <f aca="false">IF(G642="","",RANK(G642,$G$2:$G$1462,0))</f>
        <v/>
      </c>
      <c r="J642" s="4" t="s">
        <v>34</v>
      </c>
    </row>
    <row r="643" customFormat="false" ht="15" hidden="false" customHeight="false" outlineLevel="0" collapsed="false">
      <c r="A643" s="4" t="s">
        <v>1370</v>
      </c>
      <c r="B643" s="4" t="s">
        <v>1316</v>
      </c>
      <c r="C643" s="4" t="s">
        <v>1317</v>
      </c>
      <c r="D643" s="7" t="s">
        <v>1371</v>
      </c>
      <c r="E643" s="4" t="s">
        <v>1319</v>
      </c>
      <c r="F643" s="4" t="s">
        <v>5</v>
      </c>
      <c r="G643" s="8"/>
      <c r="H643" s="6" t="str">
        <f aca="false">IF(G643="","",G643/SUMIFS($G$2:$G$1462,$F$2:$F$1462,"Served"))</f>
        <v/>
      </c>
      <c r="I643" s="4" t="str">
        <f aca="false">IF(G643="","",RANK(G643,$G$2:$G$1462,0))</f>
        <v/>
      </c>
      <c r="J643" s="4" t="s">
        <v>34</v>
      </c>
    </row>
    <row r="644" customFormat="false" ht="15" hidden="false" customHeight="false" outlineLevel="0" collapsed="false">
      <c r="A644" s="4" t="s">
        <v>1372</v>
      </c>
      <c r="B644" s="4" t="s">
        <v>1316</v>
      </c>
      <c r="C644" s="4" t="s">
        <v>1317</v>
      </c>
      <c r="D644" s="7" t="s">
        <v>1373</v>
      </c>
      <c r="E644" s="4" t="s">
        <v>1319</v>
      </c>
      <c r="F644" s="4" t="s">
        <v>5</v>
      </c>
      <c r="G644" s="8"/>
      <c r="H644" s="6" t="str">
        <f aca="false">IF(G644="","",G644/SUMIFS($G$2:$G$1462,$F$2:$F$1462,"Served"))</f>
        <v/>
      </c>
      <c r="I644" s="4" t="str">
        <f aca="false">IF(G644="","",RANK(G644,$G$2:$G$1462,0))</f>
        <v/>
      </c>
      <c r="J644" s="4" t="s">
        <v>34</v>
      </c>
    </row>
    <row r="645" customFormat="false" ht="15" hidden="false" customHeight="false" outlineLevel="0" collapsed="false">
      <c r="A645" s="4" t="s">
        <v>1374</v>
      </c>
      <c r="B645" s="4" t="s">
        <v>1316</v>
      </c>
      <c r="C645" s="4" t="s">
        <v>1317</v>
      </c>
      <c r="D645" s="7" t="s">
        <v>1375</v>
      </c>
      <c r="E645" s="4" t="s">
        <v>1319</v>
      </c>
      <c r="F645" s="4" t="s">
        <v>5</v>
      </c>
      <c r="G645" s="8"/>
      <c r="H645" s="6" t="str">
        <f aca="false">IF(G645="","",G645/SUMIFS($G$2:$G$1462,$F$2:$F$1462,"Served"))</f>
        <v/>
      </c>
      <c r="I645" s="4" t="str">
        <f aca="false">IF(G645="","",RANK(G645,$G$2:$G$1462,0))</f>
        <v/>
      </c>
      <c r="J645" s="4" t="s">
        <v>34</v>
      </c>
    </row>
    <row r="646" customFormat="false" ht="15" hidden="false" customHeight="false" outlineLevel="0" collapsed="false">
      <c r="A646" s="4" t="s">
        <v>1376</v>
      </c>
      <c r="B646" s="4" t="s">
        <v>1316</v>
      </c>
      <c r="C646" s="4" t="s">
        <v>1317</v>
      </c>
      <c r="D646" s="7" t="s">
        <v>1377</v>
      </c>
      <c r="E646" s="4" t="s">
        <v>1319</v>
      </c>
      <c r="F646" s="4" t="s">
        <v>5</v>
      </c>
      <c r="G646" s="8"/>
      <c r="H646" s="6" t="str">
        <f aca="false">IF(G646="","",G646/SUMIFS($G$2:$G$1462,$F$2:$F$1462,"Served"))</f>
        <v/>
      </c>
      <c r="I646" s="4" t="str">
        <f aca="false">IF(G646="","",RANK(G646,$G$2:$G$1462,0))</f>
        <v/>
      </c>
      <c r="J646" s="4" t="s">
        <v>34</v>
      </c>
    </row>
    <row r="647" customFormat="false" ht="15" hidden="false" customHeight="false" outlineLevel="0" collapsed="false">
      <c r="A647" s="4" t="s">
        <v>1378</v>
      </c>
      <c r="B647" s="4" t="s">
        <v>1316</v>
      </c>
      <c r="C647" s="4" t="s">
        <v>1317</v>
      </c>
      <c r="D647" s="7" t="s">
        <v>1379</v>
      </c>
      <c r="E647" s="4" t="s">
        <v>1319</v>
      </c>
      <c r="F647" s="4" t="s">
        <v>5</v>
      </c>
      <c r="G647" s="8"/>
      <c r="H647" s="6" t="str">
        <f aca="false">IF(G647="","",G647/SUMIFS($G$2:$G$1462,$F$2:$F$1462,"Served"))</f>
        <v/>
      </c>
      <c r="I647" s="4" t="str">
        <f aca="false">IF(G647="","",RANK(G647,$G$2:$G$1462,0))</f>
        <v/>
      </c>
      <c r="J647" s="4" t="s">
        <v>34</v>
      </c>
    </row>
    <row r="648" customFormat="false" ht="15" hidden="false" customHeight="false" outlineLevel="0" collapsed="false">
      <c r="A648" s="4" t="s">
        <v>1380</v>
      </c>
      <c r="B648" s="4" t="s">
        <v>1316</v>
      </c>
      <c r="C648" s="4" t="s">
        <v>1317</v>
      </c>
      <c r="D648" s="7" t="s">
        <v>1381</v>
      </c>
      <c r="E648" s="4" t="s">
        <v>1319</v>
      </c>
      <c r="F648" s="4" t="s">
        <v>5</v>
      </c>
      <c r="G648" s="8"/>
      <c r="H648" s="6" t="str">
        <f aca="false">IF(G648="","",G648/SUMIFS($G$2:$G$1462,$F$2:$F$1462,"Served"))</f>
        <v/>
      </c>
      <c r="I648" s="4" t="str">
        <f aca="false">IF(G648="","",RANK(G648,$G$2:$G$1462,0))</f>
        <v/>
      </c>
      <c r="J648" s="4" t="s">
        <v>34</v>
      </c>
    </row>
    <row r="649" customFormat="false" ht="15" hidden="false" customHeight="false" outlineLevel="0" collapsed="false">
      <c r="A649" s="4" t="s">
        <v>1382</v>
      </c>
      <c r="B649" s="4" t="s">
        <v>1316</v>
      </c>
      <c r="C649" s="4" t="s">
        <v>1317</v>
      </c>
      <c r="D649" s="7" t="s">
        <v>1383</v>
      </c>
      <c r="E649" s="4" t="s">
        <v>1319</v>
      </c>
      <c r="F649" s="4" t="s">
        <v>5</v>
      </c>
      <c r="G649" s="8"/>
      <c r="H649" s="6" t="str">
        <f aca="false">IF(G649="","",G649/SUMIFS($G$2:$G$1462,$F$2:$F$1462,"Served"))</f>
        <v/>
      </c>
      <c r="I649" s="4" t="str">
        <f aca="false">IF(G649="","",RANK(G649,$G$2:$G$1462,0))</f>
        <v/>
      </c>
      <c r="J649" s="4" t="s">
        <v>34</v>
      </c>
    </row>
    <row r="650" customFormat="false" ht="15" hidden="false" customHeight="false" outlineLevel="0" collapsed="false">
      <c r="A650" s="4" t="s">
        <v>1384</v>
      </c>
      <c r="B650" s="4" t="s">
        <v>1316</v>
      </c>
      <c r="C650" s="4" t="s">
        <v>1317</v>
      </c>
      <c r="D650" s="7" t="s">
        <v>1385</v>
      </c>
      <c r="E650" s="4" t="s">
        <v>1319</v>
      </c>
      <c r="F650" s="4" t="s">
        <v>5</v>
      </c>
      <c r="G650" s="8"/>
      <c r="H650" s="6" t="str">
        <f aca="false">IF(G650="","",G650/SUMIFS($G$2:$G$1462,$F$2:$F$1462,"Served"))</f>
        <v/>
      </c>
      <c r="I650" s="4" t="str">
        <f aca="false">IF(G650="","",RANK(G650,$G$2:$G$1462,0))</f>
        <v/>
      </c>
      <c r="J650" s="4" t="s">
        <v>34</v>
      </c>
    </row>
    <row r="651" customFormat="false" ht="15" hidden="false" customHeight="false" outlineLevel="0" collapsed="false">
      <c r="A651" s="4" t="s">
        <v>1386</v>
      </c>
      <c r="B651" s="4" t="s">
        <v>1316</v>
      </c>
      <c r="C651" s="4" t="s">
        <v>1317</v>
      </c>
      <c r="D651" s="7" t="s">
        <v>1387</v>
      </c>
      <c r="E651" s="4" t="s">
        <v>1319</v>
      </c>
      <c r="F651" s="4" t="s">
        <v>5</v>
      </c>
      <c r="G651" s="8"/>
      <c r="H651" s="6" t="str">
        <f aca="false">IF(G651="","",G651/SUMIFS($G$2:$G$1462,$F$2:$F$1462,"Served"))</f>
        <v/>
      </c>
      <c r="I651" s="4" t="str">
        <f aca="false">IF(G651="","",RANK(G651,$G$2:$G$1462,0))</f>
        <v/>
      </c>
      <c r="J651" s="4" t="s">
        <v>34</v>
      </c>
    </row>
    <row r="652" customFormat="false" ht="15" hidden="false" customHeight="false" outlineLevel="0" collapsed="false">
      <c r="A652" s="4" t="s">
        <v>1388</v>
      </c>
      <c r="B652" s="4" t="s">
        <v>1316</v>
      </c>
      <c r="C652" s="4" t="s">
        <v>1317</v>
      </c>
      <c r="D652" s="7" t="s">
        <v>1389</v>
      </c>
      <c r="E652" s="4" t="s">
        <v>1319</v>
      </c>
      <c r="F652" s="4" t="s">
        <v>5</v>
      </c>
      <c r="G652" s="8"/>
      <c r="H652" s="6" t="str">
        <f aca="false">IF(G652="","",G652/SUMIFS($G$2:$G$1462,$F$2:$F$1462,"Served"))</f>
        <v/>
      </c>
      <c r="I652" s="4" t="str">
        <f aca="false">IF(G652="","",RANK(G652,$G$2:$G$1462,0))</f>
        <v/>
      </c>
      <c r="J652" s="4" t="s">
        <v>34</v>
      </c>
    </row>
    <row r="653" customFormat="false" ht="15" hidden="false" customHeight="false" outlineLevel="0" collapsed="false">
      <c r="A653" s="4" t="s">
        <v>1390</v>
      </c>
      <c r="B653" s="4" t="s">
        <v>1316</v>
      </c>
      <c r="C653" s="4" t="s">
        <v>1317</v>
      </c>
      <c r="D653" s="7" t="s">
        <v>1391</v>
      </c>
      <c r="E653" s="4" t="s">
        <v>1319</v>
      </c>
      <c r="F653" s="4" t="s">
        <v>5</v>
      </c>
      <c r="G653" s="8"/>
      <c r="H653" s="6" t="str">
        <f aca="false">IF(G653="","",G653/SUMIFS($G$2:$G$1462,$F$2:$F$1462,"Served"))</f>
        <v/>
      </c>
      <c r="I653" s="4" t="str">
        <f aca="false">IF(G653="","",RANK(G653,$G$2:$G$1462,0))</f>
        <v/>
      </c>
      <c r="J653" s="4" t="s">
        <v>34</v>
      </c>
    </row>
    <row r="654" customFormat="false" ht="15" hidden="false" customHeight="false" outlineLevel="0" collapsed="false">
      <c r="A654" s="4" t="s">
        <v>1392</v>
      </c>
      <c r="B654" s="4" t="s">
        <v>1316</v>
      </c>
      <c r="C654" s="4" t="s">
        <v>1317</v>
      </c>
      <c r="D654" s="7" t="s">
        <v>1393</v>
      </c>
      <c r="E654" s="4" t="s">
        <v>1319</v>
      </c>
      <c r="F654" s="4" t="s">
        <v>5</v>
      </c>
      <c r="G654" s="8"/>
      <c r="H654" s="6" t="str">
        <f aca="false">IF(G654="","",G654/SUMIFS($G$2:$G$1462,$F$2:$F$1462,"Served"))</f>
        <v/>
      </c>
      <c r="I654" s="4" t="str">
        <f aca="false">IF(G654="","",RANK(G654,$G$2:$G$1462,0))</f>
        <v/>
      </c>
      <c r="J654" s="4" t="s">
        <v>34</v>
      </c>
    </row>
    <row r="655" customFormat="false" ht="15" hidden="false" customHeight="false" outlineLevel="0" collapsed="false">
      <c r="A655" s="4" t="s">
        <v>1394</v>
      </c>
      <c r="B655" s="4" t="s">
        <v>1316</v>
      </c>
      <c r="C655" s="4" t="s">
        <v>1317</v>
      </c>
      <c r="D655" s="7" t="s">
        <v>1395</v>
      </c>
      <c r="E655" s="4" t="s">
        <v>1319</v>
      </c>
      <c r="F655" s="4" t="s">
        <v>5</v>
      </c>
      <c r="G655" s="8"/>
      <c r="H655" s="6" t="str">
        <f aca="false">IF(G655="","",G655/SUMIFS($G$2:$G$1462,$F$2:$F$1462,"Served"))</f>
        <v/>
      </c>
      <c r="I655" s="4" t="str">
        <f aca="false">IF(G655="","",RANK(G655,$G$2:$G$1462,0))</f>
        <v/>
      </c>
      <c r="J655" s="4" t="s">
        <v>34</v>
      </c>
    </row>
    <row r="656" customFormat="false" ht="15" hidden="false" customHeight="false" outlineLevel="0" collapsed="false">
      <c r="A656" s="4" t="s">
        <v>1396</v>
      </c>
      <c r="B656" s="4" t="s">
        <v>1316</v>
      </c>
      <c r="C656" s="4" t="s">
        <v>1317</v>
      </c>
      <c r="D656" s="7" t="s">
        <v>1397</v>
      </c>
      <c r="E656" s="4" t="s">
        <v>1319</v>
      </c>
      <c r="F656" s="4" t="s">
        <v>5</v>
      </c>
      <c r="G656" s="8"/>
      <c r="H656" s="6" t="str">
        <f aca="false">IF(G656="","",G656/SUMIFS($G$2:$G$1462,$F$2:$F$1462,"Served"))</f>
        <v/>
      </c>
      <c r="I656" s="4" t="str">
        <f aca="false">IF(G656="","",RANK(G656,$G$2:$G$1462,0))</f>
        <v/>
      </c>
      <c r="J656" s="4" t="s">
        <v>34</v>
      </c>
    </row>
    <row r="657" customFormat="false" ht="15" hidden="false" customHeight="false" outlineLevel="0" collapsed="false">
      <c r="A657" s="4" t="s">
        <v>1398</v>
      </c>
      <c r="B657" s="4" t="s">
        <v>1316</v>
      </c>
      <c r="C657" s="4" t="s">
        <v>1317</v>
      </c>
      <c r="D657" s="7" t="s">
        <v>1399</v>
      </c>
      <c r="E657" s="4" t="s">
        <v>1319</v>
      </c>
      <c r="F657" s="4" t="s">
        <v>5</v>
      </c>
      <c r="G657" s="8"/>
      <c r="H657" s="6" t="str">
        <f aca="false">IF(G657="","",G657/SUMIFS($G$2:$G$1462,$F$2:$F$1462,"Served"))</f>
        <v/>
      </c>
      <c r="I657" s="4" t="str">
        <f aca="false">IF(G657="","",RANK(G657,$G$2:$G$1462,0))</f>
        <v/>
      </c>
      <c r="J657" s="4" t="s">
        <v>34</v>
      </c>
    </row>
    <row r="658" customFormat="false" ht="15" hidden="false" customHeight="false" outlineLevel="0" collapsed="false">
      <c r="A658" s="4" t="s">
        <v>1400</v>
      </c>
      <c r="B658" s="4" t="s">
        <v>1316</v>
      </c>
      <c r="C658" s="4" t="s">
        <v>1317</v>
      </c>
      <c r="D658" s="7" t="s">
        <v>1401</v>
      </c>
      <c r="E658" s="4" t="s">
        <v>1319</v>
      </c>
      <c r="F658" s="4" t="s">
        <v>5</v>
      </c>
      <c r="G658" s="8"/>
      <c r="H658" s="6" t="str">
        <f aca="false">IF(G658="","",G658/SUMIFS($G$2:$G$1462,$F$2:$F$1462,"Served"))</f>
        <v/>
      </c>
      <c r="I658" s="4" t="str">
        <f aca="false">IF(G658="","",RANK(G658,$G$2:$G$1462,0))</f>
        <v/>
      </c>
      <c r="J658" s="4" t="s">
        <v>34</v>
      </c>
    </row>
    <row r="659" customFormat="false" ht="15" hidden="false" customHeight="false" outlineLevel="0" collapsed="false">
      <c r="A659" s="4" t="s">
        <v>1402</v>
      </c>
      <c r="B659" s="4" t="s">
        <v>1316</v>
      </c>
      <c r="C659" s="4" t="s">
        <v>1317</v>
      </c>
      <c r="D659" s="7" t="s">
        <v>1403</v>
      </c>
      <c r="E659" s="4" t="s">
        <v>1319</v>
      </c>
      <c r="F659" s="4" t="s">
        <v>5</v>
      </c>
      <c r="G659" s="8"/>
      <c r="H659" s="6" t="str">
        <f aca="false">IF(G659="","",G659/SUMIFS($G$2:$G$1462,$F$2:$F$1462,"Served"))</f>
        <v/>
      </c>
      <c r="I659" s="4" t="str">
        <f aca="false">IF(G659="","",RANK(G659,$G$2:$G$1462,0))</f>
        <v/>
      </c>
      <c r="J659" s="4" t="s">
        <v>34</v>
      </c>
    </row>
    <row r="660" customFormat="false" ht="15" hidden="false" customHeight="false" outlineLevel="0" collapsed="false">
      <c r="A660" s="4" t="s">
        <v>1404</v>
      </c>
      <c r="B660" s="4" t="s">
        <v>1316</v>
      </c>
      <c r="C660" s="4" t="s">
        <v>1317</v>
      </c>
      <c r="D660" s="7" t="s">
        <v>1405</v>
      </c>
      <c r="E660" s="4" t="s">
        <v>1319</v>
      </c>
      <c r="F660" s="4" t="s">
        <v>5</v>
      </c>
      <c r="G660" s="8"/>
      <c r="H660" s="6" t="str">
        <f aca="false">IF(G660="","",G660/SUMIFS($G$2:$G$1462,$F$2:$F$1462,"Served"))</f>
        <v/>
      </c>
      <c r="I660" s="4" t="str">
        <f aca="false">IF(G660="","",RANK(G660,$G$2:$G$1462,0))</f>
        <v/>
      </c>
      <c r="J660" s="4" t="s">
        <v>34</v>
      </c>
    </row>
    <row r="661" customFormat="false" ht="15" hidden="false" customHeight="false" outlineLevel="0" collapsed="false">
      <c r="A661" s="4" t="s">
        <v>1406</v>
      </c>
      <c r="B661" s="4" t="s">
        <v>1316</v>
      </c>
      <c r="C661" s="4" t="s">
        <v>1317</v>
      </c>
      <c r="D661" s="7" t="s">
        <v>1407</v>
      </c>
      <c r="E661" s="4" t="s">
        <v>1319</v>
      </c>
      <c r="F661" s="4" t="s">
        <v>5</v>
      </c>
      <c r="G661" s="8"/>
      <c r="H661" s="6" t="str">
        <f aca="false">IF(G661="","",G661/SUMIFS($G$2:$G$1462,$F$2:$F$1462,"Served"))</f>
        <v/>
      </c>
      <c r="I661" s="4" t="str">
        <f aca="false">IF(G661="","",RANK(G661,$G$2:$G$1462,0))</f>
        <v/>
      </c>
      <c r="J661" s="4" t="s">
        <v>34</v>
      </c>
    </row>
    <row r="662" customFormat="false" ht="15" hidden="false" customHeight="false" outlineLevel="0" collapsed="false">
      <c r="A662" s="4" t="s">
        <v>1408</v>
      </c>
      <c r="B662" s="4" t="s">
        <v>1316</v>
      </c>
      <c r="C662" s="4" t="s">
        <v>1317</v>
      </c>
      <c r="D662" s="7" t="s">
        <v>1409</v>
      </c>
      <c r="E662" s="4" t="s">
        <v>1319</v>
      </c>
      <c r="F662" s="4" t="s">
        <v>5</v>
      </c>
      <c r="G662" s="8"/>
      <c r="H662" s="6" t="str">
        <f aca="false">IF(G662="","",G662/SUMIFS($G$2:$G$1462,$F$2:$F$1462,"Served"))</f>
        <v/>
      </c>
      <c r="I662" s="4" t="str">
        <f aca="false">IF(G662="","",RANK(G662,$G$2:$G$1462,0))</f>
        <v/>
      </c>
      <c r="J662" s="4" t="s">
        <v>34</v>
      </c>
    </row>
    <row r="663" customFormat="false" ht="15" hidden="false" customHeight="false" outlineLevel="0" collapsed="false">
      <c r="A663" s="4" t="s">
        <v>1410</v>
      </c>
      <c r="B663" s="4" t="s">
        <v>1316</v>
      </c>
      <c r="C663" s="4" t="s">
        <v>1317</v>
      </c>
      <c r="D663" s="7" t="s">
        <v>1411</v>
      </c>
      <c r="E663" s="4" t="s">
        <v>1319</v>
      </c>
      <c r="F663" s="4" t="s">
        <v>5</v>
      </c>
      <c r="G663" s="8"/>
      <c r="H663" s="6" t="str">
        <f aca="false">IF(G663="","",G663/SUMIFS($G$2:$G$1462,$F$2:$F$1462,"Served"))</f>
        <v/>
      </c>
      <c r="I663" s="4" t="str">
        <f aca="false">IF(G663="","",RANK(G663,$G$2:$G$1462,0))</f>
        <v/>
      </c>
      <c r="J663" s="4" t="s">
        <v>34</v>
      </c>
    </row>
    <row r="664" customFormat="false" ht="15" hidden="false" customHeight="false" outlineLevel="0" collapsed="false">
      <c r="A664" s="4" t="s">
        <v>1412</v>
      </c>
      <c r="B664" s="4" t="s">
        <v>1316</v>
      </c>
      <c r="C664" s="4" t="s">
        <v>1317</v>
      </c>
      <c r="D664" s="7" t="s">
        <v>1413</v>
      </c>
      <c r="E664" s="4" t="s">
        <v>1319</v>
      </c>
      <c r="F664" s="4" t="s">
        <v>5</v>
      </c>
      <c r="G664" s="8"/>
      <c r="H664" s="6" t="str">
        <f aca="false">IF(G664="","",G664/SUMIFS($G$2:$G$1462,$F$2:$F$1462,"Served"))</f>
        <v/>
      </c>
      <c r="I664" s="4" t="str">
        <f aca="false">IF(G664="","",RANK(G664,$G$2:$G$1462,0))</f>
        <v/>
      </c>
      <c r="J664" s="4" t="s">
        <v>34</v>
      </c>
    </row>
    <row r="665" customFormat="false" ht="15" hidden="false" customHeight="false" outlineLevel="0" collapsed="false">
      <c r="A665" s="4" t="s">
        <v>1414</v>
      </c>
      <c r="B665" s="4" t="s">
        <v>1316</v>
      </c>
      <c r="C665" s="4" t="s">
        <v>1317</v>
      </c>
      <c r="D665" s="7" t="s">
        <v>1415</v>
      </c>
      <c r="E665" s="4" t="s">
        <v>1319</v>
      </c>
      <c r="F665" s="4" t="s">
        <v>5</v>
      </c>
      <c r="G665" s="8"/>
      <c r="H665" s="6" t="str">
        <f aca="false">IF(G665="","",G665/SUMIFS($G$2:$G$1462,$F$2:$F$1462,"Served"))</f>
        <v/>
      </c>
      <c r="I665" s="4" t="str">
        <f aca="false">IF(G665="","",RANK(G665,$G$2:$G$1462,0))</f>
        <v/>
      </c>
      <c r="J665" s="4" t="s">
        <v>34</v>
      </c>
    </row>
    <row r="666" customFormat="false" ht="15" hidden="false" customHeight="false" outlineLevel="0" collapsed="false">
      <c r="A666" s="4" t="s">
        <v>1416</v>
      </c>
      <c r="B666" s="4" t="s">
        <v>1316</v>
      </c>
      <c r="C666" s="4" t="s">
        <v>1317</v>
      </c>
      <c r="D666" s="7" t="s">
        <v>1417</v>
      </c>
      <c r="E666" s="4" t="s">
        <v>1319</v>
      </c>
      <c r="F666" s="4" t="s">
        <v>5</v>
      </c>
      <c r="G666" s="8"/>
      <c r="H666" s="6" t="str">
        <f aca="false">IF(G666="","",G666/SUMIFS($G$2:$G$1462,$F$2:$F$1462,"Served"))</f>
        <v/>
      </c>
      <c r="I666" s="4" t="str">
        <f aca="false">IF(G666="","",RANK(G666,$G$2:$G$1462,0))</f>
        <v/>
      </c>
      <c r="J666" s="4" t="s">
        <v>34</v>
      </c>
    </row>
    <row r="667" customFormat="false" ht="15" hidden="false" customHeight="false" outlineLevel="0" collapsed="false">
      <c r="A667" s="4" t="s">
        <v>1418</v>
      </c>
      <c r="B667" s="4" t="s">
        <v>1316</v>
      </c>
      <c r="C667" s="4" t="s">
        <v>1317</v>
      </c>
      <c r="D667" s="7" t="s">
        <v>1419</v>
      </c>
      <c r="E667" s="4" t="s">
        <v>1319</v>
      </c>
      <c r="F667" s="4" t="s">
        <v>5</v>
      </c>
      <c r="G667" s="8"/>
      <c r="H667" s="6" t="str">
        <f aca="false">IF(G667="","",G667/SUMIFS($G$2:$G$1462,$F$2:$F$1462,"Served"))</f>
        <v/>
      </c>
      <c r="I667" s="4" t="str">
        <f aca="false">IF(G667="","",RANK(G667,$G$2:$G$1462,0))</f>
        <v/>
      </c>
      <c r="J667" s="4" t="s">
        <v>34</v>
      </c>
    </row>
    <row r="668" customFormat="false" ht="15" hidden="false" customHeight="false" outlineLevel="0" collapsed="false">
      <c r="A668" s="4" t="s">
        <v>1420</v>
      </c>
      <c r="B668" s="4" t="s">
        <v>1316</v>
      </c>
      <c r="C668" s="4" t="s">
        <v>1317</v>
      </c>
      <c r="D668" s="7" t="s">
        <v>1421</v>
      </c>
      <c r="E668" s="4" t="s">
        <v>1319</v>
      </c>
      <c r="F668" s="4" t="s">
        <v>5</v>
      </c>
      <c r="G668" s="8"/>
      <c r="H668" s="6" t="str">
        <f aca="false">IF(G668="","",G668/SUMIFS($G$2:$G$1462,$F$2:$F$1462,"Served"))</f>
        <v/>
      </c>
      <c r="I668" s="4" t="str">
        <f aca="false">IF(G668="","",RANK(G668,$G$2:$G$1462,0))</f>
        <v/>
      </c>
      <c r="J668" s="4" t="s">
        <v>34</v>
      </c>
    </row>
    <row r="669" customFormat="false" ht="15" hidden="false" customHeight="false" outlineLevel="0" collapsed="false">
      <c r="A669" s="4" t="s">
        <v>1422</v>
      </c>
      <c r="B669" s="4" t="s">
        <v>1316</v>
      </c>
      <c r="C669" s="4" t="s">
        <v>1317</v>
      </c>
      <c r="D669" s="7" t="s">
        <v>1423</v>
      </c>
      <c r="E669" s="4" t="s">
        <v>1319</v>
      </c>
      <c r="F669" s="4" t="s">
        <v>5</v>
      </c>
      <c r="G669" s="8"/>
      <c r="H669" s="6" t="str">
        <f aca="false">IF(G669="","",G669/SUMIFS($G$2:$G$1462,$F$2:$F$1462,"Served"))</f>
        <v/>
      </c>
      <c r="I669" s="4" t="str">
        <f aca="false">IF(G669="","",RANK(G669,$G$2:$G$1462,0))</f>
        <v/>
      </c>
      <c r="J669" s="4" t="s">
        <v>34</v>
      </c>
    </row>
    <row r="670" customFormat="false" ht="15" hidden="false" customHeight="false" outlineLevel="0" collapsed="false">
      <c r="A670" s="4" t="s">
        <v>1424</v>
      </c>
      <c r="B670" s="4" t="s">
        <v>1316</v>
      </c>
      <c r="C670" s="4" t="s">
        <v>1317</v>
      </c>
      <c r="D670" s="7" t="s">
        <v>1425</v>
      </c>
      <c r="E670" s="4" t="s">
        <v>1319</v>
      </c>
      <c r="F670" s="4" t="s">
        <v>5</v>
      </c>
      <c r="G670" s="8"/>
      <c r="H670" s="6" t="str">
        <f aca="false">IF(G670="","",G670/SUMIFS($G$2:$G$1462,$F$2:$F$1462,"Served"))</f>
        <v/>
      </c>
      <c r="I670" s="4" t="str">
        <f aca="false">IF(G670="","",RANK(G670,$G$2:$G$1462,0))</f>
        <v/>
      </c>
      <c r="J670" s="4" t="s">
        <v>34</v>
      </c>
    </row>
    <row r="671" customFormat="false" ht="15" hidden="false" customHeight="false" outlineLevel="0" collapsed="false">
      <c r="A671" s="4" t="s">
        <v>1426</v>
      </c>
      <c r="B671" s="4" t="s">
        <v>1316</v>
      </c>
      <c r="C671" s="4" t="s">
        <v>1317</v>
      </c>
      <c r="D671" s="7" t="s">
        <v>1427</v>
      </c>
      <c r="E671" s="4" t="s">
        <v>1319</v>
      </c>
      <c r="F671" s="4" t="s">
        <v>5</v>
      </c>
      <c r="G671" s="8"/>
      <c r="H671" s="6" t="str">
        <f aca="false">IF(G671="","",G671/SUMIFS($G$2:$G$1462,$F$2:$F$1462,"Served"))</f>
        <v/>
      </c>
      <c r="I671" s="4" t="str">
        <f aca="false">IF(G671="","",RANK(G671,$G$2:$G$1462,0))</f>
        <v/>
      </c>
      <c r="J671" s="4" t="s">
        <v>34</v>
      </c>
    </row>
    <row r="672" customFormat="false" ht="15" hidden="false" customHeight="false" outlineLevel="0" collapsed="false">
      <c r="A672" s="4" t="s">
        <v>1428</v>
      </c>
      <c r="B672" s="4" t="s">
        <v>1316</v>
      </c>
      <c r="C672" s="4" t="s">
        <v>1317</v>
      </c>
      <c r="D672" s="7" t="s">
        <v>1429</v>
      </c>
      <c r="E672" s="4" t="s">
        <v>1319</v>
      </c>
      <c r="F672" s="4" t="s">
        <v>5</v>
      </c>
      <c r="G672" s="8"/>
      <c r="H672" s="6" t="str">
        <f aca="false">IF(G672="","",G672/SUMIFS($G$2:$G$1462,$F$2:$F$1462,"Served"))</f>
        <v/>
      </c>
      <c r="I672" s="4" t="str">
        <f aca="false">IF(G672="","",RANK(G672,$G$2:$G$1462,0))</f>
        <v/>
      </c>
      <c r="J672" s="4" t="s">
        <v>34</v>
      </c>
    </row>
    <row r="673" customFormat="false" ht="15" hidden="false" customHeight="false" outlineLevel="0" collapsed="false">
      <c r="A673" s="4" t="s">
        <v>1430</v>
      </c>
      <c r="B673" s="4" t="s">
        <v>1316</v>
      </c>
      <c r="C673" s="4" t="s">
        <v>1317</v>
      </c>
      <c r="D673" s="7" t="s">
        <v>1431</v>
      </c>
      <c r="E673" s="4" t="s">
        <v>1319</v>
      </c>
      <c r="F673" s="4" t="s">
        <v>5</v>
      </c>
      <c r="G673" s="8"/>
      <c r="H673" s="6" t="str">
        <f aca="false">IF(G673="","",G673/SUMIFS($G$2:$G$1462,$F$2:$F$1462,"Served"))</f>
        <v/>
      </c>
      <c r="I673" s="4" t="str">
        <f aca="false">IF(G673="","",RANK(G673,$G$2:$G$1462,0))</f>
        <v/>
      </c>
      <c r="J673" s="4" t="s">
        <v>34</v>
      </c>
    </row>
    <row r="674" customFormat="false" ht="15" hidden="false" customHeight="false" outlineLevel="0" collapsed="false">
      <c r="A674" s="4" t="s">
        <v>1432</v>
      </c>
      <c r="B674" s="4" t="s">
        <v>1316</v>
      </c>
      <c r="C674" s="4" t="s">
        <v>1317</v>
      </c>
      <c r="D674" s="7" t="s">
        <v>1433</v>
      </c>
      <c r="E674" s="4" t="s">
        <v>1319</v>
      </c>
      <c r="F674" s="4" t="s">
        <v>5</v>
      </c>
      <c r="G674" s="8"/>
      <c r="H674" s="6" t="str">
        <f aca="false">IF(G674="","",G674/SUMIFS($G$2:$G$1462,$F$2:$F$1462,"Served"))</f>
        <v/>
      </c>
      <c r="I674" s="4" t="str">
        <f aca="false">IF(G674="","",RANK(G674,$G$2:$G$1462,0))</f>
        <v/>
      </c>
      <c r="J674" s="4" t="s">
        <v>34</v>
      </c>
    </row>
    <row r="675" customFormat="false" ht="15" hidden="false" customHeight="false" outlineLevel="0" collapsed="false">
      <c r="A675" s="4" t="s">
        <v>1434</v>
      </c>
      <c r="B675" s="4" t="s">
        <v>1316</v>
      </c>
      <c r="C675" s="4" t="s">
        <v>1317</v>
      </c>
      <c r="D675" s="7" t="s">
        <v>1435</v>
      </c>
      <c r="E675" s="4" t="s">
        <v>1319</v>
      </c>
      <c r="F675" s="4" t="s">
        <v>5</v>
      </c>
      <c r="G675" s="8"/>
      <c r="H675" s="6" t="str">
        <f aca="false">IF(G675="","",G675/SUMIFS($G$2:$G$1462,$F$2:$F$1462,"Served"))</f>
        <v/>
      </c>
      <c r="I675" s="4" t="str">
        <f aca="false">IF(G675="","",RANK(G675,$G$2:$G$1462,0))</f>
        <v/>
      </c>
      <c r="J675" s="4" t="s">
        <v>34</v>
      </c>
    </row>
    <row r="676" customFormat="false" ht="15" hidden="false" customHeight="false" outlineLevel="0" collapsed="false">
      <c r="A676" s="4" t="s">
        <v>1436</v>
      </c>
      <c r="B676" s="4" t="s">
        <v>1316</v>
      </c>
      <c r="C676" s="4" t="s">
        <v>1317</v>
      </c>
      <c r="D676" s="7" t="s">
        <v>1437</v>
      </c>
      <c r="E676" s="4" t="s">
        <v>1319</v>
      </c>
      <c r="F676" s="4" t="s">
        <v>5</v>
      </c>
      <c r="G676" s="8"/>
      <c r="H676" s="6" t="str">
        <f aca="false">IF(G676="","",G676/SUMIFS($G$2:$G$1462,$F$2:$F$1462,"Served"))</f>
        <v/>
      </c>
      <c r="I676" s="4" t="str">
        <f aca="false">IF(G676="","",RANK(G676,$G$2:$G$1462,0))</f>
        <v/>
      </c>
      <c r="J676" s="4" t="s">
        <v>34</v>
      </c>
    </row>
    <row r="677" customFormat="false" ht="15" hidden="false" customHeight="false" outlineLevel="0" collapsed="false">
      <c r="A677" s="4" t="s">
        <v>1438</v>
      </c>
      <c r="B677" s="4" t="s">
        <v>1316</v>
      </c>
      <c r="C677" s="4" t="s">
        <v>1317</v>
      </c>
      <c r="D677" s="7" t="s">
        <v>1439</v>
      </c>
      <c r="E677" s="4" t="s">
        <v>1319</v>
      </c>
      <c r="F677" s="4" t="s">
        <v>5</v>
      </c>
      <c r="G677" s="8"/>
      <c r="H677" s="6" t="str">
        <f aca="false">IF(G677="","",G677/SUMIFS($G$2:$G$1462,$F$2:$F$1462,"Served"))</f>
        <v/>
      </c>
      <c r="I677" s="4" t="str">
        <f aca="false">IF(G677="","",RANK(G677,$G$2:$G$1462,0))</f>
        <v/>
      </c>
      <c r="J677" s="4" t="s">
        <v>34</v>
      </c>
    </row>
    <row r="678" customFormat="false" ht="15" hidden="false" customHeight="false" outlineLevel="0" collapsed="false">
      <c r="A678" s="4" t="s">
        <v>1440</v>
      </c>
      <c r="B678" s="4" t="s">
        <v>1316</v>
      </c>
      <c r="C678" s="4" t="s">
        <v>1317</v>
      </c>
      <c r="D678" s="7" t="s">
        <v>1441</v>
      </c>
      <c r="E678" s="4" t="s">
        <v>1319</v>
      </c>
      <c r="F678" s="4" t="s">
        <v>5</v>
      </c>
      <c r="G678" s="8"/>
      <c r="H678" s="6" t="str">
        <f aca="false">IF(G678="","",G678/SUMIFS($G$2:$G$1462,$F$2:$F$1462,"Served"))</f>
        <v/>
      </c>
      <c r="I678" s="4" t="str">
        <f aca="false">IF(G678="","",RANK(G678,$G$2:$G$1462,0))</f>
        <v/>
      </c>
      <c r="J678" s="4" t="s">
        <v>34</v>
      </c>
    </row>
    <row r="679" customFormat="false" ht="15" hidden="false" customHeight="false" outlineLevel="0" collapsed="false">
      <c r="A679" s="4" t="s">
        <v>1442</v>
      </c>
      <c r="B679" s="4" t="s">
        <v>1316</v>
      </c>
      <c r="C679" s="4" t="s">
        <v>1317</v>
      </c>
      <c r="D679" s="7" t="s">
        <v>1443</v>
      </c>
      <c r="E679" s="4" t="s">
        <v>1319</v>
      </c>
      <c r="F679" s="4" t="s">
        <v>5</v>
      </c>
      <c r="G679" s="8"/>
      <c r="H679" s="6" t="str">
        <f aca="false">IF(G679="","",G679/SUMIFS($G$2:$G$1462,$F$2:$F$1462,"Served"))</f>
        <v/>
      </c>
      <c r="I679" s="4" t="str">
        <f aca="false">IF(G679="","",RANK(G679,$G$2:$G$1462,0))</f>
        <v/>
      </c>
      <c r="J679" s="4" t="s">
        <v>34</v>
      </c>
    </row>
    <row r="680" customFormat="false" ht="15" hidden="false" customHeight="false" outlineLevel="0" collapsed="false">
      <c r="A680" s="4" t="s">
        <v>1444</v>
      </c>
      <c r="B680" s="4" t="s">
        <v>1316</v>
      </c>
      <c r="C680" s="4" t="s">
        <v>1317</v>
      </c>
      <c r="D680" s="7" t="s">
        <v>1445</v>
      </c>
      <c r="E680" s="4" t="s">
        <v>1319</v>
      </c>
      <c r="F680" s="4" t="s">
        <v>5</v>
      </c>
      <c r="G680" s="8"/>
      <c r="H680" s="6" t="str">
        <f aca="false">IF(G680="","",G680/SUMIFS($G$2:$G$1462,$F$2:$F$1462,"Served"))</f>
        <v/>
      </c>
      <c r="I680" s="4" t="str">
        <f aca="false">IF(G680="","",RANK(G680,$G$2:$G$1462,0))</f>
        <v/>
      </c>
      <c r="J680" s="4" t="s">
        <v>34</v>
      </c>
    </row>
    <row r="681" customFormat="false" ht="15" hidden="false" customHeight="false" outlineLevel="0" collapsed="false">
      <c r="A681" s="4" t="s">
        <v>1446</v>
      </c>
      <c r="B681" s="4" t="s">
        <v>1316</v>
      </c>
      <c r="C681" s="4" t="s">
        <v>1317</v>
      </c>
      <c r="D681" s="7" t="s">
        <v>1447</v>
      </c>
      <c r="E681" s="4" t="s">
        <v>1319</v>
      </c>
      <c r="F681" s="4" t="s">
        <v>5</v>
      </c>
      <c r="G681" s="8"/>
      <c r="H681" s="6" t="str">
        <f aca="false">IF(G681="","",G681/SUMIFS($G$2:$G$1462,$F$2:$F$1462,"Served"))</f>
        <v/>
      </c>
      <c r="I681" s="4" t="str">
        <f aca="false">IF(G681="","",RANK(G681,$G$2:$G$1462,0))</f>
        <v/>
      </c>
      <c r="J681" s="4" t="s">
        <v>34</v>
      </c>
    </row>
    <row r="682" customFormat="false" ht="15" hidden="false" customHeight="false" outlineLevel="0" collapsed="false">
      <c r="A682" s="4" t="s">
        <v>1448</v>
      </c>
      <c r="B682" s="4" t="s">
        <v>1316</v>
      </c>
      <c r="C682" s="4" t="s">
        <v>1317</v>
      </c>
      <c r="D682" s="7" t="s">
        <v>1449</v>
      </c>
      <c r="E682" s="4" t="s">
        <v>1319</v>
      </c>
      <c r="F682" s="4" t="s">
        <v>5</v>
      </c>
      <c r="G682" s="8"/>
      <c r="H682" s="6" t="str">
        <f aca="false">IF(G682="","",G682/SUMIFS($G$2:$G$1462,$F$2:$F$1462,"Served"))</f>
        <v/>
      </c>
      <c r="I682" s="4" t="str">
        <f aca="false">IF(G682="","",RANK(G682,$G$2:$G$1462,0))</f>
        <v/>
      </c>
      <c r="J682" s="4" t="s">
        <v>34</v>
      </c>
    </row>
    <row r="683" customFormat="false" ht="15" hidden="false" customHeight="false" outlineLevel="0" collapsed="false">
      <c r="A683" s="4" t="s">
        <v>1450</v>
      </c>
      <c r="B683" s="4" t="s">
        <v>1316</v>
      </c>
      <c r="C683" s="4" t="s">
        <v>1317</v>
      </c>
      <c r="D683" s="7" t="s">
        <v>1451</v>
      </c>
      <c r="E683" s="4" t="s">
        <v>1319</v>
      </c>
      <c r="F683" s="4" t="s">
        <v>5</v>
      </c>
      <c r="G683" s="8"/>
      <c r="H683" s="6" t="str">
        <f aca="false">IF(G683="","",G683/SUMIFS($G$2:$G$1462,$F$2:$F$1462,"Served"))</f>
        <v/>
      </c>
      <c r="I683" s="4" t="str">
        <f aca="false">IF(G683="","",RANK(G683,$G$2:$G$1462,0))</f>
        <v/>
      </c>
      <c r="J683" s="4" t="s">
        <v>34</v>
      </c>
    </row>
    <row r="684" customFormat="false" ht="15" hidden="false" customHeight="false" outlineLevel="0" collapsed="false">
      <c r="A684" s="4" t="s">
        <v>1452</v>
      </c>
      <c r="B684" s="4" t="s">
        <v>1316</v>
      </c>
      <c r="C684" s="4" t="s">
        <v>1317</v>
      </c>
      <c r="D684" s="7" t="s">
        <v>1453</v>
      </c>
      <c r="E684" s="4" t="s">
        <v>1319</v>
      </c>
      <c r="F684" s="4" t="s">
        <v>5</v>
      </c>
      <c r="G684" s="8"/>
      <c r="H684" s="6" t="str">
        <f aca="false">IF(G684="","",G684/SUMIFS($G$2:$G$1462,$F$2:$F$1462,"Served"))</f>
        <v/>
      </c>
      <c r="I684" s="4" t="str">
        <f aca="false">IF(G684="","",RANK(G684,$G$2:$G$1462,0))</f>
        <v/>
      </c>
      <c r="J684" s="4" t="s">
        <v>34</v>
      </c>
    </row>
    <row r="685" customFormat="false" ht="15" hidden="false" customHeight="false" outlineLevel="0" collapsed="false">
      <c r="A685" s="4" t="s">
        <v>1454</v>
      </c>
      <c r="B685" s="4" t="s">
        <v>1316</v>
      </c>
      <c r="C685" s="4" t="s">
        <v>1317</v>
      </c>
      <c r="D685" s="7" t="s">
        <v>1455</v>
      </c>
      <c r="E685" s="4" t="s">
        <v>1319</v>
      </c>
      <c r="F685" s="4" t="s">
        <v>5</v>
      </c>
      <c r="G685" s="8"/>
      <c r="H685" s="6" t="str">
        <f aca="false">IF(G685="","",G685/SUMIFS($G$2:$G$1462,$F$2:$F$1462,"Served"))</f>
        <v/>
      </c>
      <c r="I685" s="4" t="str">
        <f aca="false">IF(G685="","",RANK(G685,$G$2:$G$1462,0))</f>
        <v/>
      </c>
      <c r="J685" s="4" t="s">
        <v>34</v>
      </c>
    </row>
    <row r="686" customFormat="false" ht="15" hidden="false" customHeight="false" outlineLevel="0" collapsed="false">
      <c r="A686" s="4" t="s">
        <v>1456</v>
      </c>
      <c r="B686" s="4" t="s">
        <v>1316</v>
      </c>
      <c r="C686" s="4" t="s">
        <v>1317</v>
      </c>
      <c r="D686" s="7" t="s">
        <v>1457</v>
      </c>
      <c r="E686" s="4" t="s">
        <v>1319</v>
      </c>
      <c r="F686" s="4" t="s">
        <v>5</v>
      </c>
      <c r="G686" s="8"/>
      <c r="H686" s="6" t="str">
        <f aca="false">IF(G686="","",G686/SUMIFS($G$2:$G$1462,$F$2:$F$1462,"Served"))</f>
        <v/>
      </c>
      <c r="I686" s="4" t="str">
        <f aca="false">IF(G686="","",RANK(G686,$G$2:$G$1462,0))</f>
        <v/>
      </c>
      <c r="J686" s="4" t="s">
        <v>34</v>
      </c>
    </row>
    <row r="687" customFormat="false" ht="15" hidden="false" customHeight="false" outlineLevel="0" collapsed="false">
      <c r="A687" s="4" t="s">
        <v>1458</v>
      </c>
      <c r="B687" s="4" t="s">
        <v>1316</v>
      </c>
      <c r="C687" s="4" t="s">
        <v>1317</v>
      </c>
      <c r="D687" s="7" t="s">
        <v>1459</v>
      </c>
      <c r="E687" s="4" t="s">
        <v>1319</v>
      </c>
      <c r="F687" s="4" t="s">
        <v>5</v>
      </c>
      <c r="G687" s="8"/>
      <c r="H687" s="6" t="str">
        <f aca="false">IF(G687="","",G687/SUMIFS($G$2:$G$1462,$F$2:$F$1462,"Served"))</f>
        <v/>
      </c>
      <c r="I687" s="4" t="str">
        <f aca="false">IF(G687="","",RANK(G687,$G$2:$G$1462,0))</f>
        <v/>
      </c>
      <c r="J687" s="4" t="s">
        <v>34</v>
      </c>
    </row>
    <row r="688" customFormat="false" ht="15" hidden="false" customHeight="false" outlineLevel="0" collapsed="false">
      <c r="A688" s="4" t="s">
        <v>1460</v>
      </c>
      <c r="B688" s="4" t="s">
        <v>1316</v>
      </c>
      <c r="C688" s="4" t="s">
        <v>1317</v>
      </c>
      <c r="D688" s="7" t="s">
        <v>1461</v>
      </c>
      <c r="E688" s="4" t="s">
        <v>1319</v>
      </c>
      <c r="F688" s="4" t="s">
        <v>5</v>
      </c>
      <c r="G688" s="8"/>
      <c r="H688" s="6" t="str">
        <f aca="false">IF(G688="","",G688/SUMIFS($G$2:$G$1462,$F$2:$F$1462,"Served"))</f>
        <v/>
      </c>
      <c r="I688" s="4" t="str">
        <f aca="false">IF(G688="","",RANK(G688,$G$2:$G$1462,0))</f>
        <v/>
      </c>
      <c r="J688" s="4" t="s">
        <v>34</v>
      </c>
    </row>
    <row r="689" customFormat="false" ht="15" hidden="false" customHeight="false" outlineLevel="0" collapsed="false">
      <c r="A689" s="4" t="s">
        <v>1462</v>
      </c>
      <c r="B689" s="4" t="s">
        <v>1316</v>
      </c>
      <c r="C689" s="4" t="s">
        <v>1317</v>
      </c>
      <c r="D689" s="7" t="s">
        <v>1463</v>
      </c>
      <c r="E689" s="4" t="s">
        <v>1319</v>
      </c>
      <c r="F689" s="4" t="s">
        <v>5</v>
      </c>
      <c r="G689" s="8"/>
      <c r="H689" s="6" t="str">
        <f aca="false">IF(G689="","",G689/SUMIFS($G$2:$G$1462,$F$2:$F$1462,"Served"))</f>
        <v/>
      </c>
      <c r="I689" s="4" t="str">
        <f aca="false">IF(G689="","",RANK(G689,$G$2:$G$1462,0))</f>
        <v/>
      </c>
      <c r="J689" s="4" t="s">
        <v>34</v>
      </c>
    </row>
    <row r="690" customFormat="false" ht="15" hidden="false" customHeight="false" outlineLevel="0" collapsed="false">
      <c r="A690" s="4" t="s">
        <v>1464</v>
      </c>
      <c r="B690" s="4" t="s">
        <v>1316</v>
      </c>
      <c r="C690" s="4" t="s">
        <v>1317</v>
      </c>
      <c r="D690" s="7" t="s">
        <v>1465</v>
      </c>
      <c r="E690" s="4" t="s">
        <v>1319</v>
      </c>
      <c r="F690" s="4" t="s">
        <v>5</v>
      </c>
      <c r="G690" s="8"/>
      <c r="H690" s="6" t="str">
        <f aca="false">IF(G690="","",G690/SUMIFS($G$2:$G$1462,$F$2:$F$1462,"Served"))</f>
        <v/>
      </c>
      <c r="I690" s="4" t="str">
        <f aca="false">IF(G690="","",RANK(G690,$G$2:$G$1462,0))</f>
        <v/>
      </c>
      <c r="J690" s="4" t="s">
        <v>34</v>
      </c>
    </row>
    <row r="691" customFormat="false" ht="15" hidden="false" customHeight="false" outlineLevel="0" collapsed="false">
      <c r="A691" s="4" t="s">
        <v>1466</v>
      </c>
      <c r="B691" s="4" t="s">
        <v>1316</v>
      </c>
      <c r="C691" s="4" t="s">
        <v>1317</v>
      </c>
      <c r="D691" s="7" t="s">
        <v>1467</v>
      </c>
      <c r="E691" s="4" t="s">
        <v>1319</v>
      </c>
      <c r="F691" s="4" t="s">
        <v>5</v>
      </c>
      <c r="G691" s="8"/>
      <c r="H691" s="6" t="str">
        <f aca="false">IF(G691="","",G691/SUMIFS($G$2:$G$1462,$F$2:$F$1462,"Served"))</f>
        <v/>
      </c>
      <c r="I691" s="4" t="str">
        <f aca="false">IF(G691="","",RANK(G691,$G$2:$G$1462,0))</f>
        <v/>
      </c>
      <c r="J691" s="4" t="s">
        <v>34</v>
      </c>
    </row>
    <row r="692" customFormat="false" ht="15" hidden="false" customHeight="false" outlineLevel="0" collapsed="false">
      <c r="A692" s="4" t="s">
        <v>1468</v>
      </c>
      <c r="B692" s="4" t="s">
        <v>1316</v>
      </c>
      <c r="C692" s="4" t="s">
        <v>1317</v>
      </c>
      <c r="D692" s="7" t="s">
        <v>1469</v>
      </c>
      <c r="E692" s="4" t="s">
        <v>1319</v>
      </c>
      <c r="F692" s="4" t="s">
        <v>5</v>
      </c>
      <c r="G692" s="8"/>
      <c r="H692" s="6" t="str">
        <f aca="false">IF(G692="","",G692/SUMIFS($G$2:$G$1462,$F$2:$F$1462,"Served"))</f>
        <v/>
      </c>
      <c r="I692" s="4" t="str">
        <f aca="false">IF(G692="","",RANK(G692,$G$2:$G$1462,0))</f>
        <v/>
      </c>
      <c r="J692" s="4" t="s">
        <v>34</v>
      </c>
    </row>
    <row r="693" customFormat="false" ht="15" hidden="false" customHeight="false" outlineLevel="0" collapsed="false">
      <c r="A693" s="4" t="s">
        <v>1470</v>
      </c>
      <c r="B693" s="4" t="s">
        <v>1316</v>
      </c>
      <c r="C693" s="4" t="s">
        <v>1317</v>
      </c>
      <c r="D693" s="7" t="s">
        <v>1471</v>
      </c>
      <c r="E693" s="4" t="s">
        <v>1319</v>
      </c>
      <c r="F693" s="4" t="s">
        <v>5</v>
      </c>
      <c r="G693" s="8"/>
      <c r="H693" s="6" t="str">
        <f aca="false">IF(G693="","",G693/SUMIFS($G$2:$G$1462,$F$2:$F$1462,"Served"))</f>
        <v/>
      </c>
      <c r="I693" s="4" t="str">
        <f aca="false">IF(G693="","",RANK(G693,$G$2:$G$1462,0))</f>
        <v/>
      </c>
      <c r="J693" s="4" t="s">
        <v>34</v>
      </c>
    </row>
    <row r="694" customFormat="false" ht="15" hidden="false" customHeight="false" outlineLevel="0" collapsed="false">
      <c r="A694" s="4" t="s">
        <v>1472</v>
      </c>
      <c r="B694" s="4" t="s">
        <v>1473</v>
      </c>
      <c r="C694" s="4" t="s">
        <v>1474</v>
      </c>
      <c r="D694" s="7" t="s">
        <v>1475</v>
      </c>
      <c r="E694" s="4" t="s">
        <v>1476</v>
      </c>
      <c r="F694" s="4" t="s">
        <v>5</v>
      </c>
      <c r="G694" s="8"/>
      <c r="H694" s="6" t="str">
        <f aca="false">IF(G694="","",G694/SUMIFS($G$2:$G$1462,$F$2:$F$1462,"Served"))</f>
        <v/>
      </c>
      <c r="I694" s="4" t="str">
        <f aca="false">IF(G694="","",RANK(G694,$G$2:$G$1462,0))</f>
        <v/>
      </c>
      <c r="J694" s="4" t="s">
        <v>34</v>
      </c>
    </row>
    <row r="695" customFormat="false" ht="15" hidden="false" customHeight="false" outlineLevel="0" collapsed="false">
      <c r="A695" s="4" t="s">
        <v>1477</v>
      </c>
      <c r="B695" s="4" t="s">
        <v>1473</v>
      </c>
      <c r="C695" s="4" t="s">
        <v>1474</v>
      </c>
      <c r="D695" s="7" t="s">
        <v>1478</v>
      </c>
      <c r="E695" s="4" t="s">
        <v>1476</v>
      </c>
      <c r="F695" s="4" t="s">
        <v>5</v>
      </c>
      <c r="G695" s="8"/>
      <c r="H695" s="6" t="str">
        <f aca="false">IF(G695="","",G695/SUMIFS($G$2:$G$1462,$F$2:$F$1462,"Served"))</f>
        <v/>
      </c>
      <c r="I695" s="4" t="str">
        <f aca="false">IF(G695="","",RANK(G695,$G$2:$G$1462,0))</f>
        <v/>
      </c>
      <c r="J695" s="4" t="s">
        <v>34</v>
      </c>
    </row>
    <row r="696" customFormat="false" ht="15" hidden="false" customHeight="false" outlineLevel="0" collapsed="false">
      <c r="A696" s="4" t="s">
        <v>1479</v>
      </c>
      <c r="B696" s="4" t="s">
        <v>1473</v>
      </c>
      <c r="C696" s="4" t="s">
        <v>1474</v>
      </c>
      <c r="D696" s="7" t="s">
        <v>1480</v>
      </c>
      <c r="E696" s="4" t="s">
        <v>1476</v>
      </c>
      <c r="F696" s="4" t="s">
        <v>5</v>
      </c>
      <c r="G696" s="8"/>
      <c r="H696" s="6" t="str">
        <f aca="false">IF(G696="","",G696/SUMIFS($G$2:$G$1462,$F$2:$F$1462,"Served"))</f>
        <v/>
      </c>
      <c r="I696" s="4" t="str">
        <f aca="false">IF(G696="","",RANK(G696,$G$2:$G$1462,0))</f>
        <v/>
      </c>
      <c r="J696" s="4" t="s">
        <v>34</v>
      </c>
    </row>
    <row r="697" customFormat="false" ht="15" hidden="false" customHeight="false" outlineLevel="0" collapsed="false">
      <c r="A697" s="4" t="s">
        <v>1481</v>
      </c>
      <c r="B697" s="4" t="s">
        <v>1473</v>
      </c>
      <c r="C697" s="4" t="s">
        <v>1474</v>
      </c>
      <c r="D697" s="7" t="s">
        <v>1482</v>
      </c>
      <c r="E697" s="4" t="s">
        <v>1476</v>
      </c>
      <c r="F697" s="4" t="s">
        <v>5</v>
      </c>
      <c r="G697" s="8"/>
      <c r="H697" s="6" t="str">
        <f aca="false">IF(G697="","",G697/SUMIFS($G$2:$G$1462,$F$2:$F$1462,"Served"))</f>
        <v/>
      </c>
      <c r="I697" s="4" t="str">
        <f aca="false">IF(G697="","",RANK(G697,$G$2:$G$1462,0))</f>
        <v/>
      </c>
      <c r="J697" s="4" t="s">
        <v>34</v>
      </c>
    </row>
    <row r="698" customFormat="false" ht="15" hidden="false" customHeight="false" outlineLevel="0" collapsed="false">
      <c r="A698" s="4" t="s">
        <v>1483</v>
      </c>
      <c r="B698" s="4" t="s">
        <v>1473</v>
      </c>
      <c r="C698" s="4" t="s">
        <v>1474</v>
      </c>
      <c r="D698" s="7" t="s">
        <v>1484</v>
      </c>
      <c r="E698" s="4" t="s">
        <v>1476</v>
      </c>
      <c r="F698" s="4" t="s">
        <v>5</v>
      </c>
      <c r="G698" s="8"/>
      <c r="H698" s="6" t="str">
        <f aca="false">IF(G698="","",G698/SUMIFS($G$2:$G$1462,$F$2:$F$1462,"Served"))</f>
        <v/>
      </c>
      <c r="I698" s="4" t="str">
        <f aca="false">IF(G698="","",RANK(G698,$G$2:$G$1462,0))</f>
        <v/>
      </c>
      <c r="J698" s="4" t="s">
        <v>34</v>
      </c>
    </row>
    <row r="699" customFormat="false" ht="15" hidden="false" customHeight="false" outlineLevel="0" collapsed="false">
      <c r="A699" s="4" t="s">
        <v>1485</v>
      </c>
      <c r="B699" s="4" t="s">
        <v>1473</v>
      </c>
      <c r="C699" s="4" t="s">
        <v>1474</v>
      </c>
      <c r="D699" s="7" t="s">
        <v>1486</v>
      </c>
      <c r="E699" s="4" t="s">
        <v>1476</v>
      </c>
      <c r="F699" s="4" t="s">
        <v>5</v>
      </c>
      <c r="G699" s="8"/>
      <c r="H699" s="6" t="str">
        <f aca="false">IF(G699="","",G699/SUMIFS($G$2:$G$1462,$F$2:$F$1462,"Served"))</f>
        <v/>
      </c>
      <c r="I699" s="4" t="str">
        <f aca="false">IF(G699="","",RANK(G699,$G$2:$G$1462,0))</f>
        <v/>
      </c>
      <c r="J699" s="4" t="s">
        <v>34</v>
      </c>
    </row>
    <row r="700" customFormat="false" ht="15" hidden="false" customHeight="false" outlineLevel="0" collapsed="false">
      <c r="A700" s="4" t="s">
        <v>1487</v>
      </c>
      <c r="B700" s="4" t="s">
        <v>1473</v>
      </c>
      <c r="C700" s="4" t="s">
        <v>1474</v>
      </c>
      <c r="D700" s="7" t="s">
        <v>1488</v>
      </c>
      <c r="E700" s="4" t="s">
        <v>1476</v>
      </c>
      <c r="F700" s="4" t="s">
        <v>5</v>
      </c>
      <c r="G700" s="8"/>
      <c r="H700" s="6" t="str">
        <f aca="false">IF(G700="","",G700/SUMIFS($G$2:$G$1462,$F$2:$F$1462,"Served"))</f>
        <v/>
      </c>
      <c r="I700" s="4" t="str">
        <f aca="false">IF(G700="","",RANK(G700,$G$2:$G$1462,0))</f>
        <v/>
      </c>
      <c r="J700" s="4" t="s">
        <v>34</v>
      </c>
    </row>
    <row r="701" customFormat="false" ht="15" hidden="false" customHeight="false" outlineLevel="0" collapsed="false">
      <c r="A701" s="4" t="s">
        <v>1489</v>
      </c>
      <c r="B701" s="4" t="s">
        <v>1473</v>
      </c>
      <c r="C701" s="4" t="s">
        <v>1474</v>
      </c>
      <c r="D701" s="7" t="s">
        <v>1490</v>
      </c>
      <c r="E701" s="4" t="s">
        <v>1476</v>
      </c>
      <c r="F701" s="4" t="s">
        <v>5</v>
      </c>
      <c r="G701" s="8"/>
      <c r="H701" s="6" t="str">
        <f aca="false">IF(G701="","",G701/SUMIFS($G$2:$G$1462,$F$2:$F$1462,"Served"))</f>
        <v/>
      </c>
      <c r="I701" s="4" t="str">
        <f aca="false">IF(G701="","",RANK(G701,$G$2:$G$1462,0))</f>
        <v/>
      </c>
      <c r="J701" s="4" t="s">
        <v>34</v>
      </c>
    </row>
    <row r="702" customFormat="false" ht="15" hidden="false" customHeight="false" outlineLevel="0" collapsed="false">
      <c r="A702" s="4" t="s">
        <v>1491</v>
      </c>
      <c r="B702" s="4" t="s">
        <v>1473</v>
      </c>
      <c r="C702" s="4" t="s">
        <v>1474</v>
      </c>
      <c r="D702" s="7" t="s">
        <v>1492</v>
      </c>
      <c r="E702" s="4" t="s">
        <v>1476</v>
      </c>
      <c r="F702" s="4" t="s">
        <v>5</v>
      </c>
      <c r="G702" s="8"/>
      <c r="H702" s="6" t="str">
        <f aca="false">IF(G702="","",G702/SUMIFS($G$2:$G$1462,$F$2:$F$1462,"Served"))</f>
        <v/>
      </c>
      <c r="I702" s="4" t="str">
        <f aca="false">IF(G702="","",RANK(G702,$G$2:$G$1462,0))</f>
        <v/>
      </c>
      <c r="J702" s="4" t="s">
        <v>34</v>
      </c>
    </row>
    <row r="703" customFormat="false" ht="15" hidden="false" customHeight="false" outlineLevel="0" collapsed="false">
      <c r="A703" s="4" t="s">
        <v>1493</v>
      </c>
      <c r="B703" s="4" t="s">
        <v>1473</v>
      </c>
      <c r="C703" s="4" t="s">
        <v>1474</v>
      </c>
      <c r="D703" s="7" t="s">
        <v>1494</v>
      </c>
      <c r="E703" s="4" t="s">
        <v>1476</v>
      </c>
      <c r="F703" s="4" t="s">
        <v>5</v>
      </c>
      <c r="G703" s="8"/>
      <c r="H703" s="6" t="str">
        <f aca="false">IF(G703="","",G703/SUMIFS($G$2:$G$1462,$F$2:$F$1462,"Served"))</f>
        <v/>
      </c>
      <c r="I703" s="4" t="str">
        <f aca="false">IF(G703="","",RANK(G703,$G$2:$G$1462,0))</f>
        <v/>
      </c>
      <c r="J703" s="4" t="s">
        <v>34</v>
      </c>
    </row>
    <row r="704" customFormat="false" ht="15" hidden="false" customHeight="false" outlineLevel="0" collapsed="false">
      <c r="A704" s="4" t="s">
        <v>1495</v>
      </c>
      <c r="B704" s="4" t="s">
        <v>1473</v>
      </c>
      <c r="C704" s="4" t="s">
        <v>1474</v>
      </c>
      <c r="D704" s="7" t="s">
        <v>1496</v>
      </c>
      <c r="E704" s="4" t="s">
        <v>1476</v>
      </c>
      <c r="F704" s="4" t="s">
        <v>5</v>
      </c>
      <c r="G704" s="8"/>
      <c r="H704" s="6" t="str">
        <f aca="false">IF(G704="","",G704/SUMIFS($G$2:$G$1462,$F$2:$F$1462,"Served"))</f>
        <v/>
      </c>
      <c r="I704" s="4" t="str">
        <f aca="false">IF(G704="","",RANK(G704,$G$2:$G$1462,0))</f>
        <v/>
      </c>
      <c r="J704" s="4" t="s">
        <v>34</v>
      </c>
    </row>
    <row r="705" customFormat="false" ht="15" hidden="false" customHeight="false" outlineLevel="0" collapsed="false">
      <c r="A705" s="4" t="s">
        <v>1497</v>
      </c>
      <c r="B705" s="4" t="s">
        <v>1473</v>
      </c>
      <c r="C705" s="4" t="s">
        <v>1474</v>
      </c>
      <c r="D705" s="7" t="s">
        <v>1498</v>
      </c>
      <c r="E705" s="4" t="s">
        <v>1476</v>
      </c>
      <c r="F705" s="4" t="s">
        <v>5</v>
      </c>
      <c r="G705" s="8"/>
      <c r="H705" s="6" t="str">
        <f aca="false">IF(G705="","",G705/SUMIFS($G$2:$G$1462,$F$2:$F$1462,"Served"))</f>
        <v/>
      </c>
      <c r="I705" s="4" t="str">
        <f aca="false">IF(G705="","",RANK(G705,$G$2:$G$1462,0))</f>
        <v/>
      </c>
      <c r="J705" s="4" t="s">
        <v>34</v>
      </c>
    </row>
    <row r="706" customFormat="false" ht="15" hidden="false" customHeight="false" outlineLevel="0" collapsed="false">
      <c r="A706" s="4" t="s">
        <v>1499</v>
      </c>
      <c r="B706" s="4" t="s">
        <v>1473</v>
      </c>
      <c r="C706" s="4" t="s">
        <v>1474</v>
      </c>
      <c r="D706" s="7" t="s">
        <v>1500</v>
      </c>
      <c r="E706" s="4" t="s">
        <v>1476</v>
      </c>
      <c r="F706" s="4" t="s">
        <v>5</v>
      </c>
      <c r="G706" s="8"/>
      <c r="H706" s="6" t="str">
        <f aca="false">IF(G706="","",G706/SUMIFS($G$2:$G$1462,$F$2:$F$1462,"Served"))</f>
        <v/>
      </c>
      <c r="I706" s="4" t="str">
        <f aca="false">IF(G706="","",RANK(G706,$G$2:$G$1462,0))</f>
        <v/>
      </c>
      <c r="J706" s="4" t="s">
        <v>34</v>
      </c>
    </row>
    <row r="707" customFormat="false" ht="15" hidden="false" customHeight="false" outlineLevel="0" collapsed="false">
      <c r="A707" s="4" t="s">
        <v>1501</v>
      </c>
      <c r="B707" s="4" t="s">
        <v>1473</v>
      </c>
      <c r="C707" s="4" t="s">
        <v>1474</v>
      </c>
      <c r="D707" s="7" t="s">
        <v>1502</v>
      </c>
      <c r="E707" s="4" t="s">
        <v>1476</v>
      </c>
      <c r="F707" s="4" t="s">
        <v>5</v>
      </c>
      <c r="G707" s="8"/>
      <c r="H707" s="6" t="str">
        <f aca="false">IF(G707="","",G707/SUMIFS($G$2:$G$1462,$F$2:$F$1462,"Served"))</f>
        <v/>
      </c>
      <c r="I707" s="4" t="str">
        <f aca="false">IF(G707="","",RANK(G707,$G$2:$G$1462,0))</f>
        <v/>
      </c>
      <c r="J707" s="4" t="s">
        <v>34</v>
      </c>
    </row>
    <row r="708" customFormat="false" ht="15" hidden="false" customHeight="false" outlineLevel="0" collapsed="false">
      <c r="A708" s="4" t="s">
        <v>1503</v>
      </c>
      <c r="B708" s="4" t="s">
        <v>1473</v>
      </c>
      <c r="C708" s="4" t="s">
        <v>1474</v>
      </c>
      <c r="D708" s="7" t="s">
        <v>1504</v>
      </c>
      <c r="E708" s="4" t="s">
        <v>1476</v>
      </c>
      <c r="F708" s="4" t="s">
        <v>5</v>
      </c>
      <c r="G708" s="8"/>
      <c r="H708" s="6" t="str">
        <f aca="false">IF(G708="","",G708/SUMIFS($G$2:$G$1462,$F$2:$F$1462,"Served"))</f>
        <v/>
      </c>
      <c r="I708" s="4" t="str">
        <f aca="false">IF(G708="","",RANK(G708,$G$2:$G$1462,0))</f>
        <v/>
      </c>
      <c r="J708" s="4" t="s">
        <v>34</v>
      </c>
    </row>
    <row r="709" customFormat="false" ht="15" hidden="false" customHeight="false" outlineLevel="0" collapsed="false">
      <c r="A709" s="4" t="s">
        <v>1505</v>
      </c>
      <c r="B709" s="4" t="s">
        <v>1473</v>
      </c>
      <c r="C709" s="4" t="s">
        <v>1474</v>
      </c>
      <c r="D709" s="7" t="s">
        <v>1506</v>
      </c>
      <c r="E709" s="4" t="s">
        <v>1476</v>
      </c>
      <c r="F709" s="4" t="s">
        <v>5</v>
      </c>
      <c r="G709" s="8"/>
      <c r="H709" s="6" t="str">
        <f aca="false">IF(G709="","",G709/SUMIFS($G$2:$G$1462,$F$2:$F$1462,"Served"))</f>
        <v/>
      </c>
      <c r="I709" s="4" t="str">
        <f aca="false">IF(G709="","",RANK(G709,$G$2:$G$1462,0))</f>
        <v/>
      </c>
      <c r="J709" s="4" t="s">
        <v>34</v>
      </c>
    </row>
    <row r="710" customFormat="false" ht="15" hidden="false" customHeight="false" outlineLevel="0" collapsed="false">
      <c r="A710" s="4" t="s">
        <v>1507</v>
      </c>
      <c r="B710" s="4" t="s">
        <v>1473</v>
      </c>
      <c r="C710" s="4" t="s">
        <v>1474</v>
      </c>
      <c r="D710" s="7" t="s">
        <v>1508</v>
      </c>
      <c r="E710" s="4" t="s">
        <v>1476</v>
      </c>
      <c r="F710" s="4" t="s">
        <v>5</v>
      </c>
      <c r="G710" s="8"/>
      <c r="H710" s="6" t="str">
        <f aca="false">IF(G710="","",G710/SUMIFS($G$2:$G$1462,$F$2:$F$1462,"Served"))</f>
        <v/>
      </c>
      <c r="I710" s="4" t="str">
        <f aca="false">IF(G710="","",RANK(G710,$G$2:$G$1462,0))</f>
        <v/>
      </c>
      <c r="J710" s="4" t="s">
        <v>34</v>
      </c>
    </row>
    <row r="711" customFormat="false" ht="15" hidden="false" customHeight="false" outlineLevel="0" collapsed="false">
      <c r="A711" s="4" t="s">
        <v>1509</v>
      </c>
      <c r="B711" s="4" t="s">
        <v>1473</v>
      </c>
      <c r="C711" s="4" t="s">
        <v>1474</v>
      </c>
      <c r="D711" s="7" t="s">
        <v>1510</v>
      </c>
      <c r="E711" s="4" t="s">
        <v>1476</v>
      </c>
      <c r="F711" s="4" t="s">
        <v>5</v>
      </c>
      <c r="G711" s="8"/>
      <c r="H711" s="6" t="str">
        <f aca="false">IF(G711="","",G711/SUMIFS($G$2:$G$1462,$F$2:$F$1462,"Served"))</f>
        <v/>
      </c>
      <c r="I711" s="4" t="str">
        <f aca="false">IF(G711="","",RANK(G711,$G$2:$G$1462,0))</f>
        <v/>
      </c>
      <c r="J711" s="4" t="s">
        <v>34</v>
      </c>
    </row>
    <row r="712" customFormat="false" ht="15" hidden="false" customHeight="false" outlineLevel="0" collapsed="false">
      <c r="A712" s="4" t="s">
        <v>1511</v>
      </c>
      <c r="B712" s="4" t="s">
        <v>1473</v>
      </c>
      <c r="C712" s="4" t="s">
        <v>1474</v>
      </c>
      <c r="D712" s="7" t="s">
        <v>1512</v>
      </c>
      <c r="E712" s="4" t="s">
        <v>1476</v>
      </c>
      <c r="F712" s="4" t="s">
        <v>5</v>
      </c>
      <c r="G712" s="8"/>
      <c r="H712" s="6" t="str">
        <f aca="false">IF(G712="","",G712/SUMIFS($G$2:$G$1462,$F$2:$F$1462,"Served"))</f>
        <v/>
      </c>
      <c r="I712" s="4" t="str">
        <f aca="false">IF(G712="","",RANK(G712,$G$2:$G$1462,0))</f>
        <v/>
      </c>
      <c r="J712" s="4" t="s">
        <v>34</v>
      </c>
    </row>
    <row r="713" customFormat="false" ht="15" hidden="false" customHeight="false" outlineLevel="0" collapsed="false">
      <c r="A713" s="4" t="s">
        <v>1513</v>
      </c>
      <c r="B713" s="4" t="s">
        <v>1473</v>
      </c>
      <c r="C713" s="4" t="s">
        <v>1474</v>
      </c>
      <c r="D713" s="7" t="s">
        <v>1514</v>
      </c>
      <c r="E713" s="4" t="s">
        <v>1476</v>
      </c>
      <c r="F713" s="4" t="s">
        <v>5</v>
      </c>
      <c r="G713" s="8"/>
      <c r="H713" s="6" t="str">
        <f aca="false">IF(G713="","",G713/SUMIFS($G$2:$G$1462,$F$2:$F$1462,"Served"))</f>
        <v/>
      </c>
      <c r="I713" s="4" t="str">
        <f aca="false">IF(G713="","",RANK(G713,$G$2:$G$1462,0))</f>
        <v/>
      </c>
      <c r="J713" s="4" t="s">
        <v>34</v>
      </c>
    </row>
    <row r="714" customFormat="false" ht="15" hidden="false" customHeight="false" outlineLevel="0" collapsed="false">
      <c r="A714" s="4" t="s">
        <v>1515</v>
      </c>
      <c r="B714" s="4" t="s">
        <v>1473</v>
      </c>
      <c r="C714" s="4" t="s">
        <v>1474</v>
      </c>
      <c r="D714" s="7" t="s">
        <v>1516</v>
      </c>
      <c r="E714" s="4" t="s">
        <v>1476</v>
      </c>
      <c r="F714" s="4" t="s">
        <v>5</v>
      </c>
      <c r="G714" s="8"/>
      <c r="H714" s="6" t="str">
        <f aca="false">IF(G714="","",G714/SUMIFS($G$2:$G$1462,$F$2:$F$1462,"Served"))</f>
        <v/>
      </c>
      <c r="I714" s="4" t="str">
        <f aca="false">IF(G714="","",RANK(G714,$G$2:$G$1462,0))</f>
        <v/>
      </c>
      <c r="J714" s="4" t="s">
        <v>34</v>
      </c>
    </row>
    <row r="715" customFormat="false" ht="15" hidden="false" customHeight="false" outlineLevel="0" collapsed="false">
      <c r="A715" s="4" t="s">
        <v>1517</v>
      </c>
      <c r="B715" s="4" t="s">
        <v>1473</v>
      </c>
      <c r="C715" s="4" t="s">
        <v>1474</v>
      </c>
      <c r="D715" s="7" t="s">
        <v>1518</v>
      </c>
      <c r="E715" s="4" t="s">
        <v>1476</v>
      </c>
      <c r="F715" s="4" t="s">
        <v>5</v>
      </c>
      <c r="G715" s="8"/>
      <c r="H715" s="6" t="str">
        <f aca="false">IF(G715="","",G715/SUMIFS($G$2:$G$1462,$F$2:$F$1462,"Served"))</f>
        <v/>
      </c>
      <c r="I715" s="4" t="str">
        <f aca="false">IF(G715="","",RANK(G715,$G$2:$G$1462,0))</f>
        <v/>
      </c>
      <c r="J715" s="4" t="s">
        <v>34</v>
      </c>
    </row>
    <row r="716" customFormat="false" ht="15" hidden="false" customHeight="false" outlineLevel="0" collapsed="false">
      <c r="A716" s="4" t="s">
        <v>1519</v>
      </c>
      <c r="B716" s="4" t="s">
        <v>1473</v>
      </c>
      <c r="C716" s="4" t="s">
        <v>1474</v>
      </c>
      <c r="D716" s="7" t="s">
        <v>1520</v>
      </c>
      <c r="E716" s="4" t="s">
        <v>1476</v>
      </c>
      <c r="F716" s="4" t="s">
        <v>5</v>
      </c>
      <c r="G716" s="8"/>
      <c r="H716" s="6" t="str">
        <f aca="false">IF(G716="","",G716/SUMIFS($G$2:$G$1462,$F$2:$F$1462,"Served"))</f>
        <v/>
      </c>
      <c r="I716" s="4" t="str">
        <f aca="false">IF(G716="","",RANK(G716,$G$2:$G$1462,0))</f>
        <v/>
      </c>
      <c r="J716" s="4" t="s">
        <v>34</v>
      </c>
    </row>
    <row r="717" customFormat="false" ht="15" hidden="false" customHeight="false" outlineLevel="0" collapsed="false">
      <c r="A717" s="4" t="s">
        <v>1521</v>
      </c>
      <c r="B717" s="4" t="s">
        <v>1473</v>
      </c>
      <c r="C717" s="4" t="s">
        <v>1474</v>
      </c>
      <c r="D717" s="7" t="s">
        <v>1522</v>
      </c>
      <c r="E717" s="4" t="s">
        <v>1476</v>
      </c>
      <c r="F717" s="4" t="s">
        <v>5</v>
      </c>
      <c r="G717" s="8"/>
      <c r="H717" s="6" t="str">
        <f aca="false">IF(G717="","",G717/SUMIFS($G$2:$G$1462,$F$2:$F$1462,"Served"))</f>
        <v/>
      </c>
      <c r="I717" s="4" t="str">
        <f aca="false">IF(G717="","",RANK(G717,$G$2:$G$1462,0))</f>
        <v/>
      </c>
      <c r="J717" s="4" t="s">
        <v>34</v>
      </c>
    </row>
    <row r="718" customFormat="false" ht="15" hidden="false" customHeight="false" outlineLevel="0" collapsed="false">
      <c r="A718" s="4" t="s">
        <v>1523</v>
      </c>
      <c r="B718" s="4" t="s">
        <v>1473</v>
      </c>
      <c r="C718" s="4" t="s">
        <v>1474</v>
      </c>
      <c r="D718" s="7" t="s">
        <v>1524</v>
      </c>
      <c r="E718" s="4" t="s">
        <v>1476</v>
      </c>
      <c r="F718" s="4" t="s">
        <v>5</v>
      </c>
      <c r="G718" s="8"/>
      <c r="H718" s="6" t="str">
        <f aca="false">IF(G718="","",G718/SUMIFS($G$2:$G$1462,$F$2:$F$1462,"Served"))</f>
        <v/>
      </c>
      <c r="I718" s="4" t="str">
        <f aca="false">IF(G718="","",RANK(G718,$G$2:$G$1462,0))</f>
        <v/>
      </c>
      <c r="J718" s="4" t="s">
        <v>34</v>
      </c>
    </row>
    <row r="719" customFormat="false" ht="15" hidden="false" customHeight="false" outlineLevel="0" collapsed="false">
      <c r="A719" s="4" t="s">
        <v>1525</v>
      </c>
      <c r="B719" s="4" t="s">
        <v>1473</v>
      </c>
      <c r="C719" s="4" t="s">
        <v>1474</v>
      </c>
      <c r="D719" s="7" t="s">
        <v>1526</v>
      </c>
      <c r="E719" s="4" t="s">
        <v>1476</v>
      </c>
      <c r="F719" s="4" t="s">
        <v>5</v>
      </c>
      <c r="G719" s="8"/>
      <c r="H719" s="6" t="str">
        <f aca="false">IF(G719="","",G719/SUMIFS($G$2:$G$1462,$F$2:$F$1462,"Served"))</f>
        <v/>
      </c>
      <c r="I719" s="4" t="str">
        <f aca="false">IF(G719="","",RANK(G719,$G$2:$G$1462,0))</f>
        <v/>
      </c>
      <c r="J719" s="4" t="s">
        <v>34</v>
      </c>
    </row>
    <row r="720" customFormat="false" ht="15" hidden="false" customHeight="false" outlineLevel="0" collapsed="false">
      <c r="A720" s="4" t="s">
        <v>1527</v>
      </c>
      <c r="B720" s="4" t="s">
        <v>1473</v>
      </c>
      <c r="C720" s="4" t="s">
        <v>1474</v>
      </c>
      <c r="D720" s="7" t="s">
        <v>1528</v>
      </c>
      <c r="E720" s="4" t="s">
        <v>1476</v>
      </c>
      <c r="F720" s="4" t="s">
        <v>5</v>
      </c>
      <c r="G720" s="8"/>
      <c r="H720" s="6" t="str">
        <f aca="false">IF(G720="","",G720/SUMIFS($G$2:$G$1462,$F$2:$F$1462,"Served"))</f>
        <v/>
      </c>
      <c r="I720" s="4" t="str">
        <f aca="false">IF(G720="","",RANK(G720,$G$2:$G$1462,0))</f>
        <v/>
      </c>
      <c r="J720" s="4" t="s">
        <v>34</v>
      </c>
    </row>
    <row r="721" customFormat="false" ht="15" hidden="false" customHeight="false" outlineLevel="0" collapsed="false">
      <c r="A721" s="4" t="s">
        <v>1529</v>
      </c>
      <c r="B721" s="4" t="s">
        <v>1473</v>
      </c>
      <c r="C721" s="4" t="s">
        <v>1474</v>
      </c>
      <c r="D721" s="7" t="s">
        <v>1530</v>
      </c>
      <c r="E721" s="4" t="s">
        <v>1476</v>
      </c>
      <c r="F721" s="4" t="s">
        <v>5</v>
      </c>
      <c r="G721" s="8"/>
      <c r="H721" s="6" t="str">
        <f aca="false">IF(G721="","",G721/SUMIFS($G$2:$G$1462,$F$2:$F$1462,"Served"))</f>
        <v/>
      </c>
      <c r="I721" s="4" t="str">
        <f aca="false">IF(G721="","",RANK(G721,$G$2:$G$1462,0))</f>
        <v/>
      </c>
      <c r="J721" s="4" t="s">
        <v>34</v>
      </c>
    </row>
    <row r="722" customFormat="false" ht="15" hidden="false" customHeight="false" outlineLevel="0" collapsed="false">
      <c r="A722" s="4" t="s">
        <v>1531</v>
      </c>
      <c r="B722" s="4" t="s">
        <v>1473</v>
      </c>
      <c r="C722" s="4" t="s">
        <v>1474</v>
      </c>
      <c r="D722" s="7" t="s">
        <v>1532</v>
      </c>
      <c r="E722" s="4" t="s">
        <v>1476</v>
      </c>
      <c r="F722" s="4" t="s">
        <v>5</v>
      </c>
      <c r="G722" s="8"/>
      <c r="H722" s="6" t="str">
        <f aca="false">IF(G722="","",G722/SUMIFS($G$2:$G$1462,$F$2:$F$1462,"Served"))</f>
        <v/>
      </c>
      <c r="I722" s="4" t="str">
        <f aca="false">IF(G722="","",RANK(G722,$G$2:$G$1462,0))</f>
        <v/>
      </c>
      <c r="J722" s="4" t="s">
        <v>34</v>
      </c>
    </row>
    <row r="723" customFormat="false" ht="15" hidden="false" customHeight="false" outlineLevel="0" collapsed="false">
      <c r="A723" s="4" t="s">
        <v>1533</v>
      </c>
      <c r="B723" s="4" t="s">
        <v>1473</v>
      </c>
      <c r="C723" s="4" t="s">
        <v>1474</v>
      </c>
      <c r="D723" s="7" t="s">
        <v>1534</v>
      </c>
      <c r="E723" s="4" t="s">
        <v>1476</v>
      </c>
      <c r="F723" s="4" t="s">
        <v>5</v>
      </c>
      <c r="G723" s="8"/>
      <c r="H723" s="6" t="str">
        <f aca="false">IF(G723="","",G723/SUMIFS($G$2:$G$1462,$F$2:$F$1462,"Served"))</f>
        <v/>
      </c>
      <c r="I723" s="4" t="str">
        <f aca="false">IF(G723="","",RANK(G723,$G$2:$G$1462,0))</f>
        <v/>
      </c>
      <c r="J723" s="4" t="s">
        <v>34</v>
      </c>
    </row>
    <row r="724" customFormat="false" ht="15" hidden="false" customHeight="false" outlineLevel="0" collapsed="false">
      <c r="A724" s="4" t="s">
        <v>1535</v>
      </c>
      <c r="B724" s="4" t="s">
        <v>1473</v>
      </c>
      <c r="C724" s="4" t="s">
        <v>1474</v>
      </c>
      <c r="D724" s="7" t="s">
        <v>1536</v>
      </c>
      <c r="E724" s="4" t="s">
        <v>1476</v>
      </c>
      <c r="F724" s="4" t="s">
        <v>5</v>
      </c>
      <c r="G724" s="8"/>
      <c r="H724" s="6" t="str">
        <f aca="false">IF(G724="","",G724/SUMIFS($G$2:$G$1462,$F$2:$F$1462,"Served"))</f>
        <v/>
      </c>
      <c r="I724" s="4" t="str">
        <f aca="false">IF(G724="","",RANK(G724,$G$2:$G$1462,0))</f>
        <v/>
      </c>
      <c r="J724" s="4" t="s">
        <v>34</v>
      </c>
    </row>
    <row r="725" customFormat="false" ht="15" hidden="false" customHeight="false" outlineLevel="0" collapsed="false">
      <c r="A725" s="4" t="s">
        <v>1537</v>
      </c>
      <c r="B725" s="4" t="s">
        <v>1473</v>
      </c>
      <c r="C725" s="4" t="s">
        <v>1474</v>
      </c>
      <c r="D725" s="7" t="s">
        <v>1538</v>
      </c>
      <c r="E725" s="4" t="s">
        <v>1476</v>
      </c>
      <c r="F725" s="4" t="s">
        <v>5</v>
      </c>
      <c r="G725" s="8"/>
      <c r="H725" s="6" t="str">
        <f aca="false">IF(G725="","",G725/SUMIFS($G$2:$G$1462,$F$2:$F$1462,"Served"))</f>
        <v/>
      </c>
      <c r="I725" s="4" t="str">
        <f aca="false">IF(G725="","",RANK(G725,$G$2:$G$1462,0))</f>
        <v/>
      </c>
      <c r="J725" s="4" t="s">
        <v>34</v>
      </c>
    </row>
    <row r="726" customFormat="false" ht="15" hidden="false" customHeight="false" outlineLevel="0" collapsed="false">
      <c r="A726" s="4" t="s">
        <v>1539</v>
      </c>
      <c r="B726" s="4" t="s">
        <v>1473</v>
      </c>
      <c r="C726" s="4" t="s">
        <v>1474</v>
      </c>
      <c r="D726" s="7" t="s">
        <v>1540</v>
      </c>
      <c r="E726" s="4" t="s">
        <v>1476</v>
      </c>
      <c r="F726" s="4" t="s">
        <v>5</v>
      </c>
      <c r="G726" s="8"/>
      <c r="H726" s="6" t="str">
        <f aca="false">IF(G726="","",G726/SUMIFS($G$2:$G$1462,$F$2:$F$1462,"Served"))</f>
        <v/>
      </c>
      <c r="I726" s="4" t="str">
        <f aca="false">IF(G726="","",RANK(G726,$G$2:$G$1462,0))</f>
        <v/>
      </c>
      <c r="J726" s="4" t="s">
        <v>34</v>
      </c>
    </row>
    <row r="727" customFormat="false" ht="15" hidden="false" customHeight="false" outlineLevel="0" collapsed="false">
      <c r="A727" s="4" t="s">
        <v>1541</v>
      </c>
      <c r="B727" s="4" t="s">
        <v>1473</v>
      </c>
      <c r="C727" s="4" t="s">
        <v>1474</v>
      </c>
      <c r="D727" s="7" t="s">
        <v>1542</v>
      </c>
      <c r="E727" s="4" t="s">
        <v>1476</v>
      </c>
      <c r="F727" s="4" t="s">
        <v>5</v>
      </c>
      <c r="G727" s="8"/>
      <c r="H727" s="6" t="str">
        <f aca="false">IF(G727="","",G727/SUMIFS($G$2:$G$1462,$F$2:$F$1462,"Served"))</f>
        <v/>
      </c>
      <c r="I727" s="4" t="str">
        <f aca="false">IF(G727="","",RANK(G727,$G$2:$G$1462,0))</f>
        <v/>
      </c>
      <c r="J727" s="4" t="s">
        <v>34</v>
      </c>
    </row>
    <row r="728" customFormat="false" ht="15" hidden="false" customHeight="false" outlineLevel="0" collapsed="false">
      <c r="A728" s="4" t="s">
        <v>1543</v>
      </c>
      <c r="B728" s="4" t="s">
        <v>1473</v>
      </c>
      <c r="C728" s="4" t="s">
        <v>1474</v>
      </c>
      <c r="D728" s="7" t="s">
        <v>1544</v>
      </c>
      <c r="E728" s="4" t="s">
        <v>1476</v>
      </c>
      <c r="F728" s="4" t="s">
        <v>5</v>
      </c>
      <c r="G728" s="8"/>
      <c r="H728" s="6" t="str">
        <f aca="false">IF(G728="","",G728/SUMIFS($G$2:$G$1462,$F$2:$F$1462,"Served"))</f>
        <v/>
      </c>
      <c r="I728" s="4" t="str">
        <f aca="false">IF(G728="","",RANK(G728,$G$2:$G$1462,0))</f>
        <v/>
      </c>
      <c r="J728" s="4" t="s">
        <v>34</v>
      </c>
    </row>
    <row r="729" customFormat="false" ht="15" hidden="false" customHeight="false" outlineLevel="0" collapsed="false">
      <c r="A729" s="4" t="s">
        <v>1545</v>
      </c>
      <c r="B729" s="4" t="s">
        <v>1473</v>
      </c>
      <c r="C729" s="4" t="s">
        <v>1474</v>
      </c>
      <c r="D729" s="7" t="s">
        <v>1546</v>
      </c>
      <c r="E729" s="4" t="s">
        <v>1476</v>
      </c>
      <c r="F729" s="4" t="s">
        <v>5</v>
      </c>
      <c r="G729" s="8"/>
      <c r="H729" s="6" t="str">
        <f aca="false">IF(G729="","",G729/SUMIFS($G$2:$G$1462,$F$2:$F$1462,"Served"))</f>
        <v/>
      </c>
      <c r="I729" s="4" t="str">
        <f aca="false">IF(G729="","",RANK(G729,$G$2:$G$1462,0))</f>
        <v/>
      </c>
      <c r="J729" s="4" t="s">
        <v>34</v>
      </c>
    </row>
    <row r="730" customFormat="false" ht="15" hidden="false" customHeight="false" outlineLevel="0" collapsed="false">
      <c r="A730" s="4" t="s">
        <v>1547</v>
      </c>
      <c r="B730" s="4" t="s">
        <v>1473</v>
      </c>
      <c r="C730" s="4" t="s">
        <v>1474</v>
      </c>
      <c r="D730" s="7" t="s">
        <v>1548</v>
      </c>
      <c r="E730" s="4" t="s">
        <v>1476</v>
      </c>
      <c r="F730" s="4" t="s">
        <v>5</v>
      </c>
      <c r="G730" s="8"/>
      <c r="H730" s="6" t="str">
        <f aca="false">IF(G730="","",G730/SUMIFS($G$2:$G$1462,$F$2:$F$1462,"Served"))</f>
        <v/>
      </c>
      <c r="I730" s="4" t="str">
        <f aca="false">IF(G730="","",RANK(G730,$G$2:$G$1462,0))</f>
        <v/>
      </c>
      <c r="J730" s="4" t="s">
        <v>34</v>
      </c>
    </row>
    <row r="731" customFormat="false" ht="15" hidden="false" customHeight="false" outlineLevel="0" collapsed="false">
      <c r="A731" s="4" t="s">
        <v>1549</v>
      </c>
      <c r="B731" s="4" t="s">
        <v>1473</v>
      </c>
      <c r="C731" s="4" t="s">
        <v>1474</v>
      </c>
      <c r="D731" s="7" t="s">
        <v>1550</v>
      </c>
      <c r="E731" s="4" t="s">
        <v>1476</v>
      </c>
      <c r="F731" s="4" t="s">
        <v>5</v>
      </c>
      <c r="G731" s="8"/>
      <c r="H731" s="6" t="str">
        <f aca="false">IF(G731="","",G731/SUMIFS($G$2:$G$1462,$F$2:$F$1462,"Served"))</f>
        <v/>
      </c>
      <c r="I731" s="4" t="str">
        <f aca="false">IF(G731="","",RANK(G731,$G$2:$G$1462,0))</f>
        <v/>
      </c>
      <c r="J731" s="4" t="s">
        <v>34</v>
      </c>
    </row>
    <row r="732" customFormat="false" ht="15" hidden="false" customHeight="false" outlineLevel="0" collapsed="false">
      <c r="A732" s="4" t="s">
        <v>1551</v>
      </c>
      <c r="B732" s="4" t="s">
        <v>1473</v>
      </c>
      <c r="C732" s="4" t="s">
        <v>1474</v>
      </c>
      <c r="D732" s="7" t="s">
        <v>1552</v>
      </c>
      <c r="E732" s="4" t="s">
        <v>1476</v>
      </c>
      <c r="F732" s="4" t="s">
        <v>5</v>
      </c>
      <c r="G732" s="8"/>
      <c r="H732" s="6" t="str">
        <f aca="false">IF(G732="","",G732/SUMIFS($G$2:$G$1462,$F$2:$F$1462,"Served"))</f>
        <v/>
      </c>
      <c r="I732" s="4" t="str">
        <f aca="false">IF(G732="","",RANK(G732,$G$2:$G$1462,0))</f>
        <v/>
      </c>
      <c r="J732" s="4" t="s">
        <v>34</v>
      </c>
    </row>
    <row r="733" customFormat="false" ht="15" hidden="false" customHeight="false" outlineLevel="0" collapsed="false">
      <c r="A733" s="4" t="s">
        <v>1553</v>
      </c>
      <c r="B733" s="4" t="s">
        <v>1473</v>
      </c>
      <c r="C733" s="4" t="s">
        <v>1474</v>
      </c>
      <c r="D733" s="7" t="s">
        <v>1554</v>
      </c>
      <c r="E733" s="4" t="s">
        <v>1476</v>
      </c>
      <c r="F733" s="4" t="s">
        <v>5</v>
      </c>
      <c r="G733" s="8"/>
      <c r="H733" s="6" t="str">
        <f aca="false">IF(G733="","",G733/SUMIFS($G$2:$G$1462,$F$2:$F$1462,"Served"))</f>
        <v/>
      </c>
      <c r="I733" s="4" t="str">
        <f aca="false">IF(G733="","",RANK(G733,$G$2:$G$1462,0))</f>
        <v/>
      </c>
      <c r="J733" s="4" t="s">
        <v>34</v>
      </c>
    </row>
    <row r="734" customFormat="false" ht="15" hidden="false" customHeight="false" outlineLevel="0" collapsed="false">
      <c r="A734" s="4" t="s">
        <v>1555</v>
      </c>
      <c r="B734" s="4" t="s">
        <v>1473</v>
      </c>
      <c r="C734" s="4" t="s">
        <v>1474</v>
      </c>
      <c r="D734" s="7" t="s">
        <v>1556</v>
      </c>
      <c r="E734" s="4" t="s">
        <v>1476</v>
      </c>
      <c r="F734" s="4" t="s">
        <v>5</v>
      </c>
      <c r="G734" s="8"/>
      <c r="H734" s="6" t="str">
        <f aca="false">IF(G734="","",G734/SUMIFS($G$2:$G$1462,$F$2:$F$1462,"Served"))</f>
        <v/>
      </c>
      <c r="I734" s="4" t="str">
        <f aca="false">IF(G734="","",RANK(G734,$G$2:$G$1462,0))</f>
        <v/>
      </c>
      <c r="J734" s="4" t="s">
        <v>34</v>
      </c>
    </row>
    <row r="735" customFormat="false" ht="15" hidden="false" customHeight="false" outlineLevel="0" collapsed="false">
      <c r="A735" s="4" t="s">
        <v>1557</v>
      </c>
      <c r="B735" s="4" t="s">
        <v>1473</v>
      </c>
      <c r="C735" s="4" t="s">
        <v>1474</v>
      </c>
      <c r="D735" s="7" t="s">
        <v>1558</v>
      </c>
      <c r="E735" s="4" t="s">
        <v>1476</v>
      </c>
      <c r="F735" s="4" t="s">
        <v>5</v>
      </c>
      <c r="G735" s="8"/>
      <c r="H735" s="6" t="str">
        <f aca="false">IF(G735="","",G735/SUMIFS($G$2:$G$1462,$F$2:$F$1462,"Served"))</f>
        <v/>
      </c>
      <c r="I735" s="4" t="str">
        <f aca="false">IF(G735="","",RANK(G735,$G$2:$G$1462,0))</f>
        <v/>
      </c>
      <c r="J735" s="4" t="s">
        <v>34</v>
      </c>
    </row>
    <row r="736" customFormat="false" ht="15" hidden="false" customHeight="false" outlineLevel="0" collapsed="false">
      <c r="A736" s="4" t="s">
        <v>1559</v>
      </c>
      <c r="B736" s="4" t="s">
        <v>1473</v>
      </c>
      <c r="C736" s="4" t="s">
        <v>1474</v>
      </c>
      <c r="D736" s="7" t="s">
        <v>1560</v>
      </c>
      <c r="E736" s="4" t="s">
        <v>1476</v>
      </c>
      <c r="F736" s="4" t="s">
        <v>5</v>
      </c>
      <c r="G736" s="8"/>
      <c r="H736" s="6" t="str">
        <f aca="false">IF(G736="","",G736/SUMIFS($G$2:$G$1462,$F$2:$F$1462,"Served"))</f>
        <v/>
      </c>
      <c r="I736" s="4" t="str">
        <f aca="false">IF(G736="","",RANK(G736,$G$2:$G$1462,0))</f>
        <v/>
      </c>
      <c r="J736" s="4" t="s">
        <v>34</v>
      </c>
    </row>
    <row r="737" customFormat="false" ht="15" hidden="false" customHeight="false" outlineLevel="0" collapsed="false">
      <c r="A737" s="4" t="s">
        <v>1561</v>
      </c>
      <c r="B737" s="4" t="s">
        <v>1473</v>
      </c>
      <c r="C737" s="4" t="s">
        <v>1474</v>
      </c>
      <c r="D737" s="7" t="s">
        <v>1562</v>
      </c>
      <c r="E737" s="4" t="s">
        <v>1476</v>
      </c>
      <c r="F737" s="4" t="s">
        <v>5</v>
      </c>
      <c r="G737" s="8"/>
      <c r="H737" s="6" t="str">
        <f aca="false">IF(G737="","",G737/SUMIFS($G$2:$G$1462,$F$2:$F$1462,"Served"))</f>
        <v/>
      </c>
      <c r="I737" s="4" t="str">
        <f aca="false">IF(G737="","",RANK(G737,$G$2:$G$1462,0))</f>
        <v/>
      </c>
      <c r="J737" s="4" t="s">
        <v>34</v>
      </c>
    </row>
    <row r="738" customFormat="false" ht="15" hidden="false" customHeight="false" outlineLevel="0" collapsed="false">
      <c r="A738" s="4" t="s">
        <v>1563</v>
      </c>
      <c r="B738" s="4" t="s">
        <v>1473</v>
      </c>
      <c r="C738" s="4" t="s">
        <v>1474</v>
      </c>
      <c r="D738" s="7" t="s">
        <v>1564</v>
      </c>
      <c r="E738" s="4" t="s">
        <v>1476</v>
      </c>
      <c r="F738" s="4" t="s">
        <v>5</v>
      </c>
      <c r="G738" s="8"/>
      <c r="H738" s="6" t="str">
        <f aca="false">IF(G738="","",G738/SUMIFS($G$2:$G$1462,$F$2:$F$1462,"Served"))</f>
        <v/>
      </c>
      <c r="I738" s="4" t="str">
        <f aca="false">IF(G738="","",RANK(G738,$G$2:$G$1462,0))</f>
        <v/>
      </c>
      <c r="J738" s="4" t="s">
        <v>34</v>
      </c>
    </row>
    <row r="739" customFormat="false" ht="15" hidden="false" customHeight="false" outlineLevel="0" collapsed="false">
      <c r="A739" s="4" t="s">
        <v>1565</v>
      </c>
      <c r="B739" s="4" t="s">
        <v>1473</v>
      </c>
      <c r="C739" s="4" t="s">
        <v>1474</v>
      </c>
      <c r="D739" s="7" t="s">
        <v>1566</v>
      </c>
      <c r="E739" s="4" t="s">
        <v>1476</v>
      </c>
      <c r="F739" s="4" t="s">
        <v>5</v>
      </c>
      <c r="G739" s="8"/>
      <c r="H739" s="6" t="str">
        <f aca="false">IF(G739="","",G739/SUMIFS($G$2:$G$1462,$F$2:$F$1462,"Served"))</f>
        <v/>
      </c>
      <c r="I739" s="4" t="str">
        <f aca="false">IF(G739="","",RANK(G739,$G$2:$G$1462,0))</f>
        <v/>
      </c>
      <c r="J739" s="4" t="s">
        <v>34</v>
      </c>
    </row>
    <row r="740" customFormat="false" ht="15" hidden="false" customHeight="false" outlineLevel="0" collapsed="false">
      <c r="A740" s="4" t="s">
        <v>1567</v>
      </c>
      <c r="B740" s="4" t="s">
        <v>1473</v>
      </c>
      <c r="C740" s="4" t="s">
        <v>1474</v>
      </c>
      <c r="D740" s="7" t="s">
        <v>1568</v>
      </c>
      <c r="E740" s="4" t="s">
        <v>1476</v>
      </c>
      <c r="F740" s="4" t="s">
        <v>5</v>
      </c>
      <c r="G740" s="8"/>
      <c r="H740" s="6" t="str">
        <f aca="false">IF(G740="","",G740/SUMIFS($G$2:$G$1462,$F$2:$F$1462,"Served"))</f>
        <v/>
      </c>
      <c r="I740" s="4" t="str">
        <f aca="false">IF(G740="","",RANK(G740,$G$2:$G$1462,0))</f>
        <v/>
      </c>
      <c r="J740" s="4" t="s">
        <v>34</v>
      </c>
    </row>
    <row r="741" customFormat="false" ht="15" hidden="false" customHeight="false" outlineLevel="0" collapsed="false">
      <c r="A741" s="4" t="s">
        <v>1569</v>
      </c>
      <c r="B741" s="4" t="s">
        <v>1473</v>
      </c>
      <c r="C741" s="4" t="s">
        <v>1474</v>
      </c>
      <c r="D741" s="7" t="s">
        <v>1570</v>
      </c>
      <c r="E741" s="4" t="s">
        <v>1476</v>
      </c>
      <c r="F741" s="4" t="s">
        <v>5</v>
      </c>
      <c r="G741" s="8"/>
      <c r="H741" s="6" t="str">
        <f aca="false">IF(G741="","",G741/SUMIFS($G$2:$G$1462,$F$2:$F$1462,"Served"))</f>
        <v/>
      </c>
      <c r="I741" s="4" t="str">
        <f aca="false">IF(G741="","",RANK(G741,$G$2:$G$1462,0))</f>
        <v/>
      </c>
      <c r="J741" s="4" t="s">
        <v>34</v>
      </c>
    </row>
    <row r="742" customFormat="false" ht="15" hidden="false" customHeight="false" outlineLevel="0" collapsed="false">
      <c r="A742" s="4" t="s">
        <v>1571</v>
      </c>
      <c r="B742" s="4" t="s">
        <v>1473</v>
      </c>
      <c r="C742" s="4" t="s">
        <v>1474</v>
      </c>
      <c r="D742" s="7" t="s">
        <v>1572</v>
      </c>
      <c r="E742" s="4" t="s">
        <v>1476</v>
      </c>
      <c r="F742" s="4" t="s">
        <v>5</v>
      </c>
      <c r="G742" s="8"/>
      <c r="H742" s="6" t="str">
        <f aca="false">IF(G742="","",G742/SUMIFS($G$2:$G$1462,$F$2:$F$1462,"Served"))</f>
        <v/>
      </c>
      <c r="I742" s="4" t="str">
        <f aca="false">IF(G742="","",RANK(G742,$G$2:$G$1462,0))</f>
        <v/>
      </c>
      <c r="J742" s="4" t="s">
        <v>34</v>
      </c>
    </row>
    <row r="743" customFormat="false" ht="15" hidden="false" customHeight="false" outlineLevel="0" collapsed="false">
      <c r="A743" s="4" t="s">
        <v>1573</v>
      </c>
      <c r="B743" s="4" t="s">
        <v>1473</v>
      </c>
      <c r="C743" s="4" t="s">
        <v>1474</v>
      </c>
      <c r="D743" s="7" t="s">
        <v>1574</v>
      </c>
      <c r="E743" s="4" t="s">
        <v>1476</v>
      </c>
      <c r="F743" s="4" t="s">
        <v>5</v>
      </c>
      <c r="G743" s="8"/>
      <c r="H743" s="6" t="str">
        <f aca="false">IF(G743="","",G743/SUMIFS($G$2:$G$1462,$F$2:$F$1462,"Served"))</f>
        <v/>
      </c>
      <c r="I743" s="4" t="str">
        <f aca="false">IF(G743="","",RANK(G743,$G$2:$G$1462,0))</f>
        <v/>
      </c>
      <c r="J743" s="4" t="s">
        <v>34</v>
      </c>
    </row>
    <row r="744" customFormat="false" ht="15" hidden="false" customHeight="false" outlineLevel="0" collapsed="false">
      <c r="A744" s="4" t="s">
        <v>1575</v>
      </c>
      <c r="B744" s="4" t="s">
        <v>1473</v>
      </c>
      <c r="C744" s="4" t="s">
        <v>1474</v>
      </c>
      <c r="D744" s="7" t="s">
        <v>1576</v>
      </c>
      <c r="E744" s="4" t="s">
        <v>1476</v>
      </c>
      <c r="F744" s="4" t="s">
        <v>5</v>
      </c>
      <c r="G744" s="8"/>
      <c r="H744" s="6" t="str">
        <f aca="false">IF(G744="","",G744/SUMIFS($G$2:$G$1462,$F$2:$F$1462,"Served"))</f>
        <v/>
      </c>
      <c r="I744" s="4" t="str">
        <f aca="false">IF(G744="","",RANK(G744,$G$2:$G$1462,0))</f>
        <v/>
      </c>
      <c r="J744" s="4" t="s">
        <v>34</v>
      </c>
    </row>
    <row r="745" customFormat="false" ht="15" hidden="false" customHeight="false" outlineLevel="0" collapsed="false">
      <c r="A745" s="4" t="s">
        <v>1577</v>
      </c>
      <c r="B745" s="4" t="s">
        <v>1473</v>
      </c>
      <c r="C745" s="4" t="s">
        <v>1474</v>
      </c>
      <c r="D745" s="7" t="s">
        <v>1578</v>
      </c>
      <c r="E745" s="4" t="s">
        <v>1476</v>
      </c>
      <c r="F745" s="4" t="s">
        <v>5</v>
      </c>
      <c r="G745" s="8"/>
      <c r="H745" s="6" t="str">
        <f aca="false">IF(G745="","",G745/SUMIFS($G$2:$G$1462,$F$2:$F$1462,"Served"))</f>
        <v/>
      </c>
      <c r="I745" s="4" t="str">
        <f aca="false">IF(G745="","",RANK(G745,$G$2:$G$1462,0))</f>
        <v/>
      </c>
      <c r="J745" s="4" t="s">
        <v>34</v>
      </c>
    </row>
    <row r="746" customFormat="false" ht="15" hidden="false" customHeight="false" outlineLevel="0" collapsed="false">
      <c r="A746" s="4" t="s">
        <v>1579</v>
      </c>
      <c r="B746" s="4" t="s">
        <v>1473</v>
      </c>
      <c r="C746" s="4" t="s">
        <v>1474</v>
      </c>
      <c r="D746" s="7" t="s">
        <v>1580</v>
      </c>
      <c r="E746" s="4" t="s">
        <v>1476</v>
      </c>
      <c r="F746" s="4" t="s">
        <v>5</v>
      </c>
      <c r="G746" s="8"/>
      <c r="H746" s="6" t="str">
        <f aca="false">IF(G746="","",G746/SUMIFS($G$2:$G$1462,$F$2:$F$1462,"Served"))</f>
        <v/>
      </c>
      <c r="I746" s="4" t="str">
        <f aca="false">IF(G746="","",RANK(G746,$G$2:$G$1462,0))</f>
        <v/>
      </c>
      <c r="J746" s="4" t="s">
        <v>34</v>
      </c>
    </row>
    <row r="747" customFormat="false" ht="15" hidden="false" customHeight="false" outlineLevel="0" collapsed="false">
      <c r="A747" s="4" t="s">
        <v>1581</v>
      </c>
      <c r="B747" s="4" t="s">
        <v>1473</v>
      </c>
      <c r="C747" s="4" t="s">
        <v>1474</v>
      </c>
      <c r="D747" s="7" t="s">
        <v>1582</v>
      </c>
      <c r="E747" s="4" t="s">
        <v>1476</v>
      </c>
      <c r="F747" s="4" t="s">
        <v>5</v>
      </c>
      <c r="G747" s="8"/>
      <c r="H747" s="6" t="str">
        <f aca="false">IF(G747="","",G747/SUMIFS($G$2:$G$1462,$F$2:$F$1462,"Served"))</f>
        <v/>
      </c>
      <c r="I747" s="4" t="str">
        <f aca="false">IF(G747="","",RANK(G747,$G$2:$G$1462,0))</f>
        <v/>
      </c>
      <c r="J747" s="4" t="s">
        <v>34</v>
      </c>
    </row>
    <row r="748" customFormat="false" ht="15" hidden="false" customHeight="false" outlineLevel="0" collapsed="false">
      <c r="A748" s="4" t="s">
        <v>1583</v>
      </c>
      <c r="B748" s="4" t="s">
        <v>1473</v>
      </c>
      <c r="C748" s="4" t="s">
        <v>1474</v>
      </c>
      <c r="D748" s="7" t="s">
        <v>1584</v>
      </c>
      <c r="E748" s="4" t="s">
        <v>1476</v>
      </c>
      <c r="F748" s="4" t="s">
        <v>5</v>
      </c>
      <c r="G748" s="8"/>
      <c r="H748" s="6" t="str">
        <f aca="false">IF(G748="","",G748/SUMIFS($G$2:$G$1462,$F$2:$F$1462,"Served"))</f>
        <v/>
      </c>
      <c r="I748" s="4" t="str">
        <f aca="false">IF(G748="","",RANK(G748,$G$2:$G$1462,0))</f>
        <v/>
      </c>
      <c r="J748" s="4" t="s">
        <v>34</v>
      </c>
    </row>
    <row r="749" customFormat="false" ht="15" hidden="false" customHeight="false" outlineLevel="0" collapsed="false">
      <c r="A749" s="4" t="s">
        <v>1585</v>
      </c>
      <c r="B749" s="4" t="s">
        <v>1473</v>
      </c>
      <c r="C749" s="4" t="s">
        <v>1474</v>
      </c>
      <c r="D749" s="7" t="s">
        <v>1586</v>
      </c>
      <c r="E749" s="4" t="s">
        <v>1476</v>
      </c>
      <c r="F749" s="4" t="s">
        <v>5</v>
      </c>
      <c r="G749" s="8"/>
      <c r="H749" s="6" t="str">
        <f aca="false">IF(G749="","",G749/SUMIFS($G$2:$G$1462,$F$2:$F$1462,"Served"))</f>
        <v/>
      </c>
      <c r="I749" s="4" t="str">
        <f aca="false">IF(G749="","",RANK(G749,$G$2:$G$1462,0))</f>
        <v/>
      </c>
      <c r="J749" s="4" t="s">
        <v>34</v>
      </c>
    </row>
    <row r="750" customFormat="false" ht="15" hidden="false" customHeight="false" outlineLevel="0" collapsed="false">
      <c r="A750" s="4" t="s">
        <v>1587</v>
      </c>
      <c r="B750" s="4" t="s">
        <v>1473</v>
      </c>
      <c r="C750" s="4" t="s">
        <v>1474</v>
      </c>
      <c r="D750" s="7" t="s">
        <v>1588</v>
      </c>
      <c r="E750" s="4" t="s">
        <v>1476</v>
      </c>
      <c r="F750" s="4" t="s">
        <v>5</v>
      </c>
      <c r="G750" s="8"/>
      <c r="H750" s="6" t="str">
        <f aca="false">IF(G750="","",G750/SUMIFS($G$2:$G$1462,$F$2:$F$1462,"Served"))</f>
        <v/>
      </c>
      <c r="I750" s="4" t="str">
        <f aca="false">IF(G750="","",RANK(G750,$G$2:$G$1462,0))</f>
        <v/>
      </c>
      <c r="J750" s="4" t="s">
        <v>34</v>
      </c>
    </row>
    <row r="751" customFormat="false" ht="15" hidden="false" customHeight="false" outlineLevel="0" collapsed="false">
      <c r="A751" s="4" t="s">
        <v>1589</v>
      </c>
      <c r="B751" s="4" t="s">
        <v>1473</v>
      </c>
      <c r="C751" s="4" t="s">
        <v>1474</v>
      </c>
      <c r="D751" s="7" t="s">
        <v>1590</v>
      </c>
      <c r="E751" s="4" t="s">
        <v>1476</v>
      </c>
      <c r="F751" s="4" t="s">
        <v>5</v>
      </c>
      <c r="G751" s="8"/>
      <c r="H751" s="6" t="str">
        <f aca="false">IF(G751="","",G751/SUMIFS($G$2:$G$1462,$F$2:$F$1462,"Served"))</f>
        <v/>
      </c>
      <c r="I751" s="4" t="str">
        <f aca="false">IF(G751="","",RANK(G751,$G$2:$G$1462,0))</f>
        <v/>
      </c>
      <c r="J751" s="4" t="s">
        <v>34</v>
      </c>
    </row>
    <row r="752" customFormat="false" ht="15" hidden="false" customHeight="false" outlineLevel="0" collapsed="false">
      <c r="A752" s="4" t="s">
        <v>1591</v>
      </c>
      <c r="B752" s="4" t="s">
        <v>1473</v>
      </c>
      <c r="C752" s="4" t="s">
        <v>1474</v>
      </c>
      <c r="D752" s="7" t="s">
        <v>1592</v>
      </c>
      <c r="E752" s="4" t="s">
        <v>1476</v>
      </c>
      <c r="F752" s="4" t="s">
        <v>5</v>
      </c>
      <c r="G752" s="8"/>
      <c r="H752" s="6" t="str">
        <f aca="false">IF(G752="","",G752/SUMIFS($G$2:$G$1462,$F$2:$F$1462,"Served"))</f>
        <v/>
      </c>
      <c r="I752" s="4" t="str">
        <f aca="false">IF(G752="","",RANK(G752,$G$2:$G$1462,0))</f>
        <v/>
      </c>
      <c r="J752" s="4" t="s">
        <v>34</v>
      </c>
    </row>
    <row r="753" customFormat="false" ht="15" hidden="false" customHeight="false" outlineLevel="0" collapsed="false">
      <c r="A753" s="4" t="s">
        <v>1593</v>
      </c>
      <c r="B753" s="4" t="s">
        <v>1473</v>
      </c>
      <c r="C753" s="4" t="s">
        <v>1474</v>
      </c>
      <c r="D753" s="7" t="s">
        <v>1594</v>
      </c>
      <c r="E753" s="4" t="s">
        <v>1476</v>
      </c>
      <c r="F753" s="4" t="s">
        <v>5</v>
      </c>
      <c r="G753" s="8"/>
      <c r="H753" s="6" t="str">
        <f aca="false">IF(G753="","",G753/SUMIFS($G$2:$G$1462,$F$2:$F$1462,"Served"))</f>
        <v/>
      </c>
      <c r="I753" s="4" t="str">
        <f aca="false">IF(G753="","",RANK(G753,$G$2:$G$1462,0))</f>
        <v/>
      </c>
      <c r="J753" s="4" t="s">
        <v>34</v>
      </c>
    </row>
    <row r="754" customFormat="false" ht="15" hidden="false" customHeight="false" outlineLevel="0" collapsed="false">
      <c r="A754" s="4" t="s">
        <v>1595</v>
      </c>
      <c r="B754" s="4" t="s">
        <v>1596</v>
      </c>
      <c r="C754" s="4" t="s">
        <v>1597</v>
      </c>
      <c r="D754" s="7" t="s">
        <v>1598</v>
      </c>
      <c r="E754" s="4" t="s">
        <v>1599</v>
      </c>
      <c r="F754" s="4" t="s">
        <v>5</v>
      </c>
      <c r="G754" s="8"/>
      <c r="H754" s="6" t="str">
        <f aca="false">IF(G754="","",G754/SUMIFS($G$2:$G$1462,$F$2:$F$1462,"Served"))</f>
        <v/>
      </c>
      <c r="I754" s="4" t="str">
        <f aca="false">IF(G754="","",RANK(G754,$G$2:$G$1462,0))</f>
        <v/>
      </c>
      <c r="J754" s="4" t="s">
        <v>34</v>
      </c>
    </row>
    <row r="755" customFormat="false" ht="15" hidden="false" customHeight="false" outlineLevel="0" collapsed="false">
      <c r="A755" s="4" t="s">
        <v>1600</v>
      </c>
      <c r="B755" s="4" t="s">
        <v>1596</v>
      </c>
      <c r="C755" s="4" t="s">
        <v>1597</v>
      </c>
      <c r="D755" s="7" t="s">
        <v>1601</v>
      </c>
      <c r="E755" s="4" t="s">
        <v>1599</v>
      </c>
      <c r="F755" s="4" t="s">
        <v>5</v>
      </c>
      <c r="G755" s="8"/>
      <c r="H755" s="6" t="str">
        <f aca="false">IF(G755="","",G755/SUMIFS($G$2:$G$1462,$F$2:$F$1462,"Served"))</f>
        <v/>
      </c>
      <c r="I755" s="4" t="str">
        <f aca="false">IF(G755="","",RANK(G755,$G$2:$G$1462,0))</f>
        <v/>
      </c>
      <c r="J755" s="4" t="s">
        <v>34</v>
      </c>
    </row>
    <row r="756" customFormat="false" ht="15" hidden="false" customHeight="false" outlineLevel="0" collapsed="false">
      <c r="A756" s="4" t="s">
        <v>1602</v>
      </c>
      <c r="B756" s="4" t="s">
        <v>1596</v>
      </c>
      <c r="C756" s="4" t="s">
        <v>1597</v>
      </c>
      <c r="D756" s="7" t="s">
        <v>1603</v>
      </c>
      <c r="E756" s="4" t="s">
        <v>1599</v>
      </c>
      <c r="F756" s="4" t="s">
        <v>5</v>
      </c>
      <c r="G756" s="8"/>
      <c r="H756" s="6" t="str">
        <f aca="false">IF(G756="","",G756/SUMIFS($G$2:$G$1462,$F$2:$F$1462,"Served"))</f>
        <v/>
      </c>
      <c r="I756" s="4" t="str">
        <f aca="false">IF(G756="","",RANK(G756,$G$2:$G$1462,0))</f>
        <v/>
      </c>
      <c r="J756" s="4" t="s">
        <v>34</v>
      </c>
    </row>
    <row r="757" customFormat="false" ht="15" hidden="false" customHeight="false" outlineLevel="0" collapsed="false">
      <c r="A757" s="4" t="s">
        <v>1604</v>
      </c>
      <c r="B757" s="4" t="s">
        <v>1596</v>
      </c>
      <c r="C757" s="4" t="s">
        <v>1597</v>
      </c>
      <c r="D757" s="7" t="s">
        <v>1605</v>
      </c>
      <c r="E757" s="4" t="s">
        <v>1599</v>
      </c>
      <c r="F757" s="4" t="s">
        <v>5</v>
      </c>
      <c r="G757" s="8"/>
      <c r="H757" s="6" t="str">
        <f aca="false">IF(G757="","",G757/SUMIFS($G$2:$G$1462,$F$2:$F$1462,"Served"))</f>
        <v/>
      </c>
      <c r="I757" s="4" t="str">
        <f aca="false">IF(G757="","",RANK(G757,$G$2:$G$1462,0))</f>
        <v/>
      </c>
      <c r="J757" s="4" t="s">
        <v>34</v>
      </c>
    </row>
    <row r="758" customFormat="false" ht="15" hidden="false" customHeight="false" outlineLevel="0" collapsed="false">
      <c r="A758" s="4" t="s">
        <v>1606</v>
      </c>
      <c r="B758" s="4" t="s">
        <v>1596</v>
      </c>
      <c r="C758" s="4" t="s">
        <v>1597</v>
      </c>
      <c r="D758" s="7" t="s">
        <v>1607</v>
      </c>
      <c r="E758" s="4" t="s">
        <v>1599</v>
      </c>
      <c r="F758" s="4" t="s">
        <v>5</v>
      </c>
      <c r="G758" s="8"/>
      <c r="H758" s="6" t="str">
        <f aca="false">IF(G758="","",G758/SUMIFS($G$2:$G$1462,$F$2:$F$1462,"Served"))</f>
        <v/>
      </c>
      <c r="I758" s="4" t="str">
        <f aca="false">IF(G758="","",RANK(G758,$G$2:$G$1462,0))</f>
        <v/>
      </c>
      <c r="J758" s="4" t="s">
        <v>34</v>
      </c>
    </row>
    <row r="759" customFormat="false" ht="15" hidden="false" customHeight="false" outlineLevel="0" collapsed="false">
      <c r="A759" s="4" t="s">
        <v>1608</v>
      </c>
      <c r="B759" s="4" t="s">
        <v>1596</v>
      </c>
      <c r="C759" s="4" t="s">
        <v>1597</v>
      </c>
      <c r="D759" s="7" t="s">
        <v>1609</v>
      </c>
      <c r="E759" s="4" t="s">
        <v>1599</v>
      </c>
      <c r="F759" s="4" t="s">
        <v>5</v>
      </c>
      <c r="G759" s="8"/>
      <c r="H759" s="6" t="str">
        <f aca="false">IF(G759="","",G759/SUMIFS($G$2:$G$1462,$F$2:$F$1462,"Served"))</f>
        <v/>
      </c>
      <c r="I759" s="4" t="str">
        <f aca="false">IF(G759="","",RANK(G759,$G$2:$G$1462,0))</f>
        <v/>
      </c>
      <c r="J759" s="4" t="s">
        <v>34</v>
      </c>
    </row>
    <row r="760" customFormat="false" ht="15" hidden="false" customHeight="false" outlineLevel="0" collapsed="false">
      <c r="A760" s="4" t="s">
        <v>1610</v>
      </c>
      <c r="B760" s="4" t="s">
        <v>1596</v>
      </c>
      <c r="C760" s="4" t="s">
        <v>1597</v>
      </c>
      <c r="D760" s="7" t="s">
        <v>1611</v>
      </c>
      <c r="E760" s="4" t="s">
        <v>1599</v>
      </c>
      <c r="F760" s="4" t="s">
        <v>5</v>
      </c>
      <c r="G760" s="8"/>
      <c r="H760" s="6" t="str">
        <f aca="false">IF(G760="","",G760/SUMIFS($G$2:$G$1462,$F$2:$F$1462,"Served"))</f>
        <v/>
      </c>
      <c r="I760" s="4" t="str">
        <f aca="false">IF(G760="","",RANK(G760,$G$2:$G$1462,0))</f>
        <v/>
      </c>
      <c r="J760" s="4" t="s">
        <v>34</v>
      </c>
    </row>
    <row r="761" customFormat="false" ht="15" hidden="false" customHeight="false" outlineLevel="0" collapsed="false">
      <c r="A761" s="4" t="s">
        <v>1612</v>
      </c>
      <c r="B761" s="4" t="s">
        <v>1596</v>
      </c>
      <c r="C761" s="4" t="s">
        <v>1597</v>
      </c>
      <c r="D761" s="7" t="s">
        <v>1613</v>
      </c>
      <c r="E761" s="4" t="s">
        <v>1599</v>
      </c>
      <c r="F761" s="4" t="s">
        <v>5</v>
      </c>
      <c r="G761" s="8"/>
      <c r="H761" s="6" t="str">
        <f aca="false">IF(G761="","",G761/SUMIFS($G$2:$G$1462,$F$2:$F$1462,"Served"))</f>
        <v/>
      </c>
      <c r="I761" s="4" t="str">
        <f aca="false">IF(G761="","",RANK(G761,$G$2:$G$1462,0))</f>
        <v/>
      </c>
      <c r="J761" s="4" t="s">
        <v>34</v>
      </c>
    </row>
    <row r="762" customFormat="false" ht="15" hidden="false" customHeight="false" outlineLevel="0" collapsed="false">
      <c r="A762" s="4" t="s">
        <v>1614</v>
      </c>
      <c r="B762" s="4" t="s">
        <v>1596</v>
      </c>
      <c r="C762" s="4" t="s">
        <v>1597</v>
      </c>
      <c r="D762" s="7" t="s">
        <v>1615</v>
      </c>
      <c r="E762" s="4" t="s">
        <v>1599</v>
      </c>
      <c r="F762" s="4" t="s">
        <v>5</v>
      </c>
      <c r="G762" s="8"/>
      <c r="H762" s="6" t="str">
        <f aca="false">IF(G762="","",G762/SUMIFS($G$2:$G$1462,$F$2:$F$1462,"Served"))</f>
        <v/>
      </c>
      <c r="I762" s="4" t="str">
        <f aca="false">IF(G762="","",RANK(G762,$G$2:$G$1462,0))</f>
        <v/>
      </c>
      <c r="J762" s="4" t="s">
        <v>34</v>
      </c>
    </row>
    <row r="763" customFormat="false" ht="15" hidden="false" customHeight="false" outlineLevel="0" collapsed="false">
      <c r="A763" s="4" t="s">
        <v>1616</v>
      </c>
      <c r="B763" s="4" t="s">
        <v>1596</v>
      </c>
      <c r="C763" s="4" t="s">
        <v>1597</v>
      </c>
      <c r="D763" s="7" t="s">
        <v>1617</v>
      </c>
      <c r="E763" s="4" t="s">
        <v>1599</v>
      </c>
      <c r="F763" s="4" t="s">
        <v>5</v>
      </c>
      <c r="G763" s="8"/>
      <c r="H763" s="6" t="str">
        <f aca="false">IF(G763="","",G763/SUMIFS($G$2:$G$1462,$F$2:$F$1462,"Served"))</f>
        <v/>
      </c>
      <c r="I763" s="4" t="str">
        <f aca="false">IF(G763="","",RANK(G763,$G$2:$G$1462,0))</f>
        <v/>
      </c>
      <c r="J763" s="4" t="s">
        <v>34</v>
      </c>
    </row>
    <row r="764" customFormat="false" ht="15" hidden="false" customHeight="false" outlineLevel="0" collapsed="false">
      <c r="A764" s="4" t="s">
        <v>1618</v>
      </c>
      <c r="B764" s="4" t="s">
        <v>1596</v>
      </c>
      <c r="C764" s="4" t="s">
        <v>1597</v>
      </c>
      <c r="D764" s="7" t="s">
        <v>1619</v>
      </c>
      <c r="E764" s="4" t="s">
        <v>1599</v>
      </c>
      <c r="F764" s="4" t="s">
        <v>5</v>
      </c>
      <c r="G764" s="8"/>
      <c r="H764" s="6" t="str">
        <f aca="false">IF(G764="","",G764/SUMIFS($G$2:$G$1462,$F$2:$F$1462,"Served"))</f>
        <v/>
      </c>
      <c r="I764" s="4" t="str">
        <f aca="false">IF(G764="","",RANK(G764,$G$2:$G$1462,0))</f>
        <v/>
      </c>
      <c r="J764" s="4" t="s">
        <v>34</v>
      </c>
    </row>
    <row r="765" customFormat="false" ht="15" hidden="false" customHeight="false" outlineLevel="0" collapsed="false">
      <c r="A765" s="4" t="s">
        <v>1620</v>
      </c>
      <c r="B765" s="4" t="s">
        <v>1596</v>
      </c>
      <c r="C765" s="4" t="s">
        <v>1597</v>
      </c>
      <c r="D765" s="7" t="s">
        <v>1621</v>
      </c>
      <c r="E765" s="4" t="s">
        <v>1599</v>
      </c>
      <c r="F765" s="4" t="s">
        <v>5</v>
      </c>
      <c r="G765" s="8"/>
      <c r="H765" s="6" t="str">
        <f aca="false">IF(G765="","",G765/SUMIFS($G$2:$G$1462,$F$2:$F$1462,"Served"))</f>
        <v/>
      </c>
      <c r="I765" s="4" t="str">
        <f aca="false">IF(G765="","",RANK(G765,$G$2:$G$1462,0))</f>
        <v/>
      </c>
      <c r="J765" s="4" t="s">
        <v>34</v>
      </c>
    </row>
    <row r="766" customFormat="false" ht="15" hidden="false" customHeight="false" outlineLevel="0" collapsed="false">
      <c r="A766" s="4" t="s">
        <v>1622</v>
      </c>
      <c r="B766" s="4" t="s">
        <v>1596</v>
      </c>
      <c r="C766" s="4" t="s">
        <v>1597</v>
      </c>
      <c r="D766" s="7" t="s">
        <v>1623</v>
      </c>
      <c r="E766" s="4" t="s">
        <v>1599</v>
      </c>
      <c r="F766" s="4" t="s">
        <v>5</v>
      </c>
      <c r="G766" s="8"/>
      <c r="H766" s="6" t="str">
        <f aca="false">IF(G766="","",G766/SUMIFS($G$2:$G$1462,$F$2:$F$1462,"Served"))</f>
        <v/>
      </c>
      <c r="I766" s="4" t="str">
        <f aca="false">IF(G766="","",RANK(G766,$G$2:$G$1462,0))</f>
        <v/>
      </c>
      <c r="J766" s="4" t="s">
        <v>34</v>
      </c>
    </row>
    <row r="767" customFormat="false" ht="15" hidden="false" customHeight="false" outlineLevel="0" collapsed="false">
      <c r="A767" s="4" t="s">
        <v>1624</v>
      </c>
      <c r="B767" s="4" t="s">
        <v>1596</v>
      </c>
      <c r="C767" s="4" t="s">
        <v>1597</v>
      </c>
      <c r="D767" s="7" t="s">
        <v>1625</v>
      </c>
      <c r="E767" s="4" t="s">
        <v>1599</v>
      </c>
      <c r="F767" s="4" t="s">
        <v>5</v>
      </c>
      <c r="G767" s="8"/>
      <c r="H767" s="6" t="str">
        <f aca="false">IF(G767="","",G767/SUMIFS($G$2:$G$1462,$F$2:$F$1462,"Served"))</f>
        <v/>
      </c>
      <c r="I767" s="4" t="str">
        <f aca="false">IF(G767="","",RANK(G767,$G$2:$G$1462,0))</f>
        <v/>
      </c>
      <c r="J767" s="4" t="s">
        <v>34</v>
      </c>
    </row>
    <row r="768" customFormat="false" ht="15" hidden="false" customHeight="false" outlineLevel="0" collapsed="false">
      <c r="A768" s="4" t="s">
        <v>1626</v>
      </c>
      <c r="B768" s="4" t="s">
        <v>1596</v>
      </c>
      <c r="C768" s="4" t="s">
        <v>1597</v>
      </c>
      <c r="D768" s="7" t="s">
        <v>1627</v>
      </c>
      <c r="E768" s="4" t="s">
        <v>1599</v>
      </c>
      <c r="F768" s="4" t="s">
        <v>5</v>
      </c>
      <c r="G768" s="8"/>
      <c r="H768" s="6" t="str">
        <f aca="false">IF(G768="","",G768/SUMIFS($G$2:$G$1462,$F$2:$F$1462,"Served"))</f>
        <v/>
      </c>
      <c r="I768" s="4" t="str">
        <f aca="false">IF(G768="","",RANK(G768,$G$2:$G$1462,0))</f>
        <v/>
      </c>
      <c r="J768" s="4" t="s">
        <v>34</v>
      </c>
    </row>
    <row r="769" customFormat="false" ht="15" hidden="false" customHeight="false" outlineLevel="0" collapsed="false">
      <c r="A769" s="4" t="s">
        <v>1628</v>
      </c>
      <c r="B769" s="4" t="s">
        <v>1596</v>
      </c>
      <c r="C769" s="4" t="s">
        <v>1597</v>
      </c>
      <c r="D769" s="7" t="s">
        <v>1629</v>
      </c>
      <c r="E769" s="4" t="s">
        <v>1599</v>
      </c>
      <c r="F769" s="4" t="s">
        <v>5</v>
      </c>
      <c r="G769" s="8"/>
      <c r="H769" s="6" t="str">
        <f aca="false">IF(G769="","",G769/SUMIFS($G$2:$G$1462,$F$2:$F$1462,"Served"))</f>
        <v/>
      </c>
      <c r="I769" s="4" t="str">
        <f aca="false">IF(G769="","",RANK(G769,$G$2:$G$1462,0))</f>
        <v/>
      </c>
      <c r="J769" s="4" t="s">
        <v>34</v>
      </c>
    </row>
    <row r="770" customFormat="false" ht="15" hidden="false" customHeight="false" outlineLevel="0" collapsed="false">
      <c r="A770" s="4" t="s">
        <v>1630</v>
      </c>
      <c r="B770" s="4" t="s">
        <v>1596</v>
      </c>
      <c r="C770" s="4" t="s">
        <v>1597</v>
      </c>
      <c r="D770" s="7" t="s">
        <v>1631</v>
      </c>
      <c r="E770" s="4" t="s">
        <v>1599</v>
      </c>
      <c r="F770" s="4" t="s">
        <v>5</v>
      </c>
      <c r="G770" s="8"/>
      <c r="H770" s="6" t="str">
        <f aca="false">IF(G770="","",G770/SUMIFS($G$2:$G$1462,$F$2:$F$1462,"Served"))</f>
        <v/>
      </c>
      <c r="I770" s="4" t="str">
        <f aca="false">IF(G770="","",RANK(G770,$G$2:$G$1462,0))</f>
        <v/>
      </c>
      <c r="J770" s="4" t="s">
        <v>34</v>
      </c>
    </row>
    <row r="771" customFormat="false" ht="15" hidden="false" customHeight="false" outlineLevel="0" collapsed="false">
      <c r="A771" s="4" t="s">
        <v>1632</v>
      </c>
      <c r="B771" s="4" t="s">
        <v>1596</v>
      </c>
      <c r="C771" s="4" t="s">
        <v>1597</v>
      </c>
      <c r="D771" s="7" t="s">
        <v>1633</v>
      </c>
      <c r="E771" s="4" t="s">
        <v>1599</v>
      </c>
      <c r="F771" s="4" t="s">
        <v>5</v>
      </c>
      <c r="G771" s="8"/>
      <c r="H771" s="6" t="str">
        <f aca="false">IF(G771="","",G771/SUMIFS($G$2:$G$1462,$F$2:$F$1462,"Served"))</f>
        <v/>
      </c>
      <c r="I771" s="4" t="str">
        <f aca="false">IF(G771="","",RANK(G771,$G$2:$G$1462,0))</f>
        <v/>
      </c>
      <c r="J771" s="4" t="s">
        <v>34</v>
      </c>
    </row>
    <row r="772" customFormat="false" ht="15" hidden="false" customHeight="false" outlineLevel="0" collapsed="false">
      <c r="A772" s="4" t="s">
        <v>1634</v>
      </c>
      <c r="B772" s="4" t="s">
        <v>1596</v>
      </c>
      <c r="C772" s="4" t="s">
        <v>1597</v>
      </c>
      <c r="D772" s="7" t="s">
        <v>1635</v>
      </c>
      <c r="E772" s="4" t="s">
        <v>1599</v>
      </c>
      <c r="F772" s="4" t="s">
        <v>5</v>
      </c>
      <c r="G772" s="8"/>
      <c r="H772" s="6" t="str">
        <f aca="false">IF(G772="","",G772/SUMIFS($G$2:$G$1462,$F$2:$F$1462,"Served"))</f>
        <v/>
      </c>
      <c r="I772" s="4" t="str">
        <f aca="false">IF(G772="","",RANK(G772,$G$2:$G$1462,0))</f>
        <v/>
      </c>
      <c r="J772" s="4" t="s">
        <v>34</v>
      </c>
    </row>
    <row r="773" customFormat="false" ht="15" hidden="false" customHeight="false" outlineLevel="0" collapsed="false">
      <c r="A773" s="4" t="s">
        <v>1636</v>
      </c>
      <c r="B773" s="4" t="s">
        <v>1596</v>
      </c>
      <c r="C773" s="4" t="s">
        <v>1597</v>
      </c>
      <c r="D773" s="7" t="s">
        <v>1637</v>
      </c>
      <c r="E773" s="4" t="s">
        <v>1599</v>
      </c>
      <c r="F773" s="4" t="s">
        <v>5</v>
      </c>
      <c r="G773" s="8"/>
      <c r="H773" s="6" t="str">
        <f aca="false">IF(G773="","",G773/SUMIFS($G$2:$G$1462,$F$2:$F$1462,"Served"))</f>
        <v/>
      </c>
      <c r="I773" s="4" t="str">
        <f aca="false">IF(G773="","",RANK(G773,$G$2:$G$1462,0))</f>
        <v/>
      </c>
      <c r="J773" s="4" t="s">
        <v>34</v>
      </c>
    </row>
    <row r="774" customFormat="false" ht="15" hidden="false" customHeight="false" outlineLevel="0" collapsed="false">
      <c r="A774" s="4" t="s">
        <v>1638</v>
      </c>
      <c r="B774" s="4" t="s">
        <v>1596</v>
      </c>
      <c r="C774" s="4" t="s">
        <v>1597</v>
      </c>
      <c r="D774" s="7" t="s">
        <v>1639</v>
      </c>
      <c r="E774" s="4" t="s">
        <v>1599</v>
      </c>
      <c r="F774" s="4" t="s">
        <v>5</v>
      </c>
      <c r="G774" s="8"/>
      <c r="H774" s="6" t="str">
        <f aca="false">IF(G774="","",G774/SUMIFS($G$2:$G$1462,$F$2:$F$1462,"Served"))</f>
        <v/>
      </c>
      <c r="I774" s="4" t="str">
        <f aca="false">IF(G774="","",RANK(G774,$G$2:$G$1462,0))</f>
        <v/>
      </c>
      <c r="J774" s="4" t="s">
        <v>34</v>
      </c>
    </row>
    <row r="775" customFormat="false" ht="15" hidden="false" customHeight="false" outlineLevel="0" collapsed="false">
      <c r="A775" s="4" t="s">
        <v>1640</v>
      </c>
      <c r="B775" s="4" t="s">
        <v>1596</v>
      </c>
      <c r="C775" s="4" t="s">
        <v>1597</v>
      </c>
      <c r="D775" s="7" t="s">
        <v>1641</v>
      </c>
      <c r="E775" s="4" t="s">
        <v>1599</v>
      </c>
      <c r="F775" s="4" t="s">
        <v>5</v>
      </c>
      <c r="G775" s="8"/>
      <c r="H775" s="6" t="str">
        <f aca="false">IF(G775="","",G775/SUMIFS($G$2:$G$1462,$F$2:$F$1462,"Served"))</f>
        <v/>
      </c>
      <c r="I775" s="4" t="str">
        <f aca="false">IF(G775="","",RANK(G775,$G$2:$G$1462,0))</f>
        <v/>
      </c>
      <c r="J775" s="4" t="s">
        <v>34</v>
      </c>
    </row>
    <row r="776" customFormat="false" ht="15" hidden="false" customHeight="false" outlineLevel="0" collapsed="false">
      <c r="A776" s="4" t="s">
        <v>1642</v>
      </c>
      <c r="B776" s="4" t="s">
        <v>1596</v>
      </c>
      <c r="C776" s="4" t="s">
        <v>1597</v>
      </c>
      <c r="D776" s="7" t="s">
        <v>1643</v>
      </c>
      <c r="E776" s="4" t="s">
        <v>1599</v>
      </c>
      <c r="F776" s="4" t="s">
        <v>5</v>
      </c>
      <c r="G776" s="8"/>
      <c r="H776" s="6" t="str">
        <f aca="false">IF(G776="","",G776/SUMIFS($G$2:$G$1462,$F$2:$F$1462,"Served"))</f>
        <v/>
      </c>
      <c r="I776" s="4" t="str">
        <f aca="false">IF(G776="","",RANK(G776,$G$2:$G$1462,0))</f>
        <v/>
      </c>
      <c r="J776" s="4" t="s">
        <v>34</v>
      </c>
    </row>
    <row r="777" customFormat="false" ht="15" hidden="false" customHeight="false" outlineLevel="0" collapsed="false">
      <c r="A777" s="4" t="s">
        <v>1644</v>
      </c>
      <c r="B777" s="4" t="s">
        <v>1596</v>
      </c>
      <c r="C777" s="4" t="s">
        <v>1597</v>
      </c>
      <c r="D777" s="7" t="s">
        <v>1645</v>
      </c>
      <c r="E777" s="4" t="s">
        <v>1599</v>
      </c>
      <c r="F777" s="4" t="s">
        <v>5</v>
      </c>
      <c r="G777" s="8"/>
      <c r="H777" s="6" t="str">
        <f aca="false">IF(G777="","",G777/SUMIFS($G$2:$G$1462,$F$2:$F$1462,"Served"))</f>
        <v/>
      </c>
      <c r="I777" s="4" t="str">
        <f aca="false">IF(G777="","",RANK(G777,$G$2:$G$1462,0))</f>
        <v/>
      </c>
      <c r="J777" s="4" t="s">
        <v>34</v>
      </c>
    </row>
    <row r="778" customFormat="false" ht="15" hidden="false" customHeight="false" outlineLevel="0" collapsed="false">
      <c r="A778" s="4" t="s">
        <v>1646</v>
      </c>
      <c r="B778" s="4" t="s">
        <v>1596</v>
      </c>
      <c r="C778" s="4" t="s">
        <v>1597</v>
      </c>
      <c r="D778" s="7" t="s">
        <v>1647</v>
      </c>
      <c r="E778" s="4" t="s">
        <v>1599</v>
      </c>
      <c r="F778" s="4" t="s">
        <v>5</v>
      </c>
      <c r="G778" s="8"/>
      <c r="H778" s="6" t="str">
        <f aca="false">IF(G778="","",G778/SUMIFS($G$2:$G$1462,$F$2:$F$1462,"Served"))</f>
        <v/>
      </c>
      <c r="I778" s="4" t="str">
        <f aca="false">IF(G778="","",RANK(G778,$G$2:$G$1462,0))</f>
        <v/>
      </c>
      <c r="J778" s="4" t="s">
        <v>34</v>
      </c>
    </row>
    <row r="779" customFormat="false" ht="15" hidden="false" customHeight="false" outlineLevel="0" collapsed="false">
      <c r="A779" s="4" t="s">
        <v>1648</v>
      </c>
      <c r="B779" s="4" t="s">
        <v>1596</v>
      </c>
      <c r="C779" s="4" t="s">
        <v>1597</v>
      </c>
      <c r="D779" s="7" t="s">
        <v>1649</v>
      </c>
      <c r="E779" s="4" t="s">
        <v>1599</v>
      </c>
      <c r="F779" s="4" t="s">
        <v>5</v>
      </c>
      <c r="G779" s="8"/>
      <c r="H779" s="6" t="str">
        <f aca="false">IF(G779="","",G779/SUMIFS($G$2:$G$1462,$F$2:$F$1462,"Served"))</f>
        <v/>
      </c>
      <c r="I779" s="4" t="str">
        <f aca="false">IF(G779="","",RANK(G779,$G$2:$G$1462,0))</f>
        <v/>
      </c>
      <c r="J779" s="4" t="s">
        <v>34</v>
      </c>
    </row>
    <row r="780" customFormat="false" ht="15" hidden="false" customHeight="false" outlineLevel="0" collapsed="false">
      <c r="A780" s="4" t="s">
        <v>1650</v>
      </c>
      <c r="B780" s="4" t="s">
        <v>1596</v>
      </c>
      <c r="C780" s="4" t="s">
        <v>1597</v>
      </c>
      <c r="D780" s="7" t="s">
        <v>1651</v>
      </c>
      <c r="E780" s="4" t="s">
        <v>1599</v>
      </c>
      <c r="F780" s="4" t="s">
        <v>5</v>
      </c>
      <c r="G780" s="8"/>
      <c r="H780" s="6" t="str">
        <f aca="false">IF(G780="","",G780/SUMIFS($G$2:$G$1462,$F$2:$F$1462,"Served"))</f>
        <v/>
      </c>
      <c r="I780" s="4" t="str">
        <f aca="false">IF(G780="","",RANK(G780,$G$2:$G$1462,0))</f>
        <v/>
      </c>
      <c r="J780" s="4" t="s">
        <v>34</v>
      </c>
    </row>
    <row r="781" customFormat="false" ht="15" hidden="false" customHeight="false" outlineLevel="0" collapsed="false">
      <c r="A781" s="4" t="s">
        <v>1652</v>
      </c>
      <c r="B781" s="4" t="s">
        <v>1596</v>
      </c>
      <c r="C781" s="4" t="s">
        <v>1597</v>
      </c>
      <c r="D781" s="7" t="s">
        <v>1653</v>
      </c>
      <c r="E781" s="4" t="s">
        <v>1599</v>
      </c>
      <c r="F781" s="4" t="s">
        <v>5</v>
      </c>
      <c r="G781" s="8"/>
      <c r="H781" s="6" t="str">
        <f aca="false">IF(G781="","",G781/SUMIFS($G$2:$G$1462,$F$2:$F$1462,"Served"))</f>
        <v/>
      </c>
      <c r="I781" s="4" t="str">
        <f aca="false">IF(G781="","",RANK(G781,$G$2:$G$1462,0))</f>
        <v/>
      </c>
      <c r="J781" s="4" t="s">
        <v>34</v>
      </c>
    </row>
    <row r="782" customFormat="false" ht="15" hidden="false" customHeight="false" outlineLevel="0" collapsed="false">
      <c r="A782" s="4" t="s">
        <v>1654</v>
      </c>
      <c r="B782" s="4" t="s">
        <v>1596</v>
      </c>
      <c r="C782" s="4" t="s">
        <v>1597</v>
      </c>
      <c r="D782" s="7" t="s">
        <v>1655</v>
      </c>
      <c r="E782" s="4" t="s">
        <v>1599</v>
      </c>
      <c r="F782" s="4" t="s">
        <v>5</v>
      </c>
      <c r="G782" s="8"/>
      <c r="H782" s="6" t="str">
        <f aca="false">IF(G782="","",G782/SUMIFS($G$2:$G$1462,$F$2:$F$1462,"Served"))</f>
        <v/>
      </c>
      <c r="I782" s="4" t="str">
        <f aca="false">IF(G782="","",RANK(G782,$G$2:$G$1462,0))</f>
        <v/>
      </c>
      <c r="J782" s="4" t="s">
        <v>34</v>
      </c>
    </row>
    <row r="783" customFormat="false" ht="15" hidden="false" customHeight="false" outlineLevel="0" collapsed="false">
      <c r="A783" s="4" t="s">
        <v>1656</v>
      </c>
      <c r="B783" s="4" t="s">
        <v>1596</v>
      </c>
      <c r="C783" s="4" t="s">
        <v>1597</v>
      </c>
      <c r="D783" s="7" t="s">
        <v>1657</v>
      </c>
      <c r="E783" s="4" t="s">
        <v>1599</v>
      </c>
      <c r="F783" s="4" t="s">
        <v>5</v>
      </c>
      <c r="G783" s="8"/>
      <c r="H783" s="6" t="str">
        <f aca="false">IF(G783="","",G783/SUMIFS($G$2:$G$1462,$F$2:$F$1462,"Served"))</f>
        <v/>
      </c>
      <c r="I783" s="4" t="str">
        <f aca="false">IF(G783="","",RANK(G783,$G$2:$G$1462,0))</f>
        <v/>
      </c>
      <c r="J783" s="4" t="s">
        <v>34</v>
      </c>
    </row>
    <row r="784" customFormat="false" ht="15" hidden="false" customHeight="false" outlineLevel="0" collapsed="false">
      <c r="A784" s="4" t="s">
        <v>1658</v>
      </c>
      <c r="B784" s="4" t="s">
        <v>1596</v>
      </c>
      <c r="C784" s="4" t="s">
        <v>1597</v>
      </c>
      <c r="D784" s="7" t="s">
        <v>1659</v>
      </c>
      <c r="E784" s="4" t="s">
        <v>1599</v>
      </c>
      <c r="F784" s="4" t="s">
        <v>5</v>
      </c>
      <c r="G784" s="8"/>
      <c r="H784" s="6" t="str">
        <f aca="false">IF(G784="","",G784/SUMIFS($G$2:$G$1462,$F$2:$F$1462,"Served"))</f>
        <v/>
      </c>
      <c r="I784" s="4" t="str">
        <f aca="false">IF(G784="","",RANK(G784,$G$2:$G$1462,0))</f>
        <v/>
      </c>
      <c r="J784" s="4" t="s">
        <v>34</v>
      </c>
    </row>
    <row r="785" customFormat="false" ht="15" hidden="false" customHeight="false" outlineLevel="0" collapsed="false">
      <c r="A785" s="4" t="s">
        <v>1660</v>
      </c>
      <c r="B785" s="4" t="s">
        <v>1596</v>
      </c>
      <c r="C785" s="4" t="s">
        <v>1597</v>
      </c>
      <c r="D785" s="7" t="s">
        <v>1661</v>
      </c>
      <c r="E785" s="4" t="s">
        <v>1599</v>
      </c>
      <c r="F785" s="4" t="s">
        <v>5</v>
      </c>
      <c r="G785" s="8"/>
      <c r="H785" s="6" t="str">
        <f aca="false">IF(G785="","",G785/SUMIFS($G$2:$G$1462,$F$2:$F$1462,"Served"))</f>
        <v/>
      </c>
      <c r="I785" s="4" t="str">
        <f aca="false">IF(G785="","",RANK(G785,$G$2:$G$1462,0))</f>
        <v/>
      </c>
      <c r="J785" s="4" t="s">
        <v>34</v>
      </c>
    </row>
    <row r="786" customFormat="false" ht="15" hidden="false" customHeight="false" outlineLevel="0" collapsed="false">
      <c r="A786" s="4" t="s">
        <v>1662</v>
      </c>
      <c r="B786" s="4" t="s">
        <v>1596</v>
      </c>
      <c r="C786" s="4" t="s">
        <v>1597</v>
      </c>
      <c r="D786" s="7" t="s">
        <v>1663</v>
      </c>
      <c r="E786" s="4" t="s">
        <v>1599</v>
      </c>
      <c r="F786" s="4" t="s">
        <v>5</v>
      </c>
      <c r="G786" s="8"/>
      <c r="H786" s="6" t="str">
        <f aca="false">IF(G786="","",G786/SUMIFS($G$2:$G$1462,$F$2:$F$1462,"Served"))</f>
        <v/>
      </c>
      <c r="I786" s="4" t="str">
        <f aca="false">IF(G786="","",RANK(G786,$G$2:$G$1462,0))</f>
        <v/>
      </c>
      <c r="J786" s="4" t="s">
        <v>34</v>
      </c>
    </row>
    <row r="787" customFormat="false" ht="15" hidden="false" customHeight="false" outlineLevel="0" collapsed="false">
      <c r="A787" s="4" t="s">
        <v>1664</v>
      </c>
      <c r="B787" s="4" t="s">
        <v>1596</v>
      </c>
      <c r="C787" s="4" t="s">
        <v>1597</v>
      </c>
      <c r="D787" s="7" t="s">
        <v>1665</v>
      </c>
      <c r="E787" s="4" t="s">
        <v>1599</v>
      </c>
      <c r="F787" s="4" t="s">
        <v>5</v>
      </c>
      <c r="G787" s="8"/>
      <c r="H787" s="6" t="str">
        <f aca="false">IF(G787="","",G787/SUMIFS($G$2:$G$1462,$F$2:$F$1462,"Served"))</f>
        <v/>
      </c>
      <c r="I787" s="4" t="str">
        <f aca="false">IF(G787="","",RANK(G787,$G$2:$G$1462,0))</f>
        <v/>
      </c>
      <c r="J787" s="4" t="s">
        <v>34</v>
      </c>
    </row>
    <row r="788" customFormat="false" ht="15" hidden="false" customHeight="false" outlineLevel="0" collapsed="false">
      <c r="A788" s="4" t="s">
        <v>1666</v>
      </c>
      <c r="B788" s="4" t="s">
        <v>1596</v>
      </c>
      <c r="C788" s="4" t="s">
        <v>1597</v>
      </c>
      <c r="D788" s="7" t="s">
        <v>1667</v>
      </c>
      <c r="E788" s="4" t="s">
        <v>1599</v>
      </c>
      <c r="F788" s="4" t="s">
        <v>5</v>
      </c>
      <c r="G788" s="8"/>
      <c r="H788" s="6" t="str">
        <f aca="false">IF(G788="","",G788/SUMIFS($G$2:$G$1462,$F$2:$F$1462,"Served"))</f>
        <v/>
      </c>
      <c r="I788" s="4" t="str">
        <f aca="false">IF(G788="","",RANK(G788,$G$2:$G$1462,0))</f>
        <v/>
      </c>
      <c r="J788" s="4" t="s">
        <v>34</v>
      </c>
    </row>
    <row r="789" customFormat="false" ht="15" hidden="false" customHeight="false" outlineLevel="0" collapsed="false">
      <c r="A789" s="4" t="s">
        <v>1668</v>
      </c>
      <c r="B789" s="4" t="s">
        <v>1596</v>
      </c>
      <c r="C789" s="4" t="s">
        <v>1597</v>
      </c>
      <c r="D789" s="7" t="s">
        <v>1669</v>
      </c>
      <c r="E789" s="4" t="s">
        <v>1599</v>
      </c>
      <c r="F789" s="4" t="s">
        <v>5</v>
      </c>
      <c r="G789" s="8"/>
      <c r="H789" s="6" t="str">
        <f aca="false">IF(G789="","",G789/SUMIFS($G$2:$G$1462,$F$2:$F$1462,"Served"))</f>
        <v/>
      </c>
      <c r="I789" s="4" t="str">
        <f aca="false">IF(G789="","",RANK(G789,$G$2:$G$1462,0))</f>
        <v/>
      </c>
      <c r="J789" s="4" t="s">
        <v>34</v>
      </c>
    </row>
    <row r="790" customFormat="false" ht="15" hidden="false" customHeight="false" outlineLevel="0" collapsed="false">
      <c r="A790" s="4" t="s">
        <v>1670</v>
      </c>
      <c r="B790" s="4" t="s">
        <v>1596</v>
      </c>
      <c r="C790" s="4" t="s">
        <v>1597</v>
      </c>
      <c r="D790" s="7" t="s">
        <v>1671</v>
      </c>
      <c r="E790" s="4" t="s">
        <v>1599</v>
      </c>
      <c r="F790" s="4" t="s">
        <v>5</v>
      </c>
      <c r="G790" s="8"/>
      <c r="H790" s="6" t="str">
        <f aca="false">IF(G790="","",G790/SUMIFS($G$2:$G$1462,$F$2:$F$1462,"Served"))</f>
        <v/>
      </c>
      <c r="I790" s="4" t="str">
        <f aca="false">IF(G790="","",RANK(G790,$G$2:$G$1462,0))</f>
        <v/>
      </c>
      <c r="J790" s="4" t="s">
        <v>34</v>
      </c>
    </row>
    <row r="791" customFormat="false" ht="15" hidden="false" customHeight="false" outlineLevel="0" collapsed="false">
      <c r="A791" s="4" t="s">
        <v>1672</v>
      </c>
      <c r="B791" s="4" t="s">
        <v>1596</v>
      </c>
      <c r="C791" s="4" t="s">
        <v>1597</v>
      </c>
      <c r="D791" s="7" t="s">
        <v>1673</v>
      </c>
      <c r="E791" s="4" t="s">
        <v>1599</v>
      </c>
      <c r="F791" s="4" t="s">
        <v>5</v>
      </c>
      <c r="G791" s="8"/>
      <c r="H791" s="6" t="str">
        <f aca="false">IF(G791="","",G791/SUMIFS($G$2:$G$1462,$F$2:$F$1462,"Served"))</f>
        <v/>
      </c>
      <c r="I791" s="4" t="str">
        <f aca="false">IF(G791="","",RANK(G791,$G$2:$G$1462,0))</f>
        <v/>
      </c>
      <c r="J791" s="4" t="s">
        <v>34</v>
      </c>
    </row>
    <row r="792" customFormat="false" ht="15" hidden="false" customHeight="false" outlineLevel="0" collapsed="false">
      <c r="A792" s="4" t="s">
        <v>1674</v>
      </c>
      <c r="B792" s="4" t="s">
        <v>1596</v>
      </c>
      <c r="C792" s="4" t="s">
        <v>1597</v>
      </c>
      <c r="D792" s="7" t="s">
        <v>1675</v>
      </c>
      <c r="E792" s="4" t="s">
        <v>1599</v>
      </c>
      <c r="F792" s="4" t="s">
        <v>5</v>
      </c>
      <c r="G792" s="8"/>
      <c r="H792" s="6" t="str">
        <f aca="false">IF(G792="","",G792/SUMIFS($G$2:$G$1462,$F$2:$F$1462,"Served"))</f>
        <v/>
      </c>
      <c r="I792" s="4" t="str">
        <f aca="false">IF(G792="","",RANK(G792,$G$2:$G$1462,0))</f>
        <v/>
      </c>
      <c r="J792" s="4" t="s">
        <v>34</v>
      </c>
    </row>
    <row r="793" customFormat="false" ht="15" hidden="false" customHeight="false" outlineLevel="0" collapsed="false">
      <c r="A793" s="4" t="s">
        <v>1676</v>
      </c>
      <c r="B793" s="4" t="s">
        <v>1596</v>
      </c>
      <c r="C793" s="4" t="s">
        <v>1597</v>
      </c>
      <c r="D793" s="7" t="s">
        <v>1677</v>
      </c>
      <c r="E793" s="4" t="s">
        <v>1599</v>
      </c>
      <c r="F793" s="4" t="s">
        <v>5</v>
      </c>
      <c r="G793" s="8"/>
      <c r="H793" s="6" t="str">
        <f aca="false">IF(G793="","",G793/SUMIFS($G$2:$G$1462,$F$2:$F$1462,"Served"))</f>
        <v/>
      </c>
      <c r="I793" s="4" t="str">
        <f aca="false">IF(G793="","",RANK(G793,$G$2:$G$1462,0))</f>
        <v/>
      </c>
      <c r="J793" s="4" t="s">
        <v>34</v>
      </c>
    </row>
    <row r="794" customFormat="false" ht="15" hidden="false" customHeight="false" outlineLevel="0" collapsed="false">
      <c r="A794" s="4" t="s">
        <v>1678</v>
      </c>
      <c r="B794" s="4" t="s">
        <v>1596</v>
      </c>
      <c r="C794" s="4" t="s">
        <v>1597</v>
      </c>
      <c r="D794" s="7" t="s">
        <v>1679</v>
      </c>
      <c r="E794" s="4" t="s">
        <v>1599</v>
      </c>
      <c r="F794" s="4" t="s">
        <v>5</v>
      </c>
      <c r="G794" s="8"/>
      <c r="H794" s="6" t="str">
        <f aca="false">IF(G794="","",G794/SUMIFS($G$2:$G$1462,$F$2:$F$1462,"Served"))</f>
        <v/>
      </c>
      <c r="I794" s="4" t="str">
        <f aca="false">IF(G794="","",RANK(G794,$G$2:$G$1462,0))</f>
        <v/>
      </c>
      <c r="J794" s="4" t="s">
        <v>34</v>
      </c>
    </row>
    <row r="795" customFormat="false" ht="15" hidden="false" customHeight="false" outlineLevel="0" collapsed="false">
      <c r="A795" s="4" t="s">
        <v>1680</v>
      </c>
      <c r="B795" s="4" t="s">
        <v>1596</v>
      </c>
      <c r="C795" s="4" t="s">
        <v>1597</v>
      </c>
      <c r="D795" s="7" t="s">
        <v>1681</v>
      </c>
      <c r="E795" s="4" t="s">
        <v>1599</v>
      </c>
      <c r="F795" s="4" t="s">
        <v>5</v>
      </c>
      <c r="G795" s="8"/>
      <c r="H795" s="6" t="str">
        <f aca="false">IF(G795="","",G795/SUMIFS($G$2:$G$1462,$F$2:$F$1462,"Served"))</f>
        <v/>
      </c>
      <c r="I795" s="4" t="str">
        <f aca="false">IF(G795="","",RANK(G795,$G$2:$G$1462,0))</f>
        <v/>
      </c>
      <c r="J795" s="4" t="s">
        <v>34</v>
      </c>
    </row>
    <row r="796" customFormat="false" ht="15" hidden="false" customHeight="false" outlineLevel="0" collapsed="false">
      <c r="A796" s="4" t="s">
        <v>1682</v>
      </c>
      <c r="B796" s="4" t="s">
        <v>1596</v>
      </c>
      <c r="C796" s="4" t="s">
        <v>1597</v>
      </c>
      <c r="D796" s="7" t="s">
        <v>1683</v>
      </c>
      <c r="E796" s="4" t="s">
        <v>1599</v>
      </c>
      <c r="F796" s="4" t="s">
        <v>5</v>
      </c>
      <c r="G796" s="8"/>
      <c r="H796" s="6" t="str">
        <f aca="false">IF(G796="","",G796/SUMIFS($G$2:$G$1462,$F$2:$F$1462,"Served"))</f>
        <v/>
      </c>
      <c r="I796" s="4" t="str">
        <f aca="false">IF(G796="","",RANK(G796,$G$2:$G$1462,0))</f>
        <v/>
      </c>
      <c r="J796" s="4" t="s">
        <v>34</v>
      </c>
    </row>
    <row r="797" customFormat="false" ht="15" hidden="false" customHeight="false" outlineLevel="0" collapsed="false">
      <c r="A797" s="4" t="s">
        <v>1684</v>
      </c>
      <c r="B797" s="4" t="s">
        <v>1596</v>
      </c>
      <c r="C797" s="4" t="s">
        <v>1597</v>
      </c>
      <c r="D797" s="7" t="s">
        <v>1685</v>
      </c>
      <c r="E797" s="4" t="s">
        <v>1599</v>
      </c>
      <c r="F797" s="4" t="s">
        <v>5</v>
      </c>
      <c r="G797" s="8"/>
      <c r="H797" s="6" t="str">
        <f aca="false">IF(G797="","",G797/SUMIFS($G$2:$G$1462,$F$2:$F$1462,"Served"))</f>
        <v/>
      </c>
      <c r="I797" s="4" t="str">
        <f aca="false">IF(G797="","",RANK(G797,$G$2:$G$1462,0))</f>
        <v/>
      </c>
      <c r="J797" s="4" t="s">
        <v>34</v>
      </c>
    </row>
    <row r="798" customFormat="false" ht="15" hidden="false" customHeight="false" outlineLevel="0" collapsed="false">
      <c r="A798" s="4" t="s">
        <v>1686</v>
      </c>
      <c r="B798" s="4" t="s">
        <v>1596</v>
      </c>
      <c r="C798" s="4" t="s">
        <v>1597</v>
      </c>
      <c r="D798" s="7" t="s">
        <v>1687</v>
      </c>
      <c r="E798" s="4" t="s">
        <v>1599</v>
      </c>
      <c r="F798" s="4" t="s">
        <v>5</v>
      </c>
      <c r="G798" s="8"/>
      <c r="H798" s="6" t="str">
        <f aca="false">IF(G798="","",G798/SUMIFS($G$2:$G$1462,$F$2:$F$1462,"Served"))</f>
        <v/>
      </c>
      <c r="I798" s="4" t="str">
        <f aca="false">IF(G798="","",RANK(G798,$G$2:$G$1462,0))</f>
        <v/>
      </c>
      <c r="J798" s="4" t="s">
        <v>34</v>
      </c>
    </row>
    <row r="799" customFormat="false" ht="15" hidden="false" customHeight="false" outlineLevel="0" collapsed="false">
      <c r="A799" s="4" t="s">
        <v>1688</v>
      </c>
      <c r="B799" s="4" t="s">
        <v>1596</v>
      </c>
      <c r="C799" s="4" t="s">
        <v>1597</v>
      </c>
      <c r="D799" s="7" t="s">
        <v>1689</v>
      </c>
      <c r="E799" s="4" t="s">
        <v>1599</v>
      </c>
      <c r="F799" s="4" t="s">
        <v>5</v>
      </c>
      <c r="G799" s="8"/>
      <c r="H799" s="6" t="str">
        <f aca="false">IF(G799="","",G799/SUMIFS($G$2:$G$1462,$F$2:$F$1462,"Served"))</f>
        <v/>
      </c>
      <c r="I799" s="4" t="str">
        <f aca="false">IF(G799="","",RANK(G799,$G$2:$G$1462,0))</f>
        <v/>
      </c>
      <c r="J799" s="4" t="s">
        <v>34</v>
      </c>
    </row>
    <row r="800" customFormat="false" ht="15" hidden="false" customHeight="false" outlineLevel="0" collapsed="false">
      <c r="A800" s="4" t="s">
        <v>1690</v>
      </c>
      <c r="B800" s="4" t="s">
        <v>1596</v>
      </c>
      <c r="C800" s="4" t="s">
        <v>1597</v>
      </c>
      <c r="D800" s="7" t="s">
        <v>1691</v>
      </c>
      <c r="E800" s="4" t="s">
        <v>1599</v>
      </c>
      <c r="F800" s="4" t="s">
        <v>5</v>
      </c>
      <c r="G800" s="8"/>
      <c r="H800" s="6" t="str">
        <f aca="false">IF(G800="","",G800/SUMIFS($G$2:$G$1462,$F$2:$F$1462,"Served"))</f>
        <v/>
      </c>
      <c r="I800" s="4" t="str">
        <f aca="false">IF(G800="","",RANK(G800,$G$2:$G$1462,0))</f>
        <v/>
      </c>
      <c r="J800" s="4" t="s">
        <v>34</v>
      </c>
    </row>
    <row r="801" customFormat="false" ht="15" hidden="false" customHeight="false" outlineLevel="0" collapsed="false">
      <c r="A801" s="4" t="s">
        <v>1692</v>
      </c>
      <c r="B801" s="4" t="s">
        <v>1596</v>
      </c>
      <c r="C801" s="4" t="s">
        <v>1597</v>
      </c>
      <c r="D801" s="7" t="s">
        <v>1693</v>
      </c>
      <c r="E801" s="4" t="s">
        <v>1599</v>
      </c>
      <c r="F801" s="4" t="s">
        <v>5</v>
      </c>
      <c r="G801" s="8"/>
      <c r="H801" s="6" t="str">
        <f aca="false">IF(G801="","",G801/SUMIFS($G$2:$G$1462,$F$2:$F$1462,"Served"))</f>
        <v/>
      </c>
      <c r="I801" s="4" t="str">
        <f aca="false">IF(G801="","",RANK(G801,$G$2:$G$1462,0))</f>
        <v/>
      </c>
      <c r="J801" s="4" t="s">
        <v>34</v>
      </c>
    </row>
    <row r="802" customFormat="false" ht="15" hidden="false" customHeight="false" outlineLevel="0" collapsed="false">
      <c r="A802" s="4" t="s">
        <v>1694</v>
      </c>
      <c r="B802" s="4" t="s">
        <v>1596</v>
      </c>
      <c r="C802" s="4" t="s">
        <v>1597</v>
      </c>
      <c r="D802" s="7" t="s">
        <v>1695</v>
      </c>
      <c r="E802" s="4" t="s">
        <v>1599</v>
      </c>
      <c r="F802" s="4" t="s">
        <v>5</v>
      </c>
      <c r="G802" s="8"/>
      <c r="H802" s="6" t="str">
        <f aca="false">IF(G802="","",G802/SUMIFS($G$2:$G$1462,$F$2:$F$1462,"Served"))</f>
        <v/>
      </c>
      <c r="I802" s="4" t="str">
        <f aca="false">IF(G802="","",RANK(G802,$G$2:$G$1462,0))</f>
        <v/>
      </c>
      <c r="J802" s="4" t="s">
        <v>34</v>
      </c>
    </row>
    <row r="803" customFormat="false" ht="15" hidden="false" customHeight="false" outlineLevel="0" collapsed="false">
      <c r="A803" s="4" t="s">
        <v>1696</v>
      </c>
      <c r="B803" s="4" t="s">
        <v>1596</v>
      </c>
      <c r="C803" s="4" t="s">
        <v>1597</v>
      </c>
      <c r="D803" s="7" t="s">
        <v>1697</v>
      </c>
      <c r="E803" s="4" t="s">
        <v>1599</v>
      </c>
      <c r="F803" s="4" t="s">
        <v>5</v>
      </c>
      <c r="G803" s="8"/>
      <c r="H803" s="6" t="str">
        <f aca="false">IF(G803="","",G803/SUMIFS($G$2:$G$1462,$F$2:$F$1462,"Served"))</f>
        <v/>
      </c>
      <c r="I803" s="4" t="str">
        <f aca="false">IF(G803="","",RANK(G803,$G$2:$G$1462,0))</f>
        <v/>
      </c>
      <c r="J803" s="4" t="s">
        <v>34</v>
      </c>
    </row>
    <row r="804" customFormat="false" ht="15" hidden="false" customHeight="false" outlineLevel="0" collapsed="false">
      <c r="A804" s="4" t="s">
        <v>1698</v>
      </c>
      <c r="B804" s="4" t="s">
        <v>1596</v>
      </c>
      <c r="C804" s="4" t="s">
        <v>1597</v>
      </c>
      <c r="D804" s="7" t="s">
        <v>1699</v>
      </c>
      <c r="E804" s="4" t="s">
        <v>1599</v>
      </c>
      <c r="F804" s="4" t="s">
        <v>5</v>
      </c>
      <c r="G804" s="8"/>
      <c r="H804" s="6" t="str">
        <f aca="false">IF(G804="","",G804/SUMIFS($G$2:$G$1462,$F$2:$F$1462,"Served"))</f>
        <v/>
      </c>
      <c r="I804" s="4" t="str">
        <f aca="false">IF(G804="","",RANK(G804,$G$2:$G$1462,0))</f>
        <v/>
      </c>
      <c r="J804" s="4" t="s">
        <v>34</v>
      </c>
    </row>
    <row r="805" customFormat="false" ht="15" hidden="false" customHeight="false" outlineLevel="0" collapsed="false">
      <c r="A805" s="4" t="s">
        <v>1700</v>
      </c>
      <c r="B805" s="4" t="s">
        <v>1596</v>
      </c>
      <c r="C805" s="4" t="s">
        <v>1597</v>
      </c>
      <c r="D805" s="7" t="s">
        <v>1701</v>
      </c>
      <c r="E805" s="4" t="s">
        <v>1599</v>
      </c>
      <c r="F805" s="4" t="s">
        <v>5</v>
      </c>
      <c r="G805" s="8"/>
      <c r="H805" s="6" t="str">
        <f aca="false">IF(G805="","",G805/SUMIFS($G$2:$G$1462,$F$2:$F$1462,"Served"))</f>
        <v/>
      </c>
      <c r="I805" s="4" t="str">
        <f aca="false">IF(G805="","",RANK(G805,$G$2:$G$1462,0))</f>
        <v/>
      </c>
      <c r="J805" s="4" t="s">
        <v>34</v>
      </c>
    </row>
    <row r="806" customFormat="false" ht="15" hidden="false" customHeight="false" outlineLevel="0" collapsed="false">
      <c r="A806" s="4" t="s">
        <v>1702</v>
      </c>
      <c r="B806" s="4" t="s">
        <v>1596</v>
      </c>
      <c r="C806" s="4" t="s">
        <v>1597</v>
      </c>
      <c r="D806" s="7" t="s">
        <v>1703</v>
      </c>
      <c r="E806" s="4" t="s">
        <v>1599</v>
      </c>
      <c r="F806" s="4" t="s">
        <v>5</v>
      </c>
      <c r="G806" s="8"/>
      <c r="H806" s="6" t="str">
        <f aca="false">IF(G806="","",G806/SUMIFS($G$2:$G$1462,$F$2:$F$1462,"Served"))</f>
        <v/>
      </c>
      <c r="I806" s="4" t="str">
        <f aca="false">IF(G806="","",RANK(G806,$G$2:$G$1462,0))</f>
        <v/>
      </c>
      <c r="J806" s="4" t="s">
        <v>34</v>
      </c>
    </row>
    <row r="807" customFormat="false" ht="15" hidden="false" customHeight="false" outlineLevel="0" collapsed="false">
      <c r="A807" s="4" t="s">
        <v>1704</v>
      </c>
      <c r="B807" s="4" t="s">
        <v>1596</v>
      </c>
      <c r="C807" s="4" t="s">
        <v>1597</v>
      </c>
      <c r="D807" s="7" t="s">
        <v>1705</v>
      </c>
      <c r="E807" s="4" t="s">
        <v>1599</v>
      </c>
      <c r="F807" s="4" t="s">
        <v>5</v>
      </c>
      <c r="G807" s="8"/>
      <c r="H807" s="6" t="str">
        <f aca="false">IF(G807="","",G807/SUMIFS($G$2:$G$1462,$F$2:$F$1462,"Served"))</f>
        <v/>
      </c>
      <c r="I807" s="4" t="str">
        <f aca="false">IF(G807="","",RANK(G807,$G$2:$G$1462,0))</f>
        <v/>
      </c>
      <c r="J807" s="4" t="s">
        <v>34</v>
      </c>
    </row>
    <row r="808" customFormat="false" ht="15" hidden="false" customHeight="false" outlineLevel="0" collapsed="false">
      <c r="A808" s="4" t="s">
        <v>1706</v>
      </c>
      <c r="B808" s="4" t="s">
        <v>1596</v>
      </c>
      <c r="C808" s="4" t="s">
        <v>1597</v>
      </c>
      <c r="D808" s="7" t="s">
        <v>1707</v>
      </c>
      <c r="E808" s="4" t="s">
        <v>1599</v>
      </c>
      <c r="F808" s="4" t="s">
        <v>5</v>
      </c>
      <c r="G808" s="8"/>
      <c r="H808" s="6" t="str">
        <f aca="false">IF(G808="","",G808/SUMIFS($G$2:$G$1462,$F$2:$F$1462,"Served"))</f>
        <v/>
      </c>
      <c r="I808" s="4" t="str">
        <f aca="false">IF(G808="","",RANK(G808,$G$2:$G$1462,0))</f>
        <v/>
      </c>
      <c r="J808" s="4" t="s">
        <v>34</v>
      </c>
    </row>
    <row r="809" customFormat="false" ht="15" hidden="false" customHeight="false" outlineLevel="0" collapsed="false">
      <c r="A809" s="4" t="s">
        <v>1708</v>
      </c>
      <c r="B809" s="4" t="s">
        <v>1596</v>
      </c>
      <c r="C809" s="4" t="s">
        <v>1597</v>
      </c>
      <c r="D809" s="7" t="s">
        <v>1709</v>
      </c>
      <c r="E809" s="4" t="s">
        <v>1599</v>
      </c>
      <c r="F809" s="4" t="s">
        <v>5</v>
      </c>
      <c r="G809" s="8"/>
      <c r="H809" s="6" t="str">
        <f aca="false">IF(G809="","",G809/SUMIFS($G$2:$G$1462,$F$2:$F$1462,"Served"))</f>
        <v/>
      </c>
      <c r="I809" s="4" t="str">
        <f aca="false">IF(G809="","",RANK(G809,$G$2:$G$1462,0))</f>
        <v/>
      </c>
      <c r="J809" s="4" t="s">
        <v>34</v>
      </c>
    </row>
    <row r="810" customFormat="false" ht="15" hidden="false" customHeight="false" outlineLevel="0" collapsed="false">
      <c r="A810" s="4" t="s">
        <v>1710</v>
      </c>
      <c r="B810" s="4" t="s">
        <v>1596</v>
      </c>
      <c r="C810" s="4" t="s">
        <v>1597</v>
      </c>
      <c r="D810" s="7" t="s">
        <v>1711</v>
      </c>
      <c r="E810" s="4" t="s">
        <v>1599</v>
      </c>
      <c r="F810" s="4" t="s">
        <v>5</v>
      </c>
      <c r="G810" s="8"/>
      <c r="H810" s="6" t="str">
        <f aca="false">IF(G810="","",G810/SUMIFS($G$2:$G$1462,$F$2:$F$1462,"Served"))</f>
        <v/>
      </c>
      <c r="I810" s="4" t="str">
        <f aca="false">IF(G810="","",RANK(G810,$G$2:$G$1462,0))</f>
        <v/>
      </c>
      <c r="J810" s="4" t="s">
        <v>34</v>
      </c>
    </row>
    <row r="811" customFormat="false" ht="15" hidden="false" customHeight="false" outlineLevel="0" collapsed="false">
      <c r="A811" s="4" t="s">
        <v>1712</v>
      </c>
      <c r="B811" s="4" t="s">
        <v>1596</v>
      </c>
      <c r="C811" s="4" t="s">
        <v>1597</v>
      </c>
      <c r="D811" s="7" t="s">
        <v>1713</v>
      </c>
      <c r="E811" s="4" t="s">
        <v>1599</v>
      </c>
      <c r="F811" s="4" t="s">
        <v>5</v>
      </c>
      <c r="G811" s="8"/>
      <c r="H811" s="6" t="str">
        <f aca="false">IF(G811="","",G811/SUMIFS($G$2:$G$1462,$F$2:$F$1462,"Served"))</f>
        <v/>
      </c>
      <c r="I811" s="4" t="str">
        <f aca="false">IF(G811="","",RANK(G811,$G$2:$G$1462,0))</f>
        <v/>
      </c>
      <c r="J811" s="4" t="s">
        <v>34</v>
      </c>
    </row>
    <row r="812" customFormat="false" ht="15" hidden="false" customHeight="false" outlineLevel="0" collapsed="false">
      <c r="A812" s="4" t="s">
        <v>1714</v>
      </c>
      <c r="B812" s="4" t="s">
        <v>1596</v>
      </c>
      <c r="C812" s="4" t="s">
        <v>1597</v>
      </c>
      <c r="D812" s="7" t="s">
        <v>1715</v>
      </c>
      <c r="E812" s="4" t="s">
        <v>1599</v>
      </c>
      <c r="F812" s="4" t="s">
        <v>5</v>
      </c>
      <c r="G812" s="8"/>
      <c r="H812" s="6" t="str">
        <f aca="false">IF(G812="","",G812/SUMIFS($G$2:$G$1462,$F$2:$F$1462,"Served"))</f>
        <v/>
      </c>
      <c r="I812" s="4" t="str">
        <f aca="false">IF(G812="","",RANK(G812,$G$2:$G$1462,0))</f>
        <v/>
      </c>
      <c r="J812" s="4" t="s">
        <v>34</v>
      </c>
    </row>
    <row r="813" customFormat="false" ht="15" hidden="false" customHeight="false" outlineLevel="0" collapsed="false">
      <c r="A813" s="4" t="s">
        <v>1716</v>
      </c>
      <c r="B813" s="4" t="s">
        <v>1596</v>
      </c>
      <c r="C813" s="4" t="s">
        <v>1597</v>
      </c>
      <c r="D813" s="7" t="s">
        <v>1717</v>
      </c>
      <c r="E813" s="4" t="s">
        <v>1599</v>
      </c>
      <c r="F813" s="4" t="s">
        <v>5</v>
      </c>
      <c r="G813" s="8"/>
      <c r="H813" s="6" t="str">
        <f aca="false">IF(G813="","",G813/SUMIFS($G$2:$G$1462,$F$2:$F$1462,"Served"))</f>
        <v/>
      </c>
      <c r="I813" s="4" t="str">
        <f aca="false">IF(G813="","",RANK(G813,$G$2:$G$1462,0))</f>
        <v/>
      </c>
      <c r="J813" s="4" t="s">
        <v>34</v>
      </c>
    </row>
    <row r="814" customFormat="false" ht="15" hidden="false" customHeight="false" outlineLevel="0" collapsed="false">
      <c r="A814" s="4" t="s">
        <v>1718</v>
      </c>
      <c r="B814" s="4" t="s">
        <v>1596</v>
      </c>
      <c r="C814" s="4" t="s">
        <v>1597</v>
      </c>
      <c r="D814" s="7" t="s">
        <v>1719</v>
      </c>
      <c r="E814" s="4" t="s">
        <v>1599</v>
      </c>
      <c r="F814" s="4" t="s">
        <v>5</v>
      </c>
      <c r="G814" s="8"/>
      <c r="H814" s="6" t="str">
        <f aca="false">IF(G814="","",G814/SUMIFS($G$2:$G$1462,$F$2:$F$1462,"Served"))</f>
        <v/>
      </c>
      <c r="I814" s="4" t="str">
        <f aca="false">IF(G814="","",RANK(G814,$G$2:$G$1462,0))</f>
        <v/>
      </c>
      <c r="J814" s="4" t="s">
        <v>34</v>
      </c>
    </row>
    <row r="815" customFormat="false" ht="15" hidden="false" customHeight="false" outlineLevel="0" collapsed="false">
      <c r="A815" s="4" t="s">
        <v>1720</v>
      </c>
      <c r="B815" s="4" t="s">
        <v>1596</v>
      </c>
      <c r="C815" s="4" t="s">
        <v>1597</v>
      </c>
      <c r="D815" s="7" t="s">
        <v>1721</v>
      </c>
      <c r="E815" s="4" t="s">
        <v>1599</v>
      </c>
      <c r="F815" s="4" t="s">
        <v>5</v>
      </c>
      <c r="G815" s="8"/>
      <c r="H815" s="6" t="str">
        <f aca="false">IF(G815="","",G815/SUMIFS($G$2:$G$1462,$F$2:$F$1462,"Served"))</f>
        <v/>
      </c>
      <c r="I815" s="4" t="str">
        <f aca="false">IF(G815="","",RANK(G815,$G$2:$G$1462,0))</f>
        <v/>
      </c>
      <c r="J815" s="4" t="s">
        <v>34</v>
      </c>
    </row>
    <row r="816" customFormat="false" ht="15" hidden="false" customHeight="false" outlineLevel="0" collapsed="false">
      <c r="A816" s="4" t="s">
        <v>1722</v>
      </c>
      <c r="B816" s="4" t="s">
        <v>1596</v>
      </c>
      <c r="C816" s="4" t="s">
        <v>1597</v>
      </c>
      <c r="D816" s="7" t="s">
        <v>1723</v>
      </c>
      <c r="E816" s="4" t="s">
        <v>1599</v>
      </c>
      <c r="F816" s="4" t="s">
        <v>5</v>
      </c>
      <c r="G816" s="8"/>
      <c r="H816" s="6" t="str">
        <f aca="false">IF(G816="","",G816/SUMIFS($G$2:$G$1462,$F$2:$F$1462,"Served"))</f>
        <v/>
      </c>
      <c r="I816" s="4" t="str">
        <f aca="false">IF(G816="","",RANK(G816,$G$2:$G$1462,0))</f>
        <v/>
      </c>
      <c r="J816" s="4" t="s">
        <v>34</v>
      </c>
    </row>
    <row r="817" customFormat="false" ht="15" hidden="false" customHeight="false" outlineLevel="0" collapsed="false">
      <c r="A817" s="4" t="s">
        <v>1724</v>
      </c>
      <c r="B817" s="4" t="s">
        <v>1596</v>
      </c>
      <c r="C817" s="4" t="s">
        <v>1597</v>
      </c>
      <c r="D817" s="7" t="s">
        <v>1725</v>
      </c>
      <c r="E817" s="4" t="s">
        <v>1599</v>
      </c>
      <c r="F817" s="4" t="s">
        <v>5</v>
      </c>
      <c r="G817" s="8"/>
      <c r="H817" s="6" t="str">
        <f aca="false">IF(G817="","",G817/SUMIFS($G$2:$G$1462,$F$2:$F$1462,"Served"))</f>
        <v/>
      </c>
      <c r="I817" s="4" t="str">
        <f aca="false">IF(G817="","",RANK(G817,$G$2:$G$1462,0))</f>
        <v/>
      </c>
      <c r="J817" s="4" t="s">
        <v>34</v>
      </c>
    </row>
    <row r="818" customFormat="false" ht="15" hidden="false" customHeight="false" outlineLevel="0" collapsed="false">
      <c r="A818" s="4" t="s">
        <v>1726</v>
      </c>
      <c r="B818" s="4" t="s">
        <v>1596</v>
      </c>
      <c r="C818" s="4" t="s">
        <v>1597</v>
      </c>
      <c r="D818" s="7" t="s">
        <v>1727</v>
      </c>
      <c r="E818" s="4" t="s">
        <v>1599</v>
      </c>
      <c r="F818" s="4" t="s">
        <v>5</v>
      </c>
      <c r="G818" s="8"/>
      <c r="H818" s="6" t="str">
        <f aca="false">IF(G818="","",G818/SUMIFS($G$2:$G$1462,$F$2:$F$1462,"Served"))</f>
        <v/>
      </c>
      <c r="I818" s="4" t="str">
        <f aca="false">IF(G818="","",RANK(G818,$G$2:$G$1462,0))</f>
        <v/>
      </c>
      <c r="J818" s="4" t="s">
        <v>34</v>
      </c>
    </row>
    <row r="819" customFormat="false" ht="15" hidden="false" customHeight="false" outlineLevel="0" collapsed="false">
      <c r="A819" s="4" t="s">
        <v>1728</v>
      </c>
      <c r="B819" s="4" t="s">
        <v>1596</v>
      </c>
      <c r="C819" s="4" t="s">
        <v>1597</v>
      </c>
      <c r="D819" s="7" t="s">
        <v>1729</v>
      </c>
      <c r="E819" s="4" t="s">
        <v>1599</v>
      </c>
      <c r="F819" s="4" t="s">
        <v>5</v>
      </c>
      <c r="G819" s="8"/>
      <c r="H819" s="6" t="str">
        <f aca="false">IF(G819="","",G819/SUMIFS($G$2:$G$1462,$F$2:$F$1462,"Served"))</f>
        <v/>
      </c>
      <c r="I819" s="4" t="str">
        <f aca="false">IF(G819="","",RANK(G819,$G$2:$G$1462,0))</f>
        <v/>
      </c>
      <c r="J819" s="4" t="s">
        <v>34</v>
      </c>
    </row>
    <row r="820" customFormat="false" ht="15" hidden="false" customHeight="false" outlineLevel="0" collapsed="false">
      <c r="A820" s="4" t="s">
        <v>1730</v>
      </c>
      <c r="B820" s="4" t="s">
        <v>1596</v>
      </c>
      <c r="C820" s="4" t="s">
        <v>1597</v>
      </c>
      <c r="D820" s="7" t="s">
        <v>1731</v>
      </c>
      <c r="E820" s="4" t="s">
        <v>1599</v>
      </c>
      <c r="F820" s="4" t="s">
        <v>5</v>
      </c>
      <c r="G820" s="8"/>
      <c r="H820" s="6" t="str">
        <f aca="false">IF(G820="","",G820/SUMIFS($G$2:$G$1462,$F$2:$F$1462,"Served"))</f>
        <v/>
      </c>
      <c r="I820" s="4" t="str">
        <f aca="false">IF(G820="","",RANK(G820,$G$2:$G$1462,0))</f>
        <v/>
      </c>
      <c r="J820" s="4" t="s">
        <v>34</v>
      </c>
    </row>
    <row r="821" customFormat="false" ht="15" hidden="false" customHeight="false" outlineLevel="0" collapsed="false">
      <c r="A821" s="4" t="s">
        <v>1732</v>
      </c>
      <c r="B821" s="4" t="s">
        <v>1596</v>
      </c>
      <c r="C821" s="4" t="s">
        <v>1597</v>
      </c>
      <c r="D821" s="7" t="s">
        <v>1733</v>
      </c>
      <c r="E821" s="4" t="s">
        <v>1599</v>
      </c>
      <c r="F821" s="4" t="s">
        <v>5</v>
      </c>
      <c r="G821" s="8"/>
      <c r="H821" s="6" t="str">
        <f aca="false">IF(G821="","",G821/SUMIFS($G$2:$G$1462,$F$2:$F$1462,"Served"))</f>
        <v/>
      </c>
      <c r="I821" s="4" t="str">
        <f aca="false">IF(G821="","",RANK(G821,$G$2:$G$1462,0))</f>
        <v/>
      </c>
      <c r="J821" s="4" t="s">
        <v>34</v>
      </c>
    </row>
    <row r="822" customFormat="false" ht="15" hidden="false" customHeight="false" outlineLevel="0" collapsed="false">
      <c r="A822" s="4" t="s">
        <v>1734</v>
      </c>
      <c r="B822" s="4" t="s">
        <v>1596</v>
      </c>
      <c r="C822" s="4" t="s">
        <v>1597</v>
      </c>
      <c r="D822" s="7" t="s">
        <v>1735</v>
      </c>
      <c r="E822" s="4" t="s">
        <v>1599</v>
      </c>
      <c r="F822" s="4" t="s">
        <v>5</v>
      </c>
      <c r="G822" s="8"/>
      <c r="H822" s="6" t="str">
        <f aca="false">IF(G822="","",G822/SUMIFS($G$2:$G$1462,$F$2:$F$1462,"Served"))</f>
        <v/>
      </c>
      <c r="I822" s="4" t="str">
        <f aca="false">IF(G822="","",RANK(G822,$G$2:$G$1462,0))</f>
        <v/>
      </c>
      <c r="J822" s="4" t="s">
        <v>34</v>
      </c>
    </row>
    <row r="823" customFormat="false" ht="15" hidden="false" customHeight="false" outlineLevel="0" collapsed="false">
      <c r="A823" s="4" t="s">
        <v>1736</v>
      </c>
      <c r="B823" s="4" t="s">
        <v>1596</v>
      </c>
      <c r="C823" s="4" t="s">
        <v>1597</v>
      </c>
      <c r="D823" s="7" t="s">
        <v>1737</v>
      </c>
      <c r="E823" s="4" t="s">
        <v>1599</v>
      </c>
      <c r="F823" s="4" t="s">
        <v>5</v>
      </c>
      <c r="G823" s="8"/>
      <c r="H823" s="6" t="str">
        <f aca="false">IF(G823="","",G823/SUMIFS($G$2:$G$1462,$F$2:$F$1462,"Served"))</f>
        <v/>
      </c>
      <c r="I823" s="4" t="str">
        <f aca="false">IF(G823="","",RANK(G823,$G$2:$G$1462,0))</f>
        <v/>
      </c>
      <c r="J823" s="4" t="s">
        <v>34</v>
      </c>
    </row>
    <row r="824" customFormat="false" ht="15" hidden="false" customHeight="false" outlineLevel="0" collapsed="false">
      <c r="A824" s="4" t="s">
        <v>1738</v>
      </c>
      <c r="B824" s="4" t="s">
        <v>1596</v>
      </c>
      <c r="C824" s="4" t="s">
        <v>1597</v>
      </c>
      <c r="D824" s="7" t="s">
        <v>1739</v>
      </c>
      <c r="E824" s="4" t="s">
        <v>1599</v>
      </c>
      <c r="F824" s="4" t="s">
        <v>5</v>
      </c>
      <c r="G824" s="8"/>
      <c r="H824" s="6" t="str">
        <f aca="false">IF(G824="","",G824/SUMIFS($G$2:$G$1462,$F$2:$F$1462,"Served"))</f>
        <v/>
      </c>
      <c r="I824" s="4" t="str">
        <f aca="false">IF(G824="","",RANK(G824,$G$2:$G$1462,0))</f>
        <v/>
      </c>
      <c r="J824" s="4" t="s">
        <v>34</v>
      </c>
    </row>
    <row r="825" customFormat="false" ht="15" hidden="false" customHeight="false" outlineLevel="0" collapsed="false">
      <c r="A825" s="4" t="s">
        <v>1740</v>
      </c>
      <c r="B825" s="4" t="s">
        <v>1596</v>
      </c>
      <c r="C825" s="4" t="s">
        <v>1597</v>
      </c>
      <c r="D825" s="7" t="s">
        <v>1741</v>
      </c>
      <c r="E825" s="4" t="s">
        <v>1599</v>
      </c>
      <c r="F825" s="4" t="s">
        <v>5</v>
      </c>
      <c r="G825" s="8"/>
      <c r="H825" s="6" t="str">
        <f aca="false">IF(G825="","",G825/SUMIFS($G$2:$G$1462,$F$2:$F$1462,"Served"))</f>
        <v/>
      </c>
      <c r="I825" s="4" t="str">
        <f aca="false">IF(G825="","",RANK(G825,$G$2:$G$1462,0))</f>
        <v/>
      </c>
      <c r="J825" s="4" t="s">
        <v>34</v>
      </c>
    </row>
    <row r="826" customFormat="false" ht="15" hidden="false" customHeight="false" outlineLevel="0" collapsed="false">
      <c r="A826" s="4" t="s">
        <v>1742</v>
      </c>
      <c r="B826" s="4" t="s">
        <v>1596</v>
      </c>
      <c r="C826" s="4" t="s">
        <v>1597</v>
      </c>
      <c r="D826" s="7" t="s">
        <v>1743</v>
      </c>
      <c r="E826" s="4" t="s">
        <v>1599</v>
      </c>
      <c r="F826" s="4" t="s">
        <v>5</v>
      </c>
      <c r="G826" s="8"/>
      <c r="H826" s="6" t="str">
        <f aca="false">IF(G826="","",G826/SUMIFS($G$2:$G$1462,$F$2:$F$1462,"Served"))</f>
        <v/>
      </c>
      <c r="I826" s="4" t="str">
        <f aca="false">IF(G826="","",RANK(G826,$G$2:$G$1462,0))</f>
        <v/>
      </c>
      <c r="J826" s="4" t="s">
        <v>34</v>
      </c>
    </row>
    <row r="827" customFormat="false" ht="15" hidden="false" customHeight="false" outlineLevel="0" collapsed="false">
      <c r="A827" s="4" t="s">
        <v>1744</v>
      </c>
      <c r="B827" s="4" t="s">
        <v>1596</v>
      </c>
      <c r="C827" s="4" t="s">
        <v>1597</v>
      </c>
      <c r="D827" s="7" t="s">
        <v>1745</v>
      </c>
      <c r="E827" s="4" t="s">
        <v>1599</v>
      </c>
      <c r="F827" s="4" t="s">
        <v>5</v>
      </c>
      <c r="G827" s="8"/>
      <c r="H827" s="6" t="str">
        <f aca="false">IF(G827="","",G827/SUMIFS($G$2:$G$1462,$F$2:$F$1462,"Served"))</f>
        <v/>
      </c>
      <c r="I827" s="4" t="str">
        <f aca="false">IF(G827="","",RANK(G827,$G$2:$G$1462,0))</f>
        <v/>
      </c>
      <c r="J827" s="4" t="s">
        <v>34</v>
      </c>
    </row>
    <row r="828" customFormat="false" ht="15" hidden="false" customHeight="false" outlineLevel="0" collapsed="false">
      <c r="A828" s="4" t="s">
        <v>1746</v>
      </c>
      <c r="B828" s="4" t="s">
        <v>1596</v>
      </c>
      <c r="C828" s="4" t="s">
        <v>1597</v>
      </c>
      <c r="D828" s="7" t="s">
        <v>1747</v>
      </c>
      <c r="E828" s="4" t="s">
        <v>1599</v>
      </c>
      <c r="F828" s="4" t="s">
        <v>5</v>
      </c>
      <c r="G828" s="8"/>
      <c r="H828" s="6" t="str">
        <f aca="false">IF(G828="","",G828/SUMIFS($G$2:$G$1462,$F$2:$F$1462,"Served"))</f>
        <v/>
      </c>
      <c r="I828" s="4" t="str">
        <f aca="false">IF(G828="","",RANK(G828,$G$2:$G$1462,0))</f>
        <v/>
      </c>
      <c r="J828" s="4" t="s">
        <v>34</v>
      </c>
    </row>
    <row r="829" customFormat="false" ht="15" hidden="false" customHeight="false" outlineLevel="0" collapsed="false">
      <c r="A829" s="4" t="s">
        <v>1748</v>
      </c>
      <c r="B829" s="4" t="s">
        <v>1596</v>
      </c>
      <c r="C829" s="4" t="s">
        <v>1597</v>
      </c>
      <c r="D829" s="7" t="s">
        <v>1749</v>
      </c>
      <c r="E829" s="4" t="s">
        <v>1599</v>
      </c>
      <c r="F829" s="4" t="s">
        <v>5</v>
      </c>
      <c r="G829" s="8"/>
      <c r="H829" s="6" t="str">
        <f aca="false">IF(G829="","",G829/SUMIFS($G$2:$G$1462,$F$2:$F$1462,"Served"))</f>
        <v/>
      </c>
      <c r="I829" s="4" t="str">
        <f aca="false">IF(G829="","",RANK(G829,$G$2:$G$1462,0))</f>
        <v/>
      </c>
      <c r="J829" s="4" t="s">
        <v>34</v>
      </c>
    </row>
    <row r="830" customFormat="false" ht="15" hidden="false" customHeight="false" outlineLevel="0" collapsed="false">
      <c r="A830" s="4" t="s">
        <v>1750</v>
      </c>
      <c r="B830" s="4" t="s">
        <v>1596</v>
      </c>
      <c r="C830" s="4" t="s">
        <v>1597</v>
      </c>
      <c r="D830" s="7" t="s">
        <v>1751</v>
      </c>
      <c r="E830" s="4" t="s">
        <v>1599</v>
      </c>
      <c r="F830" s="4" t="s">
        <v>5</v>
      </c>
      <c r="G830" s="8"/>
      <c r="H830" s="6" t="str">
        <f aca="false">IF(G830="","",G830/SUMIFS($G$2:$G$1462,$F$2:$F$1462,"Served"))</f>
        <v/>
      </c>
      <c r="I830" s="4" t="str">
        <f aca="false">IF(G830="","",RANK(G830,$G$2:$G$1462,0))</f>
        <v/>
      </c>
      <c r="J830" s="4" t="s">
        <v>34</v>
      </c>
    </row>
    <row r="831" customFormat="false" ht="15" hidden="false" customHeight="false" outlineLevel="0" collapsed="false">
      <c r="A831" s="4" t="s">
        <v>1752</v>
      </c>
      <c r="B831" s="4" t="s">
        <v>1596</v>
      </c>
      <c r="C831" s="4" t="s">
        <v>1597</v>
      </c>
      <c r="D831" s="7" t="s">
        <v>1753</v>
      </c>
      <c r="E831" s="4" t="s">
        <v>1599</v>
      </c>
      <c r="F831" s="4" t="s">
        <v>5</v>
      </c>
      <c r="G831" s="8"/>
      <c r="H831" s="6" t="str">
        <f aca="false">IF(G831="","",G831/SUMIFS($G$2:$G$1462,$F$2:$F$1462,"Served"))</f>
        <v/>
      </c>
      <c r="I831" s="4" t="str">
        <f aca="false">IF(G831="","",RANK(G831,$G$2:$G$1462,0))</f>
        <v/>
      </c>
      <c r="J831" s="4" t="s">
        <v>34</v>
      </c>
    </row>
    <row r="832" customFormat="false" ht="15" hidden="false" customHeight="false" outlineLevel="0" collapsed="false">
      <c r="A832" s="4" t="s">
        <v>1754</v>
      </c>
      <c r="B832" s="4" t="s">
        <v>1596</v>
      </c>
      <c r="C832" s="4" t="s">
        <v>1597</v>
      </c>
      <c r="D832" s="7" t="s">
        <v>1755</v>
      </c>
      <c r="E832" s="4" t="s">
        <v>1599</v>
      </c>
      <c r="F832" s="4" t="s">
        <v>5</v>
      </c>
      <c r="G832" s="8"/>
      <c r="H832" s="6" t="str">
        <f aca="false">IF(G832="","",G832/SUMIFS($G$2:$G$1462,$F$2:$F$1462,"Served"))</f>
        <v/>
      </c>
      <c r="I832" s="4" t="str">
        <f aca="false">IF(G832="","",RANK(G832,$G$2:$G$1462,0))</f>
        <v/>
      </c>
      <c r="J832" s="4" t="s">
        <v>34</v>
      </c>
    </row>
    <row r="833" customFormat="false" ht="15" hidden="false" customHeight="false" outlineLevel="0" collapsed="false">
      <c r="A833" s="4" t="s">
        <v>1756</v>
      </c>
      <c r="B833" s="4" t="s">
        <v>1596</v>
      </c>
      <c r="C833" s="4" t="s">
        <v>1597</v>
      </c>
      <c r="D833" s="7" t="s">
        <v>1757</v>
      </c>
      <c r="E833" s="4" t="s">
        <v>1599</v>
      </c>
      <c r="F833" s="4" t="s">
        <v>5</v>
      </c>
      <c r="G833" s="8"/>
      <c r="H833" s="6" t="str">
        <f aca="false">IF(G833="","",G833/SUMIFS($G$2:$G$1462,$F$2:$F$1462,"Served"))</f>
        <v/>
      </c>
      <c r="I833" s="4" t="str">
        <f aca="false">IF(G833="","",RANK(G833,$G$2:$G$1462,0))</f>
        <v/>
      </c>
      <c r="J833" s="4" t="s">
        <v>34</v>
      </c>
    </row>
    <row r="834" customFormat="false" ht="15" hidden="false" customHeight="false" outlineLevel="0" collapsed="false">
      <c r="A834" s="4" t="s">
        <v>1758</v>
      </c>
      <c r="B834" s="4" t="s">
        <v>1596</v>
      </c>
      <c r="C834" s="4" t="s">
        <v>1597</v>
      </c>
      <c r="D834" s="7" t="s">
        <v>1759</v>
      </c>
      <c r="E834" s="4" t="s">
        <v>1599</v>
      </c>
      <c r="F834" s="4" t="s">
        <v>5</v>
      </c>
      <c r="G834" s="8"/>
      <c r="H834" s="6" t="str">
        <f aca="false">IF(G834="","",G834/SUMIFS($G$2:$G$1462,$F$2:$F$1462,"Served"))</f>
        <v/>
      </c>
      <c r="I834" s="4" t="str">
        <f aca="false">IF(G834="","",RANK(G834,$G$2:$G$1462,0))</f>
        <v/>
      </c>
      <c r="J834" s="4" t="s">
        <v>34</v>
      </c>
    </row>
    <row r="835" customFormat="false" ht="15" hidden="false" customHeight="false" outlineLevel="0" collapsed="false">
      <c r="A835" s="4" t="s">
        <v>1760</v>
      </c>
      <c r="B835" s="4" t="s">
        <v>1596</v>
      </c>
      <c r="C835" s="4" t="s">
        <v>1597</v>
      </c>
      <c r="D835" s="7" t="s">
        <v>1761</v>
      </c>
      <c r="E835" s="4" t="s">
        <v>1599</v>
      </c>
      <c r="F835" s="4" t="s">
        <v>5</v>
      </c>
      <c r="G835" s="8"/>
      <c r="H835" s="6" t="str">
        <f aca="false">IF(G835="","",G835/SUMIFS($G$2:$G$1462,$F$2:$F$1462,"Served"))</f>
        <v/>
      </c>
      <c r="I835" s="4" t="str">
        <f aca="false">IF(G835="","",RANK(G835,$G$2:$G$1462,0))</f>
        <v/>
      </c>
      <c r="J835" s="4" t="s">
        <v>34</v>
      </c>
    </row>
    <row r="836" customFormat="false" ht="15" hidden="false" customHeight="false" outlineLevel="0" collapsed="false">
      <c r="A836" s="4" t="s">
        <v>1762</v>
      </c>
      <c r="B836" s="4" t="s">
        <v>1596</v>
      </c>
      <c r="C836" s="4" t="s">
        <v>1597</v>
      </c>
      <c r="D836" s="7" t="s">
        <v>1763</v>
      </c>
      <c r="E836" s="4" t="s">
        <v>1599</v>
      </c>
      <c r="F836" s="4" t="s">
        <v>5</v>
      </c>
      <c r="G836" s="8"/>
      <c r="H836" s="6" t="str">
        <f aca="false">IF(G836="","",G836/SUMIFS($G$2:$G$1462,$F$2:$F$1462,"Served"))</f>
        <v/>
      </c>
      <c r="I836" s="4" t="str">
        <f aca="false">IF(G836="","",RANK(G836,$G$2:$G$1462,0))</f>
        <v/>
      </c>
      <c r="J836" s="4" t="s">
        <v>34</v>
      </c>
    </row>
    <row r="837" customFormat="false" ht="15" hidden="false" customHeight="false" outlineLevel="0" collapsed="false">
      <c r="A837" s="4" t="s">
        <v>1764</v>
      </c>
      <c r="B837" s="4" t="s">
        <v>1596</v>
      </c>
      <c r="C837" s="4" t="s">
        <v>1597</v>
      </c>
      <c r="D837" s="7" t="s">
        <v>1765</v>
      </c>
      <c r="E837" s="4" t="s">
        <v>1599</v>
      </c>
      <c r="F837" s="4" t="s">
        <v>5</v>
      </c>
      <c r="G837" s="8"/>
      <c r="H837" s="6" t="str">
        <f aca="false">IF(G837="","",G837/SUMIFS($G$2:$G$1462,$F$2:$F$1462,"Served"))</f>
        <v/>
      </c>
      <c r="I837" s="4" t="str">
        <f aca="false">IF(G837="","",RANK(G837,$G$2:$G$1462,0))</f>
        <v/>
      </c>
      <c r="J837" s="4" t="s">
        <v>34</v>
      </c>
    </row>
    <row r="838" customFormat="false" ht="15" hidden="false" customHeight="false" outlineLevel="0" collapsed="false">
      <c r="A838" s="4" t="s">
        <v>1766</v>
      </c>
      <c r="B838" s="4" t="s">
        <v>1596</v>
      </c>
      <c r="C838" s="4" t="s">
        <v>1597</v>
      </c>
      <c r="D838" s="7" t="s">
        <v>1767</v>
      </c>
      <c r="E838" s="4" t="s">
        <v>1599</v>
      </c>
      <c r="F838" s="4" t="s">
        <v>5</v>
      </c>
      <c r="G838" s="8"/>
      <c r="H838" s="6" t="str">
        <f aca="false">IF(G838="","",G838/SUMIFS($G$2:$G$1462,$F$2:$F$1462,"Served"))</f>
        <v/>
      </c>
      <c r="I838" s="4" t="str">
        <f aca="false">IF(G838="","",RANK(G838,$G$2:$G$1462,0))</f>
        <v/>
      </c>
      <c r="J838" s="4" t="s">
        <v>34</v>
      </c>
    </row>
    <row r="839" customFormat="false" ht="15" hidden="false" customHeight="false" outlineLevel="0" collapsed="false">
      <c r="A839" s="4" t="s">
        <v>1768</v>
      </c>
      <c r="B839" s="4" t="s">
        <v>1596</v>
      </c>
      <c r="C839" s="4" t="s">
        <v>1597</v>
      </c>
      <c r="D839" s="7" t="s">
        <v>1769</v>
      </c>
      <c r="E839" s="4" t="s">
        <v>1599</v>
      </c>
      <c r="F839" s="4" t="s">
        <v>5</v>
      </c>
      <c r="G839" s="8"/>
      <c r="H839" s="6" t="str">
        <f aca="false">IF(G839="","",G839/SUMIFS($G$2:$G$1462,$F$2:$F$1462,"Served"))</f>
        <v/>
      </c>
      <c r="I839" s="4" t="str">
        <f aca="false">IF(G839="","",RANK(G839,$G$2:$G$1462,0))</f>
        <v/>
      </c>
      <c r="J839" s="4" t="s">
        <v>34</v>
      </c>
    </row>
    <row r="840" customFormat="false" ht="15" hidden="false" customHeight="false" outlineLevel="0" collapsed="false">
      <c r="A840" s="4" t="s">
        <v>1770</v>
      </c>
      <c r="B840" s="4" t="s">
        <v>1596</v>
      </c>
      <c r="C840" s="4" t="s">
        <v>1597</v>
      </c>
      <c r="D840" s="7" t="s">
        <v>1771</v>
      </c>
      <c r="E840" s="4" t="s">
        <v>1599</v>
      </c>
      <c r="F840" s="4" t="s">
        <v>5</v>
      </c>
      <c r="G840" s="8"/>
      <c r="H840" s="6" t="str">
        <f aca="false">IF(G840="","",G840/SUMIFS($G$2:$G$1462,$F$2:$F$1462,"Served"))</f>
        <v/>
      </c>
      <c r="I840" s="4" t="str">
        <f aca="false">IF(G840="","",RANK(G840,$G$2:$G$1462,0))</f>
        <v/>
      </c>
      <c r="J840" s="4" t="s">
        <v>34</v>
      </c>
    </row>
    <row r="841" customFormat="false" ht="15" hidden="false" customHeight="false" outlineLevel="0" collapsed="false">
      <c r="A841" s="4" t="s">
        <v>1772</v>
      </c>
      <c r="B841" s="4" t="s">
        <v>1596</v>
      </c>
      <c r="C841" s="4" t="s">
        <v>1597</v>
      </c>
      <c r="D841" s="7" t="s">
        <v>1773</v>
      </c>
      <c r="E841" s="4" t="s">
        <v>1599</v>
      </c>
      <c r="F841" s="4" t="s">
        <v>5</v>
      </c>
      <c r="G841" s="8"/>
      <c r="H841" s="6" t="str">
        <f aca="false">IF(G841="","",G841/SUMIFS($G$2:$G$1462,$F$2:$F$1462,"Served"))</f>
        <v/>
      </c>
      <c r="I841" s="4" t="str">
        <f aca="false">IF(G841="","",RANK(G841,$G$2:$G$1462,0))</f>
        <v/>
      </c>
      <c r="J841" s="4" t="s">
        <v>34</v>
      </c>
    </row>
    <row r="842" customFormat="false" ht="15" hidden="false" customHeight="false" outlineLevel="0" collapsed="false">
      <c r="A842" s="4" t="s">
        <v>1774</v>
      </c>
      <c r="B842" s="4" t="s">
        <v>1596</v>
      </c>
      <c r="C842" s="4" t="s">
        <v>1597</v>
      </c>
      <c r="D842" s="7" t="s">
        <v>1775</v>
      </c>
      <c r="E842" s="4" t="s">
        <v>1599</v>
      </c>
      <c r="F842" s="4" t="s">
        <v>5</v>
      </c>
      <c r="G842" s="8"/>
      <c r="H842" s="6" t="str">
        <f aca="false">IF(G842="","",G842/SUMIFS($G$2:$G$1462,$F$2:$F$1462,"Served"))</f>
        <v/>
      </c>
      <c r="I842" s="4" t="str">
        <f aca="false">IF(G842="","",RANK(G842,$G$2:$G$1462,0))</f>
        <v/>
      </c>
      <c r="J842" s="4" t="s">
        <v>34</v>
      </c>
    </row>
    <row r="843" customFormat="false" ht="15" hidden="false" customHeight="false" outlineLevel="0" collapsed="false">
      <c r="A843" s="4" t="s">
        <v>1776</v>
      </c>
      <c r="B843" s="4" t="s">
        <v>1596</v>
      </c>
      <c r="C843" s="4" t="s">
        <v>1597</v>
      </c>
      <c r="D843" s="7" t="s">
        <v>1777</v>
      </c>
      <c r="E843" s="4" t="s">
        <v>1599</v>
      </c>
      <c r="F843" s="4" t="s">
        <v>5</v>
      </c>
      <c r="G843" s="8"/>
      <c r="H843" s="6" t="str">
        <f aca="false">IF(G843="","",G843/SUMIFS($G$2:$G$1462,$F$2:$F$1462,"Served"))</f>
        <v/>
      </c>
      <c r="I843" s="4" t="str">
        <f aca="false">IF(G843="","",RANK(G843,$G$2:$G$1462,0))</f>
        <v/>
      </c>
      <c r="J843" s="4" t="s">
        <v>34</v>
      </c>
    </row>
    <row r="844" customFormat="false" ht="15" hidden="false" customHeight="false" outlineLevel="0" collapsed="false">
      <c r="A844" s="4" t="s">
        <v>1778</v>
      </c>
      <c r="B844" s="4" t="s">
        <v>1596</v>
      </c>
      <c r="C844" s="4" t="s">
        <v>1597</v>
      </c>
      <c r="D844" s="7" t="s">
        <v>1779</v>
      </c>
      <c r="E844" s="4" t="s">
        <v>1599</v>
      </c>
      <c r="F844" s="4" t="s">
        <v>5</v>
      </c>
      <c r="G844" s="8"/>
      <c r="H844" s="6" t="str">
        <f aca="false">IF(G844="","",G844/SUMIFS($G$2:$G$1462,$F$2:$F$1462,"Served"))</f>
        <v/>
      </c>
      <c r="I844" s="4" t="str">
        <f aca="false">IF(G844="","",RANK(G844,$G$2:$G$1462,0))</f>
        <v/>
      </c>
      <c r="J844" s="4" t="s">
        <v>34</v>
      </c>
    </row>
    <row r="845" customFormat="false" ht="15" hidden="false" customHeight="false" outlineLevel="0" collapsed="false">
      <c r="A845" s="4" t="s">
        <v>1780</v>
      </c>
      <c r="B845" s="4" t="s">
        <v>1596</v>
      </c>
      <c r="C845" s="4" t="s">
        <v>1597</v>
      </c>
      <c r="D845" s="7" t="s">
        <v>1781</v>
      </c>
      <c r="E845" s="4" t="s">
        <v>1599</v>
      </c>
      <c r="F845" s="4" t="s">
        <v>5</v>
      </c>
      <c r="G845" s="8"/>
      <c r="H845" s="6" t="str">
        <f aca="false">IF(G845="","",G845/SUMIFS($G$2:$G$1462,$F$2:$F$1462,"Served"))</f>
        <v/>
      </c>
      <c r="I845" s="4" t="str">
        <f aca="false">IF(G845="","",RANK(G845,$G$2:$G$1462,0))</f>
        <v/>
      </c>
      <c r="J845" s="4" t="s">
        <v>34</v>
      </c>
    </row>
    <row r="846" customFormat="false" ht="15" hidden="false" customHeight="false" outlineLevel="0" collapsed="false">
      <c r="A846" s="4" t="s">
        <v>1782</v>
      </c>
      <c r="B846" s="4" t="s">
        <v>1596</v>
      </c>
      <c r="C846" s="4" t="s">
        <v>1597</v>
      </c>
      <c r="D846" s="7" t="s">
        <v>1783</v>
      </c>
      <c r="E846" s="4" t="s">
        <v>1599</v>
      </c>
      <c r="F846" s="4" t="s">
        <v>5</v>
      </c>
      <c r="G846" s="8"/>
      <c r="H846" s="6" t="str">
        <f aca="false">IF(G846="","",G846/SUMIFS($G$2:$G$1462,$F$2:$F$1462,"Served"))</f>
        <v/>
      </c>
      <c r="I846" s="4" t="str">
        <f aca="false">IF(G846="","",RANK(G846,$G$2:$G$1462,0))</f>
        <v/>
      </c>
      <c r="J846" s="4" t="s">
        <v>34</v>
      </c>
    </row>
    <row r="847" customFormat="false" ht="15" hidden="false" customHeight="false" outlineLevel="0" collapsed="false">
      <c r="A847" s="4" t="s">
        <v>1784</v>
      </c>
      <c r="B847" s="4" t="s">
        <v>1596</v>
      </c>
      <c r="C847" s="4" t="s">
        <v>1597</v>
      </c>
      <c r="D847" s="7" t="s">
        <v>1785</v>
      </c>
      <c r="E847" s="4" t="s">
        <v>1599</v>
      </c>
      <c r="F847" s="4" t="s">
        <v>5</v>
      </c>
      <c r="G847" s="8"/>
      <c r="H847" s="6" t="str">
        <f aca="false">IF(G847="","",G847/SUMIFS($G$2:$G$1462,$F$2:$F$1462,"Served"))</f>
        <v/>
      </c>
      <c r="I847" s="4" t="str">
        <f aca="false">IF(G847="","",RANK(G847,$G$2:$G$1462,0))</f>
        <v/>
      </c>
      <c r="J847" s="4" t="s">
        <v>34</v>
      </c>
    </row>
    <row r="848" customFormat="false" ht="15" hidden="false" customHeight="false" outlineLevel="0" collapsed="false">
      <c r="A848" s="4" t="s">
        <v>1786</v>
      </c>
      <c r="B848" s="4" t="s">
        <v>1596</v>
      </c>
      <c r="C848" s="4" t="s">
        <v>1597</v>
      </c>
      <c r="D848" s="7" t="s">
        <v>1787</v>
      </c>
      <c r="E848" s="4" t="s">
        <v>1599</v>
      </c>
      <c r="F848" s="4" t="s">
        <v>5</v>
      </c>
      <c r="G848" s="8"/>
      <c r="H848" s="6" t="str">
        <f aca="false">IF(G848="","",G848/SUMIFS($G$2:$G$1462,$F$2:$F$1462,"Served"))</f>
        <v/>
      </c>
      <c r="I848" s="4" t="str">
        <f aca="false">IF(G848="","",RANK(G848,$G$2:$G$1462,0))</f>
        <v/>
      </c>
      <c r="J848" s="4" t="s">
        <v>34</v>
      </c>
    </row>
    <row r="849" customFormat="false" ht="15" hidden="false" customHeight="false" outlineLevel="0" collapsed="false">
      <c r="A849" s="4" t="s">
        <v>1788</v>
      </c>
      <c r="B849" s="4" t="s">
        <v>1596</v>
      </c>
      <c r="C849" s="4" t="s">
        <v>1597</v>
      </c>
      <c r="D849" s="7" t="s">
        <v>1789</v>
      </c>
      <c r="E849" s="4" t="s">
        <v>1599</v>
      </c>
      <c r="F849" s="4" t="s">
        <v>5</v>
      </c>
      <c r="G849" s="8"/>
      <c r="H849" s="6" t="str">
        <f aca="false">IF(G849="","",G849/SUMIFS($G$2:$G$1462,$F$2:$F$1462,"Served"))</f>
        <v/>
      </c>
      <c r="I849" s="4" t="str">
        <f aca="false">IF(G849="","",RANK(G849,$G$2:$G$1462,0))</f>
        <v/>
      </c>
      <c r="J849" s="4" t="s">
        <v>34</v>
      </c>
    </row>
    <row r="850" customFormat="false" ht="15" hidden="false" customHeight="false" outlineLevel="0" collapsed="false">
      <c r="A850" s="4" t="s">
        <v>1790</v>
      </c>
      <c r="B850" s="4" t="s">
        <v>1596</v>
      </c>
      <c r="C850" s="4" t="s">
        <v>1597</v>
      </c>
      <c r="D850" s="7" t="s">
        <v>1791</v>
      </c>
      <c r="E850" s="4" t="s">
        <v>1599</v>
      </c>
      <c r="F850" s="4" t="s">
        <v>5</v>
      </c>
      <c r="G850" s="8"/>
      <c r="H850" s="6" t="str">
        <f aca="false">IF(G850="","",G850/SUMIFS($G$2:$G$1462,$F$2:$F$1462,"Served"))</f>
        <v/>
      </c>
      <c r="I850" s="4" t="str">
        <f aca="false">IF(G850="","",RANK(G850,$G$2:$G$1462,0))</f>
        <v/>
      </c>
      <c r="J850" s="4" t="s">
        <v>34</v>
      </c>
    </row>
    <row r="851" customFormat="false" ht="15" hidden="false" customHeight="false" outlineLevel="0" collapsed="false">
      <c r="A851" s="4" t="s">
        <v>1792</v>
      </c>
      <c r="B851" s="4" t="s">
        <v>1596</v>
      </c>
      <c r="C851" s="4" t="s">
        <v>1597</v>
      </c>
      <c r="D851" s="7" t="s">
        <v>1793</v>
      </c>
      <c r="E851" s="4" t="s">
        <v>1599</v>
      </c>
      <c r="F851" s="4" t="s">
        <v>5</v>
      </c>
      <c r="G851" s="8"/>
      <c r="H851" s="6" t="str">
        <f aca="false">IF(G851="","",G851/SUMIFS($G$2:$G$1462,$F$2:$F$1462,"Served"))</f>
        <v/>
      </c>
      <c r="I851" s="4" t="str">
        <f aca="false">IF(G851="","",RANK(G851,$G$2:$G$1462,0))</f>
        <v/>
      </c>
      <c r="J851" s="4" t="s">
        <v>34</v>
      </c>
    </row>
    <row r="852" customFormat="false" ht="15" hidden="false" customHeight="false" outlineLevel="0" collapsed="false">
      <c r="A852" s="4" t="s">
        <v>1794</v>
      </c>
      <c r="B852" s="4" t="s">
        <v>1596</v>
      </c>
      <c r="C852" s="4" t="s">
        <v>1597</v>
      </c>
      <c r="D852" s="7" t="s">
        <v>1795</v>
      </c>
      <c r="E852" s="4" t="s">
        <v>1599</v>
      </c>
      <c r="F852" s="4" t="s">
        <v>5</v>
      </c>
      <c r="G852" s="8"/>
      <c r="H852" s="6" t="str">
        <f aca="false">IF(G852="","",G852/SUMIFS($G$2:$G$1462,$F$2:$F$1462,"Served"))</f>
        <v/>
      </c>
      <c r="I852" s="4" t="str">
        <f aca="false">IF(G852="","",RANK(G852,$G$2:$G$1462,0))</f>
        <v/>
      </c>
      <c r="J852" s="4" t="s">
        <v>34</v>
      </c>
    </row>
    <row r="853" customFormat="false" ht="15" hidden="false" customHeight="false" outlineLevel="0" collapsed="false">
      <c r="A853" s="4" t="s">
        <v>1796</v>
      </c>
      <c r="B853" s="4" t="s">
        <v>1596</v>
      </c>
      <c r="C853" s="4" t="s">
        <v>1597</v>
      </c>
      <c r="D853" s="7" t="s">
        <v>1797</v>
      </c>
      <c r="E853" s="4" t="s">
        <v>1599</v>
      </c>
      <c r="F853" s="4" t="s">
        <v>5</v>
      </c>
      <c r="G853" s="8"/>
      <c r="H853" s="6" t="str">
        <f aca="false">IF(G853="","",G853/SUMIFS($G$2:$G$1462,$F$2:$F$1462,"Served"))</f>
        <v/>
      </c>
      <c r="I853" s="4" t="str">
        <f aca="false">IF(G853="","",RANK(G853,$G$2:$G$1462,0))</f>
        <v/>
      </c>
      <c r="J853" s="4" t="s">
        <v>34</v>
      </c>
    </row>
    <row r="854" customFormat="false" ht="15" hidden="false" customHeight="false" outlineLevel="0" collapsed="false">
      <c r="A854" s="4" t="s">
        <v>1798</v>
      </c>
      <c r="B854" s="4" t="s">
        <v>1596</v>
      </c>
      <c r="C854" s="4" t="s">
        <v>1597</v>
      </c>
      <c r="D854" s="7" t="s">
        <v>1799</v>
      </c>
      <c r="E854" s="4" t="s">
        <v>1599</v>
      </c>
      <c r="F854" s="4" t="s">
        <v>5</v>
      </c>
      <c r="G854" s="8"/>
      <c r="H854" s="6" t="str">
        <f aca="false">IF(G854="","",G854/SUMIFS($G$2:$G$1462,$F$2:$F$1462,"Served"))</f>
        <v/>
      </c>
      <c r="I854" s="4" t="str">
        <f aca="false">IF(G854="","",RANK(G854,$G$2:$G$1462,0))</f>
        <v/>
      </c>
      <c r="J854" s="4" t="s">
        <v>34</v>
      </c>
    </row>
    <row r="855" customFormat="false" ht="15" hidden="false" customHeight="false" outlineLevel="0" collapsed="false">
      <c r="A855" s="4" t="s">
        <v>1800</v>
      </c>
      <c r="B855" s="4" t="s">
        <v>1596</v>
      </c>
      <c r="C855" s="4" t="s">
        <v>1597</v>
      </c>
      <c r="D855" s="7" t="s">
        <v>1801</v>
      </c>
      <c r="E855" s="4" t="s">
        <v>1599</v>
      </c>
      <c r="F855" s="4" t="s">
        <v>5</v>
      </c>
      <c r="G855" s="8"/>
      <c r="H855" s="6" t="str">
        <f aca="false">IF(G855="","",G855/SUMIFS($G$2:$G$1462,$F$2:$F$1462,"Served"))</f>
        <v/>
      </c>
      <c r="I855" s="4" t="str">
        <f aca="false">IF(G855="","",RANK(G855,$G$2:$G$1462,0))</f>
        <v/>
      </c>
      <c r="J855" s="4" t="s">
        <v>34</v>
      </c>
    </row>
    <row r="856" customFormat="false" ht="15" hidden="false" customHeight="false" outlineLevel="0" collapsed="false">
      <c r="A856" s="4" t="s">
        <v>1802</v>
      </c>
      <c r="B856" s="4" t="s">
        <v>1596</v>
      </c>
      <c r="C856" s="4" t="s">
        <v>1597</v>
      </c>
      <c r="D856" s="7" t="s">
        <v>1803</v>
      </c>
      <c r="E856" s="4" t="s">
        <v>1599</v>
      </c>
      <c r="F856" s="4" t="s">
        <v>5</v>
      </c>
      <c r="G856" s="8"/>
      <c r="H856" s="6" t="str">
        <f aca="false">IF(G856="","",G856/SUMIFS($G$2:$G$1462,$F$2:$F$1462,"Served"))</f>
        <v/>
      </c>
      <c r="I856" s="4" t="str">
        <f aca="false">IF(G856="","",RANK(G856,$G$2:$G$1462,0))</f>
        <v/>
      </c>
      <c r="J856" s="4" t="s">
        <v>34</v>
      </c>
    </row>
    <row r="857" customFormat="false" ht="15" hidden="false" customHeight="false" outlineLevel="0" collapsed="false">
      <c r="A857" s="4" t="s">
        <v>1804</v>
      </c>
      <c r="B857" s="4" t="s">
        <v>1596</v>
      </c>
      <c r="C857" s="4" t="s">
        <v>1597</v>
      </c>
      <c r="D857" s="7" t="s">
        <v>1805</v>
      </c>
      <c r="E857" s="4" t="s">
        <v>1599</v>
      </c>
      <c r="F857" s="4" t="s">
        <v>5</v>
      </c>
      <c r="G857" s="8"/>
      <c r="H857" s="6" t="str">
        <f aca="false">IF(G857="","",G857/SUMIFS($G$2:$G$1462,$F$2:$F$1462,"Served"))</f>
        <v/>
      </c>
      <c r="I857" s="4" t="str">
        <f aca="false">IF(G857="","",RANK(G857,$G$2:$G$1462,0))</f>
        <v/>
      </c>
      <c r="J857" s="4" t="s">
        <v>34</v>
      </c>
    </row>
    <row r="858" customFormat="false" ht="15" hidden="false" customHeight="false" outlineLevel="0" collapsed="false">
      <c r="A858" s="4" t="s">
        <v>1806</v>
      </c>
      <c r="B858" s="4" t="s">
        <v>1596</v>
      </c>
      <c r="C858" s="4" t="s">
        <v>1597</v>
      </c>
      <c r="D858" s="7" t="s">
        <v>1807</v>
      </c>
      <c r="E858" s="4" t="s">
        <v>1599</v>
      </c>
      <c r="F858" s="4" t="s">
        <v>5</v>
      </c>
      <c r="G858" s="8"/>
      <c r="H858" s="6" t="str">
        <f aca="false">IF(G858="","",G858/SUMIFS($G$2:$G$1462,$F$2:$F$1462,"Served"))</f>
        <v/>
      </c>
      <c r="I858" s="4" t="str">
        <f aca="false">IF(G858="","",RANK(G858,$G$2:$G$1462,0))</f>
        <v/>
      </c>
      <c r="J858" s="4" t="s">
        <v>34</v>
      </c>
    </row>
    <row r="859" customFormat="false" ht="15" hidden="false" customHeight="false" outlineLevel="0" collapsed="false">
      <c r="A859" s="4" t="s">
        <v>1808</v>
      </c>
      <c r="B859" s="4" t="s">
        <v>1596</v>
      </c>
      <c r="C859" s="4" t="s">
        <v>1597</v>
      </c>
      <c r="D859" s="7" t="s">
        <v>1809</v>
      </c>
      <c r="E859" s="4" t="s">
        <v>1599</v>
      </c>
      <c r="F859" s="4" t="s">
        <v>5</v>
      </c>
      <c r="G859" s="8"/>
      <c r="H859" s="6" t="str">
        <f aca="false">IF(G859="","",G859/SUMIFS($G$2:$G$1462,$F$2:$F$1462,"Served"))</f>
        <v/>
      </c>
      <c r="I859" s="4" t="str">
        <f aca="false">IF(G859="","",RANK(G859,$G$2:$G$1462,0))</f>
        <v/>
      </c>
      <c r="J859" s="4" t="s">
        <v>34</v>
      </c>
    </row>
    <row r="860" customFormat="false" ht="15" hidden="false" customHeight="false" outlineLevel="0" collapsed="false">
      <c r="A860" s="4" t="s">
        <v>1810</v>
      </c>
      <c r="B860" s="4" t="s">
        <v>1596</v>
      </c>
      <c r="C860" s="4" t="s">
        <v>1597</v>
      </c>
      <c r="D860" s="7" t="s">
        <v>1811</v>
      </c>
      <c r="E860" s="4" t="s">
        <v>1599</v>
      </c>
      <c r="F860" s="4" t="s">
        <v>5</v>
      </c>
      <c r="G860" s="8"/>
      <c r="H860" s="6" t="str">
        <f aca="false">IF(G860="","",G860/SUMIFS($G$2:$G$1462,$F$2:$F$1462,"Served"))</f>
        <v/>
      </c>
      <c r="I860" s="4" t="str">
        <f aca="false">IF(G860="","",RANK(G860,$G$2:$G$1462,0))</f>
        <v/>
      </c>
      <c r="J860" s="4" t="s">
        <v>34</v>
      </c>
    </row>
    <row r="861" customFormat="false" ht="15" hidden="false" customHeight="false" outlineLevel="0" collapsed="false">
      <c r="A861" s="4" t="s">
        <v>1812</v>
      </c>
      <c r="B861" s="4" t="s">
        <v>1596</v>
      </c>
      <c r="C861" s="4" t="s">
        <v>1597</v>
      </c>
      <c r="D861" s="7" t="s">
        <v>1813</v>
      </c>
      <c r="E861" s="4" t="s">
        <v>1599</v>
      </c>
      <c r="F861" s="4" t="s">
        <v>5</v>
      </c>
      <c r="G861" s="8"/>
      <c r="H861" s="6" t="str">
        <f aca="false">IF(G861="","",G861/SUMIFS($G$2:$G$1462,$F$2:$F$1462,"Served"))</f>
        <v/>
      </c>
      <c r="I861" s="4" t="str">
        <f aca="false">IF(G861="","",RANK(G861,$G$2:$G$1462,0))</f>
        <v/>
      </c>
      <c r="J861" s="4" t="s">
        <v>34</v>
      </c>
    </row>
    <row r="862" customFormat="false" ht="15" hidden="false" customHeight="false" outlineLevel="0" collapsed="false">
      <c r="A862" s="4" t="s">
        <v>1814</v>
      </c>
      <c r="B862" s="4" t="s">
        <v>1596</v>
      </c>
      <c r="C862" s="4" t="s">
        <v>1597</v>
      </c>
      <c r="D862" s="7" t="s">
        <v>1815</v>
      </c>
      <c r="E862" s="4" t="s">
        <v>1599</v>
      </c>
      <c r="F862" s="4" t="s">
        <v>5</v>
      </c>
      <c r="G862" s="8"/>
      <c r="H862" s="6" t="str">
        <f aca="false">IF(G862="","",G862/SUMIFS($G$2:$G$1462,$F$2:$F$1462,"Served"))</f>
        <v/>
      </c>
      <c r="I862" s="4" t="str">
        <f aca="false">IF(G862="","",RANK(G862,$G$2:$G$1462,0))</f>
        <v/>
      </c>
      <c r="J862" s="4" t="s">
        <v>34</v>
      </c>
    </row>
    <row r="863" customFormat="false" ht="15" hidden="false" customHeight="false" outlineLevel="0" collapsed="false">
      <c r="A863" s="4" t="s">
        <v>1816</v>
      </c>
      <c r="B863" s="4" t="s">
        <v>1596</v>
      </c>
      <c r="C863" s="4" t="s">
        <v>1597</v>
      </c>
      <c r="D863" s="7" t="s">
        <v>1817</v>
      </c>
      <c r="E863" s="4" t="s">
        <v>1599</v>
      </c>
      <c r="F863" s="4" t="s">
        <v>5</v>
      </c>
      <c r="G863" s="8"/>
      <c r="H863" s="6" t="str">
        <f aca="false">IF(G863="","",G863/SUMIFS($G$2:$G$1462,$F$2:$F$1462,"Served"))</f>
        <v/>
      </c>
      <c r="I863" s="4" t="str">
        <f aca="false">IF(G863="","",RANK(G863,$G$2:$G$1462,0))</f>
        <v/>
      </c>
      <c r="J863" s="4" t="s">
        <v>34</v>
      </c>
    </row>
    <row r="864" customFormat="false" ht="15" hidden="false" customHeight="false" outlineLevel="0" collapsed="false">
      <c r="A864" s="4" t="s">
        <v>1818</v>
      </c>
      <c r="B864" s="4" t="s">
        <v>1596</v>
      </c>
      <c r="C864" s="4" t="s">
        <v>1597</v>
      </c>
      <c r="D864" s="7" t="s">
        <v>1819</v>
      </c>
      <c r="E864" s="4" t="s">
        <v>1599</v>
      </c>
      <c r="F864" s="4" t="s">
        <v>5</v>
      </c>
      <c r="G864" s="8"/>
      <c r="H864" s="6" t="str">
        <f aca="false">IF(G864="","",G864/SUMIFS($G$2:$G$1462,$F$2:$F$1462,"Served"))</f>
        <v/>
      </c>
      <c r="I864" s="4" t="str">
        <f aca="false">IF(G864="","",RANK(G864,$G$2:$G$1462,0))</f>
        <v/>
      </c>
      <c r="J864" s="4" t="s">
        <v>34</v>
      </c>
    </row>
    <row r="865" customFormat="false" ht="15" hidden="false" customHeight="false" outlineLevel="0" collapsed="false">
      <c r="A865" s="4" t="s">
        <v>1820</v>
      </c>
      <c r="B865" s="4" t="s">
        <v>1596</v>
      </c>
      <c r="C865" s="4" t="s">
        <v>1597</v>
      </c>
      <c r="D865" s="7" t="s">
        <v>1821</v>
      </c>
      <c r="E865" s="4" t="s">
        <v>1599</v>
      </c>
      <c r="F865" s="4" t="s">
        <v>5</v>
      </c>
      <c r="G865" s="8"/>
      <c r="H865" s="6" t="str">
        <f aca="false">IF(G865="","",G865/SUMIFS($G$2:$G$1462,$F$2:$F$1462,"Served"))</f>
        <v/>
      </c>
      <c r="I865" s="4" t="str">
        <f aca="false">IF(G865="","",RANK(G865,$G$2:$G$1462,0))</f>
        <v/>
      </c>
      <c r="J865" s="4" t="s">
        <v>34</v>
      </c>
    </row>
    <row r="866" customFormat="false" ht="15" hidden="false" customHeight="false" outlineLevel="0" collapsed="false">
      <c r="A866" s="4" t="s">
        <v>1822</v>
      </c>
      <c r="B866" s="4" t="s">
        <v>1596</v>
      </c>
      <c r="C866" s="4" t="s">
        <v>1597</v>
      </c>
      <c r="D866" s="7" t="s">
        <v>1823</v>
      </c>
      <c r="E866" s="4" t="s">
        <v>1599</v>
      </c>
      <c r="F866" s="4" t="s">
        <v>5</v>
      </c>
      <c r="G866" s="8"/>
      <c r="H866" s="6" t="str">
        <f aca="false">IF(G866="","",G866/SUMIFS($G$2:$G$1462,$F$2:$F$1462,"Served"))</f>
        <v/>
      </c>
      <c r="I866" s="4" t="str">
        <f aca="false">IF(G866="","",RANK(G866,$G$2:$G$1462,0))</f>
        <v/>
      </c>
      <c r="J866" s="4" t="s">
        <v>34</v>
      </c>
    </row>
    <row r="867" customFormat="false" ht="15" hidden="false" customHeight="false" outlineLevel="0" collapsed="false">
      <c r="A867" s="4" t="s">
        <v>1824</v>
      </c>
      <c r="B867" s="4" t="s">
        <v>1596</v>
      </c>
      <c r="C867" s="4" t="s">
        <v>1597</v>
      </c>
      <c r="D867" s="7" t="s">
        <v>1825</v>
      </c>
      <c r="E867" s="4" t="s">
        <v>1599</v>
      </c>
      <c r="F867" s="4" t="s">
        <v>5</v>
      </c>
      <c r="G867" s="8"/>
      <c r="H867" s="6" t="str">
        <f aca="false">IF(G867="","",G867/SUMIFS($G$2:$G$1462,$F$2:$F$1462,"Served"))</f>
        <v/>
      </c>
      <c r="I867" s="4" t="str">
        <f aca="false">IF(G867="","",RANK(G867,$G$2:$G$1462,0))</f>
        <v/>
      </c>
      <c r="J867" s="4" t="s">
        <v>34</v>
      </c>
    </row>
    <row r="868" customFormat="false" ht="15" hidden="false" customHeight="false" outlineLevel="0" collapsed="false">
      <c r="A868" s="4" t="s">
        <v>1826</v>
      </c>
      <c r="B868" s="4" t="s">
        <v>1596</v>
      </c>
      <c r="C868" s="4" t="s">
        <v>1597</v>
      </c>
      <c r="D868" s="7" t="s">
        <v>1827</v>
      </c>
      <c r="E868" s="4" t="s">
        <v>1599</v>
      </c>
      <c r="F868" s="4" t="s">
        <v>5</v>
      </c>
      <c r="G868" s="8"/>
      <c r="H868" s="6" t="str">
        <f aca="false">IF(G868="","",G868/SUMIFS($G$2:$G$1462,$F$2:$F$1462,"Served"))</f>
        <v/>
      </c>
      <c r="I868" s="4" t="str">
        <f aca="false">IF(G868="","",RANK(G868,$G$2:$G$1462,0))</f>
        <v/>
      </c>
      <c r="J868" s="4" t="s">
        <v>34</v>
      </c>
    </row>
    <row r="869" customFormat="false" ht="15" hidden="false" customHeight="false" outlineLevel="0" collapsed="false">
      <c r="A869" s="4" t="s">
        <v>1828</v>
      </c>
      <c r="B869" s="4" t="s">
        <v>1596</v>
      </c>
      <c r="C869" s="4" t="s">
        <v>1597</v>
      </c>
      <c r="D869" s="7" t="s">
        <v>1829</v>
      </c>
      <c r="E869" s="4" t="s">
        <v>1599</v>
      </c>
      <c r="F869" s="4" t="s">
        <v>5</v>
      </c>
      <c r="G869" s="8"/>
      <c r="H869" s="6" t="str">
        <f aca="false">IF(G869="","",G869/SUMIFS($G$2:$G$1462,$F$2:$F$1462,"Served"))</f>
        <v/>
      </c>
      <c r="I869" s="4" t="str">
        <f aca="false">IF(G869="","",RANK(G869,$G$2:$G$1462,0))</f>
        <v/>
      </c>
      <c r="J869" s="4" t="s">
        <v>34</v>
      </c>
    </row>
    <row r="870" customFormat="false" ht="15" hidden="false" customHeight="false" outlineLevel="0" collapsed="false">
      <c r="A870" s="4" t="s">
        <v>1830</v>
      </c>
      <c r="B870" s="4" t="s">
        <v>1596</v>
      </c>
      <c r="C870" s="4" t="s">
        <v>1597</v>
      </c>
      <c r="D870" s="7" t="s">
        <v>1831</v>
      </c>
      <c r="E870" s="4" t="s">
        <v>1599</v>
      </c>
      <c r="F870" s="4" t="s">
        <v>5</v>
      </c>
      <c r="G870" s="8"/>
      <c r="H870" s="6" t="str">
        <f aca="false">IF(G870="","",G870/SUMIFS($G$2:$G$1462,$F$2:$F$1462,"Served"))</f>
        <v/>
      </c>
      <c r="I870" s="4" t="str">
        <f aca="false">IF(G870="","",RANK(G870,$G$2:$G$1462,0))</f>
        <v/>
      </c>
      <c r="J870" s="4" t="s">
        <v>34</v>
      </c>
    </row>
    <row r="871" customFormat="false" ht="15" hidden="false" customHeight="false" outlineLevel="0" collapsed="false">
      <c r="A871" s="4" t="s">
        <v>1832</v>
      </c>
      <c r="B871" s="4" t="s">
        <v>1596</v>
      </c>
      <c r="C871" s="4" t="s">
        <v>1597</v>
      </c>
      <c r="D871" s="7" t="s">
        <v>1833</v>
      </c>
      <c r="E871" s="4" t="s">
        <v>1599</v>
      </c>
      <c r="F871" s="4" t="s">
        <v>5</v>
      </c>
      <c r="G871" s="8"/>
      <c r="H871" s="6" t="str">
        <f aca="false">IF(G871="","",G871/SUMIFS($G$2:$G$1462,$F$2:$F$1462,"Served"))</f>
        <v/>
      </c>
      <c r="I871" s="4" t="str">
        <f aca="false">IF(G871="","",RANK(G871,$G$2:$G$1462,0))</f>
        <v/>
      </c>
      <c r="J871" s="4" t="s">
        <v>34</v>
      </c>
    </row>
    <row r="872" customFormat="false" ht="15" hidden="false" customHeight="false" outlineLevel="0" collapsed="false">
      <c r="A872" s="4" t="s">
        <v>1834</v>
      </c>
      <c r="B872" s="4" t="s">
        <v>1596</v>
      </c>
      <c r="C872" s="4" t="s">
        <v>1597</v>
      </c>
      <c r="D872" s="7" t="s">
        <v>1835</v>
      </c>
      <c r="E872" s="4" t="s">
        <v>1599</v>
      </c>
      <c r="F872" s="4" t="s">
        <v>5</v>
      </c>
      <c r="G872" s="8"/>
      <c r="H872" s="6" t="str">
        <f aca="false">IF(G872="","",G872/SUMIFS($G$2:$G$1462,$F$2:$F$1462,"Served"))</f>
        <v/>
      </c>
      <c r="I872" s="4" t="str">
        <f aca="false">IF(G872="","",RANK(G872,$G$2:$G$1462,0))</f>
        <v/>
      </c>
      <c r="J872" s="4" t="s">
        <v>34</v>
      </c>
    </row>
    <row r="873" customFormat="false" ht="15" hidden="false" customHeight="false" outlineLevel="0" collapsed="false">
      <c r="A873" s="4" t="s">
        <v>1836</v>
      </c>
      <c r="B873" s="4" t="s">
        <v>1596</v>
      </c>
      <c r="C873" s="4" t="s">
        <v>1597</v>
      </c>
      <c r="D873" s="7" t="s">
        <v>1837</v>
      </c>
      <c r="E873" s="4" t="s">
        <v>1599</v>
      </c>
      <c r="F873" s="4" t="s">
        <v>5</v>
      </c>
      <c r="G873" s="8"/>
      <c r="H873" s="6" t="str">
        <f aca="false">IF(G873="","",G873/SUMIFS($G$2:$G$1462,$F$2:$F$1462,"Served"))</f>
        <v/>
      </c>
      <c r="I873" s="4" t="str">
        <f aca="false">IF(G873="","",RANK(G873,$G$2:$G$1462,0))</f>
        <v/>
      </c>
      <c r="J873" s="4" t="s">
        <v>34</v>
      </c>
    </row>
    <row r="874" customFormat="false" ht="15" hidden="false" customHeight="false" outlineLevel="0" collapsed="false">
      <c r="A874" s="4" t="s">
        <v>1838</v>
      </c>
      <c r="B874" s="4" t="s">
        <v>1596</v>
      </c>
      <c r="C874" s="4" t="s">
        <v>1597</v>
      </c>
      <c r="D874" s="7" t="s">
        <v>1839</v>
      </c>
      <c r="E874" s="4" t="s">
        <v>1599</v>
      </c>
      <c r="F874" s="4" t="s">
        <v>5</v>
      </c>
      <c r="G874" s="8"/>
      <c r="H874" s="6" t="str">
        <f aca="false">IF(G874="","",G874/SUMIFS($G$2:$G$1462,$F$2:$F$1462,"Served"))</f>
        <v/>
      </c>
      <c r="I874" s="4" t="str">
        <f aca="false">IF(G874="","",RANK(G874,$G$2:$G$1462,0))</f>
        <v/>
      </c>
      <c r="J874" s="4" t="s">
        <v>34</v>
      </c>
    </row>
    <row r="875" customFormat="false" ht="15" hidden="false" customHeight="false" outlineLevel="0" collapsed="false">
      <c r="A875" s="4" t="s">
        <v>1840</v>
      </c>
      <c r="B875" s="4" t="s">
        <v>1596</v>
      </c>
      <c r="C875" s="4" t="s">
        <v>1597</v>
      </c>
      <c r="D875" s="7" t="s">
        <v>1841</v>
      </c>
      <c r="E875" s="4" t="s">
        <v>1599</v>
      </c>
      <c r="F875" s="4" t="s">
        <v>5</v>
      </c>
      <c r="G875" s="8"/>
      <c r="H875" s="6" t="str">
        <f aca="false">IF(G875="","",G875/SUMIFS($G$2:$G$1462,$F$2:$F$1462,"Served"))</f>
        <v/>
      </c>
      <c r="I875" s="4" t="str">
        <f aca="false">IF(G875="","",RANK(G875,$G$2:$G$1462,0))</f>
        <v/>
      </c>
      <c r="J875" s="4" t="s">
        <v>34</v>
      </c>
    </row>
    <row r="876" customFormat="false" ht="15" hidden="false" customHeight="false" outlineLevel="0" collapsed="false">
      <c r="A876" s="4" t="s">
        <v>1842</v>
      </c>
      <c r="B876" s="4" t="s">
        <v>1596</v>
      </c>
      <c r="C876" s="4" t="s">
        <v>1597</v>
      </c>
      <c r="D876" s="7" t="s">
        <v>1843</v>
      </c>
      <c r="E876" s="4" t="s">
        <v>1599</v>
      </c>
      <c r="F876" s="4" t="s">
        <v>5</v>
      </c>
      <c r="G876" s="8"/>
      <c r="H876" s="6" t="str">
        <f aca="false">IF(G876="","",G876/SUMIFS($G$2:$G$1462,$F$2:$F$1462,"Served"))</f>
        <v/>
      </c>
      <c r="I876" s="4" t="str">
        <f aca="false">IF(G876="","",RANK(G876,$G$2:$G$1462,0))</f>
        <v/>
      </c>
      <c r="J876" s="4" t="s">
        <v>34</v>
      </c>
    </row>
    <row r="877" customFormat="false" ht="15" hidden="false" customHeight="false" outlineLevel="0" collapsed="false">
      <c r="A877" s="4" t="s">
        <v>1844</v>
      </c>
      <c r="B877" s="4" t="s">
        <v>1596</v>
      </c>
      <c r="C877" s="4" t="s">
        <v>1597</v>
      </c>
      <c r="D877" s="7" t="s">
        <v>1845</v>
      </c>
      <c r="E877" s="4" t="s">
        <v>1599</v>
      </c>
      <c r="F877" s="4" t="s">
        <v>5</v>
      </c>
      <c r="G877" s="8"/>
      <c r="H877" s="6" t="str">
        <f aca="false">IF(G877="","",G877/SUMIFS($G$2:$G$1462,$F$2:$F$1462,"Served"))</f>
        <v/>
      </c>
      <c r="I877" s="4" t="str">
        <f aca="false">IF(G877="","",RANK(G877,$G$2:$G$1462,0))</f>
        <v/>
      </c>
      <c r="J877" s="4" t="s">
        <v>34</v>
      </c>
    </row>
    <row r="878" customFormat="false" ht="15" hidden="false" customHeight="false" outlineLevel="0" collapsed="false">
      <c r="A878" s="4" t="s">
        <v>1846</v>
      </c>
      <c r="B878" s="4" t="s">
        <v>1596</v>
      </c>
      <c r="C878" s="4" t="s">
        <v>1597</v>
      </c>
      <c r="D878" s="7" t="s">
        <v>1847</v>
      </c>
      <c r="E878" s="4" t="s">
        <v>1599</v>
      </c>
      <c r="F878" s="4" t="s">
        <v>5</v>
      </c>
      <c r="G878" s="8"/>
      <c r="H878" s="6" t="str">
        <f aca="false">IF(G878="","",G878/SUMIFS($G$2:$G$1462,$F$2:$F$1462,"Served"))</f>
        <v/>
      </c>
      <c r="I878" s="4" t="str">
        <f aca="false">IF(G878="","",RANK(G878,$G$2:$G$1462,0))</f>
        <v/>
      </c>
      <c r="J878" s="4" t="s">
        <v>34</v>
      </c>
    </row>
    <row r="879" customFormat="false" ht="15" hidden="false" customHeight="false" outlineLevel="0" collapsed="false">
      <c r="A879" s="4" t="s">
        <v>1848</v>
      </c>
      <c r="B879" s="4" t="s">
        <v>1596</v>
      </c>
      <c r="C879" s="4" t="s">
        <v>1597</v>
      </c>
      <c r="D879" s="7" t="s">
        <v>1849</v>
      </c>
      <c r="E879" s="4" t="s">
        <v>1599</v>
      </c>
      <c r="F879" s="4" t="s">
        <v>5</v>
      </c>
      <c r="G879" s="8"/>
      <c r="H879" s="6" t="str">
        <f aca="false">IF(G879="","",G879/SUMIFS($G$2:$G$1462,$F$2:$F$1462,"Served"))</f>
        <v/>
      </c>
      <c r="I879" s="4" t="str">
        <f aca="false">IF(G879="","",RANK(G879,$G$2:$G$1462,0))</f>
        <v/>
      </c>
      <c r="J879" s="4" t="s">
        <v>34</v>
      </c>
    </row>
    <row r="880" customFormat="false" ht="15" hidden="false" customHeight="false" outlineLevel="0" collapsed="false">
      <c r="A880" s="4" t="s">
        <v>1850</v>
      </c>
      <c r="B880" s="4" t="s">
        <v>1596</v>
      </c>
      <c r="C880" s="4" t="s">
        <v>1597</v>
      </c>
      <c r="D880" s="7" t="s">
        <v>1851</v>
      </c>
      <c r="E880" s="4" t="s">
        <v>1599</v>
      </c>
      <c r="F880" s="4" t="s">
        <v>5</v>
      </c>
      <c r="G880" s="8"/>
      <c r="H880" s="6" t="str">
        <f aca="false">IF(G880="","",G880/SUMIFS($G$2:$G$1462,$F$2:$F$1462,"Served"))</f>
        <v/>
      </c>
      <c r="I880" s="4" t="str">
        <f aca="false">IF(G880="","",RANK(G880,$G$2:$G$1462,0))</f>
        <v/>
      </c>
      <c r="J880" s="4" t="s">
        <v>34</v>
      </c>
    </row>
    <row r="881" customFormat="false" ht="15" hidden="false" customHeight="false" outlineLevel="0" collapsed="false">
      <c r="A881" s="4" t="s">
        <v>1852</v>
      </c>
      <c r="B881" s="4" t="s">
        <v>1596</v>
      </c>
      <c r="C881" s="4" t="s">
        <v>1597</v>
      </c>
      <c r="D881" s="7" t="s">
        <v>1853</v>
      </c>
      <c r="E881" s="4" t="s">
        <v>1599</v>
      </c>
      <c r="F881" s="4" t="s">
        <v>5</v>
      </c>
      <c r="G881" s="8"/>
      <c r="H881" s="6" t="str">
        <f aca="false">IF(G881="","",G881/SUMIFS($G$2:$G$1462,$F$2:$F$1462,"Served"))</f>
        <v/>
      </c>
      <c r="I881" s="4" t="str">
        <f aca="false">IF(G881="","",RANK(G881,$G$2:$G$1462,0))</f>
        <v/>
      </c>
      <c r="J881" s="4" t="s">
        <v>34</v>
      </c>
    </row>
    <row r="882" customFormat="false" ht="15" hidden="false" customHeight="false" outlineLevel="0" collapsed="false">
      <c r="A882" s="4" t="s">
        <v>1854</v>
      </c>
      <c r="B882" s="4" t="s">
        <v>1596</v>
      </c>
      <c r="C882" s="4" t="s">
        <v>1597</v>
      </c>
      <c r="D882" s="7" t="s">
        <v>1855</v>
      </c>
      <c r="E882" s="4" t="s">
        <v>1599</v>
      </c>
      <c r="F882" s="4" t="s">
        <v>5</v>
      </c>
      <c r="G882" s="8"/>
      <c r="H882" s="6" t="str">
        <f aca="false">IF(G882="","",G882/SUMIFS($G$2:$G$1462,$F$2:$F$1462,"Served"))</f>
        <v/>
      </c>
      <c r="I882" s="4" t="str">
        <f aca="false">IF(G882="","",RANK(G882,$G$2:$G$1462,0))</f>
        <v/>
      </c>
      <c r="J882" s="4" t="s">
        <v>34</v>
      </c>
    </row>
    <row r="883" customFormat="false" ht="15" hidden="false" customHeight="false" outlineLevel="0" collapsed="false">
      <c r="A883" s="4" t="s">
        <v>1856</v>
      </c>
      <c r="B883" s="4" t="s">
        <v>1596</v>
      </c>
      <c r="C883" s="4" t="s">
        <v>1597</v>
      </c>
      <c r="D883" s="7" t="s">
        <v>1857</v>
      </c>
      <c r="E883" s="4" t="s">
        <v>1599</v>
      </c>
      <c r="F883" s="4" t="s">
        <v>5</v>
      </c>
      <c r="G883" s="8"/>
      <c r="H883" s="6" t="str">
        <f aca="false">IF(G883="","",G883/SUMIFS($G$2:$G$1462,$F$2:$F$1462,"Served"))</f>
        <v/>
      </c>
      <c r="I883" s="4" t="str">
        <f aca="false">IF(G883="","",RANK(G883,$G$2:$G$1462,0))</f>
        <v/>
      </c>
      <c r="J883" s="4" t="s">
        <v>34</v>
      </c>
    </row>
    <row r="884" customFormat="false" ht="15" hidden="false" customHeight="false" outlineLevel="0" collapsed="false">
      <c r="A884" s="4" t="s">
        <v>1858</v>
      </c>
      <c r="B884" s="4" t="s">
        <v>1596</v>
      </c>
      <c r="C884" s="4" t="s">
        <v>1597</v>
      </c>
      <c r="D884" s="7" t="s">
        <v>1859</v>
      </c>
      <c r="E884" s="4" t="s">
        <v>1599</v>
      </c>
      <c r="F884" s="4" t="s">
        <v>5</v>
      </c>
      <c r="G884" s="8"/>
      <c r="H884" s="6" t="str">
        <f aca="false">IF(G884="","",G884/SUMIFS($G$2:$G$1462,$F$2:$F$1462,"Served"))</f>
        <v/>
      </c>
      <c r="I884" s="4" t="str">
        <f aca="false">IF(G884="","",RANK(G884,$G$2:$G$1462,0))</f>
        <v/>
      </c>
      <c r="J884" s="4" t="s">
        <v>34</v>
      </c>
    </row>
    <row r="885" customFormat="false" ht="15" hidden="false" customHeight="false" outlineLevel="0" collapsed="false">
      <c r="A885" s="4" t="s">
        <v>1860</v>
      </c>
      <c r="B885" s="4" t="s">
        <v>1596</v>
      </c>
      <c r="C885" s="4" t="s">
        <v>1597</v>
      </c>
      <c r="D885" s="7" t="s">
        <v>1861</v>
      </c>
      <c r="E885" s="4" t="s">
        <v>1599</v>
      </c>
      <c r="F885" s="4" t="s">
        <v>5</v>
      </c>
      <c r="G885" s="8"/>
      <c r="H885" s="6" t="str">
        <f aca="false">IF(G885="","",G885/SUMIFS($G$2:$G$1462,$F$2:$F$1462,"Served"))</f>
        <v/>
      </c>
      <c r="I885" s="4" t="str">
        <f aca="false">IF(G885="","",RANK(G885,$G$2:$G$1462,0))</f>
        <v/>
      </c>
      <c r="J885" s="4" t="s">
        <v>34</v>
      </c>
    </row>
    <row r="886" customFormat="false" ht="15" hidden="false" customHeight="false" outlineLevel="0" collapsed="false">
      <c r="A886" s="4" t="s">
        <v>1862</v>
      </c>
      <c r="B886" s="4" t="s">
        <v>1596</v>
      </c>
      <c r="C886" s="4" t="s">
        <v>1597</v>
      </c>
      <c r="D886" s="7" t="s">
        <v>1863</v>
      </c>
      <c r="E886" s="4" t="s">
        <v>1599</v>
      </c>
      <c r="F886" s="4" t="s">
        <v>5</v>
      </c>
      <c r="G886" s="8"/>
      <c r="H886" s="6" t="str">
        <f aca="false">IF(G886="","",G886/SUMIFS($G$2:$G$1462,$F$2:$F$1462,"Served"))</f>
        <v/>
      </c>
      <c r="I886" s="4" t="str">
        <f aca="false">IF(G886="","",RANK(G886,$G$2:$G$1462,0))</f>
        <v/>
      </c>
      <c r="J886" s="4" t="s">
        <v>34</v>
      </c>
    </row>
    <row r="887" customFormat="false" ht="15" hidden="false" customHeight="false" outlineLevel="0" collapsed="false">
      <c r="A887" s="4" t="s">
        <v>1864</v>
      </c>
      <c r="B887" s="4" t="s">
        <v>1596</v>
      </c>
      <c r="C887" s="4" t="s">
        <v>1597</v>
      </c>
      <c r="D887" s="7" t="s">
        <v>1865</v>
      </c>
      <c r="E887" s="4" t="s">
        <v>1599</v>
      </c>
      <c r="F887" s="4" t="s">
        <v>5</v>
      </c>
      <c r="G887" s="8"/>
      <c r="H887" s="6" t="str">
        <f aca="false">IF(G887="","",G887/SUMIFS($G$2:$G$1462,$F$2:$F$1462,"Served"))</f>
        <v/>
      </c>
      <c r="I887" s="4" t="str">
        <f aca="false">IF(G887="","",RANK(G887,$G$2:$G$1462,0))</f>
        <v/>
      </c>
      <c r="J887" s="4" t="s">
        <v>34</v>
      </c>
    </row>
    <row r="888" customFormat="false" ht="15" hidden="false" customHeight="false" outlineLevel="0" collapsed="false">
      <c r="A888" s="4" t="s">
        <v>1866</v>
      </c>
      <c r="B888" s="4" t="s">
        <v>1596</v>
      </c>
      <c r="C888" s="4" t="s">
        <v>1597</v>
      </c>
      <c r="D888" s="7" t="s">
        <v>1867</v>
      </c>
      <c r="E888" s="4" t="s">
        <v>1599</v>
      </c>
      <c r="F888" s="4" t="s">
        <v>5</v>
      </c>
      <c r="G888" s="8"/>
      <c r="H888" s="6" t="str">
        <f aca="false">IF(G888="","",G888/SUMIFS($G$2:$G$1462,$F$2:$F$1462,"Served"))</f>
        <v/>
      </c>
      <c r="I888" s="4" t="str">
        <f aca="false">IF(G888="","",RANK(G888,$G$2:$G$1462,0))</f>
        <v/>
      </c>
      <c r="J888" s="4" t="s">
        <v>34</v>
      </c>
    </row>
    <row r="889" customFormat="false" ht="15" hidden="false" customHeight="false" outlineLevel="0" collapsed="false">
      <c r="A889" s="4" t="s">
        <v>1868</v>
      </c>
      <c r="B889" s="4" t="s">
        <v>1596</v>
      </c>
      <c r="C889" s="4" t="s">
        <v>1597</v>
      </c>
      <c r="D889" s="7" t="s">
        <v>1869</v>
      </c>
      <c r="E889" s="4" t="s">
        <v>1599</v>
      </c>
      <c r="F889" s="4" t="s">
        <v>5</v>
      </c>
      <c r="G889" s="8"/>
      <c r="H889" s="6" t="str">
        <f aca="false">IF(G889="","",G889/SUMIFS($G$2:$G$1462,$F$2:$F$1462,"Served"))</f>
        <v/>
      </c>
      <c r="I889" s="4" t="str">
        <f aca="false">IF(G889="","",RANK(G889,$G$2:$G$1462,0))</f>
        <v/>
      </c>
      <c r="J889" s="4" t="s">
        <v>34</v>
      </c>
    </row>
    <row r="890" customFormat="false" ht="15" hidden="false" customHeight="false" outlineLevel="0" collapsed="false">
      <c r="A890" s="4" t="s">
        <v>1870</v>
      </c>
      <c r="B890" s="4" t="s">
        <v>1596</v>
      </c>
      <c r="C890" s="4" t="s">
        <v>1597</v>
      </c>
      <c r="D890" s="7" t="s">
        <v>1871</v>
      </c>
      <c r="E890" s="4" t="s">
        <v>1599</v>
      </c>
      <c r="F890" s="4" t="s">
        <v>5</v>
      </c>
      <c r="G890" s="8"/>
      <c r="H890" s="6" t="str">
        <f aca="false">IF(G890="","",G890/SUMIFS($G$2:$G$1462,$F$2:$F$1462,"Served"))</f>
        <v/>
      </c>
      <c r="I890" s="4" t="str">
        <f aca="false">IF(G890="","",RANK(G890,$G$2:$G$1462,0))</f>
        <v/>
      </c>
      <c r="J890" s="4" t="s">
        <v>34</v>
      </c>
    </row>
    <row r="891" customFormat="false" ht="15" hidden="false" customHeight="false" outlineLevel="0" collapsed="false">
      <c r="A891" s="4" t="s">
        <v>1872</v>
      </c>
      <c r="B891" s="4" t="s">
        <v>1596</v>
      </c>
      <c r="C891" s="4" t="s">
        <v>1597</v>
      </c>
      <c r="D891" s="7" t="s">
        <v>1873</v>
      </c>
      <c r="E891" s="4" t="s">
        <v>1599</v>
      </c>
      <c r="F891" s="4" t="s">
        <v>5</v>
      </c>
      <c r="G891" s="8"/>
      <c r="H891" s="6" t="str">
        <f aca="false">IF(G891="","",G891/SUMIFS($G$2:$G$1462,$F$2:$F$1462,"Served"))</f>
        <v/>
      </c>
      <c r="I891" s="4" t="str">
        <f aca="false">IF(G891="","",RANK(G891,$G$2:$G$1462,0))</f>
        <v/>
      </c>
      <c r="J891" s="4" t="s">
        <v>34</v>
      </c>
    </row>
    <row r="892" customFormat="false" ht="15" hidden="false" customHeight="false" outlineLevel="0" collapsed="false">
      <c r="A892" s="4" t="s">
        <v>1874</v>
      </c>
      <c r="B892" s="4" t="s">
        <v>1596</v>
      </c>
      <c r="C892" s="4" t="s">
        <v>1597</v>
      </c>
      <c r="D892" s="7" t="s">
        <v>1875</v>
      </c>
      <c r="E892" s="4" t="s">
        <v>1599</v>
      </c>
      <c r="F892" s="4" t="s">
        <v>5</v>
      </c>
      <c r="G892" s="8"/>
      <c r="H892" s="6" t="str">
        <f aca="false">IF(G892="","",G892/SUMIFS($G$2:$G$1462,$F$2:$F$1462,"Served"))</f>
        <v/>
      </c>
      <c r="I892" s="4" t="str">
        <f aca="false">IF(G892="","",RANK(G892,$G$2:$G$1462,0))</f>
        <v/>
      </c>
      <c r="J892" s="4" t="s">
        <v>34</v>
      </c>
    </row>
    <row r="893" customFormat="false" ht="15" hidden="false" customHeight="false" outlineLevel="0" collapsed="false">
      <c r="A893" s="4" t="s">
        <v>1876</v>
      </c>
      <c r="B893" s="4" t="s">
        <v>1596</v>
      </c>
      <c r="C893" s="4" t="s">
        <v>1597</v>
      </c>
      <c r="D893" s="7" t="s">
        <v>1877</v>
      </c>
      <c r="E893" s="4" t="s">
        <v>1599</v>
      </c>
      <c r="F893" s="4" t="s">
        <v>5</v>
      </c>
      <c r="G893" s="8"/>
      <c r="H893" s="6" t="str">
        <f aca="false">IF(G893="","",G893/SUMIFS($G$2:$G$1462,$F$2:$F$1462,"Served"))</f>
        <v/>
      </c>
      <c r="I893" s="4" t="str">
        <f aca="false">IF(G893="","",RANK(G893,$G$2:$G$1462,0))</f>
        <v/>
      </c>
      <c r="J893" s="4" t="s">
        <v>34</v>
      </c>
    </row>
    <row r="894" customFormat="false" ht="15" hidden="false" customHeight="false" outlineLevel="0" collapsed="false">
      <c r="A894" s="4" t="s">
        <v>1878</v>
      </c>
      <c r="B894" s="4" t="s">
        <v>1596</v>
      </c>
      <c r="C894" s="4" t="s">
        <v>1597</v>
      </c>
      <c r="D894" s="7" t="s">
        <v>1879</v>
      </c>
      <c r="E894" s="4" t="s">
        <v>1599</v>
      </c>
      <c r="F894" s="4" t="s">
        <v>5</v>
      </c>
      <c r="G894" s="8"/>
      <c r="H894" s="6" t="str">
        <f aca="false">IF(G894="","",G894/SUMIFS($G$2:$G$1462,$F$2:$F$1462,"Served"))</f>
        <v/>
      </c>
      <c r="I894" s="4" t="str">
        <f aca="false">IF(G894="","",RANK(G894,$G$2:$G$1462,0))</f>
        <v/>
      </c>
      <c r="J894" s="4" t="s">
        <v>34</v>
      </c>
    </row>
    <row r="895" customFormat="false" ht="15" hidden="false" customHeight="false" outlineLevel="0" collapsed="false">
      <c r="A895" s="4" t="s">
        <v>1880</v>
      </c>
      <c r="B895" s="4" t="s">
        <v>1596</v>
      </c>
      <c r="C895" s="4" t="s">
        <v>1597</v>
      </c>
      <c r="D895" s="7" t="s">
        <v>1881</v>
      </c>
      <c r="E895" s="4" t="s">
        <v>1599</v>
      </c>
      <c r="F895" s="4" t="s">
        <v>5</v>
      </c>
      <c r="G895" s="8"/>
      <c r="H895" s="6" t="str">
        <f aca="false">IF(G895="","",G895/SUMIFS($G$2:$G$1462,$F$2:$F$1462,"Served"))</f>
        <v/>
      </c>
      <c r="I895" s="4" t="str">
        <f aca="false">IF(G895="","",RANK(G895,$G$2:$G$1462,0))</f>
        <v/>
      </c>
      <c r="J895" s="4" t="s">
        <v>34</v>
      </c>
    </row>
    <row r="896" customFormat="false" ht="15" hidden="false" customHeight="false" outlineLevel="0" collapsed="false">
      <c r="A896" s="4" t="s">
        <v>1882</v>
      </c>
      <c r="B896" s="4" t="s">
        <v>1596</v>
      </c>
      <c r="C896" s="4" t="s">
        <v>1597</v>
      </c>
      <c r="D896" s="7" t="s">
        <v>1883</v>
      </c>
      <c r="E896" s="4" t="s">
        <v>1599</v>
      </c>
      <c r="F896" s="4" t="s">
        <v>5</v>
      </c>
      <c r="G896" s="8"/>
      <c r="H896" s="6" t="str">
        <f aca="false">IF(G896="","",G896/SUMIFS($G$2:$G$1462,$F$2:$F$1462,"Served"))</f>
        <v/>
      </c>
      <c r="I896" s="4" t="str">
        <f aca="false">IF(G896="","",RANK(G896,$G$2:$G$1462,0))</f>
        <v/>
      </c>
      <c r="J896" s="4" t="s">
        <v>34</v>
      </c>
    </row>
    <row r="897" customFormat="false" ht="15" hidden="false" customHeight="false" outlineLevel="0" collapsed="false">
      <c r="A897" s="4" t="s">
        <v>1884</v>
      </c>
      <c r="B897" s="4" t="s">
        <v>1596</v>
      </c>
      <c r="C897" s="4" t="s">
        <v>1597</v>
      </c>
      <c r="D897" s="7" t="s">
        <v>1885</v>
      </c>
      <c r="E897" s="4" t="s">
        <v>1599</v>
      </c>
      <c r="F897" s="4" t="s">
        <v>5</v>
      </c>
      <c r="G897" s="8"/>
      <c r="H897" s="6" t="str">
        <f aca="false">IF(G897="","",G897/SUMIFS($G$2:$G$1462,$F$2:$F$1462,"Served"))</f>
        <v/>
      </c>
      <c r="I897" s="4" t="str">
        <f aca="false">IF(G897="","",RANK(G897,$G$2:$G$1462,0))</f>
        <v/>
      </c>
      <c r="J897" s="4" t="s">
        <v>34</v>
      </c>
    </row>
    <row r="898" customFormat="false" ht="15" hidden="false" customHeight="false" outlineLevel="0" collapsed="false">
      <c r="A898" s="4" t="s">
        <v>1886</v>
      </c>
      <c r="B898" s="4" t="s">
        <v>1596</v>
      </c>
      <c r="C898" s="4" t="s">
        <v>1597</v>
      </c>
      <c r="D898" s="7" t="s">
        <v>1887</v>
      </c>
      <c r="E898" s="4" t="s">
        <v>1599</v>
      </c>
      <c r="F898" s="4" t="s">
        <v>5</v>
      </c>
      <c r="G898" s="8"/>
      <c r="H898" s="6" t="str">
        <f aca="false">IF(G898="","",G898/SUMIFS($G$2:$G$1462,$F$2:$F$1462,"Served"))</f>
        <v/>
      </c>
      <c r="I898" s="4" t="str">
        <f aca="false">IF(G898="","",RANK(G898,$G$2:$G$1462,0))</f>
        <v/>
      </c>
      <c r="J898" s="4" t="s">
        <v>34</v>
      </c>
    </row>
    <row r="899" customFormat="false" ht="15" hidden="false" customHeight="false" outlineLevel="0" collapsed="false">
      <c r="A899" s="4" t="s">
        <v>1888</v>
      </c>
      <c r="B899" s="4" t="s">
        <v>1596</v>
      </c>
      <c r="C899" s="4" t="s">
        <v>1597</v>
      </c>
      <c r="D899" s="7" t="s">
        <v>1889</v>
      </c>
      <c r="E899" s="4" t="s">
        <v>1599</v>
      </c>
      <c r="F899" s="4" t="s">
        <v>5</v>
      </c>
      <c r="G899" s="8"/>
      <c r="H899" s="6" t="str">
        <f aca="false">IF(G899="","",G899/SUMIFS($G$2:$G$1462,$F$2:$F$1462,"Served"))</f>
        <v/>
      </c>
      <c r="I899" s="4" t="str">
        <f aca="false">IF(G899="","",RANK(G899,$G$2:$G$1462,0))</f>
        <v/>
      </c>
      <c r="J899" s="4" t="s">
        <v>34</v>
      </c>
    </row>
    <row r="900" customFormat="false" ht="15" hidden="false" customHeight="false" outlineLevel="0" collapsed="false">
      <c r="A900" s="4" t="s">
        <v>1890</v>
      </c>
      <c r="B900" s="4" t="s">
        <v>1891</v>
      </c>
      <c r="C900" s="4" t="s">
        <v>1892</v>
      </c>
      <c r="D900" s="7" t="s">
        <v>1893</v>
      </c>
      <c r="E900" s="4" t="s">
        <v>1894</v>
      </c>
      <c r="F900" s="4" t="s">
        <v>5</v>
      </c>
      <c r="G900" s="8"/>
      <c r="H900" s="6" t="str">
        <f aca="false">IF(G900="","",G900/SUMIFS($G$2:$G$1462,$F$2:$F$1462,"Served"))</f>
        <v/>
      </c>
      <c r="I900" s="4" t="str">
        <f aca="false">IF(G900="","",RANK(G900,$G$2:$G$1462,0))</f>
        <v/>
      </c>
      <c r="J900" s="4" t="s">
        <v>34</v>
      </c>
    </row>
    <row r="901" customFormat="false" ht="15" hidden="false" customHeight="false" outlineLevel="0" collapsed="false">
      <c r="A901" s="4" t="s">
        <v>1895</v>
      </c>
      <c r="B901" s="4" t="s">
        <v>1891</v>
      </c>
      <c r="C901" s="4" t="s">
        <v>1892</v>
      </c>
      <c r="D901" s="7" t="s">
        <v>1896</v>
      </c>
      <c r="E901" s="4" t="s">
        <v>1894</v>
      </c>
      <c r="F901" s="4" t="s">
        <v>5</v>
      </c>
      <c r="G901" s="8"/>
      <c r="H901" s="6" t="str">
        <f aca="false">IF(G901="","",G901/SUMIFS($G$2:$G$1462,$F$2:$F$1462,"Served"))</f>
        <v/>
      </c>
      <c r="I901" s="4" t="str">
        <f aca="false">IF(G901="","",RANK(G901,$G$2:$G$1462,0))</f>
        <v/>
      </c>
      <c r="J901" s="4" t="s">
        <v>34</v>
      </c>
    </row>
    <row r="902" customFormat="false" ht="15" hidden="false" customHeight="false" outlineLevel="0" collapsed="false">
      <c r="A902" s="4" t="s">
        <v>1897</v>
      </c>
      <c r="B902" s="4" t="s">
        <v>1891</v>
      </c>
      <c r="C902" s="4" t="s">
        <v>1892</v>
      </c>
      <c r="D902" s="7" t="s">
        <v>1898</v>
      </c>
      <c r="E902" s="4" t="s">
        <v>1894</v>
      </c>
      <c r="F902" s="4" t="s">
        <v>5</v>
      </c>
      <c r="G902" s="8"/>
      <c r="H902" s="6" t="str">
        <f aca="false">IF(G902="","",G902/SUMIFS($G$2:$G$1462,$F$2:$F$1462,"Served"))</f>
        <v/>
      </c>
      <c r="I902" s="4" t="str">
        <f aca="false">IF(G902="","",RANK(G902,$G$2:$G$1462,0))</f>
        <v/>
      </c>
      <c r="J902" s="4" t="s">
        <v>34</v>
      </c>
    </row>
    <row r="903" customFormat="false" ht="15" hidden="false" customHeight="false" outlineLevel="0" collapsed="false">
      <c r="A903" s="4" t="s">
        <v>1899</v>
      </c>
      <c r="B903" s="4" t="s">
        <v>1891</v>
      </c>
      <c r="C903" s="4" t="s">
        <v>1892</v>
      </c>
      <c r="D903" s="7" t="s">
        <v>1900</v>
      </c>
      <c r="E903" s="4" t="s">
        <v>1894</v>
      </c>
      <c r="F903" s="4" t="s">
        <v>5</v>
      </c>
      <c r="G903" s="8"/>
      <c r="H903" s="6" t="str">
        <f aca="false">IF(G903="","",G903/SUMIFS($G$2:$G$1462,$F$2:$F$1462,"Served"))</f>
        <v/>
      </c>
      <c r="I903" s="4" t="str">
        <f aca="false">IF(G903="","",RANK(G903,$G$2:$G$1462,0))</f>
        <v/>
      </c>
      <c r="J903" s="4" t="s">
        <v>34</v>
      </c>
    </row>
    <row r="904" customFormat="false" ht="15" hidden="false" customHeight="false" outlineLevel="0" collapsed="false">
      <c r="A904" s="4" t="s">
        <v>1901</v>
      </c>
      <c r="B904" s="4" t="s">
        <v>1891</v>
      </c>
      <c r="C904" s="4" t="s">
        <v>1892</v>
      </c>
      <c r="D904" s="7" t="s">
        <v>1902</v>
      </c>
      <c r="E904" s="4" t="s">
        <v>1894</v>
      </c>
      <c r="F904" s="4" t="s">
        <v>5</v>
      </c>
      <c r="G904" s="8"/>
      <c r="H904" s="6" t="str">
        <f aca="false">IF(G904="","",G904/SUMIFS($G$2:$G$1462,$F$2:$F$1462,"Served"))</f>
        <v/>
      </c>
      <c r="I904" s="4" t="str">
        <f aca="false">IF(G904="","",RANK(G904,$G$2:$G$1462,0))</f>
        <v/>
      </c>
      <c r="J904" s="4" t="s">
        <v>34</v>
      </c>
    </row>
    <row r="905" customFormat="false" ht="15" hidden="false" customHeight="false" outlineLevel="0" collapsed="false">
      <c r="A905" s="4" t="s">
        <v>1903</v>
      </c>
      <c r="B905" s="4" t="s">
        <v>1891</v>
      </c>
      <c r="C905" s="4" t="s">
        <v>1892</v>
      </c>
      <c r="D905" s="7" t="s">
        <v>1904</v>
      </c>
      <c r="E905" s="4" t="s">
        <v>1894</v>
      </c>
      <c r="F905" s="4" t="s">
        <v>5</v>
      </c>
      <c r="G905" s="8"/>
      <c r="H905" s="6" t="str">
        <f aca="false">IF(G905="","",G905/SUMIFS($G$2:$G$1462,$F$2:$F$1462,"Served"))</f>
        <v/>
      </c>
      <c r="I905" s="4" t="str">
        <f aca="false">IF(G905="","",RANK(G905,$G$2:$G$1462,0))</f>
        <v/>
      </c>
      <c r="J905" s="4" t="s">
        <v>34</v>
      </c>
    </row>
    <row r="906" customFormat="false" ht="15" hidden="false" customHeight="false" outlineLevel="0" collapsed="false">
      <c r="A906" s="4" t="s">
        <v>1905</v>
      </c>
      <c r="B906" s="4" t="s">
        <v>1891</v>
      </c>
      <c r="C906" s="4" t="s">
        <v>1892</v>
      </c>
      <c r="D906" s="7" t="s">
        <v>1906</v>
      </c>
      <c r="E906" s="4" t="s">
        <v>1894</v>
      </c>
      <c r="F906" s="4" t="s">
        <v>5</v>
      </c>
      <c r="G906" s="8"/>
      <c r="H906" s="6" t="str">
        <f aca="false">IF(G906="","",G906/SUMIFS($G$2:$G$1462,$F$2:$F$1462,"Served"))</f>
        <v/>
      </c>
      <c r="I906" s="4" t="str">
        <f aca="false">IF(G906="","",RANK(G906,$G$2:$G$1462,0))</f>
        <v/>
      </c>
      <c r="J906" s="4" t="s">
        <v>34</v>
      </c>
    </row>
    <row r="907" customFormat="false" ht="15" hidden="false" customHeight="false" outlineLevel="0" collapsed="false">
      <c r="A907" s="4" t="s">
        <v>1907</v>
      </c>
      <c r="B907" s="4" t="s">
        <v>1891</v>
      </c>
      <c r="C907" s="4" t="s">
        <v>1892</v>
      </c>
      <c r="D907" s="7" t="s">
        <v>1908</v>
      </c>
      <c r="E907" s="4" t="s">
        <v>1894</v>
      </c>
      <c r="F907" s="4" t="s">
        <v>5</v>
      </c>
      <c r="G907" s="8"/>
      <c r="H907" s="6" t="str">
        <f aca="false">IF(G907="","",G907/SUMIFS($G$2:$G$1462,$F$2:$F$1462,"Served"))</f>
        <v/>
      </c>
      <c r="I907" s="4" t="str">
        <f aca="false">IF(G907="","",RANK(G907,$G$2:$G$1462,0))</f>
        <v/>
      </c>
      <c r="J907" s="4" t="s">
        <v>34</v>
      </c>
    </row>
    <row r="908" customFormat="false" ht="15" hidden="false" customHeight="false" outlineLevel="0" collapsed="false">
      <c r="A908" s="4" t="s">
        <v>1909</v>
      </c>
      <c r="B908" s="4" t="s">
        <v>1891</v>
      </c>
      <c r="C908" s="4" t="s">
        <v>1892</v>
      </c>
      <c r="D908" s="7" t="s">
        <v>1910</v>
      </c>
      <c r="E908" s="4" t="s">
        <v>1894</v>
      </c>
      <c r="F908" s="4" t="s">
        <v>5</v>
      </c>
      <c r="G908" s="8"/>
      <c r="H908" s="6" t="str">
        <f aca="false">IF(G908="","",G908/SUMIFS($G$2:$G$1462,$F$2:$F$1462,"Served"))</f>
        <v/>
      </c>
      <c r="I908" s="4" t="str">
        <f aca="false">IF(G908="","",RANK(G908,$G$2:$G$1462,0))</f>
        <v/>
      </c>
      <c r="J908" s="4" t="s">
        <v>34</v>
      </c>
    </row>
    <row r="909" customFormat="false" ht="15" hidden="false" customHeight="false" outlineLevel="0" collapsed="false">
      <c r="A909" s="4" t="s">
        <v>1911</v>
      </c>
      <c r="B909" s="4" t="s">
        <v>1891</v>
      </c>
      <c r="C909" s="4" t="s">
        <v>1892</v>
      </c>
      <c r="D909" s="7" t="s">
        <v>1912</v>
      </c>
      <c r="E909" s="4" t="s">
        <v>1894</v>
      </c>
      <c r="F909" s="4" t="s">
        <v>5</v>
      </c>
      <c r="G909" s="8"/>
      <c r="H909" s="6" t="str">
        <f aca="false">IF(G909="","",G909/SUMIFS($G$2:$G$1462,$F$2:$F$1462,"Served"))</f>
        <v/>
      </c>
      <c r="I909" s="4" t="str">
        <f aca="false">IF(G909="","",RANK(G909,$G$2:$G$1462,0))</f>
        <v/>
      </c>
      <c r="J909" s="4" t="s">
        <v>34</v>
      </c>
    </row>
    <row r="910" customFormat="false" ht="15" hidden="false" customHeight="false" outlineLevel="0" collapsed="false">
      <c r="A910" s="4" t="s">
        <v>1913</v>
      </c>
      <c r="B910" s="4" t="s">
        <v>1891</v>
      </c>
      <c r="C910" s="4" t="s">
        <v>1892</v>
      </c>
      <c r="D910" s="7" t="s">
        <v>1914</v>
      </c>
      <c r="E910" s="4" t="s">
        <v>1894</v>
      </c>
      <c r="F910" s="4" t="s">
        <v>5</v>
      </c>
      <c r="G910" s="8"/>
      <c r="H910" s="6" t="str">
        <f aca="false">IF(G910="","",G910/SUMIFS($G$2:$G$1462,$F$2:$F$1462,"Served"))</f>
        <v/>
      </c>
      <c r="I910" s="4" t="str">
        <f aca="false">IF(G910="","",RANK(G910,$G$2:$G$1462,0))</f>
        <v/>
      </c>
      <c r="J910" s="4" t="s">
        <v>34</v>
      </c>
    </row>
    <row r="911" customFormat="false" ht="15" hidden="false" customHeight="false" outlineLevel="0" collapsed="false">
      <c r="A911" s="4" t="s">
        <v>1915</v>
      </c>
      <c r="B911" s="4" t="s">
        <v>1891</v>
      </c>
      <c r="C911" s="4" t="s">
        <v>1892</v>
      </c>
      <c r="D911" s="7" t="s">
        <v>1916</v>
      </c>
      <c r="E911" s="4" t="s">
        <v>1894</v>
      </c>
      <c r="F911" s="4" t="s">
        <v>5</v>
      </c>
      <c r="G911" s="8"/>
      <c r="H911" s="6" t="str">
        <f aca="false">IF(G911="","",G911/SUMIFS($G$2:$G$1462,$F$2:$F$1462,"Served"))</f>
        <v/>
      </c>
      <c r="I911" s="4" t="str">
        <f aca="false">IF(G911="","",RANK(G911,$G$2:$G$1462,0))</f>
        <v/>
      </c>
      <c r="J911" s="4" t="s">
        <v>34</v>
      </c>
    </row>
    <row r="912" customFormat="false" ht="15" hidden="false" customHeight="false" outlineLevel="0" collapsed="false">
      <c r="A912" s="4" t="s">
        <v>1917</v>
      </c>
      <c r="B912" s="4" t="s">
        <v>1891</v>
      </c>
      <c r="C912" s="4" t="s">
        <v>1892</v>
      </c>
      <c r="D912" s="7" t="s">
        <v>1918</v>
      </c>
      <c r="E912" s="4" t="s">
        <v>1894</v>
      </c>
      <c r="F912" s="4" t="s">
        <v>5</v>
      </c>
      <c r="G912" s="8"/>
      <c r="H912" s="6" t="str">
        <f aca="false">IF(G912="","",G912/SUMIFS($G$2:$G$1462,$F$2:$F$1462,"Served"))</f>
        <v/>
      </c>
      <c r="I912" s="4" t="str">
        <f aca="false">IF(G912="","",RANK(G912,$G$2:$G$1462,0))</f>
        <v/>
      </c>
      <c r="J912" s="4" t="s">
        <v>34</v>
      </c>
    </row>
    <row r="913" customFormat="false" ht="15" hidden="false" customHeight="false" outlineLevel="0" collapsed="false">
      <c r="A913" s="4" t="s">
        <v>1919</v>
      </c>
      <c r="B913" s="4" t="s">
        <v>1920</v>
      </c>
      <c r="C913" s="4" t="s">
        <v>1921</v>
      </c>
      <c r="D913" s="7" t="s">
        <v>1922</v>
      </c>
      <c r="E913" s="4" t="s">
        <v>1923</v>
      </c>
      <c r="F913" s="4" t="s">
        <v>5</v>
      </c>
      <c r="G913" s="8"/>
      <c r="H913" s="6" t="str">
        <f aca="false">IF(G913="","",G913/SUMIFS($G$2:$G$1462,$F$2:$F$1462,"Served"))</f>
        <v/>
      </c>
      <c r="I913" s="4" t="str">
        <f aca="false">IF(G913="","",RANK(G913,$G$2:$G$1462,0))</f>
        <v/>
      </c>
      <c r="J913" s="4" t="s">
        <v>34</v>
      </c>
    </row>
    <row r="914" customFormat="false" ht="15" hidden="false" customHeight="false" outlineLevel="0" collapsed="false">
      <c r="A914" s="4" t="s">
        <v>1924</v>
      </c>
      <c r="B914" s="4" t="s">
        <v>1920</v>
      </c>
      <c r="C914" s="4" t="s">
        <v>1921</v>
      </c>
      <c r="D914" s="7" t="s">
        <v>1925</v>
      </c>
      <c r="E914" s="4" t="s">
        <v>1923</v>
      </c>
      <c r="F914" s="4" t="s">
        <v>5</v>
      </c>
      <c r="G914" s="8"/>
      <c r="H914" s="6" t="str">
        <f aca="false">IF(G914="","",G914/SUMIFS($G$2:$G$1462,$F$2:$F$1462,"Served"))</f>
        <v/>
      </c>
      <c r="I914" s="4" t="str">
        <f aca="false">IF(G914="","",RANK(G914,$G$2:$G$1462,0))</f>
        <v/>
      </c>
      <c r="J914" s="4" t="s">
        <v>34</v>
      </c>
    </row>
    <row r="915" customFormat="false" ht="15" hidden="false" customHeight="false" outlineLevel="0" collapsed="false">
      <c r="A915" s="4" t="s">
        <v>1926</v>
      </c>
      <c r="B915" s="4" t="s">
        <v>1920</v>
      </c>
      <c r="C915" s="4" t="s">
        <v>1921</v>
      </c>
      <c r="D915" s="7" t="s">
        <v>1927</v>
      </c>
      <c r="E915" s="4" t="s">
        <v>1923</v>
      </c>
      <c r="F915" s="4" t="s">
        <v>5</v>
      </c>
      <c r="G915" s="8"/>
      <c r="H915" s="6" t="str">
        <f aca="false">IF(G915="","",G915/SUMIFS($G$2:$G$1462,$F$2:$F$1462,"Served"))</f>
        <v/>
      </c>
      <c r="I915" s="4" t="str">
        <f aca="false">IF(G915="","",RANK(G915,$G$2:$G$1462,0))</f>
        <v/>
      </c>
      <c r="J915" s="4" t="s">
        <v>34</v>
      </c>
    </row>
    <row r="916" customFormat="false" ht="15" hidden="false" customHeight="false" outlineLevel="0" collapsed="false">
      <c r="A916" s="4" t="s">
        <v>1928</v>
      </c>
      <c r="B916" s="4" t="s">
        <v>1920</v>
      </c>
      <c r="C916" s="4" t="s">
        <v>1921</v>
      </c>
      <c r="D916" s="7" t="s">
        <v>1929</v>
      </c>
      <c r="E916" s="4" t="s">
        <v>1923</v>
      </c>
      <c r="F916" s="4" t="s">
        <v>5</v>
      </c>
      <c r="G916" s="8"/>
      <c r="H916" s="6" t="str">
        <f aca="false">IF(G916="","",G916/SUMIFS($G$2:$G$1462,$F$2:$F$1462,"Served"))</f>
        <v/>
      </c>
      <c r="I916" s="4" t="str">
        <f aca="false">IF(G916="","",RANK(G916,$G$2:$G$1462,0))</f>
        <v/>
      </c>
      <c r="J916" s="4" t="s">
        <v>34</v>
      </c>
    </row>
    <row r="917" customFormat="false" ht="15" hidden="false" customHeight="false" outlineLevel="0" collapsed="false">
      <c r="A917" s="4" t="s">
        <v>1930</v>
      </c>
      <c r="B917" s="4" t="s">
        <v>1920</v>
      </c>
      <c r="C917" s="4" t="s">
        <v>1921</v>
      </c>
      <c r="D917" s="7" t="s">
        <v>1931</v>
      </c>
      <c r="E917" s="4" t="s">
        <v>1923</v>
      </c>
      <c r="F917" s="4" t="s">
        <v>5</v>
      </c>
      <c r="G917" s="8"/>
      <c r="H917" s="6" t="str">
        <f aca="false">IF(G917="","",G917/SUMIFS($G$2:$G$1462,$F$2:$F$1462,"Served"))</f>
        <v/>
      </c>
      <c r="I917" s="4" t="str">
        <f aca="false">IF(G917="","",RANK(G917,$G$2:$G$1462,0))</f>
        <v/>
      </c>
      <c r="J917" s="4" t="s">
        <v>34</v>
      </c>
    </row>
    <row r="918" customFormat="false" ht="15" hidden="false" customHeight="false" outlineLevel="0" collapsed="false">
      <c r="A918" s="4" t="s">
        <v>1932</v>
      </c>
      <c r="B918" s="4" t="s">
        <v>1920</v>
      </c>
      <c r="C918" s="4" t="s">
        <v>1921</v>
      </c>
      <c r="D918" s="7" t="s">
        <v>1933</v>
      </c>
      <c r="E918" s="4" t="s">
        <v>1923</v>
      </c>
      <c r="F918" s="4" t="s">
        <v>5</v>
      </c>
      <c r="G918" s="8"/>
      <c r="H918" s="6" t="str">
        <f aca="false">IF(G918="","",G918/SUMIFS($G$2:$G$1462,$F$2:$F$1462,"Served"))</f>
        <v/>
      </c>
      <c r="I918" s="4" t="str">
        <f aca="false">IF(G918="","",RANK(G918,$G$2:$G$1462,0))</f>
        <v/>
      </c>
      <c r="J918" s="4" t="s">
        <v>34</v>
      </c>
    </row>
    <row r="919" customFormat="false" ht="15" hidden="false" customHeight="false" outlineLevel="0" collapsed="false">
      <c r="A919" s="4" t="s">
        <v>1934</v>
      </c>
      <c r="B919" s="4" t="s">
        <v>1920</v>
      </c>
      <c r="C919" s="4" t="s">
        <v>1921</v>
      </c>
      <c r="D919" s="7" t="s">
        <v>1935</v>
      </c>
      <c r="E919" s="4" t="s">
        <v>1923</v>
      </c>
      <c r="F919" s="4" t="s">
        <v>5</v>
      </c>
      <c r="G919" s="8"/>
      <c r="H919" s="6" t="str">
        <f aca="false">IF(G919="","",G919/SUMIFS($G$2:$G$1462,$F$2:$F$1462,"Served"))</f>
        <v/>
      </c>
      <c r="I919" s="4" t="str">
        <f aca="false">IF(G919="","",RANK(G919,$G$2:$G$1462,0))</f>
        <v/>
      </c>
      <c r="J919" s="4" t="s">
        <v>34</v>
      </c>
    </row>
    <row r="920" customFormat="false" ht="15" hidden="false" customHeight="false" outlineLevel="0" collapsed="false">
      <c r="A920" s="4" t="s">
        <v>1936</v>
      </c>
      <c r="B920" s="4" t="s">
        <v>1920</v>
      </c>
      <c r="C920" s="4" t="s">
        <v>1921</v>
      </c>
      <c r="D920" s="7" t="s">
        <v>1937</v>
      </c>
      <c r="E920" s="4" t="s">
        <v>1923</v>
      </c>
      <c r="F920" s="4" t="s">
        <v>5</v>
      </c>
      <c r="G920" s="8"/>
      <c r="H920" s="6" t="str">
        <f aca="false">IF(G920="","",G920/SUMIFS($G$2:$G$1462,$F$2:$F$1462,"Served"))</f>
        <v/>
      </c>
      <c r="I920" s="4" t="str">
        <f aca="false">IF(G920="","",RANK(G920,$G$2:$G$1462,0))</f>
        <v/>
      </c>
      <c r="J920" s="4" t="s">
        <v>34</v>
      </c>
    </row>
    <row r="921" customFormat="false" ht="15" hidden="false" customHeight="false" outlineLevel="0" collapsed="false">
      <c r="A921" s="4" t="s">
        <v>1938</v>
      </c>
      <c r="B921" s="4" t="s">
        <v>1920</v>
      </c>
      <c r="C921" s="4" t="s">
        <v>1921</v>
      </c>
      <c r="D921" s="7" t="s">
        <v>1939</v>
      </c>
      <c r="E921" s="4" t="s">
        <v>1923</v>
      </c>
      <c r="F921" s="4" t="s">
        <v>5</v>
      </c>
      <c r="G921" s="8"/>
      <c r="H921" s="6" t="str">
        <f aca="false">IF(G921="","",G921/SUMIFS($G$2:$G$1462,$F$2:$F$1462,"Served"))</f>
        <v/>
      </c>
      <c r="I921" s="4" t="str">
        <f aca="false">IF(G921="","",RANK(G921,$G$2:$G$1462,0))</f>
        <v/>
      </c>
      <c r="J921" s="4" t="s">
        <v>34</v>
      </c>
    </row>
    <row r="922" customFormat="false" ht="15" hidden="false" customHeight="false" outlineLevel="0" collapsed="false">
      <c r="A922" s="4" t="s">
        <v>1940</v>
      </c>
      <c r="B922" s="4" t="s">
        <v>1920</v>
      </c>
      <c r="C922" s="4" t="s">
        <v>1921</v>
      </c>
      <c r="D922" s="7" t="s">
        <v>1941</v>
      </c>
      <c r="E922" s="4" t="s">
        <v>1923</v>
      </c>
      <c r="F922" s="4" t="s">
        <v>5</v>
      </c>
      <c r="G922" s="8"/>
      <c r="H922" s="6" t="str">
        <f aca="false">IF(G922="","",G922/SUMIFS($G$2:$G$1462,$F$2:$F$1462,"Served"))</f>
        <v/>
      </c>
      <c r="I922" s="4" t="str">
        <f aca="false">IF(G922="","",RANK(G922,$G$2:$G$1462,0))</f>
        <v/>
      </c>
      <c r="J922" s="4" t="s">
        <v>34</v>
      </c>
    </row>
    <row r="923" customFormat="false" ht="15" hidden="false" customHeight="false" outlineLevel="0" collapsed="false">
      <c r="A923" s="4" t="s">
        <v>1942</v>
      </c>
      <c r="B923" s="4" t="s">
        <v>1920</v>
      </c>
      <c r="C923" s="4" t="s">
        <v>1921</v>
      </c>
      <c r="D923" s="7" t="s">
        <v>1943</v>
      </c>
      <c r="E923" s="4" t="s">
        <v>1923</v>
      </c>
      <c r="F923" s="4" t="s">
        <v>5</v>
      </c>
      <c r="G923" s="8"/>
      <c r="H923" s="6" t="str">
        <f aca="false">IF(G923="","",G923/SUMIFS($G$2:$G$1462,$F$2:$F$1462,"Served"))</f>
        <v/>
      </c>
      <c r="I923" s="4" t="str">
        <f aca="false">IF(G923="","",RANK(G923,$G$2:$G$1462,0))</f>
        <v/>
      </c>
      <c r="J923" s="4" t="s">
        <v>34</v>
      </c>
    </row>
    <row r="924" customFormat="false" ht="15" hidden="false" customHeight="false" outlineLevel="0" collapsed="false">
      <c r="A924" s="4" t="s">
        <v>1944</v>
      </c>
      <c r="B924" s="4" t="s">
        <v>1920</v>
      </c>
      <c r="C924" s="4" t="s">
        <v>1921</v>
      </c>
      <c r="D924" s="7" t="s">
        <v>1945</v>
      </c>
      <c r="E924" s="4" t="s">
        <v>1923</v>
      </c>
      <c r="F924" s="4" t="s">
        <v>5</v>
      </c>
      <c r="G924" s="8"/>
      <c r="H924" s="6" t="str">
        <f aca="false">IF(G924="","",G924/SUMIFS($G$2:$G$1462,$F$2:$F$1462,"Served"))</f>
        <v/>
      </c>
      <c r="I924" s="4" t="str">
        <f aca="false">IF(G924="","",RANK(G924,$G$2:$G$1462,0))</f>
        <v/>
      </c>
      <c r="J924" s="4" t="s">
        <v>34</v>
      </c>
    </row>
    <row r="925" customFormat="false" ht="15" hidden="false" customHeight="false" outlineLevel="0" collapsed="false">
      <c r="A925" s="4" t="s">
        <v>1946</v>
      </c>
      <c r="B925" s="4" t="s">
        <v>1947</v>
      </c>
      <c r="C925" s="4" t="s">
        <v>1948</v>
      </c>
      <c r="D925" s="7" t="s">
        <v>1949</v>
      </c>
      <c r="E925" s="4" t="s">
        <v>1950</v>
      </c>
      <c r="F925" s="4" t="s">
        <v>5</v>
      </c>
      <c r="G925" s="8"/>
      <c r="H925" s="6" t="str">
        <f aca="false">IF(G925="","",G925/SUMIFS($G$2:$G$1462,$F$2:$F$1462,"Served"))</f>
        <v/>
      </c>
      <c r="I925" s="4" t="str">
        <f aca="false">IF(G925="","",RANK(G925,$G$2:$G$1462,0))</f>
        <v/>
      </c>
      <c r="J925" s="4" t="s">
        <v>34</v>
      </c>
    </row>
    <row r="926" customFormat="false" ht="15" hidden="false" customHeight="false" outlineLevel="0" collapsed="false">
      <c r="A926" s="4" t="s">
        <v>1951</v>
      </c>
      <c r="B926" s="4" t="s">
        <v>1947</v>
      </c>
      <c r="C926" s="4" t="s">
        <v>1948</v>
      </c>
      <c r="D926" s="7" t="s">
        <v>1952</v>
      </c>
      <c r="E926" s="4" t="s">
        <v>1950</v>
      </c>
      <c r="F926" s="4" t="s">
        <v>5</v>
      </c>
      <c r="G926" s="8"/>
      <c r="H926" s="6" t="str">
        <f aca="false">IF(G926="","",G926/SUMIFS($G$2:$G$1462,$F$2:$F$1462,"Served"))</f>
        <v/>
      </c>
      <c r="I926" s="4" t="str">
        <f aca="false">IF(G926="","",RANK(G926,$G$2:$G$1462,0))</f>
        <v/>
      </c>
      <c r="J926" s="4" t="s">
        <v>34</v>
      </c>
    </row>
    <row r="927" customFormat="false" ht="15" hidden="false" customHeight="false" outlineLevel="0" collapsed="false">
      <c r="A927" s="4" t="s">
        <v>1953</v>
      </c>
      <c r="B927" s="4" t="s">
        <v>1947</v>
      </c>
      <c r="C927" s="4" t="s">
        <v>1948</v>
      </c>
      <c r="D927" s="7" t="s">
        <v>1954</v>
      </c>
      <c r="E927" s="4" t="s">
        <v>1950</v>
      </c>
      <c r="F927" s="4" t="s">
        <v>5</v>
      </c>
      <c r="G927" s="8"/>
      <c r="H927" s="6" t="str">
        <f aca="false">IF(G927="","",G927/SUMIFS($G$2:$G$1462,$F$2:$F$1462,"Served"))</f>
        <v/>
      </c>
      <c r="I927" s="4" t="str">
        <f aca="false">IF(G927="","",RANK(G927,$G$2:$G$1462,0))</f>
        <v/>
      </c>
      <c r="J927" s="4" t="s">
        <v>34</v>
      </c>
    </row>
    <row r="928" customFormat="false" ht="15" hidden="false" customHeight="false" outlineLevel="0" collapsed="false">
      <c r="A928" s="4" t="s">
        <v>1955</v>
      </c>
      <c r="B928" s="4" t="s">
        <v>1947</v>
      </c>
      <c r="C928" s="4" t="s">
        <v>1948</v>
      </c>
      <c r="D928" s="7" t="s">
        <v>1956</v>
      </c>
      <c r="E928" s="4" t="s">
        <v>1950</v>
      </c>
      <c r="F928" s="4" t="s">
        <v>5</v>
      </c>
      <c r="G928" s="8"/>
      <c r="H928" s="6" t="str">
        <f aca="false">IF(G928="","",G928/SUMIFS($G$2:$G$1462,$F$2:$F$1462,"Served"))</f>
        <v/>
      </c>
      <c r="I928" s="4" t="str">
        <f aca="false">IF(G928="","",RANK(G928,$G$2:$G$1462,0))</f>
        <v/>
      </c>
      <c r="J928" s="4" t="s">
        <v>34</v>
      </c>
    </row>
    <row r="929" customFormat="false" ht="15" hidden="false" customHeight="false" outlineLevel="0" collapsed="false">
      <c r="A929" s="4" t="s">
        <v>1957</v>
      </c>
      <c r="B929" s="4" t="s">
        <v>1947</v>
      </c>
      <c r="C929" s="4" t="s">
        <v>1948</v>
      </c>
      <c r="D929" s="7" t="s">
        <v>1958</v>
      </c>
      <c r="E929" s="4" t="s">
        <v>1950</v>
      </c>
      <c r="F929" s="4" t="s">
        <v>5</v>
      </c>
      <c r="G929" s="8"/>
      <c r="H929" s="6" t="str">
        <f aca="false">IF(G929="","",G929/SUMIFS($G$2:$G$1462,$F$2:$F$1462,"Served"))</f>
        <v/>
      </c>
      <c r="I929" s="4" t="str">
        <f aca="false">IF(G929="","",RANK(G929,$G$2:$G$1462,0))</f>
        <v/>
      </c>
      <c r="J929" s="4" t="s">
        <v>34</v>
      </c>
    </row>
    <row r="930" customFormat="false" ht="15" hidden="false" customHeight="false" outlineLevel="0" collapsed="false">
      <c r="A930" s="4" t="s">
        <v>1959</v>
      </c>
      <c r="B930" s="4" t="s">
        <v>1947</v>
      </c>
      <c r="C930" s="4" t="s">
        <v>1948</v>
      </c>
      <c r="D930" s="7" t="s">
        <v>1960</v>
      </c>
      <c r="E930" s="4" t="s">
        <v>1950</v>
      </c>
      <c r="F930" s="4" t="s">
        <v>5</v>
      </c>
      <c r="G930" s="8"/>
      <c r="H930" s="6" t="str">
        <f aca="false">IF(G930="","",G930/SUMIFS($G$2:$G$1462,$F$2:$F$1462,"Served"))</f>
        <v/>
      </c>
      <c r="I930" s="4" t="str">
        <f aca="false">IF(G930="","",RANK(G930,$G$2:$G$1462,0))</f>
        <v/>
      </c>
      <c r="J930" s="4" t="s">
        <v>34</v>
      </c>
    </row>
    <row r="931" customFormat="false" ht="15" hidden="false" customHeight="false" outlineLevel="0" collapsed="false">
      <c r="A931" s="4" t="s">
        <v>1961</v>
      </c>
      <c r="B931" s="4" t="s">
        <v>1947</v>
      </c>
      <c r="C931" s="4" t="s">
        <v>1948</v>
      </c>
      <c r="D931" s="7" t="s">
        <v>1962</v>
      </c>
      <c r="E931" s="4" t="s">
        <v>1950</v>
      </c>
      <c r="F931" s="4" t="s">
        <v>5</v>
      </c>
      <c r="G931" s="8"/>
      <c r="H931" s="6" t="str">
        <f aca="false">IF(G931="","",G931/SUMIFS($G$2:$G$1462,$F$2:$F$1462,"Served"))</f>
        <v/>
      </c>
      <c r="I931" s="4" t="str">
        <f aca="false">IF(G931="","",RANK(G931,$G$2:$G$1462,0))</f>
        <v/>
      </c>
      <c r="J931" s="4" t="s">
        <v>34</v>
      </c>
    </row>
    <row r="932" customFormat="false" ht="15" hidden="false" customHeight="false" outlineLevel="0" collapsed="false">
      <c r="A932" s="4" t="s">
        <v>1963</v>
      </c>
      <c r="B932" s="4" t="s">
        <v>1964</v>
      </c>
      <c r="C932" s="4" t="s">
        <v>1965</v>
      </c>
      <c r="D932" s="7" t="s">
        <v>1966</v>
      </c>
      <c r="E932" s="4" t="s">
        <v>1967</v>
      </c>
      <c r="F932" s="4" t="s">
        <v>6</v>
      </c>
      <c r="G932" s="8"/>
      <c r="H932" s="6" t="str">
        <f aca="false">IF(G932="","",G932/SUMIFS($G$2:$G$1462,$F$2:$F$1462,"Served"))</f>
        <v/>
      </c>
      <c r="I932" s="4" t="str">
        <f aca="false">IF(G932="","",RANK(G932,$G$2:$G$1462,0))</f>
        <v/>
      </c>
      <c r="J932" s="4" t="s">
        <v>34</v>
      </c>
    </row>
    <row r="933" customFormat="false" ht="15" hidden="false" customHeight="false" outlineLevel="0" collapsed="false">
      <c r="A933" s="4" t="s">
        <v>1968</v>
      </c>
      <c r="B933" s="4" t="s">
        <v>1964</v>
      </c>
      <c r="C933" s="4" t="s">
        <v>1965</v>
      </c>
      <c r="D933" s="7" t="s">
        <v>1969</v>
      </c>
      <c r="E933" s="4" t="s">
        <v>1967</v>
      </c>
      <c r="F933" s="4" t="s">
        <v>6</v>
      </c>
      <c r="G933" s="8"/>
      <c r="H933" s="6" t="str">
        <f aca="false">IF(G933="","",G933/SUMIFS($G$2:$G$1462,$F$2:$F$1462,"Served"))</f>
        <v/>
      </c>
      <c r="I933" s="4" t="str">
        <f aca="false">IF(G933="","",RANK(G933,$G$2:$G$1462,0))</f>
        <v/>
      </c>
      <c r="J933" s="4" t="s">
        <v>34</v>
      </c>
    </row>
    <row r="934" customFormat="false" ht="15" hidden="false" customHeight="false" outlineLevel="0" collapsed="false">
      <c r="A934" s="4" t="s">
        <v>1970</v>
      </c>
      <c r="B934" s="4" t="s">
        <v>1964</v>
      </c>
      <c r="C934" s="4" t="s">
        <v>1965</v>
      </c>
      <c r="D934" s="7" t="s">
        <v>1971</v>
      </c>
      <c r="E934" s="4" t="s">
        <v>1967</v>
      </c>
      <c r="F934" s="4" t="s">
        <v>6</v>
      </c>
      <c r="G934" s="8"/>
      <c r="H934" s="6" t="str">
        <f aca="false">IF(G934="","",G934/SUMIFS($G$2:$G$1462,$F$2:$F$1462,"Served"))</f>
        <v/>
      </c>
      <c r="I934" s="4" t="str">
        <f aca="false">IF(G934="","",RANK(G934,$G$2:$G$1462,0))</f>
        <v/>
      </c>
      <c r="J934" s="4" t="s">
        <v>34</v>
      </c>
    </row>
    <row r="935" customFormat="false" ht="15" hidden="false" customHeight="false" outlineLevel="0" collapsed="false">
      <c r="A935" s="4" t="s">
        <v>1972</v>
      </c>
      <c r="B935" s="4" t="s">
        <v>1964</v>
      </c>
      <c r="C935" s="4" t="s">
        <v>1965</v>
      </c>
      <c r="D935" s="7" t="s">
        <v>1973</v>
      </c>
      <c r="E935" s="4" t="s">
        <v>1967</v>
      </c>
      <c r="F935" s="4" t="s">
        <v>6</v>
      </c>
      <c r="G935" s="8"/>
      <c r="H935" s="6" t="str">
        <f aca="false">IF(G935="","",G935/SUMIFS($G$2:$G$1462,$F$2:$F$1462,"Served"))</f>
        <v/>
      </c>
      <c r="I935" s="4" t="str">
        <f aca="false">IF(G935="","",RANK(G935,$G$2:$G$1462,0))</f>
        <v/>
      </c>
      <c r="J935" s="4" t="s">
        <v>34</v>
      </c>
    </row>
    <row r="936" customFormat="false" ht="15" hidden="false" customHeight="false" outlineLevel="0" collapsed="false">
      <c r="A936" s="4" t="s">
        <v>1974</v>
      </c>
      <c r="B936" s="4" t="s">
        <v>1964</v>
      </c>
      <c r="C936" s="4" t="s">
        <v>1965</v>
      </c>
      <c r="D936" s="7" t="s">
        <v>1975</v>
      </c>
      <c r="E936" s="4" t="s">
        <v>1967</v>
      </c>
      <c r="F936" s="4" t="s">
        <v>6</v>
      </c>
      <c r="G936" s="8"/>
      <c r="H936" s="6" t="str">
        <f aca="false">IF(G936="","",G936/SUMIFS($G$2:$G$1462,$F$2:$F$1462,"Served"))</f>
        <v/>
      </c>
      <c r="I936" s="4" t="str">
        <f aca="false">IF(G936="","",RANK(G936,$G$2:$G$1462,0))</f>
        <v/>
      </c>
      <c r="J936" s="4" t="s">
        <v>34</v>
      </c>
    </row>
    <row r="937" customFormat="false" ht="15" hidden="false" customHeight="false" outlineLevel="0" collapsed="false">
      <c r="A937" s="4" t="s">
        <v>1976</v>
      </c>
      <c r="B937" s="4" t="s">
        <v>1964</v>
      </c>
      <c r="C937" s="4" t="s">
        <v>1965</v>
      </c>
      <c r="D937" s="7" t="s">
        <v>1977</v>
      </c>
      <c r="E937" s="4" t="s">
        <v>1967</v>
      </c>
      <c r="F937" s="4" t="s">
        <v>6</v>
      </c>
      <c r="G937" s="8"/>
      <c r="H937" s="6" t="str">
        <f aca="false">IF(G937="","",G937/SUMIFS($G$2:$G$1462,$F$2:$F$1462,"Served"))</f>
        <v/>
      </c>
      <c r="I937" s="4" t="str">
        <f aca="false">IF(G937="","",RANK(G937,$G$2:$G$1462,0))</f>
        <v/>
      </c>
      <c r="J937" s="4" t="s">
        <v>34</v>
      </c>
    </row>
    <row r="938" customFormat="false" ht="15" hidden="false" customHeight="false" outlineLevel="0" collapsed="false">
      <c r="A938" s="4" t="s">
        <v>1978</v>
      </c>
      <c r="B938" s="4" t="s">
        <v>1964</v>
      </c>
      <c r="C938" s="4" t="s">
        <v>1965</v>
      </c>
      <c r="D938" s="7" t="s">
        <v>1979</v>
      </c>
      <c r="E938" s="4" t="s">
        <v>1967</v>
      </c>
      <c r="F938" s="4" t="s">
        <v>6</v>
      </c>
      <c r="G938" s="8"/>
      <c r="H938" s="6" t="str">
        <f aca="false">IF(G938="","",G938/SUMIFS($G$2:$G$1462,$F$2:$F$1462,"Served"))</f>
        <v/>
      </c>
      <c r="I938" s="4" t="str">
        <f aca="false">IF(G938="","",RANK(G938,$G$2:$G$1462,0))</f>
        <v/>
      </c>
      <c r="J938" s="4" t="s">
        <v>34</v>
      </c>
    </row>
    <row r="939" customFormat="false" ht="15" hidden="false" customHeight="false" outlineLevel="0" collapsed="false">
      <c r="A939" s="4" t="s">
        <v>1980</v>
      </c>
      <c r="B939" s="4" t="s">
        <v>1964</v>
      </c>
      <c r="C939" s="4" t="s">
        <v>1965</v>
      </c>
      <c r="D939" s="7" t="s">
        <v>1981</v>
      </c>
      <c r="E939" s="4" t="s">
        <v>1967</v>
      </c>
      <c r="F939" s="4" t="s">
        <v>6</v>
      </c>
      <c r="G939" s="8"/>
      <c r="H939" s="6" t="str">
        <f aca="false">IF(G939="","",G939/SUMIFS($G$2:$G$1462,$F$2:$F$1462,"Served"))</f>
        <v/>
      </c>
      <c r="I939" s="4" t="str">
        <f aca="false">IF(G939="","",RANK(G939,$G$2:$G$1462,0))</f>
        <v/>
      </c>
      <c r="J939" s="4" t="s">
        <v>34</v>
      </c>
    </row>
    <row r="940" customFormat="false" ht="15" hidden="false" customHeight="false" outlineLevel="0" collapsed="false">
      <c r="A940" s="4" t="s">
        <v>1982</v>
      </c>
      <c r="B940" s="4" t="s">
        <v>1964</v>
      </c>
      <c r="C940" s="4" t="s">
        <v>1965</v>
      </c>
      <c r="D940" s="7" t="s">
        <v>1983</v>
      </c>
      <c r="E940" s="4" t="s">
        <v>1967</v>
      </c>
      <c r="F940" s="4" t="s">
        <v>6</v>
      </c>
      <c r="G940" s="8"/>
      <c r="H940" s="6" t="str">
        <f aca="false">IF(G940="","",G940/SUMIFS($G$2:$G$1462,$F$2:$F$1462,"Served"))</f>
        <v/>
      </c>
      <c r="I940" s="4" t="str">
        <f aca="false">IF(G940="","",RANK(G940,$G$2:$G$1462,0))</f>
        <v/>
      </c>
      <c r="J940" s="4" t="s">
        <v>34</v>
      </c>
    </row>
    <row r="941" customFormat="false" ht="15" hidden="false" customHeight="false" outlineLevel="0" collapsed="false">
      <c r="A941" s="4" t="s">
        <v>1984</v>
      </c>
      <c r="B941" s="4" t="s">
        <v>1964</v>
      </c>
      <c r="C941" s="4" t="s">
        <v>1965</v>
      </c>
      <c r="D941" s="7" t="s">
        <v>1985</v>
      </c>
      <c r="E941" s="4" t="s">
        <v>1967</v>
      </c>
      <c r="F941" s="4" t="s">
        <v>6</v>
      </c>
      <c r="G941" s="8"/>
      <c r="H941" s="6" t="str">
        <f aca="false">IF(G941="","",G941/SUMIFS($G$2:$G$1462,$F$2:$F$1462,"Served"))</f>
        <v/>
      </c>
      <c r="I941" s="4" t="str">
        <f aca="false">IF(G941="","",RANK(G941,$G$2:$G$1462,0))</f>
        <v/>
      </c>
      <c r="J941" s="4" t="s">
        <v>34</v>
      </c>
    </row>
    <row r="942" customFormat="false" ht="15" hidden="false" customHeight="false" outlineLevel="0" collapsed="false">
      <c r="A942" s="4" t="s">
        <v>1986</v>
      </c>
      <c r="B942" s="4" t="s">
        <v>1964</v>
      </c>
      <c r="C942" s="4" t="s">
        <v>1965</v>
      </c>
      <c r="D942" s="7" t="s">
        <v>1987</v>
      </c>
      <c r="E942" s="4" t="s">
        <v>1967</v>
      </c>
      <c r="F942" s="4" t="s">
        <v>6</v>
      </c>
      <c r="G942" s="8"/>
      <c r="H942" s="6" t="str">
        <f aca="false">IF(G942="","",G942/SUMIFS($G$2:$G$1462,$F$2:$F$1462,"Served"))</f>
        <v/>
      </c>
      <c r="I942" s="4" t="str">
        <f aca="false">IF(G942="","",RANK(G942,$G$2:$G$1462,0))</f>
        <v/>
      </c>
      <c r="J942" s="4" t="s">
        <v>34</v>
      </c>
    </row>
    <row r="943" customFormat="false" ht="15" hidden="false" customHeight="false" outlineLevel="0" collapsed="false">
      <c r="A943" s="4" t="s">
        <v>1988</v>
      </c>
      <c r="B943" s="4" t="s">
        <v>1964</v>
      </c>
      <c r="C943" s="4" t="s">
        <v>1965</v>
      </c>
      <c r="D943" s="7" t="s">
        <v>1989</v>
      </c>
      <c r="E943" s="4" t="s">
        <v>1967</v>
      </c>
      <c r="F943" s="4" t="s">
        <v>6</v>
      </c>
      <c r="G943" s="8"/>
      <c r="H943" s="6" t="str">
        <f aca="false">IF(G943="","",G943/SUMIFS($G$2:$G$1462,$F$2:$F$1462,"Served"))</f>
        <v/>
      </c>
      <c r="I943" s="4" t="str">
        <f aca="false">IF(G943="","",RANK(G943,$G$2:$G$1462,0))</f>
        <v/>
      </c>
      <c r="J943" s="4" t="s">
        <v>34</v>
      </c>
    </row>
    <row r="944" customFormat="false" ht="15" hidden="false" customHeight="false" outlineLevel="0" collapsed="false">
      <c r="A944" s="4" t="s">
        <v>1990</v>
      </c>
      <c r="B944" s="4" t="s">
        <v>1964</v>
      </c>
      <c r="C944" s="4" t="s">
        <v>1965</v>
      </c>
      <c r="D944" s="7" t="s">
        <v>1991</v>
      </c>
      <c r="E944" s="4" t="s">
        <v>1967</v>
      </c>
      <c r="F944" s="4" t="s">
        <v>6</v>
      </c>
      <c r="G944" s="8"/>
      <c r="H944" s="6" t="str">
        <f aca="false">IF(G944="","",G944/SUMIFS($G$2:$G$1462,$F$2:$F$1462,"Served"))</f>
        <v/>
      </c>
      <c r="I944" s="4" t="str">
        <f aca="false">IF(G944="","",RANK(G944,$G$2:$G$1462,0))</f>
        <v/>
      </c>
      <c r="J944" s="4" t="s">
        <v>34</v>
      </c>
    </row>
    <row r="945" customFormat="false" ht="15" hidden="false" customHeight="false" outlineLevel="0" collapsed="false">
      <c r="A945" s="4" t="s">
        <v>1992</v>
      </c>
      <c r="B945" s="4" t="s">
        <v>1964</v>
      </c>
      <c r="C945" s="4" t="s">
        <v>1965</v>
      </c>
      <c r="D945" s="7" t="s">
        <v>1993</v>
      </c>
      <c r="E945" s="4" t="s">
        <v>1967</v>
      </c>
      <c r="F945" s="4" t="s">
        <v>6</v>
      </c>
      <c r="G945" s="8"/>
      <c r="H945" s="6" t="str">
        <f aca="false">IF(G945="","",G945/SUMIFS($G$2:$G$1462,$F$2:$F$1462,"Served"))</f>
        <v/>
      </c>
      <c r="I945" s="4" t="str">
        <f aca="false">IF(G945="","",RANK(G945,$G$2:$G$1462,0))</f>
        <v/>
      </c>
      <c r="J945" s="4" t="s">
        <v>34</v>
      </c>
    </row>
    <row r="946" customFormat="false" ht="15" hidden="false" customHeight="false" outlineLevel="0" collapsed="false">
      <c r="A946" s="4" t="s">
        <v>1994</v>
      </c>
      <c r="B946" s="4" t="s">
        <v>1995</v>
      </c>
      <c r="C946" s="4" t="s">
        <v>1996</v>
      </c>
      <c r="D946" s="7" t="s">
        <v>1997</v>
      </c>
      <c r="E946" s="4" t="s">
        <v>1998</v>
      </c>
      <c r="F946" s="4" t="s">
        <v>6</v>
      </c>
      <c r="G946" s="8"/>
      <c r="H946" s="6" t="str">
        <f aca="false">IF(G946="","",G946/SUMIFS($G$2:$G$1462,$F$2:$F$1462,"Served"))</f>
        <v/>
      </c>
      <c r="I946" s="4" t="str">
        <f aca="false">IF(G946="","",RANK(G946,$G$2:$G$1462,0))</f>
        <v/>
      </c>
      <c r="J946" s="4" t="s">
        <v>34</v>
      </c>
    </row>
    <row r="947" customFormat="false" ht="15" hidden="false" customHeight="false" outlineLevel="0" collapsed="false">
      <c r="A947" s="4" t="s">
        <v>1999</v>
      </c>
      <c r="B947" s="4" t="s">
        <v>1995</v>
      </c>
      <c r="C947" s="4" t="s">
        <v>1996</v>
      </c>
      <c r="D947" s="7" t="s">
        <v>2000</v>
      </c>
      <c r="E947" s="4" t="s">
        <v>1998</v>
      </c>
      <c r="F947" s="4" t="s">
        <v>6</v>
      </c>
      <c r="G947" s="8"/>
      <c r="H947" s="6" t="str">
        <f aca="false">IF(G947="","",G947/SUMIFS($G$2:$G$1462,$F$2:$F$1462,"Served"))</f>
        <v/>
      </c>
      <c r="I947" s="4" t="str">
        <f aca="false">IF(G947="","",RANK(G947,$G$2:$G$1462,0))</f>
        <v/>
      </c>
      <c r="J947" s="4" t="s">
        <v>34</v>
      </c>
    </row>
    <row r="948" customFormat="false" ht="15" hidden="false" customHeight="false" outlineLevel="0" collapsed="false">
      <c r="A948" s="4" t="s">
        <v>2001</v>
      </c>
      <c r="B948" s="4" t="s">
        <v>1995</v>
      </c>
      <c r="C948" s="4" t="s">
        <v>1996</v>
      </c>
      <c r="D948" s="7" t="s">
        <v>2002</v>
      </c>
      <c r="E948" s="4" t="s">
        <v>1998</v>
      </c>
      <c r="F948" s="4" t="s">
        <v>6</v>
      </c>
      <c r="G948" s="8"/>
      <c r="H948" s="6" t="str">
        <f aca="false">IF(G948="","",G948/SUMIFS($G$2:$G$1462,$F$2:$F$1462,"Served"))</f>
        <v/>
      </c>
      <c r="I948" s="4" t="str">
        <f aca="false">IF(G948="","",RANK(G948,$G$2:$G$1462,0))</f>
        <v/>
      </c>
      <c r="J948" s="4" t="s">
        <v>34</v>
      </c>
    </row>
    <row r="949" customFormat="false" ht="15" hidden="false" customHeight="false" outlineLevel="0" collapsed="false">
      <c r="A949" s="4" t="s">
        <v>2003</v>
      </c>
      <c r="B949" s="4" t="s">
        <v>1995</v>
      </c>
      <c r="C949" s="4" t="s">
        <v>1996</v>
      </c>
      <c r="D949" s="7" t="s">
        <v>2004</v>
      </c>
      <c r="E949" s="4" t="s">
        <v>1998</v>
      </c>
      <c r="F949" s="4" t="s">
        <v>6</v>
      </c>
      <c r="G949" s="8"/>
      <c r="H949" s="6" t="str">
        <f aca="false">IF(G949="","",G949/SUMIFS($G$2:$G$1462,$F$2:$F$1462,"Served"))</f>
        <v/>
      </c>
      <c r="I949" s="4" t="str">
        <f aca="false">IF(G949="","",RANK(G949,$G$2:$G$1462,0))</f>
        <v/>
      </c>
      <c r="J949" s="4" t="s">
        <v>34</v>
      </c>
    </row>
    <row r="950" customFormat="false" ht="15" hidden="false" customHeight="false" outlineLevel="0" collapsed="false">
      <c r="A950" s="4" t="s">
        <v>2005</v>
      </c>
      <c r="B950" s="4" t="s">
        <v>2006</v>
      </c>
      <c r="C950" s="4" t="s">
        <v>2007</v>
      </c>
      <c r="D950" s="7" t="s">
        <v>2008</v>
      </c>
      <c r="E950" s="4" t="s">
        <v>2009</v>
      </c>
      <c r="F950" s="4" t="s">
        <v>5</v>
      </c>
      <c r="G950" s="8"/>
      <c r="H950" s="6" t="str">
        <f aca="false">IF(G950="","",G950/SUMIFS($G$2:$G$1462,$F$2:$F$1462,"Served"))</f>
        <v/>
      </c>
      <c r="I950" s="4" t="str">
        <f aca="false">IF(G950="","",RANK(G950,$G$2:$G$1462,0))</f>
        <v/>
      </c>
      <c r="J950" s="4" t="s">
        <v>34</v>
      </c>
    </row>
    <row r="951" customFormat="false" ht="15" hidden="false" customHeight="false" outlineLevel="0" collapsed="false">
      <c r="A951" s="4" t="s">
        <v>2010</v>
      </c>
      <c r="B951" s="4" t="s">
        <v>2006</v>
      </c>
      <c r="C951" s="4" t="s">
        <v>2007</v>
      </c>
      <c r="D951" s="7" t="s">
        <v>2011</v>
      </c>
      <c r="E951" s="4" t="s">
        <v>2009</v>
      </c>
      <c r="F951" s="4" t="s">
        <v>5</v>
      </c>
      <c r="G951" s="8"/>
      <c r="H951" s="6" t="str">
        <f aca="false">IF(G951="","",G951/SUMIFS($G$2:$G$1462,$F$2:$F$1462,"Served"))</f>
        <v/>
      </c>
      <c r="I951" s="4" t="str">
        <f aca="false">IF(G951="","",RANK(G951,$G$2:$G$1462,0))</f>
        <v/>
      </c>
      <c r="J951" s="4" t="s">
        <v>34</v>
      </c>
    </row>
    <row r="952" customFormat="false" ht="15" hidden="false" customHeight="false" outlineLevel="0" collapsed="false">
      <c r="A952" s="4" t="s">
        <v>2012</v>
      </c>
      <c r="B952" s="4" t="s">
        <v>2006</v>
      </c>
      <c r="C952" s="4" t="s">
        <v>2007</v>
      </c>
      <c r="D952" s="7" t="s">
        <v>2013</v>
      </c>
      <c r="E952" s="4" t="s">
        <v>2009</v>
      </c>
      <c r="F952" s="4" t="s">
        <v>5</v>
      </c>
      <c r="G952" s="8"/>
      <c r="H952" s="6" t="str">
        <f aca="false">IF(G952="","",G952/SUMIFS($G$2:$G$1462,$F$2:$F$1462,"Served"))</f>
        <v/>
      </c>
      <c r="I952" s="4" t="str">
        <f aca="false">IF(G952="","",RANK(G952,$G$2:$G$1462,0))</f>
        <v/>
      </c>
      <c r="J952" s="4" t="s">
        <v>34</v>
      </c>
    </row>
    <row r="953" customFormat="false" ht="15" hidden="false" customHeight="false" outlineLevel="0" collapsed="false">
      <c r="A953" s="4" t="s">
        <v>2014</v>
      </c>
      <c r="B953" s="4" t="s">
        <v>2006</v>
      </c>
      <c r="C953" s="4" t="s">
        <v>2007</v>
      </c>
      <c r="D953" s="7" t="s">
        <v>2015</v>
      </c>
      <c r="E953" s="4" t="s">
        <v>2009</v>
      </c>
      <c r="F953" s="4" t="s">
        <v>5</v>
      </c>
      <c r="G953" s="8"/>
      <c r="H953" s="6" t="str">
        <f aca="false">IF(G953="","",G953/SUMIFS($G$2:$G$1462,$F$2:$F$1462,"Served"))</f>
        <v/>
      </c>
      <c r="I953" s="4" t="str">
        <f aca="false">IF(G953="","",RANK(G953,$G$2:$G$1462,0))</f>
        <v/>
      </c>
      <c r="J953" s="4" t="s">
        <v>34</v>
      </c>
    </row>
    <row r="954" customFormat="false" ht="15" hidden="false" customHeight="false" outlineLevel="0" collapsed="false">
      <c r="A954" s="4" t="s">
        <v>2016</v>
      </c>
      <c r="B954" s="4" t="s">
        <v>2006</v>
      </c>
      <c r="C954" s="4" t="s">
        <v>2007</v>
      </c>
      <c r="D954" s="7" t="s">
        <v>2017</v>
      </c>
      <c r="E954" s="4" t="s">
        <v>2009</v>
      </c>
      <c r="F954" s="4" t="s">
        <v>5</v>
      </c>
      <c r="G954" s="8"/>
      <c r="H954" s="6" t="str">
        <f aca="false">IF(G954="","",G954/SUMIFS($G$2:$G$1462,$F$2:$F$1462,"Served"))</f>
        <v/>
      </c>
      <c r="I954" s="4" t="str">
        <f aca="false">IF(G954="","",RANK(G954,$G$2:$G$1462,0))</f>
        <v/>
      </c>
      <c r="J954" s="4" t="s">
        <v>34</v>
      </c>
    </row>
    <row r="955" customFormat="false" ht="15" hidden="false" customHeight="false" outlineLevel="0" collapsed="false">
      <c r="A955" s="4" t="s">
        <v>2018</v>
      </c>
      <c r="B955" s="4" t="s">
        <v>2006</v>
      </c>
      <c r="C955" s="4" t="s">
        <v>2007</v>
      </c>
      <c r="D955" s="7" t="s">
        <v>2019</v>
      </c>
      <c r="E955" s="4" t="s">
        <v>2009</v>
      </c>
      <c r="F955" s="4" t="s">
        <v>5</v>
      </c>
      <c r="G955" s="8"/>
      <c r="H955" s="6" t="str">
        <f aca="false">IF(G955="","",G955/SUMIFS($G$2:$G$1462,$F$2:$F$1462,"Served"))</f>
        <v/>
      </c>
      <c r="I955" s="4" t="str">
        <f aca="false">IF(G955="","",RANK(G955,$G$2:$G$1462,0))</f>
        <v/>
      </c>
      <c r="J955" s="4" t="s">
        <v>34</v>
      </c>
    </row>
    <row r="956" customFormat="false" ht="15" hidden="false" customHeight="false" outlineLevel="0" collapsed="false">
      <c r="A956" s="4" t="s">
        <v>2020</v>
      </c>
      <c r="B956" s="4" t="s">
        <v>2021</v>
      </c>
      <c r="C956" s="4" t="s">
        <v>2022</v>
      </c>
      <c r="D956" s="7" t="s">
        <v>2023</v>
      </c>
      <c r="E956" s="4" t="s">
        <v>2024</v>
      </c>
      <c r="F956" s="4" t="s">
        <v>6</v>
      </c>
      <c r="G956" s="8"/>
      <c r="H956" s="6" t="str">
        <f aca="false">IF(G956="","",G956/SUMIFS($G$2:$G$1462,$F$2:$F$1462,"Served"))</f>
        <v/>
      </c>
      <c r="I956" s="4" t="str">
        <f aca="false">IF(G956="","",RANK(G956,$G$2:$G$1462,0))</f>
        <v/>
      </c>
      <c r="J956" s="4" t="s">
        <v>34</v>
      </c>
    </row>
    <row r="957" customFormat="false" ht="15" hidden="false" customHeight="false" outlineLevel="0" collapsed="false">
      <c r="A957" s="4" t="s">
        <v>2025</v>
      </c>
      <c r="B957" s="4" t="s">
        <v>2021</v>
      </c>
      <c r="C957" s="4" t="s">
        <v>2022</v>
      </c>
      <c r="D957" s="7" t="s">
        <v>2026</v>
      </c>
      <c r="E957" s="4" t="s">
        <v>2024</v>
      </c>
      <c r="F957" s="4" t="s">
        <v>6</v>
      </c>
      <c r="G957" s="8"/>
      <c r="H957" s="6" t="str">
        <f aca="false">IF(G957="","",G957/SUMIFS($G$2:$G$1462,$F$2:$F$1462,"Served"))</f>
        <v/>
      </c>
      <c r="I957" s="4" t="str">
        <f aca="false">IF(G957="","",RANK(G957,$G$2:$G$1462,0))</f>
        <v/>
      </c>
      <c r="J957" s="4" t="s">
        <v>34</v>
      </c>
    </row>
    <row r="958" customFormat="false" ht="15" hidden="false" customHeight="false" outlineLevel="0" collapsed="false">
      <c r="A958" s="4" t="s">
        <v>2027</v>
      </c>
      <c r="B958" s="4" t="s">
        <v>2021</v>
      </c>
      <c r="C958" s="4" t="s">
        <v>2022</v>
      </c>
      <c r="D958" s="7" t="s">
        <v>2028</v>
      </c>
      <c r="E958" s="4" t="s">
        <v>2024</v>
      </c>
      <c r="F958" s="4" t="s">
        <v>6</v>
      </c>
      <c r="G958" s="8"/>
      <c r="H958" s="6" t="str">
        <f aca="false">IF(G958="","",G958/SUMIFS($G$2:$G$1462,$F$2:$F$1462,"Served"))</f>
        <v/>
      </c>
      <c r="I958" s="4" t="str">
        <f aca="false">IF(G958="","",RANK(G958,$G$2:$G$1462,0))</f>
        <v/>
      </c>
      <c r="J958" s="4" t="s">
        <v>34</v>
      </c>
    </row>
    <row r="959" customFormat="false" ht="15" hidden="false" customHeight="false" outlineLevel="0" collapsed="false">
      <c r="A959" s="4" t="s">
        <v>2029</v>
      </c>
      <c r="B959" s="4" t="s">
        <v>2021</v>
      </c>
      <c r="C959" s="4" t="s">
        <v>2022</v>
      </c>
      <c r="D959" s="7" t="s">
        <v>2030</v>
      </c>
      <c r="E959" s="4" t="s">
        <v>2024</v>
      </c>
      <c r="F959" s="4" t="s">
        <v>6</v>
      </c>
      <c r="G959" s="8"/>
      <c r="H959" s="6" t="str">
        <f aca="false">IF(G959="","",G959/SUMIFS($G$2:$G$1462,$F$2:$F$1462,"Served"))</f>
        <v/>
      </c>
      <c r="I959" s="4" t="str">
        <f aca="false">IF(G959="","",RANK(G959,$G$2:$G$1462,0))</f>
        <v/>
      </c>
      <c r="J959" s="4" t="s">
        <v>34</v>
      </c>
    </row>
    <row r="960" customFormat="false" ht="15" hidden="false" customHeight="false" outlineLevel="0" collapsed="false">
      <c r="A960" s="4" t="s">
        <v>2031</v>
      </c>
      <c r="B960" s="4" t="s">
        <v>2021</v>
      </c>
      <c r="C960" s="4" t="s">
        <v>2022</v>
      </c>
      <c r="D960" s="7" t="s">
        <v>2032</v>
      </c>
      <c r="E960" s="4" t="s">
        <v>2024</v>
      </c>
      <c r="F960" s="4" t="s">
        <v>6</v>
      </c>
      <c r="G960" s="8"/>
      <c r="H960" s="6" t="str">
        <f aca="false">IF(G960="","",G960/SUMIFS($G$2:$G$1462,$F$2:$F$1462,"Served"))</f>
        <v/>
      </c>
      <c r="I960" s="4" t="str">
        <f aca="false">IF(G960="","",RANK(G960,$G$2:$G$1462,0))</f>
        <v/>
      </c>
      <c r="J960" s="4" t="s">
        <v>34</v>
      </c>
    </row>
    <row r="961" customFormat="false" ht="15" hidden="false" customHeight="false" outlineLevel="0" collapsed="false">
      <c r="A961" s="4" t="s">
        <v>2033</v>
      </c>
      <c r="B961" s="4" t="s">
        <v>2021</v>
      </c>
      <c r="C961" s="4" t="s">
        <v>2022</v>
      </c>
      <c r="D961" s="7" t="s">
        <v>2034</v>
      </c>
      <c r="E961" s="4" t="s">
        <v>2024</v>
      </c>
      <c r="F961" s="4" t="s">
        <v>6</v>
      </c>
      <c r="G961" s="8"/>
      <c r="H961" s="6" t="str">
        <f aca="false">IF(G961="","",G961/SUMIFS($G$2:$G$1462,$F$2:$F$1462,"Served"))</f>
        <v/>
      </c>
      <c r="I961" s="4" t="str">
        <f aca="false">IF(G961="","",RANK(G961,$G$2:$G$1462,0))</f>
        <v/>
      </c>
      <c r="J961" s="4" t="s">
        <v>34</v>
      </c>
    </row>
    <row r="962" customFormat="false" ht="15" hidden="false" customHeight="false" outlineLevel="0" collapsed="false">
      <c r="A962" s="4" t="s">
        <v>2035</v>
      </c>
      <c r="B962" s="4" t="s">
        <v>2021</v>
      </c>
      <c r="C962" s="4" t="s">
        <v>2022</v>
      </c>
      <c r="D962" s="7" t="s">
        <v>2036</v>
      </c>
      <c r="E962" s="4" t="s">
        <v>2024</v>
      </c>
      <c r="F962" s="4" t="s">
        <v>6</v>
      </c>
      <c r="G962" s="8"/>
      <c r="H962" s="6" t="str">
        <f aca="false">IF(G962="","",G962/SUMIFS($G$2:$G$1462,$F$2:$F$1462,"Served"))</f>
        <v/>
      </c>
      <c r="I962" s="4" t="str">
        <f aca="false">IF(G962="","",RANK(G962,$G$2:$G$1462,0))</f>
        <v/>
      </c>
      <c r="J962" s="4" t="s">
        <v>34</v>
      </c>
    </row>
    <row r="963" customFormat="false" ht="15" hidden="false" customHeight="false" outlineLevel="0" collapsed="false">
      <c r="A963" s="4" t="s">
        <v>2037</v>
      </c>
      <c r="B963" s="4" t="s">
        <v>2021</v>
      </c>
      <c r="C963" s="4" t="s">
        <v>2022</v>
      </c>
      <c r="D963" s="7" t="s">
        <v>2038</v>
      </c>
      <c r="E963" s="4" t="s">
        <v>2024</v>
      </c>
      <c r="F963" s="4" t="s">
        <v>6</v>
      </c>
      <c r="G963" s="8"/>
      <c r="H963" s="6" t="str">
        <f aca="false">IF(G963="","",G963/SUMIFS($G$2:$G$1462,$F$2:$F$1462,"Served"))</f>
        <v/>
      </c>
      <c r="I963" s="4" t="str">
        <f aca="false">IF(G963="","",RANK(G963,$G$2:$G$1462,0))</f>
        <v/>
      </c>
      <c r="J963" s="4" t="s">
        <v>34</v>
      </c>
    </row>
    <row r="964" customFormat="false" ht="15" hidden="false" customHeight="false" outlineLevel="0" collapsed="false">
      <c r="A964" s="4" t="s">
        <v>2039</v>
      </c>
      <c r="B964" s="4" t="s">
        <v>2021</v>
      </c>
      <c r="C964" s="4" t="s">
        <v>2022</v>
      </c>
      <c r="D964" s="7" t="s">
        <v>2040</v>
      </c>
      <c r="E964" s="4" t="s">
        <v>2024</v>
      </c>
      <c r="F964" s="4" t="s">
        <v>6</v>
      </c>
      <c r="G964" s="8"/>
      <c r="H964" s="6" t="str">
        <f aca="false">IF(G964="","",G964/SUMIFS($G$2:$G$1462,$F$2:$F$1462,"Served"))</f>
        <v/>
      </c>
      <c r="I964" s="4" t="str">
        <f aca="false">IF(G964="","",RANK(G964,$G$2:$G$1462,0))</f>
        <v/>
      </c>
      <c r="J964" s="4" t="s">
        <v>34</v>
      </c>
    </row>
    <row r="965" customFormat="false" ht="15" hidden="false" customHeight="false" outlineLevel="0" collapsed="false">
      <c r="A965" s="4" t="s">
        <v>2041</v>
      </c>
      <c r="B965" s="4" t="s">
        <v>2021</v>
      </c>
      <c r="C965" s="4" t="s">
        <v>2022</v>
      </c>
      <c r="D965" s="7" t="s">
        <v>2042</v>
      </c>
      <c r="E965" s="4" t="s">
        <v>2024</v>
      </c>
      <c r="F965" s="4" t="s">
        <v>6</v>
      </c>
      <c r="G965" s="8"/>
      <c r="H965" s="6" t="str">
        <f aca="false">IF(G965="","",G965/SUMIFS($G$2:$G$1462,$F$2:$F$1462,"Served"))</f>
        <v/>
      </c>
      <c r="I965" s="4" t="str">
        <f aca="false">IF(G965="","",RANK(G965,$G$2:$G$1462,0))</f>
        <v/>
      </c>
      <c r="J965" s="4" t="s">
        <v>34</v>
      </c>
    </row>
    <row r="966" customFormat="false" ht="15" hidden="false" customHeight="false" outlineLevel="0" collapsed="false">
      <c r="A966" s="4" t="s">
        <v>2043</v>
      </c>
      <c r="B966" s="4" t="s">
        <v>2021</v>
      </c>
      <c r="C966" s="4" t="s">
        <v>2022</v>
      </c>
      <c r="D966" s="7" t="s">
        <v>2044</v>
      </c>
      <c r="E966" s="4" t="s">
        <v>2024</v>
      </c>
      <c r="F966" s="4" t="s">
        <v>6</v>
      </c>
      <c r="G966" s="8"/>
      <c r="H966" s="6" t="str">
        <f aca="false">IF(G966="","",G966/SUMIFS($G$2:$G$1462,$F$2:$F$1462,"Served"))</f>
        <v/>
      </c>
      <c r="I966" s="4" t="str">
        <f aca="false">IF(G966="","",RANK(G966,$G$2:$G$1462,0))</f>
        <v/>
      </c>
      <c r="J966" s="4" t="s">
        <v>34</v>
      </c>
    </row>
    <row r="967" customFormat="false" ht="15" hidden="false" customHeight="false" outlineLevel="0" collapsed="false">
      <c r="A967" s="4" t="s">
        <v>2045</v>
      </c>
      <c r="B967" s="4" t="s">
        <v>2021</v>
      </c>
      <c r="C967" s="4" t="s">
        <v>2022</v>
      </c>
      <c r="D967" s="7" t="s">
        <v>2046</v>
      </c>
      <c r="E967" s="4" t="s">
        <v>2024</v>
      </c>
      <c r="F967" s="4" t="s">
        <v>6</v>
      </c>
      <c r="G967" s="8"/>
      <c r="H967" s="6" t="str">
        <f aca="false">IF(G967="","",G967/SUMIFS($G$2:$G$1462,$F$2:$F$1462,"Served"))</f>
        <v/>
      </c>
      <c r="I967" s="4" t="str">
        <f aca="false">IF(G967="","",RANK(G967,$G$2:$G$1462,0))</f>
        <v/>
      </c>
      <c r="J967" s="4" t="s">
        <v>34</v>
      </c>
    </row>
    <row r="968" customFormat="false" ht="15" hidden="false" customHeight="false" outlineLevel="0" collapsed="false">
      <c r="A968" s="4" t="s">
        <v>2047</v>
      </c>
      <c r="B968" s="4" t="s">
        <v>2021</v>
      </c>
      <c r="C968" s="4" t="s">
        <v>2022</v>
      </c>
      <c r="D968" s="7" t="s">
        <v>2048</v>
      </c>
      <c r="E968" s="4" t="s">
        <v>2024</v>
      </c>
      <c r="F968" s="4" t="s">
        <v>6</v>
      </c>
      <c r="G968" s="8"/>
      <c r="H968" s="6" t="str">
        <f aca="false">IF(G968="","",G968/SUMIFS($G$2:$G$1462,$F$2:$F$1462,"Served"))</f>
        <v/>
      </c>
      <c r="I968" s="4" t="str">
        <f aca="false">IF(G968="","",RANK(G968,$G$2:$G$1462,0))</f>
        <v/>
      </c>
      <c r="J968" s="4" t="s">
        <v>34</v>
      </c>
    </row>
    <row r="969" customFormat="false" ht="15" hidden="false" customHeight="false" outlineLevel="0" collapsed="false">
      <c r="A969" s="4" t="s">
        <v>2049</v>
      </c>
      <c r="B969" s="4" t="s">
        <v>2021</v>
      </c>
      <c r="C969" s="4" t="s">
        <v>2022</v>
      </c>
      <c r="D969" s="7" t="s">
        <v>2050</v>
      </c>
      <c r="E969" s="4" t="s">
        <v>2024</v>
      </c>
      <c r="F969" s="4" t="s">
        <v>6</v>
      </c>
      <c r="G969" s="8"/>
      <c r="H969" s="6" t="str">
        <f aca="false">IF(G969="","",G969/SUMIFS($G$2:$G$1462,$F$2:$F$1462,"Served"))</f>
        <v/>
      </c>
      <c r="I969" s="4" t="str">
        <f aca="false">IF(G969="","",RANK(G969,$G$2:$G$1462,0))</f>
        <v/>
      </c>
      <c r="J969" s="4" t="s">
        <v>34</v>
      </c>
    </row>
    <row r="970" customFormat="false" ht="15" hidden="false" customHeight="false" outlineLevel="0" collapsed="false">
      <c r="A970" s="4" t="s">
        <v>2051</v>
      </c>
      <c r="B970" s="4" t="s">
        <v>2021</v>
      </c>
      <c r="C970" s="4" t="s">
        <v>2022</v>
      </c>
      <c r="D970" s="7" t="s">
        <v>2052</v>
      </c>
      <c r="E970" s="4" t="s">
        <v>2024</v>
      </c>
      <c r="F970" s="4" t="s">
        <v>6</v>
      </c>
      <c r="G970" s="8"/>
      <c r="H970" s="6" t="str">
        <f aca="false">IF(G970="","",G970/SUMIFS($G$2:$G$1462,$F$2:$F$1462,"Served"))</f>
        <v/>
      </c>
      <c r="I970" s="4" t="str">
        <f aca="false">IF(G970="","",RANK(G970,$G$2:$G$1462,0))</f>
        <v/>
      </c>
      <c r="J970" s="4" t="s">
        <v>34</v>
      </c>
    </row>
    <row r="971" customFormat="false" ht="15" hidden="false" customHeight="false" outlineLevel="0" collapsed="false">
      <c r="A971" s="4" t="s">
        <v>2053</v>
      </c>
      <c r="B971" s="4" t="s">
        <v>2021</v>
      </c>
      <c r="C971" s="4" t="s">
        <v>2022</v>
      </c>
      <c r="D971" s="7" t="s">
        <v>2054</v>
      </c>
      <c r="E971" s="4" t="s">
        <v>2024</v>
      </c>
      <c r="F971" s="4" t="s">
        <v>6</v>
      </c>
      <c r="G971" s="8"/>
      <c r="H971" s="6" t="str">
        <f aca="false">IF(G971="","",G971/SUMIFS($G$2:$G$1462,$F$2:$F$1462,"Served"))</f>
        <v/>
      </c>
      <c r="I971" s="4" t="str">
        <f aca="false">IF(G971="","",RANK(G971,$G$2:$G$1462,0))</f>
        <v/>
      </c>
      <c r="J971" s="4" t="s">
        <v>34</v>
      </c>
    </row>
    <row r="972" customFormat="false" ht="15" hidden="false" customHeight="false" outlineLevel="0" collapsed="false">
      <c r="A972" s="4" t="s">
        <v>2055</v>
      </c>
      <c r="B972" s="4" t="s">
        <v>2021</v>
      </c>
      <c r="C972" s="4" t="s">
        <v>2022</v>
      </c>
      <c r="D972" s="7" t="s">
        <v>2056</v>
      </c>
      <c r="E972" s="4" t="s">
        <v>2024</v>
      </c>
      <c r="F972" s="4" t="s">
        <v>6</v>
      </c>
      <c r="G972" s="8"/>
      <c r="H972" s="6" t="str">
        <f aca="false">IF(G972="","",G972/SUMIFS($G$2:$G$1462,$F$2:$F$1462,"Served"))</f>
        <v/>
      </c>
      <c r="I972" s="4" t="str">
        <f aca="false">IF(G972="","",RANK(G972,$G$2:$G$1462,0))</f>
        <v/>
      </c>
      <c r="J972" s="4" t="s">
        <v>34</v>
      </c>
    </row>
    <row r="973" customFormat="false" ht="15" hidden="false" customHeight="false" outlineLevel="0" collapsed="false">
      <c r="A973" s="4" t="s">
        <v>2057</v>
      </c>
      <c r="B973" s="4" t="s">
        <v>2021</v>
      </c>
      <c r="C973" s="4" t="s">
        <v>2022</v>
      </c>
      <c r="D973" s="7" t="s">
        <v>2058</v>
      </c>
      <c r="E973" s="4" t="s">
        <v>2024</v>
      </c>
      <c r="F973" s="4" t="s">
        <v>6</v>
      </c>
      <c r="G973" s="8"/>
      <c r="H973" s="6" t="str">
        <f aca="false">IF(G973="","",G973/SUMIFS($G$2:$G$1462,$F$2:$F$1462,"Served"))</f>
        <v/>
      </c>
      <c r="I973" s="4" t="str">
        <f aca="false">IF(G973="","",RANK(G973,$G$2:$G$1462,0))</f>
        <v/>
      </c>
      <c r="J973" s="4" t="s">
        <v>34</v>
      </c>
    </row>
    <row r="974" customFormat="false" ht="15" hidden="false" customHeight="false" outlineLevel="0" collapsed="false">
      <c r="A974" s="4" t="s">
        <v>2059</v>
      </c>
      <c r="B974" s="4" t="s">
        <v>2021</v>
      </c>
      <c r="C974" s="4" t="s">
        <v>2022</v>
      </c>
      <c r="D974" s="7" t="s">
        <v>2060</v>
      </c>
      <c r="E974" s="4" t="s">
        <v>2024</v>
      </c>
      <c r="F974" s="4" t="s">
        <v>6</v>
      </c>
      <c r="G974" s="8"/>
      <c r="H974" s="6" t="str">
        <f aca="false">IF(G974="","",G974/SUMIFS($G$2:$G$1462,$F$2:$F$1462,"Served"))</f>
        <v/>
      </c>
      <c r="I974" s="4" t="str">
        <f aca="false">IF(G974="","",RANK(G974,$G$2:$G$1462,0))</f>
        <v/>
      </c>
      <c r="J974" s="4" t="s">
        <v>34</v>
      </c>
    </row>
    <row r="975" customFormat="false" ht="15" hidden="false" customHeight="false" outlineLevel="0" collapsed="false">
      <c r="A975" s="4" t="s">
        <v>2061</v>
      </c>
      <c r="B975" s="4" t="s">
        <v>2021</v>
      </c>
      <c r="C975" s="4" t="s">
        <v>2022</v>
      </c>
      <c r="D975" s="7" t="s">
        <v>2062</v>
      </c>
      <c r="E975" s="4" t="s">
        <v>2024</v>
      </c>
      <c r="F975" s="4" t="s">
        <v>6</v>
      </c>
      <c r="G975" s="8"/>
      <c r="H975" s="6" t="str">
        <f aca="false">IF(G975="","",G975/SUMIFS($G$2:$G$1462,$F$2:$F$1462,"Served"))</f>
        <v/>
      </c>
      <c r="I975" s="4" t="str">
        <f aca="false">IF(G975="","",RANK(G975,$G$2:$G$1462,0))</f>
        <v/>
      </c>
      <c r="J975" s="4" t="s">
        <v>34</v>
      </c>
    </row>
    <row r="976" customFormat="false" ht="15" hidden="false" customHeight="false" outlineLevel="0" collapsed="false">
      <c r="A976" s="4" t="s">
        <v>2063</v>
      </c>
      <c r="B976" s="4" t="s">
        <v>2021</v>
      </c>
      <c r="C976" s="4" t="s">
        <v>2022</v>
      </c>
      <c r="D976" s="7" t="s">
        <v>2064</v>
      </c>
      <c r="E976" s="4" t="s">
        <v>2024</v>
      </c>
      <c r="F976" s="4" t="s">
        <v>6</v>
      </c>
      <c r="G976" s="8"/>
      <c r="H976" s="6" t="str">
        <f aca="false">IF(G976="","",G976/SUMIFS($G$2:$G$1462,$F$2:$F$1462,"Served"))</f>
        <v/>
      </c>
      <c r="I976" s="4" t="str">
        <f aca="false">IF(G976="","",RANK(G976,$G$2:$G$1462,0))</f>
        <v/>
      </c>
      <c r="J976" s="4" t="s">
        <v>34</v>
      </c>
    </row>
    <row r="977" customFormat="false" ht="15" hidden="false" customHeight="false" outlineLevel="0" collapsed="false">
      <c r="A977" s="4" t="s">
        <v>2065</v>
      </c>
      <c r="B977" s="4" t="s">
        <v>2021</v>
      </c>
      <c r="C977" s="4" t="s">
        <v>2022</v>
      </c>
      <c r="D977" s="7" t="s">
        <v>2066</v>
      </c>
      <c r="E977" s="4" t="s">
        <v>2024</v>
      </c>
      <c r="F977" s="4" t="s">
        <v>6</v>
      </c>
      <c r="G977" s="8"/>
      <c r="H977" s="6" t="str">
        <f aca="false">IF(G977="","",G977/SUMIFS($G$2:$G$1462,$F$2:$F$1462,"Served"))</f>
        <v/>
      </c>
      <c r="I977" s="4" t="str">
        <f aca="false">IF(G977="","",RANK(G977,$G$2:$G$1462,0))</f>
        <v/>
      </c>
      <c r="J977" s="4" t="s">
        <v>34</v>
      </c>
    </row>
    <row r="978" customFormat="false" ht="15" hidden="false" customHeight="false" outlineLevel="0" collapsed="false">
      <c r="A978" s="4" t="s">
        <v>2067</v>
      </c>
      <c r="B978" s="4" t="s">
        <v>2021</v>
      </c>
      <c r="C978" s="4" t="s">
        <v>2022</v>
      </c>
      <c r="D978" s="7" t="s">
        <v>2068</v>
      </c>
      <c r="E978" s="4" t="s">
        <v>2024</v>
      </c>
      <c r="F978" s="4" t="s">
        <v>6</v>
      </c>
      <c r="G978" s="8"/>
      <c r="H978" s="6" t="str">
        <f aca="false">IF(G978="","",G978/SUMIFS($G$2:$G$1462,$F$2:$F$1462,"Served"))</f>
        <v/>
      </c>
      <c r="I978" s="4" t="str">
        <f aca="false">IF(G978="","",RANK(G978,$G$2:$G$1462,0))</f>
        <v/>
      </c>
      <c r="J978" s="4" t="s">
        <v>34</v>
      </c>
    </row>
    <row r="979" customFormat="false" ht="15" hidden="false" customHeight="false" outlineLevel="0" collapsed="false">
      <c r="A979" s="4" t="s">
        <v>2069</v>
      </c>
      <c r="B979" s="4" t="s">
        <v>2021</v>
      </c>
      <c r="C979" s="4" t="s">
        <v>2022</v>
      </c>
      <c r="D979" s="7" t="s">
        <v>2070</v>
      </c>
      <c r="E979" s="4" t="s">
        <v>2024</v>
      </c>
      <c r="F979" s="4" t="s">
        <v>6</v>
      </c>
      <c r="G979" s="8"/>
      <c r="H979" s="6" t="str">
        <f aca="false">IF(G979="","",G979/SUMIFS($G$2:$G$1462,$F$2:$F$1462,"Served"))</f>
        <v/>
      </c>
      <c r="I979" s="4" t="str">
        <f aca="false">IF(G979="","",RANK(G979,$G$2:$G$1462,0))</f>
        <v/>
      </c>
      <c r="J979" s="4" t="s">
        <v>34</v>
      </c>
    </row>
    <row r="980" customFormat="false" ht="15" hidden="false" customHeight="false" outlineLevel="0" collapsed="false">
      <c r="A980" s="4" t="s">
        <v>2071</v>
      </c>
      <c r="B980" s="4" t="s">
        <v>2021</v>
      </c>
      <c r="C980" s="4" t="s">
        <v>2022</v>
      </c>
      <c r="D980" s="7" t="s">
        <v>2072</v>
      </c>
      <c r="E980" s="4" t="s">
        <v>2024</v>
      </c>
      <c r="F980" s="4" t="s">
        <v>6</v>
      </c>
      <c r="G980" s="8"/>
      <c r="H980" s="6" t="str">
        <f aca="false">IF(G980="","",G980/SUMIFS($G$2:$G$1462,$F$2:$F$1462,"Served"))</f>
        <v/>
      </c>
      <c r="I980" s="4" t="str">
        <f aca="false">IF(G980="","",RANK(G980,$G$2:$G$1462,0))</f>
        <v/>
      </c>
      <c r="J980" s="4" t="s">
        <v>34</v>
      </c>
    </row>
    <row r="981" customFormat="false" ht="15" hidden="false" customHeight="false" outlineLevel="0" collapsed="false">
      <c r="A981" s="4" t="s">
        <v>2073</v>
      </c>
      <c r="B981" s="4" t="s">
        <v>2021</v>
      </c>
      <c r="C981" s="4" t="s">
        <v>2022</v>
      </c>
      <c r="D981" s="7" t="s">
        <v>2074</v>
      </c>
      <c r="E981" s="4" t="s">
        <v>2024</v>
      </c>
      <c r="F981" s="4" t="s">
        <v>6</v>
      </c>
      <c r="G981" s="8"/>
      <c r="H981" s="6" t="str">
        <f aca="false">IF(G981="","",G981/SUMIFS($G$2:$G$1462,$F$2:$F$1462,"Served"))</f>
        <v/>
      </c>
      <c r="I981" s="4" t="str">
        <f aca="false">IF(G981="","",RANK(G981,$G$2:$G$1462,0))</f>
        <v/>
      </c>
      <c r="J981" s="4" t="s">
        <v>34</v>
      </c>
    </row>
    <row r="982" customFormat="false" ht="15" hidden="false" customHeight="false" outlineLevel="0" collapsed="false">
      <c r="A982" s="4" t="s">
        <v>2075</v>
      </c>
      <c r="B982" s="4" t="s">
        <v>2021</v>
      </c>
      <c r="C982" s="4" t="s">
        <v>2022</v>
      </c>
      <c r="D982" s="7" t="s">
        <v>2076</v>
      </c>
      <c r="E982" s="4" t="s">
        <v>2024</v>
      </c>
      <c r="F982" s="4" t="s">
        <v>6</v>
      </c>
      <c r="G982" s="8"/>
      <c r="H982" s="6" t="str">
        <f aca="false">IF(G982="","",G982/SUMIFS($G$2:$G$1462,$F$2:$F$1462,"Served"))</f>
        <v/>
      </c>
      <c r="I982" s="4" t="str">
        <f aca="false">IF(G982="","",RANK(G982,$G$2:$G$1462,0))</f>
        <v/>
      </c>
      <c r="J982" s="4" t="s">
        <v>34</v>
      </c>
    </row>
    <row r="983" customFormat="false" ht="15" hidden="false" customHeight="false" outlineLevel="0" collapsed="false">
      <c r="A983" s="4" t="s">
        <v>2077</v>
      </c>
      <c r="B983" s="4" t="s">
        <v>2021</v>
      </c>
      <c r="C983" s="4" t="s">
        <v>2022</v>
      </c>
      <c r="D983" s="7" t="s">
        <v>2078</v>
      </c>
      <c r="E983" s="4" t="s">
        <v>2024</v>
      </c>
      <c r="F983" s="4" t="s">
        <v>6</v>
      </c>
      <c r="G983" s="8"/>
      <c r="H983" s="6" t="str">
        <f aca="false">IF(G983="","",G983/SUMIFS($G$2:$G$1462,$F$2:$F$1462,"Served"))</f>
        <v/>
      </c>
      <c r="I983" s="4" t="str">
        <f aca="false">IF(G983="","",RANK(G983,$G$2:$G$1462,0))</f>
        <v/>
      </c>
      <c r="J983" s="4" t="s">
        <v>34</v>
      </c>
    </row>
    <row r="984" customFormat="false" ht="15" hidden="false" customHeight="false" outlineLevel="0" collapsed="false">
      <c r="A984" s="4" t="s">
        <v>2079</v>
      </c>
      <c r="B984" s="4" t="s">
        <v>2021</v>
      </c>
      <c r="C984" s="4" t="s">
        <v>2022</v>
      </c>
      <c r="D984" s="7" t="s">
        <v>2080</v>
      </c>
      <c r="E984" s="4" t="s">
        <v>2024</v>
      </c>
      <c r="F984" s="4" t="s">
        <v>6</v>
      </c>
      <c r="G984" s="8"/>
      <c r="H984" s="6" t="str">
        <f aca="false">IF(G984="","",G984/SUMIFS($G$2:$G$1462,$F$2:$F$1462,"Served"))</f>
        <v/>
      </c>
      <c r="I984" s="4" t="str">
        <f aca="false">IF(G984="","",RANK(G984,$G$2:$G$1462,0))</f>
        <v/>
      </c>
      <c r="J984" s="4" t="s">
        <v>34</v>
      </c>
    </row>
    <row r="985" customFormat="false" ht="15" hidden="false" customHeight="false" outlineLevel="0" collapsed="false">
      <c r="A985" s="4" t="s">
        <v>2081</v>
      </c>
      <c r="B985" s="4" t="s">
        <v>2021</v>
      </c>
      <c r="C985" s="4" t="s">
        <v>2022</v>
      </c>
      <c r="D985" s="7" t="s">
        <v>2082</v>
      </c>
      <c r="E985" s="4" t="s">
        <v>2024</v>
      </c>
      <c r="F985" s="4" t="s">
        <v>6</v>
      </c>
      <c r="G985" s="8"/>
      <c r="H985" s="6" t="str">
        <f aca="false">IF(G985="","",G985/SUMIFS($G$2:$G$1462,$F$2:$F$1462,"Served"))</f>
        <v/>
      </c>
      <c r="I985" s="4" t="str">
        <f aca="false">IF(G985="","",RANK(G985,$G$2:$G$1462,0))</f>
        <v/>
      </c>
      <c r="J985" s="4" t="s">
        <v>34</v>
      </c>
    </row>
    <row r="986" customFormat="false" ht="15" hidden="false" customHeight="false" outlineLevel="0" collapsed="false">
      <c r="A986" s="4" t="s">
        <v>2083</v>
      </c>
      <c r="B986" s="4" t="s">
        <v>2021</v>
      </c>
      <c r="C986" s="4" t="s">
        <v>2022</v>
      </c>
      <c r="D986" s="7" t="s">
        <v>2084</v>
      </c>
      <c r="E986" s="4" t="s">
        <v>2024</v>
      </c>
      <c r="F986" s="4" t="s">
        <v>6</v>
      </c>
      <c r="G986" s="8"/>
      <c r="H986" s="6" t="str">
        <f aca="false">IF(G986="","",G986/SUMIFS($G$2:$G$1462,$F$2:$F$1462,"Served"))</f>
        <v/>
      </c>
      <c r="I986" s="4" t="str">
        <f aca="false">IF(G986="","",RANK(G986,$G$2:$G$1462,0))</f>
        <v/>
      </c>
      <c r="J986" s="4" t="s">
        <v>34</v>
      </c>
    </row>
    <row r="987" customFormat="false" ht="15" hidden="false" customHeight="false" outlineLevel="0" collapsed="false">
      <c r="A987" s="4" t="s">
        <v>2085</v>
      </c>
      <c r="B987" s="4" t="s">
        <v>2021</v>
      </c>
      <c r="C987" s="4" t="s">
        <v>2022</v>
      </c>
      <c r="D987" s="7" t="s">
        <v>2086</v>
      </c>
      <c r="E987" s="4" t="s">
        <v>2024</v>
      </c>
      <c r="F987" s="4" t="s">
        <v>6</v>
      </c>
      <c r="G987" s="8"/>
      <c r="H987" s="6" t="str">
        <f aca="false">IF(G987="","",G987/SUMIFS($G$2:$G$1462,$F$2:$F$1462,"Served"))</f>
        <v/>
      </c>
      <c r="I987" s="4" t="str">
        <f aca="false">IF(G987="","",RANK(G987,$G$2:$G$1462,0))</f>
        <v/>
      </c>
      <c r="J987" s="4" t="s">
        <v>34</v>
      </c>
    </row>
    <row r="988" customFormat="false" ht="15" hidden="false" customHeight="false" outlineLevel="0" collapsed="false">
      <c r="A988" s="4" t="s">
        <v>2087</v>
      </c>
      <c r="B988" s="4" t="s">
        <v>2021</v>
      </c>
      <c r="C988" s="4" t="s">
        <v>2022</v>
      </c>
      <c r="D988" s="7" t="s">
        <v>2088</v>
      </c>
      <c r="E988" s="4" t="s">
        <v>2024</v>
      </c>
      <c r="F988" s="4" t="s">
        <v>6</v>
      </c>
      <c r="G988" s="8"/>
      <c r="H988" s="6" t="str">
        <f aca="false">IF(G988="","",G988/SUMIFS($G$2:$G$1462,$F$2:$F$1462,"Served"))</f>
        <v/>
      </c>
      <c r="I988" s="4" t="str">
        <f aca="false">IF(G988="","",RANK(G988,$G$2:$G$1462,0))</f>
        <v/>
      </c>
      <c r="J988" s="4" t="s">
        <v>34</v>
      </c>
    </row>
    <row r="989" customFormat="false" ht="15" hidden="false" customHeight="false" outlineLevel="0" collapsed="false">
      <c r="A989" s="4" t="s">
        <v>2089</v>
      </c>
      <c r="B989" s="4" t="s">
        <v>2021</v>
      </c>
      <c r="C989" s="4" t="s">
        <v>2022</v>
      </c>
      <c r="D989" s="7" t="s">
        <v>2090</v>
      </c>
      <c r="E989" s="4" t="s">
        <v>2024</v>
      </c>
      <c r="F989" s="4" t="s">
        <v>6</v>
      </c>
      <c r="G989" s="8"/>
      <c r="H989" s="6" t="str">
        <f aca="false">IF(G989="","",G989/SUMIFS($G$2:$G$1462,$F$2:$F$1462,"Served"))</f>
        <v/>
      </c>
      <c r="I989" s="4" t="str">
        <f aca="false">IF(G989="","",RANK(G989,$G$2:$G$1462,0))</f>
        <v/>
      </c>
      <c r="J989" s="4" t="s">
        <v>34</v>
      </c>
    </row>
    <row r="990" customFormat="false" ht="15" hidden="false" customHeight="false" outlineLevel="0" collapsed="false">
      <c r="A990" s="4" t="s">
        <v>2091</v>
      </c>
      <c r="B990" s="4" t="s">
        <v>2021</v>
      </c>
      <c r="C990" s="4" t="s">
        <v>2022</v>
      </c>
      <c r="D990" s="7" t="s">
        <v>2092</v>
      </c>
      <c r="E990" s="4" t="s">
        <v>2024</v>
      </c>
      <c r="F990" s="4" t="s">
        <v>6</v>
      </c>
      <c r="G990" s="8"/>
      <c r="H990" s="6" t="str">
        <f aca="false">IF(G990="","",G990/SUMIFS($G$2:$G$1462,$F$2:$F$1462,"Served"))</f>
        <v/>
      </c>
      <c r="I990" s="4" t="str">
        <f aca="false">IF(G990="","",RANK(G990,$G$2:$G$1462,0))</f>
        <v/>
      </c>
      <c r="J990" s="4" t="s">
        <v>34</v>
      </c>
    </row>
    <row r="991" customFormat="false" ht="15" hidden="false" customHeight="false" outlineLevel="0" collapsed="false">
      <c r="A991" s="4" t="s">
        <v>2093</v>
      </c>
      <c r="B991" s="4" t="s">
        <v>2021</v>
      </c>
      <c r="C991" s="4" t="s">
        <v>2022</v>
      </c>
      <c r="D991" s="7" t="s">
        <v>2094</v>
      </c>
      <c r="E991" s="4" t="s">
        <v>2024</v>
      </c>
      <c r="F991" s="4" t="s">
        <v>6</v>
      </c>
      <c r="G991" s="8"/>
      <c r="H991" s="6" t="str">
        <f aca="false">IF(G991="","",G991/SUMIFS($G$2:$G$1462,$F$2:$F$1462,"Served"))</f>
        <v/>
      </c>
      <c r="I991" s="4" t="str">
        <f aca="false">IF(G991="","",RANK(G991,$G$2:$G$1462,0))</f>
        <v/>
      </c>
      <c r="J991" s="4" t="s">
        <v>34</v>
      </c>
    </row>
    <row r="992" customFormat="false" ht="15" hidden="false" customHeight="false" outlineLevel="0" collapsed="false">
      <c r="A992" s="4" t="s">
        <v>2095</v>
      </c>
      <c r="B992" s="4" t="s">
        <v>2021</v>
      </c>
      <c r="C992" s="4" t="s">
        <v>2022</v>
      </c>
      <c r="D992" s="7" t="s">
        <v>2096</v>
      </c>
      <c r="E992" s="4" t="s">
        <v>2024</v>
      </c>
      <c r="F992" s="4" t="s">
        <v>6</v>
      </c>
      <c r="G992" s="8"/>
      <c r="H992" s="6" t="str">
        <f aca="false">IF(G992="","",G992/SUMIFS($G$2:$G$1462,$F$2:$F$1462,"Served"))</f>
        <v/>
      </c>
      <c r="I992" s="4" t="str">
        <f aca="false">IF(G992="","",RANK(G992,$G$2:$G$1462,0))</f>
        <v/>
      </c>
      <c r="J992" s="4" t="s">
        <v>34</v>
      </c>
    </row>
    <row r="993" customFormat="false" ht="15" hidden="false" customHeight="false" outlineLevel="0" collapsed="false">
      <c r="A993" s="4" t="s">
        <v>2097</v>
      </c>
      <c r="B993" s="4" t="s">
        <v>2021</v>
      </c>
      <c r="C993" s="4" t="s">
        <v>2022</v>
      </c>
      <c r="D993" s="7" t="s">
        <v>2098</v>
      </c>
      <c r="E993" s="4" t="s">
        <v>2024</v>
      </c>
      <c r="F993" s="4" t="s">
        <v>6</v>
      </c>
      <c r="G993" s="8"/>
      <c r="H993" s="6" t="str">
        <f aca="false">IF(G993="","",G993/SUMIFS($G$2:$G$1462,$F$2:$F$1462,"Served"))</f>
        <v/>
      </c>
      <c r="I993" s="4" t="str">
        <f aca="false">IF(G993="","",RANK(G993,$G$2:$G$1462,0))</f>
        <v/>
      </c>
      <c r="J993" s="4" t="s">
        <v>34</v>
      </c>
    </row>
    <row r="994" customFormat="false" ht="15" hidden="false" customHeight="false" outlineLevel="0" collapsed="false">
      <c r="A994" s="4" t="s">
        <v>2099</v>
      </c>
      <c r="B994" s="4" t="s">
        <v>2021</v>
      </c>
      <c r="C994" s="4" t="s">
        <v>2022</v>
      </c>
      <c r="D994" s="7" t="s">
        <v>2100</v>
      </c>
      <c r="E994" s="4" t="s">
        <v>2024</v>
      </c>
      <c r="F994" s="4" t="s">
        <v>6</v>
      </c>
      <c r="G994" s="8"/>
      <c r="H994" s="6" t="str">
        <f aca="false">IF(G994="","",G994/SUMIFS($G$2:$G$1462,$F$2:$F$1462,"Served"))</f>
        <v/>
      </c>
      <c r="I994" s="4" t="str">
        <f aca="false">IF(G994="","",RANK(G994,$G$2:$G$1462,0))</f>
        <v/>
      </c>
      <c r="J994" s="4" t="s">
        <v>34</v>
      </c>
    </row>
    <row r="995" customFormat="false" ht="15" hidden="false" customHeight="false" outlineLevel="0" collapsed="false">
      <c r="A995" s="4" t="s">
        <v>2101</v>
      </c>
      <c r="B995" s="4" t="s">
        <v>2021</v>
      </c>
      <c r="C995" s="4" t="s">
        <v>2022</v>
      </c>
      <c r="D995" s="7" t="s">
        <v>2102</v>
      </c>
      <c r="E995" s="4" t="s">
        <v>2024</v>
      </c>
      <c r="F995" s="4" t="s">
        <v>6</v>
      </c>
      <c r="G995" s="8"/>
      <c r="H995" s="6" t="str">
        <f aca="false">IF(G995="","",G995/SUMIFS($G$2:$G$1462,$F$2:$F$1462,"Served"))</f>
        <v/>
      </c>
      <c r="I995" s="4" t="str">
        <f aca="false">IF(G995="","",RANK(G995,$G$2:$G$1462,0))</f>
        <v/>
      </c>
      <c r="J995" s="4" t="s">
        <v>34</v>
      </c>
    </row>
    <row r="996" customFormat="false" ht="15" hidden="false" customHeight="false" outlineLevel="0" collapsed="false">
      <c r="A996" s="4" t="s">
        <v>2103</v>
      </c>
      <c r="B996" s="4" t="s">
        <v>2021</v>
      </c>
      <c r="C996" s="4" t="s">
        <v>2022</v>
      </c>
      <c r="D996" s="7" t="s">
        <v>2104</v>
      </c>
      <c r="E996" s="4" t="s">
        <v>2024</v>
      </c>
      <c r="F996" s="4" t="s">
        <v>6</v>
      </c>
      <c r="G996" s="8"/>
      <c r="H996" s="6" t="str">
        <f aca="false">IF(G996="","",G996/SUMIFS($G$2:$G$1462,$F$2:$F$1462,"Served"))</f>
        <v/>
      </c>
      <c r="I996" s="4" t="str">
        <f aca="false">IF(G996="","",RANK(G996,$G$2:$G$1462,0))</f>
        <v/>
      </c>
      <c r="J996" s="4" t="s">
        <v>34</v>
      </c>
    </row>
    <row r="997" customFormat="false" ht="15" hidden="false" customHeight="false" outlineLevel="0" collapsed="false">
      <c r="A997" s="4" t="s">
        <v>2105</v>
      </c>
      <c r="B997" s="4" t="s">
        <v>2021</v>
      </c>
      <c r="C997" s="4" t="s">
        <v>2022</v>
      </c>
      <c r="D997" s="7" t="s">
        <v>2106</v>
      </c>
      <c r="E997" s="4" t="s">
        <v>2024</v>
      </c>
      <c r="F997" s="4" t="s">
        <v>6</v>
      </c>
      <c r="G997" s="8"/>
      <c r="H997" s="6" t="str">
        <f aca="false">IF(G997="","",G997/SUMIFS($G$2:$G$1462,$F$2:$F$1462,"Served"))</f>
        <v/>
      </c>
      <c r="I997" s="4" t="str">
        <f aca="false">IF(G997="","",RANK(G997,$G$2:$G$1462,0))</f>
        <v/>
      </c>
      <c r="J997" s="4" t="s">
        <v>34</v>
      </c>
    </row>
    <row r="998" customFormat="false" ht="15" hidden="false" customHeight="false" outlineLevel="0" collapsed="false">
      <c r="A998" s="4" t="s">
        <v>2107</v>
      </c>
      <c r="B998" s="4" t="s">
        <v>2021</v>
      </c>
      <c r="C998" s="4" t="s">
        <v>2022</v>
      </c>
      <c r="D998" s="7" t="s">
        <v>2108</v>
      </c>
      <c r="E998" s="4" t="s">
        <v>2024</v>
      </c>
      <c r="F998" s="4" t="s">
        <v>6</v>
      </c>
      <c r="G998" s="8"/>
      <c r="H998" s="6" t="str">
        <f aca="false">IF(G998="","",G998/SUMIFS($G$2:$G$1462,$F$2:$F$1462,"Served"))</f>
        <v/>
      </c>
      <c r="I998" s="4" t="str">
        <f aca="false">IF(G998="","",RANK(G998,$G$2:$G$1462,0))</f>
        <v/>
      </c>
      <c r="J998" s="4" t="s">
        <v>34</v>
      </c>
    </row>
    <row r="999" customFormat="false" ht="15" hidden="false" customHeight="false" outlineLevel="0" collapsed="false">
      <c r="A999" s="4" t="s">
        <v>2109</v>
      </c>
      <c r="B999" s="4" t="s">
        <v>2021</v>
      </c>
      <c r="C999" s="4" t="s">
        <v>2022</v>
      </c>
      <c r="D999" s="7" t="s">
        <v>2110</v>
      </c>
      <c r="E999" s="4" t="s">
        <v>2024</v>
      </c>
      <c r="F999" s="4" t="s">
        <v>6</v>
      </c>
      <c r="G999" s="8"/>
      <c r="H999" s="6" t="str">
        <f aca="false">IF(G999="","",G999/SUMIFS($G$2:$G$1462,$F$2:$F$1462,"Served"))</f>
        <v/>
      </c>
      <c r="I999" s="4" t="str">
        <f aca="false">IF(G999="","",RANK(G999,$G$2:$G$1462,0))</f>
        <v/>
      </c>
      <c r="J999" s="4" t="s">
        <v>34</v>
      </c>
    </row>
    <row r="1000" customFormat="false" ht="15" hidden="false" customHeight="false" outlineLevel="0" collapsed="false">
      <c r="A1000" s="4" t="s">
        <v>2111</v>
      </c>
      <c r="B1000" s="4" t="s">
        <v>2112</v>
      </c>
      <c r="C1000" s="4" t="s">
        <v>2113</v>
      </c>
      <c r="D1000" s="7" t="s">
        <v>2114</v>
      </c>
      <c r="E1000" s="4" t="s">
        <v>2115</v>
      </c>
      <c r="F1000" s="4" t="s">
        <v>6</v>
      </c>
      <c r="G1000" s="8"/>
      <c r="H1000" s="6" t="str">
        <f aca="false">IF(G1000="","",G1000/SUMIFS($G$2:$G$1462,$F$2:$F$1462,"Served"))</f>
        <v/>
      </c>
      <c r="I1000" s="4" t="str">
        <f aca="false">IF(G1000="","",RANK(G1000,$G$2:$G$1462,0))</f>
        <v/>
      </c>
      <c r="J1000" s="4" t="s">
        <v>34</v>
      </c>
    </row>
    <row r="1001" customFormat="false" ht="15" hidden="false" customHeight="false" outlineLevel="0" collapsed="false">
      <c r="A1001" s="4" t="s">
        <v>2116</v>
      </c>
      <c r="B1001" s="4" t="s">
        <v>2112</v>
      </c>
      <c r="C1001" s="4" t="s">
        <v>2113</v>
      </c>
      <c r="D1001" s="7" t="s">
        <v>2117</v>
      </c>
      <c r="E1001" s="4" t="s">
        <v>2115</v>
      </c>
      <c r="F1001" s="4" t="s">
        <v>6</v>
      </c>
      <c r="G1001" s="8"/>
      <c r="H1001" s="6" t="str">
        <f aca="false">IF(G1001="","",G1001/SUMIFS($G$2:$G$1462,$F$2:$F$1462,"Served"))</f>
        <v/>
      </c>
      <c r="I1001" s="4" t="str">
        <f aca="false">IF(G1001="","",RANK(G1001,$G$2:$G$1462,0))</f>
        <v/>
      </c>
      <c r="J1001" s="4" t="s">
        <v>34</v>
      </c>
    </row>
    <row r="1002" customFormat="false" ht="15" hidden="false" customHeight="false" outlineLevel="0" collapsed="false">
      <c r="A1002" s="4" t="s">
        <v>2118</v>
      </c>
      <c r="B1002" s="4" t="s">
        <v>2112</v>
      </c>
      <c r="C1002" s="4" t="s">
        <v>2113</v>
      </c>
      <c r="D1002" s="7" t="s">
        <v>2119</v>
      </c>
      <c r="E1002" s="4" t="s">
        <v>2115</v>
      </c>
      <c r="F1002" s="4" t="s">
        <v>6</v>
      </c>
      <c r="G1002" s="8"/>
      <c r="H1002" s="6" t="str">
        <f aca="false">IF(G1002="","",G1002/SUMIFS($G$2:$G$1462,$F$2:$F$1462,"Served"))</f>
        <v/>
      </c>
      <c r="I1002" s="4" t="str">
        <f aca="false">IF(G1002="","",RANK(G1002,$G$2:$G$1462,0))</f>
        <v/>
      </c>
      <c r="J1002" s="4" t="s">
        <v>34</v>
      </c>
    </row>
    <row r="1003" customFormat="false" ht="15" hidden="false" customHeight="false" outlineLevel="0" collapsed="false">
      <c r="A1003" s="4" t="s">
        <v>2120</v>
      </c>
      <c r="B1003" s="4" t="s">
        <v>2112</v>
      </c>
      <c r="C1003" s="4" t="s">
        <v>2113</v>
      </c>
      <c r="D1003" s="7" t="s">
        <v>2121</v>
      </c>
      <c r="E1003" s="4" t="s">
        <v>2115</v>
      </c>
      <c r="F1003" s="4" t="s">
        <v>6</v>
      </c>
      <c r="G1003" s="8"/>
      <c r="H1003" s="6" t="str">
        <f aca="false">IF(G1003="","",G1003/SUMIFS($G$2:$G$1462,$F$2:$F$1462,"Served"))</f>
        <v/>
      </c>
      <c r="I1003" s="4" t="str">
        <f aca="false">IF(G1003="","",RANK(G1003,$G$2:$G$1462,0))</f>
        <v/>
      </c>
      <c r="J1003" s="4" t="s">
        <v>34</v>
      </c>
    </row>
    <row r="1004" customFormat="false" ht="15" hidden="false" customHeight="false" outlineLevel="0" collapsed="false">
      <c r="A1004" s="4" t="s">
        <v>2122</v>
      </c>
      <c r="B1004" s="4" t="s">
        <v>2112</v>
      </c>
      <c r="C1004" s="4" t="s">
        <v>2113</v>
      </c>
      <c r="D1004" s="7" t="s">
        <v>2123</v>
      </c>
      <c r="E1004" s="4" t="s">
        <v>2115</v>
      </c>
      <c r="F1004" s="4" t="s">
        <v>6</v>
      </c>
      <c r="G1004" s="8"/>
      <c r="H1004" s="6" t="str">
        <f aca="false">IF(G1004="","",G1004/SUMIFS($G$2:$G$1462,$F$2:$F$1462,"Served"))</f>
        <v/>
      </c>
      <c r="I1004" s="4" t="str">
        <f aca="false">IF(G1004="","",RANK(G1004,$G$2:$G$1462,0))</f>
        <v/>
      </c>
      <c r="J1004" s="4" t="s">
        <v>34</v>
      </c>
    </row>
    <row r="1005" customFormat="false" ht="15" hidden="false" customHeight="false" outlineLevel="0" collapsed="false">
      <c r="A1005" s="4" t="s">
        <v>2124</v>
      </c>
      <c r="B1005" s="4" t="s">
        <v>2112</v>
      </c>
      <c r="C1005" s="4" t="s">
        <v>2113</v>
      </c>
      <c r="D1005" s="7" t="s">
        <v>2125</v>
      </c>
      <c r="E1005" s="4" t="s">
        <v>2115</v>
      </c>
      <c r="F1005" s="4" t="s">
        <v>6</v>
      </c>
      <c r="G1005" s="8"/>
      <c r="H1005" s="6" t="str">
        <f aca="false">IF(G1005="","",G1005/SUMIFS($G$2:$G$1462,$F$2:$F$1462,"Served"))</f>
        <v/>
      </c>
      <c r="I1005" s="4" t="str">
        <f aca="false">IF(G1005="","",RANK(G1005,$G$2:$G$1462,0))</f>
        <v/>
      </c>
      <c r="J1005" s="4" t="s">
        <v>34</v>
      </c>
    </row>
    <row r="1006" customFormat="false" ht="15" hidden="false" customHeight="false" outlineLevel="0" collapsed="false">
      <c r="A1006" s="4" t="s">
        <v>2126</v>
      </c>
      <c r="B1006" s="4" t="s">
        <v>2112</v>
      </c>
      <c r="C1006" s="4" t="s">
        <v>2113</v>
      </c>
      <c r="D1006" s="7" t="s">
        <v>2127</v>
      </c>
      <c r="E1006" s="4" t="s">
        <v>2115</v>
      </c>
      <c r="F1006" s="4" t="s">
        <v>6</v>
      </c>
      <c r="G1006" s="8"/>
      <c r="H1006" s="6" t="str">
        <f aca="false">IF(G1006="","",G1006/SUMIFS($G$2:$G$1462,$F$2:$F$1462,"Served"))</f>
        <v/>
      </c>
      <c r="I1006" s="4" t="str">
        <f aca="false">IF(G1006="","",RANK(G1006,$G$2:$G$1462,0))</f>
        <v/>
      </c>
      <c r="J1006" s="4" t="s">
        <v>34</v>
      </c>
    </row>
    <row r="1007" customFormat="false" ht="15" hidden="false" customHeight="false" outlineLevel="0" collapsed="false">
      <c r="A1007" s="4" t="s">
        <v>2128</v>
      </c>
      <c r="B1007" s="4" t="s">
        <v>2112</v>
      </c>
      <c r="C1007" s="4" t="s">
        <v>2113</v>
      </c>
      <c r="D1007" s="7" t="s">
        <v>2129</v>
      </c>
      <c r="E1007" s="4" t="s">
        <v>2115</v>
      </c>
      <c r="F1007" s="4" t="s">
        <v>6</v>
      </c>
      <c r="G1007" s="8"/>
      <c r="H1007" s="6" t="str">
        <f aca="false">IF(G1007="","",G1007/SUMIFS($G$2:$G$1462,$F$2:$F$1462,"Served"))</f>
        <v/>
      </c>
      <c r="I1007" s="4" t="str">
        <f aca="false">IF(G1007="","",RANK(G1007,$G$2:$G$1462,0))</f>
        <v/>
      </c>
      <c r="J1007" s="4" t="s">
        <v>34</v>
      </c>
    </row>
    <row r="1008" customFormat="false" ht="15" hidden="false" customHeight="false" outlineLevel="0" collapsed="false">
      <c r="A1008" s="4" t="s">
        <v>2130</v>
      </c>
      <c r="B1008" s="4" t="s">
        <v>2131</v>
      </c>
      <c r="C1008" s="4" t="s">
        <v>2132</v>
      </c>
      <c r="D1008" s="7" t="s">
        <v>2133</v>
      </c>
      <c r="E1008" s="4" t="s">
        <v>2134</v>
      </c>
      <c r="F1008" s="4" t="s">
        <v>6</v>
      </c>
      <c r="G1008" s="8"/>
      <c r="H1008" s="6" t="str">
        <f aca="false">IF(G1008="","",G1008/SUMIFS($G$2:$G$1462,$F$2:$F$1462,"Served"))</f>
        <v/>
      </c>
      <c r="I1008" s="4" t="str">
        <f aca="false">IF(G1008="","",RANK(G1008,$G$2:$G$1462,0))</f>
        <v/>
      </c>
      <c r="J1008" s="4" t="s">
        <v>34</v>
      </c>
    </row>
    <row r="1009" customFormat="false" ht="15" hidden="false" customHeight="false" outlineLevel="0" collapsed="false">
      <c r="A1009" s="4" t="s">
        <v>2135</v>
      </c>
      <c r="B1009" s="4" t="s">
        <v>2131</v>
      </c>
      <c r="C1009" s="4" t="s">
        <v>2132</v>
      </c>
      <c r="D1009" s="7" t="s">
        <v>2136</v>
      </c>
      <c r="E1009" s="4" t="s">
        <v>2134</v>
      </c>
      <c r="F1009" s="4" t="s">
        <v>6</v>
      </c>
      <c r="G1009" s="8"/>
      <c r="H1009" s="6" t="str">
        <f aca="false">IF(G1009="","",G1009/SUMIFS($G$2:$G$1462,$F$2:$F$1462,"Served"))</f>
        <v/>
      </c>
      <c r="I1009" s="4" t="str">
        <f aca="false">IF(G1009="","",RANK(G1009,$G$2:$G$1462,0))</f>
        <v/>
      </c>
      <c r="J1009" s="4" t="s">
        <v>34</v>
      </c>
    </row>
    <row r="1010" customFormat="false" ht="15" hidden="false" customHeight="false" outlineLevel="0" collapsed="false">
      <c r="A1010" s="4" t="s">
        <v>2137</v>
      </c>
      <c r="B1010" s="4" t="s">
        <v>2131</v>
      </c>
      <c r="C1010" s="4" t="s">
        <v>2132</v>
      </c>
      <c r="D1010" s="7" t="s">
        <v>2138</v>
      </c>
      <c r="E1010" s="4" t="s">
        <v>2134</v>
      </c>
      <c r="F1010" s="4" t="s">
        <v>6</v>
      </c>
      <c r="G1010" s="8"/>
      <c r="H1010" s="6" t="str">
        <f aca="false">IF(G1010="","",G1010/SUMIFS($G$2:$G$1462,$F$2:$F$1462,"Served"))</f>
        <v/>
      </c>
      <c r="I1010" s="4" t="str">
        <f aca="false">IF(G1010="","",RANK(G1010,$G$2:$G$1462,0))</f>
        <v/>
      </c>
      <c r="J1010" s="4" t="s">
        <v>34</v>
      </c>
    </row>
    <row r="1011" customFormat="false" ht="15" hidden="false" customHeight="false" outlineLevel="0" collapsed="false">
      <c r="A1011" s="4" t="s">
        <v>2139</v>
      </c>
      <c r="B1011" s="4" t="s">
        <v>2131</v>
      </c>
      <c r="C1011" s="4" t="s">
        <v>2132</v>
      </c>
      <c r="D1011" s="7" t="s">
        <v>2140</v>
      </c>
      <c r="E1011" s="4" t="s">
        <v>2134</v>
      </c>
      <c r="F1011" s="4" t="s">
        <v>6</v>
      </c>
      <c r="G1011" s="8"/>
      <c r="H1011" s="6" t="str">
        <f aca="false">IF(G1011="","",G1011/SUMIFS($G$2:$G$1462,$F$2:$F$1462,"Served"))</f>
        <v/>
      </c>
      <c r="I1011" s="4" t="str">
        <f aca="false">IF(G1011="","",RANK(G1011,$G$2:$G$1462,0))</f>
        <v/>
      </c>
      <c r="J1011" s="4" t="s">
        <v>34</v>
      </c>
    </row>
    <row r="1012" customFormat="false" ht="15" hidden="false" customHeight="false" outlineLevel="0" collapsed="false">
      <c r="A1012" s="4" t="s">
        <v>2141</v>
      </c>
      <c r="B1012" s="4" t="s">
        <v>2131</v>
      </c>
      <c r="C1012" s="4" t="s">
        <v>2132</v>
      </c>
      <c r="D1012" s="7" t="s">
        <v>2142</v>
      </c>
      <c r="E1012" s="4" t="s">
        <v>2134</v>
      </c>
      <c r="F1012" s="4" t="s">
        <v>6</v>
      </c>
      <c r="G1012" s="8"/>
      <c r="H1012" s="6" t="str">
        <f aca="false">IF(G1012="","",G1012/SUMIFS($G$2:$G$1462,$F$2:$F$1462,"Served"))</f>
        <v/>
      </c>
      <c r="I1012" s="4" t="str">
        <f aca="false">IF(G1012="","",RANK(G1012,$G$2:$G$1462,0))</f>
        <v/>
      </c>
      <c r="J1012" s="4" t="s">
        <v>34</v>
      </c>
    </row>
    <row r="1013" customFormat="false" ht="15" hidden="false" customHeight="false" outlineLevel="0" collapsed="false">
      <c r="A1013" s="4" t="s">
        <v>2143</v>
      </c>
      <c r="B1013" s="4" t="s">
        <v>2131</v>
      </c>
      <c r="C1013" s="4" t="s">
        <v>2132</v>
      </c>
      <c r="D1013" s="7" t="s">
        <v>2144</v>
      </c>
      <c r="E1013" s="4" t="s">
        <v>2134</v>
      </c>
      <c r="F1013" s="4" t="s">
        <v>6</v>
      </c>
      <c r="G1013" s="8"/>
      <c r="H1013" s="6" t="str">
        <f aca="false">IF(G1013="","",G1013/SUMIFS($G$2:$G$1462,$F$2:$F$1462,"Served"))</f>
        <v/>
      </c>
      <c r="I1013" s="4" t="str">
        <f aca="false">IF(G1013="","",RANK(G1013,$G$2:$G$1462,0))</f>
        <v/>
      </c>
      <c r="J1013" s="4" t="s">
        <v>34</v>
      </c>
    </row>
    <row r="1014" customFormat="false" ht="15" hidden="false" customHeight="false" outlineLevel="0" collapsed="false">
      <c r="A1014" s="4" t="s">
        <v>2145</v>
      </c>
      <c r="B1014" s="4" t="s">
        <v>2131</v>
      </c>
      <c r="C1014" s="4" t="s">
        <v>2132</v>
      </c>
      <c r="D1014" s="7" t="s">
        <v>2146</v>
      </c>
      <c r="E1014" s="4" t="s">
        <v>2134</v>
      </c>
      <c r="F1014" s="4" t="s">
        <v>6</v>
      </c>
      <c r="G1014" s="8"/>
      <c r="H1014" s="6" t="str">
        <f aca="false">IF(G1014="","",G1014/SUMIFS($G$2:$G$1462,$F$2:$F$1462,"Served"))</f>
        <v/>
      </c>
      <c r="I1014" s="4" t="str">
        <f aca="false">IF(G1014="","",RANK(G1014,$G$2:$G$1462,0))</f>
        <v/>
      </c>
      <c r="J1014" s="4" t="s">
        <v>34</v>
      </c>
    </row>
    <row r="1015" customFormat="false" ht="15" hidden="false" customHeight="false" outlineLevel="0" collapsed="false">
      <c r="A1015" s="4" t="s">
        <v>2147</v>
      </c>
      <c r="B1015" s="4" t="s">
        <v>2131</v>
      </c>
      <c r="C1015" s="4" t="s">
        <v>2132</v>
      </c>
      <c r="D1015" s="7" t="s">
        <v>2148</v>
      </c>
      <c r="E1015" s="4" t="s">
        <v>2134</v>
      </c>
      <c r="F1015" s="4" t="s">
        <v>6</v>
      </c>
      <c r="G1015" s="8"/>
      <c r="H1015" s="6" t="str">
        <f aca="false">IF(G1015="","",G1015/SUMIFS($G$2:$G$1462,$F$2:$F$1462,"Served"))</f>
        <v/>
      </c>
      <c r="I1015" s="4" t="str">
        <f aca="false">IF(G1015="","",RANK(G1015,$G$2:$G$1462,0))</f>
        <v/>
      </c>
      <c r="J1015" s="4" t="s">
        <v>34</v>
      </c>
    </row>
    <row r="1016" customFormat="false" ht="15" hidden="false" customHeight="false" outlineLevel="0" collapsed="false">
      <c r="A1016" s="4" t="s">
        <v>2149</v>
      </c>
      <c r="B1016" s="4" t="s">
        <v>2131</v>
      </c>
      <c r="C1016" s="4" t="s">
        <v>2132</v>
      </c>
      <c r="D1016" s="7" t="s">
        <v>2150</v>
      </c>
      <c r="E1016" s="4" t="s">
        <v>2134</v>
      </c>
      <c r="F1016" s="4" t="s">
        <v>6</v>
      </c>
      <c r="G1016" s="8"/>
      <c r="H1016" s="6" t="str">
        <f aca="false">IF(G1016="","",G1016/SUMIFS($G$2:$G$1462,$F$2:$F$1462,"Served"))</f>
        <v/>
      </c>
      <c r="I1016" s="4" t="str">
        <f aca="false">IF(G1016="","",RANK(G1016,$G$2:$G$1462,0))</f>
        <v/>
      </c>
      <c r="J1016" s="4" t="s">
        <v>34</v>
      </c>
    </row>
    <row r="1017" customFormat="false" ht="15" hidden="false" customHeight="false" outlineLevel="0" collapsed="false">
      <c r="A1017" s="4" t="s">
        <v>2151</v>
      </c>
      <c r="B1017" s="4" t="s">
        <v>2131</v>
      </c>
      <c r="C1017" s="4" t="s">
        <v>2132</v>
      </c>
      <c r="D1017" s="7" t="s">
        <v>2152</v>
      </c>
      <c r="E1017" s="4" t="s">
        <v>2134</v>
      </c>
      <c r="F1017" s="4" t="s">
        <v>6</v>
      </c>
      <c r="G1017" s="8"/>
      <c r="H1017" s="6" t="str">
        <f aca="false">IF(G1017="","",G1017/SUMIFS($G$2:$G$1462,$F$2:$F$1462,"Served"))</f>
        <v/>
      </c>
      <c r="I1017" s="4" t="str">
        <f aca="false">IF(G1017="","",RANK(G1017,$G$2:$G$1462,0))</f>
        <v/>
      </c>
      <c r="J1017" s="4" t="s">
        <v>34</v>
      </c>
    </row>
    <row r="1018" customFormat="false" ht="15" hidden="false" customHeight="false" outlineLevel="0" collapsed="false">
      <c r="A1018" s="4" t="s">
        <v>2153</v>
      </c>
      <c r="B1018" s="4" t="s">
        <v>2131</v>
      </c>
      <c r="C1018" s="4" t="s">
        <v>2132</v>
      </c>
      <c r="D1018" s="7" t="s">
        <v>2154</v>
      </c>
      <c r="E1018" s="4" t="s">
        <v>2134</v>
      </c>
      <c r="F1018" s="4" t="s">
        <v>6</v>
      </c>
      <c r="G1018" s="8"/>
      <c r="H1018" s="6" t="str">
        <f aca="false">IF(G1018="","",G1018/SUMIFS($G$2:$G$1462,$F$2:$F$1462,"Served"))</f>
        <v/>
      </c>
      <c r="I1018" s="4" t="str">
        <f aca="false">IF(G1018="","",RANK(G1018,$G$2:$G$1462,0))</f>
        <v/>
      </c>
      <c r="J1018" s="4" t="s">
        <v>34</v>
      </c>
    </row>
    <row r="1019" customFormat="false" ht="15" hidden="false" customHeight="false" outlineLevel="0" collapsed="false">
      <c r="A1019" s="4" t="s">
        <v>2155</v>
      </c>
      <c r="B1019" s="4" t="s">
        <v>2131</v>
      </c>
      <c r="C1019" s="4" t="s">
        <v>2132</v>
      </c>
      <c r="D1019" s="7" t="s">
        <v>2156</v>
      </c>
      <c r="E1019" s="4" t="s">
        <v>2134</v>
      </c>
      <c r="F1019" s="4" t="s">
        <v>6</v>
      </c>
      <c r="G1019" s="8"/>
      <c r="H1019" s="6" t="str">
        <f aca="false">IF(G1019="","",G1019/SUMIFS($G$2:$G$1462,$F$2:$F$1462,"Served"))</f>
        <v/>
      </c>
      <c r="I1019" s="4" t="str">
        <f aca="false">IF(G1019="","",RANK(G1019,$G$2:$G$1462,0))</f>
        <v/>
      </c>
      <c r="J1019" s="4" t="s">
        <v>34</v>
      </c>
    </row>
    <row r="1020" customFormat="false" ht="15" hidden="false" customHeight="false" outlineLevel="0" collapsed="false">
      <c r="A1020" s="4" t="s">
        <v>2157</v>
      </c>
      <c r="B1020" s="4" t="s">
        <v>2131</v>
      </c>
      <c r="C1020" s="4" t="s">
        <v>2132</v>
      </c>
      <c r="D1020" s="7" t="s">
        <v>2158</v>
      </c>
      <c r="E1020" s="4" t="s">
        <v>2134</v>
      </c>
      <c r="F1020" s="4" t="s">
        <v>6</v>
      </c>
      <c r="G1020" s="8"/>
      <c r="H1020" s="6" t="str">
        <f aca="false">IF(G1020="","",G1020/SUMIFS($G$2:$G$1462,$F$2:$F$1462,"Served"))</f>
        <v/>
      </c>
      <c r="I1020" s="4" t="str">
        <f aca="false">IF(G1020="","",RANK(G1020,$G$2:$G$1462,0))</f>
        <v/>
      </c>
      <c r="J1020" s="4" t="s">
        <v>34</v>
      </c>
    </row>
    <row r="1021" customFormat="false" ht="15" hidden="false" customHeight="false" outlineLevel="0" collapsed="false">
      <c r="A1021" s="4" t="s">
        <v>2159</v>
      </c>
      <c r="B1021" s="4" t="s">
        <v>2131</v>
      </c>
      <c r="C1021" s="4" t="s">
        <v>2132</v>
      </c>
      <c r="D1021" s="7" t="s">
        <v>2160</v>
      </c>
      <c r="E1021" s="4" t="s">
        <v>2134</v>
      </c>
      <c r="F1021" s="4" t="s">
        <v>6</v>
      </c>
      <c r="G1021" s="8"/>
      <c r="H1021" s="6" t="str">
        <f aca="false">IF(G1021="","",G1021/SUMIFS($G$2:$G$1462,$F$2:$F$1462,"Served"))</f>
        <v/>
      </c>
      <c r="I1021" s="4" t="str">
        <f aca="false">IF(G1021="","",RANK(G1021,$G$2:$G$1462,0))</f>
        <v/>
      </c>
      <c r="J1021" s="4" t="s">
        <v>34</v>
      </c>
    </row>
    <row r="1022" customFormat="false" ht="15" hidden="false" customHeight="false" outlineLevel="0" collapsed="false">
      <c r="A1022" s="4" t="s">
        <v>2161</v>
      </c>
      <c r="B1022" s="4" t="s">
        <v>2162</v>
      </c>
      <c r="C1022" s="4" t="s">
        <v>2163</v>
      </c>
      <c r="D1022" s="7" t="s">
        <v>2164</v>
      </c>
      <c r="E1022" s="4" t="s">
        <v>2165</v>
      </c>
      <c r="F1022" s="4" t="s">
        <v>6</v>
      </c>
      <c r="G1022" s="8"/>
      <c r="H1022" s="6" t="str">
        <f aca="false">IF(G1022="","",G1022/SUMIFS($G$2:$G$1462,$F$2:$F$1462,"Served"))</f>
        <v/>
      </c>
      <c r="I1022" s="4" t="str">
        <f aca="false">IF(G1022="","",RANK(G1022,$G$2:$G$1462,0))</f>
        <v/>
      </c>
      <c r="J1022" s="4" t="s">
        <v>34</v>
      </c>
    </row>
    <row r="1023" customFormat="false" ht="15" hidden="false" customHeight="false" outlineLevel="0" collapsed="false">
      <c r="A1023" s="4" t="s">
        <v>2166</v>
      </c>
      <c r="B1023" s="4" t="s">
        <v>2162</v>
      </c>
      <c r="C1023" s="4" t="s">
        <v>2163</v>
      </c>
      <c r="D1023" s="7" t="s">
        <v>2167</v>
      </c>
      <c r="E1023" s="4" t="s">
        <v>2165</v>
      </c>
      <c r="F1023" s="4" t="s">
        <v>6</v>
      </c>
      <c r="G1023" s="8"/>
      <c r="H1023" s="6" t="str">
        <f aca="false">IF(G1023="","",G1023/SUMIFS($G$2:$G$1462,$F$2:$F$1462,"Served"))</f>
        <v/>
      </c>
      <c r="I1023" s="4" t="str">
        <f aca="false">IF(G1023="","",RANK(G1023,$G$2:$G$1462,0))</f>
        <v/>
      </c>
      <c r="J1023" s="4" t="s">
        <v>34</v>
      </c>
    </row>
    <row r="1024" customFormat="false" ht="15" hidden="false" customHeight="false" outlineLevel="0" collapsed="false">
      <c r="A1024" s="4" t="s">
        <v>2168</v>
      </c>
      <c r="B1024" s="4" t="s">
        <v>2162</v>
      </c>
      <c r="C1024" s="4" t="s">
        <v>2163</v>
      </c>
      <c r="D1024" s="7" t="s">
        <v>2169</v>
      </c>
      <c r="E1024" s="4" t="s">
        <v>2165</v>
      </c>
      <c r="F1024" s="4" t="s">
        <v>6</v>
      </c>
      <c r="G1024" s="8"/>
      <c r="H1024" s="6" t="str">
        <f aca="false">IF(G1024="","",G1024/SUMIFS($G$2:$G$1462,$F$2:$F$1462,"Served"))</f>
        <v/>
      </c>
      <c r="I1024" s="4" t="str">
        <f aca="false">IF(G1024="","",RANK(G1024,$G$2:$G$1462,0))</f>
        <v/>
      </c>
      <c r="J1024" s="4" t="s">
        <v>34</v>
      </c>
    </row>
    <row r="1025" customFormat="false" ht="15" hidden="false" customHeight="false" outlineLevel="0" collapsed="false">
      <c r="A1025" s="4" t="s">
        <v>2170</v>
      </c>
      <c r="B1025" s="4" t="s">
        <v>2162</v>
      </c>
      <c r="C1025" s="4" t="s">
        <v>2163</v>
      </c>
      <c r="D1025" s="7" t="s">
        <v>2171</v>
      </c>
      <c r="E1025" s="4" t="s">
        <v>2165</v>
      </c>
      <c r="F1025" s="4" t="s">
        <v>6</v>
      </c>
      <c r="G1025" s="8"/>
      <c r="H1025" s="6" t="str">
        <f aca="false">IF(G1025="","",G1025/SUMIFS($G$2:$G$1462,$F$2:$F$1462,"Served"))</f>
        <v/>
      </c>
      <c r="I1025" s="4" t="str">
        <f aca="false">IF(G1025="","",RANK(G1025,$G$2:$G$1462,0))</f>
        <v/>
      </c>
      <c r="J1025" s="4" t="s">
        <v>34</v>
      </c>
    </row>
    <row r="1026" customFormat="false" ht="15" hidden="false" customHeight="false" outlineLevel="0" collapsed="false">
      <c r="A1026" s="4" t="s">
        <v>2172</v>
      </c>
      <c r="B1026" s="4" t="s">
        <v>2162</v>
      </c>
      <c r="C1026" s="4" t="s">
        <v>2163</v>
      </c>
      <c r="D1026" s="7" t="s">
        <v>2173</v>
      </c>
      <c r="E1026" s="4" t="s">
        <v>2165</v>
      </c>
      <c r="F1026" s="4" t="s">
        <v>6</v>
      </c>
      <c r="G1026" s="8"/>
      <c r="H1026" s="6" t="str">
        <f aca="false">IF(G1026="","",G1026/SUMIFS($G$2:$G$1462,$F$2:$F$1462,"Served"))</f>
        <v/>
      </c>
      <c r="I1026" s="4" t="str">
        <f aca="false">IF(G1026="","",RANK(G1026,$G$2:$G$1462,0))</f>
        <v/>
      </c>
      <c r="J1026" s="4" t="s">
        <v>34</v>
      </c>
    </row>
    <row r="1027" customFormat="false" ht="15" hidden="false" customHeight="false" outlineLevel="0" collapsed="false">
      <c r="A1027" s="4" t="s">
        <v>2174</v>
      </c>
      <c r="B1027" s="4" t="s">
        <v>2162</v>
      </c>
      <c r="C1027" s="4" t="s">
        <v>2163</v>
      </c>
      <c r="D1027" s="7" t="s">
        <v>2175</v>
      </c>
      <c r="E1027" s="4" t="s">
        <v>2165</v>
      </c>
      <c r="F1027" s="4" t="s">
        <v>6</v>
      </c>
      <c r="G1027" s="8"/>
      <c r="H1027" s="6" t="str">
        <f aca="false">IF(G1027="","",G1027/SUMIFS($G$2:$G$1462,$F$2:$F$1462,"Served"))</f>
        <v/>
      </c>
      <c r="I1027" s="4" t="str">
        <f aca="false">IF(G1027="","",RANK(G1027,$G$2:$G$1462,0))</f>
        <v/>
      </c>
      <c r="J1027" s="4" t="s">
        <v>34</v>
      </c>
    </row>
    <row r="1028" customFormat="false" ht="15" hidden="false" customHeight="false" outlineLevel="0" collapsed="false">
      <c r="A1028" s="4" t="s">
        <v>2176</v>
      </c>
      <c r="B1028" s="4" t="s">
        <v>2162</v>
      </c>
      <c r="C1028" s="4" t="s">
        <v>2163</v>
      </c>
      <c r="D1028" s="7" t="s">
        <v>2177</v>
      </c>
      <c r="E1028" s="4" t="s">
        <v>2165</v>
      </c>
      <c r="F1028" s="4" t="s">
        <v>6</v>
      </c>
      <c r="G1028" s="8"/>
      <c r="H1028" s="6" t="str">
        <f aca="false">IF(G1028="","",G1028/SUMIFS($G$2:$G$1462,$F$2:$F$1462,"Served"))</f>
        <v/>
      </c>
      <c r="I1028" s="4" t="str">
        <f aca="false">IF(G1028="","",RANK(G1028,$G$2:$G$1462,0))</f>
        <v/>
      </c>
      <c r="J1028" s="4" t="s">
        <v>34</v>
      </c>
    </row>
    <row r="1029" customFormat="false" ht="15" hidden="false" customHeight="false" outlineLevel="0" collapsed="false">
      <c r="A1029" s="4" t="s">
        <v>2178</v>
      </c>
      <c r="B1029" s="4" t="s">
        <v>2162</v>
      </c>
      <c r="C1029" s="4" t="s">
        <v>2163</v>
      </c>
      <c r="D1029" s="7" t="s">
        <v>2179</v>
      </c>
      <c r="E1029" s="4" t="s">
        <v>2165</v>
      </c>
      <c r="F1029" s="4" t="s">
        <v>6</v>
      </c>
      <c r="G1029" s="8"/>
      <c r="H1029" s="6" t="str">
        <f aca="false">IF(G1029="","",G1029/SUMIFS($G$2:$G$1462,$F$2:$F$1462,"Served"))</f>
        <v/>
      </c>
      <c r="I1029" s="4" t="str">
        <f aca="false">IF(G1029="","",RANK(G1029,$G$2:$G$1462,0))</f>
        <v/>
      </c>
      <c r="J1029" s="4" t="s">
        <v>34</v>
      </c>
    </row>
    <row r="1030" customFormat="false" ht="15" hidden="false" customHeight="false" outlineLevel="0" collapsed="false">
      <c r="A1030" s="4" t="s">
        <v>2180</v>
      </c>
      <c r="B1030" s="4" t="s">
        <v>2162</v>
      </c>
      <c r="C1030" s="4" t="s">
        <v>2163</v>
      </c>
      <c r="D1030" s="7" t="s">
        <v>2181</v>
      </c>
      <c r="E1030" s="4" t="s">
        <v>2165</v>
      </c>
      <c r="F1030" s="4" t="s">
        <v>6</v>
      </c>
      <c r="G1030" s="8"/>
      <c r="H1030" s="6" t="str">
        <f aca="false">IF(G1030="","",G1030/SUMIFS($G$2:$G$1462,$F$2:$F$1462,"Served"))</f>
        <v/>
      </c>
      <c r="I1030" s="4" t="str">
        <f aca="false">IF(G1030="","",RANK(G1030,$G$2:$G$1462,0))</f>
        <v/>
      </c>
      <c r="J1030" s="4" t="s">
        <v>34</v>
      </c>
    </row>
    <row r="1031" customFormat="false" ht="15" hidden="false" customHeight="false" outlineLevel="0" collapsed="false">
      <c r="A1031" s="4" t="s">
        <v>2182</v>
      </c>
      <c r="B1031" s="4" t="s">
        <v>2162</v>
      </c>
      <c r="C1031" s="4" t="s">
        <v>2163</v>
      </c>
      <c r="D1031" s="7" t="s">
        <v>2183</v>
      </c>
      <c r="E1031" s="4" t="s">
        <v>2165</v>
      </c>
      <c r="F1031" s="4" t="s">
        <v>6</v>
      </c>
      <c r="G1031" s="8"/>
      <c r="H1031" s="6" t="str">
        <f aca="false">IF(G1031="","",G1031/SUMIFS($G$2:$G$1462,$F$2:$F$1462,"Served"))</f>
        <v/>
      </c>
      <c r="I1031" s="4" t="str">
        <f aca="false">IF(G1031="","",RANK(G1031,$G$2:$G$1462,0))</f>
        <v/>
      </c>
      <c r="J1031" s="4" t="s">
        <v>34</v>
      </c>
    </row>
    <row r="1032" customFormat="false" ht="15" hidden="false" customHeight="false" outlineLevel="0" collapsed="false">
      <c r="A1032" s="4" t="s">
        <v>2184</v>
      </c>
      <c r="B1032" s="4" t="s">
        <v>2162</v>
      </c>
      <c r="C1032" s="4" t="s">
        <v>2163</v>
      </c>
      <c r="D1032" s="7" t="s">
        <v>2185</v>
      </c>
      <c r="E1032" s="4" t="s">
        <v>2165</v>
      </c>
      <c r="F1032" s="4" t="s">
        <v>6</v>
      </c>
      <c r="G1032" s="8"/>
      <c r="H1032" s="6" t="str">
        <f aca="false">IF(G1032="","",G1032/SUMIFS($G$2:$G$1462,$F$2:$F$1462,"Served"))</f>
        <v/>
      </c>
      <c r="I1032" s="4" t="str">
        <f aca="false">IF(G1032="","",RANK(G1032,$G$2:$G$1462,0))</f>
        <v/>
      </c>
      <c r="J1032" s="4" t="s">
        <v>34</v>
      </c>
    </row>
    <row r="1033" customFormat="false" ht="15" hidden="false" customHeight="false" outlineLevel="0" collapsed="false">
      <c r="A1033" s="4" t="s">
        <v>2186</v>
      </c>
      <c r="B1033" s="4" t="s">
        <v>2162</v>
      </c>
      <c r="C1033" s="4" t="s">
        <v>2163</v>
      </c>
      <c r="D1033" s="7" t="s">
        <v>2187</v>
      </c>
      <c r="E1033" s="4" t="s">
        <v>2165</v>
      </c>
      <c r="F1033" s="4" t="s">
        <v>6</v>
      </c>
      <c r="G1033" s="8"/>
      <c r="H1033" s="6" t="str">
        <f aca="false">IF(G1033="","",G1033/SUMIFS($G$2:$G$1462,$F$2:$F$1462,"Served"))</f>
        <v/>
      </c>
      <c r="I1033" s="4" t="str">
        <f aca="false">IF(G1033="","",RANK(G1033,$G$2:$G$1462,0))</f>
        <v/>
      </c>
      <c r="J1033" s="4" t="s">
        <v>34</v>
      </c>
    </row>
    <row r="1034" customFormat="false" ht="15" hidden="false" customHeight="false" outlineLevel="0" collapsed="false">
      <c r="A1034" s="4" t="s">
        <v>2188</v>
      </c>
      <c r="B1034" s="4" t="s">
        <v>2162</v>
      </c>
      <c r="C1034" s="4" t="s">
        <v>2163</v>
      </c>
      <c r="D1034" s="7" t="s">
        <v>2189</v>
      </c>
      <c r="E1034" s="4" t="s">
        <v>2165</v>
      </c>
      <c r="F1034" s="4" t="s">
        <v>6</v>
      </c>
      <c r="G1034" s="8"/>
      <c r="H1034" s="6" t="str">
        <f aca="false">IF(G1034="","",G1034/SUMIFS($G$2:$G$1462,$F$2:$F$1462,"Served"))</f>
        <v/>
      </c>
      <c r="I1034" s="4" t="str">
        <f aca="false">IF(G1034="","",RANK(G1034,$G$2:$G$1462,0))</f>
        <v/>
      </c>
      <c r="J1034" s="4" t="s">
        <v>34</v>
      </c>
    </row>
    <row r="1035" customFormat="false" ht="15" hidden="false" customHeight="false" outlineLevel="0" collapsed="false">
      <c r="A1035" s="4" t="s">
        <v>2190</v>
      </c>
      <c r="B1035" s="4" t="s">
        <v>2162</v>
      </c>
      <c r="C1035" s="4" t="s">
        <v>2163</v>
      </c>
      <c r="D1035" s="7" t="s">
        <v>2191</v>
      </c>
      <c r="E1035" s="4" t="s">
        <v>2165</v>
      </c>
      <c r="F1035" s="4" t="s">
        <v>6</v>
      </c>
      <c r="G1035" s="8"/>
      <c r="H1035" s="6" t="str">
        <f aca="false">IF(G1035="","",G1035/SUMIFS($G$2:$G$1462,$F$2:$F$1462,"Served"))</f>
        <v/>
      </c>
      <c r="I1035" s="4" t="str">
        <f aca="false">IF(G1035="","",RANK(G1035,$G$2:$G$1462,0))</f>
        <v/>
      </c>
      <c r="J1035" s="4" t="s">
        <v>34</v>
      </c>
    </row>
    <row r="1036" customFormat="false" ht="15" hidden="false" customHeight="false" outlineLevel="0" collapsed="false">
      <c r="A1036" s="4" t="s">
        <v>2192</v>
      </c>
      <c r="B1036" s="4" t="s">
        <v>2162</v>
      </c>
      <c r="C1036" s="4" t="s">
        <v>2163</v>
      </c>
      <c r="D1036" s="7" t="s">
        <v>2193</v>
      </c>
      <c r="E1036" s="4" t="s">
        <v>2165</v>
      </c>
      <c r="F1036" s="4" t="s">
        <v>6</v>
      </c>
      <c r="G1036" s="8"/>
      <c r="H1036" s="6" t="str">
        <f aca="false">IF(G1036="","",G1036/SUMIFS($G$2:$G$1462,$F$2:$F$1462,"Served"))</f>
        <v/>
      </c>
      <c r="I1036" s="4" t="str">
        <f aca="false">IF(G1036="","",RANK(G1036,$G$2:$G$1462,0))</f>
        <v/>
      </c>
      <c r="J1036" s="4" t="s">
        <v>34</v>
      </c>
    </row>
    <row r="1037" customFormat="false" ht="15" hidden="false" customHeight="false" outlineLevel="0" collapsed="false">
      <c r="A1037" s="4" t="s">
        <v>2194</v>
      </c>
      <c r="B1037" s="4" t="s">
        <v>2162</v>
      </c>
      <c r="C1037" s="4" t="s">
        <v>2163</v>
      </c>
      <c r="D1037" s="7" t="s">
        <v>2195</v>
      </c>
      <c r="E1037" s="4" t="s">
        <v>2165</v>
      </c>
      <c r="F1037" s="4" t="s">
        <v>6</v>
      </c>
      <c r="G1037" s="8"/>
      <c r="H1037" s="6" t="str">
        <f aca="false">IF(G1037="","",G1037/SUMIFS($G$2:$G$1462,$F$2:$F$1462,"Served"))</f>
        <v/>
      </c>
      <c r="I1037" s="4" t="str">
        <f aca="false">IF(G1037="","",RANK(G1037,$G$2:$G$1462,0))</f>
        <v/>
      </c>
      <c r="J1037" s="4" t="s">
        <v>34</v>
      </c>
    </row>
    <row r="1038" customFormat="false" ht="15" hidden="false" customHeight="false" outlineLevel="0" collapsed="false">
      <c r="A1038" s="4" t="s">
        <v>2196</v>
      </c>
      <c r="B1038" s="4" t="s">
        <v>2162</v>
      </c>
      <c r="C1038" s="4" t="s">
        <v>2163</v>
      </c>
      <c r="D1038" s="7" t="s">
        <v>2197</v>
      </c>
      <c r="E1038" s="4" t="s">
        <v>2165</v>
      </c>
      <c r="F1038" s="4" t="s">
        <v>6</v>
      </c>
      <c r="G1038" s="8"/>
      <c r="H1038" s="6" t="str">
        <f aca="false">IF(G1038="","",G1038/SUMIFS($G$2:$G$1462,$F$2:$F$1462,"Served"))</f>
        <v/>
      </c>
      <c r="I1038" s="4" t="str">
        <f aca="false">IF(G1038="","",RANK(G1038,$G$2:$G$1462,0))</f>
        <v/>
      </c>
      <c r="J1038" s="4" t="s">
        <v>34</v>
      </c>
    </row>
    <row r="1039" customFormat="false" ht="15" hidden="false" customHeight="false" outlineLevel="0" collapsed="false">
      <c r="A1039" s="4" t="s">
        <v>2198</v>
      </c>
      <c r="B1039" s="4" t="s">
        <v>2162</v>
      </c>
      <c r="C1039" s="4" t="s">
        <v>2163</v>
      </c>
      <c r="D1039" s="7" t="s">
        <v>2199</v>
      </c>
      <c r="E1039" s="4" t="s">
        <v>2165</v>
      </c>
      <c r="F1039" s="4" t="s">
        <v>6</v>
      </c>
      <c r="G1039" s="8"/>
      <c r="H1039" s="6" t="str">
        <f aca="false">IF(G1039="","",G1039/SUMIFS($G$2:$G$1462,$F$2:$F$1462,"Served"))</f>
        <v/>
      </c>
      <c r="I1039" s="4" t="str">
        <f aca="false">IF(G1039="","",RANK(G1039,$G$2:$G$1462,0))</f>
        <v/>
      </c>
      <c r="J1039" s="4" t="s">
        <v>34</v>
      </c>
    </row>
    <row r="1040" customFormat="false" ht="15" hidden="false" customHeight="false" outlineLevel="0" collapsed="false">
      <c r="A1040" s="4" t="s">
        <v>2200</v>
      </c>
      <c r="B1040" s="4" t="s">
        <v>2162</v>
      </c>
      <c r="C1040" s="4" t="s">
        <v>2163</v>
      </c>
      <c r="D1040" s="7" t="s">
        <v>2201</v>
      </c>
      <c r="E1040" s="4" t="s">
        <v>2165</v>
      </c>
      <c r="F1040" s="4" t="s">
        <v>6</v>
      </c>
      <c r="G1040" s="8"/>
      <c r="H1040" s="6" t="str">
        <f aca="false">IF(G1040="","",G1040/SUMIFS($G$2:$G$1462,$F$2:$F$1462,"Served"))</f>
        <v/>
      </c>
      <c r="I1040" s="4" t="str">
        <f aca="false">IF(G1040="","",RANK(G1040,$G$2:$G$1462,0))</f>
        <v/>
      </c>
      <c r="J1040" s="4" t="s">
        <v>34</v>
      </c>
    </row>
    <row r="1041" customFormat="false" ht="15" hidden="false" customHeight="false" outlineLevel="0" collapsed="false">
      <c r="A1041" s="4" t="s">
        <v>2202</v>
      </c>
      <c r="B1041" s="4" t="s">
        <v>2162</v>
      </c>
      <c r="C1041" s="4" t="s">
        <v>2163</v>
      </c>
      <c r="D1041" s="7" t="s">
        <v>2203</v>
      </c>
      <c r="E1041" s="4" t="s">
        <v>2165</v>
      </c>
      <c r="F1041" s="4" t="s">
        <v>6</v>
      </c>
      <c r="G1041" s="8"/>
      <c r="H1041" s="6" t="str">
        <f aca="false">IF(G1041="","",G1041/SUMIFS($G$2:$G$1462,$F$2:$F$1462,"Served"))</f>
        <v/>
      </c>
      <c r="I1041" s="4" t="str">
        <f aca="false">IF(G1041="","",RANK(G1041,$G$2:$G$1462,0))</f>
        <v/>
      </c>
      <c r="J1041" s="4" t="s">
        <v>34</v>
      </c>
    </row>
    <row r="1042" customFormat="false" ht="15" hidden="false" customHeight="false" outlineLevel="0" collapsed="false">
      <c r="A1042" s="4" t="s">
        <v>2204</v>
      </c>
      <c r="B1042" s="4" t="s">
        <v>2162</v>
      </c>
      <c r="C1042" s="4" t="s">
        <v>2163</v>
      </c>
      <c r="D1042" s="7" t="s">
        <v>2205</v>
      </c>
      <c r="E1042" s="4" t="s">
        <v>2165</v>
      </c>
      <c r="F1042" s="4" t="s">
        <v>6</v>
      </c>
      <c r="G1042" s="8"/>
      <c r="H1042" s="6" t="str">
        <f aca="false">IF(G1042="","",G1042/SUMIFS($G$2:$G$1462,$F$2:$F$1462,"Served"))</f>
        <v/>
      </c>
      <c r="I1042" s="4" t="str">
        <f aca="false">IF(G1042="","",RANK(G1042,$G$2:$G$1462,0))</f>
        <v/>
      </c>
      <c r="J1042" s="4" t="s">
        <v>34</v>
      </c>
    </row>
    <row r="1043" customFormat="false" ht="15" hidden="false" customHeight="false" outlineLevel="0" collapsed="false">
      <c r="A1043" s="4" t="s">
        <v>2206</v>
      </c>
      <c r="B1043" s="4" t="s">
        <v>2162</v>
      </c>
      <c r="C1043" s="4" t="s">
        <v>2163</v>
      </c>
      <c r="D1043" s="7" t="s">
        <v>2207</v>
      </c>
      <c r="E1043" s="4" t="s">
        <v>2165</v>
      </c>
      <c r="F1043" s="4" t="s">
        <v>6</v>
      </c>
      <c r="G1043" s="8"/>
      <c r="H1043" s="6" t="str">
        <f aca="false">IF(G1043="","",G1043/SUMIFS($G$2:$G$1462,$F$2:$F$1462,"Served"))</f>
        <v/>
      </c>
      <c r="I1043" s="4" t="str">
        <f aca="false">IF(G1043="","",RANK(G1043,$G$2:$G$1462,0))</f>
        <v/>
      </c>
      <c r="J1043" s="4" t="s">
        <v>34</v>
      </c>
    </row>
    <row r="1044" customFormat="false" ht="15" hidden="false" customHeight="false" outlineLevel="0" collapsed="false">
      <c r="A1044" s="4" t="s">
        <v>2208</v>
      </c>
      <c r="B1044" s="4" t="s">
        <v>2162</v>
      </c>
      <c r="C1044" s="4" t="s">
        <v>2163</v>
      </c>
      <c r="D1044" s="7" t="s">
        <v>2209</v>
      </c>
      <c r="E1044" s="4" t="s">
        <v>2165</v>
      </c>
      <c r="F1044" s="4" t="s">
        <v>6</v>
      </c>
      <c r="G1044" s="8"/>
      <c r="H1044" s="6" t="str">
        <f aca="false">IF(G1044="","",G1044/SUMIFS($G$2:$G$1462,$F$2:$F$1462,"Served"))</f>
        <v/>
      </c>
      <c r="I1044" s="4" t="str">
        <f aca="false">IF(G1044="","",RANK(G1044,$G$2:$G$1462,0))</f>
        <v/>
      </c>
      <c r="J1044" s="4" t="s">
        <v>34</v>
      </c>
    </row>
    <row r="1045" customFormat="false" ht="15" hidden="false" customHeight="false" outlineLevel="0" collapsed="false">
      <c r="A1045" s="4" t="s">
        <v>2210</v>
      </c>
      <c r="B1045" s="4" t="s">
        <v>2162</v>
      </c>
      <c r="C1045" s="4" t="s">
        <v>2163</v>
      </c>
      <c r="D1045" s="7" t="s">
        <v>2211</v>
      </c>
      <c r="E1045" s="4" t="s">
        <v>2165</v>
      </c>
      <c r="F1045" s="4" t="s">
        <v>6</v>
      </c>
      <c r="G1045" s="8"/>
      <c r="H1045" s="6" t="str">
        <f aca="false">IF(G1045="","",G1045/SUMIFS($G$2:$G$1462,$F$2:$F$1462,"Served"))</f>
        <v/>
      </c>
      <c r="I1045" s="4" t="str">
        <f aca="false">IF(G1045="","",RANK(G1045,$G$2:$G$1462,0))</f>
        <v/>
      </c>
      <c r="J1045" s="4" t="s">
        <v>34</v>
      </c>
    </row>
    <row r="1046" customFormat="false" ht="15" hidden="false" customHeight="false" outlineLevel="0" collapsed="false">
      <c r="A1046" s="4" t="s">
        <v>2212</v>
      </c>
      <c r="B1046" s="4" t="s">
        <v>2162</v>
      </c>
      <c r="C1046" s="4" t="s">
        <v>2163</v>
      </c>
      <c r="D1046" s="7" t="s">
        <v>2213</v>
      </c>
      <c r="E1046" s="4" t="s">
        <v>2165</v>
      </c>
      <c r="F1046" s="4" t="s">
        <v>6</v>
      </c>
      <c r="G1046" s="8"/>
      <c r="H1046" s="6" t="str">
        <f aca="false">IF(G1046="","",G1046/SUMIFS($G$2:$G$1462,$F$2:$F$1462,"Served"))</f>
        <v/>
      </c>
      <c r="I1046" s="4" t="str">
        <f aca="false">IF(G1046="","",RANK(G1046,$G$2:$G$1462,0))</f>
        <v/>
      </c>
      <c r="J1046" s="4" t="s">
        <v>34</v>
      </c>
    </row>
    <row r="1047" customFormat="false" ht="15" hidden="false" customHeight="false" outlineLevel="0" collapsed="false">
      <c r="A1047" s="4" t="s">
        <v>2214</v>
      </c>
      <c r="B1047" s="4" t="s">
        <v>2162</v>
      </c>
      <c r="C1047" s="4" t="s">
        <v>2163</v>
      </c>
      <c r="D1047" s="7" t="s">
        <v>2215</v>
      </c>
      <c r="E1047" s="4" t="s">
        <v>2165</v>
      </c>
      <c r="F1047" s="4" t="s">
        <v>6</v>
      </c>
      <c r="G1047" s="8"/>
      <c r="H1047" s="6" t="str">
        <f aca="false">IF(G1047="","",G1047/SUMIFS($G$2:$G$1462,$F$2:$F$1462,"Served"))</f>
        <v/>
      </c>
      <c r="I1047" s="4" t="str">
        <f aca="false">IF(G1047="","",RANK(G1047,$G$2:$G$1462,0))</f>
        <v/>
      </c>
      <c r="J1047" s="4" t="s">
        <v>34</v>
      </c>
    </row>
    <row r="1048" customFormat="false" ht="15" hidden="false" customHeight="false" outlineLevel="0" collapsed="false">
      <c r="A1048" s="4" t="s">
        <v>2216</v>
      </c>
      <c r="B1048" s="4" t="s">
        <v>2162</v>
      </c>
      <c r="C1048" s="4" t="s">
        <v>2163</v>
      </c>
      <c r="D1048" s="7" t="s">
        <v>2217</v>
      </c>
      <c r="E1048" s="4" t="s">
        <v>2165</v>
      </c>
      <c r="F1048" s="4" t="s">
        <v>6</v>
      </c>
      <c r="G1048" s="8"/>
      <c r="H1048" s="6" t="str">
        <f aca="false">IF(G1048="","",G1048/SUMIFS($G$2:$G$1462,$F$2:$F$1462,"Served"))</f>
        <v/>
      </c>
      <c r="I1048" s="4" t="str">
        <f aca="false">IF(G1048="","",RANK(G1048,$G$2:$G$1462,0))</f>
        <v/>
      </c>
      <c r="J1048" s="4" t="s">
        <v>34</v>
      </c>
    </row>
    <row r="1049" customFormat="false" ht="15" hidden="false" customHeight="false" outlineLevel="0" collapsed="false">
      <c r="A1049" s="4" t="s">
        <v>2218</v>
      </c>
      <c r="B1049" s="4" t="s">
        <v>2162</v>
      </c>
      <c r="C1049" s="4" t="s">
        <v>2163</v>
      </c>
      <c r="D1049" s="7" t="s">
        <v>2219</v>
      </c>
      <c r="E1049" s="4" t="s">
        <v>2165</v>
      </c>
      <c r="F1049" s="4" t="s">
        <v>6</v>
      </c>
      <c r="G1049" s="8"/>
      <c r="H1049" s="6" t="str">
        <f aca="false">IF(G1049="","",G1049/SUMIFS($G$2:$G$1462,$F$2:$F$1462,"Served"))</f>
        <v/>
      </c>
      <c r="I1049" s="4" t="str">
        <f aca="false">IF(G1049="","",RANK(G1049,$G$2:$G$1462,0))</f>
        <v/>
      </c>
      <c r="J1049" s="4" t="s">
        <v>34</v>
      </c>
    </row>
    <row r="1050" customFormat="false" ht="15" hidden="false" customHeight="false" outlineLevel="0" collapsed="false">
      <c r="A1050" s="4" t="s">
        <v>2220</v>
      </c>
      <c r="B1050" s="4" t="s">
        <v>2162</v>
      </c>
      <c r="C1050" s="4" t="s">
        <v>2163</v>
      </c>
      <c r="D1050" s="7" t="s">
        <v>2221</v>
      </c>
      <c r="E1050" s="4" t="s">
        <v>2165</v>
      </c>
      <c r="F1050" s="4" t="s">
        <v>6</v>
      </c>
      <c r="G1050" s="8"/>
      <c r="H1050" s="6" t="str">
        <f aca="false">IF(G1050="","",G1050/SUMIFS($G$2:$G$1462,$F$2:$F$1462,"Served"))</f>
        <v/>
      </c>
      <c r="I1050" s="4" t="str">
        <f aca="false">IF(G1050="","",RANK(G1050,$G$2:$G$1462,0))</f>
        <v/>
      </c>
      <c r="J1050" s="4" t="s">
        <v>34</v>
      </c>
    </row>
    <row r="1051" customFormat="false" ht="15" hidden="false" customHeight="false" outlineLevel="0" collapsed="false">
      <c r="A1051" s="4" t="s">
        <v>2222</v>
      </c>
      <c r="B1051" s="4" t="s">
        <v>2162</v>
      </c>
      <c r="C1051" s="4" t="s">
        <v>2163</v>
      </c>
      <c r="D1051" s="7" t="s">
        <v>2223</v>
      </c>
      <c r="E1051" s="4" t="s">
        <v>2165</v>
      </c>
      <c r="F1051" s="4" t="s">
        <v>6</v>
      </c>
      <c r="G1051" s="8"/>
      <c r="H1051" s="6" t="str">
        <f aca="false">IF(G1051="","",G1051/SUMIFS($G$2:$G$1462,$F$2:$F$1462,"Served"))</f>
        <v/>
      </c>
      <c r="I1051" s="4" t="str">
        <f aca="false">IF(G1051="","",RANK(G1051,$G$2:$G$1462,0))</f>
        <v/>
      </c>
      <c r="J1051" s="4" t="s">
        <v>34</v>
      </c>
    </row>
    <row r="1052" customFormat="false" ht="15" hidden="false" customHeight="false" outlineLevel="0" collapsed="false">
      <c r="A1052" s="4" t="s">
        <v>2224</v>
      </c>
      <c r="B1052" s="4" t="s">
        <v>2162</v>
      </c>
      <c r="C1052" s="4" t="s">
        <v>2163</v>
      </c>
      <c r="D1052" s="7" t="s">
        <v>2225</v>
      </c>
      <c r="E1052" s="4" t="s">
        <v>2165</v>
      </c>
      <c r="F1052" s="4" t="s">
        <v>6</v>
      </c>
      <c r="G1052" s="8"/>
      <c r="H1052" s="6" t="str">
        <f aca="false">IF(G1052="","",G1052/SUMIFS($G$2:$G$1462,$F$2:$F$1462,"Served"))</f>
        <v/>
      </c>
      <c r="I1052" s="4" t="str">
        <f aca="false">IF(G1052="","",RANK(G1052,$G$2:$G$1462,0))</f>
        <v/>
      </c>
      <c r="J1052" s="4" t="s">
        <v>34</v>
      </c>
    </row>
    <row r="1053" customFormat="false" ht="15" hidden="false" customHeight="false" outlineLevel="0" collapsed="false">
      <c r="A1053" s="4" t="s">
        <v>2226</v>
      </c>
      <c r="B1053" s="4" t="s">
        <v>2162</v>
      </c>
      <c r="C1053" s="4" t="s">
        <v>2163</v>
      </c>
      <c r="D1053" s="7" t="s">
        <v>2227</v>
      </c>
      <c r="E1053" s="4" t="s">
        <v>2165</v>
      </c>
      <c r="F1053" s="4" t="s">
        <v>6</v>
      </c>
      <c r="G1053" s="8"/>
      <c r="H1053" s="6" t="str">
        <f aca="false">IF(G1053="","",G1053/SUMIFS($G$2:$G$1462,$F$2:$F$1462,"Served"))</f>
        <v/>
      </c>
      <c r="I1053" s="4" t="str">
        <f aca="false">IF(G1053="","",RANK(G1053,$G$2:$G$1462,0))</f>
        <v/>
      </c>
      <c r="J1053" s="4" t="s">
        <v>34</v>
      </c>
    </row>
    <row r="1054" customFormat="false" ht="15" hidden="false" customHeight="false" outlineLevel="0" collapsed="false">
      <c r="A1054" s="4" t="s">
        <v>2228</v>
      </c>
      <c r="B1054" s="4" t="s">
        <v>2162</v>
      </c>
      <c r="C1054" s="4" t="s">
        <v>2163</v>
      </c>
      <c r="D1054" s="7" t="s">
        <v>2229</v>
      </c>
      <c r="E1054" s="4" t="s">
        <v>2165</v>
      </c>
      <c r="F1054" s="4" t="s">
        <v>6</v>
      </c>
      <c r="G1054" s="8"/>
      <c r="H1054" s="6" t="str">
        <f aca="false">IF(G1054="","",G1054/SUMIFS($G$2:$G$1462,$F$2:$F$1462,"Served"))</f>
        <v/>
      </c>
      <c r="I1054" s="4" t="str">
        <f aca="false">IF(G1054="","",RANK(G1054,$G$2:$G$1462,0))</f>
        <v/>
      </c>
      <c r="J1054" s="4" t="s">
        <v>34</v>
      </c>
    </row>
    <row r="1055" customFormat="false" ht="15" hidden="false" customHeight="false" outlineLevel="0" collapsed="false">
      <c r="A1055" s="4" t="s">
        <v>2230</v>
      </c>
      <c r="B1055" s="4" t="s">
        <v>2162</v>
      </c>
      <c r="C1055" s="4" t="s">
        <v>2163</v>
      </c>
      <c r="D1055" s="7" t="s">
        <v>2231</v>
      </c>
      <c r="E1055" s="4" t="s">
        <v>2165</v>
      </c>
      <c r="F1055" s="4" t="s">
        <v>6</v>
      </c>
      <c r="G1055" s="8"/>
      <c r="H1055" s="6" t="str">
        <f aca="false">IF(G1055="","",G1055/SUMIFS($G$2:$G$1462,$F$2:$F$1462,"Served"))</f>
        <v/>
      </c>
      <c r="I1055" s="4" t="str">
        <f aca="false">IF(G1055="","",RANK(G1055,$G$2:$G$1462,0))</f>
        <v/>
      </c>
      <c r="J1055" s="4" t="s">
        <v>34</v>
      </c>
    </row>
    <row r="1056" customFormat="false" ht="15" hidden="false" customHeight="false" outlineLevel="0" collapsed="false">
      <c r="A1056" s="4" t="s">
        <v>2232</v>
      </c>
      <c r="B1056" s="4" t="s">
        <v>2162</v>
      </c>
      <c r="C1056" s="4" t="s">
        <v>2163</v>
      </c>
      <c r="D1056" s="7" t="s">
        <v>2233</v>
      </c>
      <c r="E1056" s="4" t="s">
        <v>2165</v>
      </c>
      <c r="F1056" s="4" t="s">
        <v>6</v>
      </c>
      <c r="G1056" s="8"/>
      <c r="H1056" s="6" t="str">
        <f aca="false">IF(G1056="","",G1056/SUMIFS($G$2:$G$1462,$F$2:$F$1462,"Served"))</f>
        <v/>
      </c>
      <c r="I1056" s="4" t="str">
        <f aca="false">IF(G1056="","",RANK(G1056,$G$2:$G$1462,0))</f>
        <v/>
      </c>
      <c r="J1056" s="4" t="s">
        <v>34</v>
      </c>
    </row>
    <row r="1057" customFormat="false" ht="15" hidden="false" customHeight="false" outlineLevel="0" collapsed="false">
      <c r="A1057" s="4" t="s">
        <v>2234</v>
      </c>
      <c r="B1057" s="4" t="s">
        <v>2162</v>
      </c>
      <c r="C1057" s="4" t="s">
        <v>2163</v>
      </c>
      <c r="D1057" s="7" t="s">
        <v>2235</v>
      </c>
      <c r="E1057" s="4" t="s">
        <v>2165</v>
      </c>
      <c r="F1057" s="4" t="s">
        <v>6</v>
      </c>
      <c r="G1057" s="8"/>
      <c r="H1057" s="6" t="str">
        <f aca="false">IF(G1057="","",G1057/SUMIFS($G$2:$G$1462,$F$2:$F$1462,"Served"))</f>
        <v/>
      </c>
      <c r="I1057" s="4" t="str">
        <f aca="false">IF(G1057="","",RANK(G1057,$G$2:$G$1462,0))</f>
        <v/>
      </c>
      <c r="J1057" s="4" t="s">
        <v>34</v>
      </c>
    </row>
    <row r="1058" customFormat="false" ht="15" hidden="false" customHeight="false" outlineLevel="0" collapsed="false">
      <c r="A1058" s="4" t="s">
        <v>2236</v>
      </c>
      <c r="B1058" s="4" t="s">
        <v>2162</v>
      </c>
      <c r="C1058" s="4" t="s">
        <v>2163</v>
      </c>
      <c r="D1058" s="7" t="s">
        <v>2237</v>
      </c>
      <c r="E1058" s="4" t="s">
        <v>2165</v>
      </c>
      <c r="F1058" s="4" t="s">
        <v>6</v>
      </c>
      <c r="G1058" s="8"/>
      <c r="H1058" s="6" t="str">
        <f aca="false">IF(G1058="","",G1058/SUMIFS($G$2:$G$1462,$F$2:$F$1462,"Served"))</f>
        <v/>
      </c>
      <c r="I1058" s="4" t="str">
        <f aca="false">IF(G1058="","",RANK(G1058,$G$2:$G$1462,0))</f>
        <v/>
      </c>
      <c r="J1058" s="4" t="s">
        <v>34</v>
      </c>
    </row>
    <row r="1059" customFormat="false" ht="15" hidden="false" customHeight="false" outlineLevel="0" collapsed="false">
      <c r="A1059" s="4" t="s">
        <v>2238</v>
      </c>
      <c r="B1059" s="4" t="s">
        <v>2239</v>
      </c>
      <c r="C1059" s="4" t="s">
        <v>2240</v>
      </c>
      <c r="D1059" s="7" t="s">
        <v>2241</v>
      </c>
      <c r="E1059" s="4" t="s">
        <v>2242</v>
      </c>
      <c r="F1059" s="4" t="s">
        <v>6</v>
      </c>
      <c r="G1059" s="8"/>
      <c r="H1059" s="6" t="str">
        <f aca="false">IF(G1059="","",G1059/SUMIFS($G$2:$G$1462,$F$2:$F$1462,"Served"))</f>
        <v/>
      </c>
      <c r="I1059" s="4" t="str">
        <f aca="false">IF(G1059="","",RANK(G1059,$G$2:$G$1462,0))</f>
        <v/>
      </c>
      <c r="J1059" s="4" t="s">
        <v>34</v>
      </c>
    </row>
    <row r="1060" customFormat="false" ht="15" hidden="false" customHeight="false" outlineLevel="0" collapsed="false">
      <c r="A1060" s="4" t="s">
        <v>2243</v>
      </c>
      <c r="B1060" s="4" t="s">
        <v>2239</v>
      </c>
      <c r="C1060" s="4" t="s">
        <v>2240</v>
      </c>
      <c r="D1060" s="7" t="s">
        <v>2244</v>
      </c>
      <c r="E1060" s="4" t="s">
        <v>2242</v>
      </c>
      <c r="F1060" s="4" t="s">
        <v>6</v>
      </c>
      <c r="G1060" s="8"/>
      <c r="H1060" s="6" t="str">
        <f aca="false">IF(G1060="","",G1060/SUMIFS($G$2:$G$1462,$F$2:$F$1462,"Served"))</f>
        <v/>
      </c>
      <c r="I1060" s="4" t="str">
        <f aca="false">IF(G1060="","",RANK(G1060,$G$2:$G$1462,0))</f>
        <v/>
      </c>
      <c r="J1060" s="4" t="s">
        <v>34</v>
      </c>
    </row>
    <row r="1061" customFormat="false" ht="15" hidden="false" customHeight="false" outlineLevel="0" collapsed="false">
      <c r="A1061" s="4" t="s">
        <v>2245</v>
      </c>
      <c r="B1061" s="4" t="s">
        <v>2239</v>
      </c>
      <c r="C1061" s="4" t="s">
        <v>2240</v>
      </c>
      <c r="D1061" s="7" t="s">
        <v>2246</v>
      </c>
      <c r="E1061" s="4" t="s">
        <v>2242</v>
      </c>
      <c r="F1061" s="4" t="s">
        <v>6</v>
      </c>
      <c r="G1061" s="8"/>
      <c r="H1061" s="6" t="str">
        <f aca="false">IF(G1061="","",G1061/SUMIFS($G$2:$G$1462,$F$2:$F$1462,"Served"))</f>
        <v/>
      </c>
      <c r="I1061" s="4" t="str">
        <f aca="false">IF(G1061="","",RANK(G1061,$G$2:$G$1462,0))</f>
        <v/>
      </c>
      <c r="J1061" s="4" t="s">
        <v>34</v>
      </c>
    </row>
    <row r="1062" customFormat="false" ht="15" hidden="false" customHeight="false" outlineLevel="0" collapsed="false">
      <c r="A1062" s="4" t="s">
        <v>2247</v>
      </c>
      <c r="B1062" s="4" t="s">
        <v>2239</v>
      </c>
      <c r="C1062" s="4" t="s">
        <v>2240</v>
      </c>
      <c r="D1062" s="7" t="s">
        <v>2248</v>
      </c>
      <c r="E1062" s="4" t="s">
        <v>2242</v>
      </c>
      <c r="F1062" s="4" t="s">
        <v>6</v>
      </c>
      <c r="G1062" s="8"/>
      <c r="H1062" s="6" t="str">
        <f aca="false">IF(G1062="","",G1062/SUMIFS($G$2:$G$1462,$F$2:$F$1462,"Served"))</f>
        <v/>
      </c>
      <c r="I1062" s="4" t="str">
        <f aca="false">IF(G1062="","",RANK(G1062,$G$2:$G$1462,0))</f>
        <v/>
      </c>
      <c r="J1062" s="4" t="s">
        <v>34</v>
      </c>
    </row>
    <row r="1063" customFormat="false" ht="15" hidden="false" customHeight="false" outlineLevel="0" collapsed="false">
      <c r="A1063" s="4" t="s">
        <v>2249</v>
      </c>
      <c r="B1063" s="4" t="s">
        <v>2239</v>
      </c>
      <c r="C1063" s="4" t="s">
        <v>2240</v>
      </c>
      <c r="D1063" s="7" t="s">
        <v>2250</v>
      </c>
      <c r="E1063" s="4" t="s">
        <v>2242</v>
      </c>
      <c r="F1063" s="4" t="s">
        <v>6</v>
      </c>
      <c r="G1063" s="8"/>
      <c r="H1063" s="6" t="str">
        <f aca="false">IF(G1063="","",G1063/SUMIFS($G$2:$G$1462,$F$2:$F$1462,"Served"))</f>
        <v/>
      </c>
      <c r="I1063" s="4" t="str">
        <f aca="false">IF(G1063="","",RANK(G1063,$G$2:$G$1462,0))</f>
        <v/>
      </c>
      <c r="J1063" s="4" t="s">
        <v>34</v>
      </c>
    </row>
    <row r="1064" customFormat="false" ht="15" hidden="false" customHeight="false" outlineLevel="0" collapsed="false">
      <c r="A1064" s="4" t="s">
        <v>2251</v>
      </c>
      <c r="B1064" s="4" t="s">
        <v>2239</v>
      </c>
      <c r="C1064" s="4" t="s">
        <v>2240</v>
      </c>
      <c r="D1064" s="7" t="s">
        <v>2252</v>
      </c>
      <c r="E1064" s="4" t="s">
        <v>2242</v>
      </c>
      <c r="F1064" s="4" t="s">
        <v>6</v>
      </c>
      <c r="G1064" s="8"/>
      <c r="H1064" s="6" t="str">
        <f aca="false">IF(G1064="","",G1064/SUMIFS($G$2:$G$1462,$F$2:$F$1462,"Served"))</f>
        <v/>
      </c>
      <c r="I1064" s="4" t="str">
        <f aca="false">IF(G1064="","",RANK(G1064,$G$2:$G$1462,0))</f>
        <v/>
      </c>
      <c r="J1064" s="4" t="s">
        <v>34</v>
      </c>
    </row>
    <row r="1065" customFormat="false" ht="15" hidden="false" customHeight="false" outlineLevel="0" collapsed="false">
      <c r="A1065" s="4" t="s">
        <v>2253</v>
      </c>
      <c r="B1065" s="4" t="s">
        <v>2254</v>
      </c>
      <c r="C1065" s="4" t="s">
        <v>2255</v>
      </c>
      <c r="D1065" s="7" t="s">
        <v>2256</v>
      </c>
      <c r="E1065" s="4" t="s">
        <v>2257</v>
      </c>
      <c r="F1065" s="4" t="s">
        <v>6</v>
      </c>
      <c r="G1065" s="8"/>
      <c r="H1065" s="6" t="str">
        <f aca="false">IF(G1065="","",G1065/SUMIFS($G$2:$G$1462,$F$2:$F$1462,"Served"))</f>
        <v/>
      </c>
      <c r="I1065" s="4" t="str">
        <f aca="false">IF(G1065="","",RANK(G1065,$G$2:$G$1462,0))</f>
        <v/>
      </c>
      <c r="J1065" s="4" t="s">
        <v>34</v>
      </c>
    </row>
    <row r="1066" customFormat="false" ht="15" hidden="false" customHeight="false" outlineLevel="0" collapsed="false">
      <c r="A1066" s="4" t="s">
        <v>2258</v>
      </c>
      <c r="B1066" s="4" t="s">
        <v>2254</v>
      </c>
      <c r="C1066" s="4" t="s">
        <v>2255</v>
      </c>
      <c r="D1066" s="7" t="s">
        <v>2259</v>
      </c>
      <c r="E1066" s="4" t="s">
        <v>2257</v>
      </c>
      <c r="F1066" s="4" t="s">
        <v>6</v>
      </c>
      <c r="G1066" s="8"/>
      <c r="H1066" s="6" t="str">
        <f aca="false">IF(G1066="","",G1066/SUMIFS($G$2:$G$1462,$F$2:$F$1462,"Served"))</f>
        <v/>
      </c>
      <c r="I1066" s="4" t="str">
        <f aca="false">IF(G1066="","",RANK(G1066,$G$2:$G$1462,0))</f>
        <v/>
      </c>
      <c r="J1066" s="4" t="s">
        <v>34</v>
      </c>
    </row>
    <row r="1067" customFormat="false" ht="15" hidden="false" customHeight="false" outlineLevel="0" collapsed="false">
      <c r="A1067" s="4" t="s">
        <v>2260</v>
      </c>
      <c r="B1067" s="4" t="s">
        <v>2254</v>
      </c>
      <c r="C1067" s="4" t="s">
        <v>2255</v>
      </c>
      <c r="D1067" s="7" t="s">
        <v>2261</v>
      </c>
      <c r="E1067" s="4" t="s">
        <v>2257</v>
      </c>
      <c r="F1067" s="4" t="s">
        <v>6</v>
      </c>
      <c r="G1067" s="8"/>
      <c r="H1067" s="6" t="str">
        <f aca="false">IF(G1067="","",G1067/SUMIFS($G$2:$G$1462,$F$2:$F$1462,"Served"))</f>
        <v/>
      </c>
      <c r="I1067" s="4" t="str">
        <f aca="false">IF(G1067="","",RANK(G1067,$G$2:$G$1462,0))</f>
        <v/>
      </c>
      <c r="J1067" s="4" t="s">
        <v>34</v>
      </c>
    </row>
    <row r="1068" customFormat="false" ht="15" hidden="false" customHeight="false" outlineLevel="0" collapsed="false">
      <c r="A1068" s="4" t="s">
        <v>2262</v>
      </c>
      <c r="B1068" s="4" t="s">
        <v>2254</v>
      </c>
      <c r="C1068" s="4" t="s">
        <v>2255</v>
      </c>
      <c r="D1068" s="7" t="s">
        <v>2263</v>
      </c>
      <c r="E1068" s="4" t="s">
        <v>2257</v>
      </c>
      <c r="F1068" s="4" t="s">
        <v>6</v>
      </c>
      <c r="G1068" s="8"/>
      <c r="H1068" s="6" t="str">
        <f aca="false">IF(G1068="","",G1068/SUMIFS($G$2:$G$1462,$F$2:$F$1462,"Served"))</f>
        <v/>
      </c>
      <c r="I1068" s="4" t="str">
        <f aca="false">IF(G1068="","",RANK(G1068,$G$2:$G$1462,0))</f>
        <v/>
      </c>
      <c r="J1068" s="4" t="s">
        <v>34</v>
      </c>
    </row>
    <row r="1069" customFormat="false" ht="15" hidden="false" customHeight="false" outlineLevel="0" collapsed="false">
      <c r="A1069" s="4" t="s">
        <v>2264</v>
      </c>
      <c r="B1069" s="4" t="s">
        <v>2254</v>
      </c>
      <c r="C1069" s="4" t="s">
        <v>2255</v>
      </c>
      <c r="D1069" s="7" t="s">
        <v>2265</v>
      </c>
      <c r="E1069" s="4" t="s">
        <v>2257</v>
      </c>
      <c r="F1069" s="4" t="s">
        <v>6</v>
      </c>
      <c r="G1069" s="8"/>
      <c r="H1069" s="6" t="str">
        <f aca="false">IF(G1069="","",G1069/SUMIFS($G$2:$G$1462,$F$2:$F$1462,"Served"))</f>
        <v/>
      </c>
      <c r="I1069" s="4" t="str">
        <f aca="false">IF(G1069="","",RANK(G1069,$G$2:$G$1462,0))</f>
        <v/>
      </c>
      <c r="J1069" s="4" t="s">
        <v>34</v>
      </c>
    </row>
    <row r="1070" customFormat="false" ht="15" hidden="false" customHeight="false" outlineLevel="0" collapsed="false">
      <c r="A1070" s="4" t="s">
        <v>2266</v>
      </c>
      <c r="B1070" s="4" t="s">
        <v>2254</v>
      </c>
      <c r="C1070" s="4" t="s">
        <v>2255</v>
      </c>
      <c r="D1070" s="7" t="s">
        <v>2267</v>
      </c>
      <c r="E1070" s="4" t="s">
        <v>2257</v>
      </c>
      <c r="F1070" s="4" t="s">
        <v>6</v>
      </c>
      <c r="G1070" s="8"/>
      <c r="H1070" s="6" t="str">
        <f aca="false">IF(G1070="","",G1070/SUMIFS($G$2:$G$1462,$F$2:$F$1462,"Served"))</f>
        <v/>
      </c>
      <c r="I1070" s="4" t="str">
        <f aca="false">IF(G1070="","",RANK(G1070,$G$2:$G$1462,0))</f>
        <v/>
      </c>
      <c r="J1070" s="4" t="s">
        <v>34</v>
      </c>
    </row>
    <row r="1071" customFormat="false" ht="15" hidden="false" customHeight="false" outlineLevel="0" collapsed="false">
      <c r="A1071" s="4" t="s">
        <v>2268</v>
      </c>
      <c r="B1071" s="4" t="s">
        <v>2254</v>
      </c>
      <c r="C1071" s="4" t="s">
        <v>2255</v>
      </c>
      <c r="D1071" s="7" t="s">
        <v>2269</v>
      </c>
      <c r="E1071" s="4" t="s">
        <v>2257</v>
      </c>
      <c r="F1071" s="4" t="s">
        <v>6</v>
      </c>
      <c r="G1071" s="8"/>
      <c r="H1071" s="6" t="str">
        <f aca="false">IF(G1071="","",G1071/SUMIFS($G$2:$G$1462,$F$2:$F$1462,"Served"))</f>
        <v/>
      </c>
      <c r="I1071" s="4" t="str">
        <f aca="false">IF(G1071="","",RANK(G1071,$G$2:$G$1462,0))</f>
        <v/>
      </c>
      <c r="J1071" s="4" t="s">
        <v>34</v>
      </c>
    </row>
    <row r="1072" customFormat="false" ht="15" hidden="false" customHeight="false" outlineLevel="0" collapsed="false">
      <c r="A1072" s="4" t="s">
        <v>2270</v>
      </c>
      <c r="B1072" s="4" t="s">
        <v>2254</v>
      </c>
      <c r="C1072" s="4" t="s">
        <v>2255</v>
      </c>
      <c r="D1072" s="7" t="s">
        <v>2271</v>
      </c>
      <c r="E1072" s="4" t="s">
        <v>2257</v>
      </c>
      <c r="F1072" s="4" t="s">
        <v>6</v>
      </c>
      <c r="G1072" s="8"/>
      <c r="H1072" s="6" t="str">
        <f aca="false">IF(G1072="","",G1072/SUMIFS($G$2:$G$1462,$F$2:$F$1462,"Served"))</f>
        <v/>
      </c>
      <c r="I1072" s="4" t="str">
        <f aca="false">IF(G1072="","",RANK(G1072,$G$2:$G$1462,0))</f>
        <v/>
      </c>
      <c r="J1072" s="4" t="s">
        <v>34</v>
      </c>
    </row>
    <row r="1073" customFormat="false" ht="15" hidden="false" customHeight="false" outlineLevel="0" collapsed="false">
      <c r="A1073" s="4" t="s">
        <v>2272</v>
      </c>
      <c r="B1073" s="4" t="s">
        <v>2254</v>
      </c>
      <c r="C1073" s="4" t="s">
        <v>2255</v>
      </c>
      <c r="D1073" s="7" t="s">
        <v>2273</v>
      </c>
      <c r="E1073" s="4" t="s">
        <v>2257</v>
      </c>
      <c r="F1073" s="4" t="s">
        <v>6</v>
      </c>
      <c r="G1073" s="8"/>
      <c r="H1073" s="6" t="str">
        <f aca="false">IF(G1073="","",G1073/SUMIFS($G$2:$G$1462,$F$2:$F$1462,"Served"))</f>
        <v/>
      </c>
      <c r="I1073" s="4" t="str">
        <f aca="false">IF(G1073="","",RANK(G1073,$G$2:$G$1462,0))</f>
        <v/>
      </c>
      <c r="J1073" s="4" t="s">
        <v>34</v>
      </c>
    </row>
    <row r="1074" customFormat="false" ht="15" hidden="false" customHeight="false" outlineLevel="0" collapsed="false">
      <c r="A1074" s="4" t="s">
        <v>2274</v>
      </c>
      <c r="B1074" s="4" t="s">
        <v>2254</v>
      </c>
      <c r="C1074" s="4" t="s">
        <v>2255</v>
      </c>
      <c r="D1074" s="7" t="s">
        <v>2275</v>
      </c>
      <c r="E1074" s="4" t="s">
        <v>2257</v>
      </c>
      <c r="F1074" s="4" t="s">
        <v>6</v>
      </c>
      <c r="G1074" s="8"/>
      <c r="H1074" s="6" t="str">
        <f aca="false">IF(G1074="","",G1074/SUMIFS($G$2:$G$1462,$F$2:$F$1462,"Served"))</f>
        <v/>
      </c>
      <c r="I1074" s="4" t="str">
        <f aca="false">IF(G1074="","",RANK(G1074,$G$2:$G$1462,0))</f>
        <v/>
      </c>
      <c r="J1074" s="4" t="s">
        <v>34</v>
      </c>
    </row>
    <row r="1075" customFormat="false" ht="15" hidden="false" customHeight="false" outlineLevel="0" collapsed="false">
      <c r="A1075" s="4" t="s">
        <v>2276</v>
      </c>
      <c r="B1075" s="4" t="s">
        <v>2254</v>
      </c>
      <c r="C1075" s="4" t="s">
        <v>2255</v>
      </c>
      <c r="D1075" s="7" t="s">
        <v>2277</v>
      </c>
      <c r="E1075" s="4" t="s">
        <v>2257</v>
      </c>
      <c r="F1075" s="4" t="s">
        <v>6</v>
      </c>
      <c r="G1075" s="8"/>
      <c r="H1075" s="6" t="str">
        <f aca="false">IF(G1075="","",G1075/SUMIFS($G$2:$G$1462,$F$2:$F$1462,"Served"))</f>
        <v/>
      </c>
      <c r="I1075" s="4" t="str">
        <f aca="false">IF(G1075="","",RANK(G1075,$G$2:$G$1462,0))</f>
        <v/>
      </c>
      <c r="J1075" s="4" t="s">
        <v>34</v>
      </c>
    </row>
    <row r="1076" customFormat="false" ht="15" hidden="false" customHeight="false" outlineLevel="0" collapsed="false">
      <c r="A1076" s="4" t="s">
        <v>2278</v>
      </c>
      <c r="B1076" s="4" t="s">
        <v>2254</v>
      </c>
      <c r="C1076" s="4" t="s">
        <v>2255</v>
      </c>
      <c r="D1076" s="7" t="s">
        <v>2279</v>
      </c>
      <c r="E1076" s="4" t="s">
        <v>2257</v>
      </c>
      <c r="F1076" s="4" t="s">
        <v>6</v>
      </c>
      <c r="G1076" s="8"/>
      <c r="H1076" s="6" t="str">
        <f aca="false">IF(G1076="","",G1076/SUMIFS($G$2:$G$1462,$F$2:$F$1462,"Served"))</f>
        <v/>
      </c>
      <c r="I1076" s="4" t="str">
        <f aca="false">IF(G1076="","",RANK(G1076,$G$2:$G$1462,0))</f>
        <v/>
      </c>
      <c r="J1076" s="4" t="s">
        <v>34</v>
      </c>
    </row>
    <row r="1077" customFormat="false" ht="15" hidden="false" customHeight="false" outlineLevel="0" collapsed="false">
      <c r="A1077" s="4" t="s">
        <v>2280</v>
      </c>
      <c r="B1077" s="4" t="s">
        <v>2254</v>
      </c>
      <c r="C1077" s="4" t="s">
        <v>2255</v>
      </c>
      <c r="D1077" s="7" t="s">
        <v>2281</v>
      </c>
      <c r="E1077" s="4" t="s">
        <v>2257</v>
      </c>
      <c r="F1077" s="4" t="s">
        <v>6</v>
      </c>
      <c r="G1077" s="8"/>
      <c r="H1077" s="6" t="str">
        <f aca="false">IF(G1077="","",G1077/SUMIFS($G$2:$G$1462,$F$2:$F$1462,"Served"))</f>
        <v/>
      </c>
      <c r="I1077" s="4" t="str">
        <f aca="false">IF(G1077="","",RANK(G1077,$G$2:$G$1462,0))</f>
        <v/>
      </c>
      <c r="J1077" s="4" t="s">
        <v>34</v>
      </c>
    </row>
    <row r="1078" customFormat="false" ht="15" hidden="false" customHeight="false" outlineLevel="0" collapsed="false">
      <c r="A1078" s="4" t="s">
        <v>2282</v>
      </c>
      <c r="B1078" s="4" t="s">
        <v>2254</v>
      </c>
      <c r="C1078" s="4" t="s">
        <v>2255</v>
      </c>
      <c r="D1078" s="7" t="s">
        <v>2283</v>
      </c>
      <c r="E1078" s="4" t="s">
        <v>2257</v>
      </c>
      <c r="F1078" s="4" t="s">
        <v>6</v>
      </c>
      <c r="G1078" s="8"/>
      <c r="H1078" s="6" t="str">
        <f aca="false">IF(G1078="","",G1078/SUMIFS($G$2:$G$1462,$F$2:$F$1462,"Served"))</f>
        <v/>
      </c>
      <c r="I1078" s="4" t="str">
        <f aca="false">IF(G1078="","",RANK(G1078,$G$2:$G$1462,0))</f>
        <v/>
      </c>
      <c r="J1078" s="4" t="s">
        <v>34</v>
      </c>
    </row>
    <row r="1079" customFormat="false" ht="15" hidden="false" customHeight="false" outlineLevel="0" collapsed="false">
      <c r="A1079" s="4" t="s">
        <v>2284</v>
      </c>
      <c r="B1079" s="4" t="s">
        <v>2254</v>
      </c>
      <c r="C1079" s="4" t="s">
        <v>2255</v>
      </c>
      <c r="D1079" s="7" t="s">
        <v>2285</v>
      </c>
      <c r="E1079" s="4" t="s">
        <v>2257</v>
      </c>
      <c r="F1079" s="4" t="s">
        <v>6</v>
      </c>
      <c r="G1079" s="8"/>
      <c r="H1079" s="6" t="str">
        <f aca="false">IF(G1079="","",G1079/SUMIFS($G$2:$G$1462,$F$2:$F$1462,"Served"))</f>
        <v/>
      </c>
      <c r="I1079" s="4" t="str">
        <f aca="false">IF(G1079="","",RANK(G1079,$G$2:$G$1462,0))</f>
        <v/>
      </c>
      <c r="J1079" s="4" t="s">
        <v>34</v>
      </c>
    </row>
    <row r="1080" customFormat="false" ht="15" hidden="false" customHeight="false" outlineLevel="0" collapsed="false">
      <c r="A1080" s="4" t="s">
        <v>2286</v>
      </c>
      <c r="B1080" s="4" t="s">
        <v>2254</v>
      </c>
      <c r="C1080" s="4" t="s">
        <v>2255</v>
      </c>
      <c r="D1080" s="7" t="s">
        <v>2287</v>
      </c>
      <c r="E1080" s="4" t="s">
        <v>2257</v>
      </c>
      <c r="F1080" s="4" t="s">
        <v>6</v>
      </c>
      <c r="G1080" s="8"/>
      <c r="H1080" s="6" t="str">
        <f aca="false">IF(G1080="","",G1080/SUMIFS($G$2:$G$1462,$F$2:$F$1462,"Served"))</f>
        <v/>
      </c>
      <c r="I1080" s="4" t="str">
        <f aca="false">IF(G1080="","",RANK(G1080,$G$2:$G$1462,0))</f>
        <v/>
      </c>
      <c r="J1080" s="4" t="s">
        <v>34</v>
      </c>
    </row>
    <row r="1081" customFormat="false" ht="15" hidden="false" customHeight="false" outlineLevel="0" collapsed="false">
      <c r="A1081" s="4" t="s">
        <v>2288</v>
      </c>
      <c r="B1081" s="4" t="s">
        <v>2254</v>
      </c>
      <c r="C1081" s="4" t="s">
        <v>2255</v>
      </c>
      <c r="D1081" s="7" t="s">
        <v>2289</v>
      </c>
      <c r="E1081" s="4" t="s">
        <v>2257</v>
      </c>
      <c r="F1081" s="4" t="s">
        <v>6</v>
      </c>
      <c r="G1081" s="8"/>
      <c r="H1081" s="6" t="str">
        <f aca="false">IF(G1081="","",G1081/SUMIFS($G$2:$G$1462,$F$2:$F$1462,"Served"))</f>
        <v/>
      </c>
      <c r="I1081" s="4" t="str">
        <f aca="false">IF(G1081="","",RANK(G1081,$G$2:$G$1462,0))</f>
        <v/>
      </c>
      <c r="J1081" s="4" t="s">
        <v>34</v>
      </c>
    </row>
    <row r="1082" customFormat="false" ht="15" hidden="false" customHeight="false" outlineLevel="0" collapsed="false">
      <c r="A1082" s="4" t="s">
        <v>2290</v>
      </c>
      <c r="B1082" s="4" t="s">
        <v>2254</v>
      </c>
      <c r="C1082" s="4" t="s">
        <v>2255</v>
      </c>
      <c r="D1082" s="7" t="s">
        <v>2291</v>
      </c>
      <c r="E1082" s="4" t="s">
        <v>2257</v>
      </c>
      <c r="F1082" s="4" t="s">
        <v>6</v>
      </c>
      <c r="G1082" s="8"/>
      <c r="H1082" s="6" t="str">
        <f aca="false">IF(G1082="","",G1082/SUMIFS($G$2:$G$1462,$F$2:$F$1462,"Served"))</f>
        <v/>
      </c>
      <c r="I1082" s="4" t="str">
        <f aca="false">IF(G1082="","",RANK(G1082,$G$2:$G$1462,0))</f>
        <v/>
      </c>
      <c r="J1082" s="4" t="s">
        <v>34</v>
      </c>
    </row>
    <row r="1083" customFormat="false" ht="15" hidden="false" customHeight="false" outlineLevel="0" collapsed="false">
      <c r="A1083" s="4" t="s">
        <v>2292</v>
      </c>
      <c r="B1083" s="4" t="s">
        <v>2254</v>
      </c>
      <c r="C1083" s="4" t="s">
        <v>2255</v>
      </c>
      <c r="D1083" s="7" t="s">
        <v>2293</v>
      </c>
      <c r="E1083" s="4" t="s">
        <v>2257</v>
      </c>
      <c r="F1083" s="4" t="s">
        <v>6</v>
      </c>
      <c r="G1083" s="8"/>
      <c r="H1083" s="6" t="str">
        <f aca="false">IF(G1083="","",G1083/SUMIFS($G$2:$G$1462,$F$2:$F$1462,"Served"))</f>
        <v/>
      </c>
      <c r="I1083" s="4" t="str">
        <f aca="false">IF(G1083="","",RANK(G1083,$G$2:$G$1462,0))</f>
        <v/>
      </c>
      <c r="J1083" s="4" t="s">
        <v>34</v>
      </c>
    </row>
    <row r="1084" customFormat="false" ht="15" hidden="false" customHeight="false" outlineLevel="0" collapsed="false">
      <c r="A1084" s="4" t="s">
        <v>2294</v>
      </c>
      <c r="B1084" s="4" t="s">
        <v>2254</v>
      </c>
      <c r="C1084" s="4" t="s">
        <v>2255</v>
      </c>
      <c r="D1084" s="7" t="s">
        <v>2295</v>
      </c>
      <c r="E1084" s="4" t="s">
        <v>2257</v>
      </c>
      <c r="F1084" s="4" t="s">
        <v>6</v>
      </c>
      <c r="G1084" s="8"/>
      <c r="H1084" s="6" t="str">
        <f aca="false">IF(G1084="","",G1084/SUMIFS($G$2:$G$1462,$F$2:$F$1462,"Served"))</f>
        <v/>
      </c>
      <c r="I1084" s="4" t="str">
        <f aca="false">IF(G1084="","",RANK(G1084,$G$2:$G$1462,0))</f>
        <v/>
      </c>
      <c r="J1084" s="4" t="s">
        <v>34</v>
      </c>
    </row>
    <row r="1085" customFormat="false" ht="15" hidden="false" customHeight="false" outlineLevel="0" collapsed="false">
      <c r="A1085" s="4" t="s">
        <v>2296</v>
      </c>
      <c r="B1085" s="4" t="s">
        <v>2254</v>
      </c>
      <c r="C1085" s="4" t="s">
        <v>2255</v>
      </c>
      <c r="D1085" s="7" t="s">
        <v>2297</v>
      </c>
      <c r="E1085" s="4" t="s">
        <v>2257</v>
      </c>
      <c r="F1085" s="4" t="s">
        <v>6</v>
      </c>
      <c r="G1085" s="8"/>
      <c r="H1085" s="6" t="str">
        <f aca="false">IF(G1085="","",G1085/SUMIFS($G$2:$G$1462,$F$2:$F$1462,"Served"))</f>
        <v/>
      </c>
      <c r="I1085" s="4" t="str">
        <f aca="false">IF(G1085="","",RANK(G1085,$G$2:$G$1462,0))</f>
        <v/>
      </c>
      <c r="J1085" s="4" t="s">
        <v>34</v>
      </c>
    </row>
    <row r="1086" customFormat="false" ht="15" hidden="false" customHeight="false" outlineLevel="0" collapsed="false">
      <c r="A1086" s="4" t="s">
        <v>2298</v>
      </c>
      <c r="B1086" s="4" t="s">
        <v>2254</v>
      </c>
      <c r="C1086" s="4" t="s">
        <v>2255</v>
      </c>
      <c r="D1086" s="7" t="s">
        <v>2299</v>
      </c>
      <c r="E1086" s="4" t="s">
        <v>2257</v>
      </c>
      <c r="F1086" s="4" t="s">
        <v>6</v>
      </c>
      <c r="G1086" s="8"/>
      <c r="H1086" s="6" t="str">
        <f aca="false">IF(G1086="","",G1086/SUMIFS($G$2:$G$1462,$F$2:$F$1462,"Served"))</f>
        <v/>
      </c>
      <c r="I1086" s="4" t="str">
        <f aca="false">IF(G1086="","",RANK(G1086,$G$2:$G$1462,0))</f>
        <v/>
      </c>
      <c r="J1086" s="4" t="s">
        <v>34</v>
      </c>
    </row>
    <row r="1087" customFormat="false" ht="15" hidden="false" customHeight="false" outlineLevel="0" collapsed="false">
      <c r="A1087" s="4" t="s">
        <v>2300</v>
      </c>
      <c r="B1087" s="4" t="s">
        <v>2254</v>
      </c>
      <c r="C1087" s="4" t="s">
        <v>2255</v>
      </c>
      <c r="D1087" s="7" t="s">
        <v>2301</v>
      </c>
      <c r="E1087" s="4" t="s">
        <v>2257</v>
      </c>
      <c r="F1087" s="4" t="s">
        <v>6</v>
      </c>
      <c r="G1087" s="8"/>
      <c r="H1087" s="6" t="str">
        <f aca="false">IF(G1087="","",G1087/SUMIFS($G$2:$G$1462,$F$2:$F$1462,"Served"))</f>
        <v/>
      </c>
      <c r="I1087" s="4" t="str">
        <f aca="false">IF(G1087="","",RANK(G1087,$G$2:$G$1462,0))</f>
        <v/>
      </c>
      <c r="J1087" s="4" t="s">
        <v>34</v>
      </c>
    </row>
    <row r="1088" customFormat="false" ht="15" hidden="false" customHeight="false" outlineLevel="0" collapsed="false">
      <c r="A1088" s="4" t="s">
        <v>2302</v>
      </c>
      <c r="B1088" s="4" t="s">
        <v>2254</v>
      </c>
      <c r="C1088" s="4" t="s">
        <v>2255</v>
      </c>
      <c r="D1088" s="7" t="s">
        <v>2303</v>
      </c>
      <c r="E1088" s="4" t="s">
        <v>2257</v>
      </c>
      <c r="F1088" s="4" t="s">
        <v>6</v>
      </c>
      <c r="G1088" s="8"/>
      <c r="H1088" s="6" t="str">
        <f aca="false">IF(G1088="","",G1088/SUMIFS($G$2:$G$1462,$F$2:$F$1462,"Served"))</f>
        <v/>
      </c>
      <c r="I1088" s="4" t="str">
        <f aca="false">IF(G1088="","",RANK(G1088,$G$2:$G$1462,0))</f>
        <v/>
      </c>
      <c r="J1088" s="4" t="s">
        <v>34</v>
      </c>
    </row>
    <row r="1089" customFormat="false" ht="15" hidden="false" customHeight="false" outlineLevel="0" collapsed="false">
      <c r="A1089" s="4" t="s">
        <v>2304</v>
      </c>
      <c r="B1089" s="4" t="s">
        <v>2254</v>
      </c>
      <c r="C1089" s="4" t="s">
        <v>2255</v>
      </c>
      <c r="D1089" s="7" t="s">
        <v>2305</v>
      </c>
      <c r="E1089" s="4" t="s">
        <v>2257</v>
      </c>
      <c r="F1089" s="4" t="s">
        <v>6</v>
      </c>
      <c r="G1089" s="8"/>
      <c r="H1089" s="6" t="str">
        <f aca="false">IF(G1089="","",G1089/SUMIFS($G$2:$G$1462,$F$2:$F$1462,"Served"))</f>
        <v/>
      </c>
      <c r="I1089" s="4" t="str">
        <f aca="false">IF(G1089="","",RANK(G1089,$G$2:$G$1462,0))</f>
        <v/>
      </c>
      <c r="J1089" s="4" t="s">
        <v>34</v>
      </c>
    </row>
    <row r="1090" customFormat="false" ht="15" hidden="false" customHeight="false" outlineLevel="0" collapsed="false">
      <c r="A1090" s="4" t="s">
        <v>2306</v>
      </c>
      <c r="B1090" s="4" t="s">
        <v>2254</v>
      </c>
      <c r="C1090" s="4" t="s">
        <v>2255</v>
      </c>
      <c r="D1090" s="7" t="s">
        <v>2307</v>
      </c>
      <c r="E1090" s="4" t="s">
        <v>2257</v>
      </c>
      <c r="F1090" s="4" t="s">
        <v>6</v>
      </c>
      <c r="G1090" s="8"/>
      <c r="H1090" s="6" t="str">
        <f aca="false">IF(G1090="","",G1090/SUMIFS($G$2:$G$1462,$F$2:$F$1462,"Served"))</f>
        <v/>
      </c>
      <c r="I1090" s="4" t="str">
        <f aca="false">IF(G1090="","",RANK(G1090,$G$2:$G$1462,0))</f>
        <v/>
      </c>
      <c r="J1090" s="4" t="s">
        <v>34</v>
      </c>
    </row>
    <row r="1091" customFormat="false" ht="15" hidden="false" customHeight="false" outlineLevel="0" collapsed="false">
      <c r="A1091" s="4" t="s">
        <v>2308</v>
      </c>
      <c r="B1091" s="4" t="s">
        <v>2254</v>
      </c>
      <c r="C1091" s="4" t="s">
        <v>2255</v>
      </c>
      <c r="D1091" s="7" t="s">
        <v>2309</v>
      </c>
      <c r="E1091" s="4" t="s">
        <v>2257</v>
      </c>
      <c r="F1091" s="4" t="s">
        <v>6</v>
      </c>
      <c r="G1091" s="8"/>
      <c r="H1091" s="6" t="str">
        <f aca="false">IF(G1091="","",G1091/SUMIFS($G$2:$G$1462,$F$2:$F$1462,"Served"))</f>
        <v/>
      </c>
      <c r="I1091" s="4" t="str">
        <f aca="false">IF(G1091="","",RANK(G1091,$G$2:$G$1462,0))</f>
        <v/>
      </c>
      <c r="J1091" s="4" t="s">
        <v>34</v>
      </c>
    </row>
    <row r="1092" customFormat="false" ht="15" hidden="false" customHeight="false" outlineLevel="0" collapsed="false">
      <c r="A1092" s="4" t="s">
        <v>2310</v>
      </c>
      <c r="B1092" s="4" t="s">
        <v>2254</v>
      </c>
      <c r="C1092" s="4" t="s">
        <v>2255</v>
      </c>
      <c r="D1092" s="7" t="s">
        <v>2311</v>
      </c>
      <c r="E1092" s="4" t="s">
        <v>2257</v>
      </c>
      <c r="F1092" s="4" t="s">
        <v>6</v>
      </c>
      <c r="G1092" s="8"/>
      <c r="H1092" s="6" t="str">
        <f aca="false">IF(G1092="","",G1092/SUMIFS($G$2:$G$1462,$F$2:$F$1462,"Served"))</f>
        <v/>
      </c>
      <c r="I1092" s="4" t="str">
        <f aca="false">IF(G1092="","",RANK(G1092,$G$2:$G$1462,0))</f>
        <v/>
      </c>
      <c r="J1092" s="4" t="s">
        <v>34</v>
      </c>
    </row>
    <row r="1093" customFormat="false" ht="15" hidden="false" customHeight="false" outlineLevel="0" collapsed="false">
      <c r="A1093" s="4" t="s">
        <v>2312</v>
      </c>
      <c r="B1093" s="4" t="s">
        <v>2254</v>
      </c>
      <c r="C1093" s="4" t="s">
        <v>2255</v>
      </c>
      <c r="D1093" s="7" t="s">
        <v>2313</v>
      </c>
      <c r="E1093" s="4" t="s">
        <v>2257</v>
      </c>
      <c r="F1093" s="4" t="s">
        <v>6</v>
      </c>
      <c r="G1093" s="8"/>
      <c r="H1093" s="6" t="str">
        <f aca="false">IF(G1093="","",G1093/SUMIFS($G$2:$G$1462,$F$2:$F$1462,"Served"))</f>
        <v/>
      </c>
      <c r="I1093" s="4" t="str">
        <f aca="false">IF(G1093="","",RANK(G1093,$G$2:$G$1462,0))</f>
        <v/>
      </c>
      <c r="J1093" s="4" t="s">
        <v>34</v>
      </c>
    </row>
    <row r="1094" customFormat="false" ht="15" hidden="false" customHeight="false" outlineLevel="0" collapsed="false">
      <c r="A1094" s="4" t="s">
        <v>2314</v>
      </c>
      <c r="B1094" s="4" t="s">
        <v>2254</v>
      </c>
      <c r="C1094" s="4" t="s">
        <v>2255</v>
      </c>
      <c r="D1094" s="7" t="s">
        <v>2315</v>
      </c>
      <c r="E1094" s="4" t="s">
        <v>2257</v>
      </c>
      <c r="F1094" s="4" t="s">
        <v>6</v>
      </c>
      <c r="G1094" s="8"/>
      <c r="H1094" s="6" t="str">
        <f aca="false">IF(G1094="","",G1094/SUMIFS($G$2:$G$1462,$F$2:$F$1462,"Served"))</f>
        <v/>
      </c>
      <c r="I1094" s="4" t="str">
        <f aca="false">IF(G1094="","",RANK(G1094,$G$2:$G$1462,0))</f>
        <v/>
      </c>
      <c r="J1094" s="4" t="s">
        <v>34</v>
      </c>
    </row>
    <row r="1095" customFormat="false" ht="15" hidden="false" customHeight="false" outlineLevel="0" collapsed="false">
      <c r="A1095" s="4" t="s">
        <v>2316</v>
      </c>
      <c r="B1095" s="4" t="s">
        <v>2254</v>
      </c>
      <c r="C1095" s="4" t="s">
        <v>2255</v>
      </c>
      <c r="D1095" s="7" t="s">
        <v>2317</v>
      </c>
      <c r="E1095" s="4" t="s">
        <v>2257</v>
      </c>
      <c r="F1095" s="4" t="s">
        <v>6</v>
      </c>
      <c r="G1095" s="8"/>
      <c r="H1095" s="6" t="str">
        <f aca="false">IF(G1095="","",G1095/SUMIFS($G$2:$G$1462,$F$2:$F$1462,"Served"))</f>
        <v/>
      </c>
      <c r="I1095" s="4" t="str">
        <f aca="false">IF(G1095="","",RANK(G1095,$G$2:$G$1462,0))</f>
        <v/>
      </c>
      <c r="J1095" s="4" t="s">
        <v>34</v>
      </c>
    </row>
    <row r="1096" customFormat="false" ht="15" hidden="false" customHeight="false" outlineLevel="0" collapsed="false">
      <c r="A1096" s="4" t="s">
        <v>2318</v>
      </c>
      <c r="B1096" s="4" t="s">
        <v>2254</v>
      </c>
      <c r="C1096" s="4" t="s">
        <v>2255</v>
      </c>
      <c r="D1096" s="7" t="s">
        <v>2319</v>
      </c>
      <c r="E1096" s="4" t="s">
        <v>2257</v>
      </c>
      <c r="F1096" s="4" t="s">
        <v>6</v>
      </c>
      <c r="G1096" s="8"/>
      <c r="H1096" s="6" t="str">
        <f aca="false">IF(G1096="","",G1096/SUMIFS($G$2:$G$1462,$F$2:$F$1462,"Served"))</f>
        <v/>
      </c>
      <c r="I1096" s="4" t="str">
        <f aca="false">IF(G1096="","",RANK(G1096,$G$2:$G$1462,0))</f>
        <v/>
      </c>
      <c r="J1096" s="4" t="s">
        <v>34</v>
      </c>
    </row>
    <row r="1097" customFormat="false" ht="15" hidden="false" customHeight="false" outlineLevel="0" collapsed="false">
      <c r="A1097" s="4" t="s">
        <v>2320</v>
      </c>
      <c r="B1097" s="4" t="s">
        <v>2254</v>
      </c>
      <c r="C1097" s="4" t="s">
        <v>2255</v>
      </c>
      <c r="D1097" s="7" t="s">
        <v>2321</v>
      </c>
      <c r="E1097" s="4" t="s">
        <v>2257</v>
      </c>
      <c r="F1097" s="4" t="s">
        <v>6</v>
      </c>
      <c r="G1097" s="8"/>
      <c r="H1097" s="6" t="str">
        <f aca="false">IF(G1097="","",G1097/SUMIFS($G$2:$G$1462,$F$2:$F$1462,"Served"))</f>
        <v/>
      </c>
      <c r="I1097" s="4" t="str">
        <f aca="false">IF(G1097="","",RANK(G1097,$G$2:$G$1462,0))</f>
        <v/>
      </c>
      <c r="J1097" s="4" t="s">
        <v>34</v>
      </c>
    </row>
    <row r="1098" customFormat="false" ht="15" hidden="false" customHeight="false" outlineLevel="0" collapsed="false">
      <c r="A1098" s="4" t="s">
        <v>2322</v>
      </c>
      <c r="B1098" s="4" t="s">
        <v>2254</v>
      </c>
      <c r="C1098" s="4" t="s">
        <v>2255</v>
      </c>
      <c r="D1098" s="7" t="s">
        <v>2323</v>
      </c>
      <c r="E1098" s="4" t="s">
        <v>2257</v>
      </c>
      <c r="F1098" s="4" t="s">
        <v>6</v>
      </c>
      <c r="G1098" s="8"/>
      <c r="H1098" s="6" t="str">
        <f aca="false">IF(G1098="","",G1098/SUMIFS($G$2:$G$1462,$F$2:$F$1462,"Served"))</f>
        <v/>
      </c>
      <c r="I1098" s="4" t="str">
        <f aca="false">IF(G1098="","",RANK(G1098,$G$2:$G$1462,0))</f>
        <v/>
      </c>
      <c r="J1098" s="4" t="s">
        <v>34</v>
      </c>
    </row>
    <row r="1099" customFormat="false" ht="15" hidden="false" customHeight="false" outlineLevel="0" collapsed="false">
      <c r="A1099" s="4" t="s">
        <v>2324</v>
      </c>
      <c r="B1099" s="4" t="s">
        <v>2254</v>
      </c>
      <c r="C1099" s="4" t="s">
        <v>2255</v>
      </c>
      <c r="D1099" s="7" t="s">
        <v>2325</v>
      </c>
      <c r="E1099" s="4" t="s">
        <v>2257</v>
      </c>
      <c r="F1099" s="4" t="s">
        <v>6</v>
      </c>
      <c r="G1099" s="8"/>
      <c r="H1099" s="6" t="str">
        <f aca="false">IF(G1099="","",G1099/SUMIFS($G$2:$G$1462,$F$2:$F$1462,"Served"))</f>
        <v/>
      </c>
      <c r="I1099" s="4" t="str">
        <f aca="false">IF(G1099="","",RANK(G1099,$G$2:$G$1462,0))</f>
        <v/>
      </c>
      <c r="J1099" s="4" t="s">
        <v>34</v>
      </c>
    </row>
    <row r="1100" customFormat="false" ht="15" hidden="false" customHeight="false" outlineLevel="0" collapsed="false">
      <c r="A1100" s="4" t="s">
        <v>2326</v>
      </c>
      <c r="B1100" s="4" t="s">
        <v>2254</v>
      </c>
      <c r="C1100" s="4" t="s">
        <v>2255</v>
      </c>
      <c r="D1100" s="7" t="s">
        <v>2327</v>
      </c>
      <c r="E1100" s="4" t="s">
        <v>2257</v>
      </c>
      <c r="F1100" s="4" t="s">
        <v>6</v>
      </c>
      <c r="G1100" s="8"/>
      <c r="H1100" s="6" t="str">
        <f aca="false">IF(G1100="","",G1100/SUMIFS($G$2:$G$1462,$F$2:$F$1462,"Served"))</f>
        <v/>
      </c>
      <c r="I1100" s="4" t="str">
        <f aca="false">IF(G1100="","",RANK(G1100,$G$2:$G$1462,0))</f>
        <v/>
      </c>
      <c r="J1100" s="4" t="s">
        <v>34</v>
      </c>
    </row>
    <row r="1101" customFormat="false" ht="15" hidden="false" customHeight="false" outlineLevel="0" collapsed="false">
      <c r="A1101" s="4" t="s">
        <v>2328</v>
      </c>
      <c r="B1101" s="4" t="s">
        <v>2254</v>
      </c>
      <c r="C1101" s="4" t="s">
        <v>2255</v>
      </c>
      <c r="D1101" s="7" t="s">
        <v>2329</v>
      </c>
      <c r="E1101" s="4" t="s">
        <v>2257</v>
      </c>
      <c r="F1101" s="4" t="s">
        <v>6</v>
      </c>
      <c r="G1101" s="8"/>
      <c r="H1101" s="6" t="str">
        <f aca="false">IF(G1101="","",G1101/SUMIFS($G$2:$G$1462,$F$2:$F$1462,"Served"))</f>
        <v/>
      </c>
      <c r="I1101" s="4" t="str">
        <f aca="false">IF(G1101="","",RANK(G1101,$G$2:$G$1462,0))</f>
        <v/>
      </c>
      <c r="J1101" s="4" t="s">
        <v>34</v>
      </c>
    </row>
    <row r="1102" customFormat="false" ht="15" hidden="false" customHeight="false" outlineLevel="0" collapsed="false">
      <c r="A1102" s="4" t="s">
        <v>2330</v>
      </c>
      <c r="B1102" s="4" t="s">
        <v>2254</v>
      </c>
      <c r="C1102" s="4" t="s">
        <v>2255</v>
      </c>
      <c r="D1102" s="7" t="s">
        <v>2331</v>
      </c>
      <c r="E1102" s="4" t="s">
        <v>2257</v>
      </c>
      <c r="F1102" s="4" t="s">
        <v>6</v>
      </c>
      <c r="G1102" s="8"/>
      <c r="H1102" s="6" t="str">
        <f aca="false">IF(G1102="","",G1102/SUMIFS($G$2:$G$1462,$F$2:$F$1462,"Served"))</f>
        <v/>
      </c>
      <c r="I1102" s="4" t="str">
        <f aca="false">IF(G1102="","",RANK(G1102,$G$2:$G$1462,0))</f>
        <v/>
      </c>
      <c r="J1102" s="4" t="s">
        <v>34</v>
      </c>
    </row>
    <row r="1103" customFormat="false" ht="15" hidden="false" customHeight="false" outlineLevel="0" collapsed="false">
      <c r="A1103" s="4" t="s">
        <v>2332</v>
      </c>
      <c r="B1103" s="4" t="s">
        <v>2254</v>
      </c>
      <c r="C1103" s="4" t="s">
        <v>2255</v>
      </c>
      <c r="D1103" s="7" t="s">
        <v>2333</v>
      </c>
      <c r="E1103" s="4" t="s">
        <v>2257</v>
      </c>
      <c r="F1103" s="4" t="s">
        <v>6</v>
      </c>
      <c r="G1103" s="8"/>
      <c r="H1103" s="6" t="str">
        <f aca="false">IF(G1103="","",G1103/SUMIFS($G$2:$G$1462,$F$2:$F$1462,"Served"))</f>
        <v/>
      </c>
      <c r="I1103" s="4" t="str">
        <f aca="false">IF(G1103="","",RANK(G1103,$G$2:$G$1462,0))</f>
        <v/>
      </c>
      <c r="J1103" s="4" t="s">
        <v>34</v>
      </c>
    </row>
    <row r="1104" customFormat="false" ht="15" hidden="false" customHeight="false" outlineLevel="0" collapsed="false">
      <c r="A1104" s="4" t="s">
        <v>2334</v>
      </c>
      <c r="B1104" s="4" t="s">
        <v>2254</v>
      </c>
      <c r="C1104" s="4" t="s">
        <v>2255</v>
      </c>
      <c r="D1104" s="7" t="s">
        <v>2335</v>
      </c>
      <c r="E1104" s="4" t="s">
        <v>2257</v>
      </c>
      <c r="F1104" s="4" t="s">
        <v>6</v>
      </c>
      <c r="G1104" s="8"/>
      <c r="H1104" s="6" t="str">
        <f aca="false">IF(G1104="","",G1104/SUMIFS($G$2:$G$1462,$F$2:$F$1462,"Served"))</f>
        <v/>
      </c>
      <c r="I1104" s="4" t="str">
        <f aca="false">IF(G1104="","",RANK(G1104,$G$2:$G$1462,0))</f>
        <v/>
      </c>
      <c r="J1104" s="4" t="s">
        <v>34</v>
      </c>
    </row>
    <row r="1105" customFormat="false" ht="15" hidden="false" customHeight="false" outlineLevel="0" collapsed="false">
      <c r="A1105" s="4" t="s">
        <v>2336</v>
      </c>
      <c r="B1105" s="4" t="s">
        <v>2254</v>
      </c>
      <c r="C1105" s="4" t="s">
        <v>2255</v>
      </c>
      <c r="D1105" s="7" t="s">
        <v>2337</v>
      </c>
      <c r="E1105" s="4" t="s">
        <v>2257</v>
      </c>
      <c r="F1105" s="4" t="s">
        <v>6</v>
      </c>
      <c r="G1105" s="8"/>
      <c r="H1105" s="6" t="str">
        <f aca="false">IF(G1105="","",G1105/SUMIFS($G$2:$G$1462,$F$2:$F$1462,"Served"))</f>
        <v/>
      </c>
      <c r="I1105" s="4" t="str">
        <f aca="false">IF(G1105="","",RANK(G1105,$G$2:$G$1462,0))</f>
        <v/>
      </c>
      <c r="J1105" s="4" t="s">
        <v>34</v>
      </c>
    </row>
    <row r="1106" customFormat="false" ht="15" hidden="false" customHeight="false" outlineLevel="0" collapsed="false">
      <c r="A1106" s="4" t="s">
        <v>2338</v>
      </c>
      <c r="B1106" s="4" t="s">
        <v>2254</v>
      </c>
      <c r="C1106" s="4" t="s">
        <v>2255</v>
      </c>
      <c r="D1106" s="7" t="s">
        <v>2339</v>
      </c>
      <c r="E1106" s="4" t="s">
        <v>2257</v>
      </c>
      <c r="F1106" s="4" t="s">
        <v>6</v>
      </c>
      <c r="G1106" s="8"/>
      <c r="H1106" s="6" t="str">
        <f aca="false">IF(G1106="","",G1106/SUMIFS($G$2:$G$1462,$F$2:$F$1462,"Served"))</f>
        <v/>
      </c>
      <c r="I1106" s="4" t="str">
        <f aca="false">IF(G1106="","",RANK(G1106,$G$2:$G$1462,0))</f>
        <v/>
      </c>
      <c r="J1106" s="4" t="s">
        <v>34</v>
      </c>
    </row>
    <row r="1107" customFormat="false" ht="15" hidden="false" customHeight="false" outlineLevel="0" collapsed="false">
      <c r="A1107" s="4" t="s">
        <v>2340</v>
      </c>
      <c r="B1107" s="4" t="s">
        <v>2254</v>
      </c>
      <c r="C1107" s="4" t="s">
        <v>2255</v>
      </c>
      <c r="D1107" s="7" t="s">
        <v>2341</v>
      </c>
      <c r="E1107" s="4" t="s">
        <v>2257</v>
      </c>
      <c r="F1107" s="4" t="s">
        <v>6</v>
      </c>
      <c r="G1107" s="8"/>
      <c r="H1107" s="6" t="str">
        <f aca="false">IF(G1107="","",G1107/SUMIFS($G$2:$G$1462,$F$2:$F$1462,"Served"))</f>
        <v/>
      </c>
      <c r="I1107" s="4" t="str">
        <f aca="false">IF(G1107="","",RANK(G1107,$G$2:$G$1462,0))</f>
        <v/>
      </c>
      <c r="J1107" s="4" t="s">
        <v>34</v>
      </c>
    </row>
    <row r="1108" customFormat="false" ht="15" hidden="false" customHeight="false" outlineLevel="0" collapsed="false">
      <c r="A1108" s="4" t="s">
        <v>2342</v>
      </c>
      <c r="B1108" s="4" t="s">
        <v>2254</v>
      </c>
      <c r="C1108" s="4" t="s">
        <v>2255</v>
      </c>
      <c r="D1108" s="7" t="s">
        <v>2343</v>
      </c>
      <c r="E1108" s="4" t="s">
        <v>2257</v>
      </c>
      <c r="F1108" s="4" t="s">
        <v>6</v>
      </c>
      <c r="G1108" s="8"/>
      <c r="H1108" s="6" t="str">
        <f aca="false">IF(G1108="","",G1108/SUMIFS($G$2:$G$1462,$F$2:$F$1462,"Served"))</f>
        <v/>
      </c>
      <c r="I1108" s="4" t="str">
        <f aca="false">IF(G1108="","",RANK(G1108,$G$2:$G$1462,0))</f>
        <v/>
      </c>
      <c r="J1108" s="4" t="s">
        <v>34</v>
      </c>
    </row>
    <row r="1109" customFormat="false" ht="15" hidden="false" customHeight="false" outlineLevel="0" collapsed="false">
      <c r="A1109" s="4" t="s">
        <v>2344</v>
      </c>
      <c r="B1109" s="4" t="s">
        <v>2254</v>
      </c>
      <c r="C1109" s="4" t="s">
        <v>2255</v>
      </c>
      <c r="D1109" s="7" t="s">
        <v>2345</v>
      </c>
      <c r="E1109" s="4" t="s">
        <v>2257</v>
      </c>
      <c r="F1109" s="4" t="s">
        <v>6</v>
      </c>
      <c r="G1109" s="8"/>
      <c r="H1109" s="6" t="str">
        <f aca="false">IF(G1109="","",G1109/SUMIFS($G$2:$G$1462,$F$2:$F$1462,"Served"))</f>
        <v/>
      </c>
      <c r="I1109" s="4" t="str">
        <f aca="false">IF(G1109="","",RANK(G1109,$G$2:$G$1462,0))</f>
        <v/>
      </c>
      <c r="J1109" s="4" t="s">
        <v>34</v>
      </c>
    </row>
    <row r="1110" customFormat="false" ht="15" hidden="false" customHeight="false" outlineLevel="0" collapsed="false">
      <c r="A1110" s="4" t="s">
        <v>2346</v>
      </c>
      <c r="B1110" s="4" t="s">
        <v>2254</v>
      </c>
      <c r="C1110" s="4" t="s">
        <v>2255</v>
      </c>
      <c r="D1110" s="7" t="s">
        <v>2347</v>
      </c>
      <c r="E1110" s="4" t="s">
        <v>2257</v>
      </c>
      <c r="F1110" s="4" t="s">
        <v>6</v>
      </c>
      <c r="G1110" s="8"/>
      <c r="H1110" s="6" t="str">
        <f aca="false">IF(G1110="","",G1110/SUMIFS($G$2:$G$1462,$F$2:$F$1462,"Served"))</f>
        <v/>
      </c>
      <c r="I1110" s="4" t="str">
        <f aca="false">IF(G1110="","",RANK(G1110,$G$2:$G$1462,0))</f>
        <v/>
      </c>
      <c r="J1110" s="4" t="s">
        <v>34</v>
      </c>
    </row>
    <row r="1111" customFormat="false" ht="15" hidden="false" customHeight="false" outlineLevel="0" collapsed="false">
      <c r="A1111" s="4" t="s">
        <v>2348</v>
      </c>
      <c r="B1111" s="4" t="s">
        <v>2254</v>
      </c>
      <c r="C1111" s="4" t="s">
        <v>2255</v>
      </c>
      <c r="D1111" s="7" t="s">
        <v>2349</v>
      </c>
      <c r="E1111" s="4" t="s">
        <v>2257</v>
      </c>
      <c r="F1111" s="4" t="s">
        <v>6</v>
      </c>
      <c r="G1111" s="8"/>
      <c r="H1111" s="6" t="str">
        <f aca="false">IF(G1111="","",G1111/SUMIFS($G$2:$G$1462,$F$2:$F$1462,"Served"))</f>
        <v/>
      </c>
      <c r="I1111" s="4" t="str">
        <f aca="false">IF(G1111="","",RANK(G1111,$G$2:$G$1462,0))</f>
        <v/>
      </c>
      <c r="J1111" s="4" t="s">
        <v>34</v>
      </c>
    </row>
    <row r="1112" customFormat="false" ht="15" hidden="false" customHeight="false" outlineLevel="0" collapsed="false">
      <c r="A1112" s="4" t="s">
        <v>2350</v>
      </c>
      <c r="B1112" s="4" t="s">
        <v>2254</v>
      </c>
      <c r="C1112" s="4" t="s">
        <v>2255</v>
      </c>
      <c r="D1112" s="7" t="s">
        <v>2351</v>
      </c>
      <c r="E1112" s="4" t="s">
        <v>2257</v>
      </c>
      <c r="F1112" s="4" t="s">
        <v>6</v>
      </c>
      <c r="G1112" s="8"/>
      <c r="H1112" s="6" t="str">
        <f aca="false">IF(G1112="","",G1112/SUMIFS($G$2:$G$1462,$F$2:$F$1462,"Served"))</f>
        <v/>
      </c>
      <c r="I1112" s="4" t="str">
        <f aca="false">IF(G1112="","",RANK(G1112,$G$2:$G$1462,0))</f>
        <v/>
      </c>
      <c r="J1112" s="4" t="s">
        <v>34</v>
      </c>
    </row>
    <row r="1113" customFormat="false" ht="15" hidden="false" customHeight="false" outlineLevel="0" collapsed="false">
      <c r="A1113" s="4" t="s">
        <v>2352</v>
      </c>
      <c r="B1113" s="4" t="s">
        <v>2254</v>
      </c>
      <c r="C1113" s="4" t="s">
        <v>2255</v>
      </c>
      <c r="D1113" s="7" t="s">
        <v>2353</v>
      </c>
      <c r="E1113" s="4" t="s">
        <v>2257</v>
      </c>
      <c r="F1113" s="4" t="s">
        <v>6</v>
      </c>
      <c r="G1113" s="8"/>
      <c r="H1113" s="6" t="str">
        <f aca="false">IF(G1113="","",G1113/SUMIFS($G$2:$G$1462,$F$2:$F$1462,"Served"))</f>
        <v/>
      </c>
      <c r="I1113" s="4" t="str">
        <f aca="false">IF(G1113="","",RANK(G1113,$G$2:$G$1462,0))</f>
        <v/>
      </c>
      <c r="J1113" s="4" t="s">
        <v>34</v>
      </c>
    </row>
    <row r="1114" customFormat="false" ht="15" hidden="false" customHeight="false" outlineLevel="0" collapsed="false">
      <c r="A1114" s="4" t="s">
        <v>2354</v>
      </c>
      <c r="B1114" s="4" t="s">
        <v>2254</v>
      </c>
      <c r="C1114" s="4" t="s">
        <v>2255</v>
      </c>
      <c r="D1114" s="7" t="s">
        <v>2355</v>
      </c>
      <c r="E1114" s="4" t="s">
        <v>2257</v>
      </c>
      <c r="F1114" s="4" t="s">
        <v>6</v>
      </c>
      <c r="G1114" s="8"/>
      <c r="H1114" s="6" t="str">
        <f aca="false">IF(G1114="","",G1114/SUMIFS($G$2:$G$1462,$F$2:$F$1462,"Served"))</f>
        <v/>
      </c>
      <c r="I1114" s="4" t="str">
        <f aca="false">IF(G1114="","",RANK(G1114,$G$2:$G$1462,0))</f>
        <v/>
      </c>
      <c r="J1114" s="4" t="s">
        <v>34</v>
      </c>
    </row>
    <row r="1115" customFormat="false" ht="15" hidden="false" customHeight="false" outlineLevel="0" collapsed="false">
      <c r="A1115" s="4" t="s">
        <v>2356</v>
      </c>
      <c r="B1115" s="4" t="s">
        <v>2357</v>
      </c>
      <c r="C1115" s="4" t="s">
        <v>2358</v>
      </c>
      <c r="D1115" s="7" t="s">
        <v>2359</v>
      </c>
      <c r="E1115" s="4" t="s">
        <v>2360</v>
      </c>
      <c r="F1115" s="4" t="s">
        <v>5</v>
      </c>
      <c r="G1115" s="8"/>
      <c r="H1115" s="6" t="str">
        <f aca="false">IF(G1115="","",G1115/SUMIFS($G$2:$G$1462,$F$2:$F$1462,"Served"))</f>
        <v/>
      </c>
      <c r="I1115" s="4" t="str">
        <f aca="false">IF(G1115="","",RANK(G1115,$G$2:$G$1462,0))</f>
        <v/>
      </c>
      <c r="J1115" s="4" t="s">
        <v>34</v>
      </c>
    </row>
    <row r="1116" customFormat="false" ht="15" hidden="false" customHeight="false" outlineLevel="0" collapsed="false">
      <c r="A1116" s="4" t="s">
        <v>2361</v>
      </c>
      <c r="B1116" s="4" t="s">
        <v>2357</v>
      </c>
      <c r="C1116" s="4" t="s">
        <v>2358</v>
      </c>
      <c r="D1116" s="7" t="s">
        <v>2362</v>
      </c>
      <c r="E1116" s="4" t="s">
        <v>2360</v>
      </c>
      <c r="F1116" s="4" t="s">
        <v>5</v>
      </c>
      <c r="G1116" s="8"/>
      <c r="H1116" s="6" t="str">
        <f aca="false">IF(G1116="","",G1116/SUMIFS($G$2:$G$1462,$F$2:$F$1462,"Served"))</f>
        <v/>
      </c>
      <c r="I1116" s="4" t="str">
        <f aca="false">IF(G1116="","",RANK(G1116,$G$2:$G$1462,0))</f>
        <v/>
      </c>
      <c r="J1116" s="4" t="s">
        <v>34</v>
      </c>
    </row>
    <row r="1117" customFormat="false" ht="15" hidden="false" customHeight="false" outlineLevel="0" collapsed="false">
      <c r="A1117" s="4" t="s">
        <v>2363</v>
      </c>
      <c r="B1117" s="4" t="s">
        <v>2357</v>
      </c>
      <c r="C1117" s="4" t="s">
        <v>2358</v>
      </c>
      <c r="D1117" s="7" t="s">
        <v>2364</v>
      </c>
      <c r="E1117" s="4" t="s">
        <v>2360</v>
      </c>
      <c r="F1117" s="4" t="s">
        <v>5</v>
      </c>
      <c r="G1117" s="8"/>
      <c r="H1117" s="6" t="str">
        <f aca="false">IF(G1117="","",G1117/SUMIFS($G$2:$G$1462,$F$2:$F$1462,"Served"))</f>
        <v/>
      </c>
      <c r="I1117" s="4" t="str">
        <f aca="false">IF(G1117="","",RANK(G1117,$G$2:$G$1462,0))</f>
        <v/>
      </c>
      <c r="J1117" s="4" t="s">
        <v>34</v>
      </c>
    </row>
    <row r="1118" customFormat="false" ht="15" hidden="false" customHeight="false" outlineLevel="0" collapsed="false">
      <c r="A1118" s="4" t="s">
        <v>2365</v>
      </c>
      <c r="B1118" s="4" t="s">
        <v>2357</v>
      </c>
      <c r="C1118" s="4" t="s">
        <v>2358</v>
      </c>
      <c r="D1118" s="7" t="s">
        <v>2366</v>
      </c>
      <c r="E1118" s="4" t="s">
        <v>2360</v>
      </c>
      <c r="F1118" s="4" t="s">
        <v>5</v>
      </c>
      <c r="G1118" s="8"/>
      <c r="H1118" s="6" t="str">
        <f aca="false">IF(G1118="","",G1118/SUMIFS($G$2:$G$1462,$F$2:$F$1462,"Served"))</f>
        <v/>
      </c>
      <c r="I1118" s="4" t="str">
        <f aca="false">IF(G1118="","",RANK(G1118,$G$2:$G$1462,0))</f>
        <v/>
      </c>
      <c r="J1118" s="4" t="s">
        <v>34</v>
      </c>
    </row>
    <row r="1119" customFormat="false" ht="15" hidden="false" customHeight="false" outlineLevel="0" collapsed="false">
      <c r="A1119" s="4" t="s">
        <v>2367</v>
      </c>
      <c r="B1119" s="4" t="s">
        <v>2357</v>
      </c>
      <c r="C1119" s="4" t="s">
        <v>2358</v>
      </c>
      <c r="D1119" s="7" t="s">
        <v>2368</v>
      </c>
      <c r="E1119" s="4" t="s">
        <v>2360</v>
      </c>
      <c r="F1119" s="4" t="s">
        <v>5</v>
      </c>
      <c r="G1119" s="8"/>
      <c r="H1119" s="6" t="str">
        <f aca="false">IF(G1119="","",G1119/SUMIFS($G$2:$G$1462,$F$2:$F$1462,"Served"))</f>
        <v/>
      </c>
      <c r="I1119" s="4" t="str">
        <f aca="false">IF(G1119="","",RANK(G1119,$G$2:$G$1462,0))</f>
        <v/>
      </c>
      <c r="J1119" s="4" t="s">
        <v>34</v>
      </c>
    </row>
    <row r="1120" customFormat="false" ht="15" hidden="false" customHeight="false" outlineLevel="0" collapsed="false">
      <c r="A1120" s="4" t="s">
        <v>2369</v>
      </c>
      <c r="B1120" s="4" t="s">
        <v>2357</v>
      </c>
      <c r="C1120" s="4" t="s">
        <v>2358</v>
      </c>
      <c r="D1120" s="7" t="s">
        <v>2370</v>
      </c>
      <c r="E1120" s="4" t="s">
        <v>2360</v>
      </c>
      <c r="F1120" s="4" t="s">
        <v>5</v>
      </c>
      <c r="G1120" s="8"/>
      <c r="H1120" s="6" t="str">
        <f aca="false">IF(G1120="","",G1120/SUMIFS($G$2:$G$1462,$F$2:$F$1462,"Served"))</f>
        <v/>
      </c>
      <c r="I1120" s="4" t="str">
        <f aca="false">IF(G1120="","",RANK(G1120,$G$2:$G$1462,0))</f>
        <v/>
      </c>
      <c r="J1120" s="4" t="s">
        <v>34</v>
      </c>
    </row>
    <row r="1121" customFormat="false" ht="15" hidden="false" customHeight="false" outlineLevel="0" collapsed="false">
      <c r="A1121" s="4" t="s">
        <v>2371</v>
      </c>
      <c r="B1121" s="4" t="s">
        <v>2357</v>
      </c>
      <c r="C1121" s="4" t="s">
        <v>2358</v>
      </c>
      <c r="D1121" s="7" t="s">
        <v>2372</v>
      </c>
      <c r="E1121" s="4" t="s">
        <v>2360</v>
      </c>
      <c r="F1121" s="4" t="s">
        <v>5</v>
      </c>
      <c r="G1121" s="8"/>
      <c r="H1121" s="6" t="str">
        <f aca="false">IF(G1121="","",G1121/SUMIFS($G$2:$G$1462,$F$2:$F$1462,"Served"))</f>
        <v/>
      </c>
      <c r="I1121" s="4" t="str">
        <f aca="false">IF(G1121="","",RANK(G1121,$G$2:$G$1462,0))</f>
        <v/>
      </c>
      <c r="J1121" s="4" t="s">
        <v>34</v>
      </c>
    </row>
    <row r="1122" customFormat="false" ht="15" hidden="false" customHeight="false" outlineLevel="0" collapsed="false">
      <c r="A1122" s="4" t="s">
        <v>2373</v>
      </c>
      <c r="B1122" s="4" t="s">
        <v>2357</v>
      </c>
      <c r="C1122" s="4" t="s">
        <v>2358</v>
      </c>
      <c r="D1122" s="7" t="s">
        <v>2374</v>
      </c>
      <c r="E1122" s="4" t="s">
        <v>2360</v>
      </c>
      <c r="F1122" s="4" t="s">
        <v>5</v>
      </c>
      <c r="G1122" s="8"/>
      <c r="H1122" s="6" t="str">
        <f aca="false">IF(G1122="","",G1122/SUMIFS($G$2:$G$1462,$F$2:$F$1462,"Served"))</f>
        <v/>
      </c>
      <c r="I1122" s="4" t="str">
        <f aca="false">IF(G1122="","",RANK(G1122,$G$2:$G$1462,0))</f>
        <v/>
      </c>
      <c r="J1122" s="4" t="s">
        <v>34</v>
      </c>
    </row>
    <row r="1123" customFormat="false" ht="15" hidden="false" customHeight="false" outlineLevel="0" collapsed="false">
      <c r="A1123" s="4" t="s">
        <v>2375</v>
      </c>
      <c r="B1123" s="4" t="s">
        <v>2357</v>
      </c>
      <c r="C1123" s="4" t="s">
        <v>2358</v>
      </c>
      <c r="D1123" s="7" t="s">
        <v>2376</v>
      </c>
      <c r="E1123" s="4" t="s">
        <v>2360</v>
      </c>
      <c r="F1123" s="4" t="s">
        <v>5</v>
      </c>
      <c r="G1123" s="8"/>
      <c r="H1123" s="6" t="str">
        <f aca="false">IF(G1123="","",G1123/SUMIFS($G$2:$G$1462,$F$2:$F$1462,"Served"))</f>
        <v/>
      </c>
      <c r="I1123" s="4" t="str">
        <f aca="false">IF(G1123="","",RANK(G1123,$G$2:$G$1462,0))</f>
        <v/>
      </c>
      <c r="J1123" s="4" t="s">
        <v>34</v>
      </c>
    </row>
    <row r="1124" customFormat="false" ht="15" hidden="false" customHeight="false" outlineLevel="0" collapsed="false">
      <c r="A1124" s="4" t="s">
        <v>2377</v>
      </c>
      <c r="B1124" s="4" t="s">
        <v>2357</v>
      </c>
      <c r="C1124" s="4" t="s">
        <v>2358</v>
      </c>
      <c r="D1124" s="7" t="s">
        <v>2378</v>
      </c>
      <c r="E1124" s="4" t="s">
        <v>2360</v>
      </c>
      <c r="F1124" s="4" t="s">
        <v>5</v>
      </c>
      <c r="G1124" s="8"/>
      <c r="H1124" s="6" t="str">
        <f aca="false">IF(G1124="","",G1124/SUMIFS($G$2:$G$1462,$F$2:$F$1462,"Served"))</f>
        <v/>
      </c>
      <c r="I1124" s="4" t="str">
        <f aca="false">IF(G1124="","",RANK(G1124,$G$2:$G$1462,0))</f>
        <v/>
      </c>
      <c r="J1124" s="4" t="s">
        <v>34</v>
      </c>
    </row>
    <row r="1125" customFormat="false" ht="15" hidden="false" customHeight="false" outlineLevel="0" collapsed="false">
      <c r="A1125" s="4" t="s">
        <v>2379</v>
      </c>
      <c r="B1125" s="4" t="s">
        <v>2380</v>
      </c>
      <c r="C1125" s="4" t="s">
        <v>2381</v>
      </c>
      <c r="D1125" s="7" t="s">
        <v>2382</v>
      </c>
      <c r="E1125" s="4" t="s">
        <v>2383</v>
      </c>
      <c r="F1125" s="4" t="s">
        <v>6</v>
      </c>
      <c r="G1125" s="8"/>
      <c r="H1125" s="6" t="str">
        <f aca="false">IF(G1125="","",G1125/SUMIFS($G$2:$G$1462,$F$2:$F$1462,"Served"))</f>
        <v/>
      </c>
      <c r="I1125" s="4" t="str">
        <f aca="false">IF(G1125="","",RANK(G1125,$G$2:$G$1462,0))</f>
        <v/>
      </c>
      <c r="J1125" s="4" t="s">
        <v>34</v>
      </c>
    </row>
    <row r="1126" customFormat="false" ht="15" hidden="false" customHeight="false" outlineLevel="0" collapsed="false">
      <c r="A1126" s="4" t="s">
        <v>2384</v>
      </c>
      <c r="B1126" s="4" t="s">
        <v>2380</v>
      </c>
      <c r="C1126" s="4" t="s">
        <v>2381</v>
      </c>
      <c r="D1126" s="7" t="s">
        <v>2385</v>
      </c>
      <c r="E1126" s="4" t="s">
        <v>2383</v>
      </c>
      <c r="F1126" s="4" t="s">
        <v>6</v>
      </c>
      <c r="G1126" s="8"/>
      <c r="H1126" s="6" t="str">
        <f aca="false">IF(G1126="","",G1126/SUMIFS($G$2:$G$1462,$F$2:$F$1462,"Served"))</f>
        <v/>
      </c>
      <c r="I1126" s="4" t="str">
        <f aca="false">IF(G1126="","",RANK(G1126,$G$2:$G$1462,0))</f>
        <v/>
      </c>
      <c r="J1126" s="4" t="s">
        <v>34</v>
      </c>
    </row>
    <row r="1127" customFormat="false" ht="15" hidden="false" customHeight="false" outlineLevel="0" collapsed="false">
      <c r="A1127" s="4" t="s">
        <v>2386</v>
      </c>
      <c r="B1127" s="4" t="s">
        <v>2380</v>
      </c>
      <c r="C1127" s="4" t="s">
        <v>2381</v>
      </c>
      <c r="D1127" s="7" t="s">
        <v>2387</v>
      </c>
      <c r="E1127" s="4" t="s">
        <v>2383</v>
      </c>
      <c r="F1127" s="4" t="s">
        <v>6</v>
      </c>
      <c r="G1127" s="8"/>
      <c r="H1127" s="6" t="str">
        <f aca="false">IF(G1127="","",G1127/SUMIFS($G$2:$G$1462,$F$2:$F$1462,"Served"))</f>
        <v/>
      </c>
      <c r="I1127" s="4" t="str">
        <f aca="false">IF(G1127="","",RANK(G1127,$G$2:$G$1462,0))</f>
        <v/>
      </c>
      <c r="J1127" s="4" t="s">
        <v>34</v>
      </c>
    </row>
    <row r="1128" customFormat="false" ht="15" hidden="false" customHeight="false" outlineLevel="0" collapsed="false">
      <c r="A1128" s="4" t="s">
        <v>2388</v>
      </c>
      <c r="B1128" s="4" t="s">
        <v>2380</v>
      </c>
      <c r="C1128" s="4" t="s">
        <v>2381</v>
      </c>
      <c r="D1128" s="7" t="s">
        <v>2389</v>
      </c>
      <c r="E1128" s="4" t="s">
        <v>2383</v>
      </c>
      <c r="F1128" s="4" t="s">
        <v>6</v>
      </c>
      <c r="G1128" s="8"/>
      <c r="H1128" s="6" t="str">
        <f aca="false">IF(G1128="","",G1128/SUMIFS($G$2:$G$1462,$F$2:$F$1462,"Served"))</f>
        <v/>
      </c>
      <c r="I1128" s="4" t="str">
        <f aca="false">IF(G1128="","",RANK(G1128,$G$2:$G$1462,0))</f>
        <v/>
      </c>
      <c r="J1128" s="4" t="s">
        <v>34</v>
      </c>
    </row>
    <row r="1129" customFormat="false" ht="15" hidden="false" customHeight="false" outlineLevel="0" collapsed="false">
      <c r="A1129" s="4" t="s">
        <v>2390</v>
      </c>
      <c r="B1129" s="4" t="s">
        <v>2380</v>
      </c>
      <c r="C1129" s="4" t="s">
        <v>2381</v>
      </c>
      <c r="D1129" s="7" t="s">
        <v>2391</v>
      </c>
      <c r="E1129" s="4" t="s">
        <v>2383</v>
      </c>
      <c r="F1129" s="4" t="s">
        <v>6</v>
      </c>
      <c r="G1129" s="8"/>
      <c r="H1129" s="6" t="str">
        <f aca="false">IF(G1129="","",G1129/SUMIFS($G$2:$G$1462,$F$2:$F$1462,"Served"))</f>
        <v/>
      </c>
      <c r="I1129" s="4" t="str">
        <f aca="false">IF(G1129="","",RANK(G1129,$G$2:$G$1462,0))</f>
        <v/>
      </c>
      <c r="J1129" s="4" t="s">
        <v>34</v>
      </c>
    </row>
    <row r="1130" customFormat="false" ht="15" hidden="false" customHeight="false" outlineLevel="0" collapsed="false">
      <c r="A1130" s="4" t="s">
        <v>2392</v>
      </c>
      <c r="B1130" s="4" t="s">
        <v>2380</v>
      </c>
      <c r="C1130" s="4" t="s">
        <v>2381</v>
      </c>
      <c r="D1130" s="7" t="s">
        <v>2393</v>
      </c>
      <c r="E1130" s="4" t="s">
        <v>2383</v>
      </c>
      <c r="F1130" s="4" t="s">
        <v>6</v>
      </c>
      <c r="G1130" s="8"/>
      <c r="H1130" s="6" t="str">
        <f aca="false">IF(G1130="","",G1130/SUMIFS($G$2:$G$1462,$F$2:$F$1462,"Served"))</f>
        <v/>
      </c>
      <c r="I1130" s="4" t="str">
        <f aca="false">IF(G1130="","",RANK(G1130,$G$2:$G$1462,0))</f>
        <v/>
      </c>
      <c r="J1130" s="4" t="s">
        <v>34</v>
      </c>
    </row>
    <row r="1131" customFormat="false" ht="15" hidden="false" customHeight="false" outlineLevel="0" collapsed="false">
      <c r="A1131" s="4" t="s">
        <v>2394</v>
      </c>
      <c r="B1131" s="4" t="s">
        <v>2380</v>
      </c>
      <c r="C1131" s="4" t="s">
        <v>2381</v>
      </c>
      <c r="D1131" s="7" t="s">
        <v>2395</v>
      </c>
      <c r="E1131" s="4" t="s">
        <v>2383</v>
      </c>
      <c r="F1131" s="4" t="s">
        <v>6</v>
      </c>
      <c r="G1131" s="8"/>
      <c r="H1131" s="6" t="str">
        <f aca="false">IF(G1131="","",G1131/SUMIFS($G$2:$G$1462,$F$2:$F$1462,"Served"))</f>
        <v/>
      </c>
      <c r="I1131" s="4" t="str">
        <f aca="false">IF(G1131="","",RANK(G1131,$G$2:$G$1462,0))</f>
        <v/>
      </c>
      <c r="J1131" s="4" t="s">
        <v>34</v>
      </c>
    </row>
    <row r="1132" customFormat="false" ht="15" hidden="false" customHeight="false" outlineLevel="0" collapsed="false">
      <c r="A1132" s="4" t="s">
        <v>2396</v>
      </c>
      <c r="B1132" s="4" t="s">
        <v>2380</v>
      </c>
      <c r="C1132" s="4" t="s">
        <v>2381</v>
      </c>
      <c r="D1132" s="7" t="s">
        <v>2397</v>
      </c>
      <c r="E1132" s="4" t="s">
        <v>2383</v>
      </c>
      <c r="F1132" s="4" t="s">
        <v>6</v>
      </c>
      <c r="G1132" s="8"/>
      <c r="H1132" s="6" t="str">
        <f aca="false">IF(G1132="","",G1132/SUMIFS($G$2:$G$1462,$F$2:$F$1462,"Served"))</f>
        <v/>
      </c>
      <c r="I1132" s="4" t="str">
        <f aca="false">IF(G1132="","",RANK(G1132,$G$2:$G$1462,0))</f>
        <v/>
      </c>
      <c r="J1132" s="4" t="s">
        <v>34</v>
      </c>
    </row>
    <row r="1133" customFormat="false" ht="15" hidden="false" customHeight="false" outlineLevel="0" collapsed="false">
      <c r="A1133" s="4" t="s">
        <v>2398</v>
      </c>
      <c r="B1133" s="4" t="s">
        <v>2380</v>
      </c>
      <c r="C1133" s="4" t="s">
        <v>2381</v>
      </c>
      <c r="D1133" s="7" t="s">
        <v>2399</v>
      </c>
      <c r="E1133" s="4" t="s">
        <v>2383</v>
      </c>
      <c r="F1133" s="4" t="s">
        <v>6</v>
      </c>
      <c r="G1133" s="8"/>
      <c r="H1133" s="6" t="str">
        <f aca="false">IF(G1133="","",G1133/SUMIFS($G$2:$G$1462,$F$2:$F$1462,"Served"))</f>
        <v/>
      </c>
      <c r="I1133" s="4" t="str">
        <f aca="false">IF(G1133="","",RANK(G1133,$G$2:$G$1462,0))</f>
        <v/>
      </c>
      <c r="J1133" s="4" t="s">
        <v>34</v>
      </c>
    </row>
    <row r="1134" customFormat="false" ht="15" hidden="false" customHeight="false" outlineLevel="0" collapsed="false">
      <c r="A1134" s="4" t="s">
        <v>2400</v>
      </c>
      <c r="B1134" s="4" t="s">
        <v>2380</v>
      </c>
      <c r="C1134" s="4" t="s">
        <v>2381</v>
      </c>
      <c r="D1134" s="7" t="s">
        <v>2401</v>
      </c>
      <c r="E1134" s="4" t="s">
        <v>2383</v>
      </c>
      <c r="F1134" s="4" t="s">
        <v>6</v>
      </c>
      <c r="G1134" s="8"/>
      <c r="H1134" s="6" t="str">
        <f aca="false">IF(G1134="","",G1134/SUMIFS($G$2:$G$1462,$F$2:$F$1462,"Served"))</f>
        <v/>
      </c>
      <c r="I1134" s="4" t="str">
        <f aca="false">IF(G1134="","",RANK(G1134,$G$2:$G$1462,0))</f>
        <v/>
      </c>
      <c r="J1134" s="4" t="s">
        <v>34</v>
      </c>
    </row>
    <row r="1135" customFormat="false" ht="15" hidden="false" customHeight="false" outlineLevel="0" collapsed="false">
      <c r="A1135" s="4" t="s">
        <v>2402</v>
      </c>
      <c r="B1135" s="4" t="s">
        <v>2380</v>
      </c>
      <c r="C1135" s="4" t="s">
        <v>2381</v>
      </c>
      <c r="D1135" s="7" t="s">
        <v>2403</v>
      </c>
      <c r="E1135" s="4" t="s">
        <v>2383</v>
      </c>
      <c r="F1135" s="4" t="s">
        <v>6</v>
      </c>
      <c r="G1135" s="8"/>
      <c r="H1135" s="6" t="str">
        <f aca="false">IF(G1135="","",G1135/SUMIFS($G$2:$G$1462,$F$2:$F$1462,"Served"))</f>
        <v/>
      </c>
      <c r="I1135" s="4" t="str">
        <f aca="false">IF(G1135="","",RANK(G1135,$G$2:$G$1462,0))</f>
        <v/>
      </c>
      <c r="J1135" s="4" t="s">
        <v>34</v>
      </c>
    </row>
    <row r="1136" customFormat="false" ht="15" hidden="false" customHeight="false" outlineLevel="0" collapsed="false">
      <c r="A1136" s="4" t="s">
        <v>2404</v>
      </c>
      <c r="B1136" s="4" t="s">
        <v>2380</v>
      </c>
      <c r="C1136" s="4" t="s">
        <v>2381</v>
      </c>
      <c r="D1136" s="7" t="s">
        <v>2405</v>
      </c>
      <c r="E1136" s="4" t="s">
        <v>2383</v>
      </c>
      <c r="F1136" s="4" t="s">
        <v>6</v>
      </c>
      <c r="G1136" s="8"/>
      <c r="H1136" s="6" t="str">
        <f aca="false">IF(G1136="","",G1136/SUMIFS($G$2:$G$1462,$F$2:$F$1462,"Served"))</f>
        <v/>
      </c>
      <c r="I1136" s="4" t="str">
        <f aca="false">IF(G1136="","",RANK(G1136,$G$2:$G$1462,0))</f>
        <v/>
      </c>
      <c r="J1136" s="4" t="s">
        <v>34</v>
      </c>
    </row>
    <row r="1137" customFormat="false" ht="15" hidden="false" customHeight="false" outlineLevel="0" collapsed="false">
      <c r="A1137" s="4" t="s">
        <v>2406</v>
      </c>
      <c r="B1137" s="4" t="s">
        <v>2380</v>
      </c>
      <c r="C1137" s="4" t="s">
        <v>2381</v>
      </c>
      <c r="D1137" s="7" t="s">
        <v>2407</v>
      </c>
      <c r="E1137" s="4" t="s">
        <v>2383</v>
      </c>
      <c r="F1137" s="4" t="s">
        <v>6</v>
      </c>
      <c r="G1137" s="8"/>
      <c r="H1137" s="6" t="str">
        <f aca="false">IF(G1137="","",G1137/SUMIFS($G$2:$G$1462,$F$2:$F$1462,"Served"))</f>
        <v/>
      </c>
      <c r="I1137" s="4" t="str">
        <f aca="false">IF(G1137="","",RANK(G1137,$G$2:$G$1462,0))</f>
        <v/>
      </c>
      <c r="J1137" s="4" t="s">
        <v>34</v>
      </c>
    </row>
    <row r="1138" customFormat="false" ht="15" hidden="false" customHeight="false" outlineLevel="0" collapsed="false">
      <c r="A1138" s="4" t="s">
        <v>2408</v>
      </c>
      <c r="B1138" s="4" t="s">
        <v>2409</v>
      </c>
      <c r="C1138" s="4" t="s">
        <v>2410</v>
      </c>
      <c r="D1138" s="7" t="s">
        <v>2411</v>
      </c>
      <c r="E1138" s="4" t="s">
        <v>2412</v>
      </c>
      <c r="F1138" s="4" t="s">
        <v>6</v>
      </c>
      <c r="G1138" s="8"/>
      <c r="H1138" s="6" t="str">
        <f aca="false">IF(G1138="","",G1138/SUMIFS($G$2:$G$1462,$F$2:$F$1462,"Served"))</f>
        <v/>
      </c>
      <c r="I1138" s="4" t="str">
        <f aca="false">IF(G1138="","",RANK(G1138,$G$2:$G$1462,0))</f>
        <v/>
      </c>
      <c r="J1138" s="4" t="s">
        <v>34</v>
      </c>
    </row>
    <row r="1139" customFormat="false" ht="15" hidden="false" customHeight="false" outlineLevel="0" collapsed="false">
      <c r="A1139" s="4" t="s">
        <v>2413</v>
      </c>
      <c r="B1139" s="4" t="s">
        <v>2409</v>
      </c>
      <c r="C1139" s="4" t="s">
        <v>2410</v>
      </c>
      <c r="D1139" s="7" t="s">
        <v>2414</v>
      </c>
      <c r="E1139" s="4" t="s">
        <v>2412</v>
      </c>
      <c r="F1139" s="4" t="s">
        <v>6</v>
      </c>
      <c r="G1139" s="8"/>
      <c r="H1139" s="6" t="str">
        <f aca="false">IF(G1139="","",G1139/SUMIFS($G$2:$G$1462,$F$2:$F$1462,"Served"))</f>
        <v/>
      </c>
      <c r="I1139" s="4" t="str">
        <f aca="false">IF(G1139="","",RANK(G1139,$G$2:$G$1462,0))</f>
        <v/>
      </c>
      <c r="J1139" s="4" t="s">
        <v>34</v>
      </c>
    </row>
    <row r="1140" customFormat="false" ht="15" hidden="false" customHeight="false" outlineLevel="0" collapsed="false">
      <c r="A1140" s="4" t="s">
        <v>2415</v>
      </c>
      <c r="B1140" s="4" t="s">
        <v>2409</v>
      </c>
      <c r="C1140" s="4" t="s">
        <v>2410</v>
      </c>
      <c r="D1140" s="7" t="s">
        <v>2416</v>
      </c>
      <c r="E1140" s="4" t="s">
        <v>2412</v>
      </c>
      <c r="F1140" s="4" t="s">
        <v>6</v>
      </c>
      <c r="G1140" s="8"/>
      <c r="H1140" s="6" t="str">
        <f aca="false">IF(G1140="","",G1140/SUMIFS($G$2:$G$1462,$F$2:$F$1462,"Served"))</f>
        <v/>
      </c>
      <c r="I1140" s="4" t="str">
        <f aca="false">IF(G1140="","",RANK(G1140,$G$2:$G$1462,0))</f>
        <v/>
      </c>
      <c r="J1140" s="4" t="s">
        <v>34</v>
      </c>
    </row>
    <row r="1141" customFormat="false" ht="15" hidden="false" customHeight="false" outlineLevel="0" collapsed="false">
      <c r="A1141" s="4" t="s">
        <v>2417</v>
      </c>
      <c r="B1141" s="4" t="s">
        <v>2409</v>
      </c>
      <c r="C1141" s="4" t="s">
        <v>2410</v>
      </c>
      <c r="D1141" s="7" t="s">
        <v>2418</v>
      </c>
      <c r="E1141" s="4" t="s">
        <v>2412</v>
      </c>
      <c r="F1141" s="4" t="s">
        <v>6</v>
      </c>
      <c r="G1141" s="8"/>
      <c r="H1141" s="6" t="str">
        <f aca="false">IF(G1141="","",G1141/SUMIFS($G$2:$G$1462,$F$2:$F$1462,"Served"))</f>
        <v/>
      </c>
      <c r="I1141" s="4" t="str">
        <f aca="false">IF(G1141="","",RANK(G1141,$G$2:$G$1462,0))</f>
        <v/>
      </c>
      <c r="J1141" s="4" t="s">
        <v>34</v>
      </c>
    </row>
    <row r="1142" customFormat="false" ht="15" hidden="false" customHeight="false" outlineLevel="0" collapsed="false">
      <c r="A1142" s="4" t="s">
        <v>2419</v>
      </c>
      <c r="B1142" s="4" t="s">
        <v>2409</v>
      </c>
      <c r="C1142" s="4" t="s">
        <v>2410</v>
      </c>
      <c r="D1142" s="7" t="s">
        <v>2420</v>
      </c>
      <c r="E1142" s="4" t="s">
        <v>2412</v>
      </c>
      <c r="F1142" s="4" t="s">
        <v>6</v>
      </c>
      <c r="G1142" s="8"/>
      <c r="H1142" s="6" t="str">
        <f aca="false">IF(G1142="","",G1142/SUMIFS($G$2:$G$1462,$F$2:$F$1462,"Served"))</f>
        <v/>
      </c>
      <c r="I1142" s="4" t="str">
        <f aca="false">IF(G1142="","",RANK(G1142,$G$2:$G$1462,0))</f>
        <v/>
      </c>
      <c r="J1142" s="4" t="s">
        <v>34</v>
      </c>
    </row>
    <row r="1143" customFormat="false" ht="15" hidden="false" customHeight="false" outlineLevel="0" collapsed="false">
      <c r="A1143" s="4" t="s">
        <v>2421</v>
      </c>
      <c r="B1143" s="4" t="s">
        <v>2409</v>
      </c>
      <c r="C1143" s="4" t="s">
        <v>2410</v>
      </c>
      <c r="D1143" s="7" t="s">
        <v>2422</v>
      </c>
      <c r="E1143" s="4" t="s">
        <v>2412</v>
      </c>
      <c r="F1143" s="4" t="s">
        <v>6</v>
      </c>
      <c r="G1143" s="8"/>
      <c r="H1143" s="6" t="str">
        <f aca="false">IF(G1143="","",G1143/SUMIFS($G$2:$G$1462,$F$2:$F$1462,"Served"))</f>
        <v/>
      </c>
      <c r="I1143" s="4" t="str">
        <f aca="false">IF(G1143="","",RANK(G1143,$G$2:$G$1462,0))</f>
        <v/>
      </c>
      <c r="J1143" s="4" t="s">
        <v>34</v>
      </c>
    </row>
    <row r="1144" customFormat="false" ht="15" hidden="false" customHeight="false" outlineLevel="0" collapsed="false">
      <c r="A1144" s="4" t="s">
        <v>2423</v>
      </c>
      <c r="B1144" s="4" t="s">
        <v>2409</v>
      </c>
      <c r="C1144" s="4" t="s">
        <v>2410</v>
      </c>
      <c r="D1144" s="7" t="s">
        <v>2424</v>
      </c>
      <c r="E1144" s="4" t="s">
        <v>2412</v>
      </c>
      <c r="F1144" s="4" t="s">
        <v>6</v>
      </c>
      <c r="G1144" s="8"/>
      <c r="H1144" s="6" t="str">
        <f aca="false">IF(G1144="","",G1144/SUMIFS($G$2:$G$1462,$F$2:$F$1462,"Served"))</f>
        <v/>
      </c>
      <c r="I1144" s="4" t="str">
        <f aca="false">IF(G1144="","",RANK(G1144,$G$2:$G$1462,0))</f>
        <v/>
      </c>
      <c r="J1144" s="4" t="s">
        <v>34</v>
      </c>
    </row>
    <row r="1145" customFormat="false" ht="15" hidden="false" customHeight="false" outlineLevel="0" collapsed="false">
      <c r="A1145" s="4" t="s">
        <v>2425</v>
      </c>
      <c r="B1145" s="4" t="s">
        <v>2409</v>
      </c>
      <c r="C1145" s="4" t="s">
        <v>2410</v>
      </c>
      <c r="D1145" s="7" t="s">
        <v>2426</v>
      </c>
      <c r="E1145" s="4" t="s">
        <v>2412</v>
      </c>
      <c r="F1145" s="4" t="s">
        <v>6</v>
      </c>
      <c r="G1145" s="8"/>
      <c r="H1145" s="6" t="str">
        <f aca="false">IF(G1145="","",G1145/SUMIFS($G$2:$G$1462,$F$2:$F$1462,"Served"))</f>
        <v/>
      </c>
      <c r="I1145" s="4" t="str">
        <f aca="false">IF(G1145="","",RANK(G1145,$G$2:$G$1462,0))</f>
        <v/>
      </c>
      <c r="J1145" s="4" t="s">
        <v>34</v>
      </c>
    </row>
    <row r="1146" customFormat="false" ht="15" hidden="false" customHeight="false" outlineLevel="0" collapsed="false">
      <c r="A1146" s="4" t="s">
        <v>2427</v>
      </c>
      <c r="B1146" s="4" t="s">
        <v>2428</v>
      </c>
      <c r="C1146" s="4" t="s">
        <v>2429</v>
      </c>
      <c r="D1146" s="7" t="s">
        <v>2430</v>
      </c>
      <c r="E1146" s="4" t="s">
        <v>2431</v>
      </c>
      <c r="F1146" s="4" t="s">
        <v>6</v>
      </c>
      <c r="G1146" s="8"/>
      <c r="H1146" s="6" t="str">
        <f aca="false">IF(G1146="","",G1146/SUMIFS($G$2:$G$1462,$F$2:$F$1462,"Served"))</f>
        <v/>
      </c>
      <c r="I1146" s="4" t="str">
        <f aca="false">IF(G1146="","",RANK(G1146,$G$2:$G$1462,0))</f>
        <v/>
      </c>
      <c r="J1146" s="4" t="s">
        <v>34</v>
      </c>
    </row>
    <row r="1147" customFormat="false" ht="15" hidden="false" customHeight="false" outlineLevel="0" collapsed="false">
      <c r="A1147" s="4" t="s">
        <v>2432</v>
      </c>
      <c r="B1147" s="4" t="s">
        <v>2428</v>
      </c>
      <c r="C1147" s="4" t="s">
        <v>2429</v>
      </c>
      <c r="D1147" s="7" t="s">
        <v>2433</v>
      </c>
      <c r="E1147" s="4" t="s">
        <v>2431</v>
      </c>
      <c r="F1147" s="4" t="s">
        <v>6</v>
      </c>
      <c r="G1147" s="8"/>
      <c r="H1147" s="6" t="str">
        <f aca="false">IF(G1147="","",G1147/SUMIFS($G$2:$G$1462,$F$2:$F$1462,"Served"))</f>
        <v/>
      </c>
      <c r="I1147" s="4" t="str">
        <f aca="false">IF(G1147="","",RANK(G1147,$G$2:$G$1462,0))</f>
        <v/>
      </c>
      <c r="J1147" s="4" t="s">
        <v>34</v>
      </c>
    </row>
    <row r="1148" customFormat="false" ht="15" hidden="false" customHeight="false" outlineLevel="0" collapsed="false">
      <c r="A1148" s="4" t="s">
        <v>2434</v>
      </c>
      <c r="B1148" s="4" t="s">
        <v>2428</v>
      </c>
      <c r="C1148" s="4" t="s">
        <v>2429</v>
      </c>
      <c r="D1148" s="7" t="s">
        <v>2435</v>
      </c>
      <c r="E1148" s="4" t="s">
        <v>2431</v>
      </c>
      <c r="F1148" s="4" t="s">
        <v>6</v>
      </c>
      <c r="G1148" s="8"/>
      <c r="H1148" s="6" t="str">
        <f aca="false">IF(G1148="","",G1148/SUMIFS($G$2:$G$1462,$F$2:$F$1462,"Served"))</f>
        <v/>
      </c>
      <c r="I1148" s="4" t="str">
        <f aca="false">IF(G1148="","",RANK(G1148,$G$2:$G$1462,0))</f>
        <v/>
      </c>
      <c r="J1148" s="4" t="s">
        <v>34</v>
      </c>
    </row>
    <row r="1149" customFormat="false" ht="15" hidden="false" customHeight="false" outlineLevel="0" collapsed="false">
      <c r="A1149" s="4" t="s">
        <v>2436</v>
      </c>
      <c r="B1149" s="4" t="s">
        <v>2428</v>
      </c>
      <c r="C1149" s="4" t="s">
        <v>2429</v>
      </c>
      <c r="D1149" s="7" t="s">
        <v>2437</v>
      </c>
      <c r="E1149" s="4" t="s">
        <v>2431</v>
      </c>
      <c r="F1149" s="4" t="s">
        <v>6</v>
      </c>
      <c r="G1149" s="8"/>
      <c r="H1149" s="6" t="str">
        <f aca="false">IF(G1149="","",G1149/SUMIFS($G$2:$G$1462,$F$2:$F$1462,"Served"))</f>
        <v/>
      </c>
      <c r="I1149" s="4" t="str">
        <f aca="false">IF(G1149="","",RANK(G1149,$G$2:$G$1462,0))</f>
        <v/>
      </c>
      <c r="J1149" s="4" t="s">
        <v>34</v>
      </c>
    </row>
    <row r="1150" customFormat="false" ht="15" hidden="false" customHeight="false" outlineLevel="0" collapsed="false">
      <c r="A1150" s="4" t="s">
        <v>2438</v>
      </c>
      <c r="B1150" s="4" t="s">
        <v>2428</v>
      </c>
      <c r="C1150" s="4" t="s">
        <v>2429</v>
      </c>
      <c r="D1150" s="7" t="s">
        <v>2439</v>
      </c>
      <c r="E1150" s="4" t="s">
        <v>2431</v>
      </c>
      <c r="F1150" s="4" t="s">
        <v>6</v>
      </c>
      <c r="G1150" s="8"/>
      <c r="H1150" s="6" t="str">
        <f aca="false">IF(G1150="","",G1150/SUMIFS($G$2:$G$1462,$F$2:$F$1462,"Served"))</f>
        <v/>
      </c>
      <c r="I1150" s="4" t="str">
        <f aca="false">IF(G1150="","",RANK(G1150,$G$2:$G$1462,0))</f>
        <v/>
      </c>
      <c r="J1150" s="4" t="s">
        <v>34</v>
      </c>
    </row>
    <row r="1151" customFormat="false" ht="15" hidden="false" customHeight="false" outlineLevel="0" collapsed="false">
      <c r="A1151" s="4" t="s">
        <v>2440</v>
      </c>
      <c r="B1151" s="4" t="s">
        <v>2428</v>
      </c>
      <c r="C1151" s="4" t="s">
        <v>2429</v>
      </c>
      <c r="D1151" s="7" t="s">
        <v>2441</v>
      </c>
      <c r="E1151" s="4" t="s">
        <v>2431</v>
      </c>
      <c r="F1151" s="4" t="s">
        <v>6</v>
      </c>
      <c r="G1151" s="8"/>
      <c r="H1151" s="6" t="str">
        <f aca="false">IF(G1151="","",G1151/SUMIFS($G$2:$G$1462,$F$2:$F$1462,"Served"))</f>
        <v/>
      </c>
      <c r="I1151" s="4" t="str">
        <f aca="false">IF(G1151="","",RANK(G1151,$G$2:$G$1462,0))</f>
        <v/>
      </c>
      <c r="J1151" s="4" t="s">
        <v>34</v>
      </c>
    </row>
    <row r="1152" customFormat="false" ht="15" hidden="false" customHeight="false" outlineLevel="0" collapsed="false">
      <c r="A1152" s="4" t="s">
        <v>2442</v>
      </c>
      <c r="B1152" s="4" t="s">
        <v>2428</v>
      </c>
      <c r="C1152" s="4" t="s">
        <v>2429</v>
      </c>
      <c r="D1152" s="7" t="s">
        <v>2443</v>
      </c>
      <c r="E1152" s="4" t="s">
        <v>2431</v>
      </c>
      <c r="F1152" s="4" t="s">
        <v>6</v>
      </c>
      <c r="G1152" s="8"/>
      <c r="H1152" s="6" t="str">
        <f aca="false">IF(G1152="","",G1152/SUMIFS($G$2:$G$1462,$F$2:$F$1462,"Served"))</f>
        <v/>
      </c>
      <c r="I1152" s="4" t="str">
        <f aca="false">IF(G1152="","",RANK(G1152,$G$2:$G$1462,0))</f>
        <v/>
      </c>
      <c r="J1152" s="4" t="s">
        <v>34</v>
      </c>
    </row>
    <row r="1153" customFormat="false" ht="15" hidden="false" customHeight="false" outlineLevel="0" collapsed="false">
      <c r="A1153" s="4" t="s">
        <v>2444</v>
      </c>
      <c r="B1153" s="4" t="s">
        <v>2445</v>
      </c>
      <c r="C1153" s="4" t="s">
        <v>2446</v>
      </c>
      <c r="D1153" s="7" t="s">
        <v>2447</v>
      </c>
      <c r="E1153" s="4" t="s">
        <v>2448</v>
      </c>
      <c r="F1153" s="4" t="s">
        <v>5</v>
      </c>
      <c r="G1153" s="8"/>
      <c r="H1153" s="6" t="str">
        <f aca="false">IF(G1153="","",G1153/SUMIFS($G$2:$G$1462,$F$2:$F$1462,"Served"))</f>
        <v/>
      </c>
      <c r="I1153" s="4" t="str">
        <f aca="false">IF(G1153="","",RANK(G1153,$G$2:$G$1462,0))</f>
        <v/>
      </c>
      <c r="J1153" s="4" t="s">
        <v>34</v>
      </c>
    </row>
    <row r="1154" customFormat="false" ht="15" hidden="false" customHeight="false" outlineLevel="0" collapsed="false">
      <c r="A1154" s="4" t="s">
        <v>2449</v>
      </c>
      <c r="B1154" s="4" t="s">
        <v>2445</v>
      </c>
      <c r="C1154" s="4" t="s">
        <v>2446</v>
      </c>
      <c r="D1154" s="7" t="s">
        <v>2450</v>
      </c>
      <c r="E1154" s="4" t="s">
        <v>2448</v>
      </c>
      <c r="F1154" s="4" t="s">
        <v>5</v>
      </c>
      <c r="G1154" s="8"/>
      <c r="H1154" s="6" t="str">
        <f aca="false">IF(G1154="","",G1154/SUMIFS($G$2:$G$1462,$F$2:$F$1462,"Served"))</f>
        <v/>
      </c>
      <c r="I1154" s="4" t="str">
        <f aca="false">IF(G1154="","",RANK(G1154,$G$2:$G$1462,0))</f>
        <v/>
      </c>
      <c r="J1154" s="4" t="s">
        <v>34</v>
      </c>
    </row>
    <row r="1155" customFormat="false" ht="15" hidden="false" customHeight="false" outlineLevel="0" collapsed="false">
      <c r="A1155" s="4" t="s">
        <v>2451</v>
      </c>
      <c r="B1155" s="4" t="s">
        <v>2445</v>
      </c>
      <c r="C1155" s="4" t="s">
        <v>2446</v>
      </c>
      <c r="D1155" s="7" t="s">
        <v>2452</v>
      </c>
      <c r="E1155" s="4" t="s">
        <v>2448</v>
      </c>
      <c r="F1155" s="4" t="s">
        <v>5</v>
      </c>
      <c r="G1155" s="8"/>
      <c r="H1155" s="6" t="str">
        <f aca="false">IF(G1155="","",G1155/SUMIFS($G$2:$G$1462,$F$2:$F$1462,"Served"))</f>
        <v/>
      </c>
      <c r="I1155" s="4" t="str">
        <f aca="false">IF(G1155="","",RANK(G1155,$G$2:$G$1462,0))</f>
        <v/>
      </c>
      <c r="J1155" s="4" t="s">
        <v>34</v>
      </c>
    </row>
    <row r="1156" customFormat="false" ht="15" hidden="false" customHeight="false" outlineLevel="0" collapsed="false">
      <c r="A1156" s="4" t="s">
        <v>2453</v>
      </c>
      <c r="B1156" s="4" t="s">
        <v>2445</v>
      </c>
      <c r="C1156" s="4" t="s">
        <v>2446</v>
      </c>
      <c r="D1156" s="7" t="s">
        <v>2454</v>
      </c>
      <c r="E1156" s="4" t="s">
        <v>2448</v>
      </c>
      <c r="F1156" s="4" t="s">
        <v>5</v>
      </c>
      <c r="G1156" s="8"/>
      <c r="H1156" s="6" t="str">
        <f aca="false">IF(G1156="","",G1156/SUMIFS($G$2:$G$1462,$F$2:$F$1462,"Served"))</f>
        <v/>
      </c>
      <c r="I1156" s="4" t="str">
        <f aca="false">IF(G1156="","",RANK(G1156,$G$2:$G$1462,0))</f>
        <v/>
      </c>
      <c r="J1156" s="4" t="s">
        <v>34</v>
      </c>
    </row>
    <row r="1157" customFormat="false" ht="15" hidden="false" customHeight="false" outlineLevel="0" collapsed="false">
      <c r="A1157" s="4" t="s">
        <v>2455</v>
      </c>
      <c r="B1157" s="4" t="s">
        <v>2445</v>
      </c>
      <c r="C1157" s="4" t="s">
        <v>2446</v>
      </c>
      <c r="D1157" s="7" t="s">
        <v>2456</v>
      </c>
      <c r="E1157" s="4" t="s">
        <v>2448</v>
      </c>
      <c r="F1157" s="4" t="s">
        <v>5</v>
      </c>
      <c r="G1157" s="8"/>
      <c r="H1157" s="6" t="str">
        <f aca="false">IF(G1157="","",G1157/SUMIFS($G$2:$G$1462,$F$2:$F$1462,"Served"))</f>
        <v/>
      </c>
      <c r="I1157" s="4" t="str">
        <f aca="false">IF(G1157="","",RANK(G1157,$G$2:$G$1462,0))</f>
        <v/>
      </c>
      <c r="J1157" s="4" t="s">
        <v>34</v>
      </c>
    </row>
    <row r="1158" customFormat="false" ht="15" hidden="false" customHeight="false" outlineLevel="0" collapsed="false">
      <c r="A1158" s="4" t="s">
        <v>2457</v>
      </c>
      <c r="B1158" s="4" t="s">
        <v>2445</v>
      </c>
      <c r="C1158" s="4" t="s">
        <v>2446</v>
      </c>
      <c r="D1158" s="7" t="s">
        <v>2458</v>
      </c>
      <c r="E1158" s="4" t="s">
        <v>2448</v>
      </c>
      <c r="F1158" s="4" t="s">
        <v>5</v>
      </c>
      <c r="G1158" s="8"/>
      <c r="H1158" s="6" t="str">
        <f aca="false">IF(G1158="","",G1158/SUMIFS($G$2:$G$1462,$F$2:$F$1462,"Served"))</f>
        <v/>
      </c>
      <c r="I1158" s="4" t="str">
        <f aca="false">IF(G1158="","",RANK(G1158,$G$2:$G$1462,0))</f>
        <v/>
      </c>
      <c r="J1158" s="4" t="s">
        <v>34</v>
      </c>
    </row>
    <row r="1159" customFormat="false" ht="15" hidden="false" customHeight="false" outlineLevel="0" collapsed="false">
      <c r="A1159" s="4" t="s">
        <v>2459</v>
      </c>
      <c r="B1159" s="4" t="s">
        <v>2445</v>
      </c>
      <c r="C1159" s="4" t="s">
        <v>2446</v>
      </c>
      <c r="D1159" s="7" t="s">
        <v>2460</v>
      </c>
      <c r="E1159" s="4" t="s">
        <v>2448</v>
      </c>
      <c r="F1159" s="4" t="s">
        <v>5</v>
      </c>
      <c r="G1159" s="8"/>
      <c r="H1159" s="6" t="str">
        <f aca="false">IF(G1159="","",G1159/SUMIFS($G$2:$G$1462,$F$2:$F$1462,"Served"))</f>
        <v/>
      </c>
      <c r="I1159" s="4" t="str">
        <f aca="false">IF(G1159="","",RANK(G1159,$G$2:$G$1462,0))</f>
        <v/>
      </c>
      <c r="J1159" s="4" t="s">
        <v>34</v>
      </c>
    </row>
    <row r="1160" customFormat="false" ht="15" hidden="false" customHeight="false" outlineLevel="0" collapsed="false">
      <c r="A1160" s="4" t="s">
        <v>2461</v>
      </c>
      <c r="B1160" s="4" t="s">
        <v>2445</v>
      </c>
      <c r="C1160" s="4" t="s">
        <v>2446</v>
      </c>
      <c r="D1160" s="7" t="s">
        <v>2462</v>
      </c>
      <c r="E1160" s="4" t="s">
        <v>2448</v>
      </c>
      <c r="F1160" s="4" t="s">
        <v>5</v>
      </c>
      <c r="G1160" s="8"/>
      <c r="H1160" s="6" t="str">
        <f aca="false">IF(G1160="","",G1160/SUMIFS($G$2:$G$1462,$F$2:$F$1462,"Served"))</f>
        <v/>
      </c>
      <c r="I1160" s="4" t="str">
        <f aca="false">IF(G1160="","",RANK(G1160,$G$2:$G$1462,0))</f>
        <v/>
      </c>
      <c r="J1160" s="4" t="s">
        <v>34</v>
      </c>
    </row>
    <row r="1161" customFormat="false" ht="15" hidden="false" customHeight="false" outlineLevel="0" collapsed="false">
      <c r="A1161" s="4" t="s">
        <v>2463</v>
      </c>
      <c r="B1161" s="4" t="s">
        <v>2445</v>
      </c>
      <c r="C1161" s="4" t="s">
        <v>2446</v>
      </c>
      <c r="D1161" s="7" t="s">
        <v>2464</v>
      </c>
      <c r="E1161" s="4" t="s">
        <v>2448</v>
      </c>
      <c r="F1161" s="4" t="s">
        <v>5</v>
      </c>
      <c r="G1161" s="8"/>
      <c r="H1161" s="6" t="str">
        <f aca="false">IF(G1161="","",G1161/SUMIFS($G$2:$G$1462,$F$2:$F$1462,"Served"))</f>
        <v/>
      </c>
      <c r="I1161" s="4" t="str">
        <f aca="false">IF(G1161="","",RANK(G1161,$G$2:$G$1462,0))</f>
        <v/>
      </c>
      <c r="J1161" s="4" t="s">
        <v>34</v>
      </c>
    </row>
    <row r="1162" customFormat="false" ht="15" hidden="false" customHeight="false" outlineLevel="0" collapsed="false">
      <c r="A1162" s="4" t="s">
        <v>2465</v>
      </c>
      <c r="B1162" s="4" t="s">
        <v>2445</v>
      </c>
      <c r="C1162" s="4" t="s">
        <v>2446</v>
      </c>
      <c r="D1162" s="7" t="s">
        <v>2466</v>
      </c>
      <c r="E1162" s="4" t="s">
        <v>2448</v>
      </c>
      <c r="F1162" s="4" t="s">
        <v>5</v>
      </c>
      <c r="G1162" s="8"/>
      <c r="H1162" s="6" t="str">
        <f aca="false">IF(G1162="","",G1162/SUMIFS($G$2:$G$1462,$F$2:$F$1462,"Served"))</f>
        <v/>
      </c>
      <c r="I1162" s="4" t="str">
        <f aca="false">IF(G1162="","",RANK(G1162,$G$2:$G$1462,0))</f>
        <v/>
      </c>
      <c r="J1162" s="4" t="s">
        <v>34</v>
      </c>
    </row>
    <row r="1163" customFormat="false" ht="15" hidden="false" customHeight="false" outlineLevel="0" collapsed="false">
      <c r="A1163" s="4" t="s">
        <v>2467</v>
      </c>
      <c r="B1163" s="4" t="s">
        <v>2445</v>
      </c>
      <c r="C1163" s="4" t="s">
        <v>2446</v>
      </c>
      <c r="D1163" s="7" t="s">
        <v>2468</v>
      </c>
      <c r="E1163" s="4" t="s">
        <v>2448</v>
      </c>
      <c r="F1163" s="4" t="s">
        <v>5</v>
      </c>
      <c r="G1163" s="8"/>
      <c r="H1163" s="6" t="str">
        <f aca="false">IF(G1163="","",G1163/SUMIFS($G$2:$G$1462,$F$2:$F$1462,"Served"))</f>
        <v/>
      </c>
      <c r="I1163" s="4" t="str">
        <f aca="false">IF(G1163="","",RANK(G1163,$G$2:$G$1462,0))</f>
        <v/>
      </c>
      <c r="J1163" s="4" t="s">
        <v>34</v>
      </c>
    </row>
    <row r="1164" customFormat="false" ht="15" hidden="false" customHeight="false" outlineLevel="0" collapsed="false">
      <c r="A1164" s="4" t="s">
        <v>2469</v>
      </c>
      <c r="B1164" s="4" t="s">
        <v>2445</v>
      </c>
      <c r="C1164" s="4" t="s">
        <v>2446</v>
      </c>
      <c r="D1164" s="7" t="s">
        <v>2470</v>
      </c>
      <c r="E1164" s="4" t="s">
        <v>2448</v>
      </c>
      <c r="F1164" s="4" t="s">
        <v>5</v>
      </c>
      <c r="G1164" s="8"/>
      <c r="H1164" s="6" t="str">
        <f aca="false">IF(G1164="","",G1164/SUMIFS($G$2:$G$1462,$F$2:$F$1462,"Served"))</f>
        <v/>
      </c>
      <c r="I1164" s="4" t="str">
        <f aca="false">IF(G1164="","",RANK(G1164,$G$2:$G$1462,0))</f>
        <v/>
      </c>
      <c r="J1164" s="4" t="s">
        <v>34</v>
      </c>
    </row>
    <row r="1165" customFormat="false" ht="15" hidden="false" customHeight="false" outlineLevel="0" collapsed="false">
      <c r="A1165" s="4" t="s">
        <v>2471</v>
      </c>
      <c r="B1165" s="4" t="s">
        <v>2445</v>
      </c>
      <c r="C1165" s="4" t="s">
        <v>2446</v>
      </c>
      <c r="D1165" s="7" t="s">
        <v>2472</v>
      </c>
      <c r="E1165" s="4" t="s">
        <v>2448</v>
      </c>
      <c r="F1165" s="4" t="s">
        <v>5</v>
      </c>
      <c r="G1165" s="8"/>
      <c r="H1165" s="6" t="str">
        <f aca="false">IF(G1165="","",G1165/SUMIFS($G$2:$G$1462,$F$2:$F$1462,"Served"))</f>
        <v/>
      </c>
      <c r="I1165" s="4" t="str">
        <f aca="false">IF(G1165="","",RANK(G1165,$G$2:$G$1462,0))</f>
        <v/>
      </c>
      <c r="J1165" s="4" t="s">
        <v>34</v>
      </c>
    </row>
    <row r="1166" customFormat="false" ht="15" hidden="false" customHeight="false" outlineLevel="0" collapsed="false">
      <c r="A1166" s="4" t="s">
        <v>2473</v>
      </c>
      <c r="B1166" s="4" t="s">
        <v>2445</v>
      </c>
      <c r="C1166" s="4" t="s">
        <v>2446</v>
      </c>
      <c r="D1166" s="7" t="s">
        <v>2474</v>
      </c>
      <c r="E1166" s="4" t="s">
        <v>2448</v>
      </c>
      <c r="F1166" s="4" t="s">
        <v>5</v>
      </c>
      <c r="G1166" s="8"/>
      <c r="H1166" s="6" t="str">
        <f aca="false">IF(G1166="","",G1166/SUMIFS($G$2:$G$1462,$F$2:$F$1462,"Served"))</f>
        <v/>
      </c>
      <c r="I1166" s="4" t="str">
        <f aca="false">IF(G1166="","",RANK(G1166,$G$2:$G$1462,0))</f>
        <v/>
      </c>
      <c r="J1166" s="4" t="s">
        <v>34</v>
      </c>
    </row>
    <row r="1167" customFormat="false" ht="15" hidden="false" customHeight="false" outlineLevel="0" collapsed="false">
      <c r="A1167" s="4" t="s">
        <v>2475</v>
      </c>
      <c r="B1167" s="4" t="s">
        <v>2476</v>
      </c>
      <c r="C1167" s="4" t="s">
        <v>2477</v>
      </c>
      <c r="D1167" s="7" t="s">
        <v>2478</v>
      </c>
      <c r="E1167" s="4" t="s">
        <v>2479</v>
      </c>
      <c r="F1167" s="4" t="s">
        <v>6</v>
      </c>
      <c r="G1167" s="8"/>
      <c r="H1167" s="6" t="str">
        <f aca="false">IF(G1167="","",G1167/SUMIFS($G$2:$G$1462,$F$2:$F$1462,"Served"))</f>
        <v/>
      </c>
      <c r="I1167" s="4" t="str">
        <f aca="false">IF(G1167="","",RANK(G1167,$G$2:$G$1462,0))</f>
        <v/>
      </c>
      <c r="J1167" s="4" t="s">
        <v>34</v>
      </c>
    </row>
    <row r="1168" customFormat="false" ht="15" hidden="false" customHeight="false" outlineLevel="0" collapsed="false">
      <c r="A1168" s="4" t="s">
        <v>2480</v>
      </c>
      <c r="B1168" s="4" t="s">
        <v>2476</v>
      </c>
      <c r="C1168" s="4" t="s">
        <v>2477</v>
      </c>
      <c r="D1168" s="7" t="s">
        <v>2481</v>
      </c>
      <c r="E1168" s="4" t="s">
        <v>2479</v>
      </c>
      <c r="F1168" s="4" t="s">
        <v>6</v>
      </c>
      <c r="G1168" s="8"/>
      <c r="H1168" s="6" t="str">
        <f aca="false">IF(G1168="","",G1168/SUMIFS($G$2:$G$1462,$F$2:$F$1462,"Served"))</f>
        <v/>
      </c>
      <c r="I1168" s="4" t="str">
        <f aca="false">IF(G1168="","",RANK(G1168,$G$2:$G$1462,0))</f>
        <v/>
      </c>
      <c r="J1168" s="4" t="s">
        <v>34</v>
      </c>
    </row>
    <row r="1169" customFormat="false" ht="15" hidden="false" customHeight="false" outlineLevel="0" collapsed="false">
      <c r="A1169" s="4" t="s">
        <v>2482</v>
      </c>
      <c r="B1169" s="4" t="s">
        <v>2476</v>
      </c>
      <c r="C1169" s="4" t="s">
        <v>2477</v>
      </c>
      <c r="D1169" s="7" t="s">
        <v>2483</v>
      </c>
      <c r="E1169" s="4" t="s">
        <v>2479</v>
      </c>
      <c r="F1169" s="4" t="s">
        <v>6</v>
      </c>
      <c r="G1169" s="8"/>
      <c r="H1169" s="6" t="str">
        <f aca="false">IF(G1169="","",G1169/SUMIFS($G$2:$G$1462,$F$2:$F$1462,"Served"))</f>
        <v/>
      </c>
      <c r="I1169" s="4" t="str">
        <f aca="false">IF(G1169="","",RANK(G1169,$G$2:$G$1462,0))</f>
        <v/>
      </c>
      <c r="J1169" s="4" t="s">
        <v>34</v>
      </c>
    </row>
    <row r="1170" customFormat="false" ht="15" hidden="false" customHeight="false" outlineLevel="0" collapsed="false">
      <c r="A1170" s="4" t="s">
        <v>2484</v>
      </c>
      <c r="B1170" s="4" t="s">
        <v>2476</v>
      </c>
      <c r="C1170" s="4" t="s">
        <v>2477</v>
      </c>
      <c r="D1170" s="7" t="s">
        <v>2485</v>
      </c>
      <c r="E1170" s="4" t="s">
        <v>2479</v>
      </c>
      <c r="F1170" s="4" t="s">
        <v>6</v>
      </c>
      <c r="G1170" s="8"/>
      <c r="H1170" s="6" t="str">
        <f aca="false">IF(G1170="","",G1170/SUMIFS($G$2:$G$1462,$F$2:$F$1462,"Served"))</f>
        <v/>
      </c>
      <c r="I1170" s="4" t="str">
        <f aca="false">IF(G1170="","",RANK(G1170,$G$2:$G$1462,0))</f>
        <v/>
      </c>
      <c r="J1170" s="4" t="s">
        <v>34</v>
      </c>
    </row>
    <row r="1171" customFormat="false" ht="15" hidden="false" customHeight="false" outlineLevel="0" collapsed="false">
      <c r="A1171" s="4" t="s">
        <v>2486</v>
      </c>
      <c r="B1171" s="4" t="s">
        <v>2476</v>
      </c>
      <c r="C1171" s="4" t="s">
        <v>2477</v>
      </c>
      <c r="D1171" s="7" t="s">
        <v>2487</v>
      </c>
      <c r="E1171" s="4" t="s">
        <v>2479</v>
      </c>
      <c r="F1171" s="4" t="s">
        <v>6</v>
      </c>
      <c r="G1171" s="8"/>
      <c r="H1171" s="6" t="str">
        <f aca="false">IF(G1171="","",G1171/SUMIFS($G$2:$G$1462,$F$2:$F$1462,"Served"))</f>
        <v/>
      </c>
      <c r="I1171" s="4" t="str">
        <f aca="false">IF(G1171="","",RANK(G1171,$G$2:$G$1462,0))</f>
        <v/>
      </c>
      <c r="J1171" s="4" t="s">
        <v>34</v>
      </c>
    </row>
    <row r="1172" customFormat="false" ht="15" hidden="false" customHeight="false" outlineLevel="0" collapsed="false">
      <c r="A1172" s="4" t="s">
        <v>2488</v>
      </c>
      <c r="B1172" s="4" t="s">
        <v>2476</v>
      </c>
      <c r="C1172" s="4" t="s">
        <v>2477</v>
      </c>
      <c r="D1172" s="7" t="s">
        <v>2489</v>
      </c>
      <c r="E1172" s="4" t="s">
        <v>2479</v>
      </c>
      <c r="F1172" s="4" t="s">
        <v>6</v>
      </c>
      <c r="G1172" s="8"/>
      <c r="H1172" s="6" t="str">
        <f aca="false">IF(G1172="","",G1172/SUMIFS($G$2:$G$1462,$F$2:$F$1462,"Served"))</f>
        <v/>
      </c>
      <c r="I1172" s="4" t="str">
        <f aca="false">IF(G1172="","",RANK(G1172,$G$2:$G$1462,0))</f>
        <v/>
      </c>
      <c r="J1172" s="4" t="s">
        <v>34</v>
      </c>
    </row>
    <row r="1173" customFormat="false" ht="15" hidden="false" customHeight="false" outlineLevel="0" collapsed="false">
      <c r="A1173" s="4" t="s">
        <v>2490</v>
      </c>
      <c r="B1173" s="4" t="s">
        <v>2476</v>
      </c>
      <c r="C1173" s="4" t="s">
        <v>2477</v>
      </c>
      <c r="D1173" s="7" t="s">
        <v>2491</v>
      </c>
      <c r="E1173" s="4" t="s">
        <v>2479</v>
      </c>
      <c r="F1173" s="4" t="s">
        <v>6</v>
      </c>
      <c r="G1173" s="8"/>
      <c r="H1173" s="6" t="str">
        <f aca="false">IF(G1173="","",G1173/SUMIFS($G$2:$G$1462,$F$2:$F$1462,"Served"))</f>
        <v/>
      </c>
      <c r="I1173" s="4" t="str">
        <f aca="false">IF(G1173="","",RANK(G1173,$G$2:$G$1462,0))</f>
        <v/>
      </c>
      <c r="J1173" s="4" t="s">
        <v>34</v>
      </c>
    </row>
    <row r="1174" customFormat="false" ht="15" hidden="false" customHeight="false" outlineLevel="0" collapsed="false">
      <c r="A1174" s="4" t="s">
        <v>2492</v>
      </c>
      <c r="B1174" s="4" t="s">
        <v>2476</v>
      </c>
      <c r="C1174" s="4" t="s">
        <v>2477</v>
      </c>
      <c r="D1174" s="7" t="s">
        <v>2493</v>
      </c>
      <c r="E1174" s="4" t="s">
        <v>2479</v>
      </c>
      <c r="F1174" s="4" t="s">
        <v>6</v>
      </c>
      <c r="G1174" s="8"/>
      <c r="H1174" s="6" t="str">
        <f aca="false">IF(G1174="","",G1174/SUMIFS($G$2:$G$1462,$F$2:$F$1462,"Served"))</f>
        <v/>
      </c>
      <c r="I1174" s="4" t="str">
        <f aca="false">IF(G1174="","",RANK(G1174,$G$2:$G$1462,0))</f>
        <v/>
      </c>
      <c r="J1174" s="4" t="s">
        <v>34</v>
      </c>
    </row>
    <row r="1175" customFormat="false" ht="15" hidden="false" customHeight="false" outlineLevel="0" collapsed="false">
      <c r="A1175" s="4" t="s">
        <v>2494</v>
      </c>
      <c r="B1175" s="4" t="s">
        <v>2476</v>
      </c>
      <c r="C1175" s="4" t="s">
        <v>2477</v>
      </c>
      <c r="D1175" s="7" t="s">
        <v>2495</v>
      </c>
      <c r="E1175" s="4" t="s">
        <v>2479</v>
      </c>
      <c r="F1175" s="4" t="s">
        <v>6</v>
      </c>
      <c r="G1175" s="8"/>
      <c r="H1175" s="6" t="str">
        <f aca="false">IF(G1175="","",G1175/SUMIFS($G$2:$G$1462,$F$2:$F$1462,"Served"))</f>
        <v/>
      </c>
      <c r="I1175" s="4" t="str">
        <f aca="false">IF(G1175="","",RANK(G1175,$G$2:$G$1462,0))</f>
        <v/>
      </c>
      <c r="J1175" s="4" t="s">
        <v>34</v>
      </c>
    </row>
    <row r="1176" customFormat="false" ht="15" hidden="false" customHeight="false" outlineLevel="0" collapsed="false">
      <c r="A1176" s="4" t="s">
        <v>2496</v>
      </c>
      <c r="B1176" s="4" t="s">
        <v>2476</v>
      </c>
      <c r="C1176" s="4" t="s">
        <v>2477</v>
      </c>
      <c r="D1176" s="7" t="s">
        <v>2497</v>
      </c>
      <c r="E1176" s="4" t="s">
        <v>2479</v>
      </c>
      <c r="F1176" s="4" t="s">
        <v>6</v>
      </c>
      <c r="G1176" s="8"/>
      <c r="H1176" s="6" t="str">
        <f aca="false">IF(G1176="","",G1176/SUMIFS($G$2:$G$1462,$F$2:$F$1462,"Served"))</f>
        <v/>
      </c>
      <c r="I1176" s="4" t="str">
        <f aca="false">IF(G1176="","",RANK(G1176,$G$2:$G$1462,0))</f>
        <v/>
      </c>
      <c r="J1176" s="4" t="s">
        <v>34</v>
      </c>
    </row>
    <row r="1177" customFormat="false" ht="15" hidden="false" customHeight="false" outlineLevel="0" collapsed="false">
      <c r="A1177" s="4" t="s">
        <v>2498</v>
      </c>
      <c r="B1177" s="4" t="s">
        <v>2476</v>
      </c>
      <c r="C1177" s="4" t="s">
        <v>2477</v>
      </c>
      <c r="D1177" s="7" t="s">
        <v>2499</v>
      </c>
      <c r="E1177" s="4" t="s">
        <v>2479</v>
      </c>
      <c r="F1177" s="4" t="s">
        <v>6</v>
      </c>
      <c r="G1177" s="8"/>
      <c r="H1177" s="6" t="str">
        <f aca="false">IF(G1177="","",G1177/SUMIFS($G$2:$G$1462,$F$2:$F$1462,"Served"))</f>
        <v/>
      </c>
      <c r="I1177" s="4" t="str">
        <f aca="false">IF(G1177="","",RANK(G1177,$G$2:$G$1462,0))</f>
        <v/>
      </c>
      <c r="J1177" s="4" t="s">
        <v>34</v>
      </c>
    </row>
    <row r="1178" customFormat="false" ht="15" hidden="false" customHeight="false" outlineLevel="0" collapsed="false">
      <c r="A1178" s="4" t="s">
        <v>2500</v>
      </c>
      <c r="B1178" s="4" t="s">
        <v>2476</v>
      </c>
      <c r="C1178" s="4" t="s">
        <v>2477</v>
      </c>
      <c r="D1178" s="7" t="s">
        <v>2501</v>
      </c>
      <c r="E1178" s="4" t="s">
        <v>2479</v>
      </c>
      <c r="F1178" s="4" t="s">
        <v>6</v>
      </c>
      <c r="G1178" s="8"/>
      <c r="H1178" s="6" t="str">
        <f aca="false">IF(G1178="","",G1178/SUMIFS($G$2:$G$1462,$F$2:$F$1462,"Served"))</f>
        <v/>
      </c>
      <c r="I1178" s="4" t="str">
        <f aca="false">IF(G1178="","",RANK(G1178,$G$2:$G$1462,0))</f>
        <v/>
      </c>
      <c r="J1178" s="4" t="s">
        <v>34</v>
      </c>
    </row>
    <row r="1179" customFormat="false" ht="15" hidden="false" customHeight="false" outlineLevel="0" collapsed="false">
      <c r="A1179" s="4" t="s">
        <v>2502</v>
      </c>
      <c r="B1179" s="4" t="s">
        <v>2476</v>
      </c>
      <c r="C1179" s="4" t="s">
        <v>2477</v>
      </c>
      <c r="D1179" s="7" t="s">
        <v>2503</v>
      </c>
      <c r="E1179" s="4" t="s">
        <v>2479</v>
      </c>
      <c r="F1179" s="4" t="s">
        <v>6</v>
      </c>
      <c r="G1179" s="8"/>
      <c r="H1179" s="6" t="str">
        <f aca="false">IF(G1179="","",G1179/SUMIFS($G$2:$G$1462,$F$2:$F$1462,"Served"))</f>
        <v/>
      </c>
      <c r="I1179" s="4" t="str">
        <f aca="false">IF(G1179="","",RANK(G1179,$G$2:$G$1462,0))</f>
        <v/>
      </c>
      <c r="J1179" s="4" t="s">
        <v>34</v>
      </c>
    </row>
    <row r="1180" customFormat="false" ht="15" hidden="false" customHeight="false" outlineLevel="0" collapsed="false">
      <c r="A1180" s="4" t="s">
        <v>2504</v>
      </c>
      <c r="B1180" s="4" t="s">
        <v>2476</v>
      </c>
      <c r="C1180" s="4" t="s">
        <v>2477</v>
      </c>
      <c r="D1180" s="7" t="s">
        <v>2505</v>
      </c>
      <c r="E1180" s="4" t="s">
        <v>2479</v>
      </c>
      <c r="F1180" s="4" t="s">
        <v>6</v>
      </c>
      <c r="G1180" s="8"/>
      <c r="H1180" s="6" t="str">
        <f aca="false">IF(G1180="","",G1180/SUMIFS($G$2:$G$1462,$F$2:$F$1462,"Served"))</f>
        <v/>
      </c>
      <c r="I1180" s="4" t="str">
        <f aca="false">IF(G1180="","",RANK(G1180,$G$2:$G$1462,0))</f>
        <v/>
      </c>
      <c r="J1180" s="4" t="s">
        <v>34</v>
      </c>
    </row>
    <row r="1181" customFormat="false" ht="15" hidden="false" customHeight="false" outlineLevel="0" collapsed="false">
      <c r="A1181" s="4" t="s">
        <v>2506</v>
      </c>
      <c r="B1181" s="4" t="s">
        <v>2476</v>
      </c>
      <c r="C1181" s="4" t="s">
        <v>2477</v>
      </c>
      <c r="D1181" s="7" t="s">
        <v>2507</v>
      </c>
      <c r="E1181" s="4" t="s">
        <v>2479</v>
      </c>
      <c r="F1181" s="4" t="s">
        <v>6</v>
      </c>
      <c r="G1181" s="8"/>
      <c r="H1181" s="6" t="str">
        <f aca="false">IF(G1181="","",G1181/SUMIFS($G$2:$G$1462,$F$2:$F$1462,"Served"))</f>
        <v/>
      </c>
      <c r="I1181" s="4" t="str">
        <f aca="false">IF(G1181="","",RANK(G1181,$G$2:$G$1462,0))</f>
        <v/>
      </c>
      <c r="J1181" s="4" t="s">
        <v>34</v>
      </c>
    </row>
    <row r="1182" customFormat="false" ht="15" hidden="false" customHeight="false" outlineLevel="0" collapsed="false">
      <c r="A1182" s="4" t="s">
        <v>2508</v>
      </c>
      <c r="B1182" s="4" t="s">
        <v>2476</v>
      </c>
      <c r="C1182" s="4" t="s">
        <v>2477</v>
      </c>
      <c r="D1182" s="7" t="s">
        <v>2509</v>
      </c>
      <c r="E1182" s="4" t="s">
        <v>2479</v>
      </c>
      <c r="F1182" s="4" t="s">
        <v>6</v>
      </c>
      <c r="G1182" s="8"/>
      <c r="H1182" s="6" t="str">
        <f aca="false">IF(G1182="","",G1182/SUMIFS($G$2:$G$1462,$F$2:$F$1462,"Served"))</f>
        <v/>
      </c>
      <c r="I1182" s="4" t="str">
        <f aca="false">IF(G1182="","",RANK(G1182,$G$2:$G$1462,0))</f>
        <v/>
      </c>
      <c r="J1182" s="4" t="s">
        <v>34</v>
      </c>
    </row>
    <row r="1183" customFormat="false" ht="15" hidden="false" customHeight="false" outlineLevel="0" collapsed="false">
      <c r="A1183" s="4" t="s">
        <v>2510</v>
      </c>
      <c r="B1183" s="4" t="s">
        <v>2476</v>
      </c>
      <c r="C1183" s="4" t="s">
        <v>2477</v>
      </c>
      <c r="D1183" s="7" t="s">
        <v>2511</v>
      </c>
      <c r="E1183" s="4" t="s">
        <v>2479</v>
      </c>
      <c r="F1183" s="4" t="s">
        <v>6</v>
      </c>
      <c r="G1183" s="8"/>
      <c r="H1183" s="6" t="str">
        <f aca="false">IF(G1183="","",G1183/SUMIFS($G$2:$G$1462,$F$2:$F$1462,"Served"))</f>
        <v/>
      </c>
      <c r="I1183" s="4" t="str">
        <f aca="false">IF(G1183="","",RANK(G1183,$G$2:$G$1462,0))</f>
        <v/>
      </c>
      <c r="J1183" s="4" t="s">
        <v>34</v>
      </c>
    </row>
    <row r="1184" customFormat="false" ht="15" hidden="false" customHeight="false" outlineLevel="0" collapsed="false">
      <c r="A1184" s="4" t="s">
        <v>2512</v>
      </c>
      <c r="B1184" s="4" t="s">
        <v>2476</v>
      </c>
      <c r="C1184" s="4" t="s">
        <v>2477</v>
      </c>
      <c r="D1184" s="7" t="s">
        <v>2513</v>
      </c>
      <c r="E1184" s="4" t="s">
        <v>2479</v>
      </c>
      <c r="F1184" s="4" t="s">
        <v>6</v>
      </c>
      <c r="G1184" s="8"/>
      <c r="H1184" s="6" t="str">
        <f aca="false">IF(G1184="","",G1184/SUMIFS($G$2:$G$1462,$F$2:$F$1462,"Served"))</f>
        <v/>
      </c>
      <c r="I1184" s="4" t="str">
        <f aca="false">IF(G1184="","",RANK(G1184,$G$2:$G$1462,0))</f>
        <v/>
      </c>
      <c r="J1184" s="4" t="s">
        <v>34</v>
      </c>
    </row>
    <row r="1185" customFormat="false" ht="15" hidden="false" customHeight="false" outlineLevel="0" collapsed="false">
      <c r="A1185" s="4" t="s">
        <v>2514</v>
      </c>
      <c r="B1185" s="4" t="s">
        <v>2476</v>
      </c>
      <c r="C1185" s="4" t="s">
        <v>2477</v>
      </c>
      <c r="D1185" s="7" t="s">
        <v>2515</v>
      </c>
      <c r="E1185" s="4" t="s">
        <v>2479</v>
      </c>
      <c r="F1185" s="4" t="s">
        <v>6</v>
      </c>
      <c r="G1185" s="8"/>
      <c r="H1185" s="6" t="str">
        <f aca="false">IF(G1185="","",G1185/SUMIFS($G$2:$G$1462,$F$2:$F$1462,"Served"))</f>
        <v/>
      </c>
      <c r="I1185" s="4" t="str">
        <f aca="false">IF(G1185="","",RANK(G1185,$G$2:$G$1462,0))</f>
        <v/>
      </c>
      <c r="J1185" s="4" t="s">
        <v>34</v>
      </c>
    </row>
    <row r="1186" customFormat="false" ht="15" hidden="false" customHeight="false" outlineLevel="0" collapsed="false">
      <c r="A1186" s="4" t="s">
        <v>2516</v>
      </c>
      <c r="B1186" s="4" t="s">
        <v>2476</v>
      </c>
      <c r="C1186" s="4" t="s">
        <v>2477</v>
      </c>
      <c r="D1186" s="7" t="s">
        <v>2517</v>
      </c>
      <c r="E1186" s="4" t="s">
        <v>2479</v>
      </c>
      <c r="F1186" s="4" t="s">
        <v>6</v>
      </c>
      <c r="G1186" s="8"/>
      <c r="H1186" s="6" t="str">
        <f aca="false">IF(G1186="","",G1186/SUMIFS($G$2:$G$1462,$F$2:$F$1462,"Served"))</f>
        <v/>
      </c>
      <c r="I1186" s="4" t="str">
        <f aca="false">IF(G1186="","",RANK(G1186,$G$2:$G$1462,0))</f>
        <v/>
      </c>
      <c r="J1186" s="4" t="s">
        <v>34</v>
      </c>
    </row>
    <row r="1187" customFormat="false" ht="15" hidden="false" customHeight="false" outlineLevel="0" collapsed="false">
      <c r="A1187" s="4" t="s">
        <v>2518</v>
      </c>
      <c r="B1187" s="4" t="s">
        <v>2519</v>
      </c>
      <c r="C1187" s="4" t="s">
        <v>2520</v>
      </c>
      <c r="D1187" s="7" t="s">
        <v>2521</v>
      </c>
      <c r="E1187" s="4" t="s">
        <v>2522</v>
      </c>
      <c r="F1187" s="4" t="s">
        <v>6</v>
      </c>
      <c r="G1187" s="8"/>
      <c r="H1187" s="6" t="str">
        <f aca="false">IF(G1187="","",G1187/SUMIFS($G$2:$G$1462,$F$2:$F$1462,"Served"))</f>
        <v/>
      </c>
      <c r="I1187" s="4" t="str">
        <f aca="false">IF(G1187="","",RANK(G1187,$G$2:$G$1462,0))</f>
        <v/>
      </c>
      <c r="J1187" s="4" t="s">
        <v>34</v>
      </c>
    </row>
    <row r="1188" customFormat="false" ht="15" hidden="false" customHeight="false" outlineLevel="0" collapsed="false">
      <c r="A1188" s="4" t="s">
        <v>2523</v>
      </c>
      <c r="B1188" s="4" t="s">
        <v>2519</v>
      </c>
      <c r="C1188" s="4" t="s">
        <v>2520</v>
      </c>
      <c r="D1188" s="7" t="s">
        <v>2524</v>
      </c>
      <c r="E1188" s="4" t="s">
        <v>2522</v>
      </c>
      <c r="F1188" s="4" t="s">
        <v>6</v>
      </c>
      <c r="G1188" s="8"/>
      <c r="H1188" s="6" t="str">
        <f aca="false">IF(G1188="","",G1188/SUMIFS($G$2:$G$1462,$F$2:$F$1462,"Served"))</f>
        <v/>
      </c>
      <c r="I1188" s="4" t="str">
        <f aca="false">IF(G1188="","",RANK(G1188,$G$2:$G$1462,0))</f>
        <v/>
      </c>
      <c r="J1188" s="4" t="s">
        <v>34</v>
      </c>
    </row>
    <row r="1189" customFormat="false" ht="15" hidden="false" customHeight="false" outlineLevel="0" collapsed="false">
      <c r="A1189" s="4" t="s">
        <v>2525</v>
      </c>
      <c r="B1189" s="4" t="s">
        <v>2519</v>
      </c>
      <c r="C1189" s="4" t="s">
        <v>2520</v>
      </c>
      <c r="D1189" s="7" t="s">
        <v>2526</v>
      </c>
      <c r="E1189" s="4" t="s">
        <v>2522</v>
      </c>
      <c r="F1189" s="4" t="s">
        <v>6</v>
      </c>
      <c r="G1189" s="8"/>
      <c r="H1189" s="6" t="str">
        <f aca="false">IF(G1189="","",G1189/SUMIFS($G$2:$G$1462,$F$2:$F$1462,"Served"))</f>
        <v/>
      </c>
      <c r="I1189" s="4" t="str">
        <f aca="false">IF(G1189="","",RANK(G1189,$G$2:$G$1462,0))</f>
        <v/>
      </c>
      <c r="J1189" s="4" t="s">
        <v>34</v>
      </c>
    </row>
    <row r="1190" customFormat="false" ht="15" hidden="false" customHeight="false" outlineLevel="0" collapsed="false">
      <c r="A1190" s="4" t="s">
        <v>2527</v>
      </c>
      <c r="B1190" s="4" t="s">
        <v>2519</v>
      </c>
      <c r="C1190" s="4" t="s">
        <v>2520</v>
      </c>
      <c r="D1190" s="7" t="s">
        <v>2528</v>
      </c>
      <c r="E1190" s="4" t="s">
        <v>2522</v>
      </c>
      <c r="F1190" s="4" t="s">
        <v>6</v>
      </c>
      <c r="G1190" s="8"/>
      <c r="H1190" s="6" t="str">
        <f aca="false">IF(G1190="","",G1190/SUMIFS($G$2:$G$1462,$F$2:$F$1462,"Served"))</f>
        <v/>
      </c>
      <c r="I1190" s="4" t="str">
        <f aca="false">IF(G1190="","",RANK(G1190,$G$2:$G$1462,0))</f>
        <v/>
      </c>
      <c r="J1190" s="4" t="s">
        <v>34</v>
      </c>
    </row>
    <row r="1191" customFormat="false" ht="15" hidden="false" customHeight="false" outlineLevel="0" collapsed="false">
      <c r="A1191" s="4" t="s">
        <v>2529</v>
      </c>
      <c r="B1191" s="4" t="s">
        <v>2519</v>
      </c>
      <c r="C1191" s="4" t="s">
        <v>2520</v>
      </c>
      <c r="D1191" s="7" t="s">
        <v>2530</v>
      </c>
      <c r="E1191" s="4" t="s">
        <v>2522</v>
      </c>
      <c r="F1191" s="4" t="s">
        <v>6</v>
      </c>
      <c r="G1191" s="8"/>
      <c r="H1191" s="6" t="str">
        <f aca="false">IF(G1191="","",G1191/SUMIFS($G$2:$G$1462,$F$2:$F$1462,"Served"))</f>
        <v/>
      </c>
      <c r="I1191" s="4" t="str">
        <f aca="false">IF(G1191="","",RANK(G1191,$G$2:$G$1462,0))</f>
        <v/>
      </c>
      <c r="J1191" s="4" t="s">
        <v>34</v>
      </c>
    </row>
    <row r="1192" customFormat="false" ht="15" hidden="false" customHeight="false" outlineLevel="0" collapsed="false">
      <c r="A1192" s="4" t="s">
        <v>2531</v>
      </c>
      <c r="B1192" s="4" t="s">
        <v>2519</v>
      </c>
      <c r="C1192" s="4" t="s">
        <v>2520</v>
      </c>
      <c r="D1192" s="7" t="s">
        <v>2532</v>
      </c>
      <c r="E1192" s="4" t="s">
        <v>2522</v>
      </c>
      <c r="F1192" s="4" t="s">
        <v>6</v>
      </c>
      <c r="G1192" s="8"/>
      <c r="H1192" s="6" t="str">
        <f aca="false">IF(G1192="","",G1192/SUMIFS($G$2:$G$1462,$F$2:$F$1462,"Served"))</f>
        <v/>
      </c>
      <c r="I1192" s="4" t="str">
        <f aca="false">IF(G1192="","",RANK(G1192,$G$2:$G$1462,0))</f>
        <v/>
      </c>
      <c r="J1192" s="4" t="s">
        <v>34</v>
      </c>
    </row>
    <row r="1193" customFormat="false" ht="15" hidden="false" customHeight="false" outlineLevel="0" collapsed="false">
      <c r="A1193" s="4" t="s">
        <v>2533</v>
      </c>
      <c r="B1193" s="4" t="s">
        <v>2519</v>
      </c>
      <c r="C1193" s="4" t="s">
        <v>2520</v>
      </c>
      <c r="D1193" s="7" t="s">
        <v>2534</v>
      </c>
      <c r="E1193" s="4" t="s">
        <v>2522</v>
      </c>
      <c r="F1193" s="4" t="s">
        <v>6</v>
      </c>
      <c r="G1193" s="8"/>
      <c r="H1193" s="6" t="str">
        <f aca="false">IF(G1193="","",G1193/SUMIFS($G$2:$G$1462,$F$2:$F$1462,"Served"))</f>
        <v/>
      </c>
      <c r="I1193" s="4" t="str">
        <f aca="false">IF(G1193="","",RANK(G1193,$G$2:$G$1462,0))</f>
        <v/>
      </c>
      <c r="J1193" s="4" t="s">
        <v>34</v>
      </c>
    </row>
    <row r="1194" customFormat="false" ht="15" hidden="false" customHeight="false" outlineLevel="0" collapsed="false">
      <c r="A1194" s="4" t="s">
        <v>2535</v>
      </c>
      <c r="B1194" s="4" t="s">
        <v>2519</v>
      </c>
      <c r="C1194" s="4" t="s">
        <v>2520</v>
      </c>
      <c r="D1194" s="7" t="s">
        <v>2536</v>
      </c>
      <c r="E1194" s="4" t="s">
        <v>2522</v>
      </c>
      <c r="F1194" s="4" t="s">
        <v>6</v>
      </c>
      <c r="G1194" s="8"/>
      <c r="H1194" s="6" t="str">
        <f aca="false">IF(G1194="","",G1194/SUMIFS($G$2:$G$1462,$F$2:$F$1462,"Served"))</f>
        <v/>
      </c>
      <c r="I1194" s="4" t="str">
        <f aca="false">IF(G1194="","",RANK(G1194,$G$2:$G$1462,0))</f>
        <v/>
      </c>
      <c r="J1194" s="4" t="s">
        <v>34</v>
      </c>
    </row>
    <row r="1195" customFormat="false" ht="15" hidden="false" customHeight="false" outlineLevel="0" collapsed="false">
      <c r="A1195" s="4" t="s">
        <v>2537</v>
      </c>
      <c r="B1195" s="4" t="s">
        <v>2519</v>
      </c>
      <c r="C1195" s="4" t="s">
        <v>2520</v>
      </c>
      <c r="D1195" s="7" t="s">
        <v>2538</v>
      </c>
      <c r="E1195" s="4" t="s">
        <v>2522</v>
      </c>
      <c r="F1195" s="4" t="s">
        <v>6</v>
      </c>
      <c r="G1195" s="8"/>
      <c r="H1195" s="6" t="str">
        <f aca="false">IF(G1195="","",G1195/SUMIFS($G$2:$G$1462,$F$2:$F$1462,"Served"))</f>
        <v/>
      </c>
      <c r="I1195" s="4" t="str">
        <f aca="false">IF(G1195="","",RANK(G1195,$G$2:$G$1462,0))</f>
        <v/>
      </c>
      <c r="J1195" s="4" t="s">
        <v>34</v>
      </c>
    </row>
    <row r="1196" customFormat="false" ht="15" hidden="false" customHeight="false" outlineLevel="0" collapsed="false">
      <c r="A1196" s="4" t="s">
        <v>2539</v>
      </c>
      <c r="B1196" s="4" t="s">
        <v>2519</v>
      </c>
      <c r="C1196" s="4" t="s">
        <v>2520</v>
      </c>
      <c r="D1196" s="7" t="s">
        <v>2540</v>
      </c>
      <c r="E1196" s="4" t="s">
        <v>2522</v>
      </c>
      <c r="F1196" s="4" t="s">
        <v>6</v>
      </c>
      <c r="G1196" s="8"/>
      <c r="H1196" s="6" t="str">
        <f aca="false">IF(G1196="","",G1196/SUMIFS($G$2:$G$1462,$F$2:$F$1462,"Served"))</f>
        <v/>
      </c>
      <c r="I1196" s="4" t="str">
        <f aca="false">IF(G1196="","",RANK(G1196,$G$2:$G$1462,0))</f>
        <v/>
      </c>
      <c r="J1196" s="4" t="s">
        <v>34</v>
      </c>
    </row>
    <row r="1197" customFormat="false" ht="15" hidden="false" customHeight="false" outlineLevel="0" collapsed="false">
      <c r="A1197" s="4" t="s">
        <v>2541</v>
      </c>
      <c r="B1197" s="4" t="s">
        <v>2519</v>
      </c>
      <c r="C1197" s="4" t="s">
        <v>2520</v>
      </c>
      <c r="D1197" s="7" t="s">
        <v>2542</v>
      </c>
      <c r="E1197" s="4" t="s">
        <v>2522</v>
      </c>
      <c r="F1197" s="4" t="s">
        <v>6</v>
      </c>
      <c r="G1197" s="8"/>
      <c r="H1197" s="6" t="str">
        <f aca="false">IF(G1197="","",G1197/SUMIFS($G$2:$G$1462,$F$2:$F$1462,"Served"))</f>
        <v/>
      </c>
      <c r="I1197" s="4" t="str">
        <f aca="false">IF(G1197="","",RANK(G1197,$G$2:$G$1462,0))</f>
        <v/>
      </c>
      <c r="J1197" s="4" t="s">
        <v>34</v>
      </c>
    </row>
    <row r="1198" customFormat="false" ht="15" hidden="false" customHeight="false" outlineLevel="0" collapsed="false">
      <c r="A1198" s="4" t="s">
        <v>2543</v>
      </c>
      <c r="B1198" s="4" t="s">
        <v>2519</v>
      </c>
      <c r="C1198" s="4" t="s">
        <v>2520</v>
      </c>
      <c r="D1198" s="7" t="s">
        <v>2544</v>
      </c>
      <c r="E1198" s="4" t="s">
        <v>2522</v>
      </c>
      <c r="F1198" s="4" t="s">
        <v>6</v>
      </c>
      <c r="G1198" s="8"/>
      <c r="H1198" s="6" t="str">
        <f aca="false">IF(G1198="","",G1198/SUMIFS($G$2:$G$1462,$F$2:$F$1462,"Served"))</f>
        <v/>
      </c>
      <c r="I1198" s="4" t="str">
        <f aca="false">IF(G1198="","",RANK(G1198,$G$2:$G$1462,0))</f>
        <v/>
      </c>
      <c r="J1198" s="4" t="s">
        <v>34</v>
      </c>
    </row>
    <row r="1199" customFormat="false" ht="15" hidden="false" customHeight="false" outlineLevel="0" collapsed="false">
      <c r="A1199" s="4" t="s">
        <v>2545</v>
      </c>
      <c r="B1199" s="4" t="s">
        <v>2546</v>
      </c>
      <c r="C1199" s="4" t="s">
        <v>2547</v>
      </c>
      <c r="D1199" s="7" t="s">
        <v>2548</v>
      </c>
      <c r="E1199" s="4" t="s">
        <v>2549</v>
      </c>
      <c r="F1199" s="4" t="s">
        <v>5</v>
      </c>
      <c r="G1199" s="8"/>
      <c r="H1199" s="6" t="str">
        <f aca="false">IF(G1199="","",G1199/SUMIFS($G$2:$G$1462,$F$2:$F$1462,"Served"))</f>
        <v/>
      </c>
      <c r="I1199" s="4" t="str">
        <f aca="false">IF(G1199="","",RANK(G1199,$G$2:$G$1462,0))</f>
        <v/>
      </c>
      <c r="J1199" s="4" t="s">
        <v>34</v>
      </c>
    </row>
    <row r="1200" customFormat="false" ht="15" hidden="false" customHeight="false" outlineLevel="0" collapsed="false">
      <c r="A1200" s="4" t="s">
        <v>2550</v>
      </c>
      <c r="B1200" s="4" t="s">
        <v>2546</v>
      </c>
      <c r="C1200" s="4" t="s">
        <v>2547</v>
      </c>
      <c r="D1200" s="7" t="s">
        <v>2551</v>
      </c>
      <c r="E1200" s="4" t="s">
        <v>2549</v>
      </c>
      <c r="F1200" s="4" t="s">
        <v>5</v>
      </c>
      <c r="G1200" s="8"/>
      <c r="H1200" s="6" t="str">
        <f aca="false">IF(G1200="","",G1200/SUMIFS($G$2:$G$1462,$F$2:$F$1462,"Served"))</f>
        <v/>
      </c>
      <c r="I1200" s="4" t="str">
        <f aca="false">IF(G1200="","",RANK(G1200,$G$2:$G$1462,0))</f>
        <v/>
      </c>
      <c r="J1200" s="4" t="s">
        <v>34</v>
      </c>
    </row>
    <row r="1201" customFormat="false" ht="15" hidden="false" customHeight="false" outlineLevel="0" collapsed="false">
      <c r="A1201" s="4" t="s">
        <v>2552</v>
      </c>
      <c r="B1201" s="4" t="s">
        <v>2546</v>
      </c>
      <c r="C1201" s="4" t="s">
        <v>2547</v>
      </c>
      <c r="D1201" s="7" t="s">
        <v>2553</v>
      </c>
      <c r="E1201" s="4" t="s">
        <v>2549</v>
      </c>
      <c r="F1201" s="4" t="s">
        <v>5</v>
      </c>
      <c r="G1201" s="8"/>
      <c r="H1201" s="6" t="str">
        <f aca="false">IF(G1201="","",G1201/SUMIFS($G$2:$G$1462,$F$2:$F$1462,"Served"))</f>
        <v/>
      </c>
      <c r="I1201" s="4" t="str">
        <f aca="false">IF(G1201="","",RANK(G1201,$G$2:$G$1462,0))</f>
        <v/>
      </c>
      <c r="J1201" s="4" t="s">
        <v>34</v>
      </c>
    </row>
    <row r="1202" customFormat="false" ht="15" hidden="false" customHeight="false" outlineLevel="0" collapsed="false">
      <c r="A1202" s="4" t="s">
        <v>2554</v>
      </c>
      <c r="B1202" s="4" t="s">
        <v>2546</v>
      </c>
      <c r="C1202" s="4" t="s">
        <v>2547</v>
      </c>
      <c r="D1202" s="7" t="s">
        <v>2555</v>
      </c>
      <c r="E1202" s="4" t="s">
        <v>2549</v>
      </c>
      <c r="F1202" s="4" t="s">
        <v>5</v>
      </c>
      <c r="G1202" s="8"/>
      <c r="H1202" s="6" t="str">
        <f aca="false">IF(G1202="","",G1202/SUMIFS($G$2:$G$1462,$F$2:$F$1462,"Served"))</f>
        <v/>
      </c>
      <c r="I1202" s="4" t="str">
        <f aca="false">IF(G1202="","",RANK(G1202,$G$2:$G$1462,0))</f>
        <v/>
      </c>
      <c r="J1202" s="4" t="s">
        <v>34</v>
      </c>
    </row>
    <row r="1203" customFormat="false" ht="15" hidden="false" customHeight="false" outlineLevel="0" collapsed="false">
      <c r="A1203" s="4" t="s">
        <v>2556</v>
      </c>
      <c r="B1203" s="4" t="s">
        <v>2546</v>
      </c>
      <c r="C1203" s="4" t="s">
        <v>2547</v>
      </c>
      <c r="D1203" s="7" t="s">
        <v>2557</v>
      </c>
      <c r="E1203" s="4" t="s">
        <v>2549</v>
      </c>
      <c r="F1203" s="4" t="s">
        <v>5</v>
      </c>
      <c r="G1203" s="8"/>
      <c r="H1203" s="6" t="str">
        <f aca="false">IF(G1203="","",G1203/SUMIFS($G$2:$G$1462,$F$2:$F$1462,"Served"))</f>
        <v/>
      </c>
      <c r="I1203" s="4" t="str">
        <f aca="false">IF(G1203="","",RANK(G1203,$G$2:$G$1462,0))</f>
        <v/>
      </c>
      <c r="J1203" s="4" t="s">
        <v>34</v>
      </c>
    </row>
    <row r="1204" customFormat="false" ht="15" hidden="false" customHeight="false" outlineLevel="0" collapsed="false">
      <c r="A1204" s="4" t="s">
        <v>2558</v>
      </c>
      <c r="B1204" s="4" t="s">
        <v>2546</v>
      </c>
      <c r="C1204" s="4" t="s">
        <v>2547</v>
      </c>
      <c r="D1204" s="7" t="s">
        <v>2559</v>
      </c>
      <c r="E1204" s="4" t="s">
        <v>2549</v>
      </c>
      <c r="F1204" s="4" t="s">
        <v>5</v>
      </c>
      <c r="G1204" s="8"/>
      <c r="H1204" s="6" t="str">
        <f aca="false">IF(G1204="","",G1204/SUMIFS($G$2:$G$1462,$F$2:$F$1462,"Served"))</f>
        <v/>
      </c>
      <c r="I1204" s="4" t="str">
        <f aca="false">IF(G1204="","",RANK(G1204,$G$2:$G$1462,0))</f>
        <v/>
      </c>
      <c r="J1204" s="4" t="s">
        <v>34</v>
      </c>
    </row>
    <row r="1205" customFormat="false" ht="15" hidden="false" customHeight="false" outlineLevel="0" collapsed="false">
      <c r="A1205" s="4" t="s">
        <v>2560</v>
      </c>
      <c r="B1205" s="4" t="s">
        <v>2546</v>
      </c>
      <c r="C1205" s="4" t="s">
        <v>2547</v>
      </c>
      <c r="D1205" s="7" t="s">
        <v>2561</v>
      </c>
      <c r="E1205" s="4" t="s">
        <v>2549</v>
      </c>
      <c r="F1205" s="4" t="s">
        <v>5</v>
      </c>
      <c r="G1205" s="8"/>
      <c r="H1205" s="6" t="str">
        <f aca="false">IF(G1205="","",G1205/SUMIFS($G$2:$G$1462,$F$2:$F$1462,"Served"))</f>
        <v/>
      </c>
      <c r="I1205" s="4" t="str">
        <f aca="false">IF(G1205="","",RANK(G1205,$G$2:$G$1462,0))</f>
        <v/>
      </c>
      <c r="J1205" s="4" t="s">
        <v>34</v>
      </c>
    </row>
    <row r="1206" customFormat="false" ht="15" hidden="false" customHeight="false" outlineLevel="0" collapsed="false">
      <c r="A1206" s="4" t="s">
        <v>2562</v>
      </c>
      <c r="B1206" s="4" t="s">
        <v>2546</v>
      </c>
      <c r="C1206" s="4" t="s">
        <v>2547</v>
      </c>
      <c r="D1206" s="7" t="s">
        <v>2563</v>
      </c>
      <c r="E1206" s="4" t="s">
        <v>2549</v>
      </c>
      <c r="F1206" s="4" t="s">
        <v>5</v>
      </c>
      <c r="G1206" s="8"/>
      <c r="H1206" s="6" t="str">
        <f aca="false">IF(G1206="","",G1206/SUMIFS($G$2:$G$1462,$F$2:$F$1462,"Served"))</f>
        <v/>
      </c>
      <c r="I1206" s="4" t="str">
        <f aca="false">IF(G1206="","",RANK(G1206,$G$2:$G$1462,0))</f>
        <v/>
      </c>
      <c r="J1206" s="4" t="s">
        <v>34</v>
      </c>
    </row>
    <row r="1207" customFormat="false" ht="15" hidden="false" customHeight="false" outlineLevel="0" collapsed="false">
      <c r="A1207" s="4" t="s">
        <v>2564</v>
      </c>
      <c r="B1207" s="4" t="s">
        <v>2546</v>
      </c>
      <c r="C1207" s="4" t="s">
        <v>2547</v>
      </c>
      <c r="D1207" s="7" t="s">
        <v>2565</v>
      </c>
      <c r="E1207" s="4" t="s">
        <v>2549</v>
      </c>
      <c r="F1207" s="4" t="s">
        <v>5</v>
      </c>
      <c r="G1207" s="8"/>
      <c r="H1207" s="6" t="str">
        <f aca="false">IF(G1207="","",G1207/SUMIFS($G$2:$G$1462,$F$2:$F$1462,"Served"))</f>
        <v/>
      </c>
      <c r="I1207" s="4" t="str">
        <f aca="false">IF(G1207="","",RANK(G1207,$G$2:$G$1462,0))</f>
        <v/>
      </c>
      <c r="J1207" s="4" t="s">
        <v>34</v>
      </c>
    </row>
    <row r="1208" customFormat="false" ht="15" hidden="false" customHeight="false" outlineLevel="0" collapsed="false">
      <c r="A1208" s="4" t="s">
        <v>2566</v>
      </c>
      <c r="B1208" s="4" t="s">
        <v>2546</v>
      </c>
      <c r="C1208" s="4" t="s">
        <v>2547</v>
      </c>
      <c r="D1208" s="7" t="s">
        <v>2567</v>
      </c>
      <c r="E1208" s="4" t="s">
        <v>2549</v>
      </c>
      <c r="F1208" s="4" t="s">
        <v>5</v>
      </c>
      <c r="G1208" s="8"/>
      <c r="H1208" s="6" t="str">
        <f aca="false">IF(G1208="","",G1208/SUMIFS($G$2:$G$1462,$F$2:$F$1462,"Served"))</f>
        <v/>
      </c>
      <c r="I1208" s="4" t="str">
        <f aca="false">IF(G1208="","",RANK(G1208,$G$2:$G$1462,0))</f>
        <v/>
      </c>
      <c r="J1208" s="4" t="s">
        <v>34</v>
      </c>
    </row>
    <row r="1209" customFormat="false" ht="15" hidden="false" customHeight="false" outlineLevel="0" collapsed="false">
      <c r="A1209" s="4" t="s">
        <v>2568</v>
      </c>
      <c r="B1209" s="4" t="s">
        <v>2569</v>
      </c>
      <c r="C1209" s="4" t="s">
        <v>2570</v>
      </c>
      <c r="D1209" s="7" t="s">
        <v>2571</v>
      </c>
      <c r="E1209" s="4" t="s">
        <v>2572</v>
      </c>
      <c r="F1209" s="4" t="s">
        <v>6</v>
      </c>
      <c r="G1209" s="8"/>
      <c r="H1209" s="6" t="str">
        <f aca="false">IF(G1209="","",G1209/SUMIFS($G$2:$G$1462,$F$2:$F$1462,"Served"))</f>
        <v/>
      </c>
      <c r="I1209" s="4" t="str">
        <f aca="false">IF(G1209="","",RANK(G1209,$G$2:$G$1462,0))</f>
        <v/>
      </c>
      <c r="J1209" s="4" t="s">
        <v>34</v>
      </c>
    </row>
    <row r="1210" customFormat="false" ht="15" hidden="false" customHeight="false" outlineLevel="0" collapsed="false">
      <c r="A1210" s="4" t="s">
        <v>2573</v>
      </c>
      <c r="B1210" s="4" t="s">
        <v>2569</v>
      </c>
      <c r="C1210" s="4" t="s">
        <v>2570</v>
      </c>
      <c r="D1210" s="7" t="s">
        <v>2574</v>
      </c>
      <c r="E1210" s="4" t="s">
        <v>2572</v>
      </c>
      <c r="F1210" s="4" t="s">
        <v>6</v>
      </c>
      <c r="G1210" s="8"/>
      <c r="H1210" s="6" t="str">
        <f aca="false">IF(G1210="","",G1210/SUMIFS($G$2:$G$1462,$F$2:$F$1462,"Served"))</f>
        <v/>
      </c>
      <c r="I1210" s="4" t="str">
        <f aca="false">IF(G1210="","",RANK(G1210,$G$2:$G$1462,0))</f>
        <v/>
      </c>
      <c r="J1210" s="4" t="s">
        <v>34</v>
      </c>
    </row>
    <row r="1211" customFormat="false" ht="15" hidden="false" customHeight="false" outlineLevel="0" collapsed="false">
      <c r="A1211" s="4" t="s">
        <v>2575</v>
      </c>
      <c r="B1211" s="4" t="s">
        <v>2569</v>
      </c>
      <c r="C1211" s="4" t="s">
        <v>2570</v>
      </c>
      <c r="D1211" s="7" t="s">
        <v>2576</v>
      </c>
      <c r="E1211" s="4" t="s">
        <v>2572</v>
      </c>
      <c r="F1211" s="4" t="s">
        <v>6</v>
      </c>
      <c r="G1211" s="8"/>
      <c r="H1211" s="6" t="str">
        <f aca="false">IF(G1211="","",G1211/SUMIFS($G$2:$G$1462,$F$2:$F$1462,"Served"))</f>
        <v/>
      </c>
      <c r="I1211" s="4" t="str">
        <f aca="false">IF(G1211="","",RANK(G1211,$G$2:$G$1462,0))</f>
        <v/>
      </c>
      <c r="J1211" s="4" t="s">
        <v>34</v>
      </c>
    </row>
    <row r="1212" customFormat="false" ht="15" hidden="false" customHeight="false" outlineLevel="0" collapsed="false">
      <c r="A1212" s="4" t="s">
        <v>2577</v>
      </c>
      <c r="B1212" s="4" t="s">
        <v>2569</v>
      </c>
      <c r="C1212" s="4" t="s">
        <v>2570</v>
      </c>
      <c r="D1212" s="7" t="s">
        <v>2578</v>
      </c>
      <c r="E1212" s="4" t="s">
        <v>2572</v>
      </c>
      <c r="F1212" s="4" t="s">
        <v>6</v>
      </c>
      <c r="G1212" s="8"/>
      <c r="H1212" s="6" t="str">
        <f aca="false">IF(G1212="","",G1212/SUMIFS($G$2:$G$1462,$F$2:$F$1462,"Served"))</f>
        <v/>
      </c>
      <c r="I1212" s="4" t="str">
        <f aca="false">IF(G1212="","",RANK(G1212,$G$2:$G$1462,0))</f>
        <v/>
      </c>
      <c r="J1212" s="4" t="s">
        <v>34</v>
      </c>
    </row>
    <row r="1213" customFormat="false" ht="15" hidden="false" customHeight="false" outlineLevel="0" collapsed="false">
      <c r="A1213" s="4" t="s">
        <v>2579</v>
      </c>
      <c r="B1213" s="4" t="s">
        <v>2569</v>
      </c>
      <c r="C1213" s="4" t="s">
        <v>2570</v>
      </c>
      <c r="D1213" s="7" t="s">
        <v>2580</v>
      </c>
      <c r="E1213" s="4" t="s">
        <v>2572</v>
      </c>
      <c r="F1213" s="4" t="s">
        <v>6</v>
      </c>
      <c r="G1213" s="8"/>
      <c r="H1213" s="6" t="str">
        <f aca="false">IF(G1213="","",G1213/SUMIFS($G$2:$G$1462,$F$2:$F$1462,"Served"))</f>
        <v/>
      </c>
      <c r="I1213" s="4" t="str">
        <f aca="false">IF(G1213="","",RANK(G1213,$G$2:$G$1462,0))</f>
        <v/>
      </c>
      <c r="J1213" s="4" t="s">
        <v>34</v>
      </c>
    </row>
    <row r="1214" customFormat="false" ht="15" hidden="false" customHeight="false" outlineLevel="0" collapsed="false">
      <c r="A1214" s="4" t="s">
        <v>2581</v>
      </c>
      <c r="B1214" s="4" t="s">
        <v>2569</v>
      </c>
      <c r="C1214" s="4" t="s">
        <v>2570</v>
      </c>
      <c r="D1214" s="7" t="s">
        <v>2582</v>
      </c>
      <c r="E1214" s="4" t="s">
        <v>2572</v>
      </c>
      <c r="F1214" s="4" t="s">
        <v>6</v>
      </c>
      <c r="G1214" s="8"/>
      <c r="H1214" s="6" t="str">
        <f aca="false">IF(G1214="","",G1214/SUMIFS($G$2:$G$1462,$F$2:$F$1462,"Served"))</f>
        <v/>
      </c>
      <c r="I1214" s="4" t="str">
        <f aca="false">IF(G1214="","",RANK(G1214,$G$2:$G$1462,0))</f>
        <v/>
      </c>
      <c r="J1214" s="4" t="s">
        <v>34</v>
      </c>
    </row>
    <row r="1215" customFormat="false" ht="15" hidden="false" customHeight="false" outlineLevel="0" collapsed="false">
      <c r="A1215" s="4" t="s">
        <v>2583</v>
      </c>
      <c r="B1215" s="4" t="s">
        <v>2569</v>
      </c>
      <c r="C1215" s="4" t="s">
        <v>2570</v>
      </c>
      <c r="D1215" s="7" t="s">
        <v>2584</v>
      </c>
      <c r="E1215" s="4" t="s">
        <v>2572</v>
      </c>
      <c r="F1215" s="4" t="s">
        <v>6</v>
      </c>
      <c r="G1215" s="8"/>
      <c r="H1215" s="6" t="str">
        <f aca="false">IF(G1215="","",G1215/SUMIFS($G$2:$G$1462,$F$2:$F$1462,"Served"))</f>
        <v/>
      </c>
      <c r="I1215" s="4" t="str">
        <f aca="false">IF(G1215="","",RANK(G1215,$G$2:$G$1462,0))</f>
        <v/>
      </c>
      <c r="J1215" s="4" t="s">
        <v>34</v>
      </c>
    </row>
    <row r="1216" customFormat="false" ht="15" hidden="false" customHeight="false" outlineLevel="0" collapsed="false">
      <c r="A1216" s="4" t="s">
        <v>2585</v>
      </c>
      <c r="B1216" s="4" t="s">
        <v>2569</v>
      </c>
      <c r="C1216" s="4" t="s">
        <v>2570</v>
      </c>
      <c r="D1216" s="7" t="s">
        <v>2586</v>
      </c>
      <c r="E1216" s="4" t="s">
        <v>2572</v>
      </c>
      <c r="F1216" s="4" t="s">
        <v>6</v>
      </c>
      <c r="G1216" s="8"/>
      <c r="H1216" s="6" t="str">
        <f aca="false">IF(G1216="","",G1216/SUMIFS($G$2:$G$1462,$F$2:$F$1462,"Served"))</f>
        <v/>
      </c>
      <c r="I1216" s="4" t="str">
        <f aca="false">IF(G1216="","",RANK(G1216,$G$2:$G$1462,0))</f>
        <v/>
      </c>
      <c r="J1216" s="4" t="s">
        <v>34</v>
      </c>
    </row>
    <row r="1217" customFormat="false" ht="15" hidden="false" customHeight="false" outlineLevel="0" collapsed="false">
      <c r="A1217" s="4" t="s">
        <v>2587</v>
      </c>
      <c r="B1217" s="4" t="s">
        <v>2569</v>
      </c>
      <c r="C1217" s="4" t="s">
        <v>2570</v>
      </c>
      <c r="D1217" s="7" t="s">
        <v>2588</v>
      </c>
      <c r="E1217" s="4" t="s">
        <v>2572</v>
      </c>
      <c r="F1217" s="4" t="s">
        <v>6</v>
      </c>
      <c r="G1217" s="8"/>
      <c r="H1217" s="6" t="str">
        <f aca="false">IF(G1217="","",G1217/SUMIFS($G$2:$G$1462,$F$2:$F$1462,"Served"))</f>
        <v/>
      </c>
      <c r="I1217" s="4" t="str">
        <f aca="false">IF(G1217="","",RANK(G1217,$G$2:$G$1462,0))</f>
        <v/>
      </c>
      <c r="J1217" s="4" t="s">
        <v>34</v>
      </c>
    </row>
    <row r="1218" customFormat="false" ht="15" hidden="false" customHeight="false" outlineLevel="0" collapsed="false">
      <c r="A1218" s="4" t="s">
        <v>2589</v>
      </c>
      <c r="B1218" s="4" t="s">
        <v>2569</v>
      </c>
      <c r="C1218" s="4" t="s">
        <v>2570</v>
      </c>
      <c r="D1218" s="7" t="s">
        <v>2590</v>
      </c>
      <c r="E1218" s="4" t="s">
        <v>2572</v>
      </c>
      <c r="F1218" s="4" t="s">
        <v>6</v>
      </c>
      <c r="G1218" s="8"/>
      <c r="H1218" s="6" t="str">
        <f aca="false">IF(G1218="","",G1218/SUMIFS($G$2:$G$1462,$F$2:$F$1462,"Served"))</f>
        <v/>
      </c>
      <c r="I1218" s="4" t="str">
        <f aca="false">IF(G1218="","",RANK(G1218,$G$2:$G$1462,0))</f>
        <v/>
      </c>
      <c r="J1218" s="4" t="s">
        <v>34</v>
      </c>
    </row>
    <row r="1219" customFormat="false" ht="15" hidden="false" customHeight="false" outlineLevel="0" collapsed="false">
      <c r="A1219" s="4" t="s">
        <v>2591</v>
      </c>
      <c r="B1219" s="4" t="s">
        <v>2569</v>
      </c>
      <c r="C1219" s="4" t="s">
        <v>2570</v>
      </c>
      <c r="D1219" s="7" t="s">
        <v>2592</v>
      </c>
      <c r="E1219" s="4" t="s">
        <v>2572</v>
      </c>
      <c r="F1219" s="4" t="s">
        <v>6</v>
      </c>
      <c r="G1219" s="8"/>
      <c r="H1219" s="6" t="str">
        <f aca="false">IF(G1219="","",G1219/SUMIFS($G$2:$G$1462,$F$2:$F$1462,"Served"))</f>
        <v/>
      </c>
      <c r="I1219" s="4" t="str">
        <f aca="false">IF(G1219="","",RANK(G1219,$G$2:$G$1462,0))</f>
        <v/>
      </c>
      <c r="J1219" s="4" t="s">
        <v>34</v>
      </c>
    </row>
    <row r="1220" customFormat="false" ht="15" hidden="false" customHeight="false" outlineLevel="0" collapsed="false">
      <c r="A1220" s="4" t="s">
        <v>2593</v>
      </c>
      <c r="B1220" s="4" t="s">
        <v>2569</v>
      </c>
      <c r="C1220" s="4" t="s">
        <v>2570</v>
      </c>
      <c r="D1220" s="7" t="s">
        <v>2594</v>
      </c>
      <c r="E1220" s="4" t="s">
        <v>2572</v>
      </c>
      <c r="F1220" s="4" t="s">
        <v>6</v>
      </c>
      <c r="G1220" s="8"/>
      <c r="H1220" s="6" t="str">
        <f aca="false">IF(G1220="","",G1220/SUMIFS($G$2:$G$1462,$F$2:$F$1462,"Served"))</f>
        <v/>
      </c>
      <c r="I1220" s="4" t="str">
        <f aca="false">IF(G1220="","",RANK(G1220,$G$2:$G$1462,0))</f>
        <v/>
      </c>
      <c r="J1220" s="4" t="s">
        <v>34</v>
      </c>
    </row>
    <row r="1221" customFormat="false" ht="15" hidden="false" customHeight="false" outlineLevel="0" collapsed="false">
      <c r="A1221" s="4" t="s">
        <v>2595</v>
      </c>
      <c r="B1221" s="4" t="s">
        <v>2569</v>
      </c>
      <c r="C1221" s="4" t="s">
        <v>2570</v>
      </c>
      <c r="D1221" s="7" t="s">
        <v>2596</v>
      </c>
      <c r="E1221" s="4" t="s">
        <v>2572</v>
      </c>
      <c r="F1221" s="4" t="s">
        <v>6</v>
      </c>
      <c r="G1221" s="8"/>
      <c r="H1221" s="6" t="str">
        <f aca="false">IF(G1221="","",G1221/SUMIFS($G$2:$G$1462,$F$2:$F$1462,"Served"))</f>
        <v/>
      </c>
      <c r="I1221" s="4" t="str">
        <f aca="false">IF(G1221="","",RANK(G1221,$G$2:$G$1462,0))</f>
        <v/>
      </c>
      <c r="J1221" s="4" t="s">
        <v>34</v>
      </c>
    </row>
    <row r="1222" customFormat="false" ht="15" hidden="false" customHeight="false" outlineLevel="0" collapsed="false">
      <c r="A1222" s="4" t="s">
        <v>2597</v>
      </c>
      <c r="B1222" s="4" t="s">
        <v>2569</v>
      </c>
      <c r="C1222" s="4" t="s">
        <v>2570</v>
      </c>
      <c r="D1222" s="7" t="s">
        <v>2598</v>
      </c>
      <c r="E1222" s="4" t="s">
        <v>2572</v>
      </c>
      <c r="F1222" s="4" t="s">
        <v>6</v>
      </c>
      <c r="G1222" s="8"/>
      <c r="H1222" s="6" t="str">
        <f aca="false">IF(G1222="","",G1222/SUMIFS($G$2:$G$1462,$F$2:$F$1462,"Served"))</f>
        <v/>
      </c>
      <c r="I1222" s="4" t="str">
        <f aca="false">IF(G1222="","",RANK(G1222,$G$2:$G$1462,0))</f>
        <v/>
      </c>
      <c r="J1222" s="4" t="s">
        <v>34</v>
      </c>
    </row>
    <row r="1223" customFormat="false" ht="15" hidden="false" customHeight="false" outlineLevel="0" collapsed="false">
      <c r="A1223" s="4" t="s">
        <v>2599</v>
      </c>
      <c r="B1223" s="4" t="s">
        <v>2569</v>
      </c>
      <c r="C1223" s="4" t="s">
        <v>2570</v>
      </c>
      <c r="D1223" s="7" t="s">
        <v>2600</v>
      </c>
      <c r="E1223" s="4" t="s">
        <v>2572</v>
      </c>
      <c r="F1223" s="4" t="s">
        <v>6</v>
      </c>
      <c r="G1223" s="8"/>
      <c r="H1223" s="6" t="str">
        <f aca="false">IF(G1223="","",G1223/SUMIFS($G$2:$G$1462,$F$2:$F$1462,"Served"))</f>
        <v/>
      </c>
      <c r="I1223" s="4" t="str">
        <f aca="false">IF(G1223="","",RANK(G1223,$G$2:$G$1462,0))</f>
        <v/>
      </c>
      <c r="J1223" s="4" t="s">
        <v>34</v>
      </c>
    </row>
    <row r="1224" customFormat="false" ht="15" hidden="false" customHeight="false" outlineLevel="0" collapsed="false">
      <c r="A1224" s="4" t="s">
        <v>2601</v>
      </c>
      <c r="B1224" s="4" t="s">
        <v>2569</v>
      </c>
      <c r="C1224" s="4" t="s">
        <v>2570</v>
      </c>
      <c r="D1224" s="7" t="s">
        <v>2602</v>
      </c>
      <c r="E1224" s="4" t="s">
        <v>2572</v>
      </c>
      <c r="F1224" s="4" t="s">
        <v>6</v>
      </c>
      <c r="G1224" s="8"/>
      <c r="H1224" s="6" t="str">
        <f aca="false">IF(G1224="","",G1224/SUMIFS($G$2:$G$1462,$F$2:$F$1462,"Served"))</f>
        <v/>
      </c>
      <c r="I1224" s="4" t="str">
        <f aca="false">IF(G1224="","",RANK(G1224,$G$2:$G$1462,0))</f>
        <v/>
      </c>
      <c r="J1224" s="4" t="s">
        <v>34</v>
      </c>
    </row>
    <row r="1225" customFormat="false" ht="15" hidden="false" customHeight="false" outlineLevel="0" collapsed="false">
      <c r="A1225" s="4" t="s">
        <v>2603</v>
      </c>
      <c r="B1225" s="4" t="s">
        <v>2569</v>
      </c>
      <c r="C1225" s="4" t="s">
        <v>2570</v>
      </c>
      <c r="D1225" s="7" t="s">
        <v>2604</v>
      </c>
      <c r="E1225" s="4" t="s">
        <v>2572</v>
      </c>
      <c r="F1225" s="4" t="s">
        <v>6</v>
      </c>
      <c r="G1225" s="8"/>
      <c r="H1225" s="6" t="str">
        <f aca="false">IF(G1225="","",G1225/SUMIFS($G$2:$G$1462,$F$2:$F$1462,"Served"))</f>
        <v/>
      </c>
      <c r="I1225" s="4" t="str">
        <f aca="false">IF(G1225="","",RANK(G1225,$G$2:$G$1462,0))</f>
        <v/>
      </c>
      <c r="J1225" s="4" t="s">
        <v>34</v>
      </c>
    </row>
    <row r="1226" customFormat="false" ht="15" hidden="false" customHeight="false" outlineLevel="0" collapsed="false">
      <c r="A1226" s="4" t="s">
        <v>2605</v>
      </c>
      <c r="B1226" s="4" t="s">
        <v>2569</v>
      </c>
      <c r="C1226" s="4" t="s">
        <v>2570</v>
      </c>
      <c r="D1226" s="7" t="s">
        <v>2606</v>
      </c>
      <c r="E1226" s="4" t="s">
        <v>2572</v>
      </c>
      <c r="F1226" s="4" t="s">
        <v>6</v>
      </c>
      <c r="G1226" s="8"/>
      <c r="H1226" s="6" t="str">
        <f aca="false">IF(G1226="","",G1226/SUMIFS($G$2:$G$1462,$F$2:$F$1462,"Served"))</f>
        <v/>
      </c>
      <c r="I1226" s="4" t="str">
        <f aca="false">IF(G1226="","",RANK(G1226,$G$2:$G$1462,0))</f>
        <v/>
      </c>
      <c r="J1226" s="4" t="s">
        <v>34</v>
      </c>
    </row>
    <row r="1227" customFormat="false" ht="15" hidden="false" customHeight="false" outlineLevel="0" collapsed="false">
      <c r="A1227" s="4" t="s">
        <v>2607</v>
      </c>
      <c r="B1227" s="4" t="s">
        <v>2608</v>
      </c>
      <c r="C1227" s="4" t="s">
        <v>2609</v>
      </c>
      <c r="D1227" s="7" t="s">
        <v>2610</v>
      </c>
      <c r="E1227" s="4" t="s">
        <v>2611</v>
      </c>
      <c r="F1227" s="4" t="s">
        <v>6</v>
      </c>
      <c r="G1227" s="8"/>
      <c r="H1227" s="6" t="str">
        <f aca="false">IF(G1227="","",G1227/SUMIFS($G$2:$G$1462,$F$2:$F$1462,"Served"))</f>
        <v/>
      </c>
      <c r="I1227" s="4" t="str">
        <f aca="false">IF(G1227="","",RANK(G1227,$G$2:$G$1462,0))</f>
        <v/>
      </c>
      <c r="J1227" s="4" t="s">
        <v>34</v>
      </c>
    </row>
    <row r="1228" customFormat="false" ht="15" hidden="false" customHeight="false" outlineLevel="0" collapsed="false">
      <c r="A1228" s="4" t="s">
        <v>2612</v>
      </c>
      <c r="B1228" s="4" t="s">
        <v>2608</v>
      </c>
      <c r="C1228" s="4" t="s">
        <v>2609</v>
      </c>
      <c r="D1228" s="7" t="s">
        <v>2613</v>
      </c>
      <c r="E1228" s="4" t="s">
        <v>2611</v>
      </c>
      <c r="F1228" s="4" t="s">
        <v>6</v>
      </c>
      <c r="G1228" s="8"/>
      <c r="H1228" s="6" t="str">
        <f aca="false">IF(G1228="","",G1228/SUMIFS($G$2:$G$1462,$F$2:$F$1462,"Served"))</f>
        <v/>
      </c>
      <c r="I1228" s="4" t="str">
        <f aca="false">IF(G1228="","",RANK(G1228,$G$2:$G$1462,0))</f>
        <v/>
      </c>
      <c r="J1228" s="4" t="s">
        <v>34</v>
      </c>
    </row>
    <row r="1229" customFormat="false" ht="15" hidden="false" customHeight="false" outlineLevel="0" collapsed="false">
      <c r="A1229" s="4" t="s">
        <v>2614</v>
      </c>
      <c r="B1229" s="4" t="s">
        <v>2608</v>
      </c>
      <c r="C1229" s="4" t="s">
        <v>2609</v>
      </c>
      <c r="D1229" s="7" t="s">
        <v>2615</v>
      </c>
      <c r="E1229" s="4" t="s">
        <v>2611</v>
      </c>
      <c r="F1229" s="4" t="s">
        <v>6</v>
      </c>
      <c r="G1229" s="8"/>
      <c r="H1229" s="6" t="str">
        <f aca="false">IF(G1229="","",G1229/SUMIFS($G$2:$G$1462,$F$2:$F$1462,"Served"))</f>
        <v/>
      </c>
      <c r="I1229" s="4" t="str">
        <f aca="false">IF(G1229="","",RANK(G1229,$G$2:$G$1462,0))</f>
        <v/>
      </c>
      <c r="J1229" s="4" t="s">
        <v>34</v>
      </c>
    </row>
    <row r="1230" customFormat="false" ht="15" hidden="false" customHeight="false" outlineLevel="0" collapsed="false">
      <c r="A1230" s="4" t="s">
        <v>2616</v>
      </c>
      <c r="B1230" s="4" t="s">
        <v>2608</v>
      </c>
      <c r="C1230" s="4" t="s">
        <v>2609</v>
      </c>
      <c r="D1230" s="7" t="s">
        <v>2617</v>
      </c>
      <c r="E1230" s="4" t="s">
        <v>2611</v>
      </c>
      <c r="F1230" s="4" t="s">
        <v>6</v>
      </c>
      <c r="G1230" s="8"/>
      <c r="H1230" s="6" t="str">
        <f aca="false">IF(G1230="","",G1230/SUMIFS($G$2:$G$1462,$F$2:$F$1462,"Served"))</f>
        <v/>
      </c>
      <c r="I1230" s="4" t="str">
        <f aca="false">IF(G1230="","",RANK(G1230,$G$2:$G$1462,0))</f>
        <v/>
      </c>
      <c r="J1230" s="4" t="s">
        <v>34</v>
      </c>
    </row>
    <row r="1231" customFormat="false" ht="15" hidden="false" customHeight="false" outlineLevel="0" collapsed="false">
      <c r="A1231" s="4" t="s">
        <v>2618</v>
      </c>
      <c r="B1231" s="4" t="s">
        <v>2608</v>
      </c>
      <c r="C1231" s="4" t="s">
        <v>2609</v>
      </c>
      <c r="D1231" s="7" t="s">
        <v>2619</v>
      </c>
      <c r="E1231" s="4" t="s">
        <v>2611</v>
      </c>
      <c r="F1231" s="4" t="s">
        <v>6</v>
      </c>
      <c r="G1231" s="8"/>
      <c r="H1231" s="6" t="str">
        <f aca="false">IF(G1231="","",G1231/SUMIFS($G$2:$G$1462,$F$2:$F$1462,"Served"))</f>
        <v/>
      </c>
      <c r="I1231" s="4" t="str">
        <f aca="false">IF(G1231="","",RANK(G1231,$G$2:$G$1462,0))</f>
        <v/>
      </c>
      <c r="J1231" s="4" t="s">
        <v>34</v>
      </c>
    </row>
    <row r="1232" customFormat="false" ht="15" hidden="false" customHeight="false" outlineLevel="0" collapsed="false">
      <c r="A1232" s="4" t="s">
        <v>2620</v>
      </c>
      <c r="B1232" s="4" t="s">
        <v>2608</v>
      </c>
      <c r="C1232" s="4" t="s">
        <v>2609</v>
      </c>
      <c r="D1232" s="7" t="s">
        <v>2621</v>
      </c>
      <c r="E1232" s="4" t="s">
        <v>2611</v>
      </c>
      <c r="F1232" s="4" t="s">
        <v>6</v>
      </c>
      <c r="G1232" s="8"/>
      <c r="H1232" s="6" t="str">
        <f aca="false">IF(G1232="","",G1232/SUMIFS($G$2:$G$1462,$F$2:$F$1462,"Served"))</f>
        <v/>
      </c>
      <c r="I1232" s="4" t="str">
        <f aca="false">IF(G1232="","",RANK(G1232,$G$2:$G$1462,0))</f>
        <v/>
      </c>
      <c r="J1232" s="4" t="s">
        <v>34</v>
      </c>
    </row>
    <row r="1233" customFormat="false" ht="15" hidden="false" customHeight="false" outlineLevel="0" collapsed="false">
      <c r="A1233" s="4" t="s">
        <v>2622</v>
      </c>
      <c r="B1233" s="4" t="s">
        <v>2608</v>
      </c>
      <c r="C1233" s="4" t="s">
        <v>2609</v>
      </c>
      <c r="D1233" s="7" t="s">
        <v>2623</v>
      </c>
      <c r="E1233" s="4" t="s">
        <v>2611</v>
      </c>
      <c r="F1233" s="4" t="s">
        <v>6</v>
      </c>
      <c r="G1233" s="8"/>
      <c r="H1233" s="6" t="str">
        <f aca="false">IF(G1233="","",G1233/SUMIFS($G$2:$G$1462,$F$2:$F$1462,"Served"))</f>
        <v/>
      </c>
      <c r="I1233" s="4" t="str">
        <f aca="false">IF(G1233="","",RANK(G1233,$G$2:$G$1462,0))</f>
        <v/>
      </c>
      <c r="J1233" s="4" t="s">
        <v>34</v>
      </c>
    </row>
    <row r="1234" customFormat="false" ht="15" hidden="false" customHeight="false" outlineLevel="0" collapsed="false">
      <c r="A1234" s="4" t="s">
        <v>2624</v>
      </c>
      <c r="B1234" s="4" t="s">
        <v>2608</v>
      </c>
      <c r="C1234" s="4" t="s">
        <v>2609</v>
      </c>
      <c r="D1234" s="7" t="s">
        <v>2625</v>
      </c>
      <c r="E1234" s="4" t="s">
        <v>2611</v>
      </c>
      <c r="F1234" s="4" t="s">
        <v>6</v>
      </c>
      <c r="G1234" s="8"/>
      <c r="H1234" s="6" t="str">
        <f aca="false">IF(G1234="","",G1234/SUMIFS($G$2:$G$1462,$F$2:$F$1462,"Served"))</f>
        <v/>
      </c>
      <c r="I1234" s="4" t="str">
        <f aca="false">IF(G1234="","",RANK(G1234,$G$2:$G$1462,0))</f>
        <v/>
      </c>
      <c r="J1234" s="4" t="s">
        <v>34</v>
      </c>
    </row>
    <row r="1235" customFormat="false" ht="15" hidden="false" customHeight="false" outlineLevel="0" collapsed="false">
      <c r="A1235" s="4" t="s">
        <v>2626</v>
      </c>
      <c r="B1235" s="4" t="s">
        <v>2608</v>
      </c>
      <c r="C1235" s="4" t="s">
        <v>2609</v>
      </c>
      <c r="D1235" s="7" t="s">
        <v>2627</v>
      </c>
      <c r="E1235" s="4" t="s">
        <v>2611</v>
      </c>
      <c r="F1235" s="4" t="s">
        <v>6</v>
      </c>
      <c r="G1235" s="8"/>
      <c r="H1235" s="6" t="str">
        <f aca="false">IF(G1235="","",G1235/SUMIFS($G$2:$G$1462,$F$2:$F$1462,"Served"))</f>
        <v/>
      </c>
      <c r="I1235" s="4" t="str">
        <f aca="false">IF(G1235="","",RANK(G1235,$G$2:$G$1462,0))</f>
        <v/>
      </c>
      <c r="J1235" s="4" t="s">
        <v>34</v>
      </c>
    </row>
    <row r="1236" customFormat="false" ht="15" hidden="false" customHeight="false" outlineLevel="0" collapsed="false">
      <c r="A1236" s="4" t="s">
        <v>2628</v>
      </c>
      <c r="B1236" s="4" t="s">
        <v>2629</v>
      </c>
      <c r="C1236" s="4" t="s">
        <v>2630</v>
      </c>
      <c r="D1236" s="7" t="s">
        <v>2631</v>
      </c>
      <c r="E1236" s="4" t="s">
        <v>2632</v>
      </c>
      <c r="F1236" s="4" t="s">
        <v>6</v>
      </c>
      <c r="G1236" s="8"/>
      <c r="H1236" s="6" t="str">
        <f aca="false">IF(G1236="","",G1236/SUMIFS($G$2:$G$1462,$F$2:$F$1462,"Served"))</f>
        <v/>
      </c>
      <c r="I1236" s="4" t="str">
        <f aca="false">IF(G1236="","",RANK(G1236,$G$2:$G$1462,0))</f>
        <v/>
      </c>
      <c r="J1236" s="4" t="s">
        <v>34</v>
      </c>
    </row>
    <row r="1237" customFormat="false" ht="15" hidden="false" customHeight="false" outlineLevel="0" collapsed="false">
      <c r="A1237" s="4" t="s">
        <v>2633</v>
      </c>
      <c r="B1237" s="4" t="s">
        <v>2629</v>
      </c>
      <c r="C1237" s="4" t="s">
        <v>2630</v>
      </c>
      <c r="D1237" s="7" t="s">
        <v>2634</v>
      </c>
      <c r="E1237" s="4" t="s">
        <v>2632</v>
      </c>
      <c r="F1237" s="4" t="s">
        <v>6</v>
      </c>
      <c r="G1237" s="8"/>
      <c r="H1237" s="6" t="str">
        <f aca="false">IF(G1237="","",G1237/SUMIFS($G$2:$G$1462,$F$2:$F$1462,"Served"))</f>
        <v/>
      </c>
      <c r="I1237" s="4" t="str">
        <f aca="false">IF(G1237="","",RANK(G1237,$G$2:$G$1462,0))</f>
        <v/>
      </c>
      <c r="J1237" s="4" t="s">
        <v>34</v>
      </c>
    </row>
    <row r="1238" customFormat="false" ht="15" hidden="false" customHeight="false" outlineLevel="0" collapsed="false">
      <c r="A1238" s="4" t="s">
        <v>2635</v>
      </c>
      <c r="B1238" s="4" t="s">
        <v>2629</v>
      </c>
      <c r="C1238" s="4" t="s">
        <v>2630</v>
      </c>
      <c r="D1238" s="7" t="s">
        <v>2636</v>
      </c>
      <c r="E1238" s="4" t="s">
        <v>2632</v>
      </c>
      <c r="F1238" s="4" t="s">
        <v>6</v>
      </c>
      <c r="G1238" s="8"/>
      <c r="H1238" s="6" t="str">
        <f aca="false">IF(G1238="","",G1238/SUMIFS($G$2:$G$1462,$F$2:$F$1462,"Served"))</f>
        <v/>
      </c>
      <c r="I1238" s="4" t="str">
        <f aca="false">IF(G1238="","",RANK(G1238,$G$2:$G$1462,0))</f>
        <v/>
      </c>
      <c r="J1238" s="4" t="s">
        <v>34</v>
      </c>
    </row>
    <row r="1239" customFormat="false" ht="15" hidden="false" customHeight="false" outlineLevel="0" collapsed="false">
      <c r="A1239" s="4" t="s">
        <v>2637</v>
      </c>
      <c r="B1239" s="4" t="s">
        <v>2629</v>
      </c>
      <c r="C1239" s="4" t="s">
        <v>2630</v>
      </c>
      <c r="D1239" s="7" t="s">
        <v>2638</v>
      </c>
      <c r="E1239" s="4" t="s">
        <v>2632</v>
      </c>
      <c r="F1239" s="4" t="s">
        <v>6</v>
      </c>
      <c r="G1239" s="8"/>
      <c r="H1239" s="6" t="str">
        <f aca="false">IF(G1239="","",G1239/SUMIFS($G$2:$G$1462,$F$2:$F$1462,"Served"))</f>
        <v/>
      </c>
      <c r="I1239" s="4" t="str">
        <f aca="false">IF(G1239="","",RANK(G1239,$G$2:$G$1462,0))</f>
        <v/>
      </c>
      <c r="J1239" s="4" t="s">
        <v>34</v>
      </c>
    </row>
    <row r="1240" customFormat="false" ht="15" hidden="false" customHeight="false" outlineLevel="0" collapsed="false">
      <c r="A1240" s="4" t="s">
        <v>2639</v>
      </c>
      <c r="B1240" s="4" t="s">
        <v>2629</v>
      </c>
      <c r="C1240" s="4" t="s">
        <v>2630</v>
      </c>
      <c r="D1240" s="7" t="s">
        <v>2640</v>
      </c>
      <c r="E1240" s="4" t="s">
        <v>2632</v>
      </c>
      <c r="F1240" s="4" t="s">
        <v>6</v>
      </c>
      <c r="G1240" s="8"/>
      <c r="H1240" s="6" t="str">
        <f aca="false">IF(G1240="","",G1240/SUMIFS($G$2:$G$1462,$F$2:$F$1462,"Served"))</f>
        <v/>
      </c>
      <c r="I1240" s="4" t="str">
        <f aca="false">IF(G1240="","",RANK(G1240,$G$2:$G$1462,0))</f>
        <v/>
      </c>
      <c r="J1240" s="4" t="s">
        <v>34</v>
      </c>
    </row>
    <row r="1241" customFormat="false" ht="15" hidden="false" customHeight="false" outlineLevel="0" collapsed="false">
      <c r="A1241" s="4" t="s">
        <v>2641</v>
      </c>
      <c r="B1241" s="4" t="s">
        <v>2629</v>
      </c>
      <c r="C1241" s="4" t="s">
        <v>2630</v>
      </c>
      <c r="D1241" s="7" t="s">
        <v>2642</v>
      </c>
      <c r="E1241" s="4" t="s">
        <v>2632</v>
      </c>
      <c r="F1241" s="4" t="s">
        <v>6</v>
      </c>
      <c r="G1241" s="8"/>
      <c r="H1241" s="6" t="str">
        <f aca="false">IF(G1241="","",G1241/SUMIFS($G$2:$G$1462,$F$2:$F$1462,"Served"))</f>
        <v/>
      </c>
      <c r="I1241" s="4" t="str">
        <f aca="false">IF(G1241="","",RANK(G1241,$G$2:$G$1462,0))</f>
        <v/>
      </c>
      <c r="J1241" s="4" t="s">
        <v>34</v>
      </c>
    </row>
    <row r="1242" customFormat="false" ht="15" hidden="false" customHeight="false" outlineLevel="0" collapsed="false">
      <c r="A1242" s="4" t="s">
        <v>2643</v>
      </c>
      <c r="B1242" s="4" t="s">
        <v>2629</v>
      </c>
      <c r="C1242" s="4" t="s">
        <v>2630</v>
      </c>
      <c r="D1242" s="7" t="s">
        <v>2644</v>
      </c>
      <c r="E1242" s="4" t="s">
        <v>2632</v>
      </c>
      <c r="F1242" s="4" t="s">
        <v>6</v>
      </c>
      <c r="G1242" s="8"/>
      <c r="H1242" s="6" t="str">
        <f aca="false">IF(G1242="","",G1242/SUMIFS($G$2:$G$1462,$F$2:$F$1462,"Served"))</f>
        <v/>
      </c>
      <c r="I1242" s="4" t="str">
        <f aca="false">IF(G1242="","",RANK(G1242,$G$2:$G$1462,0))</f>
        <v/>
      </c>
      <c r="J1242" s="4" t="s">
        <v>34</v>
      </c>
    </row>
    <row r="1243" customFormat="false" ht="15" hidden="false" customHeight="false" outlineLevel="0" collapsed="false">
      <c r="A1243" s="4" t="s">
        <v>2645</v>
      </c>
      <c r="B1243" s="4" t="s">
        <v>2629</v>
      </c>
      <c r="C1243" s="4" t="s">
        <v>2630</v>
      </c>
      <c r="D1243" s="7" t="s">
        <v>2646</v>
      </c>
      <c r="E1243" s="4" t="s">
        <v>2632</v>
      </c>
      <c r="F1243" s="4" t="s">
        <v>6</v>
      </c>
      <c r="G1243" s="8"/>
      <c r="H1243" s="6" t="str">
        <f aca="false">IF(G1243="","",G1243/SUMIFS($G$2:$G$1462,$F$2:$F$1462,"Served"))</f>
        <v/>
      </c>
      <c r="I1243" s="4" t="str">
        <f aca="false">IF(G1243="","",RANK(G1243,$G$2:$G$1462,0))</f>
        <v/>
      </c>
      <c r="J1243" s="4" t="s">
        <v>34</v>
      </c>
    </row>
    <row r="1244" customFormat="false" ht="15" hidden="false" customHeight="false" outlineLevel="0" collapsed="false">
      <c r="A1244" s="4" t="s">
        <v>2647</v>
      </c>
      <c r="B1244" s="4" t="s">
        <v>2629</v>
      </c>
      <c r="C1244" s="4" t="s">
        <v>2630</v>
      </c>
      <c r="D1244" s="7" t="s">
        <v>2648</v>
      </c>
      <c r="E1244" s="4" t="s">
        <v>2632</v>
      </c>
      <c r="F1244" s="4" t="s">
        <v>6</v>
      </c>
      <c r="G1244" s="8"/>
      <c r="H1244" s="6" t="str">
        <f aca="false">IF(G1244="","",G1244/SUMIFS($G$2:$G$1462,$F$2:$F$1462,"Served"))</f>
        <v/>
      </c>
      <c r="I1244" s="4" t="str">
        <f aca="false">IF(G1244="","",RANK(G1244,$G$2:$G$1462,0))</f>
        <v/>
      </c>
      <c r="J1244" s="4" t="s">
        <v>34</v>
      </c>
    </row>
    <row r="1245" customFormat="false" ht="15" hidden="false" customHeight="false" outlineLevel="0" collapsed="false">
      <c r="A1245" s="4" t="s">
        <v>2649</v>
      </c>
      <c r="B1245" s="4" t="s">
        <v>2629</v>
      </c>
      <c r="C1245" s="4" t="s">
        <v>2630</v>
      </c>
      <c r="D1245" s="7" t="s">
        <v>2650</v>
      </c>
      <c r="E1245" s="4" t="s">
        <v>2632</v>
      </c>
      <c r="F1245" s="4" t="s">
        <v>6</v>
      </c>
      <c r="G1245" s="8"/>
      <c r="H1245" s="6" t="str">
        <f aca="false">IF(G1245="","",G1245/SUMIFS($G$2:$G$1462,$F$2:$F$1462,"Served"))</f>
        <v/>
      </c>
      <c r="I1245" s="4" t="str">
        <f aca="false">IF(G1245="","",RANK(G1245,$G$2:$G$1462,0))</f>
        <v/>
      </c>
      <c r="J1245" s="4" t="s">
        <v>34</v>
      </c>
    </row>
    <row r="1246" customFormat="false" ht="15" hidden="false" customHeight="false" outlineLevel="0" collapsed="false">
      <c r="A1246" s="4" t="s">
        <v>2651</v>
      </c>
      <c r="B1246" s="4" t="s">
        <v>2629</v>
      </c>
      <c r="C1246" s="4" t="s">
        <v>2630</v>
      </c>
      <c r="D1246" s="7" t="s">
        <v>2652</v>
      </c>
      <c r="E1246" s="4" t="s">
        <v>2632</v>
      </c>
      <c r="F1246" s="4" t="s">
        <v>6</v>
      </c>
      <c r="G1246" s="8"/>
      <c r="H1246" s="6" t="str">
        <f aca="false">IF(G1246="","",G1246/SUMIFS($G$2:$G$1462,$F$2:$F$1462,"Served"))</f>
        <v/>
      </c>
      <c r="I1246" s="4" t="str">
        <f aca="false">IF(G1246="","",RANK(G1246,$G$2:$G$1462,0))</f>
        <v/>
      </c>
      <c r="J1246" s="4" t="s">
        <v>34</v>
      </c>
    </row>
    <row r="1247" customFormat="false" ht="15" hidden="false" customHeight="false" outlineLevel="0" collapsed="false">
      <c r="A1247" s="4" t="s">
        <v>2653</v>
      </c>
      <c r="B1247" s="4" t="s">
        <v>2629</v>
      </c>
      <c r="C1247" s="4" t="s">
        <v>2630</v>
      </c>
      <c r="D1247" s="7" t="s">
        <v>2654</v>
      </c>
      <c r="E1247" s="4" t="s">
        <v>2632</v>
      </c>
      <c r="F1247" s="4" t="s">
        <v>6</v>
      </c>
      <c r="G1247" s="8"/>
      <c r="H1247" s="6" t="str">
        <f aca="false">IF(G1247="","",G1247/SUMIFS($G$2:$G$1462,$F$2:$F$1462,"Served"))</f>
        <v/>
      </c>
      <c r="I1247" s="4" t="str">
        <f aca="false">IF(G1247="","",RANK(G1247,$G$2:$G$1462,0))</f>
        <v/>
      </c>
      <c r="J1247" s="4" t="s">
        <v>34</v>
      </c>
    </row>
    <row r="1248" customFormat="false" ht="15" hidden="false" customHeight="false" outlineLevel="0" collapsed="false">
      <c r="A1248" s="4" t="s">
        <v>2655</v>
      </c>
      <c r="B1248" s="4" t="s">
        <v>2629</v>
      </c>
      <c r="C1248" s="4" t="s">
        <v>2630</v>
      </c>
      <c r="D1248" s="7" t="s">
        <v>2656</v>
      </c>
      <c r="E1248" s="4" t="s">
        <v>2632</v>
      </c>
      <c r="F1248" s="4" t="s">
        <v>6</v>
      </c>
      <c r="G1248" s="8"/>
      <c r="H1248" s="6" t="str">
        <f aca="false">IF(G1248="","",G1248/SUMIFS($G$2:$G$1462,$F$2:$F$1462,"Served"))</f>
        <v/>
      </c>
      <c r="I1248" s="4" t="str">
        <f aca="false">IF(G1248="","",RANK(G1248,$G$2:$G$1462,0))</f>
        <v/>
      </c>
      <c r="J1248" s="4" t="s">
        <v>34</v>
      </c>
    </row>
    <row r="1249" customFormat="false" ht="15" hidden="false" customHeight="false" outlineLevel="0" collapsed="false">
      <c r="A1249" s="4" t="s">
        <v>2657</v>
      </c>
      <c r="B1249" s="4" t="s">
        <v>2629</v>
      </c>
      <c r="C1249" s="4" t="s">
        <v>2630</v>
      </c>
      <c r="D1249" s="7" t="s">
        <v>2658</v>
      </c>
      <c r="E1249" s="4" t="s">
        <v>2632</v>
      </c>
      <c r="F1249" s="4" t="s">
        <v>6</v>
      </c>
      <c r="G1249" s="8"/>
      <c r="H1249" s="6" t="str">
        <f aca="false">IF(G1249="","",G1249/SUMIFS($G$2:$G$1462,$F$2:$F$1462,"Served"))</f>
        <v/>
      </c>
      <c r="I1249" s="4" t="str">
        <f aca="false">IF(G1249="","",RANK(G1249,$G$2:$G$1462,0))</f>
        <v/>
      </c>
      <c r="J1249" s="4" t="s">
        <v>34</v>
      </c>
    </row>
    <row r="1250" customFormat="false" ht="15" hidden="false" customHeight="false" outlineLevel="0" collapsed="false">
      <c r="A1250" s="4" t="s">
        <v>2659</v>
      </c>
      <c r="B1250" s="4" t="s">
        <v>2629</v>
      </c>
      <c r="C1250" s="4" t="s">
        <v>2630</v>
      </c>
      <c r="D1250" s="7" t="s">
        <v>2660</v>
      </c>
      <c r="E1250" s="4" t="s">
        <v>2632</v>
      </c>
      <c r="F1250" s="4" t="s">
        <v>6</v>
      </c>
      <c r="G1250" s="8"/>
      <c r="H1250" s="6" t="str">
        <f aca="false">IF(G1250="","",G1250/SUMIFS($G$2:$G$1462,$F$2:$F$1462,"Served"))</f>
        <v/>
      </c>
      <c r="I1250" s="4" t="str">
        <f aca="false">IF(G1250="","",RANK(G1250,$G$2:$G$1462,0))</f>
        <v/>
      </c>
      <c r="J1250" s="4" t="s">
        <v>34</v>
      </c>
    </row>
    <row r="1251" customFormat="false" ht="15" hidden="false" customHeight="false" outlineLevel="0" collapsed="false">
      <c r="A1251" s="4" t="s">
        <v>2661</v>
      </c>
      <c r="B1251" s="4" t="s">
        <v>2629</v>
      </c>
      <c r="C1251" s="4" t="s">
        <v>2630</v>
      </c>
      <c r="D1251" s="7" t="s">
        <v>2662</v>
      </c>
      <c r="E1251" s="4" t="s">
        <v>2632</v>
      </c>
      <c r="F1251" s="4" t="s">
        <v>6</v>
      </c>
      <c r="G1251" s="8"/>
      <c r="H1251" s="6" t="str">
        <f aca="false">IF(G1251="","",G1251/SUMIFS($G$2:$G$1462,$F$2:$F$1462,"Served"))</f>
        <v/>
      </c>
      <c r="I1251" s="4" t="str">
        <f aca="false">IF(G1251="","",RANK(G1251,$G$2:$G$1462,0))</f>
        <v/>
      </c>
      <c r="J1251" s="4" t="s">
        <v>34</v>
      </c>
    </row>
    <row r="1252" customFormat="false" ht="15" hidden="false" customHeight="false" outlineLevel="0" collapsed="false">
      <c r="A1252" s="4" t="s">
        <v>2663</v>
      </c>
      <c r="B1252" s="4" t="s">
        <v>2629</v>
      </c>
      <c r="C1252" s="4" t="s">
        <v>2630</v>
      </c>
      <c r="D1252" s="7" t="s">
        <v>2664</v>
      </c>
      <c r="E1252" s="4" t="s">
        <v>2632</v>
      </c>
      <c r="F1252" s="4" t="s">
        <v>6</v>
      </c>
      <c r="G1252" s="8"/>
      <c r="H1252" s="6" t="str">
        <f aca="false">IF(G1252="","",G1252/SUMIFS($G$2:$G$1462,$F$2:$F$1462,"Served"))</f>
        <v/>
      </c>
      <c r="I1252" s="4" t="str">
        <f aca="false">IF(G1252="","",RANK(G1252,$G$2:$G$1462,0))</f>
        <v/>
      </c>
      <c r="J1252" s="4" t="s">
        <v>34</v>
      </c>
    </row>
    <row r="1253" customFormat="false" ht="15" hidden="false" customHeight="false" outlineLevel="0" collapsed="false">
      <c r="A1253" s="4" t="s">
        <v>2665</v>
      </c>
      <c r="B1253" s="4" t="s">
        <v>2629</v>
      </c>
      <c r="C1253" s="4" t="s">
        <v>2630</v>
      </c>
      <c r="D1253" s="7" t="s">
        <v>2666</v>
      </c>
      <c r="E1253" s="4" t="s">
        <v>2632</v>
      </c>
      <c r="F1253" s="4" t="s">
        <v>6</v>
      </c>
      <c r="G1253" s="8"/>
      <c r="H1253" s="6" t="str">
        <f aca="false">IF(G1253="","",G1253/SUMIFS($G$2:$G$1462,$F$2:$F$1462,"Served"))</f>
        <v/>
      </c>
      <c r="I1253" s="4" t="str">
        <f aca="false">IF(G1253="","",RANK(G1253,$G$2:$G$1462,0))</f>
        <v/>
      </c>
      <c r="J1253" s="4" t="s">
        <v>34</v>
      </c>
    </row>
    <row r="1254" customFormat="false" ht="15" hidden="false" customHeight="false" outlineLevel="0" collapsed="false">
      <c r="A1254" s="4" t="s">
        <v>2667</v>
      </c>
      <c r="B1254" s="4" t="s">
        <v>2629</v>
      </c>
      <c r="C1254" s="4" t="s">
        <v>2630</v>
      </c>
      <c r="D1254" s="7" t="s">
        <v>2668</v>
      </c>
      <c r="E1254" s="4" t="s">
        <v>2632</v>
      </c>
      <c r="F1254" s="4" t="s">
        <v>6</v>
      </c>
      <c r="G1254" s="8"/>
      <c r="H1254" s="6" t="str">
        <f aca="false">IF(G1254="","",G1254/SUMIFS($G$2:$G$1462,$F$2:$F$1462,"Served"))</f>
        <v/>
      </c>
      <c r="I1254" s="4" t="str">
        <f aca="false">IF(G1254="","",RANK(G1254,$G$2:$G$1462,0))</f>
        <v/>
      </c>
      <c r="J1254" s="4" t="s">
        <v>34</v>
      </c>
    </row>
    <row r="1255" customFormat="false" ht="15" hidden="false" customHeight="false" outlineLevel="0" collapsed="false">
      <c r="A1255" s="4" t="s">
        <v>2669</v>
      </c>
      <c r="B1255" s="4" t="s">
        <v>2629</v>
      </c>
      <c r="C1255" s="4" t="s">
        <v>2630</v>
      </c>
      <c r="D1255" s="7" t="s">
        <v>2670</v>
      </c>
      <c r="E1255" s="4" t="s">
        <v>2632</v>
      </c>
      <c r="F1255" s="4" t="s">
        <v>6</v>
      </c>
      <c r="G1255" s="8"/>
      <c r="H1255" s="6" t="str">
        <f aca="false">IF(G1255="","",G1255/SUMIFS($G$2:$G$1462,$F$2:$F$1462,"Served"))</f>
        <v/>
      </c>
      <c r="I1255" s="4" t="str">
        <f aca="false">IF(G1255="","",RANK(G1255,$G$2:$G$1462,0))</f>
        <v/>
      </c>
      <c r="J1255" s="4" t="s">
        <v>34</v>
      </c>
    </row>
    <row r="1256" customFormat="false" ht="15" hidden="false" customHeight="false" outlineLevel="0" collapsed="false">
      <c r="A1256" s="4" t="s">
        <v>2671</v>
      </c>
      <c r="B1256" s="4" t="s">
        <v>2629</v>
      </c>
      <c r="C1256" s="4" t="s">
        <v>2630</v>
      </c>
      <c r="D1256" s="7" t="s">
        <v>2672</v>
      </c>
      <c r="E1256" s="4" t="s">
        <v>2632</v>
      </c>
      <c r="F1256" s="4" t="s">
        <v>6</v>
      </c>
      <c r="G1256" s="8"/>
      <c r="H1256" s="6" t="str">
        <f aca="false">IF(G1256="","",G1256/SUMIFS($G$2:$G$1462,$F$2:$F$1462,"Served"))</f>
        <v/>
      </c>
      <c r="I1256" s="4" t="str">
        <f aca="false">IF(G1256="","",RANK(G1256,$G$2:$G$1462,0))</f>
        <v/>
      </c>
      <c r="J1256" s="4" t="s">
        <v>34</v>
      </c>
    </row>
    <row r="1257" customFormat="false" ht="15" hidden="false" customHeight="false" outlineLevel="0" collapsed="false">
      <c r="A1257" s="4" t="s">
        <v>2673</v>
      </c>
      <c r="B1257" s="4" t="s">
        <v>2629</v>
      </c>
      <c r="C1257" s="4" t="s">
        <v>2630</v>
      </c>
      <c r="D1257" s="7" t="s">
        <v>2674</v>
      </c>
      <c r="E1257" s="4" t="s">
        <v>2632</v>
      </c>
      <c r="F1257" s="4" t="s">
        <v>6</v>
      </c>
      <c r="G1257" s="8"/>
      <c r="H1257" s="6" t="str">
        <f aca="false">IF(G1257="","",G1257/SUMIFS($G$2:$G$1462,$F$2:$F$1462,"Served"))</f>
        <v/>
      </c>
      <c r="I1257" s="4" t="str">
        <f aca="false">IF(G1257="","",RANK(G1257,$G$2:$G$1462,0))</f>
        <v/>
      </c>
      <c r="J1257" s="4" t="s">
        <v>34</v>
      </c>
    </row>
    <row r="1258" customFormat="false" ht="15" hidden="false" customHeight="false" outlineLevel="0" collapsed="false">
      <c r="A1258" s="4" t="s">
        <v>2675</v>
      </c>
      <c r="B1258" s="4" t="s">
        <v>2629</v>
      </c>
      <c r="C1258" s="4" t="s">
        <v>2630</v>
      </c>
      <c r="D1258" s="7" t="s">
        <v>2676</v>
      </c>
      <c r="E1258" s="4" t="s">
        <v>2632</v>
      </c>
      <c r="F1258" s="4" t="s">
        <v>6</v>
      </c>
      <c r="G1258" s="8"/>
      <c r="H1258" s="6" t="str">
        <f aca="false">IF(G1258="","",G1258/SUMIFS($G$2:$G$1462,$F$2:$F$1462,"Served"))</f>
        <v/>
      </c>
      <c r="I1258" s="4" t="str">
        <f aca="false">IF(G1258="","",RANK(G1258,$G$2:$G$1462,0))</f>
        <v/>
      </c>
      <c r="J1258" s="4" t="s">
        <v>34</v>
      </c>
    </row>
    <row r="1259" customFormat="false" ht="15" hidden="false" customHeight="false" outlineLevel="0" collapsed="false">
      <c r="A1259" s="4" t="s">
        <v>2677</v>
      </c>
      <c r="B1259" s="4" t="s">
        <v>2629</v>
      </c>
      <c r="C1259" s="4" t="s">
        <v>2630</v>
      </c>
      <c r="D1259" s="7" t="s">
        <v>2678</v>
      </c>
      <c r="E1259" s="4" t="s">
        <v>2632</v>
      </c>
      <c r="F1259" s="4" t="s">
        <v>6</v>
      </c>
      <c r="G1259" s="8"/>
      <c r="H1259" s="6" t="str">
        <f aca="false">IF(G1259="","",G1259/SUMIFS($G$2:$G$1462,$F$2:$F$1462,"Served"))</f>
        <v/>
      </c>
      <c r="I1259" s="4" t="str">
        <f aca="false">IF(G1259="","",RANK(G1259,$G$2:$G$1462,0))</f>
        <v/>
      </c>
      <c r="J1259" s="4" t="s">
        <v>34</v>
      </c>
    </row>
    <row r="1260" customFormat="false" ht="15" hidden="false" customHeight="false" outlineLevel="0" collapsed="false">
      <c r="A1260" s="4" t="s">
        <v>2679</v>
      </c>
      <c r="B1260" s="4" t="s">
        <v>2629</v>
      </c>
      <c r="C1260" s="4" t="s">
        <v>2630</v>
      </c>
      <c r="D1260" s="7" t="s">
        <v>2680</v>
      </c>
      <c r="E1260" s="4" t="s">
        <v>2632</v>
      </c>
      <c r="F1260" s="4" t="s">
        <v>6</v>
      </c>
      <c r="G1260" s="8"/>
      <c r="H1260" s="6" t="str">
        <f aca="false">IF(G1260="","",G1260/SUMIFS($G$2:$G$1462,$F$2:$F$1462,"Served"))</f>
        <v/>
      </c>
      <c r="I1260" s="4" t="str">
        <f aca="false">IF(G1260="","",RANK(G1260,$G$2:$G$1462,0))</f>
        <v/>
      </c>
      <c r="J1260" s="4" t="s">
        <v>34</v>
      </c>
    </row>
    <row r="1261" customFormat="false" ht="15" hidden="false" customHeight="false" outlineLevel="0" collapsed="false">
      <c r="A1261" s="4" t="s">
        <v>2681</v>
      </c>
      <c r="B1261" s="4" t="s">
        <v>2629</v>
      </c>
      <c r="C1261" s="4" t="s">
        <v>2630</v>
      </c>
      <c r="D1261" s="7" t="s">
        <v>2682</v>
      </c>
      <c r="E1261" s="4" t="s">
        <v>2632</v>
      </c>
      <c r="F1261" s="4" t="s">
        <v>6</v>
      </c>
      <c r="G1261" s="8"/>
      <c r="H1261" s="6" t="str">
        <f aca="false">IF(G1261="","",G1261/SUMIFS($G$2:$G$1462,$F$2:$F$1462,"Served"))</f>
        <v/>
      </c>
      <c r="I1261" s="4" t="str">
        <f aca="false">IF(G1261="","",RANK(G1261,$G$2:$G$1462,0))</f>
        <v/>
      </c>
      <c r="J1261" s="4" t="s">
        <v>34</v>
      </c>
    </row>
    <row r="1262" customFormat="false" ht="15" hidden="false" customHeight="false" outlineLevel="0" collapsed="false">
      <c r="A1262" s="4" t="s">
        <v>2683</v>
      </c>
      <c r="B1262" s="4" t="s">
        <v>2629</v>
      </c>
      <c r="C1262" s="4" t="s">
        <v>2630</v>
      </c>
      <c r="D1262" s="7" t="s">
        <v>2684</v>
      </c>
      <c r="E1262" s="4" t="s">
        <v>2632</v>
      </c>
      <c r="F1262" s="4" t="s">
        <v>6</v>
      </c>
      <c r="G1262" s="8"/>
      <c r="H1262" s="6" t="str">
        <f aca="false">IF(G1262="","",G1262/SUMIFS($G$2:$G$1462,$F$2:$F$1462,"Served"))</f>
        <v/>
      </c>
      <c r="I1262" s="4" t="str">
        <f aca="false">IF(G1262="","",RANK(G1262,$G$2:$G$1462,0))</f>
        <v/>
      </c>
      <c r="J1262" s="4" t="s">
        <v>34</v>
      </c>
    </row>
    <row r="1263" customFormat="false" ht="15" hidden="false" customHeight="false" outlineLevel="0" collapsed="false">
      <c r="A1263" s="4" t="s">
        <v>2685</v>
      </c>
      <c r="B1263" s="4" t="s">
        <v>2629</v>
      </c>
      <c r="C1263" s="4" t="s">
        <v>2630</v>
      </c>
      <c r="D1263" s="7" t="s">
        <v>2686</v>
      </c>
      <c r="E1263" s="4" t="s">
        <v>2632</v>
      </c>
      <c r="F1263" s="4" t="s">
        <v>6</v>
      </c>
      <c r="G1263" s="8"/>
      <c r="H1263" s="6" t="str">
        <f aca="false">IF(G1263="","",G1263/SUMIFS($G$2:$G$1462,$F$2:$F$1462,"Served"))</f>
        <v/>
      </c>
      <c r="I1263" s="4" t="str">
        <f aca="false">IF(G1263="","",RANK(G1263,$G$2:$G$1462,0))</f>
        <v/>
      </c>
      <c r="J1263" s="4" t="s">
        <v>34</v>
      </c>
    </row>
    <row r="1264" customFormat="false" ht="15" hidden="false" customHeight="false" outlineLevel="0" collapsed="false">
      <c r="A1264" s="4" t="s">
        <v>2687</v>
      </c>
      <c r="B1264" s="4" t="s">
        <v>2629</v>
      </c>
      <c r="C1264" s="4" t="s">
        <v>2630</v>
      </c>
      <c r="D1264" s="7" t="s">
        <v>2688</v>
      </c>
      <c r="E1264" s="4" t="s">
        <v>2632</v>
      </c>
      <c r="F1264" s="4" t="s">
        <v>6</v>
      </c>
      <c r="G1264" s="8"/>
      <c r="H1264" s="6" t="str">
        <f aca="false">IF(G1264="","",G1264/SUMIFS($G$2:$G$1462,$F$2:$F$1462,"Served"))</f>
        <v/>
      </c>
      <c r="I1264" s="4" t="str">
        <f aca="false">IF(G1264="","",RANK(G1264,$G$2:$G$1462,0))</f>
        <v/>
      </c>
      <c r="J1264" s="4" t="s">
        <v>34</v>
      </c>
    </row>
    <row r="1265" customFormat="false" ht="15" hidden="false" customHeight="false" outlineLevel="0" collapsed="false">
      <c r="A1265" s="4" t="s">
        <v>2689</v>
      </c>
      <c r="B1265" s="4" t="s">
        <v>2629</v>
      </c>
      <c r="C1265" s="4" t="s">
        <v>2630</v>
      </c>
      <c r="D1265" s="7" t="s">
        <v>2690</v>
      </c>
      <c r="E1265" s="4" t="s">
        <v>2632</v>
      </c>
      <c r="F1265" s="4" t="s">
        <v>6</v>
      </c>
      <c r="G1265" s="8"/>
      <c r="H1265" s="6" t="str">
        <f aca="false">IF(G1265="","",G1265/SUMIFS($G$2:$G$1462,$F$2:$F$1462,"Served"))</f>
        <v/>
      </c>
      <c r="I1265" s="4" t="str">
        <f aca="false">IF(G1265="","",RANK(G1265,$G$2:$G$1462,0))</f>
        <v/>
      </c>
      <c r="J1265" s="4" t="s">
        <v>34</v>
      </c>
    </row>
    <row r="1266" customFormat="false" ht="15" hidden="false" customHeight="false" outlineLevel="0" collapsed="false">
      <c r="A1266" s="4" t="s">
        <v>2691</v>
      </c>
      <c r="B1266" s="4" t="s">
        <v>2629</v>
      </c>
      <c r="C1266" s="4" t="s">
        <v>2630</v>
      </c>
      <c r="D1266" s="7" t="s">
        <v>2692</v>
      </c>
      <c r="E1266" s="4" t="s">
        <v>2632</v>
      </c>
      <c r="F1266" s="4" t="s">
        <v>6</v>
      </c>
      <c r="G1266" s="8"/>
      <c r="H1266" s="6" t="str">
        <f aca="false">IF(G1266="","",G1266/SUMIFS($G$2:$G$1462,$F$2:$F$1462,"Served"))</f>
        <v/>
      </c>
      <c r="I1266" s="4" t="str">
        <f aca="false">IF(G1266="","",RANK(G1266,$G$2:$G$1462,0))</f>
        <v/>
      </c>
      <c r="J1266" s="4" t="s">
        <v>34</v>
      </c>
    </row>
    <row r="1267" customFormat="false" ht="15" hidden="false" customHeight="false" outlineLevel="0" collapsed="false">
      <c r="A1267" s="4" t="s">
        <v>2693</v>
      </c>
      <c r="B1267" s="4" t="s">
        <v>2629</v>
      </c>
      <c r="C1267" s="4" t="s">
        <v>2630</v>
      </c>
      <c r="D1267" s="7" t="s">
        <v>2694</v>
      </c>
      <c r="E1267" s="4" t="s">
        <v>2632</v>
      </c>
      <c r="F1267" s="4" t="s">
        <v>6</v>
      </c>
      <c r="G1267" s="8"/>
      <c r="H1267" s="6" t="str">
        <f aca="false">IF(G1267="","",G1267/SUMIFS($G$2:$G$1462,$F$2:$F$1462,"Served"))</f>
        <v/>
      </c>
      <c r="I1267" s="4" t="str">
        <f aca="false">IF(G1267="","",RANK(G1267,$G$2:$G$1462,0))</f>
        <v/>
      </c>
      <c r="J1267" s="4" t="s">
        <v>34</v>
      </c>
    </row>
    <row r="1268" customFormat="false" ht="15" hidden="false" customHeight="false" outlineLevel="0" collapsed="false">
      <c r="A1268" s="4" t="s">
        <v>2695</v>
      </c>
      <c r="B1268" s="4" t="s">
        <v>2629</v>
      </c>
      <c r="C1268" s="4" t="s">
        <v>2630</v>
      </c>
      <c r="D1268" s="7" t="s">
        <v>2696</v>
      </c>
      <c r="E1268" s="4" t="s">
        <v>2632</v>
      </c>
      <c r="F1268" s="4" t="s">
        <v>6</v>
      </c>
      <c r="G1268" s="8"/>
      <c r="H1268" s="6" t="str">
        <f aca="false">IF(G1268="","",G1268/SUMIFS($G$2:$G$1462,$F$2:$F$1462,"Served"))</f>
        <v/>
      </c>
      <c r="I1268" s="4" t="str">
        <f aca="false">IF(G1268="","",RANK(G1268,$G$2:$G$1462,0))</f>
        <v/>
      </c>
      <c r="J1268" s="4" t="s">
        <v>34</v>
      </c>
    </row>
    <row r="1269" customFormat="false" ht="15" hidden="false" customHeight="false" outlineLevel="0" collapsed="false">
      <c r="A1269" s="4" t="s">
        <v>2697</v>
      </c>
      <c r="B1269" s="4" t="s">
        <v>2629</v>
      </c>
      <c r="C1269" s="4" t="s">
        <v>2630</v>
      </c>
      <c r="D1269" s="7" t="s">
        <v>2698</v>
      </c>
      <c r="E1269" s="4" t="s">
        <v>2632</v>
      </c>
      <c r="F1269" s="4" t="s">
        <v>6</v>
      </c>
      <c r="G1269" s="8"/>
      <c r="H1269" s="6" t="str">
        <f aca="false">IF(G1269="","",G1269/SUMIFS($G$2:$G$1462,$F$2:$F$1462,"Served"))</f>
        <v/>
      </c>
      <c r="I1269" s="4" t="str">
        <f aca="false">IF(G1269="","",RANK(G1269,$G$2:$G$1462,0))</f>
        <v/>
      </c>
      <c r="J1269" s="4" t="s">
        <v>34</v>
      </c>
    </row>
    <row r="1270" customFormat="false" ht="15" hidden="false" customHeight="false" outlineLevel="0" collapsed="false">
      <c r="A1270" s="4" t="s">
        <v>2699</v>
      </c>
      <c r="B1270" s="4" t="s">
        <v>2629</v>
      </c>
      <c r="C1270" s="4" t="s">
        <v>2630</v>
      </c>
      <c r="D1270" s="7" t="s">
        <v>2700</v>
      </c>
      <c r="E1270" s="4" t="s">
        <v>2632</v>
      </c>
      <c r="F1270" s="4" t="s">
        <v>6</v>
      </c>
      <c r="G1270" s="8"/>
      <c r="H1270" s="6" t="str">
        <f aca="false">IF(G1270="","",G1270/SUMIFS($G$2:$G$1462,$F$2:$F$1462,"Served"))</f>
        <v/>
      </c>
      <c r="I1270" s="4" t="str">
        <f aca="false">IF(G1270="","",RANK(G1270,$G$2:$G$1462,0))</f>
        <v/>
      </c>
      <c r="J1270" s="4" t="s">
        <v>34</v>
      </c>
    </row>
    <row r="1271" customFormat="false" ht="15" hidden="false" customHeight="false" outlineLevel="0" collapsed="false">
      <c r="A1271" s="4" t="s">
        <v>2701</v>
      </c>
      <c r="B1271" s="4" t="s">
        <v>2629</v>
      </c>
      <c r="C1271" s="4" t="s">
        <v>2630</v>
      </c>
      <c r="D1271" s="7" t="s">
        <v>2702</v>
      </c>
      <c r="E1271" s="4" t="s">
        <v>2632</v>
      </c>
      <c r="F1271" s="4" t="s">
        <v>6</v>
      </c>
      <c r="G1271" s="8"/>
      <c r="H1271" s="6" t="str">
        <f aca="false">IF(G1271="","",G1271/SUMIFS($G$2:$G$1462,$F$2:$F$1462,"Served"))</f>
        <v/>
      </c>
      <c r="I1271" s="4" t="str">
        <f aca="false">IF(G1271="","",RANK(G1271,$G$2:$G$1462,0))</f>
        <v/>
      </c>
      <c r="J1271" s="4" t="s">
        <v>34</v>
      </c>
    </row>
    <row r="1272" customFormat="false" ht="15" hidden="false" customHeight="false" outlineLevel="0" collapsed="false">
      <c r="A1272" s="4" t="s">
        <v>2703</v>
      </c>
      <c r="B1272" s="4" t="s">
        <v>2629</v>
      </c>
      <c r="C1272" s="4" t="s">
        <v>2630</v>
      </c>
      <c r="D1272" s="7" t="s">
        <v>2704</v>
      </c>
      <c r="E1272" s="4" t="s">
        <v>2632</v>
      </c>
      <c r="F1272" s="4" t="s">
        <v>6</v>
      </c>
      <c r="G1272" s="8"/>
      <c r="H1272" s="6" t="str">
        <f aca="false">IF(G1272="","",G1272/SUMIFS($G$2:$G$1462,$F$2:$F$1462,"Served"))</f>
        <v/>
      </c>
      <c r="I1272" s="4" t="str">
        <f aca="false">IF(G1272="","",RANK(G1272,$G$2:$G$1462,0))</f>
        <v/>
      </c>
      <c r="J1272" s="4" t="s">
        <v>34</v>
      </c>
    </row>
    <row r="1273" customFormat="false" ht="15" hidden="false" customHeight="false" outlineLevel="0" collapsed="false">
      <c r="A1273" s="4" t="s">
        <v>2705</v>
      </c>
      <c r="B1273" s="4" t="s">
        <v>2629</v>
      </c>
      <c r="C1273" s="4" t="s">
        <v>2630</v>
      </c>
      <c r="D1273" s="7" t="s">
        <v>2706</v>
      </c>
      <c r="E1273" s="4" t="s">
        <v>2632</v>
      </c>
      <c r="F1273" s="4" t="s">
        <v>6</v>
      </c>
      <c r="G1273" s="8"/>
      <c r="H1273" s="6" t="str">
        <f aca="false">IF(G1273="","",G1273/SUMIFS($G$2:$G$1462,$F$2:$F$1462,"Served"))</f>
        <v/>
      </c>
      <c r="I1273" s="4" t="str">
        <f aca="false">IF(G1273="","",RANK(G1273,$G$2:$G$1462,0))</f>
        <v/>
      </c>
      <c r="J1273" s="4" t="s">
        <v>34</v>
      </c>
    </row>
    <row r="1274" customFormat="false" ht="15" hidden="false" customHeight="false" outlineLevel="0" collapsed="false">
      <c r="A1274" s="4" t="s">
        <v>2707</v>
      </c>
      <c r="B1274" s="4" t="s">
        <v>2629</v>
      </c>
      <c r="C1274" s="4" t="s">
        <v>2630</v>
      </c>
      <c r="D1274" s="7" t="s">
        <v>2708</v>
      </c>
      <c r="E1274" s="4" t="s">
        <v>2632</v>
      </c>
      <c r="F1274" s="4" t="s">
        <v>6</v>
      </c>
      <c r="G1274" s="8"/>
      <c r="H1274" s="6" t="str">
        <f aca="false">IF(G1274="","",G1274/SUMIFS($G$2:$G$1462,$F$2:$F$1462,"Served"))</f>
        <v/>
      </c>
      <c r="I1274" s="4" t="str">
        <f aca="false">IF(G1274="","",RANK(G1274,$G$2:$G$1462,0))</f>
        <v/>
      </c>
      <c r="J1274" s="4" t="s">
        <v>34</v>
      </c>
    </row>
    <row r="1275" customFormat="false" ht="15" hidden="false" customHeight="false" outlineLevel="0" collapsed="false">
      <c r="A1275" s="4" t="s">
        <v>2709</v>
      </c>
      <c r="B1275" s="4" t="s">
        <v>2629</v>
      </c>
      <c r="C1275" s="4" t="s">
        <v>2630</v>
      </c>
      <c r="D1275" s="7" t="s">
        <v>2710</v>
      </c>
      <c r="E1275" s="4" t="s">
        <v>2632</v>
      </c>
      <c r="F1275" s="4" t="s">
        <v>6</v>
      </c>
      <c r="G1275" s="8"/>
      <c r="H1275" s="6" t="str">
        <f aca="false">IF(G1275="","",G1275/SUMIFS($G$2:$G$1462,$F$2:$F$1462,"Served"))</f>
        <v/>
      </c>
      <c r="I1275" s="4" t="str">
        <f aca="false">IF(G1275="","",RANK(G1275,$G$2:$G$1462,0))</f>
        <v/>
      </c>
      <c r="J1275" s="4" t="s">
        <v>34</v>
      </c>
    </row>
    <row r="1276" customFormat="false" ht="15" hidden="false" customHeight="false" outlineLevel="0" collapsed="false">
      <c r="A1276" s="4" t="s">
        <v>2711</v>
      </c>
      <c r="B1276" s="4" t="s">
        <v>2629</v>
      </c>
      <c r="C1276" s="4" t="s">
        <v>2630</v>
      </c>
      <c r="D1276" s="7" t="s">
        <v>2712</v>
      </c>
      <c r="E1276" s="4" t="s">
        <v>2632</v>
      </c>
      <c r="F1276" s="4" t="s">
        <v>6</v>
      </c>
      <c r="G1276" s="8"/>
      <c r="H1276" s="6" t="str">
        <f aca="false">IF(G1276="","",G1276/SUMIFS($G$2:$G$1462,$F$2:$F$1462,"Served"))</f>
        <v/>
      </c>
      <c r="I1276" s="4" t="str">
        <f aca="false">IF(G1276="","",RANK(G1276,$G$2:$G$1462,0))</f>
        <v/>
      </c>
      <c r="J1276" s="4" t="s">
        <v>34</v>
      </c>
    </row>
    <row r="1277" customFormat="false" ht="15" hidden="false" customHeight="false" outlineLevel="0" collapsed="false">
      <c r="A1277" s="4" t="s">
        <v>2713</v>
      </c>
      <c r="B1277" s="4" t="s">
        <v>2629</v>
      </c>
      <c r="C1277" s="4" t="s">
        <v>2630</v>
      </c>
      <c r="D1277" s="7" t="s">
        <v>2714</v>
      </c>
      <c r="E1277" s="4" t="s">
        <v>2632</v>
      </c>
      <c r="F1277" s="4" t="s">
        <v>6</v>
      </c>
      <c r="G1277" s="8"/>
      <c r="H1277" s="6" t="str">
        <f aca="false">IF(G1277="","",G1277/SUMIFS($G$2:$G$1462,$F$2:$F$1462,"Served"))</f>
        <v/>
      </c>
      <c r="I1277" s="4" t="str">
        <f aca="false">IF(G1277="","",RANK(G1277,$G$2:$G$1462,0))</f>
        <v/>
      </c>
      <c r="J1277" s="4" t="s">
        <v>34</v>
      </c>
    </row>
    <row r="1278" customFormat="false" ht="15" hidden="false" customHeight="false" outlineLevel="0" collapsed="false">
      <c r="A1278" s="4" t="s">
        <v>2715</v>
      </c>
      <c r="B1278" s="4" t="s">
        <v>2629</v>
      </c>
      <c r="C1278" s="4" t="s">
        <v>2630</v>
      </c>
      <c r="D1278" s="7" t="s">
        <v>2716</v>
      </c>
      <c r="E1278" s="4" t="s">
        <v>2632</v>
      </c>
      <c r="F1278" s="4" t="s">
        <v>6</v>
      </c>
      <c r="G1278" s="8"/>
      <c r="H1278" s="6" t="str">
        <f aca="false">IF(G1278="","",G1278/SUMIFS($G$2:$G$1462,$F$2:$F$1462,"Served"))</f>
        <v/>
      </c>
      <c r="I1278" s="4" t="str">
        <f aca="false">IF(G1278="","",RANK(G1278,$G$2:$G$1462,0))</f>
        <v/>
      </c>
      <c r="J1278" s="4" t="s">
        <v>34</v>
      </c>
    </row>
    <row r="1279" customFormat="false" ht="15" hidden="false" customHeight="false" outlineLevel="0" collapsed="false">
      <c r="A1279" s="4" t="s">
        <v>2717</v>
      </c>
      <c r="B1279" s="4" t="s">
        <v>2629</v>
      </c>
      <c r="C1279" s="4" t="s">
        <v>2630</v>
      </c>
      <c r="D1279" s="7" t="s">
        <v>2718</v>
      </c>
      <c r="E1279" s="4" t="s">
        <v>2632</v>
      </c>
      <c r="F1279" s="4" t="s">
        <v>6</v>
      </c>
      <c r="G1279" s="8"/>
      <c r="H1279" s="6" t="str">
        <f aca="false">IF(G1279="","",G1279/SUMIFS($G$2:$G$1462,$F$2:$F$1462,"Served"))</f>
        <v/>
      </c>
      <c r="I1279" s="4" t="str">
        <f aca="false">IF(G1279="","",RANK(G1279,$G$2:$G$1462,0))</f>
        <v/>
      </c>
      <c r="J1279" s="4" t="s">
        <v>34</v>
      </c>
    </row>
    <row r="1280" customFormat="false" ht="15" hidden="false" customHeight="false" outlineLevel="0" collapsed="false">
      <c r="A1280" s="4" t="s">
        <v>2719</v>
      </c>
      <c r="B1280" s="4" t="s">
        <v>2629</v>
      </c>
      <c r="C1280" s="4" t="s">
        <v>2630</v>
      </c>
      <c r="D1280" s="7" t="s">
        <v>2720</v>
      </c>
      <c r="E1280" s="4" t="s">
        <v>2632</v>
      </c>
      <c r="F1280" s="4" t="s">
        <v>6</v>
      </c>
      <c r="G1280" s="8"/>
      <c r="H1280" s="6" t="str">
        <f aca="false">IF(G1280="","",G1280/SUMIFS($G$2:$G$1462,$F$2:$F$1462,"Served"))</f>
        <v/>
      </c>
      <c r="I1280" s="4" t="str">
        <f aca="false">IF(G1280="","",RANK(G1280,$G$2:$G$1462,0))</f>
        <v/>
      </c>
      <c r="J1280" s="4" t="s">
        <v>34</v>
      </c>
    </row>
    <row r="1281" customFormat="false" ht="15" hidden="false" customHeight="false" outlineLevel="0" collapsed="false">
      <c r="A1281" s="4" t="s">
        <v>2721</v>
      </c>
      <c r="B1281" s="4" t="s">
        <v>2629</v>
      </c>
      <c r="C1281" s="4" t="s">
        <v>2630</v>
      </c>
      <c r="D1281" s="7" t="s">
        <v>2722</v>
      </c>
      <c r="E1281" s="4" t="s">
        <v>2632</v>
      </c>
      <c r="F1281" s="4" t="s">
        <v>6</v>
      </c>
      <c r="G1281" s="8"/>
      <c r="H1281" s="6" t="str">
        <f aca="false">IF(G1281="","",G1281/SUMIFS($G$2:$G$1462,$F$2:$F$1462,"Served"))</f>
        <v/>
      </c>
      <c r="I1281" s="4" t="str">
        <f aca="false">IF(G1281="","",RANK(G1281,$G$2:$G$1462,0))</f>
        <v/>
      </c>
      <c r="J1281" s="4" t="s">
        <v>34</v>
      </c>
    </row>
    <row r="1282" customFormat="false" ht="15" hidden="false" customHeight="false" outlineLevel="0" collapsed="false">
      <c r="A1282" s="4" t="s">
        <v>2723</v>
      </c>
      <c r="B1282" s="4" t="s">
        <v>2629</v>
      </c>
      <c r="C1282" s="4" t="s">
        <v>2630</v>
      </c>
      <c r="D1282" s="7" t="s">
        <v>2724</v>
      </c>
      <c r="E1282" s="4" t="s">
        <v>2632</v>
      </c>
      <c r="F1282" s="4" t="s">
        <v>6</v>
      </c>
      <c r="G1282" s="8"/>
      <c r="H1282" s="6" t="str">
        <f aca="false">IF(G1282="","",G1282/SUMIFS($G$2:$G$1462,$F$2:$F$1462,"Served"))</f>
        <v/>
      </c>
      <c r="I1282" s="4" t="str">
        <f aca="false">IF(G1282="","",RANK(G1282,$G$2:$G$1462,0))</f>
        <v/>
      </c>
      <c r="J1282" s="4" t="s">
        <v>34</v>
      </c>
    </row>
    <row r="1283" customFormat="false" ht="15" hidden="false" customHeight="false" outlineLevel="0" collapsed="false">
      <c r="A1283" s="4" t="s">
        <v>2725</v>
      </c>
      <c r="B1283" s="4" t="s">
        <v>2629</v>
      </c>
      <c r="C1283" s="4" t="s">
        <v>2630</v>
      </c>
      <c r="D1283" s="7" t="s">
        <v>2726</v>
      </c>
      <c r="E1283" s="4" t="s">
        <v>2632</v>
      </c>
      <c r="F1283" s="4" t="s">
        <v>6</v>
      </c>
      <c r="G1283" s="8"/>
      <c r="H1283" s="6" t="str">
        <f aca="false">IF(G1283="","",G1283/SUMIFS($G$2:$G$1462,$F$2:$F$1462,"Served"))</f>
        <v/>
      </c>
      <c r="I1283" s="4" t="str">
        <f aca="false">IF(G1283="","",RANK(G1283,$G$2:$G$1462,0))</f>
        <v/>
      </c>
      <c r="J1283" s="4" t="s">
        <v>34</v>
      </c>
    </row>
    <row r="1284" customFormat="false" ht="15" hidden="false" customHeight="false" outlineLevel="0" collapsed="false">
      <c r="A1284" s="4" t="s">
        <v>2727</v>
      </c>
      <c r="B1284" s="4" t="s">
        <v>2629</v>
      </c>
      <c r="C1284" s="4" t="s">
        <v>2630</v>
      </c>
      <c r="D1284" s="7" t="s">
        <v>2728</v>
      </c>
      <c r="E1284" s="4" t="s">
        <v>2632</v>
      </c>
      <c r="F1284" s="4" t="s">
        <v>6</v>
      </c>
      <c r="G1284" s="8"/>
      <c r="H1284" s="6" t="str">
        <f aca="false">IF(G1284="","",G1284/SUMIFS($G$2:$G$1462,$F$2:$F$1462,"Served"))</f>
        <v/>
      </c>
      <c r="I1284" s="4" t="str">
        <f aca="false">IF(G1284="","",RANK(G1284,$G$2:$G$1462,0))</f>
        <v/>
      </c>
      <c r="J1284" s="4" t="s">
        <v>34</v>
      </c>
    </row>
    <row r="1285" customFormat="false" ht="15" hidden="false" customHeight="false" outlineLevel="0" collapsed="false">
      <c r="A1285" s="4" t="s">
        <v>2729</v>
      </c>
      <c r="B1285" s="4" t="s">
        <v>2629</v>
      </c>
      <c r="C1285" s="4" t="s">
        <v>2630</v>
      </c>
      <c r="D1285" s="7" t="s">
        <v>2730</v>
      </c>
      <c r="E1285" s="4" t="s">
        <v>2632</v>
      </c>
      <c r="F1285" s="4" t="s">
        <v>6</v>
      </c>
      <c r="G1285" s="8"/>
      <c r="H1285" s="6" t="str">
        <f aca="false">IF(G1285="","",G1285/SUMIFS($G$2:$G$1462,$F$2:$F$1462,"Served"))</f>
        <v/>
      </c>
      <c r="I1285" s="4" t="str">
        <f aca="false">IF(G1285="","",RANK(G1285,$G$2:$G$1462,0))</f>
        <v/>
      </c>
      <c r="J1285" s="4" t="s">
        <v>34</v>
      </c>
    </row>
    <row r="1286" customFormat="false" ht="15" hidden="false" customHeight="false" outlineLevel="0" collapsed="false">
      <c r="A1286" s="4" t="s">
        <v>2731</v>
      </c>
      <c r="B1286" s="4" t="s">
        <v>2629</v>
      </c>
      <c r="C1286" s="4" t="s">
        <v>2630</v>
      </c>
      <c r="D1286" s="7" t="s">
        <v>2732</v>
      </c>
      <c r="E1286" s="4" t="s">
        <v>2632</v>
      </c>
      <c r="F1286" s="4" t="s">
        <v>6</v>
      </c>
      <c r="G1286" s="8"/>
      <c r="H1286" s="6" t="str">
        <f aca="false">IF(G1286="","",G1286/SUMIFS($G$2:$G$1462,$F$2:$F$1462,"Served"))</f>
        <v/>
      </c>
      <c r="I1286" s="4" t="str">
        <f aca="false">IF(G1286="","",RANK(G1286,$G$2:$G$1462,0))</f>
        <v/>
      </c>
      <c r="J1286" s="4" t="s">
        <v>34</v>
      </c>
    </row>
    <row r="1287" customFormat="false" ht="15" hidden="false" customHeight="false" outlineLevel="0" collapsed="false">
      <c r="A1287" s="4" t="s">
        <v>2733</v>
      </c>
      <c r="B1287" s="4" t="s">
        <v>2629</v>
      </c>
      <c r="C1287" s="4" t="s">
        <v>2630</v>
      </c>
      <c r="D1287" s="7" t="s">
        <v>2734</v>
      </c>
      <c r="E1287" s="4" t="s">
        <v>2632</v>
      </c>
      <c r="F1287" s="4" t="s">
        <v>6</v>
      </c>
      <c r="G1287" s="8"/>
      <c r="H1287" s="6" t="str">
        <f aca="false">IF(G1287="","",G1287/SUMIFS($G$2:$G$1462,$F$2:$F$1462,"Served"))</f>
        <v/>
      </c>
      <c r="I1287" s="4" t="str">
        <f aca="false">IF(G1287="","",RANK(G1287,$G$2:$G$1462,0))</f>
        <v/>
      </c>
      <c r="J1287" s="4" t="s">
        <v>34</v>
      </c>
    </row>
    <row r="1288" customFormat="false" ht="15" hidden="false" customHeight="false" outlineLevel="0" collapsed="false">
      <c r="A1288" s="4" t="s">
        <v>2735</v>
      </c>
      <c r="B1288" s="4" t="s">
        <v>2629</v>
      </c>
      <c r="C1288" s="4" t="s">
        <v>2630</v>
      </c>
      <c r="D1288" s="7" t="s">
        <v>2736</v>
      </c>
      <c r="E1288" s="4" t="s">
        <v>2632</v>
      </c>
      <c r="F1288" s="4" t="s">
        <v>6</v>
      </c>
      <c r="G1288" s="8"/>
      <c r="H1288" s="6" t="str">
        <f aca="false">IF(G1288="","",G1288/SUMIFS($G$2:$G$1462,$F$2:$F$1462,"Served"))</f>
        <v/>
      </c>
      <c r="I1288" s="4" t="str">
        <f aca="false">IF(G1288="","",RANK(G1288,$G$2:$G$1462,0))</f>
        <v/>
      </c>
      <c r="J1288" s="4" t="s">
        <v>34</v>
      </c>
    </row>
    <row r="1289" customFormat="false" ht="15" hidden="false" customHeight="false" outlineLevel="0" collapsed="false">
      <c r="A1289" s="4" t="s">
        <v>2737</v>
      </c>
      <c r="B1289" s="4" t="s">
        <v>2629</v>
      </c>
      <c r="C1289" s="4" t="s">
        <v>2630</v>
      </c>
      <c r="D1289" s="7" t="s">
        <v>2738</v>
      </c>
      <c r="E1289" s="4" t="s">
        <v>2632</v>
      </c>
      <c r="F1289" s="4" t="s">
        <v>6</v>
      </c>
      <c r="G1289" s="8"/>
      <c r="H1289" s="6" t="str">
        <f aca="false">IF(G1289="","",G1289/SUMIFS($G$2:$G$1462,$F$2:$F$1462,"Served"))</f>
        <v/>
      </c>
      <c r="I1289" s="4" t="str">
        <f aca="false">IF(G1289="","",RANK(G1289,$G$2:$G$1462,0))</f>
        <v/>
      </c>
      <c r="J1289" s="4" t="s">
        <v>34</v>
      </c>
    </row>
    <row r="1290" customFormat="false" ht="15" hidden="false" customHeight="false" outlineLevel="0" collapsed="false">
      <c r="A1290" s="4" t="s">
        <v>2739</v>
      </c>
      <c r="B1290" s="4" t="s">
        <v>2629</v>
      </c>
      <c r="C1290" s="4" t="s">
        <v>2630</v>
      </c>
      <c r="D1290" s="7" t="s">
        <v>2740</v>
      </c>
      <c r="E1290" s="4" t="s">
        <v>2632</v>
      </c>
      <c r="F1290" s="4" t="s">
        <v>6</v>
      </c>
      <c r="G1290" s="8"/>
      <c r="H1290" s="6" t="str">
        <f aca="false">IF(G1290="","",G1290/SUMIFS($G$2:$G$1462,$F$2:$F$1462,"Served"))</f>
        <v/>
      </c>
      <c r="I1290" s="4" t="str">
        <f aca="false">IF(G1290="","",RANK(G1290,$G$2:$G$1462,0))</f>
        <v/>
      </c>
      <c r="J1290" s="4" t="s">
        <v>34</v>
      </c>
    </row>
    <row r="1291" customFormat="false" ht="15" hidden="false" customHeight="false" outlineLevel="0" collapsed="false">
      <c r="A1291" s="4" t="s">
        <v>2741</v>
      </c>
      <c r="B1291" s="4" t="s">
        <v>2629</v>
      </c>
      <c r="C1291" s="4" t="s">
        <v>2630</v>
      </c>
      <c r="D1291" s="7" t="s">
        <v>2742</v>
      </c>
      <c r="E1291" s="4" t="s">
        <v>2632</v>
      </c>
      <c r="F1291" s="4" t="s">
        <v>6</v>
      </c>
      <c r="G1291" s="8"/>
      <c r="H1291" s="6" t="str">
        <f aca="false">IF(G1291="","",G1291/SUMIFS($G$2:$G$1462,$F$2:$F$1462,"Served"))</f>
        <v/>
      </c>
      <c r="I1291" s="4" t="str">
        <f aca="false">IF(G1291="","",RANK(G1291,$G$2:$G$1462,0))</f>
        <v/>
      </c>
      <c r="J1291" s="4" t="s">
        <v>34</v>
      </c>
    </row>
    <row r="1292" customFormat="false" ht="15" hidden="false" customHeight="false" outlineLevel="0" collapsed="false">
      <c r="A1292" s="4" t="s">
        <v>2743</v>
      </c>
      <c r="B1292" s="4" t="s">
        <v>2629</v>
      </c>
      <c r="C1292" s="4" t="s">
        <v>2630</v>
      </c>
      <c r="D1292" s="7" t="s">
        <v>2744</v>
      </c>
      <c r="E1292" s="4" t="s">
        <v>2632</v>
      </c>
      <c r="F1292" s="4" t="s">
        <v>6</v>
      </c>
      <c r="G1292" s="8"/>
      <c r="H1292" s="6" t="str">
        <f aca="false">IF(G1292="","",G1292/SUMIFS($G$2:$G$1462,$F$2:$F$1462,"Served"))</f>
        <v/>
      </c>
      <c r="I1292" s="4" t="str">
        <f aca="false">IF(G1292="","",RANK(G1292,$G$2:$G$1462,0))</f>
        <v/>
      </c>
      <c r="J1292" s="4" t="s">
        <v>34</v>
      </c>
    </row>
    <row r="1293" customFormat="false" ht="15" hidden="false" customHeight="false" outlineLevel="0" collapsed="false">
      <c r="A1293" s="4" t="s">
        <v>2745</v>
      </c>
      <c r="B1293" s="4" t="s">
        <v>2629</v>
      </c>
      <c r="C1293" s="4" t="s">
        <v>2630</v>
      </c>
      <c r="D1293" s="7" t="s">
        <v>2746</v>
      </c>
      <c r="E1293" s="4" t="s">
        <v>2632</v>
      </c>
      <c r="F1293" s="4" t="s">
        <v>6</v>
      </c>
      <c r="G1293" s="8"/>
      <c r="H1293" s="6" t="str">
        <f aca="false">IF(G1293="","",G1293/SUMIFS($G$2:$G$1462,$F$2:$F$1462,"Served"))</f>
        <v/>
      </c>
      <c r="I1293" s="4" t="str">
        <f aca="false">IF(G1293="","",RANK(G1293,$G$2:$G$1462,0))</f>
        <v/>
      </c>
      <c r="J1293" s="4" t="s">
        <v>34</v>
      </c>
    </row>
    <row r="1294" customFormat="false" ht="15" hidden="false" customHeight="false" outlineLevel="0" collapsed="false">
      <c r="A1294" s="4" t="s">
        <v>2747</v>
      </c>
      <c r="B1294" s="4" t="s">
        <v>2629</v>
      </c>
      <c r="C1294" s="4" t="s">
        <v>2630</v>
      </c>
      <c r="D1294" s="7" t="s">
        <v>2748</v>
      </c>
      <c r="E1294" s="4" t="s">
        <v>2632</v>
      </c>
      <c r="F1294" s="4" t="s">
        <v>6</v>
      </c>
      <c r="G1294" s="8"/>
      <c r="H1294" s="6" t="str">
        <f aca="false">IF(G1294="","",G1294/SUMIFS($G$2:$G$1462,$F$2:$F$1462,"Served"))</f>
        <v/>
      </c>
      <c r="I1294" s="4" t="str">
        <f aca="false">IF(G1294="","",RANK(G1294,$G$2:$G$1462,0))</f>
        <v/>
      </c>
      <c r="J1294" s="4" t="s">
        <v>34</v>
      </c>
    </row>
    <row r="1295" customFormat="false" ht="15" hidden="false" customHeight="false" outlineLevel="0" collapsed="false">
      <c r="A1295" s="4" t="s">
        <v>2749</v>
      </c>
      <c r="B1295" s="4" t="s">
        <v>2629</v>
      </c>
      <c r="C1295" s="4" t="s">
        <v>2630</v>
      </c>
      <c r="D1295" s="7" t="s">
        <v>2750</v>
      </c>
      <c r="E1295" s="4" t="s">
        <v>2632</v>
      </c>
      <c r="F1295" s="4" t="s">
        <v>6</v>
      </c>
      <c r="G1295" s="8"/>
      <c r="H1295" s="6" t="str">
        <f aca="false">IF(G1295="","",G1295/SUMIFS($G$2:$G$1462,$F$2:$F$1462,"Served"))</f>
        <v/>
      </c>
      <c r="I1295" s="4" t="str">
        <f aca="false">IF(G1295="","",RANK(G1295,$G$2:$G$1462,0))</f>
        <v/>
      </c>
      <c r="J1295" s="4" t="s">
        <v>34</v>
      </c>
    </row>
    <row r="1296" customFormat="false" ht="15" hidden="false" customHeight="false" outlineLevel="0" collapsed="false">
      <c r="A1296" s="4" t="s">
        <v>2751</v>
      </c>
      <c r="B1296" s="4" t="s">
        <v>2629</v>
      </c>
      <c r="C1296" s="4" t="s">
        <v>2630</v>
      </c>
      <c r="D1296" s="7" t="s">
        <v>2752</v>
      </c>
      <c r="E1296" s="4" t="s">
        <v>2632</v>
      </c>
      <c r="F1296" s="4" t="s">
        <v>6</v>
      </c>
      <c r="G1296" s="8"/>
      <c r="H1296" s="6" t="str">
        <f aca="false">IF(G1296="","",G1296/SUMIFS($G$2:$G$1462,$F$2:$F$1462,"Served"))</f>
        <v/>
      </c>
      <c r="I1296" s="4" t="str">
        <f aca="false">IF(G1296="","",RANK(G1296,$G$2:$G$1462,0))</f>
        <v/>
      </c>
      <c r="J1296" s="4" t="s">
        <v>34</v>
      </c>
    </row>
    <row r="1297" customFormat="false" ht="15" hidden="false" customHeight="false" outlineLevel="0" collapsed="false">
      <c r="A1297" s="4" t="s">
        <v>2753</v>
      </c>
      <c r="B1297" s="4" t="s">
        <v>2629</v>
      </c>
      <c r="C1297" s="4" t="s">
        <v>2630</v>
      </c>
      <c r="D1297" s="7" t="s">
        <v>2754</v>
      </c>
      <c r="E1297" s="4" t="s">
        <v>2632</v>
      </c>
      <c r="F1297" s="4" t="s">
        <v>6</v>
      </c>
      <c r="G1297" s="8"/>
      <c r="H1297" s="6" t="str">
        <f aca="false">IF(G1297="","",G1297/SUMIFS($G$2:$G$1462,$F$2:$F$1462,"Served"))</f>
        <v/>
      </c>
      <c r="I1297" s="4" t="str">
        <f aca="false">IF(G1297="","",RANK(G1297,$G$2:$G$1462,0))</f>
        <v/>
      </c>
      <c r="J1297" s="4" t="s">
        <v>34</v>
      </c>
    </row>
    <row r="1298" customFormat="false" ht="15" hidden="false" customHeight="false" outlineLevel="0" collapsed="false">
      <c r="A1298" s="4" t="s">
        <v>2755</v>
      </c>
      <c r="B1298" s="4" t="s">
        <v>2629</v>
      </c>
      <c r="C1298" s="4" t="s">
        <v>2630</v>
      </c>
      <c r="D1298" s="7" t="s">
        <v>2756</v>
      </c>
      <c r="E1298" s="4" t="s">
        <v>2632</v>
      </c>
      <c r="F1298" s="4" t="s">
        <v>6</v>
      </c>
      <c r="G1298" s="8"/>
      <c r="H1298" s="6" t="str">
        <f aca="false">IF(G1298="","",G1298/SUMIFS($G$2:$G$1462,$F$2:$F$1462,"Served"))</f>
        <v/>
      </c>
      <c r="I1298" s="4" t="str">
        <f aca="false">IF(G1298="","",RANK(G1298,$G$2:$G$1462,0))</f>
        <v/>
      </c>
      <c r="J1298" s="4" t="s">
        <v>34</v>
      </c>
    </row>
    <row r="1299" customFormat="false" ht="15" hidden="false" customHeight="false" outlineLevel="0" collapsed="false">
      <c r="A1299" s="4" t="s">
        <v>2757</v>
      </c>
      <c r="B1299" s="4" t="s">
        <v>2629</v>
      </c>
      <c r="C1299" s="4" t="s">
        <v>2630</v>
      </c>
      <c r="D1299" s="7" t="s">
        <v>2758</v>
      </c>
      <c r="E1299" s="4" t="s">
        <v>2632</v>
      </c>
      <c r="F1299" s="4" t="s">
        <v>6</v>
      </c>
      <c r="G1299" s="8"/>
      <c r="H1299" s="6" t="str">
        <f aca="false">IF(G1299="","",G1299/SUMIFS($G$2:$G$1462,$F$2:$F$1462,"Served"))</f>
        <v/>
      </c>
      <c r="I1299" s="4" t="str">
        <f aca="false">IF(G1299="","",RANK(G1299,$G$2:$G$1462,0))</f>
        <v/>
      </c>
      <c r="J1299" s="4" t="s">
        <v>34</v>
      </c>
    </row>
    <row r="1300" customFormat="false" ht="15" hidden="false" customHeight="false" outlineLevel="0" collapsed="false">
      <c r="A1300" s="4" t="s">
        <v>2759</v>
      </c>
      <c r="B1300" s="4" t="s">
        <v>2760</v>
      </c>
      <c r="C1300" s="4" t="s">
        <v>2761</v>
      </c>
      <c r="D1300" s="7" t="s">
        <v>2762</v>
      </c>
      <c r="E1300" s="4" t="s">
        <v>2763</v>
      </c>
      <c r="F1300" s="4" t="s">
        <v>6</v>
      </c>
      <c r="G1300" s="8"/>
      <c r="H1300" s="6" t="str">
        <f aca="false">IF(G1300="","",G1300/SUMIFS($G$2:$G$1462,$F$2:$F$1462,"Served"))</f>
        <v/>
      </c>
      <c r="I1300" s="4" t="str">
        <f aca="false">IF(G1300="","",RANK(G1300,$G$2:$G$1462,0))</f>
        <v/>
      </c>
      <c r="J1300" s="4" t="s">
        <v>34</v>
      </c>
    </row>
    <row r="1301" customFormat="false" ht="15" hidden="false" customHeight="false" outlineLevel="0" collapsed="false">
      <c r="A1301" s="4" t="s">
        <v>2764</v>
      </c>
      <c r="B1301" s="4" t="s">
        <v>2760</v>
      </c>
      <c r="C1301" s="4" t="s">
        <v>2761</v>
      </c>
      <c r="D1301" s="7" t="s">
        <v>2765</v>
      </c>
      <c r="E1301" s="4" t="s">
        <v>2763</v>
      </c>
      <c r="F1301" s="4" t="s">
        <v>6</v>
      </c>
      <c r="G1301" s="8"/>
      <c r="H1301" s="6" t="str">
        <f aca="false">IF(G1301="","",G1301/SUMIFS($G$2:$G$1462,$F$2:$F$1462,"Served"))</f>
        <v/>
      </c>
      <c r="I1301" s="4" t="str">
        <f aca="false">IF(G1301="","",RANK(G1301,$G$2:$G$1462,0))</f>
        <v/>
      </c>
      <c r="J1301" s="4" t="s">
        <v>34</v>
      </c>
    </row>
    <row r="1302" customFormat="false" ht="15" hidden="false" customHeight="false" outlineLevel="0" collapsed="false">
      <c r="A1302" s="4" t="s">
        <v>2766</v>
      </c>
      <c r="B1302" s="4" t="s">
        <v>2760</v>
      </c>
      <c r="C1302" s="4" t="s">
        <v>2761</v>
      </c>
      <c r="D1302" s="7" t="s">
        <v>2767</v>
      </c>
      <c r="E1302" s="4" t="s">
        <v>2763</v>
      </c>
      <c r="F1302" s="4" t="s">
        <v>6</v>
      </c>
      <c r="G1302" s="8"/>
      <c r="H1302" s="6" t="str">
        <f aca="false">IF(G1302="","",G1302/SUMIFS($G$2:$G$1462,$F$2:$F$1462,"Served"))</f>
        <v/>
      </c>
      <c r="I1302" s="4" t="str">
        <f aca="false">IF(G1302="","",RANK(G1302,$G$2:$G$1462,0))</f>
        <v/>
      </c>
      <c r="J1302" s="4" t="s">
        <v>34</v>
      </c>
    </row>
    <row r="1303" customFormat="false" ht="15" hidden="false" customHeight="false" outlineLevel="0" collapsed="false">
      <c r="A1303" s="4" t="s">
        <v>2768</v>
      </c>
      <c r="B1303" s="4" t="s">
        <v>2760</v>
      </c>
      <c r="C1303" s="4" t="s">
        <v>2761</v>
      </c>
      <c r="D1303" s="7" t="s">
        <v>2769</v>
      </c>
      <c r="E1303" s="4" t="s">
        <v>2763</v>
      </c>
      <c r="F1303" s="4" t="s">
        <v>6</v>
      </c>
      <c r="G1303" s="8"/>
      <c r="H1303" s="6" t="str">
        <f aca="false">IF(G1303="","",G1303/SUMIFS($G$2:$G$1462,$F$2:$F$1462,"Served"))</f>
        <v/>
      </c>
      <c r="I1303" s="4" t="str">
        <f aca="false">IF(G1303="","",RANK(G1303,$G$2:$G$1462,0))</f>
        <v/>
      </c>
      <c r="J1303" s="4" t="s">
        <v>34</v>
      </c>
    </row>
    <row r="1304" customFormat="false" ht="15" hidden="false" customHeight="false" outlineLevel="0" collapsed="false">
      <c r="A1304" s="4" t="s">
        <v>2770</v>
      </c>
      <c r="B1304" s="4" t="s">
        <v>2760</v>
      </c>
      <c r="C1304" s="4" t="s">
        <v>2761</v>
      </c>
      <c r="D1304" s="7" t="s">
        <v>2771</v>
      </c>
      <c r="E1304" s="4" t="s">
        <v>2763</v>
      </c>
      <c r="F1304" s="4" t="s">
        <v>6</v>
      </c>
      <c r="G1304" s="8"/>
      <c r="H1304" s="6" t="str">
        <f aca="false">IF(G1304="","",G1304/SUMIFS($G$2:$G$1462,$F$2:$F$1462,"Served"))</f>
        <v/>
      </c>
      <c r="I1304" s="4" t="str">
        <f aca="false">IF(G1304="","",RANK(G1304,$G$2:$G$1462,0))</f>
        <v/>
      </c>
      <c r="J1304" s="4" t="s">
        <v>34</v>
      </c>
    </row>
    <row r="1305" customFormat="false" ht="15" hidden="false" customHeight="false" outlineLevel="0" collapsed="false">
      <c r="A1305" s="4" t="s">
        <v>2772</v>
      </c>
      <c r="B1305" s="4" t="s">
        <v>2760</v>
      </c>
      <c r="C1305" s="4" t="s">
        <v>2761</v>
      </c>
      <c r="D1305" s="7" t="s">
        <v>2773</v>
      </c>
      <c r="E1305" s="4" t="s">
        <v>2763</v>
      </c>
      <c r="F1305" s="4" t="s">
        <v>6</v>
      </c>
      <c r="G1305" s="8"/>
      <c r="H1305" s="6" t="str">
        <f aca="false">IF(G1305="","",G1305/SUMIFS($G$2:$G$1462,$F$2:$F$1462,"Served"))</f>
        <v/>
      </c>
      <c r="I1305" s="4" t="str">
        <f aca="false">IF(G1305="","",RANK(G1305,$G$2:$G$1462,0))</f>
        <v/>
      </c>
      <c r="J1305" s="4" t="s">
        <v>34</v>
      </c>
    </row>
    <row r="1306" customFormat="false" ht="15" hidden="false" customHeight="false" outlineLevel="0" collapsed="false">
      <c r="A1306" s="4" t="s">
        <v>2774</v>
      </c>
      <c r="B1306" s="4" t="s">
        <v>2760</v>
      </c>
      <c r="C1306" s="4" t="s">
        <v>2761</v>
      </c>
      <c r="D1306" s="7" t="s">
        <v>2775</v>
      </c>
      <c r="E1306" s="4" t="s">
        <v>2763</v>
      </c>
      <c r="F1306" s="4" t="s">
        <v>6</v>
      </c>
      <c r="G1306" s="8"/>
      <c r="H1306" s="6" t="str">
        <f aca="false">IF(G1306="","",G1306/SUMIFS($G$2:$G$1462,$F$2:$F$1462,"Served"))</f>
        <v/>
      </c>
      <c r="I1306" s="4" t="str">
        <f aca="false">IF(G1306="","",RANK(G1306,$G$2:$G$1462,0))</f>
        <v/>
      </c>
      <c r="J1306" s="4" t="s">
        <v>34</v>
      </c>
    </row>
    <row r="1307" customFormat="false" ht="15" hidden="false" customHeight="false" outlineLevel="0" collapsed="false">
      <c r="A1307" s="4" t="s">
        <v>2776</v>
      </c>
      <c r="B1307" s="4" t="s">
        <v>2760</v>
      </c>
      <c r="C1307" s="4" t="s">
        <v>2761</v>
      </c>
      <c r="D1307" s="7" t="s">
        <v>2777</v>
      </c>
      <c r="E1307" s="4" t="s">
        <v>2763</v>
      </c>
      <c r="F1307" s="4" t="s">
        <v>6</v>
      </c>
      <c r="G1307" s="8"/>
      <c r="H1307" s="6" t="str">
        <f aca="false">IF(G1307="","",G1307/SUMIFS($G$2:$G$1462,$F$2:$F$1462,"Served"))</f>
        <v/>
      </c>
      <c r="I1307" s="4" t="str">
        <f aca="false">IF(G1307="","",RANK(G1307,$G$2:$G$1462,0))</f>
        <v/>
      </c>
      <c r="J1307" s="4" t="s">
        <v>34</v>
      </c>
    </row>
    <row r="1308" customFormat="false" ht="15" hidden="false" customHeight="false" outlineLevel="0" collapsed="false">
      <c r="A1308" s="4" t="s">
        <v>2778</v>
      </c>
      <c r="B1308" s="4" t="s">
        <v>2760</v>
      </c>
      <c r="C1308" s="4" t="s">
        <v>2761</v>
      </c>
      <c r="D1308" s="7" t="s">
        <v>2779</v>
      </c>
      <c r="E1308" s="4" t="s">
        <v>2763</v>
      </c>
      <c r="F1308" s="4" t="s">
        <v>6</v>
      </c>
      <c r="G1308" s="8"/>
      <c r="H1308" s="6" t="str">
        <f aca="false">IF(G1308="","",G1308/SUMIFS($G$2:$G$1462,$F$2:$F$1462,"Served"))</f>
        <v/>
      </c>
      <c r="I1308" s="4" t="str">
        <f aca="false">IF(G1308="","",RANK(G1308,$G$2:$G$1462,0))</f>
        <v/>
      </c>
      <c r="J1308" s="4" t="s">
        <v>34</v>
      </c>
    </row>
    <row r="1309" customFormat="false" ht="15" hidden="false" customHeight="false" outlineLevel="0" collapsed="false">
      <c r="A1309" s="4" t="s">
        <v>2780</v>
      </c>
      <c r="B1309" s="4" t="s">
        <v>2760</v>
      </c>
      <c r="C1309" s="4" t="s">
        <v>2761</v>
      </c>
      <c r="D1309" s="7" t="s">
        <v>2781</v>
      </c>
      <c r="E1309" s="4" t="s">
        <v>2763</v>
      </c>
      <c r="F1309" s="4" t="s">
        <v>6</v>
      </c>
      <c r="G1309" s="8"/>
      <c r="H1309" s="6" t="str">
        <f aca="false">IF(G1309="","",G1309/SUMIFS($G$2:$G$1462,$F$2:$F$1462,"Served"))</f>
        <v/>
      </c>
      <c r="I1309" s="4" t="str">
        <f aca="false">IF(G1309="","",RANK(G1309,$G$2:$G$1462,0))</f>
        <v/>
      </c>
      <c r="J1309" s="4" t="s">
        <v>34</v>
      </c>
    </row>
    <row r="1310" customFormat="false" ht="15" hidden="false" customHeight="false" outlineLevel="0" collapsed="false">
      <c r="A1310" s="4" t="s">
        <v>2782</v>
      </c>
      <c r="B1310" s="4" t="s">
        <v>2760</v>
      </c>
      <c r="C1310" s="4" t="s">
        <v>2761</v>
      </c>
      <c r="D1310" s="7" t="s">
        <v>2783</v>
      </c>
      <c r="E1310" s="4" t="s">
        <v>2763</v>
      </c>
      <c r="F1310" s="4" t="s">
        <v>6</v>
      </c>
      <c r="G1310" s="8"/>
      <c r="H1310" s="6" t="str">
        <f aca="false">IF(G1310="","",G1310/SUMIFS($G$2:$G$1462,$F$2:$F$1462,"Served"))</f>
        <v/>
      </c>
      <c r="I1310" s="4" t="str">
        <f aca="false">IF(G1310="","",RANK(G1310,$G$2:$G$1462,0))</f>
        <v/>
      </c>
      <c r="J1310" s="4" t="s">
        <v>34</v>
      </c>
    </row>
    <row r="1311" customFormat="false" ht="15" hidden="false" customHeight="false" outlineLevel="0" collapsed="false">
      <c r="A1311" s="4" t="s">
        <v>2784</v>
      </c>
      <c r="B1311" s="4" t="s">
        <v>2760</v>
      </c>
      <c r="C1311" s="4" t="s">
        <v>2761</v>
      </c>
      <c r="D1311" s="7" t="s">
        <v>2785</v>
      </c>
      <c r="E1311" s="4" t="s">
        <v>2763</v>
      </c>
      <c r="F1311" s="4" t="s">
        <v>6</v>
      </c>
      <c r="G1311" s="8"/>
      <c r="H1311" s="6" t="str">
        <f aca="false">IF(G1311="","",G1311/SUMIFS($G$2:$G$1462,$F$2:$F$1462,"Served"))</f>
        <v/>
      </c>
      <c r="I1311" s="4" t="str">
        <f aca="false">IF(G1311="","",RANK(G1311,$G$2:$G$1462,0))</f>
        <v/>
      </c>
      <c r="J1311" s="4" t="s">
        <v>34</v>
      </c>
    </row>
    <row r="1312" customFormat="false" ht="15" hidden="false" customHeight="false" outlineLevel="0" collapsed="false">
      <c r="A1312" s="4" t="s">
        <v>2786</v>
      </c>
      <c r="B1312" s="4" t="s">
        <v>2760</v>
      </c>
      <c r="C1312" s="4" t="s">
        <v>2761</v>
      </c>
      <c r="D1312" s="7" t="s">
        <v>2787</v>
      </c>
      <c r="E1312" s="4" t="s">
        <v>2763</v>
      </c>
      <c r="F1312" s="4" t="s">
        <v>6</v>
      </c>
      <c r="G1312" s="8"/>
      <c r="H1312" s="6" t="str">
        <f aca="false">IF(G1312="","",G1312/SUMIFS($G$2:$G$1462,$F$2:$F$1462,"Served"))</f>
        <v/>
      </c>
      <c r="I1312" s="4" t="str">
        <f aca="false">IF(G1312="","",RANK(G1312,$G$2:$G$1462,0))</f>
        <v/>
      </c>
      <c r="J1312" s="4" t="s">
        <v>34</v>
      </c>
    </row>
    <row r="1313" customFormat="false" ht="15" hidden="false" customHeight="false" outlineLevel="0" collapsed="false">
      <c r="A1313" s="4" t="s">
        <v>2788</v>
      </c>
      <c r="B1313" s="4" t="s">
        <v>2760</v>
      </c>
      <c r="C1313" s="4" t="s">
        <v>2761</v>
      </c>
      <c r="D1313" s="7" t="s">
        <v>2789</v>
      </c>
      <c r="E1313" s="4" t="s">
        <v>2763</v>
      </c>
      <c r="F1313" s="4" t="s">
        <v>6</v>
      </c>
      <c r="G1313" s="8"/>
      <c r="H1313" s="6" t="str">
        <f aca="false">IF(G1313="","",G1313/SUMIFS($G$2:$G$1462,$F$2:$F$1462,"Served"))</f>
        <v/>
      </c>
      <c r="I1313" s="4" t="str">
        <f aca="false">IF(G1313="","",RANK(G1313,$G$2:$G$1462,0))</f>
        <v/>
      </c>
      <c r="J1313" s="4" t="s">
        <v>34</v>
      </c>
    </row>
    <row r="1314" customFormat="false" ht="15" hidden="false" customHeight="false" outlineLevel="0" collapsed="false">
      <c r="A1314" s="4" t="s">
        <v>2790</v>
      </c>
      <c r="B1314" s="4" t="s">
        <v>2760</v>
      </c>
      <c r="C1314" s="4" t="s">
        <v>2761</v>
      </c>
      <c r="D1314" s="7" t="s">
        <v>2791</v>
      </c>
      <c r="E1314" s="4" t="s">
        <v>2763</v>
      </c>
      <c r="F1314" s="4" t="s">
        <v>6</v>
      </c>
      <c r="G1314" s="8"/>
      <c r="H1314" s="6" t="str">
        <f aca="false">IF(G1314="","",G1314/SUMIFS($G$2:$G$1462,$F$2:$F$1462,"Served"))</f>
        <v/>
      </c>
      <c r="I1314" s="4" t="str">
        <f aca="false">IF(G1314="","",RANK(G1314,$G$2:$G$1462,0))</f>
        <v/>
      </c>
      <c r="J1314" s="4" t="s">
        <v>34</v>
      </c>
    </row>
    <row r="1315" customFormat="false" ht="15" hidden="false" customHeight="false" outlineLevel="0" collapsed="false">
      <c r="A1315" s="4" t="s">
        <v>2792</v>
      </c>
      <c r="B1315" s="4" t="s">
        <v>2760</v>
      </c>
      <c r="C1315" s="4" t="s">
        <v>2761</v>
      </c>
      <c r="D1315" s="7" t="s">
        <v>2793</v>
      </c>
      <c r="E1315" s="4" t="s">
        <v>2763</v>
      </c>
      <c r="F1315" s="4" t="s">
        <v>6</v>
      </c>
      <c r="G1315" s="8"/>
      <c r="H1315" s="6" t="str">
        <f aca="false">IF(G1315="","",G1315/SUMIFS($G$2:$G$1462,$F$2:$F$1462,"Served"))</f>
        <v/>
      </c>
      <c r="I1315" s="4" t="str">
        <f aca="false">IF(G1315="","",RANK(G1315,$G$2:$G$1462,0))</f>
        <v/>
      </c>
      <c r="J1315" s="4" t="s">
        <v>34</v>
      </c>
    </row>
    <row r="1316" customFormat="false" ht="15" hidden="false" customHeight="false" outlineLevel="0" collapsed="false">
      <c r="A1316" s="4" t="s">
        <v>2794</v>
      </c>
      <c r="B1316" s="4" t="s">
        <v>2760</v>
      </c>
      <c r="C1316" s="4" t="s">
        <v>2761</v>
      </c>
      <c r="D1316" s="7" t="s">
        <v>2795</v>
      </c>
      <c r="E1316" s="4" t="s">
        <v>2763</v>
      </c>
      <c r="F1316" s="4" t="s">
        <v>6</v>
      </c>
      <c r="G1316" s="8"/>
      <c r="H1316" s="6" t="str">
        <f aca="false">IF(G1316="","",G1316/SUMIFS($G$2:$G$1462,$F$2:$F$1462,"Served"))</f>
        <v/>
      </c>
      <c r="I1316" s="4" t="str">
        <f aca="false">IF(G1316="","",RANK(G1316,$G$2:$G$1462,0))</f>
        <v/>
      </c>
      <c r="J1316" s="4" t="s">
        <v>34</v>
      </c>
    </row>
    <row r="1317" customFormat="false" ht="15" hidden="false" customHeight="false" outlineLevel="0" collapsed="false">
      <c r="A1317" s="4" t="s">
        <v>2796</v>
      </c>
      <c r="B1317" s="4" t="s">
        <v>2760</v>
      </c>
      <c r="C1317" s="4" t="s">
        <v>2761</v>
      </c>
      <c r="D1317" s="7" t="s">
        <v>2797</v>
      </c>
      <c r="E1317" s="4" t="s">
        <v>2763</v>
      </c>
      <c r="F1317" s="4" t="s">
        <v>6</v>
      </c>
      <c r="G1317" s="8"/>
      <c r="H1317" s="6" t="str">
        <f aca="false">IF(G1317="","",G1317/SUMIFS($G$2:$G$1462,$F$2:$F$1462,"Served"))</f>
        <v/>
      </c>
      <c r="I1317" s="4" t="str">
        <f aca="false">IF(G1317="","",RANK(G1317,$G$2:$G$1462,0))</f>
        <v/>
      </c>
      <c r="J1317" s="4" t="s">
        <v>34</v>
      </c>
    </row>
    <row r="1318" customFormat="false" ht="15" hidden="false" customHeight="false" outlineLevel="0" collapsed="false">
      <c r="A1318" s="4" t="s">
        <v>2798</v>
      </c>
      <c r="B1318" s="4" t="s">
        <v>2760</v>
      </c>
      <c r="C1318" s="4" t="s">
        <v>2761</v>
      </c>
      <c r="D1318" s="7" t="s">
        <v>2799</v>
      </c>
      <c r="E1318" s="4" t="s">
        <v>2763</v>
      </c>
      <c r="F1318" s="4" t="s">
        <v>6</v>
      </c>
      <c r="G1318" s="8"/>
      <c r="H1318" s="6" t="str">
        <f aca="false">IF(G1318="","",G1318/SUMIFS($G$2:$G$1462,$F$2:$F$1462,"Served"))</f>
        <v/>
      </c>
      <c r="I1318" s="4" t="str">
        <f aca="false">IF(G1318="","",RANK(G1318,$G$2:$G$1462,0))</f>
        <v/>
      </c>
      <c r="J1318" s="4" t="s">
        <v>34</v>
      </c>
    </row>
    <row r="1319" customFormat="false" ht="15" hidden="false" customHeight="false" outlineLevel="0" collapsed="false">
      <c r="A1319" s="4" t="s">
        <v>2800</v>
      </c>
      <c r="B1319" s="4" t="s">
        <v>2760</v>
      </c>
      <c r="C1319" s="4" t="s">
        <v>2761</v>
      </c>
      <c r="D1319" s="7" t="s">
        <v>2801</v>
      </c>
      <c r="E1319" s="4" t="s">
        <v>2763</v>
      </c>
      <c r="F1319" s="4" t="s">
        <v>6</v>
      </c>
      <c r="G1319" s="8"/>
      <c r="H1319" s="6" t="str">
        <f aca="false">IF(G1319="","",G1319/SUMIFS($G$2:$G$1462,$F$2:$F$1462,"Served"))</f>
        <v/>
      </c>
      <c r="I1319" s="4" t="str">
        <f aca="false">IF(G1319="","",RANK(G1319,$G$2:$G$1462,0))</f>
        <v/>
      </c>
      <c r="J1319" s="4" t="s">
        <v>34</v>
      </c>
    </row>
    <row r="1320" customFormat="false" ht="15" hidden="false" customHeight="false" outlineLevel="0" collapsed="false">
      <c r="A1320" s="4" t="s">
        <v>2802</v>
      </c>
      <c r="B1320" s="4" t="s">
        <v>2760</v>
      </c>
      <c r="C1320" s="4" t="s">
        <v>2761</v>
      </c>
      <c r="D1320" s="7" t="s">
        <v>2803</v>
      </c>
      <c r="E1320" s="4" t="s">
        <v>2763</v>
      </c>
      <c r="F1320" s="4" t="s">
        <v>6</v>
      </c>
      <c r="G1320" s="8"/>
      <c r="H1320" s="6" t="str">
        <f aca="false">IF(G1320="","",G1320/SUMIFS($G$2:$G$1462,$F$2:$F$1462,"Served"))</f>
        <v/>
      </c>
      <c r="I1320" s="4" t="str">
        <f aca="false">IF(G1320="","",RANK(G1320,$G$2:$G$1462,0))</f>
        <v/>
      </c>
      <c r="J1320" s="4" t="s">
        <v>34</v>
      </c>
    </row>
    <row r="1321" customFormat="false" ht="15" hidden="false" customHeight="false" outlineLevel="0" collapsed="false">
      <c r="A1321" s="4" t="s">
        <v>2804</v>
      </c>
      <c r="B1321" s="4" t="s">
        <v>2760</v>
      </c>
      <c r="C1321" s="4" t="s">
        <v>2761</v>
      </c>
      <c r="D1321" s="7" t="s">
        <v>2805</v>
      </c>
      <c r="E1321" s="4" t="s">
        <v>2763</v>
      </c>
      <c r="F1321" s="4" t="s">
        <v>6</v>
      </c>
      <c r="G1321" s="8"/>
      <c r="H1321" s="6" t="str">
        <f aca="false">IF(G1321="","",G1321/SUMIFS($G$2:$G$1462,$F$2:$F$1462,"Served"))</f>
        <v/>
      </c>
      <c r="I1321" s="4" t="str">
        <f aca="false">IF(G1321="","",RANK(G1321,$G$2:$G$1462,0))</f>
        <v/>
      </c>
      <c r="J1321" s="4" t="s">
        <v>34</v>
      </c>
    </row>
    <row r="1322" customFormat="false" ht="15" hidden="false" customHeight="false" outlineLevel="0" collapsed="false">
      <c r="A1322" s="4" t="s">
        <v>2806</v>
      </c>
      <c r="B1322" s="4" t="s">
        <v>2807</v>
      </c>
      <c r="C1322" s="4" t="s">
        <v>2808</v>
      </c>
      <c r="D1322" s="7" t="s">
        <v>2809</v>
      </c>
      <c r="E1322" s="4" t="s">
        <v>2810</v>
      </c>
      <c r="F1322" s="4" t="s">
        <v>6</v>
      </c>
      <c r="G1322" s="8"/>
      <c r="H1322" s="6" t="str">
        <f aca="false">IF(G1322="","",G1322/SUMIFS($G$2:$G$1462,$F$2:$F$1462,"Served"))</f>
        <v/>
      </c>
      <c r="I1322" s="4" t="str">
        <f aca="false">IF(G1322="","",RANK(G1322,$G$2:$G$1462,0))</f>
        <v/>
      </c>
      <c r="J1322" s="4" t="s">
        <v>34</v>
      </c>
    </row>
    <row r="1323" customFormat="false" ht="15" hidden="false" customHeight="false" outlineLevel="0" collapsed="false">
      <c r="A1323" s="4" t="s">
        <v>2811</v>
      </c>
      <c r="B1323" s="4" t="s">
        <v>2807</v>
      </c>
      <c r="C1323" s="4" t="s">
        <v>2808</v>
      </c>
      <c r="D1323" s="7" t="s">
        <v>2812</v>
      </c>
      <c r="E1323" s="4" t="s">
        <v>2810</v>
      </c>
      <c r="F1323" s="4" t="s">
        <v>6</v>
      </c>
      <c r="G1323" s="8"/>
      <c r="H1323" s="6" t="str">
        <f aca="false">IF(G1323="","",G1323/SUMIFS($G$2:$G$1462,$F$2:$F$1462,"Served"))</f>
        <v/>
      </c>
      <c r="I1323" s="4" t="str">
        <f aca="false">IF(G1323="","",RANK(G1323,$G$2:$G$1462,0))</f>
        <v/>
      </c>
      <c r="J1323" s="4" t="s">
        <v>34</v>
      </c>
    </row>
    <row r="1324" customFormat="false" ht="15" hidden="false" customHeight="false" outlineLevel="0" collapsed="false">
      <c r="A1324" s="4" t="s">
        <v>2813</v>
      </c>
      <c r="B1324" s="4" t="s">
        <v>2807</v>
      </c>
      <c r="C1324" s="4" t="s">
        <v>2808</v>
      </c>
      <c r="D1324" s="7" t="s">
        <v>2814</v>
      </c>
      <c r="E1324" s="4" t="s">
        <v>2810</v>
      </c>
      <c r="F1324" s="4" t="s">
        <v>6</v>
      </c>
      <c r="G1324" s="8"/>
      <c r="H1324" s="6" t="str">
        <f aca="false">IF(G1324="","",G1324/SUMIFS($G$2:$G$1462,$F$2:$F$1462,"Served"))</f>
        <v/>
      </c>
      <c r="I1324" s="4" t="str">
        <f aca="false">IF(G1324="","",RANK(G1324,$G$2:$G$1462,0))</f>
        <v/>
      </c>
      <c r="J1324" s="4" t="s">
        <v>34</v>
      </c>
    </row>
    <row r="1325" customFormat="false" ht="15" hidden="false" customHeight="false" outlineLevel="0" collapsed="false">
      <c r="A1325" s="4" t="s">
        <v>2815</v>
      </c>
      <c r="B1325" s="4" t="s">
        <v>2807</v>
      </c>
      <c r="C1325" s="4" t="s">
        <v>2808</v>
      </c>
      <c r="D1325" s="7" t="s">
        <v>2816</v>
      </c>
      <c r="E1325" s="4" t="s">
        <v>2810</v>
      </c>
      <c r="F1325" s="4" t="s">
        <v>6</v>
      </c>
      <c r="G1325" s="8"/>
      <c r="H1325" s="6" t="str">
        <f aca="false">IF(G1325="","",G1325/SUMIFS($G$2:$G$1462,$F$2:$F$1462,"Served"))</f>
        <v/>
      </c>
      <c r="I1325" s="4" t="str">
        <f aca="false">IF(G1325="","",RANK(G1325,$G$2:$G$1462,0))</f>
        <v/>
      </c>
      <c r="J1325" s="4" t="s">
        <v>34</v>
      </c>
    </row>
    <row r="1326" customFormat="false" ht="15" hidden="false" customHeight="false" outlineLevel="0" collapsed="false">
      <c r="A1326" s="4" t="s">
        <v>2817</v>
      </c>
      <c r="B1326" s="4" t="s">
        <v>2807</v>
      </c>
      <c r="C1326" s="4" t="s">
        <v>2808</v>
      </c>
      <c r="D1326" s="7" t="s">
        <v>2818</v>
      </c>
      <c r="E1326" s="4" t="s">
        <v>2810</v>
      </c>
      <c r="F1326" s="4" t="s">
        <v>6</v>
      </c>
      <c r="G1326" s="8"/>
      <c r="H1326" s="6" t="str">
        <f aca="false">IF(G1326="","",G1326/SUMIFS($G$2:$G$1462,$F$2:$F$1462,"Served"))</f>
        <v/>
      </c>
      <c r="I1326" s="4" t="str">
        <f aca="false">IF(G1326="","",RANK(G1326,$G$2:$G$1462,0))</f>
        <v/>
      </c>
      <c r="J1326" s="4" t="s">
        <v>34</v>
      </c>
    </row>
    <row r="1327" customFormat="false" ht="15" hidden="false" customHeight="false" outlineLevel="0" collapsed="false">
      <c r="A1327" s="4" t="s">
        <v>2819</v>
      </c>
      <c r="B1327" s="4" t="s">
        <v>2807</v>
      </c>
      <c r="C1327" s="4" t="s">
        <v>2808</v>
      </c>
      <c r="D1327" s="7" t="s">
        <v>2820</v>
      </c>
      <c r="E1327" s="4" t="s">
        <v>2810</v>
      </c>
      <c r="F1327" s="4" t="s">
        <v>6</v>
      </c>
      <c r="G1327" s="8"/>
      <c r="H1327" s="6" t="str">
        <f aca="false">IF(G1327="","",G1327/SUMIFS($G$2:$G$1462,$F$2:$F$1462,"Served"))</f>
        <v/>
      </c>
      <c r="I1327" s="4" t="str">
        <f aca="false">IF(G1327="","",RANK(G1327,$G$2:$G$1462,0))</f>
        <v/>
      </c>
      <c r="J1327" s="4" t="s">
        <v>34</v>
      </c>
    </row>
    <row r="1328" customFormat="false" ht="15" hidden="false" customHeight="false" outlineLevel="0" collapsed="false">
      <c r="A1328" s="4" t="s">
        <v>2821</v>
      </c>
      <c r="B1328" s="4" t="s">
        <v>2807</v>
      </c>
      <c r="C1328" s="4" t="s">
        <v>2808</v>
      </c>
      <c r="D1328" s="7" t="s">
        <v>2822</v>
      </c>
      <c r="E1328" s="4" t="s">
        <v>2810</v>
      </c>
      <c r="F1328" s="4" t="s">
        <v>6</v>
      </c>
      <c r="G1328" s="8"/>
      <c r="H1328" s="6" t="str">
        <f aca="false">IF(G1328="","",G1328/SUMIFS($G$2:$G$1462,$F$2:$F$1462,"Served"))</f>
        <v/>
      </c>
      <c r="I1328" s="4" t="str">
        <f aca="false">IF(G1328="","",RANK(G1328,$G$2:$G$1462,0))</f>
        <v/>
      </c>
      <c r="J1328" s="4" t="s">
        <v>34</v>
      </c>
    </row>
    <row r="1329" customFormat="false" ht="15" hidden="false" customHeight="false" outlineLevel="0" collapsed="false">
      <c r="A1329" s="4" t="s">
        <v>2823</v>
      </c>
      <c r="B1329" s="4" t="s">
        <v>2807</v>
      </c>
      <c r="C1329" s="4" t="s">
        <v>2808</v>
      </c>
      <c r="D1329" s="7" t="s">
        <v>2824</v>
      </c>
      <c r="E1329" s="4" t="s">
        <v>2810</v>
      </c>
      <c r="F1329" s="4" t="s">
        <v>6</v>
      </c>
      <c r="G1329" s="8"/>
      <c r="H1329" s="6" t="str">
        <f aca="false">IF(G1329="","",G1329/SUMIFS($G$2:$G$1462,$F$2:$F$1462,"Served"))</f>
        <v/>
      </c>
      <c r="I1329" s="4" t="str">
        <f aca="false">IF(G1329="","",RANK(G1329,$G$2:$G$1462,0))</f>
        <v/>
      </c>
      <c r="J1329" s="4" t="s">
        <v>34</v>
      </c>
    </row>
    <row r="1330" customFormat="false" ht="15" hidden="false" customHeight="false" outlineLevel="0" collapsed="false">
      <c r="A1330" s="4" t="s">
        <v>2825</v>
      </c>
      <c r="B1330" s="4" t="s">
        <v>2807</v>
      </c>
      <c r="C1330" s="4" t="s">
        <v>2808</v>
      </c>
      <c r="D1330" s="7" t="s">
        <v>2826</v>
      </c>
      <c r="E1330" s="4" t="s">
        <v>2810</v>
      </c>
      <c r="F1330" s="4" t="s">
        <v>6</v>
      </c>
      <c r="G1330" s="8"/>
      <c r="H1330" s="6" t="str">
        <f aca="false">IF(G1330="","",G1330/SUMIFS($G$2:$G$1462,$F$2:$F$1462,"Served"))</f>
        <v/>
      </c>
      <c r="I1330" s="4" t="str">
        <f aca="false">IF(G1330="","",RANK(G1330,$G$2:$G$1462,0))</f>
        <v/>
      </c>
      <c r="J1330" s="4" t="s">
        <v>34</v>
      </c>
    </row>
    <row r="1331" customFormat="false" ht="15" hidden="false" customHeight="false" outlineLevel="0" collapsed="false">
      <c r="A1331" s="4" t="s">
        <v>2827</v>
      </c>
      <c r="B1331" s="4" t="s">
        <v>2828</v>
      </c>
      <c r="C1331" s="4" t="s">
        <v>2829</v>
      </c>
      <c r="D1331" s="7" t="s">
        <v>2830</v>
      </c>
      <c r="E1331" s="4" t="s">
        <v>2831</v>
      </c>
      <c r="F1331" s="4" t="s">
        <v>6</v>
      </c>
      <c r="G1331" s="8"/>
      <c r="H1331" s="6" t="str">
        <f aca="false">IF(G1331="","",G1331/SUMIFS($G$2:$G$1462,$F$2:$F$1462,"Served"))</f>
        <v/>
      </c>
      <c r="I1331" s="4" t="str">
        <f aca="false">IF(G1331="","",RANK(G1331,$G$2:$G$1462,0))</f>
        <v/>
      </c>
      <c r="J1331" s="4" t="s">
        <v>34</v>
      </c>
    </row>
    <row r="1332" customFormat="false" ht="15" hidden="false" customHeight="false" outlineLevel="0" collapsed="false">
      <c r="A1332" s="4" t="s">
        <v>2832</v>
      </c>
      <c r="B1332" s="4" t="s">
        <v>2828</v>
      </c>
      <c r="C1332" s="4" t="s">
        <v>2829</v>
      </c>
      <c r="D1332" s="7" t="s">
        <v>2833</v>
      </c>
      <c r="E1332" s="4" t="s">
        <v>2831</v>
      </c>
      <c r="F1332" s="4" t="s">
        <v>6</v>
      </c>
      <c r="G1332" s="8"/>
      <c r="H1332" s="6" t="str">
        <f aca="false">IF(G1332="","",G1332/SUMIFS($G$2:$G$1462,$F$2:$F$1462,"Served"))</f>
        <v/>
      </c>
      <c r="I1332" s="4" t="str">
        <f aca="false">IF(G1332="","",RANK(G1332,$G$2:$G$1462,0))</f>
        <v/>
      </c>
      <c r="J1332" s="4" t="s">
        <v>34</v>
      </c>
    </row>
    <row r="1333" customFormat="false" ht="15" hidden="false" customHeight="false" outlineLevel="0" collapsed="false">
      <c r="A1333" s="4" t="s">
        <v>2834</v>
      </c>
      <c r="B1333" s="4" t="s">
        <v>2828</v>
      </c>
      <c r="C1333" s="4" t="s">
        <v>2829</v>
      </c>
      <c r="D1333" s="7" t="s">
        <v>2835</v>
      </c>
      <c r="E1333" s="4" t="s">
        <v>2831</v>
      </c>
      <c r="F1333" s="4" t="s">
        <v>6</v>
      </c>
      <c r="G1333" s="8"/>
      <c r="H1333" s="6" t="str">
        <f aca="false">IF(G1333="","",G1333/SUMIFS($G$2:$G$1462,$F$2:$F$1462,"Served"))</f>
        <v/>
      </c>
      <c r="I1333" s="4" t="str">
        <f aca="false">IF(G1333="","",RANK(G1333,$G$2:$G$1462,0))</f>
        <v/>
      </c>
      <c r="J1333" s="4" t="s">
        <v>34</v>
      </c>
    </row>
    <row r="1334" customFormat="false" ht="15" hidden="false" customHeight="false" outlineLevel="0" collapsed="false">
      <c r="A1334" s="4" t="s">
        <v>2836</v>
      </c>
      <c r="B1334" s="4" t="s">
        <v>2828</v>
      </c>
      <c r="C1334" s="4" t="s">
        <v>2829</v>
      </c>
      <c r="D1334" s="7" t="s">
        <v>2837</v>
      </c>
      <c r="E1334" s="4" t="s">
        <v>2831</v>
      </c>
      <c r="F1334" s="4" t="s">
        <v>6</v>
      </c>
      <c r="G1334" s="8"/>
      <c r="H1334" s="6" t="str">
        <f aca="false">IF(G1334="","",G1334/SUMIFS($G$2:$G$1462,$F$2:$F$1462,"Served"))</f>
        <v/>
      </c>
      <c r="I1334" s="4" t="str">
        <f aca="false">IF(G1334="","",RANK(G1334,$G$2:$G$1462,0))</f>
        <v/>
      </c>
      <c r="J1334" s="4" t="s">
        <v>34</v>
      </c>
    </row>
    <row r="1335" customFormat="false" ht="15" hidden="false" customHeight="false" outlineLevel="0" collapsed="false">
      <c r="A1335" s="4" t="s">
        <v>2838</v>
      </c>
      <c r="B1335" s="4" t="s">
        <v>2828</v>
      </c>
      <c r="C1335" s="4" t="s">
        <v>2829</v>
      </c>
      <c r="D1335" s="7" t="s">
        <v>2839</v>
      </c>
      <c r="E1335" s="4" t="s">
        <v>2831</v>
      </c>
      <c r="F1335" s="4" t="s">
        <v>6</v>
      </c>
      <c r="G1335" s="8"/>
      <c r="H1335" s="6" t="str">
        <f aca="false">IF(G1335="","",G1335/SUMIFS($G$2:$G$1462,$F$2:$F$1462,"Served"))</f>
        <v/>
      </c>
      <c r="I1335" s="4" t="str">
        <f aca="false">IF(G1335="","",RANK(G1335,$G$2:$G$1462,0))</f>
        <v/>
      </c>
      <c r="J1335" s="4" t="s">
        <v>34</v>
      </c>
    </row>
    <row r="1336" customFormat="false" ht="15" hidden="false" customHeight="false" outlineLevel="0" collapsed="false">
      <c r="A1336" s="4" t="s">
        <v>2840</v>
      </c>
      <c r="B1336" s="4" t="s">
        <v>2828</v>
      </c>
      <c r="C1336" s="4" t="s">
        <v>2829</v>
      </c>
      <c r="D1336" s="7" t="s">
        <v>2841</v>
      </c>
      <c r="E1336" s="4" t="s">
        <v>2831</v>
      </c>
      <c r="F1336" s="4" t="s">
        <v>6</v>
      </c>
      <c r="G1336" s="8"/>
      <c r="H1336" s="6" t="str">
        <f aca="false">IF(G1336="","",G1336/SUMIFS($G$2:$G$1462,$F$2:$F$1462,"Served"))</f>
        <v/>
      </c>
      <c r="I1336" s="4" t="str">
        <f aca="false">IF(G1336="","",RANK(G1336,$G$2:$G$1462,0))</f>
        <v/>
      </c>
      <c r="J1336" s="4" t="s">
        <v>34</v>
      </c>
    </row>
    <row r="1337" customFormat="false" ht="15" hidden="false" customHeight="false" outlineLevel="0" collapsed="false">
      <c r="A1337" s="4" t="s">
        <v>2842</v>
      </c>
      <c r="B1337" s="4" t="s">
        <v>2828</v>
      </c>
      <c r="C1337" s="4" t="s">
        <v>2829</v>
      </c>
      <c r="D1337" s="7" t="s">
        <v>2843</v>
      </c>
      <c r="E1337" s="4" t="s">
        <v>2831</v>
      </c>
      <c r="F1337" s="4" t="s">
        <v>6</v>
      </c>
      <c r="G1337" s="8"/>
      <c r="H1337" s="6" t="str">
        <f aca="false">IF(G1337="","",G1337/SUMIFS($G$2:$G$1462,$F$2:$F$1462,"Served"))</f>
        <v/>
      </c>
      <c r="I1337" s="4" t="str">
        <f aca="false">IF(G1337="","",RANK(G1337,$G$2:$G$1462,0))</f>
        <v/>
      </c>
      <c r="J1337" s="4" t="s">
        <v>34</v>
      </c>
    </row>
    <row r="1338" customFormat="false" ht="15" hidden="false" customHeight="false" outlineLevel="0" collapsed="false">
      <c r="A1338" s="4" t="s">
        <v>2844</v>
      </c>
      <c r="B1338" s="4" t="s">
        <v>2828</v>
      </c>
      <c r="C1338" s="4" t="s">
        <v>2829</v>
      </c>
      <c r="D1338" s="7" t="s">
        <v>2845</v>
      </c>
      <c r="E1338" s="4" t="s">
        <v>2831</v>
      </c>
      <c r="F1338" s="4" t="s">
        <v>6</v>
      </c>
      <c r="G1338" s="8"/>
      <c r="H1338" s="6" t="str">
        <f aca="false">IF(G1338="","",G1338/SUMIFS($G$2:$G$1462,$F$2:$F$1462,"Served"))</f>
        <v/>
      </c>
      <c r="I1338" s="4" t="str">
        <f aca="false">IF(G1338="","",RANK(G1338,$G$2:$G$1462,0))</f>
        <v/>
      </c>
      <c r="J1338" s="4" t="s">
        <v>34</v>
      </c>
    </row>
    <row r="1339" customFormat="false" ht="15" hidden="false" customHeight="false" outlineLevel="0" collapsed="false">
      <c r="A1339" s="4" t="s">
        <v>2846</v>
      </c>
      <c r="B1339" s="4" t="s">
        <v>2828</v>
      </c>
      <c r="C1339" s="4" t="s">
        <v>2829</v>
      </c>
      <c r="D1339" s="7" t="s">
        <v>2847</v>
      </c>
      <c r="E1339" s="4" t="s">
        <v>2831</v>
      </c>
      <c r="F1339" s="4" t="s">
        <v>6</v>
      </c>
      <c r="G1339" s="8"/>
      <c r="H1339" s="6" t="str">
        <f aca="false">IF(G1339="","",G1339/SUMIFS($G$2:$G$1462,$F$2:$F$1462,"Served"))</f>
        <v/>
      </c>
      <c r="I1339" s="4" t="str">
        <f aca="false">IF(G1339="","",RANK(G1339,$G$2:$G$1462,0))</f>
        <v/>
      </c>
      <c r="J1339" s="4" t="s">
        <v>34</v>
      </c>
    </row>
    <row r="1340" customFormat="false" ht="15" hidden="false" customHeight="false" outlineLevel="0" collapsed="false">
      <c r="A1340" s="4" t="s">
        <v>2848</v>
      </c>
      <c r="B1340" s="4" t="s">
        <v>2828</v>
      </c>
      <c r="C1340" s="4" t="s">
        <v>2829</v>
      </c>
      <c r="D1340" s="7" t="s">
        <v>2849</v>
      </c>
      <c r="E1340" s="4" t="s">
        <v>2831</v>
      </c>
      <c r="F1340" s="4" t="s">
        <v>6</v>
      </c>
      <c r="G1340" s="8"/>
      <c r="H1340" s="6" t="str">
        <f aca="false">IF(G1340="","",G1340/SUMIFS($G$2:$G$1462,$F$2:$F$1462,"Served"))</f>
        <v/>
      </c>
      <c r="I1340" s="4" t="str">
        <f aca="false">IF(G1340="","",RANK(G1340,$G$2:$G$1462,0))</f>
        <v/>
      </c>
      <c r="J1340" s="4" t="s">
        <v>34</v>
      </c>
    </row>
    <row r="1341" customFormat="false" ht="15" hidden="false" customHeight="false" outlineLevel="0" collapsed="false">
      <c r="A1341" s="4" t="s">
        <v>2850</v>
      </c>
      <c r="B1341" s="4" t="s">
        <v>2828</v>
      </c>
      <c r="C1341" s="4" t="s">
        <v>2829</v>
      </c>
      <c r="D1341" s="7" t="s">
        <v>2851</v>
      </c>
      <c r="E1341" s="4" t="s">
        <v>2831</v>
      </c>
      <c r="F1341" s="4" t="s">
        <v>6</v>
      </c>
      <c r="G1341" s="8"/>
      <c r="H1341" s="6" t="str">
        <f aca="false">IF(G1341="","",G1341/SUMIFS($G$2:$G$1462,$F$2:$F$1462,"Served"))</f>
        <v/>
      </c>
      <c r="I1341" s="4" t="str">
        <f aca="false">IF(G1341="","",RANK(G1341,$G$2:$G$1462,0))</f>
        <v/>
      </c>
      <c r="J1341" s="4" t="s">
        <v>34</v>
      </c>
    </row>
    <row r="1342" customFormat="false" ht="15" hidden="false" customHeight="false" outlineLevel="0" collapsed="false">
      <c r="A1342" s="4" t="s">
        <v>2852</v>
      </c>
      <c r="B1342" s="4" t="s">
        <v>2828</v>
      </c>
      <c r="C1342" s="4" t="s">
        <v>2829</v>
      </c>
      <c r="D1342" s="7" t="s">
        <v>2853</v>
      </c>
      <c r="E1342" s="4" t="s">
        <v>2831</v>
      </c>
      <c r="F1342" s="4" t="s">
        <v>6</v>
      </c>
      <c r="G1342" s="8"/>
      <c r="H1342" s="6" t="str">
        <f aca="false">IF(G1342="","",G1342/SUMIFS($G$2:$G$1462,$F$2:$F$1462,"Served"))</f>
        <v/>
      </c>
      <c r="I1342" s="4" t="str">
        <f aca="false">IF(G1342="","",RANK(G1342,$G$2:$G$1462,0))</f>
        <v/>
      </c>
      <c r="J1342" s="4" t="s">
        <v>34</v>
      </c>
    </row>
    <row r="1343" customFormat="false" ht="15" hidden="false" customHeight="false" outlineLevel="0" collapsed="false">
      <c r="A1343" s="4" t="s">
        <v>2854</v>
      </c>
      <c r="B1343" s="4" t="s">
        <v>2828</v>
      </c>
      <c r="C1343" s="4" t="s">
        <v>2829</v>
      </c>
      <c r="D1343" s="7" t="s">
        <v>2855</v>
      </c>
      <c r="E1343" s="4" t="s">
        <v>2831</v>
      </c>
      <c r="F1343" s="4" t="s">
        <v>6</v>
      </c>
      <c r="G1343" s="8"/>
      <c r="H1343" s="6" t="str">
        <f aca="false">IF(G1343="","",G1343/SUMIFS($G$2:$G$1462,$F$2:$F$1462,"Served"))</f>
        <v/>
      </c>
      <c r="I1343" s="4" t="str">
        <f aca="false">IF(G1343="","",RANK(G1343,$G$2:$G$1462,0))</f>
        <v/>
      </c>
      <c r="J1343" s="4" t="s">
        <v>34</v>
      </c>
    </row>
    <row r="1344" customFormat="false" ht="15" hidden="false" customHeight="false" outlineLevel="0" collapsed="false">
      <c r="A1344" s="4" t="s">
        <v>2856</v>
      </c>
      <c r="B1344" s="4" t="s">
        <v>2828</v>
      </c>
      <c r="C1344" s="4" t="s">
        <v>2829</v>
      </c>
      <c r="D1344" s="7" t="s">
        <v>2857</v>
      </c>
      <c r="E1344" s="4" t="s">
        <v>2831</v>
      </c>
      <c r="F1344" s="4" t="s">
        <v>6</v>
      </c>
      <c r="G1344" s="8"/>
      <c r="H1344" s="6" t="str">
        <f aca="false">IF(G1344="","",G1344/SUMIFS($G$2:$G$1462,$F$2:$F$1462,"Served"))</f>
        <v/>
      </c>
      <c r="I1344" s="4" t="str">
        <f aca="false">IF(G1344="","",RANK(G1344,$G$2:$G$1462,0))</f>
        <v/>
      </c>
      <c r="J1344" s="4" t="s">
        <v>34</v>
      </c>
    </row>
    <row r="1345" customFormat="false" ht="15" hidden="false" customHeight="false" outlineLevel="0" collapsed="false">
      <c r="A1345" s="4" t="s">
        <v>2858</v>
      </c>
      <c r="B1345" s="4" t="s">
        <v>2859</v>
      </c>
      <c r="C1345" s="4" t="s">
        <v>2860</v>
      </c>
      <c r="D1345" s="7" t="s">
        <v>2861</v>
      </c>
      <c r="E1345" s="4" t="s">
        <v>2862</v>
      </c>
      <c r="F1345" s="4" t="s">
        <v>6</v>
      </c>
      <c r="G1345" s="8"/>
      <c r="H1345" s="6" t="str">
        <f aca="false">IF(G1345="","",G1345/SUMIFS($G$2:$G$1462,$F$2:$F$1462,"Served"))</f>
        <v/>
      </c>
      <c r="I1345" s="4" t="str">
        <f aca="false">IF(G1345="","",RANK(G1345,$G$2:$G$1462,0))</f>
        <v/>
      </c>
      <c r="J1345" s="4" t="s">
        <v>34</v>
      </c>
    </row>
    <row r="1346" customFormat="false" ht="15" hidden="false" customHeight="false" outlineLevel="0" collapsed="false">
      <c r="A1346" s="4" t="s">
        <v>2863</v>
      </c>
      <c r="B1346" s="4" t="s">
        <v>2859</v>
      </c>
      <c r="C1346" s="4" t="s">
        <v>2860</v>
      </c>
      <c r="D1346" s="7" t="s">
        <v>2864</v>
      </c>
      <c r="E1346" s="4" t="s">
        <v>2862</v>
      </c>
      <c r="F1346" s="4" t="s">
        <v>6</v>
      </c>
      <c r="G1346" s="8"/>
      <c r="H1346" s="6" t="str">
        <f aca="false">IF(G1346="","",G1346/SUMIFS($G$2:$G$1462,$F$2:$F$1462,"Served"))</f>
        <v/>
      </c>
      <c r="I1346" s="4" t="str">
        <f aca="false">IF(G1346="","",RANK(G1346,$G$2:$G$1462,0))</f>
        <v/>
      </c>
      <c r="J1346" s="4" t="s">
        <v>34</v>
      </c>
    </row>
    <row r="1347" customFormat="false" ht="15" hidden="false" customHeight="false" outlineLevel="0" collapsed="false">
      <c r="A1347" s="4" t="s">
        <v>2865</v>
      </c>
      <c r="B1347" s="4" t="s">
        <v>2859</v>
      </c>
      <c r="C1347" s="4" t="s">
        <v>2860</v>
      </c>
      <c r="D1347" s="7" t="s">
        <v>2866</v>
      </c>
      <c r="E1347" s="4" t="s">
        <v>2862</v>
      </c>
      <c r="F1347" s="4" t="s">
        <v>6</v>
      </c>
      <c r="G1347" s="8"/>
      <c r="H1347" s="6" t="str">
        <f aca="false">IF(G1347="","",G1347/SUMIFS($G$2:$G$1462,$F$2:$F$1462,"Served"))</f>
        <v/>
      </c>
      <c r="I1347" s="4" t="str">
        <f aca="false">IF(G1347="","",RANK(G1347,$G$2:$G$1462,0))</f>
        <v/>
      </c>
      <c r="J1347" s="4" t="s">
        <v>34</v>
      </c>
    </row>
    <row r="1348" customFormat="false" ht="15" hidden="false" customHeight="false" outlineLevel="0" collapsed="false">
      <c r="A1348" s="4" t="s">
        <v>2867</v>
      </c>
      <c r="B1348" s="4" t="s">
        <v>2859</v>
      </c>
      <c r="C1348" s="4" t="s">
        <v>2860</v>
      </c>
      <c r="D1348" s="7" t="s">
        <v>2868</v>
      </c>
      <c r="E1348" s="4" t="s">
        <v>2862</v>
      </c>
      <c r="F1348" s="4" t="s">
        <v>6</v>
      </c>
      <c r="G1348" s="8"/>
      <c r="H1348" s="6" t="str">
        <f aca="false">IF(G1348="","",G1348/SUMIFS($G$2:$G$1462,$F$2:$F$1462,"Served"))</f>
        <v/>
      </c>
      <c r="I1348" s="4" t="str">
        <f aca="false">IF(G1348="","",RANK(G1348,$G$2:$G$1462,0))</f>
        <v/>
      </c>
      <c r="J1348" s="4" t="s">
        <v>34</v>
      </c>
    </row>
    <row r="1349" customFormat="false" ht="15" hidden="false" customHeight="false" outlineLevel="0" collapsed="false">
      <c r="A1349" s="4" t="s">
        <v>2869</v>
      </c>
      <c r="B1349" s="4" t="s">
        <v>2859</v>
      </c>
      <c r="C1349" s="4" t="s">
        <v>2860</v>
      </c>
      <c r="D1349" s="7" t="s">
        <v>2870</v>
      </c>
      <c r="E1349" s="4" t="s">
        <v>2862</v>
      </c>
      <c r="F1349" s="4" t="s">
        <v>6</v>
      </c>
      <c r="G1349" s="8"/>
      <c r="H1349" s="6" t="str">
        <f aca="false">IF(G1349="","",G1349/SUMIFS($G$2:$G$1462,$F$2:$F$1462,"Served"))</f>
        <v/>
      </c>
      <c r="I1349" s="4" t="str">
        <f aca="false">IF(G1349="","",RANK(G1349,$G$2:$G$1462,0))</f>
        <v/>
      </c>
      <c r="J1349" s="4" t="s">
        <v>34</v>
      </c>
    </row>
    <row r="1350" customFormat="false" ht="15" hidden="false" customHeight="false" outlineLevel="0" collapsed="false">
      <c r="A1350" s="4" t="s">
        <v>2871</v>
      </c>
      <c r="B1350" s="4" t="s">
        <v>2859</v>
      </c>
      <c r="C1350" s="4" t="s">
        <v>2860</v>
      </c>
      <c r="D1350" s="7" t="s">
        <v>2872</v>
      </c>
      <c r="E1350" s="4" t="s">
        <v>2862</v>
      </c>
      <c r="F1350" s="4" t="s">
        <v>6</v>
      </c>
      <c r="G1350" s="8"/>
      <c r="H1350" s="6" t="str">
        <f aca="false">IF(G1350="","",G1350/SUMIFS($G$2:$G$1462,$F$2:$F$1462,"Served"))</f>
        <v/>
      </c>
      <c r="I1350" s="4" t="str">
        <f aca="false">IF(G1350="","",RANK(G1350,$G$2:$G$1462,0))</f>
        <v/>
      </c>
      <c r="J1350" s="4" t="s">
        <v>34</v>
      </c>
    </row>
    <row r="1351" customFormat="false" ht="15" hidden="false" customHeight="false" outlineLevel="0" collapsed="false">
      <c r="A1351" s="4" t="s">
        <v>2873</v>
      </c>
      <c r="B1351" s="4" t="s">
        <v>2859</v>
      </c>
      <c r="C1351" s="4" t="s">
        <v>2860</v>
      </c>
      <c r="D1351" s="7" t="s">
        <v>2874</v>
      </c>
      <c r="E1351" s="4" t="s">
        <v>2862</v>
      </c>
      <c r="F1351" s="4" t="s">
        <v>6</v>
      </c>
      <c r="G1351" s="8"/>
      <c r="H1351" s="6" t="str">
        <f aca="false">IF(G1351="","",G1351/SUMIFS($G$2:$G$1462,$F$2:$F$1462,"Served"))</f>
        <v/>
      </c>
      <c r="I1351" s="4" t="str">
        <f aca="false">IF(G1351="","",RANK(G1351,$G$2:$G$1462,0))</f>
        <v/>
      </c>
      <c r="J1351" s="4" t="s">
        <v>34</v>
      </c>
    </row>
    <row r="1352" customFormat="false" ht="15" hidden="false" customHeight="false" outlineLevel="0" collapsed="false">
      <c r="A1352" s="4" t="s">
        <v>2875</v>
      </c>
      <c r="B1352" s="4" t="s">
        <v>2876</v>
      </c>
      <c r="C1352" s="4" t="s">
        <v>2877</v>
      </c>
      <c r="D1352" s="7" t="s">
        <v>2878</v>
      </c>
      <c r="E1352" s="4" t="s">
        <v>2879</v>
      </c>
      <c r="F1352" s="4" t="s">
        <v>6</v>
      </c>
      <c r="G1352" s="8"/>
      <c r="H1352" s="6" t="str">
        <f aca="false">IF(G1352="","",G1352/SUMIFS($G$2:$G$1462,$F$2:$F$1462,"Served"))</f>
        <v/>
      </c>
      <c r="I1352" s="4" t="str">
        <f aca="false">IF(G1352="","",RANK(G1352,$G$2:$G$1462,0))</f>
        <v/>
      </c>
      <c r="J1352" s="4" t="s">
        <v>34</v>
      </c>
    </row>
    <row r="1353" customFormat="false" ht="15" hidden="false" customHeight="false" outlineLevel="0" collapsed="false">
      <c r="A1353" s="4" t="s">
        <v>2880</v>
      </c>
      <c r="B1353" s="4" t="s">
        <v>2876</v>
      </c>
      <c r="C1353" s="4" t="s">
        <v>2877</v>
      </c>
      <c r="D1353" s="7" t="s">
        <v>2881</v>
      </c>
      <c r="E1353" s="4" t="s">
        <v>2879</v>
      </c>
      <c r="F1353" s="4" t="s">
        <v>6</v>
      </c>
      <c r="G1353" s="8"/>
      <c r="H1353" s="6" t="str">
        <f aca="false">IF(G1353="","",G1353/SUMIFS($G$2:$G$1462,$F$2:$F$1462,"Served"))</f>
        <v/>
      </c>
      <c r="I1353" s="4" t="str">
        <f aca="false">IF(G1353="","",RANK(G1353,$G$2:$G$1462,0))</f>
        <v/>
      </c>
      <c r="J1353" s="4" t="s">
        <v>34</v>
      </c>
    </row>
    <row r="1354" customFormat="false" ht="15" hidden="false" customHeight="false" outlineLevel="0" collapsed="false">
      <c r="A1354" s="4" t="s">
        <v>2882</v>
      </c>
      <c r="B1354" s="4" t="s">
        <v>2876</v>
      </c>
      <c r="C1354" s="4" t="s">
        <v>2877</v>
      </c>
      <c r="D1354" s="7" t="s">
        <v>2883</v>
      </c>
      <c r="E1354" s="4" t="s">
        <v>2879</v>
      </c>
      <c r="F1354" s="4" t="s">
        <v>6</v>
      </c>
      <c r="G1354" s="8"/>
      <c r="H1354" s="6" t="str">
        <f aca="false">IF(G1354="","",G1354/SUMIFS($G$2:$G$1462,$F$2:$F$1462,"Served"))</f>
        <v/>
      </c>
      <c r="I1354" s="4" t="str">
        <f aca="false">IF(G1354="","",RANK(G1354,$G$2:$G$1462,0))</f>
        <v/>
      </c>
      <c r="J1354" s="4" t="s">
        <v>34</v>
      </c>
    </row>
    <row r="1355" customFormat="false" ht="15" hidden="false" customHeight="false" outlineLevel="0" collapsed="false">
      <c r="A1355" s="4" t="s">
        <v>2884</v>
      </c>
      <c r="B1355" s="4" t="s">
        <v>2876</v>
      </c>
      <c r="C1355" s="4" t="s">
        <v>2877</v>
      </c>
      <c r="D1355" s="7" t="s">
        <v>2885</v>
      </c>
      <c r="E1355" s="4" t="s">
        <v>2879</v>
      </c>
      <c r="F1355" s="4" t="s">
        <v>6</v>
      </c>
      <c r="G1355" s="8"/>
      <c r="H1355" s="6" t="str">
        <f aca="false">IF(G1355="","",G1355/SUMIFS($G$2:$G$1462,$F$2:$F$1462,"Served"))</f>
        <v/>
      </c>
      <c r="I1355" s="4" t="str">
        <f aca="false">IF(G1355="","",RANK(G1355,$G$2:$G$1462,0))</f>
        <v/>
      </c>
      <c r="J1355" s="4" t="s">
        <v>34</v>
      </c>
    </row>
    <row r="1356" customFormat="false" ht="15" hidden="false" customHeight="false" outlineLevel="0" collapsed="false">
      <c r="A1356" s="4" t="s">
        <v>2886</v>
      </c>
      <c r="B1356" s="4" t="s">
        <v>2876</v>
      </c>
      <c r="C1356" s="4" t="s">
        <v>2877</v>
      </c>
      <c r="D1356" s="7" t="s">
        <v>2887</v>
      </c>
      <c r="E1356" s="4" t="s">
        <v>2879</v>
      </c>
      <c r="F1356" s="4" t="s">
        <v>6</v>
      </c>
      <c r="G1356" s="8"/>
      <c r="H1356" s="6" t="str">
        <f aca="false">IF(G1356="","",G1356/SUMIFS($G$2:$G$1462,$F$2:$F$1462,"Served"))</f>
        <v/>
      </c>
      <c r="I1356" s="4" t="str">
        <f aca="false">IF(G1356="","",RANK(G1356,$G$2:$G$1462,0))</f>
        <v/>
      </c>
      <c r="J1356" s="4" t="s">
        <v>34</v>
      </c>
    </row>
    <row r="1357" customFormat="false" ht="15" hidden="false" customHeight="false" outlineLevel="0" collapsed="false">
      <c r="A1357" s="4" t="s">
        <v>2888</v>
      </c>
      <c r="B1357" s="4" t="s">
        <v>2876</v>
      </c>
      <c r="C1357" s="4" t="s">
        <v>2877</v>
      </c>
      <c r="D1357" s="7" t="s">
        <v>2889</v>
      </c>
      <c r="E1357" s="4" t="s">
        <v>2879</v>
      </c>
      <c r="F1357" s="4" t="s">
        <v>6</v>
      </c>
      <c r="G1357" s="8"/>
      <c r="H1357" s="6" t="str">
        <f aca="false">IF(G1357="","",G1357/SUMIFS($G$2:$G$1462,$F$2:$F$1462,"Served"))</f>
        <v/>
      </c>
      <c r="I1357" s="4" t="str">
        <f aca="false">IF(G1357="","",RANK(G1357,$G$2:$G$1462,0))</f>
        <v/>
      </c>
      <c r="J1357" s="4" t="s">
        <v>34</v>
      </c>
    </row>
    <row r="1358" customFormat="false" ht="15" hidden="false" customHeight="false" outlineLevel="0" collapsed="false">
      <c r="A1358" s="4" t="s">
        <v>2890</v>
      </c>
      <c r="B1358" s="4" t="s">
        <v>2876</v>
      </c>
      <c r="C1358" s="4" t="s">
        <v>2877</v>
      </c>
      <c r="D1358" s="7" t="s">
        <v>2891</v>
      </c>
      <c r="E1358" s="4" t="s">
        <v>2879</v>
      </c>
      <c r="F1358" s="4" t="s">
        <v>6</v>
      </c>
      <c r="G1358" s="8"/>
      <c r="H1358" s="6" t="str">
        <f aca="false">IF(G1358="","",G1358/SUMIFS($G$2:$G$1462,$F$2:$F$1462,"Served"))</f>
        <v/>
      </c>
      <c r="I1358" s="4" t="str">
        <f aca="false">IF(G1358="","",RANK(G1358,$G$2:$G$1462,0))</f>
        <v/>
      </c>
      <c r="J1358" s="4" t="s">
        <v>34</v>
      </c>
    </row>
    <row r="1359" customFormat="false" ht="15" hidden="false" customHeight="false" outlineLevel="0" collapsed="false">
      <c r="A1359" s="4" t="s">
        <v>2892</v>
      </c>
      <c r="B1359" s="4" t="s">
        <v>2876</v>
      </c>
      <c r="C1359" s="4" t="s">
        <v>2877</v>
      </c>
      <c r="D1359" s="7" t="s">
        <v>2893</v>
      </c>
      <c r="E1359" s="4" t="s">
        <v>2879</v>
      </c>
      <c r="F1359" s="4" t="s">
        <v>6</v>
      </c>
      <c r="G1359" s="8"/>
      <c r="H1359" s="6" t="str">
        <f aca="false">IF(G1359="","",G1359/SUMIFS($G$2:$G$1462,$F$2:$F$1462,"Served"))</f>
        <v/>
      </c>
      <c r="I1359" s="4" t="str">
        <f aca="false">IF(G1359="","",RANK(G1359,$G$2:$G$1462,0))</f>
        <v/>
      </c>
      <c r="J1359" s="4" t="s">
        <v>34</v>
      </c>
    </row>
    <row r="1360" customFormat="false" ht="15" hidden="false" customHeight="false" outlineLevel="0" collapsed="false">
      <c r="A1360" s="4" t="s">
        <v>2894</v>
      </c>
      <c r="B1360" s="4" t="s">
        <v>2876</v>
      </c>
      <c r="C1360" s="4" t="s">
        <v>2877</v>
      </c>
      <c r="D1360" s="7" t="s">
        <v>2895</v>
      </c>
      <c r="E1360" s="4" t="s">
        <v>2879</v>
      </c>
      <c r="F1360" s="4" t="s">
        <v>6</v>
      </c>
      <c r="G1360" s="8"/>
      <c r="H1360" s="6" t="str">
        <f aca="false">IF(G1360="","",G1360/SUMIFS($G$2:$G$1462,$F$2:$F$1462,"Served"))</f>
        <v/>
      </c>
      <c r="I1360" s="4" t="str">
        <f aca="false">IF(G1360="","",RANK(G1360,$G$2:$G$1462,0))</f>
        <v/>
      </c>
      <c r="J1360" s="4" t="s">
        <v>34</v>
      </c>
    </row>
    <row r="1361" customFormat="false" ht="15" hidden="false" customHeight="false" outlineLevel="0" collapsed="false">
      <c r="A1361" s="4" t="s">
        <v>2896</v>
      </c>
      <c r="B1361" s="4" t="s">
        <v>2897</v>
      </c>
      <c r="C1361" s="4" t="s">
        <v>2898</v>
      </c>
      <c r="D1361" s="7" t="s">
        <v>2899</v>
      </c>
      <c r="E1361" s="4" t="s">
        <v>2900</v>
      </c>
      <c r="F1361" s="4" t="s">
        <v>5</v>
      </c>
      <c r="G1361" s="8"/>
      <c r="H1361" s="6" t="str">
        <f aca="false">IF(G1361="","",G1361/SUMIFS($G$2:$G$1462,$F$2:$F$1462,"Served"))</f>
        <v/>
      </c>
      <c r="I1361" s="4" t="str">
        <f aca="false">IF(G1361="","",RANK(G1361,$G$2:$G$1462,0))</f>
        <v/>
      </c>
      <c r="J1361" s="4" t="s">
        <v>34</v>
      </c>
    </row>
    <row r="1362" customFormat="false" ht="15" hidden="false" customHeight="false" outlineLevel="0" collapsed="false">
      <c r="A1362" s="4" t="s">
        <v>2901</v>
      </c>
      <c r="B1362" s="4" t="s">
        <v>2897</v>
      </c>
      <c r="C1362" s="4" t="s">
        <v>2898</v>
      </c>
      <c r="D1362" s="7" t="s">
        <v>2902</v>
      </c>
      <c r="E1362" s="4" t="s">
        <v>2900</v>
      </c>
      <c r="F1362" s="4" t="s">
        <v>5</v>
      </c>
      <c r="G1362" s="8"/>
      <c r="H1362" s="6" t="str">
        <f aca="false">IF(G1362="","",G1362/SUMIFS($G$2:$G$1462,$F$2:$F$1462,"Served"))</f>
        <v/>
      </c>
      <c r="I1362" s="4" t="str">
        <f aca="false">IF(G1362="","",RANK(G1362,$G$2:$G$1462,0))</f>
        <v/>
      </c>
      <c r="J1362" s="4" t="s">
        <v>34</v>
      </c>
    </row>
    <row r="1363" customFormat="false" ht="15" hidden="false" customHeight="false" outlineLevel="0" collapsed="false">
      <c r="A1363" s="4" t="s">
        <v>2903</v>
      </c>
      <c r="B1363" s="4" t="s">
        <v>2897</v>
      </c>
      <c r="C1363" s="4" t="s">
        <v>2898</v>
      </c>
      <c r="D1363" s="7" t="s">
        <v>2904</v>
      </c>
      <c r="E1363" s="4" t="s">
        <v>2900</v>
      </c>
      <c r="F1363" s="4" t="s">
        <v>5</v>
      </c>
      <c r="G1363" s="8"/>
      <c r="H1363" s="6" t="str">
        <f aca="false">IF(G1363="","",G1363/SUMIFS($G$2:$G$1462,$F$2:$F$1462,"Served"))</f>
        <v/>
      </c>
      <c r="I1363" s="4" t="str">
        <f aca="false">IF(G1363="","",RANK(G1363,$G$2:$G$1462,0))</f>
        <v/>
      </c>
      <c r="J1363" s="4" t="s">
        <v>34</v>
      </c>
    </row>
    <row r="1364" customFormat="false" ht="15" hidden="false" customHeight="false" outlineLevel="0" collapsed="false">
      <c r="A1364" s="4" t="s">
        <v>2905</v>
      </c>
      <c r="B1364" s="4" t="s">
        <v>2897</v>
      </c>
      <c r="C1364" s="4" t="s">
        <v>2898</v>
      </c>
      <c r="D1364" s="7" t="s">
        <v>2906</v>
      </c>
      <c r="E1364" s="4" t="s">
        <v>2900</v>
      </c>
      <c r="F1364" s="4" t="s">
        <v>5</v>
      </c>
      <c r="G1364" s="8"/>
      <c r="H1364" s="6" t="str">
        <f aca="false">IF(G1364="","",G1364/SUMIFS($G$2:$G$1462,$F$2:$F$1462,"Served"))</f>
        <v/>
      </c>
      <c r="I1364" s="4" t="str">
        <f aca="false">IF(G1364="","",RANK(G1364,$G$2:$G$1462,0))</f>
        <v/>
      </c>
      <c r="J1364" s="4" t="s">
        <v>34</v>
      </c>
    </row>
    <row r="1365" customFormat="false" ht="15" hidden="false" customHeight="false" outlineLevel="0" collapsed="false">
      <c r="A1365" s="4" t="s">
        <v>2907</v>
      </c>
      <c r="B1365" s="4" t="s">
        <v>2897</v>
      </c>
      <c r="C1365" s="4" t="s">
        <v>2898</v>
      </c>
      <c r="D1365" s="7" t="s">
        <v>2908</v>
      </c>
      <c r="E1365" s="4" t="s">
        <v>2900</v>
      </c>
      <c r="F1365" s="4" t="s">
        <v>5</v>
      </c>
      <c r="G1365" s="8"/>
      <c r="H1365" s="6" t="str">
        <f aca="false">IF(G1365="","",G1365/SUMIFS($G$2:$G$1462,$F$2:$F$1462,"Served"))</f>
        <v/>
      </c>
      <c r="I1365" s="4" t="str">
        <f aca="false">IF(G1365="","",RANK(G1365,$G$2:$G$1462,0))</f>
        <v/>
      </c>
      <c r="J1365" s="4" t="s">
        <v>34</v>
      </c>
    </row>
    <row r="1366" customFormat="false" ht="15" hidden="false" customHeight="false" outlineLevel="0" collapsed="false">
      <c r="A1366" s="4" t="s">
        <v>2909</v>
      </c>
      <c r="B1366" s="4" t="s">
        <v>2897</v>
      </c>
      <c r="C1366" s="4" t="s">
        <v>2898</v>
      </c>
      <c r="D1366" s="7" t="s">
        <v>2910</v>
      </c>
      <c r="E1366" s="4" t="s">
        <v>2900</v>
      </c>
      <c r="F1366" s="4" t="s">
        <v>5</v>
      </c>
      <c r="G1366" s="8"/>
      <c r="H1366" s="6" t="str">
        <f aca="false">IF(G1366="","",G1366/SUMIFS($G$2:$G$1462,$F$2:$F$1462,"Served"))</f>
        <v/>
      </c>
      <c r="I1366" s="4" t="str">
        <f aca="false">IF(G1366="","",RANK(G1366,$G$2:$G$1462,0))</f>
        <v/>
      </c>
      <c r="J1366" s="4" t="s">
        <v>34</v>
      </c>
    </row>
    <row r="1367" customFormat="false" ht="15" hidden="false" customHeight="false" outlineLevel="0" collapsed="false">
      <c r="A1367" s="4" t="s">
        <v>2911</v>
      </c>
      <c r="B1367" s="4" t="s">
        <v>2897</v>
      </c>
      <c r="C1367" s="4" t="s">
        <v>2898</v>
      </c>
      <c r="D1367" s="7" t="s">
        <v>2912</v>
      </c>
      <c r="E1367" s="4" t="s">
        <v>2900</v>
      </c>
      <c r="F1367" s="4" t="s">
        <v>5</v>
      </c>
      <c r="G1367" s="8"/>
      <c r="H1367" s="6" t="str">
        <f aca="false">IF(G1367="","",G1367/SUMIFS($G$2:$G$1462,$F$2:$F$1462,"Served"))</f>
        <v/>
      </c>
      <c r="I1367" s="4" t="str">
        <f aca="false">IF(G1367="","",RANK(G1367,$G$2:$G$1462,0))</f>
        <v/>
      </c>
      <c r="J1367" s="4" t="s">
        <v>34</v>
      </c>
    </row>
    <row r="1368" customFormat="false" ht="15" hidden="false" customHeight="false" outlineLevel="0" collapsed="false">
      <c r="A1368" s="4" t="s">
        <v>2913</v>
      </c>
      <c r="B1368" s="4" t="s">
        <v>2897</v>
      </c>
      <c r="C1368" s="4" t="s">
        <v>2898</v>
      </c>
      <c r="D1368" s="7" t="s">
        <v>2914</v>
      </c>
      <c r="E1368" s="4" t="s">
        <v>2900</v>
      </c>
      <c r="F1368" s="4" t="s">
        <v>5</v>
      </c>
      <c r="G1368" s="8"/>
      <c r="H1368" s="6" t="str">
        <f aca="false">IF(G1368="","",G1368/SUMIFS($G$2:$G$1462,$F$2:$F$1462,"Served"))</f>
        <v/>
      </c>
      <c r="I1368" s="4" t="str">
        <f aca="false">IF(G1368="","",RANK(G1368,$G$2:$G$1462,0))</f>
        <v/>
      </c>
      <c r="J1368" s="4" t="s">
        <v>34</v>
      </c>
    </row>
    <row r="1369" customFormat="false" ht="15" hidden="false" customHeight="false" outlineLevel="0" collapsed="false">
      <c r="A1369" s="4" t="s">
        <v>2915</v>
      </c>
      <c r="B1369" s="4" t="s">
        <v>2897</v>
      </c>
      <c r="C1369" s="4" t="s">
        <v>2898</v>
      </c>
      <c r="D1369" s="7" t="s">
        <v>2916</v>
      </c>
      <c r="E1369" s="4" t="s">
        <v>2900</v>
      </c>
      <c r="F1369" s="4" t="s">
        <v>5</v>
      </c>
      <c r="G1369" s="8"/>
      <c r="H1369" s="6" t="str">
        <f aca="false">IF(G1369="","",G1369/SUMIFS($G$2:$G$1462,$F$2:$F$1462,"Served"))</f>
        <v/>
      </c>
      <c r="I1369" s="4" t="str">
        <f aca="false">IF(G1369="","",RANK(G1369,$G$2:$G$1462,0))</f>
        <v/>
      </c>
      <c r="J1369" s="4" t="s">
        <v>34</v>
      </c>
    </row>
    <row r="1370" customFormat="false" ht="15" hidden="false" customHeight="false" outlineLevel="0" collapsed="false">
      <c r="A1370" s="4" t="s">
        <v>2917</v>
      </c>
      <c r="B1370" s="4" t="s">
        <v>2918</v>
      </c>
      <c r="C1370" s="4" t="s">
        <v>2919</v>
      </c>
      <c r="D1370" s="7" t="s">
        <v>2920</v>
      </c>
      <c r="E1370" s="4" t="s">
        <v>2921</v>
      </c>
      <c r="F1370" s="4" t="s">
        <v>6</v>
      </c>
      <c r="G1370" s="8"/>
      <c r="H1370" s="6" t="str">
        <f aca="false">IF(G1370="","",G1370/SUMIFS($G$2:$G$1462,$F$2:$F$1462,"Served"))</f>
        <v/>
      </c>
      <c r="I1370" s="4" t="str">
        <f aca="false">IF(G1370="","",RANK(G1370,$G$2:$G$1462,0))</f>
        <v/>
      </c>
      <c r="J1370" s="4" t="s">
        <v>34</v>
      </c>
    </row>
    <row r="1371" customFormat="false" ht="15" hidden="false" customHeight="false" outlineLevel="0" collapsed="false">
      <c r="A1371" s="4" t="s">
        <v>2922</v>
      </c>
      <c r="B1371" s="4" t="s">
        <v>2918</v>
      </c>
      <c r="C1371" s="4" t="s">
        <v>2919</v>
      </c>
      <c r="D1371" s="7" t="s">
        <v>2923</v>
      </c>
      <c r="E1371" s="4" t="s">
        <v>2921</v>
      </c>
      <c r="F1371" s="4" t="s">
        <v>6</v>
      </c>
      <c r="G1371" s="8"/>
      <c r="H1371" s="6" t="str">
        <f aca="false">IF(G1371="","",G1371/SUMIFS($G$2:$G$1462,$F$2:$F$1462,"Served"))</f>
        <v/>
      </c>
      <c r="I1371" s="4" t="str">
        <f aca="false">IF(G1371="","",RANK(G1371,$G$2:$G$1462,0))</f>
        <v/>
      </c>
      <c r="J1371" s="4" t="s">
        <v>34</v>
      </c>
    </row>
    <row r="1372" customFormat="false" ht="15" hidden="false" customHeight="false" outlineLevel="0" collapsed="false">
      <c r="A1372" s="4" t="s">
        <v>2924</v>
      </c>
      <c r="B1372" s="4" t="s">
        <v>2918</v>
      </c>
      <c r="C1372" s="4" t="s">
        <v>2919</v>
      </c>
      <c r="D1372" s="7" t="s">
        <v>2925</v>
      </c>
      <c r="E1372" s="4" t="s">
        <v>2921</v>
      </c>
      <c r="F1372" s="4" t="s">
        <v>6</v>
      </c>
      <c r="G1372" s="8"/>
      <c r="H1372" s="6" t="str">
        <f aca="false">IF(G1372="","",G1372/SUMIFS($G$2:$G$1462,$F$2:$F$1462,"Served"))</f>
        <v/>
      </c>
      <c r="I1372" s="4" t="str">
        <f aca="false">IF(G1372="","",RANK(G1372,$G$2:$G$1462,0))</f>
        <v/>
      </c>
      <c r="J1372" s="4" t="s">
        <v>34</v>
      </c>
    </row>
    <row r="1373" customFormat="false" ht="15" hidden="false" customHeight="false" outlineLevel="0" collapsed="false">
      <c r="A1373" s="4" t="s">
        <v>2926</v>
      </c>
      <c r="B1373" s="4" t="s">
        <v>2918</v>
      </c>
      <c r="C1373" s="4" t="s">
        <v>2919</v>
      </c>
      <c r="D1373" s="7" t="s">
        <v>2927</v>
      </c>
      <c r="E1373" s="4" t="s">
        <v>2921</v>
      </c>
      <c r="F1373" s="4" t="s">
        <v>6</v>
      </c>
      <c r="G1373" s="8"/>
      <c r="H1373" s="6" t="str">
        <f aca="false">IF(G1373="","",G1373/SUMIFS($G$2:$G$1462,$F$2:$F$1462,"Served"))</f>
        <v/>
      </c>
      <c r="I1373" s="4" t="str">
        <f aca="false">IF(G1373="","",RANK(G1373,$G$2:$G$1462,0))</f>
        <v/>
      </c>
      <c r="J1373" s="4" t="s">
        <v>34</v>
      </c>
    </row>
    <row r="1374" customFormat="false" ht="15" hidden="false" customHeight="false" outlineLevel="0" collapsed="false">
      <c r="A1374" s="4" t="s">
        <v>2928</v>
      </c>
      <c r="B1374" s="4" t="s">
        <v>2918</v>
      </c>
      <c r="C1374" s="4" t="s">
        <v>2919</v>
      </c>
      <c r="D1374" s="7" t="s">
        <v>2929</v>
      </c>
      <c r="E1374" s="4" t="s">
        <v>2921</v>
      </c>
      <c r="F1374" s="4" t="s">
        <v>6</v>
      </c>
      <c r="G1374" s="8"/>
      <c r="H1374" s="6" t="str">
        <f aca="false">IF(G1374="","",G1374/SUMIFS($G$2:$G$1462,$F$2:$F$1462,"Served"))</f>
        <v/>
      </c>
      <c r="I1374" s="4" t="str">
        <f aca="false">IF(G1374="","",RANK(G1374,$G$2:$G$1462,0))</f>
        <v/>
      </c>
      <c r="J1374" s="4" t="s">
        <v>34</v>
      </c>
    </row>
    <row r="1375" customFormat="false" ht="15" hidden="false" customHeight="false" outlineLevel="0" collapsed="false">
      <c r="A1375" s="4" t="s">
        <v>2930</v>
      </c>
      <c r="B1375" s="4" t="s">
        <v>2918</v>
      </c>
      <c r="C1375" s="4" t="s">
        <v>2919</v>
      </c>
      <c r="D1375" s="7" t="s">
        <v>2931</v>
      </c>
      <c r="E1375" s="4" t="s">
        <v>2921</v>
      </c>
      <c r="F1375" s="4" t="s">
        <v>6</v>
      </c>
      <c r="G1375" s="8"/>
      <c r="H1375" s="6" t="str">
        <f aca="false">IF(G1375="","",G1375/SUMIFS($G$2:$G$1462,$F$2:$F$1462,"Served"))</f>
        <v/>
      </c>
      <c r="I1375" s="4" t="str">
        <f aca="false">IF(G1375="","",RANK(G1375,$G$2:$G$1462,0))</f>
        <v/>
      </c>
      <c r="J1375" s="4" t="s">
        <v>34</v>
      </c>
    </row>
    <row r="1376" customFormat="false" ht="15" hidden="false" customHeight="false" outlineLevel="0" collapsed="false">
      <c r="A1376" s="4" t="s">
        <v>2932</v>
      </c>
      <c r="B1376" s="4" t="s">
        <v>2918</v>
      </c>
      <c r="C1376" s="4" t="s">
        <v>2919</v>
      </c>
      <c r="D1376" s="7" t="s">
        <v>2933</v>
      </c>
      <c r="E1376" s="4" t="s">
        <v>2921</v>
      </c>
      <c r="F1376" s="4" t="s">
        <v>6</v>
      </c>
      <c r="G1376" s="8"/>
      <c r="H1376" s="6" t="str">
        <f aca="false">IF(G1376="","",G1376/SUMIFS($G$2:$G$1462,$F$2:$F$1462,"Served"))</f>
        <v/>
      </c>
      <c r="I1376" s="4" t="str">
        <f aca="false">IF(G1376="","",RANK(G1376,$G$2:$G$1462,0))</f>
        <v/>
      </c>
      <c r="J1376" s="4" t="s">
        <v>34</v>
      </c>
    </row>
    <row r="1377" customFormat="false" ht="15" hidden="false" customHeight="false" outlineLevel="0" collapsed="false">
      <c r="A1377" s="4" t="s">
        <v>2934</v>
      </c>
      <c r="B1377" s="4" t="s">
        <v>2918</v>
      </c>
      <c r="C1377" s="4" t="s">
        <v>2919</v>
      </c>
      <c r="D1377" s="7" t="s">
        <v>2935</v>
      </c>
      <c r="E1377" s="4" t="s">
        <v>2921</v>
      </c>
      <c r="F1377" s="4" t="s">
        <v>6</v>
      </c>
      <c r="G1377" s="8"/>
      <c r="H1377" s="6" t="str">
        <f aca="false">IF(G1377="","",G1377/SUMIFS($G$2:$G$1462,$F$2:$F$1462,"Served"))</f>
        <v/>
      </c>
      <c r="I1377" s="4" t="str">
        <f aca="false">IF(G1377="","",RANK(G1377,$G$2:$G$1462,0))</f>
        <v/>
      </c>
      <c r="J1377" s="4" t="s">
        <v>34</v>
      </c>
    </row>
    <row r="1378" customFormat="false" ht="15" hidden="false" customHeight="false" outlineLevel="0" collapsed="false">
      <c r="A1378" s="4" t="s">
        <v>2936</v>
      </c>
      <c r="B1378" s="4" t="s">
        <v>2918</v>
      </c>
      <c r="C1378" s="4" t="s">
        <v>2919</v>
      </c>
      <c r="D1378" s="7" t="s">
        <v>2937</v>
      </c>
      <c r="E1378" s="4" t="s">
        <v>2921</v>
      </c>
      <c r="F1378" s="4" t="s">
        <v>6</v>
      </c>
      <c r="G1378" s="8"/>
      <c r="H1378" s="6" t="str">
        <f aca="false">IF(G1378="","",G1378/SUMIFS($G$2:$G$1462,$F$2:$F$1462,"Served"))</f>
        <v/>
      </c>
      <c r="I1378" s="4" t="str">
        <f aca="false">IF(G1378="","",RANK(G1378,$G$2:$G$1462,0))</f>
        <v/>
      </c>
      <c r="J1378" s="4" t="s">
        <v>34</v>
      </c>
    </row>
    <row r="1379" customFormat="false" ht="15" hidden="false" customHeight="false" outlineLevel="0" collapsed="false">
      <c r="A1379" s="4" t="s">
        <v>2938</v>
      </c>
      <c r="B1379" s="4" t="s">
        <v>2918</v>
      </c>
      <c r="C1379" s="4" t="s">
        <v>2919</v>
      </c>
      <c r="D1379" s="7" t="s">
        <v>2939</v>
      </c>
      <c r="E1379" s="4" t="s">
        <v>2921</v>
      </c>
      <c r="F1379" s="4" t="s">
        <v>6</v>
      </c>
      <c r="G1379" s="8"/>
      <c r="H1379" s="6" t="str">
        <f aca="false">IF(G1379="","",G1379/SUMIFS($G$2:$G$1462,$F$2:$F$1462,"Served"))</f>
        <v/>
      </c>
      <c r="I1379" s="4" t="str">
        <f aca="false">IF(G1379="","",RANK(G1379,$G$2:$G$1462,0))</f>
        <v/>
      </c>
      <c r="J1379" s="4" t="s">
        <v>34</v>
      </c>
    </row>
    <row r="1380" customFormat="false" ht="15" hidden="false" customHeight="false" outlineLevel="0" collapsed="false">
      <c r="A1380" s="4" t="s">
        <v>2940</v>
      </c>
      <c r="B1380" s="4" t="s">
        <v>2918</v>
      </c>
      <c r="C1380" s="4" t="s">
        <v>2919</v>
      </c>
      <c r="D1380" s="7" t="s">
        <v>2941</v>
      </c>
      <c r="E1380" s="4" t="s">
        <v>2921</v>
      </c>
      <c r="F1380" s="4" t="s">
        <v>6</v>
      </c>
      <c r="G1380" s="8"/>
      <c r="H1380" s="6" t="str">
        <f aca="false">IF(G1380="","",G1380/SUMIFS($G$2:$G$1462,$F$2:$F$1462,"Served"))</f>
        <v/>
      </c>
      <c r="I1380" s="4" t="str">
        <f aca="false">IF(G1380="","",RANK(G1380,$G$2:$G$1462,0))</f>
        <v/>
      </c>
      <c r="J1380" s="4" t="s">
        <v>34</v>
      </c>
    </row>
    <row r="1381" customFormat="false" ht="15" hidden="false" customHeight="false" outlineLevel="0" collapsed="false">
      <c r="A1381" s="4" t="s">
        <v>2942</v>
      </c>
      <c r="B1381" s="4" t="s">
        <v>2918</v>
      </c>
      <c r="C1381" s="4" t="s">
        <v>2919</v>
      </c>
      <c r="D1381" s="7" t="s">
        <v>2943</v>
      </c>
      <c r="E1381" s="4" t="s">
        <v>2921</v>
      </c>
      <c r="F1381" s="4" t="s">
        <v>6</v>
      </c>
      <c r="G1381" s="8"/>
      <c r="H1381" s="6" t="str">
        <f aca="false">IF(G1381="","",G1381/SUMIFS($G$2:$G$1462,$F$2:$F$1462,"Served"))</f>
        <v/>
      </c>
      <c r="I1381" s="4" t="str">
        <f aca="false">IF(G1381="","",RANK(G1381,$G$2:$G$1462,0))</f>
        <v/>
      </c>
      <c r="J1381" s="4" t="s">
        <v>34</v>
      </c>
    </row>
    <row r="1382" customFormat="false" ht="15" hidden="false" customHeight="false" outlineLevel="0" collapsed="false">
      <c r="A1382" s="4" t="s">
        <v>2944</v>
      </c>
      <c r="B1382" s="4" t="s">
        <v>2918</v>
      </c>
      <c r="C1382" s="4" t="s">
        <v>2919</v>
      </c>
      <c r="D1382" s="7" t="s">
        <v>2945</v>
      </c>
      <c r="E1382" s="4" t="s">
        <v>2921</v>
      </c>
      <c r="F1382" s="4" t="s">
        <v>6</v>
      </c>
      <c r="G1382" s="8"/>
      <c r="H1382" s="6" t="str">
        <f aca="false">IF(G1382="","",G1382/SUMIFS($G$2:$G$1462,$F$2:$F$1462,"Served"))</f>
        <v/>
      </c>
      <c r="I1382" s="4" t="str">
        <f aca="false">IF(G1382="","",RANK(G1382,$G$2:$G$1462,0))</f>
        <v/>
      </c>
      <c r="J1382" s="4" t="s">
        <v>34</v>
      </c>
    </row>
    <row r="1383" customFormat="false" ht="15" hidden="false" customHeight="false" outlineLevel="0" collapsed="false">
      <c r="A1383" s="4" t="s">
        <v>2946</v>
      </c>
      <c r="B1383" s="4" t="s">
        <v>2918</v>
      </c>
      <c r="C1383" s="4" t="s">
        <v>2919</v>
      </c>
      <c r="D1383" s="7" t="s">
        <v>2947</v>
      </c>
      <c r="E1383" s="4" t="s">
        <v>2921</v>
      </c>
      <c r="F1383" s="4" t="s">
        <v>6</v>
      </c>
      <c r="G1383" s="8"/>
      <c r="H1383" s="6" t="str">
        <f aca="false">IF(G1383="","",G1383/SUMIFS($G$2:$G$1462,$F$2:$F$1462,"Served"))</f>
        <v/>
      </c>
      <c r="I1383" s="4" t="str">
        <f aca="false">IF(G1383="","",RANK(G1383,$G$2:$G$1462,0))</f>
        <v/>
      </c>
      <c r="J1383" s="4" t="s">
        <v>34</v>
      </c>
    </row>
    <row r="1384" customFormat="false" ht="15" hidden="false" customHeight="false" outlineLevel="0" collapsed="false">
      <c r="A1384" s="4" t="s">
        <v>2948</v>
      </c>
      <c r="B1384" s="4" t="s">
        <v>2949</v>
      </c>
      <c r="C1384" s="4" t="s">
        <v>2950</v>
      </c>
      <c r="D1384" s="7" t="s">
        <v>2951</v>
      </c>
      <c r="E1384" s="4" t="s">
        <v>2952</v>
      </c>
      <c r="F1384" s="4" t="s">
        <v>6</v>
      </c>
      <c r="G1384" s="8"/>
      <c r="H1384" s="6" t="str">
        <f aca="false">IF(G1384="","",G1384/SUMIFS($G$2:$G$1462,$F$2:$F$1462,"Served"))</f>
        <v/>
      </c>
      <c r="I1384" s="4" t="str">
        <f aca="false">IF(G1384="","",RANK(G1384,$G$2:$G$1462,0))</f>
        <v/>
      </c>
      <c r="J1384" s="4" t="s">
        <v>34</v>
      </c>
    </row>
    <row r="1385" customFormat="false" ht="15" hidden="false" customHeight="false" outlineLevel="0" collapsed="false">
      <c r="A1385" s="4" t="s">
        <v>2953</v>
      </c>
      <c r="B1385" s="4" t="s">
        <v>2949</v>
      </c>
      <c r="C1385" s="4" t="s">
        <v>2950</v>
      </c>
      <c r="D1385" s="7" t="s">
        <v>2954</v>
      </c>
      <c r="E1385" s="4" t="s">
        <v>2952</v>
      </c>
      <c r="F1385" s="4" t="s">
        <v>6</v>
      </c>
      <c r="G1385" s="8"/>
      <c r="H1385" s="6" t="str">
        <f aca="false">IF(G1385="","",G1385/SUMIFS($G$2:$G$1462,$F$2:$F$1462,"Served"))</f>
        <v/>
      </c>
      <c r="I1385" s="4" t="str">
        <f aca="false">IF(G1385="","",RANK(G1385,$G$2:$G$1462,0))</f>
        <v/>
      </c>
      <c r="J1385" s="4" t="s">
        <v>34</v>
      </c>
    </row>
    <row r="1386" customFormat="false" ht="15" hidden="false" customHeight="false" outlineLevel="0" collapsed="false">
      <c r="A1386" s="4" t="s">
        <v>2955</v>
      </c>
      <c r="B1386" s="4" t="s">
        <v>2949</v>
      </c>
      <c r="C1386" s="4" t="s">
        <v>2950</v>
      </c>
      <c r="D1386" s="7" t="s">
        <v>2956</v>
      </c>
      <c r="E1386" s="4" t="s">
        <v>2952</v>
      </c>
      <c r="F1386" s="4" t="s">
        <v>6</v>
      </c>
      <c r="G1386" s="8"/>
      <c r="H1386" s="6" t="str">
        <f aca="false">IF(G1386="","",G1386/SUMIFS($G$2:$G$1462,$F$2:$F$1462,"Served"))</f>
        <v/>
      </c>
      <c r="I1386" s="4" t="str">
        <f aca="false">IF(G1386="","",RANK(G1386,$G$2:$G$1462,0))</f>
        <v/>
      </c>
      <c r="J1386" s="4" t="s">
        <v>34</v>
      </c>
    </row>
    <row r="1387" customFormat="false" ht="15" hidden="false" customHeight="false" outlineLevel="0" collapsed="false">
      <c r="A1387" s="4" t="s">
        <v>2957</v>
      </c>
      <c r="B1387" s="4" t="s">
        <v>2949</v>
      </c>
      <c r="C1387" s="4" t="s">
        <v>2950</v>
      </c>
      <c r="D1387" s="7" t="s">
        <v>2958</v>
      </c>
      <c r="E1387" s="4" t="s">
        <v>2952</v>
      </c>
      <c r="F1387" s="4" t="s">
        <v>6</v>
      </c>
      <c r="G1387" s="8"/>
      <c r="H1387" s="6" t="str">
        <f aca="false">IF(G1387="","",G1387/SUMIFS($G$2:$G$1462,$F$2:$F$1462,"Served"))</f>
        <v/>
      </c>
      <c r="I1387" s="4" t="str">
        <f aca="false">IF(G1387="","",RANK(G1387,$G$2:$G$1462,0))</f>
        <v/>
      </c>
      <c r="J1387" s="4" t="s">
        <v>34</v>
      </c>
    </row>
    <row r="1388" customFormat="false" ht="15" hidden="false" customHeight="false" outlineLevel="0" collapsed="false">
      <c r="A1388" s="4" t="s">
        <v>2959</v>
      </c>
      <c r="B1388" s="4" t="s">
        <v>2949</v>
      </c>
      <c r="C1388" s="4" t="s">
        <v>2950</v>
      </c>
      <c r="D1388" s="7" t="s">
        <v>2960</v>
      </c>
      <c r="E1388" s="4" t="s">
        <v>2952</v>
      </c>
      <c r="F1388" s="4" t="s">
        <v>6</v>
      </c>
      <c r="G1388" s="8"/>
      <c r="H1388" s="6" t="str">
        <f aca="false">IF(G1388="","",G1388/SUMIFS($G$2:$G$1462,$F$2:$F$1462,"Served"))</f>
        <v/>
      </c>
      <c r="I1388" s="4" t="str">
        <f aca="false">IF(G1388="","",RANK(G1388,$G$2:$G$1462,0))</f>
        <v/>
      </c>
      <c r="J1388" s="4" t="s">
        <v>34</v>
      </c>
    </row>
    <row r="1389" customFormat="false" ht="15" hidden="false" customHeight="false" outlineLevel="0" collapsed="false">
      <c r="A1389" s="4" t="s">
        <v>2961</v>
      </c>
      <c r="B1389" s="4" t="s">
        <v>2949</v>
      </c>
      <c r="C1389" s="4" t="s">
        <v>2950</v>
      </c>
      <c r="D1389" s="7" t="s">
        <v>2962</v>
      </c>
      <c r="E1389" s="4" t="s">
        <v>2952</v>
      </c>
      <c r="F1389" s="4" t="s">
        <v>6</v>
      </c>
      <c r="G1389" s="8"/>
      <c r="H1389" s="6" t="str">
        <f aca="false">IF(G1389="","",G1389/SUMIFS($G$2:$G$1462,$F$2:$F$1462,"Served"))</f>
        <v/>
      </c>
      <c r="I1389" s="4" t="str">
        <f aca="false">IF(G1389="","",RANK(G1389,$G$2:$G$1462,0))</f>
        <v/>
      </c>
      <c r="J1389" s="4" t="s">
        <v>34</v>
      </c>
    </row>
    <row r="1390" customFormat="false" ht="15" hidden="false" customHeight="false" outlineLevel="0" collapsed="false">
      <c r="A1390" s="4" t="s">
        <v>2963</v>
      </c>
      <c r="B1390" s="4" t="s">
        <v>2949</v>
      </c>
      <c r="C1390" s="4" t="s">
        <v>2950</v>
      </c>
      <c r="D1390" s="7" t="s">
        <v>2964</v>
      </c>
      <c r="E1390" s="4" t="s">
        <v>2952</v>
      </c>
      <c r="F1390" s="4" t="s">
        <v>6</v>
      </c>
      <c r="G1390" s="8"/>
      <c r="H1390" s="6" t="str">
        <f aca="false">IF(G1390="","",G1390/SUMIFS($G$2:$G$1462,$F$2:$F$1462,"Served"))</f>
        <v/>
      </c>
      <c r="I1390" s="4" t="str">
        <f aca="false">IF(G1390="","",RANK(G1390,$G$2:$G$1462,0))</f>
        <v/>
      </c>
      <c r="J1390" s="4" t="s">
        <v>34</v>
      </c>
    </row>
    <row r="1391" customFormat="false" ht="15" hidden="false" customHeight="false" outlineLevel="0" collapsed="false">
      <c r="A1391" s="4" t="s">
        <v>2965</v>
      </c>
      <c r="B1391" s="4" t="s">
        <v>2949</v>
      </c>
      <c r="C1391" s="4" t="s">
        <v>2950</v>
      </c>
      <c r="D1391" s="7" t="s">
        <v>2966</v>
      </c>
      <c r="E1391" s="4" t="s">
        <v>2952</v>
      </c>
      <c r="F1391" s="4" t="s">
        <v>6</v>
      </c>
      <c r="G1391" s="8"/>
      <c r="H1391" s="6" t="str">
        <f aca="false">IF(G1391="","",G1391/SUMIFS($G$2:$G$1462,$F$2:$F$1462,"Served"))</f>
        <v/>
      </c>
      <c r="I1391" s="4" t="str">
        <f aca="false">IF(G1391="","",RANK(G1391,$G$2:$G$1462,0))</f>
        <v/>
      </c>
      <c r="J1391" s="4" t="s">
        <v>34</v>
      </c>
    </row>
    <row r="1392" customFormat="false" ht="15" hidden="false" customHeight="false" outlineLevel="0" collapsed="false">
      <c r="A1392" s="4" t="s">
        <v>2967</v>
      </c>
      <c r="B1392" s="4" t="s">
        <v>2949</v>
      </c>
      <c r="C1392" s="4" t="s">
        <v>2950</v>
      </c>
      <c r="D1392" s="7" t="s">
        <v>2968</v>
      </c>
      <c r="E1392" s="4" t="s">
        <v>2952</v>
      </c>
      <c r="F1392" s="4" t="s">
        <v>6</v>
      </c>
      <c r="G1392" s="8"/>
      <c r="H1392" s="6" t="str">
        <f aca="false">IF(G1392="","",G1392/SUMIFS($G$2:$G$1462,$F$2:$F$1462,"Served"))</f>
        <v/>
      </c>
      <c r="I1392" s="4" t="str">
        <f aca="false">IF(G1392="","",RANK(G1392,$G$2:$G$1462,0))</f>
        <v/>
      </c>
      <c r="J1392" s="4" t="s">
        <v>34</v>
      </c>
    </row>
    <row r="1393" customFormat="false" ht="15" hidden="false" customHeight="false" outlineLevel="0" collapsed="false">
      <c r="A1393" s="4" t="s">
        <v>2969</v>
      </c>
      <c r="B1393" s="4" t="s">
        <v>2949</v>
      </c>
      <c r="C1393" s="4" t="s">
        <v>2950</v>
      </c>
      <c r="D1393" s="7" t="s">
        <v>2970</v>
      </c>
      <c r="E1393" s="4" t="s">
        <v>2952</v>
      </c>
      <c r="F1393" s="4" t="s">
        <v>6</v>
      </c>
      <c r="G1393" s="8"/>
      <c r="H1393" s="6" t="str">
        <f aca="false">IF(G1393="","",G1393/SUMIFS($G$2:$G$1462,$F$2:$F$1462,"Served"))</f>
        <v/>
      </c>
      <c r="I1393" s="4" t="str">
        <f aca="false">IF(G1393="","",RANK(G1393,$G$2:$G$1462,0))</f>
        <v/>
      </c>
      <c r="J1393" s="4" t="s">
        <v>34</v>
      </c>
    </row>
    <row r="1394" customFormat="false" ht="15" hidden="false" customHeight="false" outlineLevel="0" collapsed="false">
      <c r="A1394" s="4" t="s">
        <v>2971</v>
      </c>
      <c r="B1394" s="4" t="s">
        <v>2949</v>
      </c>
      <c r="C1394" s="4" t="s">
        <v>2950</v>
      </c>
      <c r="D1394" s="7" t="s">
        <v>2972</v>
      </c>
      <c r="E1394" s="4" t="s">
        <v>2952</v>
      </c>
      <c r="F1394" s="4" t="s">
        <v>6</v>
      </c>
      <c r="G1394" s="8"/>
      <c r="H1394" s="6" t="str">
        <f aca="false">IF(G1394="","",G1394/SUMIFS($G$2:$G$1462,$F$2:$F$1462,"Served"))</f>
        <v/>
      </c>
      <c r="I1394" s="4" t="str">
        <f aca="false">IF(G1394="","",RANK(G1394,$G$2:$G$1462,0))</f>
        <v/>
      </c>
      <c r="J1394" s="4" t="s">
        <v>34</v>
      </c>
    </row>
    <row r="1395" customFormat="false" ht="15" hidden="false" customHeight="false" outlineLevel="0" collapsed="false">
      <c r="A1395" s="4" t="s">
        <v>2973</v>
      </c>
      <c r="B1395" s="4" t="s">
        <v>2949</v>
      </c>
      <c r="C1395" s="4" t="s">
        <v>2950</v>
      </c>
      <c r="D1395" s="7" t="s">
        <v>2974</v>
      </c>
      <c r="E1395" s="4" t="s">
        <v>2952</v>
      </c>
      <c r="F1395" s="4" t="s">
        <v>6</v>
      </c>
      <c r="G1395" s="8"/>
      <c r="H1395" s="6" t="str">
        <f aca="false">IF(G1395="","",G1395/SUMIFS($G$2:$G$1462,$F$2:$F$1462,"Served"))</f>
        <v/>
      </c>
      <c r="I1395" s="4" t="str">
        <f aca="false">IF(G1395="","",RANK(G1395,$G$2:$G$1462,0))</f>
        <v/>
      </c>
      <c r="J1395" s="4" t="s">
        <v>34</v>
      </c>
    </row>
    <row r="1396" customFormat="false" ht="15" hidden="false" customHeight="false" outlineLevel="0" collapsed="false">
      <c r="A1396" s="4" t="s">
        <v>2975</v>
      </c>
      <c r="B1396" s="4" t="s">
        <v>2949</v>
      </c>
      <c r="C1396" s="4" t="s">
        <v>2950</v>
      </c>
      <c r="D1396" s="7" t="s">
        <v>2976</v>
      </c>
      <c r="E1396" s="4" t="s">
        <v>2952</v>
      </c>
      <c r="F1396" s="4" t="s">
        <v>6</v>
      </c>
      <c r="G1396" s="8"/>
      <c r="H1396" s="6" t="str">
        <f aca="false">IF(G1396="","",G1396/SUMIFS($G$2:$G$1462,$F$2:$F$1462,"Served"))</f>
        <v/>
      </c>
      <c r="I1396" s="4" t="str">
        <f aca="false">IF(G1396="","",RANK(G1396,$G$2:$G$1462,0))</f>
        <v/>
      </c>
      <c r="J1396" s="4" t="s">
        <v>34</v>
      </c>
    </row>
    <row r="1397" customFormat="false" ht="15" hidden="false" customHeight="false" outlineLevel="0" collapsed="false">
      <c r="A1397" s="4" t="s">
        <v>2977</v>
      </c>
      <c r="B1397" s="4" t="s">
        <v>2949</v>
      </c>
      <c r="C1397" s="4" t="s">
        <v>2950</v>
      </c>
      <c r="D1397" s="7" t="s">
        <v>2978</v>
      </c>
      <c r="E1397" s="4" t="s">
        <v>2952</v>
      </c>
      <c r="F1397" s="4" t="s">
        <v>6</v>
      </c>
      <c r="G1397" s="8"/>
      <c r="H1397" s="6" t="str">
        <f aca="false">IF(G1397="","",G1397/SUMIFS($G$2:$G$1462,$F$2:$F$1462,"Served"))</f>
        <v/>
      </c>
      <c r="I1397" s="4" t="str">
        <f aca="false">IF(G1397="","",RANK(G1397,$G$2:$G$1462,0))</f>
        <v/>
      </c>
      <c r="J1397" s="4" t="s">
        <v>34</v>
      </c>
    </row>
    <row r="1398" customFormat="false" ht="15" hidden="false" customHeight="false" outlineLevel="0" collapsed="false">
      <c r="A1398" s="4" t="s">
        <v>2979</v>
      </c>
      <c r="B1398" s="4" t="s">
        <v>2949</v>
      </c>
      <c r="C1398" s="4" t="s">
        <v>2950</v>
      </c>
      <c r="D1398" s="7" t="s">
        <v>2980</v>
      </c>
      <c r="E1398" s="4" t="s">
        <v>2952</v>
      </c>
      <c r="F1398" s="4" t="s">
        <v>6</v>
      </c>
      <c r="G1398" s="8"/>
      <c r="H1398" s="6" t="str">
        <f aca="false">IF(G1398="","",G1398/SUMIFS($G$2:$G$1462,$F$2:$F$1462,"Served"))</f>
        <v/>
      </c>
      <c r="I1398" s="4" t="str">
        <f aca="false">IF(G1398="","",RANK(G1398,$G$2:$G$1462,0))</f>
        <v/>
      </c>
      <c r="J1398" s="4" t="s">
        <v>34</v>
      </c>
    </row>
    <row r="1399" customFormat="false" ht="15" hidden="false" customHeight="false" outlineLevel="0" collapsed="false">
      <c r="A1399" s="4" t="s">
        <v>2981</v>
      </c>
      <c r="B1399" s="4" t="s">
        <v>2949</v>
      </c>
      <c r="C1399" s="4" t="s">
        <v>2950</v>
      </c>
      <c r="D1399" s="7" t="s">
        <v>2982</v>
      </c>
      <c r="E1399" s="4" t="s">
        <v>2952</v>
      </c>
      <c r="F1399" s="4" t="s">
        <v>6</v>
      </c>
      <c r="G1399" s="8"/>
      <c r="H1399" s="6" t="str">
        <f aca="false">IF(G1399="","",G1399/SUMIFS($G$2:$G$1462,$F$2:$F$1462,"Served"))</f>
        <v/>
      </c>
      <c r="I1399" s="4" t="str">
        <f aca="false">IF(G1399="","",RANK(G1399,$G$2:$G$1462,0))</f>
        <v/>
      </c>
      <c r="J1399" s="4" t="s">
        <v>34</v>
      </c>
    </row>
    <row r="1400" customFormat="false" ht="15" hidden="false" customHeight="false" outlineLevel="0" collapsed="false">
      <c r="A1400" s="4" t="s">
        <v>2983</v>
      </c>
      <c r="B1400" s="4" t="s">
        <v>2949</v>
      </c>
      <c r="C1400" s="4" t="s">
        <v>2950</v>
      </c>
      <c r="D1400" s="7" t="s">
        <v>2984</v>
      </c>
      <c r="E1400" s="4" t="s">
        <v>2952</v>
      </c>
      <c r="F1400" s="4" t="s">
        <v>6</v>
      </c>
      <c r="G1400" s="8"/>
      <c r="H1400" s="6" t="str">
        <f aca="false">IF(G1400="","",G1400/SUMIFS($G$2:$G$1462,$F$2:$F$1462,"Served"))</f>
        <v/>
      </c>
      <c r="I1400" s="4" t="str">
        <f aca="false">IF(G1400="","",RANK(G1400,$G$2:$G$1462,0))</f>
        <v/>
      </c>
      <c r="J1400" s="4" t="s">
        <v>34</v>
      </c>
    </row>
    <row r="1401" customFormat="false" ht="15" hidden="false" customHeight="false" outlineLevel="0" collapsed="false">
      <c r="A1401" s="4" t="s">
        <v>2985</v>
      </c>
      <c r="B1401" s="4" t="s">
        <v>2949</v>
      </c>
      <c r="C1401" s="4" t="s">
        <v>2950</v>
      </c>
      <c r="D1401" s="7" t="s">
        <v>2986</v>
      </c>
      <c r="E1401" s="4" t="s">
        <v>2952</v>
      </c>
      <c r="F1401" s="4" t="s">
        <v>6</v>
      </c>
      <c r="G1401" s="8"/>
      <c r="H1401" s="6" t="str">
        <f aca="false">IF(G1401="","",G1401/SUMIFS($G$2:$G$1462,$F$2:$F$1462,"Served"))</f>
        <v/>
      </c>
      <c r="I1401" s="4" t="str">
        <f aca="false">IF(G1401="","",RANK(G1401,$G$2:$G$1462,0))</f>
        <v/>
      </c>
      <c r="J1401" s="4" t="s">
        <v>34</v>
      </c>
    </row>
    <row r="1402" customFormat="false" ht="15" hidden="false" customHeight="false" outlineLevel="0" collapsed="false">
      <c r="A1402" s="4" t="s">
        <v>2987</v>
      </c>
      <c r="B1402" s="4" t="s">
        <v>2949</v>
      </c>
      <c r="C1402" s="4" t="s">
        <v>2950</v>
      </c>
      <c r="D1402" s="7" t="s">
        <v>2988</v>
      </c>
      <c r="E1402" s="4" t="s">
        <v>2952</v>
      </c>
      <c r="F1402" s="4" t="s">
        <v>6</v>
      </c>
      <c r="G1402" s="8"/>
      <c r="H1402" s="6" t="str">
        <f aca="false">IF(G1402="","",G1402/SUMIFS($G$2:$G$1462,$F$2:$F$1462,"Served"))</f>
        <v/>
      </c>
      <c r="I1402" s="4" t="str">
        <f aca="false">IF(G1402="","",RANK(G1402,$G$2:$G$1462,0))</f>
        <v/>
      </c>
      <c r="J1402" s="4" t="s">
        <v>34</v>
      </c>
    </row>
    <row r="1403" customFormat="false" ht="15" hidden="false" customHeight="false" outlineLevel="0" collapsed="false">
      <c r="A1403" s="4" t="s">
        <v>2989</v>
      </c>
      <c r="B1403" s="4" t="s">
        <v>2949</v>
      </c>
      <c r="C1403" s="4" t="s">
        <v>2950</v>
      </c>
      <c r="D1403" s="7" t="s">
        <v>2990</v>
      </c>
      <c r="E1403" s="4" t="s">
        <v>2952</v>
      </c>
      <c r="F1403" s="4" t="s">
        <v>6</v>
      </c>
      <c r="G1403" s="8"/>
      <c r="H1403" s="6" t="str">
        <f aca="false">IF(G1403="","",G1403/SUMIFS($G$2:$G$1462,$F$2:$F$1462,"Served"))</f>
        <v/>
      </c>
      <c r="I1403" s="4" t="str">
        <f aca="false">IF(G1403="","",RANK(G1403,$G$2:$G$1462,0))</f>
        <v/>
      </c>
      <c r="J1403" s="4" t="s">
        <v>34</v>
      </c>
    </row>
    <row r="1404" customFormat="false" ht="15" hidden="false" customHeight="false" outlineLevel="0" collapsed="false">
      <c r="A1404" s="4" t="s">
        <v>2991</v>
      </c>
      <c r="B1404" s="4" t="s">
        <v>2949</v>
      </c>
      <c r="C1404" s="4" t="s">
        <v>2950</v>
      </c>
      <c r="D1404" s="7" t="s">
        <v>2992</v>
      </c>
      <c r="E1404" s="4" t="s">
        <v>2952</v>
      </c>
      <c r="F1404" s="4" t="s">
        <v>6</v>
      </c>
      <c r="G1404" s="8"/>
      <c r="H1404" s="6" t="str">
        <f aca="false">IF(G1404="","",G1404/SUMIFS($G$2:$G$1462,$F$2:$F$1462,"Served"))</f>
        <v/>
      </c>
      <c r="I1404" s="4" t="str">
        <f aca="false">IF(G1404="","",RANK(G1404,$G$2:$G$1462,0))</f>
        <v/>
      </c>
      <c r="J1404" s="4" t="s">
        <v>34</v>
      </c>
    </row>
    <row r="1405" customFormat="false" ht="15" hidden="false" customHeight="false" outlineLevel="0" collapsed="false">
      <c r="A1405" s="4" t="s">
        <v>2993</v>
      </c>
      <c r="B1405" s="4" t="s">
        <v>2949</v>
      </c>
      <c r="C1405" s="4" t="s">
        <v>2950</v>
      </c>
      <c r="D1405" s="7" t="s">
        <v>2994</v>
      </c>
      <c r="E1405" s="4" t="s">
        <v>2952</v>
      </c>
      <c r="F1405" s="4" t="s">
        <v>6</v>
      </c>
      <c r="G1405" s="8"/>
      <c r="H1405" s="6" t="str">
        <f aca="false">IF(G1405="","",G1405/SUMIFS($G$2:$G$1462,$F$2:$F$1462,"Served"))</f>
        <v/>
      </c>
      <c r="I1405" s="4" t="str">
        <f aca="false">IF(G1405="","",RANK(G1405,$G$2:$G$1462,0))</f>
        <v/>
      </c>
      <c r="J1405" s="4" t="s">
        <v>34</v>
      </c>
    </row>
    <row r="1406" customFormat="false" ht="15" hidden="false" customHeight="false" outlineLevel="0" collapsed="false">
      <c r="A1406" s="4" t="s">
        <v>2995</v>
      </c>
      <c r="B1406" s="4" t="s">
        <v>2949</v>
      </c>
      <c r="C1406" s="4" t="s">
        <v>2950</v>
      </c>
      <c r="D1406" s="7" t="s">
        <v>2996</v>
      </c>
      <c r="E1406" s="4" t="s">
        <v>2952</v>
      </c>
      <c r="F1406" s="4" t="s">
        <v>6</v>
      </c>
      <c r="G1406" s="8"/>
      <c r="H1406" s="6" t="str">
        <f aca="false">IF(G1406="","",G1406/SUMIFS($G$2:$G$1462,$F$2:$F$1462,"Served"))</f>
        <v/>
      </c>
      <c r="I1406" s="4" t="str">
        <f aca="false">IF(G1406="","",RANK(G1406,$G$2:$G$1462,0))</f>
        <v/>
      </c>
      <c r="J1406" s="4" t="s">
        <v>34</v>
      </c>
    </row>
    <row r="1407" customFormat="false" ht="15" hidden="false" customHeight="false" outlineLevel="0" collapsed="false">
      <c r="A1407" s="4" t="s">
        <v>2997</v>
      </c>
      <c r="B1407" s="4" t="s">
        <v>2949</v>
      </c>
      <c r="C1407" s="4" t="s">
        <v>2950</v>
      </c>
      <c r="D1407" s="7" t="s">
        <v>2998</v>
      </c>
      <c r="E1407" s="4" t="s">
        <v>2952</v>
      </c>
      <c r="F1407" s="4" t="s">
        <v>6</v>
      </c>
      <c r="G1407" s="8"/>
      <c r="H1407" s="6" t="str">
        <f aca="false">IF(G1407="","",G1407/SUMIFS($G$2:$G$1462,$F$2:$F$1462,"Served"))</f>
        <v/>
      </c>
      <c r="I1407" s="4" t="str">
        <f aca="false">IF(G1407="","",RANK(G1407,$G$2:$G$1462,0))</f>
        <v/>
      </c>
      <c r="J1407" s="4" t="s">
        <v>34</v>
      </c>
    </row>
    <row r="1408" customFormat="false" ht="15" hidden="false" customHeight="false" outlineLevel="0" collapsed="false">
      <c r="A1408" s="4" t="s">
        <v>2999</v>
      </c>
      <c r="B1408" s="4" t="s">
        <v>3000</v>
      </c>
      <c r="C1408" s="4" t="s">
        <v>3001</v>
      </c>
      <c r="D1408" s="7" t="s">
        <v>3002</v>
      </c>
      <c r="E1408" s="4" t="s">
        <v>3003</v>
      </c>
      <c r="F1408" s="4" t="s">
        <v>5</v>
      </c>
      <c r="G1408" s="8"/>
      <c r="H1408" s="6" t="str">
        <f aca="false">IF(G1408="","",G1408/SUMIFS($G$2:$G$1462,$F$2:$F$1462,"Served"))</f>
        <v/>
      </c>
      <c r="I1408" s="4" t="str">
        <f aca="false">IF(G1408="","",RANK(G1408,$G$2:$G$1462,0))</f>
        <v/>
      </c>
      <c r="J1408" s="4" t="s">
        <v>34</v>
      </c>
    </row>
    <row r="1409" customFormat="false" ht="15" hidden="false" customHeight="false" outlineLevel="0" collapsed="false">
      <c r="A1409" s="4" t="s">
        <v>3004</v>
      </c>
      <c r="B1409" s="4" t="s">
        <v>3000</v>
      </c>
      <c r="C1409" s="4" t="s">
        <v>3001</v>
      </c>
      <c r="D1409" s="7" t="s">
        <v>3005</v>
      </c>
      <c r="E1409" s="4" t="s">
        <v>3003</v>
      </c>
      <c r="F1409" s="4" t="s">
        <v>5</v>
      </c>
      <c r="G1409" s="8"/>
      <c r="H1409" s="6" t="str">
        <f aca="false">IF(G1409="","",G1409/SUMIFS($G$2:$G$1462,$F$2:$F$1462,"Served"))</f>
        <v/>
      </c>
      <c r="I1409" s="4" t="str">
        <f aca="false">IF(G1409="","",RANK(G1409,$G$2:$G$1462,0))</f>
        <v/>
      </c>
      <c r="J1409" s="4" t="s">
        <v>34</v>
      </c>
    </row>
    <row r="1410" customFormat="false" ht="15" hidden="false" customHeight="false" outlineLevel="0" collapsed="false">
      <c r="A1410" s="4" t="s">
        <v>3006</v>
      </c>
      <c r="B1410" s="4" t="s">
        <v>3000</v>
      </c>
      <c r="C1410" s="4" t="s">
        <v>3001</v>
      </c>
      <c r="D1410" s="7" t="s">
        <v>3007</v>
      </c>
      <c r="E1410" s="4" t="s">
        <v>3003</v>
      </c>
      <c r="F1410" s="4" t="s">
        <v>5</v>
      </c>
      <c r="G1410" s="8"/>
      <c r="H1410" s="6" t="str">
        <f aca="false">IF(G1410="","",G1410/SUMIFS($G$2:$G$1462,$F$2:$F$1462,"Served"))</f>
        <v/>
      </c>
      <c r="I1410" s="4" t="str">
        <f aca="false">IF(G1410="","",RANK(G1410,$G$2:$G$1462,0))</f>
        <v/>
      </c>
      <c r="J1410" s="4" t="s">
        <v>34</v>
      </c>
    </row>
    <row r="1411" customFormat="false" ht="15" hidden="false" customHeight="false" outlineLevel="0" collapsed="false">
      <c r="A1411" s="4" t="s">
        <v>3008</v>
      </c>
      <c r="B1411" s="4" t="s">
        <v>3000</v>
      </c>
      <c r="C1411" s="4" t="s">
        <v>3001</v>
      </c>
      <c r="D1411" s="7" t="s">
        <v>3009</v>
      </c>
      <c r="E1411" s="4" t="s">
        <v>3003</v>
      </c>
      <c r="F1411" s="4" t="s">
        <v>5</v>
      </c>
      <c r="G1411" s="8"/>
      <c r="H1411" s="6" t="str">
        <f aca="false">IF(G1411="","",G1411/SUMIFS($G$2:$G$1462,$F$2:$F$1462,"Served"))</f>
        <v/>
      </c>
      <c r="I1411" s="4" t="str">
        <f aca="false">IF(G1411="","",RANK(G1411,$G$2:$G$1462,0))</f>
        <v/>
      </c>
      <c r="J1411" s="4" t="s">
        <v>34</v>
      </c>
    </row>
    <row r="1412" customFormat="false" ht="15" hidden="false" customHeight="false" outlineLevel="0" collapsed="false">
      <c r="A1412" s="4" t="s">
        <v>3010</v>
      </c>
      <c r="B1412" s="4" t="s">
        <v>3000</v>
      </c>
      <c r="C1412" s="4" t="s">
        <v>3001</v>
      </c>
      <c r="D1412" s="7" t="s">
        <v>3011</v>
      </c>
      <c r="E1412" s="4" t="s">
        <v>3003</v>
      </c>
      <c r="F1412" s="4" t="s">
        <v>5</v>
      </c>
      <c r="G1412" s="8"/>
      <c r="H1412" s="6" t="str">
        <f aca="false">IF(G1412="","",G1412/SUMIFS($G$2:$G$1462,$F$2:$F$1462,"Served"))</f>
        <v/>
      </c>
      <c r="I1412" s="4" t="str">
        <f aca="false">IF(G1412="","",RANK(G1412,$G$2:$G$1462,0))</f>
        <v/>
      </c>
      <c r="J1412" s="4" t="s">
        <v>34</v>
      </c>
    </row>
    <row r="1413" customFormat="false" ht="15" hidden="false" customHeight="false" outlineLevel="0" collapsed="false">
      <c r="A1413" s="4" t="s">
        <v>3012</v>
      </c>
      <c r="B1413" s="4" t="s">
        <v>3000</v>
      </c>
      <c r="C1413" s="4" t="s">
        <v>3001</v>
      </c>
      <c r="D1413" s="7" t="s">
        <v>3013</v>
      </c>
      <c r="E1413" s="4" t="s">
        <v>3003</v>
      </c>
      <c r="F1413" s="4" t="s">
        <v>5</v>
      </c>
      <c r="G1413" s="8"/>
      <c r="H1413" s="6" t="str">
        <f aca="false">IF(G1413="","",G1413/SUMIFS($G$2:$G$1462,$F$2:$F$1462,"Served"))</f>
        <v/>
      </c>
      <c r="I1413" s="4" t="str">
        <f aca="false">IF(G1413="","",RANK(G1413,$G$2:$G$1462,0))</f>
        <v/>
      </c>
      <c r="J1413" s="4" t="s">
        <v>34</v>
      </c>
    </row>
    <row r="1414" customFormat="false" ht="15" hidden="false" customHeight="false" outlineLevel="0" collapsed="false">
      <c r="A1414" s="4" t="s">
        <v>3014</v>
      </c>
      <c r="B1414" s="4" t="s">
        <v>3000</v>
      </c>
      <c r="C1414" s="4" t="s">
        <v>3001</v>
      </c>
      <c r="D1414" s="7" t="s">
        <v>3015</v>
      </c>
      <c r="E1414" s="4" t="s">
        <v>3003</v>
      </c>
      <c r="F1414" s="4" t="s">
        <v>5</v>
      </c>
      <c r="G1414" s="8"/>
      <c r="H1414" s="6" t="str">
        <f aca="false">IF(G1414="","",G1414/SUMIFS($G$2:$G$1462,$F$2:$F$1462,"Served"))</f>
        <v/>
      </c>
      <c r="I1414" s="4" t="str">
        <f aca="false">IF(G1414="","",RANK(G1414,$G$2:$G$1462,0))</f>
        <v/>
      </c>
      <c r="J1414" s="4" t="s">
        <v>34</v>
      </c>
    </row>
    <row r="1415" customFormat="false" ht="15" hidden="false" customHeight="false" outlineLevel="0" collapsed="false">
      <c r="A1415" s="4" t="s">
        <v>3016</v>
      </c>
      <c r="B1415" s="4" t="s">
        <v>3000</v>
      </c>
      <c r="C1415" s="4" t="s">
        <v>3001</v>
      </c>
      <c r="D1415" s="7" t="s">
        <v>3017</v>
      </c>
      <c r="E1415" s="4" t="s">
        <v>3003</v>
      </c>
      <c r="F1415" s="4" t="s">
        <v>5</v>
      </c>
      <c r="G1415" s="8"/>
      <c r="H1415" s="6" t="str">
        <f aca="false">IF(G1415="","",G1415/SUMIFS($G$2:$G$1462,$F$2:$F$1462,"Served"))</f>
        <v/>
      </c>
      <c r="I1415" s="4" t="str">
        <f aca="false">IF(G1415="","",RANK(G1415,$G$2:$G$1462,0))</f>
        <v/>
      </c>
      <c r="J1415" s="4" t="s">
        <v>34</v>
      </c>
    </row>
    <row r="1416" customFormat="false" ht="15" hidden="false" customHeight="false" outlineLevel="0" collapsed="false">
      <c r="A1416" s="4" t="s">
        <v>3018</v>
      </c>
      <c r="B1416" s="4" t="s">
        <v>3000</v>
      </c>
      <c r="C1416" s="4" t="s">
        <v>3001</v>
      </c>
      <c r="D1416" s="7" t="s">
        <v>3019</v>
      </c>
      <c r="E1416" s="4" t="s">
        <v>3003</v>
      </c>
      <c r="F1416" s="4" t="s">
        <v>5</v>
      </c>
      <c r="G1416" s="8"/>
      <c r="H1416" s="6" t="str">
        <f aca="false">IF(G1416="","",G1416/SUMIFS($G$2:$G$1462,$F$2:$F$1462,"Served"))</f>
        <v/>
      </c>
      <c r="I1416" s="4" t="str">
        <f aca="false">IF(G1416="","",RANK(G1416,$G$2:$G$1462,0))</f>
        <v/>
      </c>
      <c r="J1416" s="4" t="s">
        <v>34</v>
      </c>
    </row>
    <row r="1417" customFormat="false" ht="15" hidden="false" customHeight="false" outlineLevel="0" collapsed="false">
      <c r="A1417" s="4" t="s">
        <v>3020</v>
      </c>
      <c r="B1417" s="4" t="s">
        <v>3000</v>
      </c>
      <c r="C1417" s="4" t="s">
        <v>3001</v>
      </c>
      <c r="D1417" s="7" t="s">
        <v>3021</v>
      </c>
      <c r="E1417" s="4" t="s">
        <v>3003</v>
      </c>
      <c r="F1417" s="4" t="s">
        <v>5</v>
      </c>
      <c r="G1417" s="8"/>
      <c r="H1417" s="6" t="str">
        <f aca="false">IF(G1417="","",G1417/SUMIFS($G$2:$G$1462,$F$2:$F$1462,"Served"))</f>
        <v/>
      </c>
      <c r="I1417" s="4" t="str">
        <f aca="false">IF(G1417="","",RANK(G1417,$G$2:$G$1462,0))</f>
        <v/>
      </c>
      <c r="J1417" s="4" t="s">
        <v>34</v>
      </c>
    </row>
    <row r="1418" customFormat="false" ht="15" hidden="false" customHeight="false" outlineLevel="0" collapsed="false">
      <c r="A1418" s="4" t="s">
        <v>3022</v>
      </c>
      <c r="B1418" s="4" t="s">
        <v>3000</v>
      </c>
      <c r="C1418" s="4" t="s">
        <v>3001</v>
      </c>
      <c r="D1418" s="7" t="s">
        <v>3023</v>
      </c>
      <c r="E1418" s="4" t="s">
        <v>3003</v>
      </c>
      <c r="F1418" s="4" t="s">
        <v>5</v>
      </c>
      <c r="G1418" s="8"/>
      <c r="H1418" s="6" t="str">
        <f aca="false">IF(G1418="","",G1418/SUMIFS($G$2:$G$1462,$F$2:$F$1462,"Served"))</f>
        <v/>
      </c>
      <c r="I1418" s="4" t="str">
        <f aca="false">IF(G1418="","",RANK(G1418,$G$2:$G$1462,0))</f>
        <v/>
      </c>
      <c r="J1418" s="4" t="s">
        <v>34</v>
      </c>
    </row>
    <row r="1419" customFormat="false" ht="15" hidden="false" customHeight="false" outlineLevel="0" collapsed="false">
      <c r="A1419" s="4" t="s">
        <v>3024</v>
      </c>
      <c r="B1419" s="4" t="s">
        <v>3000</v>
      </c>
      <c r="C1419" s="4" t="s">
        <v>3001</v>
      </c>
      <c r="D1419" s="7" t="s">
        <v>3025</v>
      </c>
      <c r="E1419" s="4" t="s">
        <v>3003</v>
      </c>
      <c r="F1419" s="4" t="s">
        <v>5</v>
      </c>
      <c r="G1419" s="8"/>
      <c r="H1419" s="6" t="str">
        <f aca="false">IF(G1419="","",G1419/SUMIFS($G$2:$G$1462,$F$2:$F$1462,"Served"))</f>
        <v/>
      </c>
      <c r="I1419" s="4" t="str">
        <f aca="false">IF(G1419="","",RANK(G1419,$G$2:$G$1462,0))</f>
        <v/>
      </c>
      <c r="J1419" s="4" t="s">
        <v>34</v>
      </c>
    </row>
    <row r="1420" customFormat="false" ht="15" hidden="false" customHeight="false" outlineLevel="0" collapsed="false">
      <c r="A1420" s="4" t="s">
        <v>3026</v>
      </c>
      <c r="B1420" s="4" t="s">
        <v>3000</v>
      </c>
      <c r="C1420" s="4" t="s">
        <v>3001</v>
      </c>
      <c r="D1420" s="7" t="s">
        <v>3027</v>
      </c>
      <c r="E1420" s="4" t="s">
        <v>3003</v>
      </c>
      <c r="F1420" s="4" t="s">
        <v>5</v>
      </c>
      <c r="G1420" s="8"/>
      <c r="H1420" s="6" t="str">
        <f aca="false">IF(G1420="","",G1420/SUMIFS($G$2:$G$1462,$F$2:$F$1462,"Served"))</f>
        <v/>
      </c>
      <c r="I1420" s="4" t="str">
        <f aca="false">IF(G1420="","",RANK(G1420,$G$2:$G$1462,0))</f>
        <v/>
      </c>
      <c r="J1420" s="4" t="s">
        <v>34</v>
      </c>
    </row>
    <row r="1421" customFormat="false" ht="15" hidden="false" customHeight="false" outlineLevel="0" collapsed="false">
      <c r="A1421" s="4" t="s">
        <v>3028</v>
      </c>
      <c r="B1421" s="4" t="s">
        <v>3000</v>
      </c>
      <c r="C1421" s="4" t="s">
        <v>3001</v>
      </c>
      <c r="D1421" s="7" t="s">
        <v>3029</v>
      </c>
      <c r="E1421" s="4" t="s">
        <v>3003</v>
      </c>
      <c r="F1421" s="4" t="s">
        <v>5</v>
      </c>
      <c r="G1421" s="8"/>
      <c r="H1421" s="6" t="str">
        <f aca="false">IF(G1421="","",G1421/SUMIFS($G$2:$G$1462,$F$2:$F$1462,"Served"))</f>
        <v/>
      </c>
      <c r="I1421" s="4" t="str">
        <f aca="false">IF(G1421="","",RANK(G1421,$G$2:$G$1462,0))</f>
        <v/>
      </c>
      <c r="J1421" s="4" t="s">
        <v>34</v>
      </c>
    </row>
    <row r="1422" customFormat="false" ht="15" hidden="false" customHeight="false" outlineLevel="0" collapsed="false">
      <c r="A1422" s="4" t="s">
        <v>3030</v>
      </c>
      <c r="B1422" s="4" t="s">
        <v>3000</v>
      </c>
      <c r="C1422" s="4" t="s">
        <v>3001</v>
      </c>
      <c r="D1422" s="7" t="s">
        <v>3031</v>
      </c>
      <c r="E1422" s="4" t="s">
        <v>3003</v>
      </c>
      <c r="F1422" s="4" t="s">
        <v>5</v>
      </c>
      <c r="G1422" s="8"/>
      <c r="H1422" s="6" t="str">
        <f aca="false">IF(G1422="","",G1422/SUMIFS($G$2:$G$1462,$F$2:$F$1462,"Served"))</f>
        <v/>
      </c>
      <c r="I1422" s="4" t="str">
        <f aca="false">IF(G1422="","",RANK(G1422,$G$2:$G$1462,0))</f>
        <v/>
      </c>
      <c r="J1422" s="4" t="s">
        <v>34</v>
      </c>
    </row>
    <row r="1423" customFormat="false" ht="15" hidden="false" customHeight="false" outlineLevel="0" collapsed="false">
      <c r="A1423" s="4" t="s">
        <v>3032</v>
      </c>
      <c r="B1423" s="4" t="s">
        <v>3000</v>
      </c>
      <c r="C1423" s="4" t="s">
        <v>3001</v>
      </c>
      <c r="D1423" s="7" t="s">
        <v>3033</v>
      </c>
      <c r="E1423" s="4" t="s">
        <v>3003</v>
      </c>
      <c r="F1423" s="4" t="s">
        <v>5</v>
      </c>
      <c r="G1423" s="8"/>
      <c r="H1423" s="6" t="str">
        <f aca="false">IF(G1423="","",G1423/SUMIFS($G$2:$G$1462,$F$2:$F$1462,"Served"))</f>
        <v/>
      </c>
      <c r="I1423" s="4" t="str">
        <f aca="false">IF(G1423="","",RANK(G1423,$G$2:$G$1462,0))</f>
        <v/>
      </c>
      <c r="J1423" s="4" t="s">
        <v>34</v>
      </c>
    </row>
    <row r="1424" customFormat="false" ht="15" hidden="false" customHeight="false" outlineLevel="0" collapsed="false">
      <c r="A1424" s="4" t="s">
        <v>3034</v>
      </c>
      <c r="B1424" s="4" t="s">
        <v>3000</v>
      </c>
      <c r="C1424" s="4" t="s">
        <v>3001</v>
      </c>
      <c r="D1424" s="7" t="s">
        <v>3035</v>
      </c>
      <c r="E1424" s="4" t="s">
        <v>3003</v>
      </c>
      <c r="F1424" s="4" t="s">
        <v>5</v>
      </c>
      <c r="G1424" s="8"/>
      <c r="H1424" s="6" t="str">
        <f aca="false">IF(G1424="","",G1424/SUMIFS($G$2:$G$1462,$F$2:$F$1462,"Served"))</f>
        <v/>
      </c>
      <c r="I1424" s="4" t="str">
        <f aca="false">IF(G1424="","",RANK(G1424,$G$2:$G$1462,0))</f>
        <v/>
      </c>
      <c r="J1424" s="4" t="s">
        <v>34</v>
      </c>
    </row>
    <row r="1425" customFormat="false" ht="15" hidden="false" customHeight="false" outlineLevel="0" collapsed="false">
      <c r="A1425" s="4" t="s">
        <v>3036</v>
      </c>
      <c r="B1425" s="4" t="s">
        <v>3000</v>
      </c>
      <c r="C1425" s="4" t="s">
        <v>3001</v>
      </c>
      <c r="D1425" s="7" t="s">
        <v>3037</v>
      </c>
      <c r="E1425" s="4" t="s">
        <v>3003</v>
      </c>
      <c r="F1425" s="4" t="s">
        <v>5</v>
      </c>
      <c r="G1425" s="8"/>
      <c r="H1425" s="6" t="str">
        <f aca="false">IF(G1425="","",G1425/SUMIFS($G$2:$G$1462,$F$2:$F$1462,"Served"))</f>
        <v/>
      </c>
      <c r="I1425" s="4" t="str">
        <f aca="false">IF(G1425="","",RANK(G1425,$G$2:$G$1462,0))</f>
        <v/>
      </c>
      <c r="J1425" s="4" t="s">
        <v>34</v>
      </c>
    </row>
    <row r="1426" customFormat="false" ht="15" hidden="false" customHeight="false" outlineLevel="0" collapsed="false">
      <c r="A1426" s="4" t="s">
        <v>3038</v>
      </c>
      <c r="B1426" s="4" t="s">
        <v>3000</v>
      </c>
      <c r="C1426" s="4" t="s">
        <v>3001</v>
      </c>
      <c r="D1426" s="7" t="s">
        <v>3039</v>
      </c>
      <c r="E1426" s="4" t="s">
        <v>3003</v>
      </c>
      <c r="F1426" s="4" t="s">
        <v>5</v>
      </c>
      <c r="G1426" s="8"/>
      <c r="H1426" s="6" t="str">
        <f aca="false">IF(G1426="","",G1426/SUMIFS($G$2:$G$1462,$F$2:$F$1462,"Served"))</f>
        <v/>
      </c>
      <c r="I1426" s="4" t="str">
        <f aca="false">IF(G1426="","",RANK(G1426,$G$2:$G$1462,0))</f>
        <v/>
      </c>
      <c r="J1426" s="4" t="s">
        <v>34</v>
      </c>
    </row>
    <row r="1427" customFormat="false" ht="15" hidden="false" customHeight="false" outlineLevel="0" collapsed="false">
      <c r="A1427" s="4" t="s">
        <v>3040</v>
      </c>
      <c r="B1427" s="4" t="s">
        <v>3041</v>
      </c>
      <c r="C1427" s="4" t="s">
        <v>3042</v>
      </c>
      <c r="D1427" s="7" t="s">
        <v>3043</v>
      </c>
      <c r="E1427" s="4" t="s">
        <v>3044</v>
      </c>
      <c r="F1427" s="4" t="s">
        <v>6</v>
      </c>
      <c r="G1427" s="8"/>
      <c r="H1427" s="6" t="str">
        <f aca="false">IF(G1427="","",G1427/SUMIFS($G$2:$G$1462,$F$2:$F$1462,"Served"))</f>
        <v/>
      </c>
      <c r="I1427" s="4" t="str">
        <f aca="false">IF(G1427="","",RANK(G1427,$G$2:$G$1462,0))</f>
        <v/>
      </c>
      <c r="J1427" s="4" t="s">
        <v>34</v>
      </c>
    </row>
    <row r="1428" customFormat="false" ht="15" hidden="false" customHeight="false" outlineLevel="0" collapsed="false">
      <c r="A1428" s="4" t="s">
        <v>3045</v>
      </c>
      <c r="B1428" s="4" t="s">
        <v>3041</v>
      </c>
      <c r="C1428" s="4" t="s">
        <v>3042</v>
      </c>
      <c r="D1428" s="7" t="s">
        <v>3046</v>
      </c>
      <c r="E1428" s="4" t="s">
        <v>3044</v>
      </c>
      <c r="F1428" s="4" t="s">
        <v>6</v>
      </c>
      <c r="G1428" s="8"/>
      <c r="H1428" s="6" t="str">
        <f aca="false">IF(G1428="","",G1428/SUMIFS($G$2:$G$1462,$F$2:$F$1462,"Served"))</f>
        <v/>
      </c>
      <c r="I1428" s="4" t="str">
        <f aca="false">IF(G1428="","",RANK(G1428,$G$2:$G$1462,0))</f>
        <v/>
      </c>
      <c r="J1428" s="4" t="s">
        <v>34</v>
      </c>
    </row>
    <row r="1429" customFormat="false" ht="15" hidden="false" customHeight="false" outlineLevel="0" collapsed="false">
      <c r="A1429" s="4" t="s">
        <v>3047</v>
      </c>
      <c r="B1429" s="4" t="s">
        <v>3041</v>
      </c>
      <c r="C1429" s="4" t="s">
        <v>3042</v>
      </c>
      <c r="D1429" s="7" t="s">
        <v>3048</v>
      </c>
      <c r="E1429" s="4" t="s">
        <v>3044</v>
      </c>
      <c r="F1429" s="4" t="s">
        <v>6</v>
      </c>
      <c r="G1429" s="8"/>
      <c r="H1429" s="6" t="str">
        <f aca="false">IF(G1429="","",G1429/SUMIFS($G$2:$G$1462,$F$2:$F$1462,"Served"))</f>
        <v/>
      </c>
      <c r="I1429" s="4" t="str">
        <f aca="false">IF(G1429="","",RANK(G1429,$G$2:$G$1462,0))</f>
        <v/>
      </c>
      <c r="J1429" s="4" t="s">
        <v>34</v>
      </c>
    </row>
    <row r="1430" customFormat="false" ht="15" hidden="false" customHeight="false" outlineLevel="0" collapsed="false">
      <c r="A1430" s="4" t="s">
        <v>3049</v>
      </c>
      <c r="B1430" s="4" t="s">
        <v>3041</v>
      </c>
      <c r="C1430" s="4" t="s">
        <v>3042</v>
      </c>
      <c r="D1430" s="7" t="s">
        <v>3050</v>
      </c>
      <c r="E1430" s="4" t="s">
        <v>3044</v>
      </c>
      <c r="F1430" s="4" t="s">
        <v>6</v>
      </c>
      <c r="G1430" s="8"/>
      <c r="H1430" s="6" t="str">
        <f aca="false">IF(G1430="","",G1430/SUMIFS($G$2:$G$1462,$F$2:$F$1462,"Served"))</f>
        <v/>
      </c>
      <c r="I1430" s="4" t="str">
        <f aca="false">IF(G1430="","",RANK(G1430,$G$2:$G$1462,0))</f>
        <v/>
      </c>
      <c r="J1430" s="4" t="s">
        <v>34</v>
      </c>
    </row>
    <row r="1431" customFormat="false" ht="15" hidden="false" customHeight="false" outlineLevel="0" collapsed="false">
      <c r="A1431" s="4" t="s">
        <v>3051</v>
      </c>
      <c r="B1431" s="4" t="s">
        <v>3041</v>
      </c>
      <c r="C1431" s="4" t="s">
        <v>3042</v>
      </c>
      <c r="D1431" s="7" t="s">
        <v>3052</v>
      </c>
      <c r="E1431" s="4" t="s">
        <v>3044</v>
      </c>
      <c r="F1431" s="4" t="s">
        <v>6</v>
      </c>
      <c r="G1431" s="8"/>
      <c r="H1431" s="6" t="str">
        <f aca="false">IF(G1431="","",G1431/SUMIFS($G$2:$G$1462,$F$2:$F$1462,"Served"))</f>
        <v/>
      </c>
      <c r="I1431" s="4" t="str">
        <f aca="false">IF(G1431="","",RANK(G1431,$G$2:$G$1462,0))</f>
        <v/>
      </c>
      <c r="J1431" s="4" t="s">
        <v>34</v>
      </c>
    </row>
    <row r="1432" customFormat="false" ht="15" hidden="false" customHeight="false" outlineLevel="0" collapsed="false">
      <c r="A1432" s="4" t="s">
        <v>3053</v>
      </c>
      <c r="B1432" s="4" t="s">
        <v>3041</v>
      </c>
      <c r="C1432" s="4" t="s">
        <v>3042</v>
      </c>
      <c r="D1432" s="7" t="s">
        <v>3054</v>
      </c>
      <c r="E1432" s="4" t="s">
        <v>3044</v>
      </c>
      <c r="F1432" s="4" t="s">
        <v>6</v>
      </c>
      <c r="G1432" s="8"/>
      <c r="H1432" s="6" t="str">
        <f aca="false">IF(G1432="","",G1432/SUMIFS($G$2:$G$1462,$F$2:$F$1462,"Served"))</f>
        <v/>
      </c>
      <c r="I1432" s="4" t="str">
        <f aca="false">IF(G1432="","",RANK(G1432,$G$2:$G$1462,0))</f>
        <v/>
      </c>
      <c r="J1432" s="4" t="s">
        <v>34</v>
      </c>
    </row>
    <row r="1433" customFormat="false" ht="15" hidden="false" customHeight="false" outlineLevel="0" collapsed="false">
      <c r="A1433" s="4" t="s">
        <v>3055</v>
      </c>
      <c r="B1433" s="4" t="s">
        <v>3041</v>
      </c>
      <c r="C1433" s="4" t="s">
        <v>3042</v>
      </c>
      <c r="D1433" s="7" t="s">
        <v>3056</v>
      </c>
      <c r="E1433" s="4" t="s">
        <v>3044</v>
      </c>
      <c r="F1433" s="4" t="s">
        <v>6</v>
      </c>
      <c r="G1433" s="8"/>
      <c r="H1433" s="6" t="str">
        <f aca="false">IF(G1433="","",G1433/SUMIFS($G$2:$G$1462,$F$2:$F$1462,"Served"))</f>
        <v/>
      </c>
      <c r="I1433" s="4" t="str">
        <f aca="false">IF(G1433="","",RANK(G1433,$G$2:$G$1462,0))</f>
        <v/>
      </c>
      <c r="J1433" s="4" t="s">
        <v>34</v>
      </c>
    </row>
    <row r="1434" customFormat="false" ht="15" hidden="false" customHeight="false" outlineLevel="0" collapsed="false">
      <c r="A1434" s="4" t="s">
        <v>3057</v>
      </c>
      <c r="B1434" s="4" t="s">
        <v>3041</v>
      </c>
      <c r="C1434" s="4" t="s">
        <v>3042</v>
      </c>
      <c r="D1434" s="7" t="s">
        <v>3058</v>
      </c>
      <c r="E1434" s="4" t="s">
        <v>3044</v>
      </c>
      <c r="F1434" s="4" t="s">
        <v>6</v>
      </c>
      <c r="G1434" s="8"/>
      <c r="H1434" s="6" t="str">
        <f aca="false">IF(G1434="","",G1434/SUMIFS($G$2:$G$1462,$F$2:$F$1462,"Served"))</f>
        <v/>
      </c>
      <c r="I1434" s="4" t="str">
        <f aca="false">IF(G1434="","",RANK(G1434,$G$2:$G$1462,0))</f>
        <v/>
      </c>
      <c r="J1434" s="4" t="s">
        <v>34</v>
      </c>
    </row>
    <row r="1435" customFormat="false" ht="15" hidden="false" customHeight="false" outlineLevel="0" collapsed="false">
      <c r="A1435" s="4" t="s">
        <v>3059</v>
      </c>
      <c r="B1435" s="4" t="s">
        <v>3041</v>
      </c>
      <c r="C1435" s="4" t="s">
        <v>3042</v>
      </c>
      <c r="D1435" s="7" t="s">
        <v>3060</v>
      </c>
      <c r="E1435" s="4" t="s">
        <v>3044</v>
      </c>
      <c r="F1435" s="4" t="s">
        <v>6</v>
      </c>
      <c r="G1435" s="8"/>
      <c r="H1435" s="6" t="str">
        <f aca="false">IF(G1435="","",G1435/SUMIFS($G$2:$G$1462,$F$2:$F$1462,"Served"))</f>
        <v/>
      </c>
      <c r="I1435" s="4" t="str">
        <f aca="false">IF(G1435="","",RANK(G1435,$G$2:$G$1462,0))</f>
        <v/>
      </c>
      <c r="J1435" s="4" t="s">
        <v>34</v>
      </c>
    </row>
    <row r="1436" customFormat="false" ht="15" hidden="false" customHeight="false" outlineLevel="0" collapsed="false">
      <c r="A1436" s="4" t="s">
        <v>3061</v>
      </c>
      <c r="B1436" s="4" t="s">
        <v>3041</v>
      </c>
      <c r="C1436" s="4" t="s">
        <v>3042</v>
      </c>
      <c r="D1436" s="7" t="s">
        <v>3062</v>
      </c>
      <c r="E1436" s="4" t="s">
        <v>3044</v>
      </c>
      <c r="F1436" s="4" t="s">
        <v>6</v>
      </c>
      <c r="G1436" s="8"/>
      <c r="H1436" s="6" t="str">
        <f aca="false">IF(G1436="","",G1436/SUMIFS($G$2:$G$1462,$F$2:$F$1462,"Served"))</f>
        <v/>
      </c>
      <c r="I1436" s="4" t="str">
        <f aca="false">IF(G1436="","",RANK(G1436,$G$2:$G$1462,0))</f>
        <v/>
      </c>
      <c r="J1436" s="4" t="s">
        <v>34</v>
      </c>
    </row>
    <row r="1437" customFormat="false" ht="15" hidden="false" customHeight="false" outlineLevel="0" collapsed="false">
      <c r="A1437" s="4" t="s">
        <v>3063</v>
      </c>
      <c r="B1437" s="4" t="s">
        <v>3041</v>
      </c>
      <c r="C1437" s="4" t="s">
        <v>3042</v>
      </c>
      <c r="D1437" s="7" t="s">
        <v>3064</v>
      </c>
      <c r="E1437" s="4" t="s">
        <v>3044</v>
      </c>
      <c r="F1437" s="4" t="s">
        <v>6</v>
      </c>
      <c r="G1437" s="8"/>
      <c r="H1437" s="6" t="str">
        <f aca="false">IF(G1437="","",G1437/SUMIFS($G$2:$G$1462,$F$2:$F$1462,"Served"))</f>
        <v/>
      </c>
      <c r="I1437" s="4" t="str">
        <f aca="false">IF(G1437="","",RANK(G1437,$G$2:$G$1462,0))</f>
        <v/>
      </c>
      <c r="J1437" s="4" t="s">
        <v>34</v>
      </c>
    </row>
    <row r="1438" customFormat="false" ht="15" hidden="false" customHeight="false" outlineLevel="0" collapsed="false">
      <c r="A1438" s="4" t="s">
        <v>3065</v>
      </c>
      <c r="B1438" s="4" t="s">
        <v>3041</v>
      </c>
      <c r="C1438" s="4" t="s">
        <v>3042</v>
      </c>
      <c r="D1438" s="7" t="s">
        <v>3066</v>
      </c>
      <c r="E1438" s="4" t="s">
        <v>3044</v>
      </c>
      <c r="F1438" s="4" t="s">
        <v>6</v>
      </c>
      <c r="G1438" s="8"/>
      <c r="H1438" s="6" t="str">
        <f aca="false">IF(G1438="","",G1438/SUMIFS($G$2:$G$1462,$F$2:$F$1462,"Served"))</f>
        <v/>
      </c>
      <c r="I1438" s="4" t="str">
        <f aca="false">IF(G1438="","",RANK(G1438,$G$2:$G$1462,0))</f>
        <v/>
      </c>
      <c r="J1438" s="4" t="s">
        <v>34</v>
      </c>
    </row>
    <row r="1439" customFormat="false" ht="15" hidden="false" customHeight="false" outlineLevel="0" collapsed="false">
      <c r="A1439" s="4" t="s">
        <v>3067</v>
      </c>
      <c r="B1439" s="4" t="s">
        <v>3041</v>
      </c>
      <c r="C1439" s="4" t="s">
        <v>3042</v>
      </c>
      <c r="D1439" s="7" t="s">
        <v>3068</v>
      </c>
      <c r="E1439" s="4" t="s">
        <v>3044</v>
      </c>
      <c r="F1439" s="4" t="s">
        <v>6</v>
      </c>
      <c r="G1439" s="8"/>
      <c r="H1439" s="6" t="str">
        <f aca="false">IF(G1439="","",G1439/SUMIFS($G$2:$G$1462,$F$2:$F$1462,"Served"))</f>
        <v/>
      </c>
      <c r="I1439" s="4" t="str">
        <f aca="false">IF(G1439="","",RANK(G1439,$G$2:$G$1462,0))</f>
        <v/>
      </c>
      <c r="J1439" s="4" t="s">
        <v>34</v>
      </c>
    </row>
    <row r="1440" customFormat="false" ht="15" hidden="false" customHeight="false" outlineLevel="0" collapsed="false">
      <c r="A1440" s="4" t="s">
        <v>3069</v>
      </c>
      <c r="B1440" s="4" t="s">
        <v>3041</v>
      </c>
      <c r="C1440" s="4" t="s">
        <v>3042</v>
      </c>
      <c r="D1440" s="7" t="s">
        <v>3070</v>
      </c>
      <c r="E1440" s="4" t="s">
        <v>3044</v>
      </c>
      <c r="F1440" s="4" t="s">
        <v>6</v>
      </c>
      <c r="G1440" s="8"/>
      <c r="H1440" s="6" t="str">
        <f aca="false">IF(G1440="","",G1440/SUMIFS($G$2:$G$1462,$F$2:$F$1462,"Served"))</f>
        <v/>
      </c>
      <c r="I1440" s="4" t="str">
        <f aca="false">IF(G1440="","",RANK(G1440,$G$2:$G$1462,0))</f>
        <v/>
      </c>
      <c r="J1440" s="4" t="s">
        <v>34</v>
      </c>
    </row>
    <row r="1441" customFormat="false" ht="15" hidden="false" customHeight="false" outlineLevel="0" collapsed="false">
      <c r="A1441" s="4" t="s">
        <v>3071</v>
      </c>
      <c r="B1441" s="4" t="s">
        <v>3041</v>
      </c>
      <c r="C1441" s="4" t="s">
        <v>3042</v>
      </c>
      <c r="D1441" s="7" t="s">
        <v>3072</v>
      </c>
      <c r="E1441" s="4" t="s">
        <v>3044</v>
      </c>
      <c r="F1441" s="4" t="s">
        <v>6</v>
      </c>
      <c r="G1441" s="8"/>
      <c r="H1441" s="6" t="str">
        <f aca="false">IF(G1441="","",G1441/SUMIFS($G$2:$G$1462,$F$2:$F$1462,"Served"))</f>
        <v/>
      </c>
      <c r="I1441" s="4" t="str">
        <f aca="false">IF(G1441="","",RANK(G1441,$G$2:$G$1462,0))</f>
        <v/>
      </c>
      <c r="J1441" s="4" t="s">
        <v>34</v>
      </c>
    </row>
    <row r="1442" customFormat="false" ht="15" hidden="false" customHeight="false" outlineLevel="0" collapsed="false">
      <c r="A1442" s="4" t="s">
        <v>3073</v>
      </c>
      <c r="B1442" s="4" t="s">
        <v>3041</v>
      </c>
      <c r="C1442" s="4" t="s">
        <v>3042</v>
      </c>
      <c r="D1442" s="7" t="s">
        <v>3074</v>
      </c>
      <c r="E1442" s="4" t="s">
        <v>3044</v>
      </c>
      <c r="F1442" s="4" t="s">
        <v>6</v>
      </c>
      <c r="G1442" s="8"/>
      <c r="H1442" s="6" t="str">
        <f aca="false">IF(G1442="","",G1442/SUMIFS($G$2:$G$1462,$F$2:$F$1462,"Served"))</f>
        <v/>
      </c>
      <c r="I1442" s="4" t="str">
        <f aca="false">IF(G1442="","",RANK(G1442,$G$2:$G$1462,0))</f>
        <v/>
      </c>
      <c r="J1442" s="4" t="s">
        <v>34</v>
      </c>
    </row>
    <row r="1443" customFormat="false" ht="15" hidden="false" customHeight="false" outlineLevel="0" collapsed="false">
      <c r="A1443" s="4" t="s">
        <v>3075</v>
      </c>
      <c r="B1443" s="4" t="s">
        <v>3041</v>
      </c>
      <c r="C1443" s="4" t="s">
        <v>3042</v>
      </c>
      <c r="D1443" s="7" t="s">
        <v>3076</v>
      </c>
      <c r="E1443" s="4" t="s">
        <v>3044</v>
      </c>
      <c r="F1443" s="4" t="s">
        <v>6</v>
      </c>
      <c r="G1443" s="8"/>
      <c r="H1443" s="6" t="str">
        <f aca="false">IF(G1443="","",G1443/SUMIFS($G$2:$G$1462,$F$2:$F$1462,"Served"))</f>
        <v/>
      </c>
      <c r="I1443" s="4" t="str">
        <f aca="false">IF(G1443="","",RANK(G1443,$G$2:$G$1462,0))</f>
        <v/>
      </c>
      <c r="J1443" s="4" t="s">
        <v>34</v>
      </c>
    </row>
    <row r="1444" customFormat="false" ht="15" hidden="false" customHeight="false" outlineLevel="0" collapsed="false">
      <c r="A1444" s="4" t="s">
        <v>3077</v>
      </c>
      <c r="B1444" s="4" t="s">
        <v>3041</v>
      </c>
      <c r="C1444" s="4" t="s">
        <v>3042</v>
      </c>
      <c r="D1444" s="7" t="s">
        <v>3078</v>
      </c>
      <c r="E1444" s="4" t="s">
        <v>3044</v>
      </c>
      <c r="F1444" s="4" t="s">
        <v>6</v>
      </c>
      <c r="G1444" s="8"/>
      <c r="H1444" s="6" t="str">
        <f aca="false">IF(G1444="","",G1444/SUMIFS($G$2:$G$1462,$F$2:$F$1462,"Served"))</f>
        <v/>
      </c>
      <c r="I1444" s="4" t="str">
        <f aca="false">IF(G1444="","",RANK(G1444,$G$2:$G$1462,0))</f>
        <v/>
      </c>
      <c r="J1444" s="4" t="s">
        <v>34</v>
      </c>
    </row>
    <row r="1445" customFormat="false" ht="15" hidden="false" customHeight="false" outlineLevel="0" collapsed="false">
      <c r="A1445" s="4" t="s">
        <v>3079</v>
      </c>
      <c r="B1445" s="4" t="s">
        <v>3041</v>
      </c>
      <c r="C1445" s="4" t="s">
        <v>3042</v>
      </c>
      <c r="D1445" s="7" t="s">
        <v>3080</v>
      </c>
      <c r="E1445" s="4" t="s">
        <v>3044</v>
      </c>
      <c r="F1445" s="4" t="s">
        <v>6</v>
      </c>
      <c r="G1445" s="8"/>
      <c r="H1445" s="6" t="str">
        <f aca="false">IF(G1445="","",G1445/SUMIFS($G$2:$G$1462,$F$2:$F$1462,"Served"))</f>
        <v/>
      </c>
      <c r="I1445" s="4" t="str">
        <f aca="false">IF(G1445="","",RANK(G1445,$G$2:$G$1462,0))</f>
        <v/>
      </c>
      <c r="J1445" s="4" t="s">
        <v>34</v>
      </c>
    </row>
    <row r="1446" customFormat="false" ht="15" hidden="false" customHeight="false" outlineLevel="0" collapsed="false">
      <c r="A1446" s="4" t="s">
        <v>3081</v>
      </c>
      <c r="B1446" s="4" t="s">
        <v>3041</v>
      </c>
      <c r="C1446" s="4" t="s">
        <v>3042</v>
      </c>
      <c r="D1446" s="7" t="s">
        <v>3082</v>
      </c>
      <c r="E1446" s="4" t="s">
        <v>3044</v>
      </c>
      <c r="F1446" s="4" t="s">
        <v>6</v>
      </c>
      <c r="G1446" s="8"/>
      <c r="H1446" s="6" t="str">
        <f aca="false">IF(G1446="","",G1446/SUMIFS($G$2:$G$1462,$F$2:$F$1462,"Served"))</f>
        <v/>
      </c>
      <c r="I1446" s="4" t="str">
        <f aca="false">IF(G1446="","",RANK(G1446,$G$2:$G$1462,0))</f>
        <v/>
      </c>
      <c r="J1446" s="4" t="s">
        <v>34</v>
      </c>
    </row>
    <row r="1447" customFormat="false" ht="15" hidden="false" customHeight="false" outlineLevel="0" collapsed="false">
      <c r="A1447" s="4" t="s">
        <v>3083</v>
      </c>
      <c r="B1447" s="4" t="s">
        <v>3041</v>
      </c>
      <c r="C1447" s="4" t="s">
        <v>3042</v>
      </c>
      <c r="D1447" s="7" t="s">
        <v>3084</v>
      </c>
      <c r="E1447" s="4" t="s">
        <v>3044</v>
      </c>
      <c r="F1447" s="4" t="s">
        <v>6</v>
      </c>
      <c r="G1447" s="8"/>
      <c r="H1447" s="6" t="str">
        <f aca="false">IF(G1447="","",G1447/SUMIFS($G$2:$G$1462,$F$2:$F$1462,"Served"))</f>
        <v/>
      </c>
      <c r="I1447" s="4" t="str">
        <f aca="false">IF(G1447="","",RANK(G1447,$G$2:$G$1462,0))</f>
        <v/>
      </c>
      <c r="J1447" s="4" t="s">
        <v>34</v>
      </c>
    </row>
    <row r="1448" customFormat="false" ht="15" hidden="false" customHeight="false" outlineLevel="0" collapsed="false">
      <c r="A1448" s="4" t="s">
        <v>3085</v>
      </c>
      <c r="B1448" s="4" t="s">
        <v>3041</v>
      </c>
      <c r="C1448" s="4" t="s">
        <v>3042</v>
      </c>
      <c r="D1448" s="7" t="s">
        <v>3086</v>
      </c>
      <c r="E1448" s="4" t="s">
        <v>3044</v>
      </c>
      <c r="F1448" s="4" t="s">
        <v>6</v>
      </c>
      <c r="G1448" s="8"/>
      <c r="H1448" s="6" t="str">
        <f aca="false">IF(G1448="","",G1448/SUMIFS($G$2:$G$1462,$F$2:$F$1462,"Served"))</f>
        <v/>
      </c>
      <c r="I1448" s="4" t="str">
        <f aca="false">IF(G1448="","",RANK(G1448,$G$2:$G$1462,0))</f>
        <v/>
      </c>
      <c r="J1448" s="4" t="s">
        <v>34</v>
      </c>
    </row>
    <row r="1449" customFormat="false" ht="15" hidden="false" customHeight="false" outlineLevel="0" collapsed="false">
      <c r="A1449" s="4" t="s">
        <v>3087</v>
      </c>
      <c r="B1449" s="4" t="s">
        <v>3041</v>
      </c>
      <c r="C1449" s="4" t="s">
        <v>3042</v>
      </c>
      <c r="D1449" s="7" t="s">
        <v>3088</v>
      </c>
      <c r="E1449" s="4" t="s">
        <v>3044</v>
      </c>
      <c r="F1449" s="4" t="s">
        <v>6</v>
      </c>
      <c r="G1449" s="8"/>
      <c r="H1449" s="6" t="str">
        <f aca="false">IF(G1449="","",G1449/SUMIFS($G$2:$G$1462,$F$2:$F$1462,"Served"))</f>
        <v/>
      </c>
      <c r="I1449" s="4" t="str">
        <f aca="false">IF(G1449="","",RANK(G1449,$G$2:$G$1462,0))</f>
        <v/>
      </c>
      <c r="J1449" s="4" t="s">
        <v>34</v>
      </c>
    </row>
    <row r="1450" customFormat="false" ht="15" hidden="false" customHeight="false" outlineLevel="0" collapsed="false">
      <c r="A1450" s="4" t="s">
        <v>3089</v>
      </c>
      <c r="B1450" s="4" t="s">
        <v>3041</v>
      </c>
      <c r="C1450" s="4" t="s">
        <v>3042</v>
      </c>
      <c r="D1450" s="7" t="s">
        <v>3090</v>
      </c>
      <c r="E1450" s="4" t="s">
        <v>3044</v>
      </c>
      <c r="F1450" s="4" t="s">
        <v>6</v>
      </c>
      <c r="G1450" s="8"/>
      <c r="H1450" s="6" t="str">
        <f aca="false">IF(G1450="","",G1450/SUMIFS($G$2:$G$1462,$F$2:$F$1462,"Served"))</f>
        <v/>
      </c>
      <c r="I1450" s="4" t="str">
        <f aca="false">IF(G1450="","",RANK(G1450,$G$2:$G$1462,0))</f>
        <v/>
      </c>
      <c r="J1450" s="4" t="s">
        <v>34</v>
      </c>
    </row>
    <row r="1451" customFormat="false" ht="15" hidden="false" customHeight="false" outlineLevel="0" collapsed="false">
      <c r="A1451" s="4" t="s">
        <v>3091</v>
      </c>
      <c r="B1451" s="4" t="s">
        <v>3041</v>
      </c>
      <c r="C1451" s="4" t="s">
        <v>3042</v>
      </c>
      <c r="D1451" s="7" t="s">
        <v>3092</v>
      </c>
      <c r="E1451" s="4" t="s">
        <v>3044</v>
      </c>
      <c r="F1451" s="4" t="s">
        <v>6</v>
      </c>
      <c r="G1451" s="8"/>
      <c r="H1451" s="6" t="str">
        <f aca="false">IF(G1451="","",G1451/SUMIFS($G$2:$G$1462,$F$2:$F$1462,"Served"))</f>
        <v/>
      </c>
      <c r="I1451" s="4" t="str">
        <f aca="false">IF(G1451="","",RANK(G1451,$G$2:$G$1462,0))</f>
        <v/>
      </c>
      <c r="J1451" s="4" t="s">
        <v>34</v>
      </c>
    </row>
    <row r="1452" customFormat="false" ht="15" hidden="false" customHeight="false" outlineLevel="0" collapsed="false">
      <c r="A1452" s="4" t="s">
        <v>3093</v>
      </c>
      <c r="B1452" s="4" t="s">
        <v>3041</v>
      </c>
      <c r="C1452" s="4" t="s">
        <v>3042</v>
      </c>
      <c r="D1452" s="7" t="s">
        <v>3094</v>
      </c>
      <c r="E1452" s="4" t="s">
        <v>3044</v>
      </c>
      <c r="F1452" s="4" t="s">
        <v>6</v>
      </c>
      <c r="G1452" s="8"/>
      <c r="H1452" s="6" t="str">
        <f aca="false">IF(G1452="","",G1452/SUMIFS($G$2:$G$1462,$F$2:$F$1462,"Served"))</f>
        <v/>
      </c>
      <c r="I1452" s="4" t="str">
        <f aca="false">IF(G1452="","",RANK(G1452,$G$2:$G$1462,0))</f>
        <v/>
      </c>
      <c r="J1452" s="4" t="s">
        <v>34</v>
      </c>
    </row>
    <row r="1453" customFormat="false" ht="15" hidden="false" customHeight="false" outlineLevel="0" collapsed="false">
      <c r="A1453" s="4" t="s">
        <v>3095</v>
      </c>
      <c r="B1453" s="4" t="s">
        <v>3041</v>
      </c>
      <c r="C1453" s="4" t="s">
        <v>3042</v>
      </c>
      <c r="D1453" s="7" t="s">
        <v>3096</v>
      </c>
      <c r="E1453" s="4" t="s">
        <v>3044</v>
      </c>
      <c r="F1453" s="4" t="s">
        <v>6</v>
      </c>
      <c r="G1453" s="8"/>
      <c r="H1453" s="6" t="str">
        <f aca="false">IF(G1453="","",G1453/SUMIFS($G$2:$G$1462,$F$2:$F$1462,"Served"))</f>
        <v/>
      </c>
      <c r="I1453" s="4" t="str">
        <f aca="false">IF(G1453="","",RANK(G1453,$G$2:$G$1462,0))</f>
        <v/>
      </c>
      <c r="J1453" s="4" t="s">
        <v>34</v>
      </c>
    </row>
    <row r="1454" customFormat="false" ht="15" hidden="false" customHeight="false" outlineLevel="0" collapsed="false">
      <c r="A1454" s="4" t="s">
        <v>3097</v>
      </c>
      <c r="B1454" s="4" t="s">
        <v>3041</v>
      </c>
      <c r="C1454" s="4" t="s">
        <v>3042</v>
      </c>
      <c r="D1454" s="7" t="s">
        <v>3098</v>
      </c>
      <c r="E1454" s="4" t="s">
        <v>3044</v>
      </c>
      <c r="F1454" s="4" t="s">
        <v>6</v>
      </c>
      <c r="G1454" s="8"/>
      <c r="H1454" s="6" t="str">
        <f aca="false">IF(G1454="","",G1454/SUMIFS($G$2:$G$1462,$F$2:$F$1462,"Served"))</f>
        <v/>
      </c>
      <c r="I1454" s="4" t="str">
        <f aca="false">IF(G1454="","",RANK(G1454,$G$2:$G$1462,0))</f>
        <v/>
      </c>
      <c r="J1454" s="4" t="s">
        <v>34</v>
      </c>
    </row>
    <row r="1455" customFormat="false" ht="15" hidden="false" customHeight="false" outlineLevel="0" collapsed="false">
      <c r="A1455" s="4" t="s">
        <v>3099</v>
      </c>
      <c r="B1455" s="4" t="s">
        <v>3041</v>
      </c>
      <c r="C1455" s="4" t="s">
        <v>3042</v>
      </c>
      <c r="D1455" s="7" t="s">
        <v>3100</v>
      </c>
      <c r="E1455" s="4" t="s">
        <v>3044</v>
      </c>
      <c r="F1455" s="4" t="s">
        <v>6</v>
      </c>
      <c r="G1455" s="8"/>
      <c r="H1455" s="6" t="str">
        <f aca="false">IF(G1455="","",G1455/SUMIFS($G$2:$G$1462,$F$2:$F$1462,"Served"))</f>
        <v/>
      </c>
      <c r="I1455" s="4" t="str">
        <f aca="false">IF(G1455="","",RANK(G1455,$G$2:$G$1462,0))</f>
        <v/>
      </c>
      <c r="J1455" s="4" t="s">
        <v>34</v>
      </c>
    </row>
    <row r="1456" customFormat="false" ht="15" hidden="false" customHeight="false" outlineLevel="0" collapsed="false">
      <c r="A1456" s="4" t="s">
        <v>3101</v>
      </c>
      <c r="B1456" s="4" t="s">
        <v>3041</v>
      </c>
      <c r="C1456" s="4" t="s">
        <v>3042</v>
      </c>
      <c r="D1456" s="7" t="s">
        <v>3102</v>
      </c>
      <c r="E1456" s="4" t="s">
        <v>3044</v>
      </c>
      <c r="F1456" s="4" t="s">
        <v>6</v>
      </c>
      <c r="G1456" s="8"/>
      <c r="H1456" s="6" t="str">
        <f aca="false">IF(G1456="","",G1456/SUMIFS($G$2:$G$1462,$F$2:$F$1462,"Served"))</f>
        <v/>
      </c>
      <c r="I1456" s="4" t="str">
        <f aca="false">IF(G1456="","",RANK(G1456,$G$2:$G$1462,0))</f>
        <v/>
      </c>
      <c r="J1456" s="4" t="s">
        <v>34</v>
      </c>
    </row>
    <row r="1457" customFormat="false" ht="15" hidden="false" customHeight="false" outlineLevel="0" collapsed="false">
      <c r="A1457" s="4" t="s">
        <v>3103</v>
      </c>
      <c r="B1457" s="4" t="s">
        <v>3041</v>
      </c>
      <c r="C1457" s="4" t="s">
        <v>3042</v>
      </c>
      <c r="D1457" s="7" t="s">
        <v>3104</v>
      </c>
      <c r="E1457" s="4" t="s">
        <v>3044</v>
      </c>
      <c r="F1457" s="4" t="s">
        <v>6</v>
      </c>
      <c r="G1457" s="8"/>
      <c r="H1457" s="6" t="str">
        <f aca="false">IF(G1457="","",G1457/SUMIFS($G$2:$G$1462,$F$2:$F$1462,"Served"))</f>
        <v/>
      </c>
      <c r="I1457" s="4" t="str">
        <f aca="false">IF(G1457="","",RANK(G1457,$G$2:$G$1462,0))</f>
        <v/>
      </c>
      <c r="J1457" s="4" t="s">
        <v>34</v>
      </c>
    </row>
    <row r="1458" customFormat="false" ht="15" hidden="false" customHeight="false" outlineLevel="0" collapsed="false">
      <c r="A1458" s="4" t="s">
        <v>3105</v>
      </c>
      <c r="B1458" s="4" t="s">
        <v>3041</v>
      </c>
      <c r="C1458" s="4" t="s">
        <v>3042</v>
      </c>
      <c r="D1458" s="7" t="s">
        <v>3106</v>
      </c>
      <c r="E1458" s="4" t="s">
        <v>3044</v>
      </c>
      <c r="F1458" s="4" t="s">
        <v>6</v>
      </c>
      <c r="G1458" s="8"/>
      <c r="H1458" s="6" t="str">
        <f aca="false">IF(G1458="","",G1458/SUMIFS($G$2:$G$1462,$F$2:$F$1462,"Served"))</f>
        <v/>
      </c>
      <c r="I1458" s="4" t="str">
        <f aca="false">IF(G1458="","",RANK(G1458,$G$2:$G$1462,0))</f>
        <v/>
      </c>
      <c r="J1458" s="4" t="s">
        <v>34</v>
      </c>
    </row>
    <row r="1459" customFormat="false" ht="15" hidden="false" customHeight="false" outlineLevel="0" collapsed="false">
      <c r="A1459" s="4" t="s">
        <v>3107</v>
      </c>
      <c r="B1459" s="4" t="s">
        <v>3108</v>
      </c>
      <c r="C1459" s="4" t="s">
        <v>3109</v>
      </c>
      <c r="D1459" s="7" t="s">
        <v>3110</v>
      </c>
      <c r="E1459" s="4" t="s">
        <v>135</v>
      </c>
      <c r="F1459" s="4" t="s">
        <v>7</v>
      </c>
      <c r="G1459" s="8"/>
      <c r="H1459" s="6" t="str">
        <f aca="false">IF(G1459="","",G1459/SUMIFS($G$2:$G$1462,$F$2:$F$1462,"Served"))</f>
        <v/>
      </c>
      <c r="I1459" s="4" t="str">
        <f aca="false">IF(G1459="","",RANK(G1459,$G$2:$G$1462,0))</f>
        <v/>
      </c>
      <c r="J1459" s="4" t="s">
        <v>3111</v>
      </c>
    </row>
    <row r="1460" customFormat="false" ht="15" hidden="false" customHeight="false" outlineLevel="0" collapsed="false">
      <c r="A1460" s="4" t="s">
        <v>3112</v>
      </c>
      <c r="B1460" s="4" t="s">
        <v>3108</v>
      </c>
      <c r="C1460" s="4" t="s">
        <v>3109</v>
      </c>
      <c r="D1460" s="7" t="s">
        <v>3113</v>
      </c>
      <c r="E1460" s="4" t="s">
        <v>135</v>
      </c>
      <c r="F1460" s="4" t="s">
        <v>7</v>
      </c>
      <c r="G1460" s="8"/>
      <c r="H1460" s="6" t="str">
        <f aca="false">IF(G1460="","",G1460/SUMIFS($G$2:$G$1462,$F$2:$F$1462,"Served"))</f>
        <v/>
      </c>
      <c r="I1460" s="4" t="str">
        <f aca="false">IF(G1460="","",RANK(G1460,$G$2:$G$1462,0))</f>
        <v/>
      </c>
      <c r="J1460" s="4" t="s">
        <v>3111</v>
      </c>
    </row>
    <row r="1461" customFormat="false" ht="15" hidden="false" customHeight="false" outlineLevel="0" collapsed="false">
      <c r="A1461" s="4" t="s">
        <v>3114</v>
      </c>
      <c r="B1461" s="4" t="s">
        <v>3108</v>
      </c>
      <c r="C1461" s="4" t="s">
        <v>3109</v>
      </c>
      <c r="D1461" s="7" t="s">
        <v>3115</v>
      </c>
      <c r="E1461" s="4" t="s">
        <v>135</v>
      </c>
      <c r="F1461" s="4" t="s">
        <v>7</v>
      </c>
      <c r="G1461" s="8"/>
      <c r="H1461" s="6" t="str">
        <f aca="false">IF(G1461="","",G1461/SUMIFS($G$2:$G$1462,$F$2:$F$1462,"Served"))</f>
        <v/>
      </c>
      <c r="I1461" s="4" t="str">
        <f aca="false">IF(G1461="","",RANK(G1461,$G$2:$G$1462,0))</f>
        <v/>
      </c>
      <c r="J1461" s="4" t="s">
        <v>3111</v>
      </c>
    </row>
    <row r="1462" customFormat="false" ht="15" hidden="false" customHeight="false" outlineLevel="0" collapsed="false">
      <c r="A1462" s="4" t="s">
        <v>3116</v>
      </c>
      <c r="B1462" s="4" t="s">
        <v>3108</v>
      </c>
      <c r="C1462" s="4" t="s">
        <v>3109</v>
      </c>
      <c r="D1462" s="7" t="s">
        <v>3117</v>
      </c>
      <c r="E1462" s="4" t="s">
        <v>135</v>
      </c>
      <c r="F1462" s="4" t="s">
        <v>7</v>
      </c>
      <c r="G1462" s="8"/>
      <c r="H1462" s="6" t="str">
        <f aca="false">IF(G1462="","",G1462/SUMIFS($G$2:$G$1462,$F$2:$F$1462,"Served"))</f>
        <v/>
      </c>
      <c r="I1462" s="4" t="str">
        <f aca="false">IF(G1462="","",RANK(G1462,$G$2:$G$1462,0))</f>
        <v/>
      </c>
      <c r="J1462" s="4" t="s">
        <v>3111</v>
      </c>
    </row>
  </sheetData>
  <autoFilter ref="A1:J14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110"/>
  </cols>
  <sheetData>
    <row r="1" customFormat="false" ht="23.85" hidden="false" customHeight="false" outlineLevel="0" collapsed="false">
      <c r="A1" s="3" t="s">
        <v>19</v>
      </c>
      <c r="B1" s="3" t="s">
        <v>24</v>
      </c>
      <c r="C1" s="3" t="s">
        <v>3118</v>
      </c>
      <c r="D1" s="3" t="s">
        <v>4</v>
      </c>
      <c r="E1" s="3" t="s">
        <v>26</v>
      </c>
      <c r="F1" s="3" t="s">
        <v>23</v>
      </c>
      <c r="G1" s="3" t="s">
        <v>3119</v>
      </c>
    </row>
    <row r="2" customFormat="false" ht="15" hidden="false" customHeight="false" outlineLevel="0" collapsed="false">
      <c r="A2" s="4" t="s">
        <v>30</v>
      </c>
      <c r="B2" s="4" t="s">
        <v>4</v>
      </c>
      <c r="C2" s="4" t="n">
        <f aca="false">COUNTIFS(Features!$B$2:$B$1462,A2)</f>
        <v>188</v>
      </c>
      <c r="D2" s="4" t="n">
        <f aca="false">COUNTIFS(Features!$B$2:$B$1462,A2,Features!$F$2:$F$1462,"Served")</f>
        <v>188</v>
      </c>
      <c r="E2" s="6" t="n">
        <f aca="false">SUMIFS(Features!$H$2:$H$1462,Features!$B$2:$B$1462,A2)</f>
        <v>0.519379128606232</v>
      </c>
      <c r="F2" s="4" t="s">
        <v>33</v>
      </c>
      <c r="G2" s="4" t="s">
        <v>3120</v>
      </c>
    </row>
    <row r="3" customFormat="false" ht="15" hidden="false" customHeight="false" outlineLevel="0" collapsed="false">
      <c r="A3" s="4" t="s">
        <v>43</v>
      </c>
      <c r="B3" s="4" t="s">
        <v>4</v>
      </c>
      <c r="C3" s="4" t="n">
        <f aca="false">COUNTIFS(Features!$B$2:$B$1462,A3)</f>
        <v>80</v>
      </c>
      <c r="D3" s="4" t="n">
        <f aca="false">COUNTIFS(Features!$B$2:$B$1462,A3,Features!$F$2:$F$1462,"Served")</f>
        <v>80</v>
      </c>
      <c r="E3" s="6" t="n">
        <f aca="false">SUMIFS(Features!$H$2:$H$1462,Features!$B$2:$B$1462,A3)</f>
        <v>0.159575466965225</v>
      </c>
      <c r="F3" s="4" t="s">
        <v>46</v>
      </c>
      <c r="G3" s="4" t="s">
        <v>3121</v>
      </c>
    </row>
    <row r="4" customFormat="false" ht="15" hidden="false" customHeight="false" outlineLevel="0" collapsed="false">
      <c r="A4" s="4" t="s">
        <v>61</v>
      </c>
      <c r="B4" s="4" t="s">
        <v>4</v>
      </c>
      <c r="C4" s="4" t="n">
        <f aca="false">COUNTIFS(Features!$B$2:$B$1462,A4)</f>
        <v>20</v>
      </c>
      <c r="D4" s="4" t="n">
        <f aca="false">COUNTIFS(Features!$B$2:$B$1462,A4,Features!$F$2:$F$1462,"Served")</f>
        <v>20</v>
      </c>
      <c r="E4" s="6" t="n">
        <f aca="false">SUMIFS(Features!$H$2:$H$1462,Features!$B$2:$B$1462,A4)</f>
        <v>0.0783432838698403</v>
      </c>
      <c r="F4" s="4" t="s">
        <v>64</v>
      </c>
      <c r="G4" s="4" t="s">
        <v>3122</v>
      </c>
    </row>
    <row r="5" customFormat="false" ht="15" hidden="false" customHeight="false" outlineLevel="0" collapsed="false">
      <c r="A5" s="4" t="s">
        <v>72</v>
      </c>
      <c r="B5" s="4" t="s">
        <v>4</v>
      </c>
      <c r="C5" s="4" t="n">
        <f aca="false">COUNTIFS(Features!$B$2:$B$1462,A5)</f>
        <v>60</v>
      </c>
      <c r="D5" s="4" t="n">
        <f aca="false">COUNTIFS(Features!$B$2:$B$1462,A5,Features!$F$2:$F$1462,"Served")</f>
        <v>60</v>
      </c>
      <c r="E5" s="6" t="n">
        <f aca="false">SUMIFS(Features!$H$2:$H$1462,Features!$B$2:$B$1462,A5)</f>
        <v>0.0561263616056434</v>
      </c>
      <c r="F5" s="4" t="s">
        <v>75</v>
      </c>
      <c r="G5" s="4" t="s">
        <v>3123</v>
      </c>
    </row>
    <row r="6" customFormat="false" ht="15" hidden="false" customHeight="false" outlineLevel="0" collapsed="false">
      <c r="A6" s="4" t="s">
        <v>87</v>
      </c>
      <c r="B6" s="4" t="s">
        <v>4</v>
      </c>
      <c r="C6" s="4" t="n">
        <f aca="false">COUNTIFS(Features!$B$2:$B$1462,A6)</f>
        <v>14</v>
      </c>
      <c r="D6" s="4" t="n">
        <f aca="false">COUNTIFS(Features!$B$2:$B$1462,A6,Features!$F$2:$F$1462,"Served")</f>
        <v>14</v>
      </c>
      <c r="E6" s="6" t="n">
        <f aca="false">SUMIFS(Features!$H$2:$H$1462,Features!$B$2:$B$1462,A6)</f>
        <v>0.0328954569294211</v>
      </c>
      <c r="F6" s="4" t="s">
        <v>90</v>
      </c>
      <c r="G6" s="4" t="s">
        <v>3124</v>
      </c>
    </row>
    <row r="7" customFormat="false" ht="15" hidden="false" customHeight="false" outlineLevel="0" collapsed="false">
      <c r="A7" s="4" t="s">
        <v>132</v>
      </c>
      <c r="B7" s="4" t="s">
        <v>4</v>
      </c>
      <c r="C7" s="4" t="n">
        <f aca="false">COUNTIFS(Features!$B$2:$B$1462,A7)</f>
        <v>20</v>
      </c>
      <c r="D7" s="4" t="n">
        <f aca="false">COUNTIFS(Features!$B$2:$B$1462,A7,Features!$F$2:$F$1462,"Served")</f>
        <v>20</v>
      </c>
      <c r="E7" s="6" t="n">
        <f aca="false">SUMIFS(Features!$H$2:$H$1462,Features!$B$2:$B$1462,A7)</f>
        <v>0.023349977244725</v>
      </c>
      <c r="F7" s="4" t="s">
        <v>135</v>
      </c>
      <c r="G7" s="4" t="s">
        <v>3125</v>
      </c>
    </row>
    <row r="8" customFormat="false" ht="15" hidden="false" customHeight="false" outlineLevel="0" collapsed="false">
      <c r="A8" s="4" t="s">
        <v>171</v>
      </c>
      <c r="B8" s="4" t="s">
        <v>4</v>
      </c>
      <c r="C8" s="4" t="n">
        <f aca="false">COUNTIFS(Features!$B$2:$B$1462,A8)</f>
        <v>114</v>
      </c>
      <c r="D8" s="4" t="n">
        <f aca="false">COUNTIFS(Features!$B$2:$B$1462,A8,Features!$F$2:$F$1462,"Served")</f>
        <v>114</v>
      </c>
      <c r="E8" s="6" t="n">
        <f aca="false">SUMIFS(Features!$H$2:$H$1462,Features!$B$2:$B$1462,A8)</f>
        <v>0.0842723216308863</v>
      </c>
      <c r="F8" s="4" t="s">
        <v>33</v>
      </c>
      <c r="G8" s="4" t="s">
        <v>3126</v>
      </c>
    </row>
    <row r="9" customFormat="false" ht="15" hidden="false" customHeight="false" outlineLevel="0" collapsed="false">
      <c r="A9" s="4" t="s">
        <v>204</v>
      </c>
      <c r="B9" s="4" t="s">
        <v>4</v>
      </c>
      <c r="C9" s="4" t="n">
        <f aca="false">COUNTIFS(Features!$B$2:$B$1462,A9)</f>
        <v>28</v>
      </c>
      <c r="D9" s="4" t="n">
        <f aca="false">COUNTIFS(Features!$B$2:$B$1462,A9,Features!$F$2:$F$1462,"Served")</f>
        <v>28</v>
      </c>
      <c r="E9" s="6" t="n">
        <f aca="false">SUMIFS(Features!$H$2:$H$1462,Features!$B$2:$B$1462,A9)</f>
        <v>0.016624431336773</v>
      </c>
      <c r="F9" s="4" t="s">
        <v>207</v>
      </c>
      <c r="G9" s="4" t="s">
        <v>3127</v>
      </c>
    </row>
    <row r="10" customFormat="false" ht="15" hidden="false" customHeight="false" outlineLevel="0" collapsed="false">
      <c r="A10" s="4" t="s">
        <v>321</v>
      </c>
      <c r="B10" s="4" t="s">
        <v>4</v>
      </c>
      <c r="C10" s="4" t="n">
        <f aca="false">COUNTIFS(Features!$B$2:$B$1462,A10)</f>
        <v>91</v>
      </c>
      <c r="D10" s="4" t="n">
        <f aca="false">COUNTIFS(Features!$B$2:$B$1462,A10,Features!$F$2:$F$1462,"Served")</f>
        <v>91</v>
      </c>
      <c r="E10" s="6" t="n">
        <f aca="false">SUMIFS(Features!$H$2:$H$1462,Features!$B$2:$B$1462,A10)</f>
        <v>0.0294335718112538</v>
      </c>
      <c r="F10" s="4" t="s">
        <v>324</v>
      </c>
      <c r="G10" s="4" t="s">
        <v>3128</v>
      </c>
    </row>
    <row r="11" customFormat="false" ht="15" hidden="false" customHeight="false" outlineLevel="0" collapsed="false">
      <c r="A11" s="4" t="s">
        <v>1316</v>
      </c>
      <c r="B11" s="4" t="s">
        <v>5</v>
      </c>
      <c r="C11" s="4" t="n">
        <f aca="false">COUNTIFS(Features!$B$2:$B$1462,A11)</f>
        <v>77</v>
      </c>
      <c r="D11" s="4" t="n">
        <f aca="false">COUNTIFS(Features!$B$2:$B$1462,A11,Features!$F$2:$F$1462,"Served")</f>
        <v>0</v>
      </c>
      <c r="E11" s="6" t="n">
        <f aca="false">SUMIFS(Features!$H$2:$H$1462,Features!$B$2:$B$1462,A11)</f>
        <v>0</v>
      </c>
      <c r="F11" s="4" t="s">
        <v>1319</v>
      </c>
      <c r="G11" s="4" t="s">
        <v>3129</v>
      </c>
    </row>
    <row r="12" customFormat="false" ht="15" hidden="false" customHeight="false" outlineLevel="0" collapsed="false">
      <c r="A12" s="4" t="s">
        <v>1473</v>
      </c>
      <c r="B12" s="4" t="s">
        <v>5</v>
      </c>
      <c r="C12" s="4" t="n">
        <f aca="false">COUNTIFS(Features!$B$2:$B$1462,A12)</f>
        <v>60</v>
      </c>
      <c r="D12" s="4" t="n">
        <f aca="false">COUNTIFS(Features!$B$2:$B$1462,A12,Features!$F$2:$F$1462,"Served")</f>
        <v>0</v>
      </c>
      <c r="E12" s="6" t="n">
        <f aca="false">SUMIFS(Features!$H$2:$H$1462,Features!$B$2:$B$1462,A12)</f>
        <v>0</v>
      </c>
      <c r="F12" s="4" t="s">
        <v>1476</v>
      </c>
      <c r="G12" s="4" t="s">
        <v>3130</v>
      </c>
    </row>
    <row r="13" customFormat="false" ht="15" hidden="false" customHeight="false" outlineLevel="0" collapsed="false">
      <c r="A13" s="4" t="s">
        <v>1596</v>
      </c>
      <c r="B13" s="4" t="s">
        <v>5</v>
      </c>
      <c r="C13" s="4" t="n">
        <f aca="false">COUNTIFS(Features!$B$2:$B$1462,A13)</f>
        <v>146</v>
      </c>
      <c r="D13" s="4" t="n">
        <f aca="false">COUNTIFS(Features!$B$2:$B$1462,A13,Features!$F$2:$F$1462,"Served")</f>
        <v>0</v>
      </c>
      <c r="E13" s="6" t="n">
        <f aca="false">SUMIFS(Features!$H$2:$H$1462,Features!$B$2:$B$1462,A13)</f>
        <v>0</v>
      </c>
      <c r="F13" s="4" t="s">
        <v>1599</v>
      </c>
      <c r="G13" s="4" t="s">
        <v>3131</v>
      </c>
    </row>
    <row r="14" customFormat="false" ht="15" hidden="false" customHeight="false" outlineLevel="0" collapsed="false">
      <c r="A14" s="4" t="s">
        <v>1891</v>
      </c>
      <c r="B14" s="4" t="s">
        <v>5</v>
      </c>
      <c r="C14" s="4" t="n">
        <f aca="false">COUNTIFS(Features!$B$2:$B$1462,A14)</f>
        <v>13</v>
      </c>
      <c r="D14" s="4" t="n">
        <f aca="false">COUNTIFS(Features!$B$2:$B$1462,A14,Features!$F$2:$F$1462,"Served")</f>
        <v>0</v>
      </c>
      <c r="E14" s="6" t="n">
        <f aca="false">SUMIFS(Features!$H$2:$H$1462,Features!$B$2:$B$1462,A14)</f>
        <v>0</v>
      </c>
      <c r="F14" s="4" t="s">
        <v>1894</v>
      </c>
      <c r="G14" s="4" t="s">
        <v>3132</v>
      </c>
    </row>
    <row r="15" customFormat="false" ht="15" hidden="false" customHeight="false" outlineLevel="0" collapsed="false">
      <c r="A15" s="4" t="s">
        <v>1920</v>
      </c>
      <c r="B15" s="4" t="s">
        <v>5</v>
      </c>
      <c r="C15" s="4" t="n">
        <f aca="false">COUNTIFS(Features!$B$2:$B$1462,A15)</f>
        <v>12</v>
      </c>
      <c r="D15" s="4" t="n">
        <f aca="false">COUNTIFS(Features!$B$2:$B$1462,A15,Features!$F$2:$F$1462,"Served")</f>
        <v>0</v>
      </c>
      <c r="E15" s="6" t="n">
        <f aca="false">SUMIFS(Features!$H$2:$H$1462,Features!$B$2:$B$1462,A15)</f>
        <v>0</v>
      </c>
      <c r="F15" s="4" t="s">
        <v>1923</v>
      </c>
      <c r="G15" s="4" t="s">
        <v>3133</v>
      </c>
    </row>
    <row r="16" customFormat="false" ht="15" hidden="false" customHeight="false" outlineLevel="0" collapsed="false">
      <c r="A16" s="4" t="s">
        <v>1947</v>
      </c>
      <c r="B16" s="4" t="s">
        <v>5</v>
      </c>
      <c r="C16" s="4" t="n">
        <f aca="false">COUNTIFS(Features!$B$2:$B$1462,A16)</f>
        <v>7</v>
      </c>
      <c r="D16" s="4" t="n">
        <f aca="false">COUNTIFS(Features!$B$2:$B$1462,A16,Features!$F$2:$F$1462,"Served")</f>
        <v>0</v>
      </c>
      <c r="E16" s="6" t="n">
        <f aca="false">SUMIFS(Features!$H$2:$H$1462,Features!$B$2:$B$1462,A16)</f>
        <v>0</v>
      </c>
      <c r="F16" s="4" t="s">
        <v>1950</v>
      </c>
      <c r="G16" s="4" t="s">
        <v>3134</v>
      </c>
    </row>
    <row r="17" customFormat="false" ht="15" hidden="false" customHeight="false" outlineLevel="0" collapsed="false">
      <c r="A17" s="4" t="s">
        <v>1964</v>
      </c>
      <c r="B17" s="4" t="s">
        <v>6</v>
      </c>
      <c r="C17" s="4" t="n">
        <f aca="false">COUNTIFS(Features!$B$2:$B$1462,A17)</f>
        <v>14</v>
      </c>
      <c r="D17" s="4" t="n">
        <f aca="false">COUNTIFS(Features!$B$2:$B$1462,A17,Features!$F$2:$F$1462,"Served")</f>
        <v>0</v>
      </c>
      <c r="E17" s="6" t="n">
        <f aca="false">SUMIFS(Features!$H$2:$H$1462,Features!$B$2:$B$1462,A17)</f>
        <v>0</v>
      </c>
      <c r="F17" s="4" t="s">
        <v>1967</v>
      </c>
      <c r="G17" s="4" t="s">
        <v>3135</v>
      </c>
    </row>
    <row r="18" customFormat="false" ht="15" hidden="false" customHeight="false" outlineLevel="0" collapsed="false">
      <c r="A18" s="4" t="s">
        <v>1995</v>
      </c>
      <c r="B18" s="4" t="s">
        <v>6</v>
      </c>
      <c r="C18" s="4" t="n">
        <f aca="false">COUNTIFS(Features!$B$2:$B$1462,A18)</f>
        <v>4</v>
      </c>
      <c r="D18" s="4" t="n">
        <f aca="false">COUNTIFS(Features!$B$2:$B$1462,A18,Features!$F$2:$F$1462,"Served")</f>
        <v>0</v>
      </c>
      <c r="E18" s="6" t="n">
        <f aca="false">SUMIFS(Features!$H$2:$H$1462,Features!$B$2:$B$1462,A18)</f>
        <v>0</v>
      </c>
      <c r="F18" s="4" t="s">
        <v>1998</v>
      </c>
      <c r="G18" s="4" t="s">
        <v>3136</v>
      </c>
    </row>
    <row r="19" customFormat="false" ht="15" hidden="false" customHeight="false" outlineLevel="0" collapsed="false">
      <c r="A19" s="4" t="s">
        <v>2006</v>
      </c>
      <c r="B19" s="4" t="s">
        <v>5</v>
      </c>
      <c r="C19" s="4" t="n">
        <f aca="false">COUNTIFS(Features!$B$2:$B$1462,A19)</f>
        <v>6</v>
      </c>
      <c r="D19" s="4" t="n">
        <f aca="false">COUNTIFS(Features!$B$2:$B$1462,A19,Features!$F$2:$F$1462,"Served")</f>
        <v>0</v>
      </c>
      <c r="E19" s="6" t="n">
        <f aca="false">SUMIFS(Features!$H$2:$H$1462,Features!$B$2:$B$1462,A19)</f>
        <v>0</v>
      </c>
      <c r="F19" s="4" t="s">
        <v>2009</v>
      </c>
      <c r="G19" s="4" t="s">
        <v>3137</v>
      </c>
    </row>
    <row r="20" customFormat="false" ht="15" hidden="false" customHeight="false" outlineLevel="0" collapsed="false">
      <c r="A20" s="4" t="s">
        <v>2021</v>
      </c>
      <c r="B20" s="4" t="s">
        <v>6</v>
      </c>
      <c r="C20" s="4" t="n">
        <f aca="false">COUNTIFS(Features!$B$2:$B$1462,A20)</f>
        <v>44</v>
      </c>
      <c r="D20" s="4" t="n">
        <f aca="false">COUNTIFS(Features!$B$2:$B$1462,A20,Features!$F$2:$F$1462,"Served")</f>
        <v>0</v>
      </c>
      <c r="E20" s="6" t="n">
        <f aca="false">SUMIFS(Features!$H$2:$H$1462,Features!$B$2:$B$1462,A20)</f>
        <v>0</v>
      </c>
      <c r="F20" s="4" t="s">
        <v>2024</v>
      </c>
      <c r="G20" s="4" t="s">
        <v>3138</v>
      </c>
    </row>
    <row r="21" customFormat="false" ht="15" hidden="false" customHeight="false" outlineLevel="0" collapsed="false">
      <c r="A21" s="4" t="s">
        <v>2112</v>
      </c>
      <c r="B21" s="4" t="s">
        <v>6</v>
      </c>
      <c r="C21" s="4" t="n">
        <f aca="false">COUNTIFS(Features!$B$2:$B$1462,A21)</f>
        <v>8</v>
      </c>
      <c r="D21" s="4" t="n">
        <f aca="false">COUNTIFS(Features!$B$2:$B$1462,A21,Features!$F$2:$F$1462,"Served")</f>
        <v>0</v>
      </c>
      <c r="E21" s="6" t="n">
        <f aca="false">SUMIFS(Features!$H$2:$H$1462,Features!$B$2:$B$1462,A21)</f>
        <v>0</v>
      </c>
      <c r="F21" s="4" t="s">
        <v>2115</v>
      </c>
      <c r="G21" s="4" t="s">
        <v>3139</v>
      </c>
    </row>
    <row r="22" customFormat="false" ht="15" hidden="false" customHeight="false" outlineLevel="0" collapsed="false">
      <c r="A22" s="4" t="s">
        <v>2131</v>
      </c>
      <c r="B22" s="4" t="s">
        <v>6</v>
      </c>
      <c r="C22" s="4" t="n">
        <f aca="false">COUNTIFS(Features!$B$2:$B$1462,A22)</f>
        <v>14</v>
      </c>
      <c r="D22" s="4" t="n">
        <f aca="false">COUNTIFS(Features!$B$2:$B$1462,A22,Features!$F$2:$F$1462,"Served")</f>
        <v>0</v>
      </c>
      <c r="E22" s="6" t="n">
        <f aca="false">SUMIFS(Features!$H$2:$H$1462,Features!$B$2:$B$1462,A22)</f>
        <v>0</v>
      </c>
      <c r="F22" s="4" t="s">
        <v>2134</v>
      </c>
      <c r="G22" s="4" t="s">
        <v>3140</v>
      </c>
    </row>
    <row r="23" customFormat="false" ht="15" hidden="false" customHeight="false" outlineLevel="0" collapsed="false">
      <c r="A23" s="4" t="s">
        <v>2162</v>
      </c>
      <c r="B23" s="4" t="s">
        <v>6</v>
      </c>
      <c r="C23" s="4" t="n">
        <f aca="false">COUNTIFS(Features!$B$2:$B$1462,A23)</f>
        <v>37</v>
      </c>
      <c r="D23" s="4" t="n">
        <f aca="false">COUNTIFS(Features!$B$2:$B$1462,A23,Features!$F$2:$F$1462,"Served")</f>
        <v>0</v>
      </c>
      <c r="E23" s="6" t="n">
        <f aca="false">SUMIFS(Features!$H$2:$H$1462,Features!$B$2:$B$1462,A23)</f>
        <v>0</v>
      </c>
      <c r="F23" s="4" t="s">
        <v>2165</v>
      </c>
      <c r="G23" s="4" t="s">
        <v>3141</v>
      </c>
    </row>
    <row r="24" customFormat="false" ht="15" hidden="false" customHeight="false" outlineLevel="0" collapsed="false">
      <c r="A24" s="4" t="s">
        <v>2239</v>
      </c>
      <c r="B24" s="4" t="s">
        <v>6</v>
      </c>
      <c r="C24" s="4" t="n">
        <f aca="false">COUNTIFS(Features!$B$2:$B$1462,A24)</f>
        <v>6</v>
      </c>
      <c r="D24" s="4" t="n">
        <f aca="false">COUNTIFS(Features!$B$2:$B$1462,A24,Features!$F$2:$F$1462,"Served")</f>
        <v>0</v>
      </c>
      <c r="E24" s="6" t="n">
        <f aca="false">SUMIFS(Features!$H$2:$H$1462,Features!$B$2:$B$1462,A24)</f>
        <v>0</v>
      </c>
      <c r="F24" s="4" t="s">
        <v>2242</v>
      </c>
      <c r="G24" s="4" t="s">
        <v>3142</v>
      </c>
    </row>
    <row r="25" customFormat="false" ht="15" hidden="false" customHeight="false" outlineLevel="0" collapsed="false">
      <c r="A25" s="4" t="s">
        <v>2254</v>
      </c>
      <c r="B25" s="4" t="s">
        <v>6</v>
      </c>
      <c r="C25" s="4" t="n">
        <f aca="false">COUNTIFS(Features!$B$2:$B$1462,A25)</f>
        <v>50</v>
      </c>
      <c r="D25" s="4" t="n">
        <f aca="false">COUNTIFS(Features!$B$2:$B$1462,A25,Features!$F$2:$F$1462,"Served")</f>
        <v>0</v>
      </c>
      <c r="E25" s="6" t="n">
        <f aca="false">SUMIFS(Features!$H$2:$H$1462,Features!$B$2:$B$1462,A25)</f>
        <v>0</v>
      </c>
      <c r="F25" s="4" t="s">
        <v>2257</v>
      </c>
      <c r="G25" s="4" t="s">
        <v>3143</v>
      </c>
    </row>
    <row r="26" customFormat="false" ht="15" hidden="false" customHeight="false" outlineLevel="0" collapsed="false">
      <c r="A26" s="4" t="s">
        <v>2357</v>
      </c>
      <c r="B26" s="4" t="s">
        <v>5</v>
      </c>
      <c r="C26" s="4" t="n">
        <f aca="false">COUNTIFS(Features!$B$2:$B$1462,A26)</f>
        <v>10</v>
      </c>
      <c r="D26" s="4" t="n">
        <f aca="false">COUNTIFS(Features!$B$2:$B$1462,A26,Features!$F$2:$F$1462,"Served")</f>
        <v>0</v>
      </c>
      <c r="E26" s="6" t="n">
        <f aca="false">SUMIFS(Features!$H$2:$H$1462,Features!$B$2:$B$1462,A26)</f>
        <v>0</v>
      </c>
      <c r="F26" s="4" t="s">
        <v>2360</v>
      </c>
      <c r="G26" s="4" t="s">
        <v>3144</v>
      </c>
    </row>
    <row r="27" customFormat="false" ht="15" hidden="false" customHeight="false" outlineLevel="0" collapsed="false">
      <c r="A27" s="4" t="s">
        <v>2380</v>
      </c>
      <c r="B27" s="4" t="s">
        <v>6</v>
      </c>
      <c r="C27" s="4" t="n">
        <f aca="false">COUNTIFS(Features!$B$2:$B$1462,A27)</f>
        <v>13</v>
      </c>
      <c r="D27" s="4" t="n">
        <f aca="false">COUNTIFS(Features!$B$2:$B$1462,A27,Features!$F$2:$F$1462,"Served")</f>
        <v>0</v>
      </c>
      <c r="E27" s="6" t="n">
        <f aca="false">SUMIFS(Features!$H$2:$H$1462,Features!$B$2:$B$1462,A27)</f>
        <v>0</v>
      </c>
      <c r="F27" s="4" t="s">
        <v>2383</v>
      </c>
      <c r="G27" s="4" t="s">
        <v>3145</v>
      </c>
    </row>
    <row r="28" customFormat="false" ht="15" hidden="false" customHeight="false" outlineLevel="0" collapsed="false">
      <c r="A28" s="4" t="s">
        <v>2409</v>
      </c>
      <c r="B28" s="4" t="s">
        <v>6</v>
      </c>
      <c r="C28" s="4" t="n">
        <f aca="false">COUNTIFS(Features!$B$2:$B$1462,A28)</f>
        <v>8</v>
      </c>
      <c r="D28" s="4" t="n">
        <f aca="false">COUNTIFS(Features!$B$2:$B$1462,A28,Features!$F$2:$F$1462,"Served")</f>
        <v>0</v>
      </c>
      <c r="E28" s="6" t="n">
        <f aca="false">SUMIFS(Features!$H$2:$H$1462,Features!$B$2:$B$1462,A28)</f>
        <v>0</v>
      </c>
      <c r="F28" s="4" t="s">
        <v>2412</v>
      </c>
      <c r="G28" s="4" t="s">
        <v>3146</v>
      </c>
    </row>
    <row r="29" customFormat="false" ht="15" hidden="false" customHeight="false" outlineLevel="0" collapsed="false">
      <c r="A29" s="4" t="s">
        <v>2428</v>
      </c>
      <c r="B29" s="4" t="s">
        <v>6</v>
      </c>
      <c r="C29" s="4" t="n">
        <f aca="false">COUNTIFS(Features!$B$2:$B$1462,A29)</f>
        <v>7</v>
      </c>
      <c r="D29" s="4" t="n">
        <f aca="false">COUNTIFS(Features!$B$2:$B$1462,A29,Features!$F$2:$F$1462,"Served")</f>
        <v>0</v>
      </c>
      <c r="E29" s="6" t="n">
        <f aca="false">SUMIFS(Features!$H$2:$H$1462,Features!$B$2:$B$1462,A29)</f>
        <v>0</v>
      </c>
      <c r="F29" s="4" t="s">
        <v>2431</v>
      </c>
      <c r="G29" s="4" t="s">
        <v>3147</v>
      </c>
    </row>
    <row r="30" customFormat="false" ht="15" hidden="false" customHeight="false" outlineLevel="0" collapsed="false">
      <c r="A30" s="4" t="s">
        <v>2445</v>
      </c>
      <c r="B30" s="4" t="s">
        <v>5</v>
      </c>
      <c r="C30" s="4" t="n">
        <f aca="false">COUNTIFS(Features!$B$2:$B$1462,A30)</f>
        <v>14</v>
      </c>
      <c r="D30" s="4" t="n">
        <f aca="false">COUNTIFS(Features!$B$2:$B$1462,A30,Features!$F$2:$F$1462,"Served")</f>
        <v>0</v>
      </c>
      <c r="E30" s="6" t="n">
        <f aca="false">SUMIFS(Features!$H$2:$H$1462,Features!$B$2:$B$1462,A30)</f>
        <v>0</v>
      </c>
      <c r="F30" s="4" t="s">
        <v>2448</v>
      </c>
      <c r="G30" s="4" t="s">
        <v>3148</v>
      </c>
    </row>
    <row r="31" customFormat="false" ht="15" hidden="false" customHeight="false" outlineLevel="0" collapsed="false">
      <c r="A31" s="4" t="s">
        <v>2476</v>
      </c>
      <c r="B31" s="4" t="s">
        <v>6</v>
      </c>
      <c r="C31" s="4" t="n">
        <f aca="false">COUNTIFS(Features!$B$2:$B$1462,A31)</f>
        <v>20</v>
      </c>
      <c r="D31" s="4" t="n">
        <f aca="false">COUNTIFS(Features!$B$2:$B$1462,A31,Features!$F$2:$F$1462,"Served")</f>
        <v>0</v>
      </c>
      <c r="E31" s="6" t="n">
        <f aca="false">SUMIFS(Features!$H$2:$H$1462,Features!$B$2:$B$1462,A31)</f>
        <v>0</v>
      </c>
      <c r="F31" s="4" t="s">
        <v>2479</v>
      </c>
      <c r="G31" s="4" t="s">
        <v>3149</v>
      </c>
    </row>
    <row r="32" customFormat="false" ht="15" hidden="false" customHeight="false" outlineLevel="0" collapsed="false">
      <c r="A32" s="4" t="s">
        <v>2519</v>
      </c>
      <c r="B32" s="4" t="s">
        <v>6</v>
      </c>
      <c r="C32" s="4" t="n">
        <f aca="false">COUNTIFS(Features!$B$2:$B$1462,A32)</f>
        <v>12</v>
      </c>
      <c r="D32" s="4" t="n">
        <f aca="false">COUNTIFS(Features!$B$2:$B$1462,A32,Features!$F$2:$F$1462,"Served")</f>
        <v>0</v>
      </c>
      <c r="E32" s="6" t="n">
        <f aca="false">SUMIFS(Features!$H$2:$H$1462,Features!$B$2:$B$1462,A32)</f>
        <v>0</v>
      </c>
      <c r="F32" s="4" t="s">
        <v>2522</v>
      </c>
      <c r="G32" s="4" t="s">
        <v>3150</v>
      </c>
    </row>
    <row r="33" customFormat="false" ht="15" hidden="false" customHeight="false" outlineLevel="0" collapsed="false">
      <c r="A33" s="4" t="s">
        <v>2546</v>
      </c>
      <c r="B33" s="4" t="s">
        <v>5</v>
      </c>
      <c r="C33" s="4" t="n">
        <f aca="false">COUNTIFS(Features!$B$2:$B$1462,A33)</f>
        <v>10</v>
      </c>
      <c r="D33" s="4" t="n">
        <f aca="false">COUNTIFS(Features!$B$2:$B$1462,A33,Features!$F$2:$F$1462,"Served")</f>
        <v>0</v>
      </c>
      <c r="E33" s="6" t="n">
        <f aca="false">SUMIFS(Features!$H$2:$H$1462,Features!$B$2:$B$1462,A33)</f>
        <v>0</v>
      </c>
      <c r="F33" s="4" t="s">
        <v>2549</v>
      </c>
      <c r="G33" s="4" t="s">
        <v>3151</v>
      </c>
    </row>
    <row r="34" customFormat="false" ht="15" hidden="false" customHeight="false" outlineLevel="0" collapsed="false">
      <c r="A34" s="4" t="s">
        <v>2569</v>
      </c>
      <c r="B34" s="4" t="s">
        <v>6</v>
      </c>
      <c r="C34" s="4" t="n">
        <f aca="false">COUNTIFS(Features!$B$2:$B$1462,A34)</f>
        <v>18</v>
      </c>
      <c r="D34" s="4" t="n">
        <f aca="false">COUNTIFS(Features!$B$2:$B$1462,A34,Features!$F$2:$F$1462,"Served")</f>
        <v>0</v>
      </c>
      <c r="E34" s="6" t="n">
        <f aca="false">SUMIFS(Features!$H$2:$H$1462,Features!$B$2:$B$1462,A34)</f>
        <v>0</v>
      </c>
      <c r="F34" s="4" t="s">
        <v>2572</v>
      </c>
      <c r="G34" s="4" t="s">
        <v>3152</v>
      </c>
    </row>
    <row r="35" customFormat="false" ht="15" hidden="false" customHeight="false" outlineLevel="0" collapsed="false">
      <c r="A35" s="4" t="s">
        <v>2608</v>
      </c>
      <c r="B35" s="4" t="s">
        <v>6</v>
      </c>
      <c r="C35" s="4" t="n">
        <f aca="false">COUNTIFS(Features!$B$2:$B$1462,A35)</f>
        <v>9</v>
      </c>
      <c r="D35" s="4" t="n">
        <f aca="false">COUNTIFS(Features!$B$2:$B$1462,A35,Features!$F$2:$F$1462,"Served")</f>
        <v>0</v>
      </c>
      <c r="E35" s="6" t="n">
        <f aca="false">SUMIFS(Features!$H$2:$H$1462,Features!$B$2:$B$1462,A35)</f>
        <v>0</v>
      </c>
      <c r="F35" s="4" t="s">
        <v>2611</v>
      </c>
      <c r="G35" s="4" t="s">
        <v>3153</v>
      </c>
    </row>
    <row r="36" customFormat="false" ht="15" hidden="false" customHeight="false" outlineLevel="0" collapsed="false">
      <c r="A36" s="4" t="s">
        <v>2629</v>
      </c>
      <c r="B36" s="4" t="s">
        <v>6</v>
      </c>
      <c r="C36" s="4" t="n">
        <f aca="false">COUNTIFS(Features!$B$2:$B$1462,A36)</f>
        <v>64</v>
      </c>
      <c r="D36" s="4" t="n">
        <f aca="false">COUNTIFS(Features!$B$2:$B$1462,A36,Features!$F$2:$F$1462,"Served")</f>
        <v>0</v>
      </c>
      <c r="E36" s="6" t="n">
        <f aca="false">SUMIFS(Features!$H$2:$H$1462,Features!$B$2:$B$1462,A36)</f>
        <v>0</v>
      </c>
      <c r="F36" s="4" t="s">
        <v>2632</v>
      </c>
      <c r="G36" s="4" t="s">
        <v>3154</v>
      </c>
    </row>
    <row r="37" customFormat="false" ht="15" hidden="false" customHeight="false" outlineLevel="0" collapsed="false">
      <c r="A37" s="4" t="s">
        <v>2760</v>
      </c>
      <c r="B37" s="4" t="s">
        <v>6</v>
      </c>
      <c r="C37" s="4" t="n">
        <f aca="false">COUNTIFS(Features!$B$2:$B$1462,A37)</f>
        <v>22</v>
      </c>
      <c r="D37" s="4" t="n">
        <f aca="false">COUNTIFS(Features!$B$2:$B$1462,A37,Features!$F$2:$F$1462,"Served")</f>
        <v>0</v>
      </c>
      <c r="E37" s="6" t="n">
        <f aca="false">SUMIFS(Features!$H$2:$H$1462,Features!$B$2:$B$1462,A37)</f>
        <v>0</v>
      </c>
      <c r="F37" s="4" t="s">
        <v>2763</v>
      </c>
      <c r="G37" s="4" t="s">
        <v>3155</v>
      </c>
    </row>
    <row r="38" customFormat="false" ht="15" hidden="false" customHeight="false" outlineLevel="0" collapsed="false">
      <c r="A38" s="4" t="s">
        <v>2807</v>
      </c>
      <c r="B38" s="4" t="s">
        <v>6</v>
      </c>
      <c r="C38" s="4" t="n">
        <f aca="false">COUNTIFS(Features!$B$2:$B$1462,A38)</f>
        <v>9</v>
      </c>
      <c r="D38" s="4" t="n">
        <f aca="false">COUNTIFS(Features!$B$2:$B$1462,A38,Features!$F$2:$F$1462,"Served")</f>
        <v>0</v>
      </c>
      <c r="E38" s="6" t="n">
        <f aca="false">SUMIFS(Features!$H$2:$H$1462,Features!$B$2:$B$1462,A38)</f>
        <v>0</v>
      </c>
      <c r="F38" s="4" t="s">
        <v>2810</v>
      </c>
      <c r="G38" s="4" t="s">
        <v>3156</v>
      </c>
    </row>
    <row r="39" customFormat="false" ht="15" hidden="false" customHeight="false" outlineLevel="0" collapsed="false">
      <c r="A39" s="4" t="s">
        <v>2828</v>
      </c>
      <c r="B39" s="4" t="s">
        <v>6</v>
      </c>
      <c r="C39" s="4" t="n">
        <f aca="false">COUNTIFS(Features!$B$2:$B$1462,A39)</f>
        <v>14</v>
      </c>
      <c r="D39" s="4" t="n">
        <f aca="false">COUNTIFS(Features!$B$2:$B$1462,A39,Features!$F$2:$F$1462,"Served")</f>
        <v>0</v>
      </c>
      <c r="E39" s="6" t="n">
        <f aca="false">SUMIFS(Features!$H$2:$H$1462,Features!$B$2:$B$1462,A39)</f>
        <v>0</v>
      </c>
      <c r="F39" s="4" t="s">
        <v>2831</v>
      </c>
      <c r="G39" s="4" t="s">
        <v>3157</v>
      </c>
    </row>
    <row r="40" customFormat="false" ht="15" hidden="false" customHeight="false" outlineLevel="0" collapsed="false">
      <c r="A40" s="4" t="s">
        <v>2859</v>
      </c>
      <c r="B40" s="4" t="s">
        <v>6</v>
      </c>
      <c r="C40" s="4" t="n">
        <f aca="false">COUNTIFS(Features!$B$2:$B$1462,A40)</f>
        <v>7</v>
      </c>
      <c r="D40" s="4" t="n">
        <f aca="false">COUNTIFS(Features!$B$2:$B$1462,A40,Features!$F$2:$F$1462,"Served")</f>
        <v>0</v>
      </c>
      <c r="E40" s="6" t="n">
        <f aca="false">SUMIFS(Features!$H$2:$H$1462,Features!$B$2:$B$1462,A40)</f>
        <v>0</v>
      </c>
      <c r="F40" s="4" t="s">
        <v>2862</v>
      </c>
      <c r="G40" s="4" t="s">
        <v>3158</v>
      </c>
    </row>
    <row r="41" customFormat="false" ht="15" hidden="false" customHeight="false" outlineLevel="0" collapsed="false">
      <c r="A41" s="4" t="s">
        <v>2876</v>
      </c>
      <c r="B41" s="4" t="s">
        <v>6</v>
      </c>
      <c r="C41" s="4" t="n">
        <f aca="false">COUNTIFS(Features!$B$2:$B$1462,A41)</f>
        <v>9</v>
      </c>
      <c r="D41" s="4" t="n">
        <f aca="false">COUNTIFS(Features!$B$2:$B$1462,A41,Features!$F$2:$F$1462,"Served")</f>
        <v>0</v>
      </c>
      <c r="E41" s="6" t="n">
        <f aca="false">SUMIFS(Features!$H$2:$H$1462,Features!$B$2:$B$1462,A41)</f>
        <v>0</v>
      </c>
      <c r="F41" s="4" t="s">
        <v>2879</v>
      </c>
      <c r="G41" s="4" t="s">
        <v>3159</v>
      </c>
    </row>
    <row r="42" customFormat="false" ht="15" hidden="false" customHeight="false" outlineLevel="0" collapsed="false">
      <c r="A42" s="4" t="s">
        <v>2897</v>
      </c>
      <c r="B42" s="4" t="s">
        <v>5</v>
      </c>
      <c r="C42" s="4" t="n">
        <f aca="false">COUNTIFS(Features!$B$2:$B$1462,A42)</f>
        <v>9</v>
      </c>
      <c r="D42" s="4" t="n">
        <f aca="false">COUNTIFS(Features!$B$2:$B$1462,A42,Features!$F$2:$F$1462,"Served")</f>
        <v>0</v>
      </c>
      <c r="E42" s="6" t="n">
        <f aca="false">SUMIFS(Features!$H$2:$H$1462,Features!$B$2:$B$1462,A42)</f>
        <v>0</v>
      </c>
      <c r="F42" s="4" t="s">
        <v>2900</v>
      </c>
      <c r="G42" s="4" t="s">
        <v>3160</v>
      </c>
    </row>
    <row r="43" customFormat="false" ht="15" hidden="false" customHeight="false" outlineLevel="0" collapsed="false">
      <c r="A43" s="4" t="s">
        <v>2918</v>
      </c>
      <c r="B43" s="4" t="s">
        <v>6</v>
      </c>
      <c r="C43" s="4" t="n">
        <f aca="false">COUNTIFS(Features!$B$2:$B$1462,A43)</f>
        <v>14</v>
      </c>
      <c r="D43" s="4" t="n">
        <f aca="false">COUNTIFS(Features!$B$2:$B$1462,A43,Features!$F$2:$F$1462,"Served")</f>
        <v>0</v>
      </c>
      <c r="E43" s="6" t="n">
        <f aca="false">SUMIFS(Features!$H$2:$H$1462,Features!$B$2:$B$1462,A43)</f>
        <v>0</v>
      </c>
      <c r="F43" s="4" t="s">
        <v>2921</v>
      </c>
      <c r="G43" s="4" t="s">
        <v>3161</v>
      </c>
    </row>
    <row r="44" customFormat="false" ht="15" hidden="false" customHeight="false" outlineLevel="0" collapsed="false">
      <c r="A44" s="4" t="s">
        <v>2949</v>
      </c>
      <c r="B44" s="4" t="s">
        <v>6</v>
      </c>
      <c r="C44" s="4" t="n">
        <f aca="false">COUNTIFS(Features!$B$2:$B$1462,A44)</f>
        <v>24</v>
      </c>
      <c r="D44" s="4" t="n">
        <f aca="false">COUNTIFS(Features!$B$2:$B$1462,A44,Features!$F$2:$F$1462,"Served")</f>
        <v>0</v>
      </c>
      <c r="E44" s="6" t="n">
        <f aca="false">SUMIFS(Features!$H$2:$H$1462,Features!$B$2:$B$1462,A44)</f>
        <v>0</v>
      </c>
      <c r="F44" s="4" t="s">
        <v>2952</v>
      </c>
      <c r="G44" s="4" t="s">
        <v>3162</v>
      </c>
    </row>
    <row r="45" customFormat="false" ht="15" hidden="false" customHeight="false" outlineLevel="0" collapsed="false">
      <c r="A45" s="4" t="s">
        <v>3000</v>
      </c>
      <c r="B45" s="4" t="s">
        <v>5</v>
      </c>
      <c r="C45" s="4" t="n">
        <f aca="false">COUNTIFS(Features!$B$2:$B$1462,A45)</f>
        <v>19</v>
      </c>
      <c r="D45" s="4" t="n">
        <f aca="false">COUNTIFS(Features!$B$2:$B$1462,A45,Features!$F$2:$F$1462,"Served")</f>
        <v>0</v>
      </c>
      <c r="E45" s="6" t="n">
        <f aca="false">SUMIFS(Features!$H$2:$H$1462,Features!$B$2:$B$1462,A45)</f>
        <v>0</v>
      </c>
      <c r="F45" s="4" t="s">
        <v>3003</v>
      </c>
      <c r="G45" s="4" t="s">
        <v>3163</v>
      </c>
    </row>
    <row r="46" customFormat="false" ht="15" hidden="false" customHeight="false" outlineLevel="0" collapsed="false">
      <c r="A46" s="4" t="s">
        <v>3041</v>
      </c>
      <c r="B46" s="4" t="s">
        <v>6</v>
      </c>
      <c r="C46" s="4" t="n">
        <f aca="false">COUNTIFS(Features!$B$2:$B$1462,A46)</f>
        <v>32</v>
      </c>
      <c r="D46" s="4" t="n">
        <f aca="false">COUNTIFS(Features!$B$2:$B$1462,A46,Features!$F$2:$F$1462,"Served")</f>
        <v>0</v>
      </c>
      <c r="E46" s="6" t="n">
        <f aca="false">SUMIFS(Features!$H$2:$H$1462,Features!$B$2:$B$1462,A46)</f>
        <v>0</v>
      </c>
      <c r="F46" s="4" t="s">
        <v>3044</v>
      </c>
      <c r="G46" s="4" t="s">
        <v>3164</v>
      </c>
    </row>
    <row r="47" customFormat="false" ht="15" hidden="false" customHeight="false" outlineLevel="0" collapsed="false">
      <c r="A47" s="4" t="s">
        <v>3108</v>
      </c>
      <c r="B47" s="4" t="s">
        <v>7</v>
      </c>
      <c r="C47" s="4" t="n">
        <f aca="false">COUNTIFS(Features!$B$2:$B$1462,A47)</f>
        <v>4</v>
      </c>
      <c r="D47" s="4" t="n">
        <f aca="false">COUNTIFS(Features!$B$2:$B$1462,A47,Features!$F$2:$F$1462,"Served")</f>
        <v>0</v>
      </c>
      <c r="E47" s="6" t="n">
        <f aca="false">SUMIFS(Features!$H$2:$H$1462,Features!$B$2:$B$1462,A47)</f>
        <v>0</v>
      </c>
      <c r="F47" s="4" t="s">
        <v>135</v>
      </c>
      <c r="G47" s="4" t="s">
        <v>3165</v>
      </c>
    </row>
    <row r="48" customFormat="false" ht="15" hidden="false" customHeight="false" outlineLevel="0" collapsed="false">
      <c r="A48" s="5" t="s">
        <v>3166</v>
      </c>
      <c r="B48" s="5"/>
      <c r="C48" s="5" t="n">
        <f aca="false">SUM(C2:C47)</f>
        <v>1461</v>
      </c>
      <c r="D48" s="5" t="n">
        <f aca="false">SUM(D2:D47)</f>
        <v>615</v>
      </c>
      <c r="E48" s="9" t="n">
        <f aca="false">SUM(E2:E47)</f>
        <v>1</v>
      </c>
      <c r="F48" s="5"/>
      <c r="G48" s="5"/>
    </row>
    <row r="49" customFormat="false" ht="15" hidden="false" customHeight="false" outlineLevel="0" collapsed="false">
      <c r="A49" s="4"/>
      <c r="B49" s="4"/>
      <c r="C49" s="4"/>
      <c r="D49" s="4"/>
      <c r="E49" s="6"/>
      <c r="F49" s="4"/>
      <c r="G49" s="4"/>
    </row>
    <row r="50" customFormat="false" ht="15" hidden="false" customHeight="false" outlineLevel="0" collapsed="false">
      <c r="A50" s="10" t="s">
        <v>3167</v>
      </c>
      <c r="B50" s="10"/>
      <c r="C50" s="10" t="s">
        <v>3118</v>
      </c>
      <c r="D50" s="10"/>
      <c r="E50" s="11"/>
      <c r="F50" s="10" t="s">
        <v>23</v>
      </c>
      <c r="G50" s="10" t="s">
        <v>3119</v>
      </c>
    </row>
    <row r="51" customFormat="false" ht="15" hidden="false" customHeight="false" outlineLevel="0" collapsed="false">
      <c r="A51" s="4" t="s">
        <v>3168</v>
      </c>
      <c r="B51" s="4" t="s">
        <v>3169</v>
      </c>
      <c r="C51" s="12" t="n">
        <v>7</v>
      </c>
      <c r="D51" s="4" t="n">
        <v>0</v>
      </c>
      <c r="E51" s="6"/>
      <c r="F51" s="4" t="s">
        <v>3170</v>
      </c>
      <c r="G51" s="4" t="s">
        <v>3171</v>
      </c>
    </row>
    <row r="52" customFormat="false" ht="15" hidden="false" customHeight="false" outlineLevel="0" collapsed="false">
      <c r="A52" s="4" t="s">
        <v>2859</v>
      </c>
      <c r="B52" s="4" t="s">
        <v>3169</v>
      </c>
      <c r="C52" s="12" t="n">
        <v>6</v>
      </c>
      <c r="D52" s="4" t="n">
        <v>0</v>
      </c>
      <c r="E52" s="6"/>
      <c r="F52" s="4" t="s">
        <v>3172</v>
      </c>
      <c r="G52" s="4" t="s">
        <v>3173</v>
      </c>
    </row>
    <row r="53" customFormat="false" ht="15" hidden="false" customHeight="false" outlineLevel="0" collapsed="false">
      <c r="A53" s="4" t="s">
        <v>2876</v>
      </c>
      <c r="B53" s="4" t="s">
        <v>3169</v>
      </c>
      <c r="C53" s="12" t="n">
        <v>10</v>
      </c>
      <c r="D53" s="4" t="n">
        <v>0</v>
      </c>
      <c r="E53" s="6"/>
      <c r="F53" s="4" t="s">
        <v>3174</v>
      </c>
      <c r="G53" s="4" t="s">
        <v>3173</v>
      </c>
    </row>
    <row r="54" customFormat="false" ht="15" hidden="false" customHeight="false" outlineLevel="0" collapsed="false">
      <c r="A54" s="4" t="s">
        <v>3175</v>
      </c>
      <c r="B54" s="4" t="s">
        <v>3169</v>
      </c>
      <c r="C54" s="12" t="n">
        <v>16</v>
      </c>
      <c r="D54" s="4" t="n">
        <v>0</v>
      </c>
      <c r="E54" s="6"/>
      <c r="F54" s="4" t="s">
        <v>3176</v>
      </c>
      <c r="G54" s="4" t="s">
        <v>3177</v>
      </c>
    </row>
    <row r="55" customFormat="false" ht="15" hidden="false" customHeight="false" outlineLevel="0" collapsed="false">
      <c r="A55" s="4" t="s">
        <v>3178</v>
      </c>
      <c r="B55" s="4" t="s">
        <v>3169</v>
      </c>
      <c r="C55" s="12" t="n">
        <v>7</v>
      </c>
      <c r="D55" s="4" t="n">
        <v>0</v>
      </c>
      <c r="E55" s="6"/>
      <c r="F55" s="4" t="s">
        <v>3179</v>
      </c>
      <c r="G55" s="4" t="s">
        <v>3180</v>
      </c>
    </row>
    <row r="56" customFormat="false" ht="15" hidden="false" customHeight="false" outlineLevel="0" collapsed="false">
      <c r="A56" s="4" t="s">
        <v>3181</v>
      </c>
      <c r="B56" s="4" t="s">
        <v>3169</v>
      </c>
      <c r="C56" s="12" t="n">
        <v>21</v>
      </c>
      <c r="D56" s="4" t="n">
        <v>0</v>
      </c>
      <c r="E56" s="6"/>
      <c r="F56" s="4" t="s">
        <v>3182</v>
      </c>
      <c r="G56" s="4" t="s">
        <v>3183</v>
      </c>
    </row>
    <row r="57" customFormat="false" ht="15" hidden="false" customHeight="false" outlineLevel="0" collapsed="false">
      <c r="A57" s="4" t="s">
        <v>3184</v>
      </c>
      <c r="B57" s="4" t="s">
        <v>3169</v>
      </c>
      <c r="C57" s="12" t="n">
        <v>30</v>
      </c>
      <c r="D57" s="4" t="n">
        <v>0</v>
      </c>
      <c r="E57" s="6"/>
      <c r="F57" s="4" t="s">
        <v>3185</v>
      </c>
      <c r="G57" s="4" t="s">
        <v>3186</v>
      </c>
    </row>
    <row r="58" customFormat="false" ht="15" hidden="false" customHeight="false" outlineLevel="0" collapsed="false">
      <c r="A58" s="4" t="s">
        <v>3187</v>
      </c>
      <c r="B58" s="4" t="s">
        <v>3169</v>
      </c>
      <c r="C58" s="12" t="n">
        <v>18</v>
      </c>
      <c r="D58" s="4" t="n">
        <v>0</v>
      </c>
      <c r="E58" s="6"/>
      <c r="F58" s="4" t="s">
        <v>3188</v>
      </c>
      <c r="G58" s="4" t="s">
        <v>3189</v>
      </c>
    </row>
    <row r="59" customFormat="false" ht="15" hidden="false" customHeight="false" outlineLevel="0" collapsed="false">
      <c r="A59" s="4" t="s">
        <v>3190</v>
      </c>
      <c r="B59" s="4" t="s">
        <v>3169</v>
      </c>
      <c r="C59" s="12" t="n">
        <v>16</v>
      </c>
      <c r="D59" s="4" t="n">
        <v>0</v>
      </c>
      <c r="E59" s="6"/>
      <c r="F59" s="4" t="s">
        <v>3191</v>
      </c>
      <c r="G59" s="4" t="s">
        <v>3192</v>
      </c>
    </row>
    <row r="60" customFormat="false" ht="15" hidden="false" customHeight="false" outlineLevel="0" collapsed="false">
      <c r="A60" s="4" t="s">
        <v>3193</v>
      </c>
      <c r="B60" s="4" t="s">
        <v>3169</v>
      </c>
      <c r="C60" s="12" t="n">
        <v>16</v>
      </c>
      <c r="D60" s="4" t="n">
        <v>0</v>
      </c>
      <c r="E60" s="6"/>
      <c r="F60" s="4" t="s">
        <v>3194</v>
      </c>
      <c r="G60" s="4" t="s">
        <v>3195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60"/>
    <col collapsed="false" customWidth="true" hidden="false" outlineLevel="0" max="5" min="5" style="0" width="22"/>
    <col collapsed="false" customWidth="true" hidden="false" outlineLevel="0" max="6" min="6" style="0" width="70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3" t="s">
        <v>3196</v>
      </c>
      <c r="B1" s="3" t="s">
        <v>3197</v>
      </c>
      <c r="C1" s="3" t="s">
        <v>3198</v>
      </c>
      <c r="D1" s="3" t="s">
        <v>3199</v>
      </c>
      <c r="E1" s="3" t="s">
        <v>3200</v>
      </c>
      <c r="F1" s="3" t="s">
        <v>3201</v>
      </c>
      <c r="G1" s="3" t="s">
        <v>3202</v>
      </c>
    </row>
    <row r="2" customFormat="false" ht="15" hidden="false" customHeight="false" outlineLevel="0" collapsed="false">
      <c r="A2" s="13" t="s">
        <v>3203</v>
      </c>
      <c r="B2" s="13" t="s">
        <v>3204</v>
      </c>
      <c r="C2" s="13" t="s">
        <v>3205</v>
      </c>
      <c r="D2" s="13" t="s">
        <v>3206</v>
      </c>
      <c r="E2" s="13" t="s">
        <v>3207</v>
      </c>
      <c r="F2" s="13" t="s">
        <v>3208</v>
      </c>
      <c r="G2" s="13" t="s">
        <v>14</v>
      </c>
    </row>
    <row r="3" customFormat="false" ht="15" hidden="false" customHeight="false" outlineLevel="0" collapsed="false">
      <c r="A3" s="13" t="s">
        <v>3209</v>
      </c>
      <c r="B3" s="13" t="s">
        <v>3210</v>
      </c>
      <c r="C3" s="13" t="s">
        <v>3205</v>
      </c>
      <c r="D3" s="13" t="s">
        <v>3211</v>
      </c>
      <c r="E3" s="13" t="s">
        <v>3207</v>
      </c>
      <c r="F3" s="13" t="s">
        <v>3212</v>
      </c>
      <c r="G3" s="13" t="s">
        <v>13</v>
      </c>
    </row>
    <row r="4" customFormat="false" ht="15" hidden="false" customHeight="false" outlineLevel="0" collapsed="false">
      <c r="A4" s="13" t="s">
        <v>3213</v>
      </c>
      <c r="B4" s="13" t="s">
        <v>3214</v>
      </c>
      <c r="C4" s="13" t="s">
        <v>3205</v>
      </c>
      <c r="D4" s="13" t="s">
        <v>3215</v>
      </c>
      <c r="E4" s="13" t="s">
        <v>3216</v>
      </c>
      <c r="F4" s="13" t="s">
        <v>3217</v>
      </c>
      <c r="G4" s="13" t="s">
        <v>15</v>
      </c>
    </row>
    <row r="5" customFormat="false" ht="15" hidden="false" customHeight="false" outlineLevel="0" collapsed="false">
      <c r="A5" s="13" t="s">
        <v>3218</v>
      </c>
      <c r="B5" s="13" t="s">
        <v>3219</v>
      </c>
      <c r="C5" s="13" t="s">
        <v>3220</v>
      </c>
      <c r="D5" s="13" t="s">
        <v>3221</v>
      </c>
      <c r="E5" s="13" t="s">
        <v>3207</v>
      </c>
      <c r="F5" s="13" t="s">
        <v>3222</v>
      </c>
      <c r="G5" s="13" t="s">
        <v>14</v>
      </c>
    </row>
    <row r="6" customFormat="false" ht="15" hidden="false" customHeight="false" outlineLevel="0" collapsed="false">
      <c r="A6" s="13" t="s">
        <v>3223</v>
      </c>
      <c r="B6" s="13" t="s">
        <v>3224</v>
      </c>
      <c r="C6" s="13" t="s">
        <v>3225</v>
      </c>
      <c r="D6" s="13" t="s">
        <v>3226</v>
      </c>
      <c r="E6" s="13" t="s">
        <v>3207</v>
      </c>
      <c r="F6" s="13" t="s">
        <v>3227</v>
      </c>
      <c r="G6" s="13" t="s">
        <v>14</v>
      </c>
    </row>
    <row r="7" customFormat="false" ht="23.85" hidden="false" customHeight="false" outlineLevel="0" collapsed="false">
      <c r="A7" s="13" t="s">
        <v>3228</v>
      </c>
      <c r="B7" s="13" t="s">
        <v>3229</v>
      </c>
      <c r="C7" s="13" t="s">
        <v>3225</v>
      </c>
      <c r="D7" s="13" t="s">
        <v>3230</v>
      </c>
      <c r="E7" s="13" t="s">
        <v>3231</v>
      </c>
      <c r="F7" s="13" t="s">
        <v>3232</v>
      </c>
      <c r="G7" s="13" t="s">
        <v>13</v>
      </c>
    </row>
    <row r="8" customFormat="false" ht="15" hidden="false" customHeight="false" outlineLevel="0" collapsed="false">
      <c r="A8" s="13" t="s">
        <v>3233</v>
      </c>
      <c r="B8" s="13" t="s">
        <v>3234</v>
      </c>
      <c r="C8" s="13" t="s">
        <v>3235</v>
      </c>
      <c r="D8" s="13" t="s">
        <v>3236</v>
      </c>
      <c r="E8" s="13" t="s">
        <v>3207</v>
      </c>
      <c r="F8" s="13" t="s">
        <v>3237</v>
      </c>
      <c r="G8" s="13" t="s">
        <v>14</v>
      </c>
    </row>
    <row r="9" customFormat="false" ht="15" hidden="false" customHeight="false" outlineLevel="0" collapsed="false">
      <c r="A9" s="13" t="s">
        <v>3238</v>
      </c>
      <c r="B9" s="13" t="s">
        <v>3239</v>
      </c>
      <c r="C9" s="13" t="s">
        <v>3240</v>
      </c>
      <c r="D9" s="13" t="s">
        <v>3241</v>
      </c>
      <c r="E9" s="13" t="s">
        <v>3207</v>
      </c>
      <c r="F9" s="13" t="s">
        <v>3242</v>
      </c>
      <c r="G9" s="13" t="s">
        <v>14</v>
      </c>
    </row>
    <row r="10" customFormat="false" ht="15" hidden="false" customHeight="false" outlineLevel="0" collapsed="false">
      <c r="A10" s="13" t="s">
        <v>3243</v>
      </c>
      <c r="B10" s="13" t="s">
        <v>3244</v>
      </c>
      <c r="C10" s="13" t="s">
        <v>3245</v>
      </c>
      <c r="D10" s="13" t="s">
        <v>3246</v>
      </c>
      <c r="E10" s="13" t="s">
        <v>3207</v>
      </c>
      <c r="F10" s="13" t="s">
        <v>3247</v>
      </c>
      <c r="G10" s="13" t="s">
        <v>14</v>
      </c>
    </row>
    <row r="11" customFormat="false" ht="15" hidden="false" customHeight="false" outlineLevel="0" collapsed="false">
      <c r="A11" s="13" t="s">
        <v>3248</v>
      </c>
      <c r="B11" s="13" t="s">
        <v>3249</v>
      </c>
      <c r="C11" s="13" t="s">
        <v>3245</v>
      </c>
      <c r="D11" s="13" t="s">
        <v>3250</v>
      </c>
      <c r="E11" s="13" t="s">
        <v>3207</v>
      </c>
      <c r="F11" s="13" t="s">
        <v>3251</v>
      </c>
      <c r="G11" s="13" t="s">
        <v>14</v>
      </c>
    </row>
    <row r="12" customFormat="false" ht="15" hidden="false" customHeight="false" outlineLevel="0" collapsed="false">
      <c r="A12" s="13" t="s">
        <v>3252</v>
      </c>
      <c r="B12" s="13" t="s">
        <v>3253</v>
      </c>
      <c r="C12" s="13" t="s">
        <v>3254</v>
      </c>
      <c r="D12" s="13" t="s">
        <v>3255</v>
      </c>
      <c r="E12" s="13" t="s">
        <v>3207</v>
      </c>
      <c r="F12" s="13" t="s">
        <v>3256</v>
      </c>
      <c r="G12" s="13" t="s">
        <v>14</v>
      </c>
    </row>
    <row r="13" customFormat="false" ht="15" hidden="false" customHeight="false" outlineLevel="0" collapsed="false">
      <c r="A13" s="13" t="s">
        <v>3257</v>
      </c>
      <c r="B13" s="13" t="s">
        <v>3258</v>
      </c>
      <c r="C13" s="13" t="s">
        <v>3254</v>
      </c>
      <c r="D13" s="13" t="s">
        <v>3259</v>
      </c>
      <c r="E13" s="13" t="s">
        <v>3207</v>
      </c>
      <c r="F13" s="13" t="s">
        <v>3260</v>
      </c>
      <c r="G13" s="13" t="s">
        <v>14</v>
      </c>
    </row>
    <row r="14" customFormat="false" ht="15" hidden="false" customHeight="false" outlineLevel="0" collapsed="false">
      <c r="A14" s="13" t="s">
        <v>3261</v>
      </c>
      <c r="B14" s="13" t="s">
        <v>3262</v>
      </c>
      <c r="C14" s="13" t="s">
        <v>3205</v>
      </c>
      <c r="D14" s="13" t="s">
        <v>3263</v>
      </c>
      <c r="E14" s="13" t="s">
        <v>3207</v>
      </c>
      <c r="F14" s="13" t="s">
        <v>3260</v>
      </c>
      <c r="G14" s="13" t="s">
        <v>14</v>
      </c>
    </row>
    <row r="15" customFormat="false" ht="15" hidden="false" customHeight="false" outlineLevel="0" collapsed="false">
      <c r="A15" s="13" t="s">
        <v>3264</v>
      </c>
      <c r="B15" s="13" t="s">
        <v>3265</v>
      </c>
      <c r="C15" s="13" t="s">
        <v>3205</v>
      </c>
      <c r="D15" s="13" t="s">
        <v>3266</v>
      </c>
      <c r="E15" s="13" t="s">
        <v>3207</v>
      </c>
      <c r="F15" s="13" t="s">
        <v>3267</v>
      </c>
      <c r="G15" s="13" t="s">
        <v>14</v>
      </c>
    </row>
    <row r="16" customFormat="false" ht="23.85" hidden="false" customHeight="false" outlineLevel="0" collapsed="false">
      <c r="A16" s="13" t="s">
        <v>3268</v>
      </c>
      <c r="B16" s="13" t="s">
        <v>3269</v>
      </c>
      <c r="C16" s="13" t="s">
        <v>3270</v>
      </c>
      <c r="D16" s="13" t="s">
        <v>3271</v>
      </c>
      <c r="E16" s="13" t="s">
        <v>3207</v>
      </c>
      <c r="F16" s="13" t="s">
        <v>3272</v>
      </c>
      <c r="G16" s="13" t="s">
        <v>14</v>
      </c>
    </row>
    <row r="17" customFormat="false" ht="15" hidden="false" customHeight="false" outlineLevel="0" collapsed="false">
      <c r="A17" s="13" t="s">
        <v>3273</v>
      </c>
      <c r="B17" s="13" t="s">
        <v>3274</v>
      </c>
      <c r="C17" s="13" t="s">
        <v>3270</v>
      </c>
      <c r="D17" s="13" t="s">
        <v>3275</v>
      </c>
      <c r="E17" s="13" t="s">
        <v>3207</v>
      </c>
      <c r="F17" s="13" t="s">
        <v>3276</v>
      </c>
      <c r="G17" s="13" t="s">
        <v>14</v>
      </c>
    </row>
    <row r="18" customFormat="false" ht="15" hidden="false" customHeight="false" outlineLevel="0" collapsed="false">
      <c r="A18" s="13" t="s">
        <v>3277</v>
      </c>
      <c r="B18" s="13" t="s">
        <v>3278</v>
      </c>
      <c r="C18" s="13" t="s">
        <v>3279</v>
      </c>
      <c r="D18" s="13" t="s">
        <v>3280</v>
      </c>
      <c r="E18" s="13" t="s">
        <v>3207</v>
      </c>
      <c r="F18" s="13" t="s">
        <v>3212</v>
      </c>
      <c r="G18" s="13" t="s">
        <v>13</v>
      </c>
    </row>
    <row r="19" customFormat="false" ht="15" hidden="false" customHeight="false" outlineLevel="0" collapsed="false">
      <c r="A19" s="13" t="s">
        <v>3281</v>
      </c>
      <c r="B19" s="13" t="s">
        <v>3282</v>
      </c>
      <c r="C19" s="13" t="s">
        <v>3283</v>
      </c>
      <c r="D19" s="13" t="s">
        <v>3284</v>
      </c>
      <c r="E19" s="13" t="s">
        <v>3207</v>
      </c>
      <c r="F19" s="13" t="s">
        <v>3285</v>
      </c>
      <c r="G19" s="13" t="s">
        <v>13</v>
      </c>
    </row>
    <row r="20" customFormat="false" ht="35.05" hidden="false" customHeight="false" outlineLevel="0" collapsed="false">
      <c r="A20" s="13" t="s">
        <v>3286</v>
      </c>
      <c r="B20" s="13" t="s">
        <v>3287</v>
      </c>
      <c r="C20" s="13" t="s">
        <v>3240</v>
      </c>
      <c r="D20" s="13" t="s">
        <v>3288</v>
      </c>
      <c r="E20" s="13" t="s">
        <v>3207</v>
      </c>
      <c r="F20" s="13" t="s">
        <v>3289</v>
      </c>
      <c r="G20" s="13" t="s">
        <v>14</v>
      </c>
    </row>
    <row r="21" customFormat="false" ht="68.65" hidden="false" customHeight="false" outlineLevel="0" collapsed="false">
      <c r="A21" s="13" t="s">
        <v>3290</v>
      </c>
      <c r="B21" s="13" t="s">
        <v>3291</v>
      </c>
      <c r="C21" s="13" t="s">
        <v>3292</v>
      </c>
      <c r="D21" s="13" t="s">
        <v>3293</v>
      </c>
      <c r="E21" s="13" t="s">
        <v>3207</v>
      </c>
      <c r="F21" s="13" t="s">
        <v>3294</v>
      </c>
      <c r="G21" s="13" t="s">
        <v>14</v>
      </c>
    </row>
    <row r="22" customFormat="false" ht="23.85" hidden="false" customHeight="false" outlineLevel="0" collapsed="false">
      <c r="A22" s="13" t="s">
        <v>3295</v>
      </c>
      <c r="B22" s="13" t="s">
        <v>3296</v>
      </c>
      <c r="C22" s="13" t="s">
        <v>3225</v>
      </c>
      <c r="D22" s="13" t="s">
        <v>3297</v>
      </c>
      <c r="E22" s="13" t="s">
        <v>3231</v>
      </c>
      <c r="F22" s="13" t="s">
        <v>3298</v>
      </c>
      <c r="G22" s="13" t="s">
        <v>14</v>
      </c>
    </row>
    <row r="23" customFormat="false" ht="15" hidden="false" customHeight="false" outlineLevel="0" collapsed="false">
      <c r="A23" s="13" t="s">
        <v>3299</v>
      </c>
      <c r="B23" s="13" t="s">
        <v>3300</v>
      </c>
      <c r="C23" s="13" t="s">
        <v>3301</v>
      </c>
      <c r="D23" s="13" t="s">
        <v>3302</v>
      </c>
      <c r="E23" s="13" t="s">
        <v>3207</v>
      </c>
      <c r="F23" s="13" t="s">
        <v>3303</v>
      </c>
      <c r="G23" s="13" t="s">
        <v>13</v>
      </c>
    </row>
    <row r="24" customFormat="false" ht="23.85" hidden="false" customHeight="false" outlineLevel="0" collapsed="false">
      <c r="A24" s="13" t="s">
        <v>3304</v>
      </c>
      <c r="B24" s="13" t="s">
        <v>3305</v>
      </c>
      <c r="C24" s="13" t="s">
        <v>3240</v>
      </c>
      <c r="D24" s="13" t="s">
        <v>3306</v>
      </c>
      <c r="E24" s="13" t="s">
        <v>3216</v>
      </c>
      <c r="F24" s="13" t="s">
        <v>3307</v>
      </c>
      <c r="G24" s="13" t="s">
        <v>15</v>
      </c>
    </row>
    <row r="25" customFormat="false" ht="23.85" hidden="false" customHeight="false" outlineLevel="0" collapsed="false">
      <c r="A25" s="13" t="s">
        <v>3308</v>
      </c>
      <c r="B25" s="13" t="s">
        <v>3309</v>
      </c>
      <c r="C25" s="13" t="s">
        <v>3310</v>
      </c>
      <c r="D25" s="13" t="s">
        <v>3311</v>
      </c>
      <c r="E25" s="13" t="s">
        <v>3312</v>
      </c>
      <c r="F25" s="13" t="s">
        <v>3313</v>
      </c>
      <c r="G25" s="13" t="s">
        <v>14</v>
      </c>
    </row>
    <row r="26" customFormat="false" ht="15" hidden="false" customHeight="false" outlineLevel="0" collapsed="false">
      <c r="A26" s="13" t="s">
        <v>3314</v>
      </c>
      <c r="B26" s="13" t="s">
        <v>3315</v>
      </c>
      <c r="C26" s="13" t="s">
        <v>3310</v>
      </c>
      <c r="D26" s="13" t="s">
        <v>3316</v>
      </c>
      <c r="E26" s="13" t="s">
        <v>3312</v>
      </c>
      <c r="F26" s="13" t="s">
        <v>3317</v>
      </c>
      <c r="G26" s="13" t="s">
        <v>14</v>
      </c>
    </row>
    <row r="27" customFormat="false" ht="23.85" hidden="false" customHeight="false" outlineLevel="0" collapsed="false">
      <c r="A27" s="13" t="s">
        <v>3318</v>
      </c>
      <c r="B27" s="13" t="s">
        <v>3319</v>
      </c>
      <c r="C27" s="13" t="s">
        <v>3310</v>
      </c>
      <c r="D27" s="13" t="s">
        <v>3320</v>
      </c>
      <c r="E27" s="13" t="s">
        <v>3312</v>
      </c>
      <c r="F27" s="13" t="s">
        <v>3321</v>
      </c>
      <c r="G27" s="13" t="s">
        <v>14</v>
      </c>
    </row>
    <row r="28" customFormat="false" ht="23.85" hidden="false" customHeight="false" outlineLevel="0" collapsed="false">
      <c r="A28" s="13" t="s">
        <v>3322</v>
      </c>
      <c r="B28" s="13" t="s">
        <v>3323</v>
      </c>
      <c r="C28" s="13" t="s">
        <v>3310</v>
      </c>
      <c r="D28" s="13" t="s">
        <v>3324</v>
      </c>
      <c r="E28" s="13" t="s">
        <v>3312</v>
      </c>
      <c r="F28" s="13" t="s">
        <v>3325</v>
      </c>
      <c r="G28" s="13" t="s">
        <v>13</v>
      </c>
    </row>
    <row r="29" customFormat="false" ht="15" hidden="false" customHeight="false" outlineLevel="0" collapsed="false">
      <c r="A29" s="13" t="s">
        <v>3326</v>
      </c>
      <c r="B29" s="13" t="s">
        <v>3327</v>
      </c>
      <c r="C29" s="13" t="s">
        <v>3310</v>
      </c>
      <c r="D29" s="13" t="s">
        <v>3328</v>
      </c>
      <c r="E29" s="13" t="s">
        <v>3312</v>
      </c>
      <c r="F29" s="13" t="s">
        <v>3329</v>
      </c>
      <c r="G29" s="13" t="s">
        <v>14</v>
      </c>
    </row>
    <row r="30" customFormat="false" ht="23.85" hidden="false" customHeight="false" outlineLevel="0" collapsed="false">
      <c r="A30" s="13" t="s">
        <v>3330</v>
      </c>
      <c r="B30" s="13" t="s">
        <v>3331</v>
      </c>
      <c r="C30" s="13" t="s">
        <v>3292</v>
      </c>
      <c r="D30" s="13" t="s">
        <v>3332</v>
      </c>
      <c r="E30" s="13" t="s">
        <v>3333</v>
      </c>
      <c r="F30" s="13" t="s">
        <v>3334</v>
      </c>
      <c r="G30" s="13" t="s">
        <v>16</v>
      </c>
    </row>
  </sheetData>
  <autoFilter ref="A1:G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2026-09-27T23:21:41Z</dcterms:created>
  <dc:creator>openpyxl</dc:creator>
  <dc:description/>
  <dc:language>en-US</dc:language>
  <cp:lastModifiedBy/>
  <dcterms:modified xsi:type="dcterms:W3CDTF">2026-09-27T23:21:41Z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