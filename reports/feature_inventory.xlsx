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eatures" sheetId="2" state="visible" r:id="rId4"/>
    <sheet name="Blocks" sheetId="3" state="visible" r:id="rId5"/>
    <sheet name="Not yet developed" sheetId="4" state="visible" r:id="rId6"/>
  </sheets>
  <definedNames>
    <definedName function="false" hidden="true" localSheetId="1" name="_xlnm._FilterDatabase" vbProcedure="false">Features!$A$1:$J$671</definedName>
    <definedName function="false" hidden="true" localSheetId="3" name="_xlnm._FilterDatabase" vbProcedure="false">'Not yet developed'!$A$1:$G$35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Split gain of the served model. Source: the served model (535 features, trained through 2026-09-22, feature hash 9bc95363f3181433). Candidates and unserved features have no gain in this model.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7" authorId="0">
      <text>
        <r>
          <rPr>
            <sz val="10"/>
            <rFont val="Arial"/>
            <family val="2"/>
          </rPr>
          <t xml:space="preserve">Feature counts of the opt-in research blocks, typed in from reports/feature_inventory.md s4 (they are not in the feature lists this workbook reads).</t>
        </r>
      </text>
    </comment>
  </commentList>
</comments>
</file>

<file path=xl/sharedStrings.xml><?xml version="1.0" encoding="utf-8"?>
<sst xmlns="http://schemas.openxmlformats.org/spreadsheetml/2006/main" count="5067" uniqueCount="1640">
  <si>
    <t xml:space="preserve">Ashcroft price model: feature inventory</t>
  </si>
  <si>
    <t xml:space="preserve">Gain from the served model (535 features, trained through 2026-09-22, feature hash 9bc95363f3181433). Regenerate with: python scripts/feature_workbook.py</t>
  </si>
  <si>
    <t xml:space="preserve">Features by status</t>
  </si>
  <si>
    <t xml:space="preserve">Count</t>
  </si>
  <si>
    <t xml:space="preserve">Served</t>
  </si>
  <si>
    <t xml:space="preserve">Candidate (built, tested, promotion pending)</t>
  </si>
  <si>
    <t xml:space="preserve">Built, not served</t>
  </si>
  <si>
    <t xml:space="preserve">Excluded (not knowable at 06:00)</t>
  </si>
  <si>
    <t xml:space="preserve">All features listed</t>
  </si>
  <si>
    <t xml:space="preserve">Served features with zero gain</t>
  </si>
  <si>
    <t xml:space="preserve">Share of gain check (should be 100%)</t>
  </si>
  <si>
    <t xml:space="preserve">Not yet developed, by priority</t>
  </si>
  <si>
    <t xml:space="preserve">High</t>
  </si>
  <si>
    <t xml:space="preserve">Medium</t>
  </si>
  <si>
    <t xml:space="preserve">Low</t>
  </si>
  <si>
    <t xml:space="preserve">Blocked</t>
  </si>
  <si>
    <t xml:space="preserve">Review</t>
  </si>
  <si>
    <t xml:space="preserve">Top 15 served features by gain</t>
  </si>
  <si>
    <t xml:space="preserve">Share of gain</t>
  </si>
  <si>
    <t xml:space="preserve">Block</t>
  </si>
  <si>
    <t xml:space="preserve">Description</t>
  </si>
  <si>
    <t xml:space="preserve">Feature</t>
  </si>
  <si>
    <t xml:space="preserve">Group</t>
  </si>
  <si>
    <t xml:space="preserve">Module</t>
  </si>
  <si>
    <t xml:space="preserve">Status</t>
  </si>
  <si>
    <t xml:space="preserve">Gain (split gain)</t>
  </si>
  <si>
    <t xml:space="preserve">Share of served gain</t>
  </si>
  <si>
    <t xml:space="preserve">Rank (served)</t>
  </si>
  <si>
    <t xml:space="preserve">Card-safe at 06:00</t>
  </si>
  <si>
    <t xml:space="preserve">rPMW3</t>
  </si>
  <si>
    <t xml:space="preserve">Custom metrics</t>
  </si>
  <si>
    <t xml:space="preserve">Within-race ranks</t>
  </si>
  <si>
    <t xml:space="preserve">Within-race rank (1 = highest in the field) of PMW3: performance-adjusted prize money (prize x RB^2), recency-weighted, last 3 runs</t>
  </si>
  <si>
    <t xml:space="preserve">model/custom_metrics.py</t>
  </si>
  <si>
    <t xml:space="preserve">Yes</t>
  </si>
  <si>
    <t xml:space="preserve">LR_ORR2</t>
  </si>
  <si>
    <t xml:space="preserve">Last run and rolling windows</t>
  </si>
  <si>
    <t xml:space="preserve">Market rating (runners / BSP) in the last run</t>
  </si>
  <si>
    <t xml:space="preserve">rPMW5</t>
  </si>
  <si>
    <t xml:space="preserve">Within-race rank (1 = highest in the field) of PMW5: performance-adjusted prize money (prize x RB^2), recency-weighted, last 5 runs</t>
  </si>
  <si>
    <t xml:space="preserve">rPMW10</t>
  </si>
  <si>
    <t xml:space="preserve">Within-race rank (1 = highest in the field) of PMW10: performance-adjusted prize money (prize x RB^2), recency-weighted, last 10 runs</t>
  </si>
  <si>
    <t xml:space="preserve">or_num</t>
  </si>
  <si>
    <t xml:space="preserve">Card fields</t>
  </si>
  <si>
    <t xml:space="preserve">Today's card</t>
  </si>
  <si>
    <t xml:space="preserve">Official rating</t>
  </si>
  <si>
    <t xml:space="preserve">train_bfsp.py build_context_features</t>
  </si>
  <si>
    <t xml:space="preserve">LR3_RWO</t>
  </si>
  <si>
    <t xml:space="preserve">Harmonic-weighted mean ORR2 over the last 3 runs</t>
  </si>
  <si>
    <t xml:space="preserve">trainerWAXrank</t>
  </si>
  <si>
    <t xml:space="preserve">Within-race rank (1 = highest in the field) of preracetrainercareerWAX: trainer's career wins above chance per run (won - 1/runners) over earlier days</t>
  </si>
  <si>
    <t xml:space="preserve">LR_LB</t>
  </si>
  <si>
    <t xml:space="preserve">Research-backed metrics</t>
  </si>
  <si>
    <t xml:space="preserve">Lengths beaten</t>
  </si>
  <si>
    <t xml:space="preserve">Lengths beaten: last run</t>
  </si>
  <si>
    <t xml:space="preserve">rTJNFP</t>
  </si>
  <si>
    <t xml:space="preserve">Within-race rank (1 = highest in the field) of trainerjockeycareerNFP: trainer-jockey combination's career normalised finishing position (1 = won, 0 = last)</t>
  </si>
  <si>
    <t xml:space="preserve">median_or_num</t>
  </si>
  <si>
    <t xml:space="preserve">Median official rating in the race</t>
  </si>
  <si>
    <t xml:space="preserve">or_vs_max</t>
  </si>
  <si>
    <t xml:space="preserve">Official rating less the race's highest</t>
  </si>
  <si>
    <t xml:space="preserve">jockeyWAXrank</t>
  </si>
  <si>
    <t xml:space="preserve">Within-race rank (1 = highest in the field) of preracejockeycareerWAX: jockey's career wins above chance per run (won - 1/runners) over earlier days</t>
  </si>
  <si>
    <t xml:space="preserve">race_type_cat</t>
  </si>
  <si>
    <t xml:space="preserve">Race type, category code</t>
  </si>
  <si>
    <t xml:space="preserve">jockeyCWOrank</t>
  </si>
  <si>
    <t xml:space="preserve">Within-race rank (1 = highest in the field) of preracejockeycareerCWO: jockey's career cumulative wins above chance over earlier days</t>
  </si>
  <si>
    <t xml:space="preserve">PMW10</t>
  </si>
  <si>
    <t xml:space="preserve">Prize money (WPMRF, PMW)</t>
  </si>
  <si>
    <t xml:space="preserve">Performance-adjusted prize money (prize x RB^2), recency-weighted, last 10 runs</t>
  </si>
  <si>
    <t xml:space="preserve">fr_days_since_placed</t>
  </si>
  <si>
    <t xml:space="preserve">Freshness</t>
  </si>
  <si>
    <t xml:space="preserve">Days since the last run, in context</t>
  </si>
  <si>
    <t xml:space="preserve">Days since the last top-three finish</t>
  </si>
  <si>
    <t xml:space="preserve">model/freshness_features.py</t>
  </si>
  <si>
    <t xml:space="preserve">rORR2LR</t>
  </si>
  <si>
    <t xml:space="preserve">Within-race rank (1 = highest in the field) of LR_ORR2: market rating (runners / BSP) in the last run</t>
  </si>
  <si>
    <t xml:space="preserve">LRNFP</t>
  </si>
  <si>
    <t xml:space="preserve">NFP in the last run</t>
  </si>
  <si>
    <t xml:space="preserve">trainerWIVrank</t>
  </si>
  <si>
    <t xml:space="preserve">Within-race rank (1 = highest in the field) of preracetrainercareerWIV: trainer's career win index: wins / wins expected by chance (sum of 1/runners) over earlier days</t>
  </si>
  <si>
    <t xml:space="preserve">rRWOLR3</t>
  </si>
  <si>
    <t xml:space="preserve">Within-race rank (1 = highest in the field) of LR3_RWO: harmonic-weighted mean ORR2 over the last 3 runs</t>
  </si>
  <si>
    <t xml:space="preserve">LR3_ORR2</t>
  </si>
  <si>
    <t xml:space="preserve">Harmonic-weighted sum of ORR2 over the last 3 runs</t>
  </si>
  <si>
    <t xml:space="preserve">OFS1</t>
  </si>
  <si>
    <t xml:space="preserve">Odds x field size (OFS)</t>
  </si>
  <si>
    <t xml:space="preserve">Odds x field size in the last run (runners / BSP; equals LR_ORR2)</t>
  </si>
  <si>
    <t xml:space="preserve">LR10_RWO</t>
  </si>
  <si>
    <t xml:space="preserve">Harmonic-weighted mean ORR2 over the last 10 runs</t>
  </si>
  <si>
    <t xml:space="preserve">LR5_RWO</t>
  </si>
  <si>
    <t xml:space="preserve">Harmonic-weighted mean ORR2 over the last 5 runs</t>
  </si>
  <si>
    <t xml:space="preserve">LR_RACE_RB</t>
  </si>
  <si>
    <t xml:space="preserve">Race strength</t>
  </si>
  <si>
    <t xml:space="preserve">Strength (mean career RB) of the field in the last run</t>
  </si>
  <si>
    <t xml:space="preserve">rRWOLR10</t>
  </si>
  <si>
    <t xml:space="preserve">Within-race rank (1 = highest in the field) of LR10_RWO: harmonic-weighted mean ORR2 over the last 10 runs</t>
  </si>
  <si>
    <t xml:space="preserve">rTrainerSR14d</t>
  </si>
  <si>
    <t xml:space="preserve">Within-race rank (1 = highest in the field) of trainer_sr_14d: trainer's strike rate, last 14 days</t>
  </si>
  <si>
    <t xml:space="preserve">fr_days_since_code</t>
  </si>
  <si>
    <t xml:space="preserve">Days since the last run in today's code (flat, AW, hurdle, chase, bumper)</t>
  </si>
  <si>
    <t xml:space="preserve">rOFS3</t>
  </si>
  <si>
    <t xml:space="preserve">Within-race rank (1 = highest in the field) of OFS3: recency-weighted odds x field size, last 3 runs</t>
  </si>
  <si>
    <t xml:space="preserve">trainerCWOrank</t>
  </si>
  <si>
    <t xml:space="preserve">Within-race rank (1 = highest in the field) of preracetrainercareerCWO: trainer's career cumulative wins above chance over earlier days</t>
  </si>
  <si>
    <t xml:space="preserve">RACE_RB</t>
  </si>
  <si>
    <t xml:space="preserve">Field's mean career RB (race strength)</t>
  </si>
  <si>
    <t xml:space="preserve">PMW3</t>
  </si>
  <si>
    <t xml:space="preserve">Performance-adjusted prize money (prize x RB^2), recency-weighted, last 3 runs</t>
  </si>
  <si>
    <t xml:space="preserve">OFS3</t>
  </si>
  <si>
    <t xml:space="preserve">Recency-weighted odds x field size, last 3 runs</t>
  </si>
  <si>
    <t xml:space="preserve">rPFD10</t>
  </si>
  <si>
    <t xml:space="preserve">Within-race rank (1 = highest in the field) of PFD10: recency-weighted (BSP probability - 1/runners) over the last 10 runs</t>
  </si>
  <si>
    <t xml:space="preserve">jockeyWIVrank</t>
  </si>
  <si>
    <t xml:space="preserve">Within-race rank (1 = highest in the field) of preracejockeycareerWIV: jockey's career win index: wins / wins expected by chance (sum of 1/runners) over earlier days</t>
  </si>
  <si>
    <t xml:space="preserve">rLayoffAdjForm</t>
  </si>
  <si>
    <t xml:space="preserve">Financial-style form</t>
  </si>
  <si>
    <t xml:space="preserve">Within-race ranks of the financial features</t>
  </si>
  <si>
    <t xml:space="preserve">Within-race rank (1 = highest in the field) of layoff_adjusted_form: recent form discounted by days off</t>
  </si>
  <si>
    <t xml:space="preserve">model/financial_features.py</t>
  </si>
  <si>
    <t xml:space="preserve">jockeyLRIrank</t>
  </si>
  <si>
    <t xml:space="preserve">Within-race rank (1 = highest in the field) of totalLRPjockeyindex: jockey's last-run placing index</t>
  </si>
  <si>
    <t xml:space="preserve">fr_gap_rel_race</t>
  </si>
  <si>
    <t xml:space="preserve">Today's log gap less the field's mean</t>
  </si>
  <si>
    <t xml:space="preserve">it_runs_for_yard</t>
  </si>
  <si>
    <t xml:space="preserve">Intent (card-safe)</t>
  </si>
  <si>
    <t xml:space="preserve">Connections' choices and the yard's record with them</t>
  </si>
  <si>
    <t xml:space="preserve">Runs for the current yard</t>
  </si>
  <si>
    <t xml:space="preserve">model/intent_features.py</t>
  </si>
  <si>
    <t xml:space="preserve">career_runs_num</t>
  </si>
  <si>
    <t xml:space="preserve">Career runs before today</t>
  </si>
  <si>
    <t xml:space="preserve">trainerjockeycareerNFP</t>
  </si>
  <si>
    <t xml:space="preserve">Trainer-jockey combination</t>
  </si>
  <si>
    <t xml:space="preserve">Trainer-jockey combination's career normalised finishing position (1 = won, 0 = last)</t>
  </si>
  <si>
    <t xml:space="preserve">max_or_race</t>
  </si>
  <si>
    <t xml:space="preserve">Highest official rating in the race</t>
  </si>
  <si>
    <t xml:space="preserve">rLB</t>
  </si>
  <si>
    <t xml:space="preserve">Within-race rank (1 = highest in the field) of preracehorsecareerLB: horse's career lengths beaten over earlier runs</t>
  </si>
  <si>
    <t xml:space="preserve">days_since_lr_num</t>
  </si>
  <si>
    <t xml:space="preserve">HRB's days since the last run</t>
  </si>
  <si>
    <t xml:space="preserve">OFS5</t>
  </si>
  <si>
    <t xml:space="preserve">Recency-weighted odds x field size, last 5 runs</t>
  </si>
  <si>
    <t xml:space="preserve">fr_gap_vs_usual</t>
  </si>
  <si>
    <t xml:space="preserve">Today's log gap less the usual (+ longer break than usual)</t>
  </si>
  <si>
    <t xml:space="preserve">debut_x_trainer_wiv</t>
  </si>
  <si>
    <t xml:space="preserve">Pedigree (sire, damsire)</t>
  </si>
  <si>
    <t xml:space="preserve">Debutant x trainer's WIV</t>
  </si>
  <si>
    <t xml:space="preserve">weight_vs_avg</t>
  </si>
  <si>
    <t xml:space="preserve">Weight carried</t>
  </si>
  <si>
    <t xml:space="preserve">Weight carried less the field's mean</t>
  </si>
  <si>
    <t xml:space="preserve">horse_age_num</t>
  </si>
  <si>
    <t xml:space="preserve">Age</t>
  </si>
  <si>
    <t xml:space="preserve">or_vs_median</t>
  </si>
  <si>
    <t xml:space="preserve">Official rating less the race's median</t>
  </si>
  <si>
    <t xml:space="preserve">trainer_sr_30d</t>
  </si>
  <si>
    <t xml:space="preserve">Trainer and jockey recent form</t>
  </si>
  <si>
    <t xml:space="preserve">Trainer's strike rate, last 30 days</t>
  </si>
  <si>
    <t xml:space="preserve">trainer_track_win_rate</t>
  </si>
  <si>
    <t xml:space="preserve">Course form</t>
  </si>
  <si>
    <t xml:space="preserve">Trainer's strike rate at the course</t>
  </si>
  <si>
    <t xml:space="preserve">horse_sex_cat</t>
  </si>
  <si>
    <t xml:space="preserve">Sex, category code (from the last run on the card)</t>
  </si>
  <si>
    <t xml:space="preserve">RACE_WIV</t>
  </si>
  <si>
    <t xml:space="preserve">Field's mean career WIV</t>
  </si>
  <si>
    <t xml:space="preserve">course_avg_nfp</t>
  </si>
  <si>
    <t xml:space="preserve">Unexposure (new conditions)</t>
  </si>
  <si>
    <t xml:space="preserve">Mean NFP at the course</t>
  </si>
  <si>
    <t xml:space="preserve">RACE_WOA</t>
  </si>
  <si>
    <t xml:space="preserve">Field's mean career WOA</t>
  </si>
  <si>
    <t xml:space="preserve">jockeyWOArank</t>
  </si>
  <si>
    <t xml:space="preserve">Within-race rank (1 = highest in the field) of preracejockeycareerWOA: jockey's career wins over average (equal to WAX in this build) over earlier days</t>
  </si>
  <si>
    <t xml:space="preserve">trainer_career_late_move</t>
  </si>
  <si>
    <t xml:space="preserve">Pace and running style</t>
  </si>
  <si>
    <t xml:space="preserve">Pace, style, position</t>
  </si>
  <si>
    <t xml:space="preserve">Trainer's mean late move of runners</t>
  </si>
  <si>
    <t xml:space="preserve">model/pace_metrics.py</t>
  </si>
  <si>
    <t xml:space="preserve">preracetrainercareerWAX</t>
  </si>
  <si>
    <t xml:space="preserve">Trainer career</t>
  </si>
  <si>
    <t xml:space="preserve">Trainer's career wins above chance per run (won - 1/runners) over earlier days</t>
  </si>
  <si>
    <t xml:space="preserve">RACE_WPMRF</t>
  </si>
  <si>
    <t xml:space="preserve">Today's race's total prize money</t>
  </si>
  <si>
    <t xml:space="preserve">rDrawdownPeakNFP</t>
  </si>
  <si>
    <t xml:space="preserve">Within-race rank (1 = highest in the field) of drawdown_from_peak_nfp: recent NFP less the career-best NFP</t>
  </si>
  <si>
    <t xml:space="preserve">rRWOLR5</t>
  </si>
  <si>
    <t xml:space="preserve">Within-race rank (1 = highest in the field) of LR5_RWO: harmonic-weighted mean ORR2 over the last 5 runs</t>
  </si>
  <si>
    <t xml:space="preserve">PMW5</t>
  </si>
  <si>
    <t xml:space="preserve">Performance-adjusted prize money (prize x RB^2), recency-weighted, last 5 runs</t>
  </si>
  <si>
    <t xml:space="preserve">preracetrainercareerCWO</t>
  </si>
  <si>
    <t xml:space="preserve">Trainer's career cumulative wins above chance over earlier days</t>
  </si>
  <si>
    <t xml:space="preserve">preracetrainercareerWIV</t>
  </si>
  <si>
    <t xml:space="preserve">Trainer's career win index: wins / wins expected by chance (sum of 1/runners) over earlier days</t>
  </si>
  <si>
    <t xml:space="preserve">OFS10</t>
  </si>
  <si>
    <t xml:space="preserve">Recency-weighted odds x field size, last 10 runs</t>
  </si>
  <si>
    <t xml:space="preserve">LR3_LB</t>
  </si>
  <si>
    <t xml:space="preserve">Lengths beaten: mean of the last 3 runs</t>
  </si>
  <si>
    <t xml:space="preserve">rSireGoingNFP</t>
  </si>
  <si>
    <t xml:space="preserve">Within-race rank (1 = highest in the field) of sire_going_nfp: sire's progeny mean NFP on today's going</t>
  </si>
  <si>
    <t xml:space="preserve">fr_gap_vs_trainer</t>
  </si>
  <si>
    <t xml:space="preserve">Today's log gap less the yard's usual gap</t>
  </si>
  <si>
    <t xml:space="preserve">EXP_NFP10</t>
  </si>
  <si>
    <t xml:space="preserve">Exponentially decayed form</t>
  </si>
  <si>
    <t xml:space="preserve">Exponentially decayed (0.85) mean normalised finishing position (1 = won, 0 = last), last 10 runs</t>
  </si>
  <si>
    <t xml:space="preserve">or_change</t>
  </si>
  <si>
    <t xml:space="preserve">Official-rating trajectory</t>
  </si>
  <si>
    <t xml:space="preserve">Official rating change from the last run</t>
  </si>
  <si>
    <t xml:space="preserve">RPS</t>
  </si>
  <si>
    <t xml:space="preserve">Early position figure (EPF)</t>
  </si>
  <si>
    <t xml:space="preserve">Race pace score: sum of the field's expected early positions</t>
  </si>
  <si>
    <t xml:space="preserve">rOFS10</t>
  </si>
  <si>
    <t xml:space="preserve">Within-race rank (1 = highest in the field) of OFS10: recency-weighted odds x field size, last 10 runs</t>
  </si>
  <si>
    <t xml:space="preserve">rSireWIV</t>
  </si>
  <si>
    <t xml:space="preserve">Within-race rank (1 = highest in the field) of sire_wiv: sire's progeny WIV</t>
  </si>
  <si>
    <t xml:space="preserve">draw_bias_ev_course</t>
  </si>
  <si>
    <t xml:space="preserve">Draw and stall</t>
  </si>
  <si>
    <t xml:space="preserve">Draw bias and stall position</t>
  </si>
  <si>
    <t xml:space="preserve">Course-level draw bias</t>
  </si>
  <si>
    <t xml:space="preserve">model/draw_metrics.py</t>
  </si>
  <si>
    <t xml:space="preserve">horseRunsrank</t>
  </si>
  <si>
    <t xml:space="preserve">Within-race rank (1 = highest in the field) of preracehorsecareerRuns: horse's career runs over earlier runs</t>
  </si>
  <si>
    <t xml:space="preserve">layoff_adjusted_form</t>
  </si>
  <si>
    <t xml:space="preserve">Momentum, volatility, drawdown</t>
  </si>
  <si>
    <t xml:space="preserve">Recent form discounted by days off</t>
  </si>
  <si>
    <t xml:space="preserve">rJockeySR14d</t>
  </si>
  <si>
    <t xml:space="preserve">Within-race rank (1 = highest in the field) of jockey_sr_14d: jockey's strike rate, last 14 days</t>
  </si>
  <si>
    <t xml:space="preserve">rPFD3</t>
  </si>
  <si>
    <t xml:space="preserve">Within-race rank (1 = highest in the field) of PFD3: recency-weighted (BSP probability - 1/runners) over the last 3 runs</t>
  </si>
  <si>
    <t xml:space="preserve">class_change</t>
  </si>
  <si>
    <t xml:space="preserve">Class movement</t>
  </si>
  <si>
    <t xml:space="preserve">Class change from the last run</t>
  </si>
  <si>
    <t xml:space="preserve">rWPMRF10</t>
  </si>
  <si>
    <t xml:space="preserve">Within-race rank (1 = highest in the field) of WPMRF10: recency-weighted prize money raced for, last 10 runs</t>
  </si>
  <si>
    <t xml:space="preserve">dist_change_lr</t>
  </si>
  <si>
    <t xml:space="preserve">Distance aptitude</t>
  </si>
  <si>
    <t xml:space="preserve">Absolute trip change from the last run</t>
  </si>
  <si>
    <t xml:space="preserve">rSireNFP</t>
  </si>
  <si>
    <t xml:space="preserve">Within-race rank (1 = highest in the field) of sire_avg_nfp: sire's progeny mean NFP</t>
  </si>
  <si>
    <t xml:space="preserve">rWeightVsAvg</t>
  </si>
  <si>
    <t xml:space="preserve">Within-race rank (1 = highest in the field) of weight_vs_avg: weight carried less the field's mean</t>
  </si>
  <si>
    <t xml:space="preserve">rSurfaceNFP</t>
  </si>
  <si>
    <t xml:space="preserve">Within-race rank (1 = highest in the field) of surface_nfp: mean NFP on today's surface</t>
  </si>
  <si>
    <t xml:space="preserve">preracejockeycareerCWO</t>
  </si>
  <si>
    <t xml:space="preserve">Jockey career</t>
  </si>
  <si>
    <t xml:space="preserve">Jockey's career cumulative wins above chance over earlier days</t>
  </si>
  <si>
    <t xml:space="preserve">rSireDistNFP</t>
  </si>
  <si>
    <t xml:space="preserve">Within-race rank (1 = highest in the field) of sire_dist_nfp: sire's progeny mean NFP at the trip</t>
  </si>
  <si>
    <t xml:space="preserve">trainerWOArank</t>
  </si>
  <si>
    <t xml:space="preserve">Within-race rank (1 = highest in the field) of preracetrainercareerWOA: trainer's career wins over average (equal to WAX in this build) over earlier days</t>
  </si>
  <si>
    <t xml:space="preserve">LR5_ORR2</t>
  </si>
  <si>
    <t xml:space="preserve">Harmonic-weighted sum of ORR2 over the last 5 runs</t>
  </si>
  <si>
    <t xml:space="preserve">draw_bias_ev_n_eff</t>
  </si>
  <si>
    <t xml:space="preserve">Effective runners behind the draw bias</t>
  </si>
  <si>
    <t xml:space="preserve">class_vs_avg</t>
  </si>
  <si>
    <t xml:space="preserve">Today's class against the recent mean</t>
  </si>
  <si>
    <t xml:space="preserve">preferred_distance</t>
  </si>
  <si>
    <t xml:space="preserve">Trip of the horse's best runs</t>
  </si>
  <si>
    <t xml:space="preserve">trainer_holdup_rate</t>
  </si>
  <si>
    <t xml:space="preserve">Trainer's share of runners held up</t>
  </si>
  <si>
    <t xml:space="preserve">dist_change_signed</t>
  </si>
  <si>
    <t xml:space="preserve">Trip change from the last run (signed)</t>
  </si>
  <si>
    <t xml:space="preserve">going_avg_nfp</t>
  </si>
  <si>
    <t xml:space="preserve">Mean NFP on the going</t>
  </si>
  <si>
    <t xml:space="preserve">trainer_sr_14d</t>
  </si>
  <si>
    <t xml:space="preserve">Trainer's strike rate, last 14 days</t>
  </si>
  <si>
    <t xml:space="preserve">preferred_going</t>
  </si>
  <si>
    <t xml:space="preserve">Going preference</t>
  </si>
  <si>
    <t xml:space="preserve">Going of the horse's best runs</t>
  </si>
  <si>
    <t xml:space="preserve">rNFP</t>
  </si>
  <si>
    <t xml:space="preserve">Within-race rank (1 = highest in the field) of preracehorsecareerNFP: horse's career normalised finishing position (1 = won, 0 = last) over earlier runs</t>
  </si>
  <si>
    <t xml:space="preserve">trainer_career_early_pos</t>
  </si>
  <si>
    <t xml:space="preserve">Trainer's mean early position of runners</t>
  </si>
  <si>
    <t xml:space="preserve">rHorseTrackNFP</t>
  </si>
  <si>
    <t xml:space="preserve">Within-race rank (1 = highest in the field) of horse_track_nfp: mean NFP at the course</t>
  </si>
  <si>
    <t xml:space="preserve">or_vs_best</t>
  </si>
  <si>
    <t xml:space="preserve">Official rating less the career best</t>
  </si>
  <si>
    <t xml:space="preserve">trainer_runs_14d</t>
  </si>
  <si>
    <t xml:space="preserve">Trainer's runners, last 14 days</t>
  </si>
  <si>
    <t xml:space="preserve">or_change_3</t>
  </si>
  <si>
    <t xml:space="preserve">OR change over the last 3 runs</t>
  </si>
  <si>
    <t xml:space="preserve">pounds_num</t>
  </si>
  <si>
    <t xml:space="preserve">Weight carried (lbs)</t>
  </si>
  <si>
    <t xml:space="preserve">dist_furlongs</t>
  </si>
  <si>
    <t xml:space="preserve">Race distance (furlongs)</t>
  </si>
  <si>
    <t xml:space="preserve">weight_vs_min</t>
  </si>
  <si>
    <t xml:space="preserve">Weight carried less the field's lowest</t>
  </si>
  <si>
    <t xml:space="preserve">preracehorsecareerLB</t>
  </si>
  <si>
    <t xml:space="preserve">Horse's career lengths beaten over earlier runs</t>
  </si>
  <si>
    <t xml:space="preserve">preracehorsecareerNFP</t>
  </si>
  <si>
    <t xml:space="preserve">Horse career</t>
  </si>
  <si>
    <t xml:space="preserve">Horse's career normalised finishing position (1 = won, 0 = last) over earlier runs</t>
  </si>
  <si>
    <t xml:space="preserve">rOFS5</t>
  </si>
  <si>
    <t xml:space="preserve">Within-race rank (1 = highest in the field) of OFS5: recency-weighted odds x field size, last 5 runs</t>
  </si>
  <si>
    <t xml:space="preserve">LR_RACE_NFP</t>
  </si>
  <si>
    <t xml:space="preserve">Mean career NFP of the last run's field</t>
  </si>
  <si>
    <t xml:space="preserve">weight_change_lr</t>
  </si>
  <si>
    <t xml:space="preserve">Weight change from the last run</t>
  </si>
  <si>
    <t xml:space="preserve">preracetrainercareerPlaces</t>
  </si>
  <si>
    <t xml:space="preserve">Trainer's career first-three finishes over earlier days</t>
  </si>
  <si>
    <t xml:space="preserve">LR5_LB</t>
  </si>
  <si>
    <t xml:space="preserve">Lengths beaten: mean of the last 5 runs</t>
  </si>
  <si>
    <t xml:space="preserve">LR_RACE_WOA</t>
  </si>
  <si>
    <t xml:space="preserve">Mean career WOA of the last run's field</t>
  </si>
  <si>
    <t xml:space="preserve">draw_relative</t>
  </si>
  <si>
    <t xml:space="preserve">Draw position</t>
  </si>
  <si>
    <t xml:space="preserve">Stall relative to the field</t>
  </si>
  <si>
    <t xml:space="preserve">horseRBrank</t>
  </si>
  <si>
    <t xml:space="preserve">Within-race rank (1 = highest in the field) of preracehorsecareerRB: horse's career races-beaten score (identical to NFP in this data) over earlier runs</t>
  </si>
  <si>
    <t xml:space="preserve">trainer_keen_rate</t>
  </si>
  <si>
    <t xml:space="preserve">Trainer's share of runners keen</t>
  </si>
  <si>
    <t xml:space="preserve">jockey_runs_14d</t>
  </si>
  <si>
    <t xml:space="preserve">Jockey's rides, last 14 days</t>
  </si>
  <si>
    <t xml:space="preserve">it_ae_debut</t>
  </si>
  <si>
    <t xml:space="preserve">Trainer's shrunk A-E (won - BSP chance) with a debut, earlier days</t>
  </si>
  <si>
    <t xml:space="preserve">debut_x_sire_nfp</t>
  </si>
  <si>
    <t xml:space="preserve">Debutant x sire's mean NFP</t>
  </si>
  <si>
    <t xml:space="preserve">LR_EPF3</t>
  </si>
  <si>
    <t xml:space="preserve">Early position figure weighted by the finishing position in the last run</t>
  </si>
  <si>
    <t xml:space="preserve">it_new_yard</t>
  </si>
  <si>
    <t xml:space="preserve">First run for a new trainer</t>
  </si>
  <si>
    <t xml:space="preserve">trainer_front_rate</t>
  </si>
  <si>
    <t xml:space="preserve">Trainer's share of runners prominent</t>
  </si>
  <si>
    <t xml:space="preserve">fr_break_len</t>
  </si>
  <si>
    <t xml:space="preserve">log(1 + days) of that break</t>
  </si>
  <si>
    <t xml:space="preserve">jockey_career_late_move</t>
  </si>
  <si>
    <t xml:space="preserve">Jockey's mean late move of mounts</t>
  </si>
  <si>
    <t xml:space="preserve">FCS</t>
  </si>
  <si>
    <t xml:space="preserve">Field-size and class stability</t>
  </si>
  <si>
    <t xml:space="preserve">Field-class stability: RMS change in the race's mean OR over the last 10 runs</t>
  </si>
  <si>
    <t xml:space="preserve">weight_range</t>
  </si>
  <si>
    <t xml:space="preserve">The field's weight range</t>
  </si>
  <si>
    <t xml:space="preserve">trainer_form_delta</t>
  </si>
  <si>
    <t xml:space="preserve">Trainer's 14-day less 30-day strike rate</t>
  </si>
  <si>
    <t xml:space="preserve">draw_bias_ev_stall</t>
  </si>
  <si>
    <t xml:space="preserve">Per-stall draw surface, shrunk toward coarser cells</t>
  </si>
  <si>
    <t xml:space="preserve">LR_RACE_WIV</t>
  </si>
  <si>
    <t xml:space="preserve">Mean career WIV of the last run's field</t>
  </si>
  <si>
    <t xml:space="preserve">sire_dist_nfp</t>
  </si>
  <si>
    <t xml:space="preserve">Sire's progeny mean NFP at the trip</t>
  </si>
  <si>
    <t xml:space="preserve">trainerjockeyCWO</t>
  </si>
  <si>
    <t xml:space="preserve">Trainer-jockey combination's career cumulative wins above chance</t>
  </si>
  <si>
    <t xml:space="preserve">jockey_sr_30d</t>
  </si>
  <si>
    <t xml:space="preserve">Jockey's strike rate, last 30 days</t>
  </si>
  <si>
    <t xml:space="preserve">track_draw_screen</t>
  </si>
  <si>
    <t xml:space="preserve">Split-half stability of the course draw bias</t>
  </si>
  <si>
    <t xml:space="preserve">trainerpaceindex</t>
  </si>
  <si>
    <t xml:space="preserve">Race pace indices</t>
  </si>
  <si>
    <t xml:space="preserve">Trainer's pace index (runners' early positions)</t>
  </si>
  <si>
    <t xml:space="preserve">jockey_track_win_rate</t>
  </si>
  <si>
    <t xml:space="preserve">Jockey's strike rate at the course</t>
  </si>
  <si>
    <t xml:space="preserve">surface_nfp</t>
  </si>
  <si>
    <t xml:space="preserve">Surface form</t>
  </si>
  <si>
    <t xml:space="preserve">Mean NFP on today's surface</t>
  </si>
  <si>
    <t xml:space="preserve">track_front_win_share</t>
  </si>
  <si>
    <t xml:space="preserve">Course: share of winners that raced prominently</t>
  </si>
  <si>
    <t xml:space="preserve">preracetrainercareerRuns</t>
  </si>
  <si>
    <t xml:space="preserve">Trainer's career runs over earlier days</t>
  </si>
  <si>
    <t xml:space="preserve">EXP_ORR23</t>
  </si>
  <si>
    <t xml:space="preserve">Exponentially decayed (0.85) mean market rating: runners / BSP (the market's chance against a random runner's), last 3 runs</t>
  </si>
  <si>
    <t xml:space="preserve">rDistApt</t>
  </si>
  <si>
    <t xml:space="preserve">Within-race rank (1 = highest in the field) of dist_from_preferred: today's trip less the preferred</t>
  </si>
  <si>
    <t xml:space="preserve">track_pcs_mean</t>
  </si>
  <si>
    <t xml:space="preserve">Course mean pace-change score</t>
  </si>
  <si>
    <t xml:space="preserve">LR_RSR</t>
  </si>
  <si>
    <t xml:space="preserve">Speed ratings (RSR)</t>
  </si>
  <si>
    <t xml:space="preserve">Speed rating against the standard time (from the race's winning time): last run</t>
  </si>
  <si>
    <t xml:space="preserve">dist_from_preferred</t>
  </si>
  <si>
    <t xml:space="preserve">Today's trip less the preferred</t>
  </si>
  <si>
    <t xml:space="preserve">preracejockeycareerWAX</t>
  </si>
  <si>
    <t xml:space="preserve">Jockey's career wins above chance per run (won - 1/runners) over earlier days</t>
  </si>
  <si>
    <t xml:space="preserve">preracejockeycareerWIV</t>
  </si>
  <si>
    <t xml:space="preserve">Jockey's career win index: wins / wins expected by chance (sum of 1/runners) over earlier days</t>
  </si>
  <si>
    <t xml:space="preserve">career_best_or</t>
  </si>
  <si>
    <t xml:space="preserve">Highest official rating held</t>
  </si>
  <si>
    <t xml:space="preserve">dist_avg_nfp</t>
  </si>
  <si>
    <t xml:space="preserve">Mean NFP at the trip</t>
  </si>
  <si>
    <t xml:space="preserve">sire_going_nfp</t>
  </si>
  <si>
    <t xml:space="preserve">Sire's progeny mean NFP on today's going</t>
  </si>
  <si>
    <t xml:space="preserve">horseWIVrank</t>
  </si>
  <si>
    <t xml:space="preserve">Within-race rank (1 = highest in the field) of preracehorsecareerWIV: horse's career win index: wins / wins expected by chance (sum of 1/runners) over earlier runs</t>
  </si>
  <si>
    <t xml:space="preserve">RACE_NFP</t>
  </si>
  <si>
    <t xml:space="preserve">Field's mean career NFP</t>
  </si>
  <si>
    <t xml:space="preserve">number_of_runners</t>
  </si>
  <si>
    <t xml:space="preserve">Declared runners</t>
  </si>
  <si>
    <t xml:space="preserve">sire_avg_nfp</t>
  </si>
  <si>
    <t xml:space="preserve">Sire's progeny mean NFP</t>
  </si>
  <si>
    <t xml:space="preserve">jockey_front_rate</t>
  </si>
  <si>
    <t xml:space="preserve">Jockey's share of mounts ridden prominently</t>
  </si>
  <si>
    <t xml:space="preserve">preracejockeycareerPlaces</t>
  </si>
  <si>
    <t xml:space="preserve">Jockey's career first-three finishes over earlier days</t>
  </si>
  <si>
    <t xml:space="preserve">headgear_cat</t>
  </si>
  <si>
    <t xml:space="preserve">Headgear worn today, category code</t>
  </si>
  <si>
    <t xml:space="preserve">PFD10</t>
  </si>
  <si>
    <t xml:space="preserve">Probability-field difference (PFD)</t>
  </si>
  <si>
    <t xml:space="preserve">Recency-weighted (BSP probability - 1/runners) over the last 10 runs</t>
  </si>
  <si>
    <t xml:space="preserve">jockey_keen_rate</t>
  </si>
  <si>
    <t xml:space="preserve">Jockey's share of mounts keen</t>
  </si>
  <si>
    <t xml:space="preserve">damsire_going_nfp</t>
  </si>
  <si>
    <t xml:space="preserve">Damsire's mean NFP on the going</t>
  </si>
  <si>
    <t xml:space="preserve">draw_bias_stall_n_eff</t>
  </si>
  <si>
    <t xml:space="preserve">Effective runners behind the per-stall surface</t>
  </si>
  <si>
    <t xml:space="preserve">draw_bias_alignment</t>
  </si>
  <si>
    <t xml:space="preserve">Stall on the favoured side of the course x distance bias</t>
  </si>
  <si>
    <t xml:space="preserve">totalLRPjockeyindex</t>
  </si>
  <si>
    <t xml:space="preserve">Last-run placing index (LRP)</t>
  </si>
  <si>
    <t xml:space="preserve">Jockey's last-run placing index</t>
  </si>
  <si>
    <t xml:space="preserve">preracetrainercareerWins</t>
  </si>
  <si>
    <t xml:space="preserve">Trainer's career wins over earlier days</t>
  </si>
  <si>
    <t xml:space="preserve">draw_change</t>
  </si>
  <si>
    <t xml:space="preserve">Change in relative draw from the last run</t>
  </si>
  <si>
    <t xml:space="preserve">rWPMRF3</t>
  </si>
  <si>
    <t xml:space="preserve">Within-race rank (1 = highest in the field) of WPMRF3: recency-weighted prize money raced for, last 3 runs</t>
  </si>
  <si>
    <t xml:space="preserve">rJockeyEPF</t>
  </si>
  <si>
    <t xml:space="preserve">Within-race rank (1 = highest in the field) of Jockey_Career_EPF: jockey's career mean EPF2 of mounts</t>
  </si>
  <si>
    <t xml:space="preserve">damsire_dist_nfp</t>
  </si>
  <si>
    <t xml:space="preserve">Damsire's mean NFP at the trip</t>
  </si>
  <si>
    <t xml:space="preserve">PFD3</t>
  </si>
  <si>
    <t xml:space="preserve">Recency-weighted (BSP probability - 1/runners) over the last 3 runs</t>
  </si>
  <si>
    <t xml:space="preserve">td_pcs_mean</t>
  </si>
  <si>
    <t xml:space="preserve">Course x distance mean pace-change score</t>
  </si>
  <si>
    <t xml:space="preserve">trainer_Career_EPF</t>
  </si>
  <si>
    <t xml:space="preserve">Trainer's career mean EPF2 of runners</t>
  </si>
  <si>
    <t xml:space="preserve">RACE_Wins</t>
  </si>
  <si>
    <t xml:space="preserve">Field's mean career wins</t>
  </si>
  <si>
    <t xml:space="preserve">sire_runners</t>
  </si>
  <si>
    <t xml:space="preserve">Sire's progeny runs</t>
  </si>
  <si>
    <t xml:space="preserve">fr_runs_since_win</t>
  </si>
  <si>
    <t xml:space="preserve">Runs since the last win</t>
  </si>
  <si>
    <t xml:space="preserve">EXP_NFP3</t>
  </si>
  <si>
    <t xml:space="preserve">Exponentially decayed (0.85) mean normalised finishing position (1 = won, 0 = last), last 3 runs</t>
  </si>
  <si>
    <t xml:space="preserve">WPMRF10</t>
  </si>
  <si>
    <t xml:space="preserve">Recency-weighted prize money raced for, last 10 runs</t>
  </si>
  <si>
    <t xml:space="preserve">jockey_form_delta</t>
  </si>
  <si>
    <t xml:space="preserve">Jockey's 14-day less 30-day strike rate</t>
  </si>
  <si>
    <t xml:space="preserve">it_ae_sum</t>
  </si>
  <si>
    <t xml:space="preserve">Sum of the trainer's A-E records for today's angles</t>
  </si>
  <si>
    <t xml:space="preserve">rWPMRF5</t>
  </si>
  <si>
    <t xml:space="preserve">Within-race rank (1 = highest in the field) of WPMRF5: recency-weighted prize money raced for, last 5 runs</t>
  </si>
  <si>
    <t xml:space="preserve">damsire_win_rate</t>
  </si>
  <si>
    <t xml:space="preserve">Damsire's progeny win rate</t>
  </si>
  <si>
    <t xml:space="preserve">damsire_avg_nfp</t>
  </si>
  <si>
    <t xml:space="preserve">Damsire's progeny mean NFP</t>
  </si>
  <si>
    <t xml:space="preserve">it_ae_new_yard</t>
  </si>
  <si>
    <t xml:space="preserve">Trainer's shrunk A-E (won - BSP chance) with a new yard, earlier days</t>
  </si>
  <si>
    <t xml:space="preserve">preracetrainercareerWOA</t>
  </si>
  <si>
    <t xml:space="preserve">Trainer's career wins over average (equal to WAX in this build) over earlier days</t>
  </si>
  <si>
    <t xml:space="preserve">LR_RACE_Wins</t>
  </si>
  <si>
    <t xml:space="preserve">Mean career wins of the last run's field</t>
  </si>
  <si>
    <t xml:space="preserve">sire_dist_win_rate</t>
  </si>
  <si>
    <t xml:space="preserve">Sire's win rate at the trip</t>
  </si>
  <si>
    <t xml:space="preserve">it_n_angles</t>
  </si>
  <si>
    <t xml:space="preserve">Number of intent angles today</t>
  </si>
  <si>
    <t xml:space="preserve">sire_going_win_rate</t>
  </si>
  <si>
    <t xml:space="preserve">Sire's win rate on the going</t>
  </si>
  <si>
    <t xml:space="preserve">sire_place_rate</t>
  </si>
  <si>
    <t xml:space="preserve">Sire's progeny place rate</t>
  </si>
  <si>
    <t xml:space="preserve">fr_usual_gap</t>
  </si>
  <si>
    <t xml:space="preserve">The horse's usual spacing: recency-weighted mean of log(1 + gap) before earlier runs</t>
  </si>
  <si>
    <t xml:space="preserve">trainerjockeyWAX</t>
  </si>
  <si>
    <t xml:space="preserve">Trainer-jockey combination's career wins above chance per run (won - 1/runners)</t>
  </si>
  <si>
    <t xml:space="preserve">debut_x_sire_wiv</t>
  </si>
  <si>
    <t xml:space="preserve">Debutant x sire's WIV</t>
  </si>
  <si>
    <t xml:space="preserve">race_class_num</t>
  </si>
  <si>
    <t xml:space="preserve">Race class (1 = highest)</t>
  </si>
  <si>
    <t xml:space="preserve">it_ae_best</t>
  </si>
  <si>
    <t xml:space="preserve">Best of the trainer's A-E records for today's angles</t>
  </si>
  <si>
    <t xml:space="preserve">career_residual</t>
  </si>
  <si>
    <t xml:space="preserve">Results against the market</t>
  </si>
  <si>
    <t xml:space="preserve">Career mean of (NFP - NFP expected from the market's order)</t>
  </si>
  <si>
    <t xml:space="preserve">LRPTotalScore</t>
  </si>
  <si>
    <t xml:space="preserve">Last-run placing index (placed = first three)</t>
  </si>
  <si>
    <t xml:space="preserve">jockeypaceindex</t>
  </si>
  <si>
    <t xml:space="preserve">Jockey's pace index (mounts' early positions)</t>
  </si>
  <si>
    <t xml:space="preserve">draw_x_handed</t>
  </si>
  <si>
    <t xml:space="preserve">Stall x handedness (inside for the direction)</t>
  </si>
  <si>
    <t xml:space="preserve">trainer_track_runs</t>
  </si>
  <si>
    <t xml:space="preserve">Trainer's runners at the course</t>
  </si>
  <si>
    <t xml:space="preserve">horse_track_win_rate</t>
  </si>
  <si>
    <t xml:space="preserve">Win rate at the course</t>
  </si>
  <si>
    <t xml:space="preserve">damsire_runners</t>
  </si>
  <si>
    <t xml:space="preserve">Damsire's progeny runs</t>
  </si>
  <si>
    <t xml:space="preserve">jockey_holdup_rate</t>
  </si>
  <si>
    <t xml:space="preserve">Jockey's share of mounts held up</t>
  </si>
  <si>
    <t xml:space="preserve">totaljockeyLRPscore</t>
  </si>
  <si>
    <t xml:space="preserve">Jockey's cumulative last-run placing score</t>
  </si>
  <si>
    <t xml:space="preserve">fr_days_since_win</t>
  </si>
  <si>
    <t xml:space="preserve">Days since the last win held</t>
  </si>
  <si>
    <t xml:space="preserve">Jockey_Career_EPF</t>
  </si>
  <si>
    <t xml:space="preserve">Jockey's career mean EPF2 of mounts</t>
  </si>
  <si>
    <t xml:space="preserve">trainerjockeycareerWIV</t>
  </si>
  <si>
    <t xml:space="preserve">Trainer-jockey combination's career win index: wins / wins expected by chance (sum of 1/runners)</t>
  </si>
  <si>
    <t xml:space="preserve">going_change_lr</t>
  </si>
  <si>
    <t xml:space="preserve">Going change from the last run</t>
  </si>
  <si>
    <t xml:space="preserve">WPMRF3</t>
  </si>
  <si>
    <t xml:space="preserve">Recency-weighted prize money raced for, last 3 runs</t>
  </si>
  <si>
    <t xml:space="preserve">td_avg_winner_pos</t>
  </si>
  <si>
    <t xml:space="preserve">Course x distance: winners' mean early position</t>
  </si>
  <si>
    <t xml:space="preserve">course_front_edge</t>
  </si>
  <si>
    <t xml:space="preserve">Course edge for front-runners</t>
  </si>
  <si>
    <t xml:space="preserve">LR10_ORR2</t>
  </si>
  <si>
    <t xml:space="preserve">Harmonic-weighted sum of ORR2 over the last 10 runs</t>
  </si>
  <si>
    <t xml:space="preserve">td_front_win_share</t>
  </si>
  <si>
    <t xml:space="preserve">Course x distance: share of winners that raced prominently</t>
  </si>
  <si>
    <t xml:space="preserve">LR_draw_relative</t>
  </si>
  <si>
    <t xml:space="preserve">Relative draw in the last run</t>
  </si>
  <si>
    <t xml:space="preserve">avg_class_3</t>
  </si>
  <si>
    <t xml:space="preserve">Mean class of the last 3 runs</t>
  </si>
  <si>
    <t xml:space="preserve">jockey_career_early_pos</t>
  </si>
  <si>
    <t xml:space="preserve">Jockey's mean early position of mounts</t>
  </si>
  <si>
    <t xml:space="preserve">rGoingPref</t>
  </si>
  <si>
    <t xml:space="preserve">Within-race rank (1 = highest in the field) of going_from_preferred: today's going less the preferred</t>
  </si>
  <si>
    <t xml:space="preserve">preracehorsecareerFSARB2</t>
  </si>
  <si>
    <t xml:space="preserve">Horse's career mean squared field-size-adjusted RB over earlier runs</t>
  </si>
  <si>
    <t xml:space="preserve">nfp_macd</t>
  </si>
  <si>
    <t xml:space="preserve">MACD of the NFP series</t>
  </si>
  <si>
    <t xml:space="preserve">horse_track_nfp</t>
  </si>
  <si>
    <t xml:space="preserve">horsePlacesrank</t>
  </si>
  <si>
    <t xml:space="preserve">Within-race rank (1 = highest in the field) of preracehorsecareerPlaces: horse's career first-three finishes over earlier runs</t>
  </si>
  <si>
    <t xml:space="preserve">track_cat</t>
  </si>
  <si>
    <t xml:space="preserve">Course, category code</t>
  </si>
  <si>
    <t xml:space="preserve">fr_runs_since_break</t>
  </si>
  <si>
    <t xml:space="preserve">0 = first run back from 60+ days (or debut), 1 = second run back, ... (capped at 8)</t>
  </si>
  <si>
    <t xml:space="preserve">rTJWIV</t>
  </si>
  <si>
    <t xml:space="preserve">Within-race rank (1 = highest in the field) of trainerjockeycareerWIV: trainer-jockey combination's career win index: wins / wins expected by chance (sum of 1/runners)</t>
  </si>
  <si>
    <t xml:space="preserve">or_vs_last_win</t>
  </si>
  <si>
    <t xml:space="preserve">Official rating less the rating at the last win</t>
  </si>
  <si>
    <t xml:space="preserve">it_hcap_debut</t>
  </si>
  <si>
    <t xml:space="preserve">Handicap debut</t>
  </si>
  <si>
    <t xml:space="preserve">preracejockeycareerWins</t>
  </si>
  <si>
    <t xml:space="preserve">Jockey's career wins over earlier days</t>
  </si>
  <si>
    <t xml:space="preserve">td_holdup_win_share</t>
  </si>
  <si>
    <t xml:space="preserve">Course x distance: share of winners that were held up</t>
  </si>
  <si>
    <t xml:space="preserve">or_momentum</t>
  </si>
  <si>
    <t xml:space="preserve">Trend in official rating</t>
  </si>
  <si>
    <t xml:space="preserve">sire_wiv</t>
  </si>
  <si>
    <t xml:space="preserve">Sire's progeny WIV</t>
  </si>
  <si>
    <t xml:space="preserve">trainer_jockey_style_gap</t>
  </si>
  <si>
    <t xml:space="preserve">Trainer's usual style less the jockey's</t>
  </si>
  <si>
    <t xml:space="preserve">rWinDensity30d</t>
  </si>
  <si>
    <t xml:space="preserve">Within-race rank (1 = highest in the field) of win_density_30d: wins in the last 30 days</t>
  </si>
  <si>
    <t xml:space="preserve">draw_bias_gradient</t>
  </si>
  <si>
    <t xml:space="preserve">Slope of the bias from low to high stalls</t>
  </si>
  <si>
    <t xml:space="preserve">rRSR</t>
  </si>
  <si>
    <t xml:space="preserve">Within-race rank (1 = highest in the field) of preracehorsecareerRSR: horse's career speed rating against the standard time (from the race's winning time) over earlier runs</t>
  </si>
  <si>
    <t xml:space="preserve">totaljockeyrides</t>
  </si>
  <si>
    <t xml:space="preserve">Jockey's cumulative rides</t>
  </si>
  <si>
    <t xml:space="preserve">going_numeric</t>
  </si>
  <si>
    <t xml:space="preserve">Going on the card, as a number</t>
  </si>
  <si>
    <t xml:space="preserve">sire_win_rate</t>
  </si>
  <si>
    <t xml:space="preserve">Sire's progeny win rate (shrunk)</t>
  </si>
  <si>
    <t xml:space="preserve">draw_advantage_field_adj</t>
  </si>
  <si>
    <t xml:space="preserve">Draw advantage scaled by field size</t>
  </si>
  <si>
    <t xml:space="preserve">going_from_preferred</t>
  </si>
  <si>
    <t xml:space="preserve">Today's going less the preferred</t>
  </si>
  <si>
    <t xml:space="preserve">jockey_track_runs</t>
  </si>
  <si>
    <t xml:space="preserve">Jockey's rides at the course</t>
  </si>
  <si>
    <t xml:space="preserve">rPFD5</t>
  </si>
  <si>
    <t xml:space="preserve">Within-race rank (1 = highest in the field) of PFD5: recency-weighted (BSP probability - 1/runners) over the last 5 runs</t>
  </si>
  <si>
    <t xml:space="preserve">predicted_lead_prob</t>
  </si>
  <si>
    <t xml:space="preserve">Projected chance of leading</t>
  </si>
  <si>
    <t xml:space="preserve">mean_reversion_score</t>
  </si>
  <si>
    <t xml:space="preserve">Distance of recent form from the long-run mean</t>
  </si>
  <si>
    <t xml:space="preserve">WPMRF5</t>
  </si>
  <si>
    <t xml:space="preserve">Recency-weighted prize money raced for, last 5 runs</t>
  </si>
  <si>
    <t xml:space="preserve">lead_prob_top</t>
  </si>
  <si>
    <t xml:space="preserve">Most likely leader</t>
  </si>
  <si>
    <t xml:space="preserve">preracehorsecareerORR2</t>
  </si>
  <si>
    <t xml:space="preserve">Horse's career market rating: runners / BSP (the market's chance against a random runner's) over earlier runs</t>
  </si>
  <si>
    <t xml:space="preserve">residual_exp5</t>
  </si>
  <si>
    <t xml:space="preserve">Exponentially decayed NFP residual vs the market, last 5 runs</t>
  </si>
  <si>
    <t xml:space="preserve">rFormSlope3</t>
  </si>
  <si>
    <t xml:space="preserve">Within-race rank (1 = highest in the field) of form_slope_3: slope of NFP over the last 3 runs (+ improving)</t>
  </si>
  <si>
    <t xml:space="preserve">best_RSR</t>
  </si>
  <si>
    <t xml:space="preserve">Best career speed rating</t>
  </si>
  <si>
    <t xml:space="preserve">pred_pace_contested</t>
  </si>
  <si>
    <t xml:space="preserve">Projected contested lead</t>
  </si>
  <si>
    <t xml:space="preserve">racepaceindex</t>
  </si>
  <si>
    <t xml:space="preserve">Race pace index from the field's expected pace</t>
  </si>
  <si>
    <t xml:space="preserve">pred_pace_spread</t>
  </si>
  <si>
    <t xml:space="preserve">Spread of projected early positions</t>
  </si>
  <si>
    <t xml:space="preserve">rNFPLR3</t>
  </si>
  <si>
    <t xml:space="preserve">Within-race rank (1 = highest in the field) of LR3NFPtotal: mean NFP over the last 3 runs</t>
  </si>
  <si>
    <t xml:space="preserve">rHorseLateMoveCareer</t>
  </si>
  <si>
    <t xml:space="preserve">Within-race rank (1 = highest in the field) of horse_career_late_move: career mean places gained late</t>
  </si>
  <si>
    <t xml:space="preserve">lead_prob_entropy</t>
  </si>
  <si>
    <t xml:space="preserve">How open the lead is (entropy of lead chances)</t>
  </si>
  <si>
    <t xml:space="preserve">td_draw_screen</t>
  </si>
  <si>
    <t xml:space="preserve">Split-half stability of the course x distance draw bias</t>
  </si>
  <si>
    <t xml:space="preserve">going_draw_shift</t>
  </si>
  <si>
    <t xml:space="preserve">How today's going shifts the draw bias</t>
  </si>
  <si>
    <t xml:space="preserve">draw_x_pace</t>
  </si>
  <si>
    <t xml:space="preserve">Stall x race pace</t>
  </si>
  <si>
    <t xml:space="preserve">rNFPMACD</t>
  </si>
  <si>
    <t xml:space="preserve">Within-race rank (1 = highest in the field) of nfp_macd: MACD of the NFP series</t>
  </si>
  <si>
    <t xml:space="preserve">LR3_RSR</t>
  </si>
  <si>
    <t xml:space="preserve">Speed rating against the standard time (from the race's winning time): mean of the last 3 runs</t>
  </si>
  <si>
    <t xml:space="preserve">win_density_30d</t>
  </si>
  <si>
    <t xml:space="preserve">Wins in the last 30 days</t>
  </si>
  <si>
    <t xml:space="preserve">preracehorsecareerRSR</t>
  </si>
  <si>
    <t xml:space="preserve">Horse's career speed rating against the standard time (from the race's winning time) over earlier runs</t>
  </si>
  <si>
    <t xml:space="preserve">tdg_draw_bias</t>
  </si>
  <si>
    <t xml:space="preserve">Course x distance x going draw bias</t>
  </si>
  <si>
    <t xml:space="preserve">td_dsh_level</t>
  </si>
  <si>
    <t xml:space="preserve">Draw bias level from the split-half screen</t>
  </si>
  <si>
    <t xml:space="preserve">lead_prob_edge</t>
  </si>
  <si>
    <t xml:space="preserve">Lead chance less the next best</t>
  </si>
  <si>
    <t xml:space="preserve">pred_race_pace</t>
  </si>
  <si>
    <t xml:space="preserve">Projected pace of today's race</t>
  </si>
  <si>
    <t xml:space="preserve">rFCS</t>
  </si>
  <si>
    <t xml:space="preserve">Within-race rank (1 = highest in the field) of FCS: field-class stability: RMS change in the race's mean OR over the last 10 runs</t>
  </si>
  <si>
    <t xml:space="preserve">jockey_sr_14d</t>
  </si>
  <si>
    <t xml:space="preserve">Jockey's strike rate, last 14 days</t>
  </si>
  <si>
    <t xml:space="preserve">residual_exp3</t>
  </si>
  <si>
    <t xml:space="preserve">Exponentially decayed NFP residual vs the market, last 3 runs</t>
  </si>
  <si>
    <t xml:space="preserve">career_nfp_std</t>
  </si>
  <si>
    <t xml:space="preserve">Consistency and strike rates</t>
  </si>
  <si>
    <t xml:space="preserve">Career standard deviation of NFP</t>
  </si>
  <si>
    <t xml:space="preserve">draw_bias_spread</t>
  </si>
  <si>
    <t xml:space="preserve">Best less worst stall bias in the race</t>
  </si>
  <si>
    <t xml:space="preserve">EXP_NFP5</t>
  </si>
  <si>
    <t xml:space="preserve">Exponentially decayed (0.85) mean normalised finishing position (1 = won, 0 = last), last 5 runs</t>
  </si>
  <si>
    <t xml:space="preserve">draw_x_style</t>
  </si>
  <si>
    <t xml:space="preserve">Stall x projected running style</t>
  </si>
  <si>
    <t xml:space="preserve">LR_had_trouble</t>
  </si>
  <si>
    <t xml:space="preserve">Trouble in running last time</t>
  </si>
  <si>
    <t xml:space="preserve">horseFSARB2rank</t>
  </si>
  <si>
    <t xml:space="preserve">Within-race rank (1 = highest in the field) of preracehorsecareerFSARB2: horse's career mean squared field-size-adjusted RB over earlier runs</t>
  </si>
  <si>
    <t xml:space="preserve">pace_suit</t>
  </si>
  <si>
    <t xml:space="preserve">How well the projected pace suits the style</t>
  </si>
  <si>
    <t xml:space="preserve">preracehorsecareerWAX</t>
  </si>
  <si>
    <t xml:space="preserve">Horse's career wins above chance per run (won - 1/runners) over earlier runs</t>
  </si>
  <si>
    <t xml:space="preserve">prize_momentum</t>
  </si>
  <si>
    <t xml:space="preserve">Trend in prize money raced for</t>
  </si>
  <si>
    <t xml:space="preserve">preracejockeycareerRuns</t>
  </si>
  <si>
    <t xml:space="preserve">Jockey's career runs over earlier days</t>
  </si>
  <si>
    <t xml:space="preserve">preracehorsecareerFSARB</t>
  </si>
  <si>
    <t xml:space="preserve">Horse's career field-size-adjusted RB over earlier runs</t>
  </si>
  <si>
    <t xml:space="preserve">drawdown_from_peak_nfp</t>
  </si>
  <si>
    <t xml:space="preserve">Recent NFP less the career-best NFP</t>
  </si>
  <si>
    <t xml:space="preserve">recent_place_rate</t>
  </si>
  <si>
    <t xml:space="preserve">Place rate over the last 10 runs</t>
  </si>
  <si>
    <t xml:space="preserve">rMeanReversion</t>
  </si>
  <si>
    <t xml:space="preserve">Within-race rank (1 = highest in the field) of mean_reversion_score: distance of recent form from the long-run mean</t>
  </si>
  <si>
    <t xml:space="preserve">nfp_macd_signal</t>
  </si>
  <si>
    <t xml:space="preserve">MACD signal line</t>
  </si>
  <si>
    <t xml:space="preserve">jockey_horse_style_gap</t>
  </si>
  <si>
    <t xml:space="preserve">Jockey's usual style less the horse's</t>
  </si>
  <si>
    <t xml:space="preserve">rDamsireNFP</t>
  </si>
  <si>
    <t xml:space="preserve">Within-race rank (1 = highest in the field) of damsire_avg_nfp: damsire's progeny mean NFP</t>
  </si>
  <si>
    <t xml:space="preserve">PFD5</t>
  </si>
  <si>
    <t xml:space="preserve">Recency-weighted (BSP probability - 1/runners) over the last 5 runs</t>
  </si>
  <si>
    <t xml:space="preserve">SFI</t>
  </si>
  <si>
    <t xml:space="preserve">Speed-figure improvement (last run less the one before)</t>
  </si>
  <si>
    <t xml:space="preserve">LR5_RSR</t>
  </si>
  <si>
    <t xml:space="preserve">Speed rating against the standard time (from the race's winning time): mean of the last 5 runs</t>
  </si>
  <si>
    <t xml:space="preserve">rNFPLR10</t>
  </si>
  <si>
    <t xml:space="preserve">Within-race rank (1 = highest in the field) of LR10NFPtotal: mean NFP over the last 10 runs</t>
  </si>
  <si>
    <t xml:space="preserve">pred_max_front</t>
  </si>
  <si>
    <t xml:space="preserve">Strongest front-runner's projected position</t>
  </si>
  <si>
    <t xml:space="preserve">preracehorsecareerCWO</t>
  </si>
  <si>
    <t xml:space="preserve">Horse's career cumulative wins above chance over earlier runs</t>
  </si>
  <si>
    <t xml:space="preserve">draw_lead_fit</t>
  </si>
  <si>
    <t xml:space="preserve">Fit of the stall to leading</t>
  </si>
  <si>
    <t xml:space="preserve">going_draw_alignment</t>
  </si>
  <si>
    <t xml:space="preserve">Stall on the favoured side for today's going</t>
  </si>
  <si>
    <t xml:space="preserve">draw_pct_adj</t>
  </si>
  <si>
    <t xml:space="preserve">Adjusted stall as a share of the field (0 = lowest)</t>
  </si>
  <si>
    <t xml:space="preserve">FSS</t>
  </si>
  <si>
    <t xml:space="preserve">Field-size stability: RMS change in field size over the last 10 runs</t>
  </si>
  <si>
    <t xml:space="preserve">form_slope_3</t>
  </si>
  <si>
    <t xml:space="preserve">Form trajectory</t>
  </si>
  <si>
    <t xml:space="preserve">Slope of NFP over the last 3 runs (+ improving)</t>
  </si>
  <si>
    <t xml:space="preserve">RSR_gap</t>
  </si>
  <si>
    <t xml:space="preserve">Best speed rating less the mean of the last 3</t>
  </si>
  <si>
    <t xml:space="preserve">horse_low_stall_nfp</t>
  </si>
  <si>
    <t xml:space="preserve">Horse's mean NFP from low stalls</t>
  </si>
  <si>
    <t xml:space="preserve">rORChange</t>
  </si>
  <si>
    <t xml:space="preserve">Within-race rank (1 = highest in the field) of or_change: official rating change from the last run</t>
  </si>
  <si>
    <t xml:space="preserve">pace_mismatch</t>
  </si>
  <si>
    <t xml:space="preserve">Mismatch of style and projected pace</t>
  </si>
  <si>
    <t xml:space="preserve">pred_pace_share</t>
  </si>
  <si>
    <t xml:space="preserve">Share of the projected pace</t>
  </si>
  <si>
    <t xml:space="preserve">draw_pos_fit</t>
  </si>
  <si>
    <t xml:space="preserve">Fit of the stall to the projected position</t>
  </si>
  <si>
    <t xml:space="preserve">CIL3</t>
  </si>
  <si>
    <t xml:space="preserve">Recency weights and data counts</t>
  </si>
  <si>
    <t xml:space="preserve">Data count index (last 3)</t>
  </si>
  <si>
    <t xml:space="preserve">LR2_EPF3</t>
  </si>
  <si>
    <t xml:space="preserve">Early position figure weighted by the finishing position in the 2-back run</t>
  </si>
  <si>
    <t xml:space="preserve">LR10NFPtotal</t>
  </si>
  <si>
    <t xml:space="preserve">Mean NFP over the last 10 runs</t>
  </si>
  <si>
    <t xml:space="preserve">form_rsi_10</t>
  </si>
  <si>
    <t xml:space="preserve">RSI of NFP over 10 runs</t>
  </si>
  <si>
    <t xml:space="preserve">pred_epf_norm</t>
  </si>
  <si>
    <t xml:space="preserve">Projected normalised early position</t>
  </si>
  <si>
    <t xml:space="preserve">recent_win_rate</t>
  </si>
  <si>
    <t xml:space="preserve">Win rate over the last 10 runs</t>
  </si>
  <si>
    <t xml:space="preserve">recent_nfp_std</t>
  </si>
  <si>
    <t xml:space="preserve">Standard deviation of NFP, last 5 runs</t>
  </si>
  <si>
    <t xml:space="preserve">draw_x_fieldsize</t>
  </si>
  <si>
    <t xml:space="preserve">Stall x field size</t>
  </si>
  <si>
    <t xml:space="preserve">EXP_ORR25</t>
  </si>
  <si>
    <t xml:space="preserve">Exponentially decayed (0.85) mean market rating: runners / BSP (the market's chance against a random runner's), last 5 runs</t>
  </si>
  <si>
    <t xml:space="preserve">draw_prominent_effect</t>
  </si>
  <si>
    <t xml:space="preserve">Draw effect for prominent racers</t>
  </si>
  <si>
    <t xml:space="preserve">rEPF3_LR</t>
  </si>
  <si>
    <t xml:space="preserve">Within-race rank (1 = highest in the field) of LR_EPF3: early position figure weighted by the finishing position in the last run</t>
  </si>
  <si>
    <t xml:space="preserve">class_momentum</t>
  </si>
  <si>
    <t xml:space="preserve">Trend in class</t>
  </si>
  <si>
    <t xml:space="preserve">horse_high_stall_nfp</t>
  </si>
  <si>
    <t xml:space="preserve">Horse's mean NFP from high stalls</t>
  </si>
  <si>
    <t xml:space="preserve">it_ae_layoff</t>
  </si>
  <si>
    <t xml:space="preserve">Trainer's shrunk A-E (won - BSP chance) with a return from a break, earlier days</t>
  </si>
  <si>
    <t xml:space="preserve">jockeys_claim_num</t>
  </si>
  <si>
    <t xml:space="preserve">Jockey's claim (lbs)</t>
  </si>
  <si>
    <t xml:space="preserve">Horse_Career_EPF</t>
  </si>
  <si>
    <t xml:space="preserve">Horse's career mean EPF2 (early position figure) over earlier runs</t>
  </si>
  <si>
    <t xml:space="preserve">form_var_5</t>
  </si>
  <si>
    <t xml:space="preserve">Variance of NFP over the last 5 runs</t>
  </si>
  <si>
    <t xml:space="preserve">LR_EPF2</t>
  </si>
  <si>
    <t xml:space="preserve">Early position figure adjusted for field size in the last run</t>
  </si>
  <si>
    <t xml:space="preserve">nfp_acceleration</t>
  </si>
  <si>
    <t xml:space="preserve">Change in the NFP slope</t>
  </si>
  <si>
    <t xml:space="preserve">horsepaceindex</t>
  </si>
  <si>
    <t xml:space="preserve">Horse's pace index from its earlier early-position figures</t>
  </si>
  <si>
    <t xml:space="preserve">pace_position_delta</t>
  </si>
  <si>
    <t xml:space="preserve">Projected position less the course's winning position</t>
  </si>
  <si>
    <t xml:space="preserve">horseWinsrank</t>
  </si>
  <si>
    <t xml:space="preserve">Within-race rank (1 = highest in the field) of preracehorsecareerWins: horse's career wins over earlier runs</t>
  </si>
  <si>
    <t xml:space="preserve">EXP_ORR210</t>
  </si>
  <si>
    <t xml:space="preserve">Exponentially decayed (0.85) mean market rating: runners / BSP (the market's chance against a random runner's), last 10 runs</t>
  </si>
  <si>
    <t xml:space="preserve">td_low_stall_nfp</t>
  </si>
  <si>
    <t xml:space="preserve">Mean NFP from low stalls at course x distance</t>
  </si>
  <si>
    <t xml:space="preserve">surface_type_cat</t>
  </si>
  <si>
    <t xml:space="preserve">Surface (turf / all-weather), category code</t>
  </si>
  <si>
    <t xml:space="preserve">rPrizeMomentum</t>
  </si>
  <si>
    <t xml:space="preserve">Within-race rank (1 = highest in the field) of prize_momentum: trend in prize money raced for</t>
  </si>
  <si>
    <t xml:space="preserve">td_high_stall_nfp</t>
  </si>
  <si>
    <t xml:space="preserve">Mean NFP from high stalls at course x distance</t>
  </si>
  <si>
    <t xml:space="preserve">form_rsi_5</t>
  </si>
  <si>
    <t xml:space="preserve">RSI of NFP over 5 runs</t>
  </si>
  <si>
    <t xml:space="preserve">draw_x_direction</t>
  </si>
  <si>
    <t xml:space="preserve">Stall x course direction</t>
  </si>
  <si>
    <t xml:space="preserve">rFormZScore</t>
  </si>
  <si>
    <t xml:space="preserve">Within-race rank (1 = highest in the field) of form_z_score: last NFP against the career mean, in standard deviations</t>
  </si>
  <si>
    <t xml:space="preserve">rTrainerEPF</t>
  </si>
  <si>
    <t xml:space="preserve">Within-race rank (1 = highest in the field) of trainer_Career_EPF: trainer's career mean EPF2 of runners</t>
  </si>
  <si>
    <t xml:space="preserve">horse_pos_drop</t>
  </si>
  <si>
    <t xml:space="preserve">Positions usually lost late</t>
  </si>
  <si>
    <t xml:space="preserve">form_var_3</t>
  </si>
  <si>
    <t xml:space="preserve">Variance of NFP over the last 3 runs</t>
  </si>
  <si>
    <t xml:space="preserve">horse_early_pos_5r</t>
  </si>
  <si>
    <t xml:space="preserve">Mean early position, last 5 runs</t>
  </si>
  <si>
    <t xml:space="preserve">draw_bias_ev</t>
  </si>
  <si>
    <t xml:space="preserve">Draw bias for the stall band here: NFP beyond what ratings expected</t>
  </si>
  <si>
    <t xml:space="preserve">pred_back_pct</t>
  </si>
  <si>
    <t xml:space="preserve">Projected share held up</t>
  </si>
  <si>
    <t xml:space="preserve">horseWAXrank</t>
  </si>
  <si>
    <t xml:space="preserve">Within-race rank (1 = highest in the field) of preracehorsecareerWAX: horse's career wins above chance per run (won - 1/runners) over earlier runs</t>
  </si>
  <si>
    <t xml:space="preserve">draw_bias_ev_adj</t>
  </si>
  <si>
    <t xml:space="preserve">The same on the adjusted stall</t>
  </si>
  <si>
    <t xml:space="preserve">front_sustainability</t>
  </si>
  <si>
    <t xml:space="preserve">Ability to sustain a lead</t>
  </si>
  <si>
    <t xml:space="preserve">it_ae_code_switch</t>
  </si>
  <si>
    <t xml:space="preserve">Trainer's shrunk A-E (won - BSP chance) with a code switch, earlier days</t>
  </si>
  <si>
    <t xml:space="preserve">pred_front_pct</t>
  </si>
  <si>
    <t xml:space="preserve">Projected share of the field on the pace</t>
  </si>
  <si>
    <t xml:space="preserve">LR3NFPtotal</t>
  </si>
  <si>
    <t xml:space="preserve">Mean NFP over the last 3 runs</t>
  </si>
  <si>
    <t xml:space="preserve">LR5NFPtotal</t>
  </si>
  <si>
    <t xml:space="preserve">Mean NFP over the last 5 runs</t>
  </si>
  <si>
    <t xml:space="preserve">draw_field_weight</t>
  </si>
  <si>
    <t xml:space="preserve">Field-size weight on the draw effect</t>
  </si>
  <si>
    <t xml:space="preserve">CIL5</t>
  </si>
  <si>
    <t xml:space="preserve">Data count index (last 5)</t>
  </si>
  <si>
    <t xml:space="preserve">draw_adj</t>
  </si>
  <si>
    <t xml:space="preserve">Stall renumbered after non-runners are taken out</t>
  </si>
  <si>
    <t xml:space="preserve">pace_pressure</t>
  </si>
  <si>
    <t xml:space="preserve">Share of the field expected to race prominently (expected EPF &gt; 4)</t>
  </si>
  <si>
    <t xml:space="preserve">td_draw_bias</t>
  </si>
  <si>
    <t xml:space="preserve">Course x distance: low-stall less high-stall NFP</t>
  </si>
  <si>
    <t xml:space="preserve">horse_career_total_move</t>
  </si>
  <si>
    <t xml:space="preserve">Career mean places gained through the race</t>
  </si>
  <si>
    <t xml:space="preserve">preracejockeycareerWOA</t>
  </si>
  <si>
    <t xml:space="preserve">Jockey's career wins over average (equal to WAX in this build) over earlier days</t>
  </si>
  <si>
    <t xml:space="preserve">horse_pos_gain_mean</t>
  </si>
  <si>
    <t xml:space="preserve">Mean positions gained from early to finish</t>
  </si>
  <si>
    <t xml:space="preserve">LR_total_move</t>
  </si>
  <si>
    <t xml:space="preserve">Places gained through the last run</t>
  </si>
  <si>
    <t xml:space="preserve">preracehorsecareerRuns</t>
  </si>
  <si>
    <t xml:space="preserve">Horse's career runs over earlier runs</t>
  </si>
  <si>
    <t xml:space="preserve">career_place_rate</t>
  </si>
  <si>
    <t xml:space="preserve">Horse's career place (top-three) rate over earlier runs</t>
  </si>
  <si>
    <t xml:space="preserve">rResidual</t>
  </si>
  <si>
    <t xml:space="preserve">Within-race rank (1 = highest in the field) of career_residual: career mean of (NFP - NFP expected from the market's order)</t>
  </si>
  <si>
    <t xml:space="preserve">cd_experience</t>
  </si>
  <si>
    <t xml:space="preserve">Earlier runs at the course and distance</t>
  </si>
  <si>
    <t xml:space="preserve">has_headgear</t>
  </si>
  <si>
    <t xml:space="preserve">Headgear</t>
  </si>
  <si>
    <t xml:space="preserve">Wears headgear today</t>
  </si>
  <si>
    <t xml:space="preserve">racepacescore</t>
  </si>
  <si>
    <t xml:space="preserve">Race pace score (equals RPS)</t>
  </si>
  <si>
    <t xml:space="preserve">horse_style_consistency</t>
  </si>
  <si>
    <t xml:space="preserve">How consistent the horse's early position is</t>
  </si>
  <si>
    <t xml:space="preserve">rail_move_yards</t>
  </si>
  <si>
    <t xml:space="preserve">Rail movement today (yards)</t>
  </si>
  <si>
    <t xml:space="preserve">horseNFPrank</t>
  </si>
  <si>
    <t xml:space="preserve">horse_career_late_move</t>
  </si>
  <si>
    <t xml:space="preserve">Career mean places gained late</t>
  </si>
  <si>
    <t xml:space="preserve">rDrawBiasAlign</t>
  </si>
  <si>
    <t xml:space="preserve">Within-race rank (1 = highest in the field) of draw_bias_alignment: stall on the favoured side of the course x distance bias</t>
  </si>
  <si>
    <t xml:space="preserve">form_slope_5</t>
  </si>
  <si>
    <t xml:space="preserve">Slope of NFP over the last 5 runs</t>
  </si>
  <si>
    <t xml:space="preserve">form_z_score</t>
  </si>
  <si>
    <t xml:space="preserve">Last NFP against the career mean, in standard deviations</t>
  </si>
  <si>
    <t xml:space="preserve">draw_advantage_composite</t>
  </si>
  <si>
    <t xml:space="preserve">Composite draw advantage (course, trip, going, field size)</t>
  </si>
  <si>
    <t xml:space="preserve">pred_pace_pressure</t>
  </si>
  <si>
    <t xml:space="preserve">Projected pace pressure</t>
  </si>
  <si>
    <t xml:space="preserve">form_sharpe_3</t>
  </si>
  <si>
    <t xml:space="preserve">Mean / sd of NFP over 3 runs</t>
  </si>
  <si>
    <t xml:space="preserve">horse_epf_norm_sd</t>
  </si>
  <si>
    <t xml:space="preserve">Spread of normalised early position</t>
  </si>
  <si>
    <t xml:space="preserve">CIL10</t>
  </si>
  <si>
    <t xml:space="preserve">Data count index (last 10)</t>
  </si>
  <si>
    <t xml:space="preserve">horse_style_inflexible</t>
  </si>
  <si>
    <t xml:space="preserve">Always races the same way</t>
  </si>
  <si>
    <t xml:space="preserve">it_code_switch</t>
  </si>
  <si>
    <t xml:space="preserve">First run in a code (hurdles, fences, AW)</t>
  </si>
  <si>
    <t xml:space="preserve">LR2_EPF2</t>
  </si>
  <si>
    <t xml:space="preserve">Early position figure adjusted for field size in the 2-back run</t>
  </si>
  <si>
    <t xml:space="preserve">rFormSharpe3</t>
  </si>
  <si>
    <t xml:space="preserve">Within-race rank (1 = highest in the field) of form_sharpe_3: mean / sd of NFP over 3 runs</t>
  </si>
  <si>
    <t xml:space="preserve">rFSS</t>
  </si>
  <si>
    <t xml:space="preserve">Within-race rank (1 = highest in the field) of FSS: field-size stability: RMS change in field size over the last 10 runs</t>
  </si>
  <si>
    <t xml:space="preserve">rNFPAccel</t>
  </si>
  <si>
    <t xml:space="preserve">Within-race rank (1 = highest in the field) of nfp_acceleration: change in the NFP slope</t>
  </si>
  <si>
    <t xml:space="preserve">SFI_3</t>
  </si>
  <si>
    <t xml:space="preserve">Mean speed-figure improvement, last 3</t>
  </si>
  <si>
    <t xml:space="preserve">horse_draw_pref</t>
  </si>
  <si>
    <t xml:space="preserve">Horse's low-less-high stall NFP</t>
  </si>
  <si>
    <t xml:space="preserve">horse_late_move_5r</t>
  </si>
  <si>
    <t xml:space="preserve">Mean late move, last 5 runs</t>
  </si>
  <si>
    <t xml:space="preserve">it_ft_headgear</t>
  </si>
  <si>
    <t xml:space="preserve">First-time headgear item</t>
  </si>
  <si>
    <t xml:space="preserve">horseFSARBrank</t>
  </si>
  <si>
    <t xml:space="preserve">Within-race rank (1 = highest in the field) of preracehorsecareerFSARB: horse's career field-size-adjusted RB over earlier runs</t>
  </si>
  <si>
    <t xml:space="preserve">fr_runs_90d</t>
  </si>
  <si>
    <t xml:space="preserve">Runs in the last 90 days</t>
  </si>
  <si>
    <t xml:space="preserve">rConsistency</t>
  </si>
  <si>
    <t xml:space="preserve">Within-race rank (1 = highest in the field) of career_nfp_std: career standard deviation of NFP</t>
  </si>
  <si>
    <t xml:space="preserve">stall_num</t>
  </si>
  <si>
    <t xml:space="preserve">Stall (draw)</t>
  </si>
  <si>
    <t xml:space="preserve">LR3_EPF3</t>
  </si>
  <si>
    <t xml:space="preserve">Early position figure weighted by the finishing position in the 3-back run</t>
  </si>
  <si>
    <t xml:space="preserve">rNFPLR5</t>
  </si>
  <si>
    <t xml:space="preserve">Within-race rank (1 = highest in the field) of LR5NFPtotal: mean NFP over the last 5 runs</t>
  </si>
  <si>
    <t xml:space="preserve">trainerjockeyWOA</t>
  </si>
  <si>
    <t xml:space="preserve">Trainer-jockey combination's career wins over average (equal to WAX in this build)</t>
  </si>
  <si>
    <t xml:space="preserve">horseCWOrank</t>
  </si>
  <si>
    <t xml:space="preserve">Within-race rank (1 = highest in the field) of preracehorsecareerCWO: horse's career cumulative wins above chance over earlier runs</t>
  </si>
  <si>
    <t xml:space="preserve">rORMomentum</t>
  </si>
  <si>
    <t xml:space="preserve">Within-race rank (1 = highest in the field) of or_momentum: trend in official rating</t>
  </si>
  <si>
    <t xml:space="preserve">holdup_finish_ability</t>
  </si>
  <si>
    <t xml:space="preserve">Ability to finish from off the pace</t>
  </si>
  <si>
    <t xml:space="preserve">rHorseDrawPref</t>
  </si>
  <si>
    <t xml:space="preserve">Within-race rank (1 = highest in the field) of horse_draw_pref: horse's low-less-high stall NFP</t>
  </si>
  <si>
    <t xml:space="preserve">it_class_drop</t>
  </si>
  <si>
    <t xml:space="preserve">Dropping in class</t>
  </si>
  <si>
    <t xml:space="preserve">horse_keen_rate</t>
  </si>
  <si>
    <t xml:space="preserve">Share of runs described as keen</t>
  </si>
  <si>
    <t xml:space="preserve">rPosGain</t>
  </si>
  <si>
    <t xml:space="preserve">Within-race rank (1 = highest in the field) of horse_pos_gain_mean: mean positions gained from early to finish</t>
  </si>
  <si>
    <t xml:space="preserve">rUnexposure</t>
  </si>
  <si>
    <t xml:space="preserve">Within-race rank (1 = highest in the field) of unexposure_score: combined novelty of today's conditions</t>
  </si>
  <si>
    <t xml:space="preserve">rDSLR</t>
  </si>
  <si>
    <t xml:space="preserve">Within-race rank (1 = highest in the field) of FinalDSLR: days since the last run adjusted by the spacing trend</t>
  </si>
  <si>
    <t xml:space="preserve">form_sharpe_5</t>
  </si>
  <si>
    <t xml:space="preserve">Mean / sd of NFP over 5 runs</t>
  </si>
  <si>
    <t xml:space="preserve">rDrawAdvComposite</t>
  </si>
  <si>
    <t xml:space="preserve">Within-race rank (1 = highest in the field) of draw_advantage_composite: composite draw advantage (course, trip, going, field size)</t>
  </si>
  <si>
    <t xml:space="preserve">career_win_surprise</t>
  </si>
  <si>
    <t xml:space="preserve">Career mean of wins at long prices (won x log BSP)</t>
  </si>
  <si>
    <t xml:space="preserve">lead_prob_rank</t>
  </si>
  <si>
    <t xml:space="preserve">Rank of the chance of leading in the field</t>
  </si>
  <si>
    <t xml:space="preserve">horse_trouble_rate</t>
  </si>
  <si>
    <t xml:space="preserve">Share of runs with trouble in running</t>
  </si>
  <si>
    <t xml:space="preserve">it_class_change</t>
  </si>
  <si>
    <t xml:space="preserve">LR4_EPF3</t>
  </si>
  <si>
    <t xml:space="preserve">Early position figure weighted by the finishing position in the 4-back run</t>
  </si>
  <si>
    <t xml:space="preserve">preracehorsecareerPlaces</t>
  </si>
  <si>
    <t xml:space="preserve">Horse's career first-three finishes over earlier runs</t>
  </si>
  <si>
    <t xml:space="preserve">rFormRSI5</t>
  </si>
  <si>
    <t xml:space="preserve">Within-race rank (1 = highest in the field) of form_rsi_5: RSI of NFP over 5 runs</t>
  </si>
  <si>
    <t xml:space="preserve">EXP_RB10</t>
  </si>
  <si>
    <t xml:space="preserve">Exponentially decayed (0.85) mean races-beaten score (identical to NFP in this data), last 10 runs</t>
  </si>
  <si>
    <t xml:space="preserve">it_ae_class_drop</t>
  </si>
  <si>
    <t xml:space="preserve">Trainer's shrunk A-E (won - BSP chance) with a class drop, earlier days</t>
  </si>
  <si>
    <t xml:space="preserve">LR3_EPF2</t>
  </si>
  <si>
    <t xml:space="preserve">Early position figure adjusted for field size in the 3-back run</t>
  </si>
  <si>
    <t xml:space="preserve">surface_win_rate</t>
  </si>
  <si>
    <t xml:space="preserve">Win rate on the surface</t>
  </si>
  <si>
    <t xml:space="preserve">rEPF2_LR</t>
  </si>
  <si>
    <t xml:space="preserve">Within-race rank (1 = highest in the field) of LR_EPF2: early position figure adjusted for field size in the last run</t>
  </si>
  <si>
    <t xml:space="preserve">style_shift</t>
  </si>
  <si>
    <t xml:space="preserve">Recent early position less the career mean (style change)</t>
  </si>
  <si>
    <t xml:space="preserve">rFrontSustain</t>
  </si>
  <si>
    <t xml:space="preserve">Within-race rank (1 = highest in the field) of front_sustainability: ability to sustain a lead</t>
  </si>
  <si>
    <t xml:space="preserve">EXP_RB3</t>
  </si>
  <si>
    <t xml:space="preserve">Exponentially decayed (0.85) mean races-beaten score (identical to NFP in this data), last 3 runs</t>
  </si>
  <si>
    <t xml:space="preserve">LR5_EPF2</t>
  </si>
  <si>
    <t xml:space="preserve">Early position figure adjusted for field size in the 5-back run</t>
  </si>
  <si>
    <t xml:space="preserve">pace_advantage</t>
  </si>
  <si>
    <t xml:space="preserve">Advantage of the projected position in the projected pace</t>
  </si>
  <si>
    <t xml:space="preserve">LR4_EPF2</t>
  </si>
  <si>
    <t xml:space="preserve">Early position figure adjusted for field size in the 4-back run</t>
  </si>
  <si>
    <t xml:space="preserve">course_experience</t>
  </si>
  <si>
    <t xml:space="preserve">Earlier runs at the course</t>
  </si>
  <si>
    <t xml:space="preserve">nfp_skew_5</t>
  </si>
  <si>
    <t xml:space="preserve">Skew of NFP over 5 runs</t>
  </si>
  <si>
    <t xml:space="preserve">win_density_60d</t>
  </si>
  <si>
    <t xml:space="preserve">Wins in the last 60 days</t>
  </si>
  <si>
    <t xml:space="preserve">is_class_drop</t>
  </si>
  <si>
    <t xml:space="preserve">preracehorsecareerWIV</t>
  </si>
  <si>
    <t xml:space="preserve">Horse's career win index: wins / wins expected by chance (sum of 1/runners) over earlier runs</t>
  </si>
  <si>
    <t xml:space="preserve">rStyleConsistency</t>
  </si>
  <si>
    <t xml:space="preserve">Within-race rank (1 = highest in the field) of horse_style_consistency: how consistent the horse's early position is</t>
  </si>
  <si>
    <t xml:space="preserve">preracehorsecareerRB</t>
  </si>
  <si>
    <t xml:space="preserve">Horse's career races-beaten score (identical to NFP in this data) over earlier runs</t>
  </si>
  <si>
    <t xml:space="preserve">horse_epf_norm_mean</t>
  </si>
  <si>
    <t xml:space="preserve">Mean normalised early position</t>
  </si>
  <si>
    <t xml:space="preserve">horse_career_early_pos</t>
  </si>
  <si>
    <t xml:space="preserve">Horse's career mean early position</t>
  </si>
  <si>
    <t xml:space="preserve">LR5_EPF3</t>
  </si>
  <si>
    <t xml:space="preserve">Early position figure weighted by the finishing position in the 5-back run</t>
  </si>
  <si>
    <t xml:space="preserve">it_ae_hcap_debut</t>
  </si>
  <si>
    <t xml:space="preserve">Trainer's shrunk A-E (won - BSP chance) with a handicap debut, earlier days</t>
  </si>
  <si>
    <t xml:space="preserve">track_style_fit</t>
  </si>
  <si>
    <t xml:space="preserve">Fit of the style to the course's winners</t>
  </si>
  <si>
    <t xml:space="preserve">rEPF_LR</t>
  </si>
  <si>
    <t xml:space="preserve">Within-race rank (1 = highest in the field) of LR_EPF: early position figure from the in-running comment (1 rear .. 6 led) in the last run</t>
  </si>
  <si>
    <t xml:space="preserve">fr_runs_60d</t>
  </si>
  <si>
    <t xml:space="preserve">Runs in the last 60 days</t>
  </si>
  <si>
    <t xml:space="preserve">horse_late_move_3r</t>
  </si>
  <si>
    <t xml:space="preserve">Mean late move, last 3 runs</t>
  </si>
  <si>
    <t xml:space="preserve">rEXP_NFP5</t>
  </si>
  <si>
    <t xml:space="preserve">Within-race rank (1 = highest in the field) of EXP_NFP5: exponentially decayed (0.85) mean normalised finishing position (1 = won, 0 = last), last 5 runs</t>
  </si>
  <si>
    <t xml:space="preserve">horse_style_mode_share</t>
  </si>
  <si>
    <t xml:space="preserve">Share of runs in the most frequent style</t>
  </si>
  <si>
    <t xml:space="preserve">rDrawPctAdj</t>
  </si>
  <si>
    <t xml:space="preserve">Within-race rank (1 = highest in the field) of draw_pct_adj: adjusted stall as a share of the field (0 = lowest)</t>
  </si>
  <si>
    <t xml:space="preserve">preracehorsecareerWOA</t>
  </si>
  <si>
    <t xml:space="preserve">Horse's career wins over average (equal to WAX in this build) over earlier runs</t>
  </si>
  <si>
    <t xml:space="preserve">horse_epf_norm_recent</t>
  </si>
  <si>
    <t xml:space="preserve">Recent normalised early position</t>
  </si>
  <si>
    <t xml:space="preserve">LR2_late_move</t>
  </si>
  <si>
    <t xml:space="preserve">Late move two runs back</t>
  </si>
  <si>
    <t xml:space="preserve">horse_early_pos_3r</t>
  </si>
  <si>
    <t xml:space="preserve">Mean early position, last 3 runs</t>
  </si>
  <si>
    <t xml:space="preserve">rPaceAdvantage</t>
  </si>
  <si>
    <t xml:space="preserve">Within-race rank (1 = highest in the field) of pace_advantage: advantage of the projected position in the projected pace</t>
  </si>
  <si>
    <t xml:space="preserve">LR_late_move</t>
  </si>
  <si>
    <t xml:space="preserve">Places gained late in the last run</t>
  </si>
  <si>
    <t xml:space="preserve">rail_trust</t>
  </si>
  <si>
    <t xml:space="preserve">Trust in the draw bias given the rail movement</t>
  </si>
  <si>
    <t xml:space="preserve">rHorseCareerEPF</t>
  </si>
  <si>
    <t xml:space="preserve">Within-race rank (1 = highest in the field) of Horse_Career_EPF: horse's career mean EPF2 (early position figure) over earlier runs</t>
  </si>
  <si>
    <t xml:space="preserve">rPredEarlyPos</t>
  </si>
  <si>
    <t xml:space="preserve">Within-race rank (1 = highest in the field) of pred_early_pos: projected early position today</t>
  </si>
  <si>
    <t xml:space="preserve">going_experience</t>
  </si>
  <si>
    <t xml:space="preserve">Earlier runs on today's going</t>
  </si>
  <si>
    <t xml:space="preserve">career_win_rate</t>
  </si>
  <si>
    <t xml:space="preserve">Horse's career win rate over earlier runs</t>
  </si>
  <si>
    <t xml:space="preserve">is_class_rise</t>
  </si>
  <si>
    <t xml:space="preserve">Rising in class</t>
  </si>
  <si>
    <t xml:space="preserve">rHoldupFinish</t>
  </si>
  <si>
    <t xml:space="preserve">Within-race rank (1 = highest in the field) of holdup_finish_ability: ability to finish from off the pace</t>
  </si>
  <si>
    <t xml:space="preserve">draw_nr_shift</t>
  </si>
  <si>
    <t xml:space="preserve">Places the non-runners moved the stall in</t>
  </si>
  <si>
    <t xml:space="preserve">track_handed</t>
  </si>
  <si>
    <t xml:space="preserve">Course handedness</t>
  </si>
  <si>
    <t xml:space="preserve">rPaceSuit</t>
  </si>
  <si>
    <t xml:space="preserve">Within-race rank (1 = highest in the field) of pace_suit: how well the projected pace suits the style</t>
  </si>
  <si>
    <t xml:space="preserve">draw_holdup_effect</t>
  </si>
  <si>
    <t xml:space="preserve">Draw effect for hold-up horses</t>
  </si>
  <si>
    <t xml:space="preserve">DSLR2</t>
  </si>
  <si>
    <t xml:space="preserve">Days since last run (DSLR)</t>
  </si>
  <si>
    <t xml:space="preserve">Days between the 2nd- and last-but-one runs</t>
  </si>
  <si>
    <t xml:space="preserve">rDrawFieldAdj</t>
  </si>
  <si>
    <t xml:space="preserve">Within-race rank (1 = highest in the field) of draw_advantage_field_adj: draw advantage scaled by field size</t>
  </si>
  <si>
    <t xml:space="preserve">first_at_cd</t>
  </si>
  <si>
    <t xml:space="preserve">First run at the course and distance</t>
  </si>
  <si>
    <t xml:space="preserve">draw_pref_match</t>
  </si>
  <si>
    <t xml:space="preserve">Today's stall matches the horse's preference</t>
  </si>
  <si>
    <t xml:space="preserve">DSLR3</t>
  </si>
  <si>
    <t xml:space="preserve">Days since the 3rd-last run</t>
  </si>
  <si>
    <t xml:space="preserve">LR_epf_norm</t>
  </si>
  <si>
    <t xml:space="preserve">Normalised early position in the last run</t>
  </si>
  <si>
    <t xml:space="preserve">dist_experience</t>
  </si>
  <si>
    <t xml:space="preserve">Earlier runs at today's trip</t>
  </si>
  <si>
    <t xml:space="preserve">EXP_RB5</t>
  </si>
  <si>
    <t xml:space="preserve">Exponentially decayed (0.85) mean races-beaten score (identical to NFP in this data), last 5 runs</t>
  </si>
  <si>
    <t xml:space="preserve">rDrawBiasEV</t>
  </si>
  <si>
    <t xml:space="preserve">Within-race rank (1 = highest in the field) of draw_bias_ev_adj: the same on the adjusted stall</t>
  </si>
  <si>
    <t xml:space="preserve">is_stall_1</t>
  </si>
  <si>
    <t xml:space="preserve">Drawn in stall 1</t>
  </si>
  <si>
    <t xml:space="preserve">fr_runs_30d</t>
  </si>
  <si>
    <t xml:space="preserve">Runs in the last 30 days</t>
  </si>
  <si>
    <t xml:space="preserve">draw_front_enable</t>
  </si>
  <si>
    <t xml:space="preserve">Stall that makes front-running easy</t>
  </si>
  <si>
    <t xml:space="preserve">LR2_total_move</t>
  </si>
  <si>
    <t xml:space="preserve">Total move two runs back</t>
  </si>
  <si>
    <t xml:space="preserve">rTrackStyleFit</t>
  </si>
  <si>
    <t xml:space="preserve">Within-race rank (1 = highest in the field) of track_style_fit: fit of the style to the course's winners</t>
  </si>
  <si>
    <t xml:space="preserve">rHorseCareerEarlyPos</t>
  </si>
  <si>
    <t xml:space="preserve">Within-race rank (1 = highest in the field) of horse_career_early_pos: horse's career mean early position</t>
  </si>
  <si>
    <t xml:space="preserve">pred_n_back</t>
  </si>
  <si>
    <t xml:space="preserve">Projected number of hold-up horses</t>
  </si>
  <si>
    <t xml:space="preserve">rGoingDrawAlign</t>
  </si>
  <si>
    <t xml:space="preserve">Within-race rank (1 = highest in the field) of going_draw_alignment: stall on the favoured side for today's going</t>
  </si>
  <si>
    <t xml:space="preserve">draw_quartile</t>
  </si>
  <si>
    <t xml:space="preserve">Stall quartile</t>
  </si>
  <si>
    <t xml:space="preserve">pred_n_front</t>
  </si>
  <si>
    <t xml:space="preserve">Projected number of front-runners</t>
  </si>
  <si>
    <t xml:space="preserve">unexposure_score</t>
  </si>
  <si>
    <t xml:space="preserve">Combined novelty of today's conditions</t>
  </si>
  <si>
    <t xml:space="preserve">surface_runs</t>
  </si>
  <si>
    <t xml:space="preserve">Runs on the surface</t>
  </si>
  <si>
    <t xml:space="preserve">rDrawPosFit</t>
  </si>
  <si>
    <t xml:space="preserve">Within-race rank (1 = highest in the field) of draw_pos_fit: fit of the stall to the projected position</t>
  </si>
  <si>
    <t xml:space="preserve">draw_front_advantage</t>
  </si>
  <si>
    <t xml:space="preserve">Draw advantage for front-runners here</t>
  </si>
  <si>
    <t xml:space="preserve">preracehorsecareerWins</t>
  </si>
  <si>
    <t xml:space="preserve">Horse's career wins over earlier runs</t>
  </si>
  <si>
    <t xml:space="preserve">LR2_early_pos</t>
  </si>
  <si>
    <t xml:space="preserve">Early position two runs back</t>
  </si>
  <si>
    <t xml:space="preserve">LR_early_pos</t>
  </si>
  <si>
    <t xml:space="preserve">Early position in the last run</t>
  </si>
  <si>
    <t xml:space="preserve">draw_vacancy_inside</t>
  </si>
  <si>
    <t xml:space="preserve">Empty stalls inside this runner</t>
  </si>
  <si>
    <t xml:space="preserve">horseWOArank</t>
  </si>
  <si>
    <t xml:space="preserve">Within-race rank (1 = highest in the field) of preracehorsecareerWOA: horse's career wins over average (equal to WAX in this build) over earlier runs</t>
  </si>
  <si>
    <t xml:space="preserve">headgear_change</t>
  </si>
  <si>
    <t xml:space="preserve">Headgear changed from the last run</t>
  </si>
  <si>
    <t xml:space="preserve">it_ae_ft_headgear</t>
  </si>
  <si>
    <t xml:space="preserve">Trainer's shrunk A-E (won - BSP chance) with first-time headgear, earlier days</t>
  </si>
  <si>
    <t xml:space="preserve">it_layoff</t>
  </si>
  <si>
    <t xml:space="preserve">Return from a 90+ day break</t>
  </si>
  <si>
    <t xml:space="preserve">LR3_late_move</t>
  </si>
  <si>
    <t xml:space="preserve">Late move three runs back</t>
  </si>
  <si>
    <t xml:space="preserve">draw_bias_confident</t>
  </si>
  <si>
    <t xml:space="preserve">Draw bias is confident (enough races, rail not moved)</t>
  </si>
  <si>
    <t xml:space="preserve">LR3_early_pos</t>
  </si>
  <si>
    <t xml:space="preserve">Early position three runs back</t>
  </si>
  <si>
    <t xml:space="preserve">WgtDSLR</t>
  </si>
  <si>
    <t xml:space="preserve">Weighted acceleration of run spacing</t>
  </si>
  <si>
    <t xml:space="preserve">horse_modal_style</t>
  </si>
  <si>
    <t xml:space="preserve">Most frequent running style</t>
  </si>
  <si>
    <t xml:space="preserve">LR2_EPF</t>
  </si>
  <si>
    <t xml:space="preserve">Early position figure from the in-running comment (1 rear .. 6 led) in the 2-back run</t>
  </si>
  <si>
    <t xml:space="preserve">LR3_total_move</t>
  </si>
  <si>
    <t xml:space="preserve">Total move three runs back</t>
  </si>
  <si>
    <t xml:space="preserve">it_seen_runs</t>
  </si>
  <si>
    <t xml:space="preserve">Runs held for the horse</t>
  </si>
  <si>
    <t xml:space="preserve">DSLR4</t>
  </si>
  <si>
    <t xml:space="preserve">Days since the 4th-last run</t>
  </si>
  <si>
    <t xml:space="preserve">LR_EPF</t>
  </si>
  <si>
    <t xml:space="preserve">Early position figure from the in-running comment (1 rear .. 6 led) in the last run</t>
  </si>
  <si>
    <t xml:space="preserve">rEXP_RB5</t>
  </si>
  <si>
    <t xml:space="preserve">Within-race rank (1 = highest in the field) of EXP_RB5: exponentially decayed (0.85) mean races-beaten score (identical to NFP in this data), last 5 runs</t>
  </si>
  <si>
    <t xml:space="preserve">horse_track_runs</t>
  </si>
  <si>
    <t xml:space="preserve">Runs at the course</t>
  </si>
  <si>
    <t xml:space="preserve">FinalDSLR</t>
  </si>
  <si>
    <t xml:space="preserve">Days since the last run adjusted by the spacing trend</t>
  </si>
  <si>
    <t xml:space="preserve">DSLR12diff</t>
  </si>
  <si>
    <t xml:space="preserve">Change in spacing between the last two gaps</t>
  </si>
  <si>
    <t xml:space="preserve">or_off_peak</t>
  </si>
  <si>
    <t xml:space="preserve">Points below the peak rating</t>
  </si>
  <si>
    <t xml:space="preserve">rLeadProb</t>
  </si>
  <si>
    <t xml:space="preserve">Within-race rank (1 = highest in the field) of predicted_lead_prob: projected chance of leading</t>
  </si>
  <si>
    <t xml:space="preserve">headgear_removed</t>
  </si>
  <si>
    <t xml:space="preserve">Headgear taken off</t>
  </si>
  <si>
    <t xml:space="preserve">LR10COUNT</t>
  </si>
  <si>
    <t xml:space="preserve">Runs held in the last 10 slots</t>
  </si>
  <si>
    <t xml:space="preserve">first_time_headgear</t>
  </si>
  <si>
    <t xml:space="preserve">First-time headgear</t>
  </si>
  <si>
    <t xml:space="preserve">keen_rate_3r</t>
  </si>
  <si>
    <t xml:space="preserve">Keen rate, last 3 runs</t>
  </si>
  <si>
    <t xml:space="preserve">pred_early_pos</t>
  </si>
  <si>
    <t xml:space="preserve">Projected early position today</t>
  </si>
  <si>
    <t xml:space="preserve">DSLR1</t>
  </si>
  <si>
    <t xml:space="preserve">Days since the last run (dates held)</t>
  </si>
  <si>
    <t xml:space="preserve">LR3_EPF</t>
  </si>
  <si>
    <t xml:space="preserve">Early position figure from the in-running comment (1 rear .. 6 led) in the 3-back run</t>
  </si>
  <si>
    <t xml:space="preserve">LR5_EPF</t>
  </si>
  <si>
    <t xml:space="preserve">Early position figure from the in-running comment (1 rear .. 6 led) in the 5-back run</t>
  </si>
  <si>
    <t xml:space="preserve">lead_competition</t>
  </si>
  <si>
    <t xml:space="preserve">Rivals for the lead</t>
  </si>
  <si>
    <t xml:space="preserve">is_improving</t>
  </si>
  <si>
    <t xml:space="preserve">Form slope over 3 runs &gt; 0.05</t>
  </si>
  <si>
    <t xml:space="preserve">LR4_EPF</t>
  </si>
  <si>
    <t xml:space="preserve">Early position figure from the in-running comment (1 rear .. 6 led) in the 4-back run</t>
  </si>
  <si>
    <t xml:space="preserve">DSLR23diff</t>
  </si>
  <si>
    <t xml:space="preserve">Change in spacing (gaps 2-3), half weight</t>
  </si>
  <si>
    <t xml:space="preserve">pred_race_pace_class</t>
  </si>
  <si>
    <t xml:space="preserve">Projected pace class</t>
  </si>
  <si>
    <t xml:space="preserve">is_right_handed</t>
  </si>
  <si>
    <t xml:space="preserve">Right-handed course</t>
  </si>
  <si>
    <t xml:space="preserve">is_left_handed</t>
  </si>
  <si>
    <t xml:space="preserve">Left-handed course</t>
  </si>
  <si>
    <t xml:space="preserve">pred_pace_scenario</t>
  </si>
  <si>
    <t xml:space="preserve">Projected pace scenario (slow / even / fast)</t>
  </si>
  <si>
    <t xml:space="preserve">LR_was_keen</t>
  </si>
  <si>
    <t xml:space="preserve">Keen in the last run</t>
  </si>
  <si>
    <t xml:space="preserve">rail_moved</t>
  </si>
  <si>
    <t xml:space="preserve">Rail moved today</t>
  </si>
  <si>
    <t xml:space="preserve">keen_front_risk</t>
  </si>
  <si>
    <t xml:space="preserve">Keen and drawn to race prominently</t>
  </si>
  <si>
    <t xml:space="preserve">lone_front_runner</t>
  </si>
  <si>
    <t xml:space="preserve">The only projected front-runner</t>
  </si>
  <si>
    <t xml:space="preserve">DSLR34diff</t>
  </si>
  <si>
    <t xml:space="preserve">Change in spacing (gaps 3-4), third weight</t>
  </si>
  <si>
    <t xml:space="preserve">is_widest_stall</t>
  </si>
  <si>
    <t xml:space="preserve">Drawn widest</t>
  </si>
  <si>
    <t xml:space="preserve">LR10wsum</t>
  </si>
  <si>
    <t xml:space="preserve">Recency weight sum, last 10</t>
  </si>
  <si>
    <t xml:space="preserve">fr_quick_after_win</t>
  </si>
  <si>
    <t xml:space="preserve">Back within 14 days of a win</t>
  </si>
  <si>
    <t xml:space="preserve">first_at_distance</t>
  </si>
  <si>
    <t xml:space="preserve">First run at the trip</t>
  </si>
  <si>
    <t xml:space="preserve">prom_runner</t>
  </si>
  <si>
    <t xml:space="preserve">Expected to race prominently (career EPF &gt; 4)</t>
  </si>
  <si>
    <t xml:space="preserve">is_declining</t>
  </si>
  <si>
    <t xml:space="preserve">Form slope over 3 runs &lt; -0.05</t>
  </si>
  <si>
    <t xml:space="preserve">first_at_going</t>
  </si>
  <si>
    <t xml:space="preserve">First run on the going</t>
  </si>
  <si>
    <t xml:space="preserve">LR3COUNT</t>
  </si>
  <si>
    <t xml:space="preserve">Runs held in the last 3 slots</t>
  </si>
  <si>
    <t xml:space="preserve">LR5COUNT</t>
  </si>
  <si>
    <t xml:space="preserve">Runs held in the last 5 slots</t>
  </si>
  <si>
    <t xml:space="preserve">LR3wsum</t>
  </si>
  <si>
    <t xml:space="preserve">Recency weight sum, last 3</t>
  </si>
  <si>
    <t xml:space="preserve">LR5wsum</t>
  </si>
  <si>
    <t xml:space="preserve">Recency weight sum, last 5</t>
  </si>
  <si>
    <t xml:space="preserve">is_debut</t>
  </si>
  <si>
    <t xml:space="preserve">First run</t>
  </si>
  <si>
    <t xml:space="preserve">first_at_course</t>
  </si>
  <si>
    <t xml:space="preserve">First run at the course</t>
  </si>
  <si>
    <t xml:space="preserve">first_on_surface</t>
  </si>
  <si>
    <t xml:space="preserve">First run on the surface</t>
  </si>
  <si>
    <t xml:space="preserve">track_draw_bias</t>
  </si>
  <si>
    <t xml:space="preserve">Course low-less-high stall bias (blank on every row: open defect)</t>
  </si>
  <si>
    <t xml:space="preserve">it_debut</t>
  </si>
  <si>
    <t xml:space="preserve">Debut</t>
  </si>
  <si>
    <t xml:space="preserve">fw_win_car</t>
  </si>
  <si>
    <t xml:space="preserve">Form windows</t>
  </si>
  <si>
    <t xml:space="preserve">Every measure over seven windows</t>
  </si>
  <si>
    <t xml:space="preserve">Wins: career mean (earlier days only)</t>
  </si>
  <si>
    <t xml:space="preserve">model/form_windows.py</t>
  </si>
  <si>
    <t xml:space="preserve">fw_win_l1</t>
  </si>
  <si>
    <t xml:space="preserve">Wins: last run (earlier days only)</t>
  </si>
  <si>
    <t xml:space="preserve">fw_win_m3</t>
  </si>
  <si>
    <t xml:space="preserve">Wins: mean of the last 3 runs (earlier days only)</t>
  </si>
  <si>
    <t xml:space="preserve">fw_win_m5</t>
  </si>
  <si>
    <t xml:space="preserve">Wins: mean of the last 5 runs (earlier days only)</t>
  </si>
  <si>
    <t xml:space="preserve">fw_win_w3</t>
  </si>
  <si>
    <t xml:space="preserve">Wins: last 3 runs weighted 3-2-1 by recency (earlier days only)</t>
  </si>
  <si>
    <t xml:space="preserve">fw_win_w5</t>
  </si>
  <si>
    <t xml:space="preserve">Wins: last 5 runs weighted 5..1 by recency (earlier days only)</t>
  </si>
  <si>
    <t xml:space="preserve">fw_win_w10</t>
  </si>
  <si>
    <t xml:space="preserve">Wins: last 10 runs weighted 10..1 by recency (earlier days only)</t>
  </si>
  <si>
    <t xml:space="preserve">fw_plc_car</t>
  </si>
  <si>
    <t xml:space="preserve">Places (first three): career mean (earlier days only)</t>
  </si>
  <si>
    <t xml:space="preserve">fw_plc_l1</t>
  </si>
  <si>
    <t xml:space="preserve">Places (first three): last run (earlier days only)</t>
  </si>
  <si>
    <t xml:space="preserve">fw_plc_m3</t>
  </si>
  <si>
    <t xml:space="preserve">Places (first three): mean of the last 3 runs (earlier days only)</t>
  </si>
  <si>
    <t xml:space="preserve">fw_plc_m5</t>
  </si>
  <si>
    <t xml:space="preserve">Places (first three): mean of the last 5 runs (earlier days only)</t>
  </si>
  <si>
    <t xml:space="preserve">fw_plc_w3</t>
  </si>
  <si>
    <t xml:space="preserve">Places (first three): last 3 runs weighted 3-2-1 by recency (earlier days only)</t>
  </si>
  <si>
    <t xml:space="preserve">fw_plc_w5</t>
  </si>
  <si>
    <t xml:space="preserve">Places (first three): last 5 runs weighted 5..1 by recency (earlier days only)</t>
  </si>
  <si>
    <t xml:space="preserve">fw_plc_w10</t>
  </si>
  <si>
    <t xml:space="preserve">Places (first three): last 10 runs weighted 10..1 by recency (earlier days only)</t>
  </si>
  <si>
    <t xml:space="preserve">fw_wax_car</t>
  </si>
  <si>
    <t xml:space="preserve">Wins above chance (won - 1/n): career mean (earlier days only)</t>
  </si>
  <si>
    <t xml:space="preserve">fw_wax_l1</t>
  </si>
  <si>
    <t xml:space="preserve">Wins above chance (won - 1/n): last run (earlier days only)</t>
  </si>
  <si>
    <t xml:space="preserve">fw_wax_m3</t>
  </si>
  <si>
    <t xml:space="preserve">Wins above chance (won - 1/n): mean of the last 3 runs (earlier days only)</t>
  </si>
  <si>
    <t xml:space="preserve">fw_wax_m5</t>
  </si>
  <si>
    <t xml:space="preserve">Wins above chance (won - 1/n): mean of the last 5 runs (earlier days only)</t>
  </si>
  <si>
    <t xml:space="preserve">fw_wax_w3</t>
  </si>
  <si>
    <t xml:space="preserve">Wins above chance (won - 1/n): last 3 runs weighted 3-2-1 by recency (earlier days only)</t>
  </si>
  <si>
    <t xml:space="preserve">fw_wax_w5</t>
  </si>
  <si>
    <t xml:space="preserve">Wins above chance (won - 1/n): last 5 runs weighted 5..1 by recency (earlier days only)</t>
  </si>
  <si>
    <t xml:space="preserve">fw_wax_w10</t>
  </si>
  <si>
    <t xml:space="preserve">Wins above chance (won - 1/n): last 10 runs weighted 10..1 by recency (earlier days only)</t>
  </si>
  <si>
    <t xml:space="preserve">fw_nfp_car</t>
  </si>
  <si>
    <t xml:space="preserve">Normalised finishing position: career mean (earlier days only)</t>
  </si>
  <si>
    <t xml:space="preserve">fw_nfp_l1</t>
  </si>
  <si>
    <t xml:space="preserve">Normalised finishing position: last run (earlier days only)</t>
  </si>
  <si>
    <t xml:space="preserve">fw_nfp_m3</t>
  </si>
  <si>
    <t xml:space="preserve">Normalised finishing position: mean of the last 3 runs (earlier days only)</t>
  </si>
  <si>
    <t xml:space="preserve">fw_nfp_m5</t>
  </si>
  <si>
    <t xml:space="preserve">Normalised finishing position: mean of the last 5 runs (earlier days only)</t>
  </si>
  <si>
    <t xml:space="preserve">fw_nfp_w3</t>
  </si>
  <si>
    <t xml:space="preserve">Normalised finishing position: last 3 runs weighted 3-2-1 by recency (earlier days only)</t>
  </si>
  <si>
    <t xml:space="preserve">fw_nfp_w5</t>
  </si>
  <si>
    <t xml:space="preserve">Normalised finishing position: last 5 runs weighted 5..1 by recency (earlier days only)</t>
  </si>
  <si>
    <t xml:space="preserve">fw_nfp_w10</t>
  </si>
  <si>
    <t xml:space="preserve">Normalised finishing position: last 10 runs weighted 10..1 by recency (earlier days only)</t>
  </si>
  <si>
    <t xml:space="preserve">fw_lbs_car</t>
  </si>
  <si>
    <t xml:space="preserve">Pounds beaten at the trip (capped 20): career mean (earlier days only)</t>
  </si>
  <si>
    <t xml:space="preserve">fw_lbs_l1</t>
  </si>
  <si>
    <t xml:space="preserve">Pounds beaten at the trip (capped 20): last run (earlier days only)</t>
  </si>
  <si>
    <t xml:space="preserve">fw_lbs_m3</t>
  </si>
  <si>
    <t xml:space="preserve">Pounds beaten at the trip (capped 20): mean of the last 3 runs (earlier days only)</t>
  </si>
  <si>
    <t xml:space="preserve">fw_lbs_m5</t>
  </si>
  <si>
    <t xml:space="preserve">Pounds beaten at the trip (capped 20): mean of the last 5 runs (earlier days only)</t>
  </si>
  <si>
    <t xml:space="preserve">fw_lbs_w3</t>
  </si>
  <si>
    <t xml:space="preserve">Pounds beaten at the trip (capped 20): last 3 runs weighted 3-2-1 by recency (earlier days only)</t>
  </si>
  <si>
    <t xml:space="preserve">fw_lbs_w5</t>
  </si>
  <si>
    <t xml:space="preserve">Pounds beaten at the trip (capped 20): last 5 runs weighted 5..1 by recency (earlier days only)</t>
  </si>
  <si>
    <t xml:space="preserve">fw_lbs_w10</t>
  </si>
  <si>
    <t xml:space="preserve">Pounds beaten at the trip (capped 20): last 10 runs weighted 10..1 by recency (earlier days only)</t>
  </si>
  <si>
    <t xml:space="preserve">fw_lbsc_car</t>
  </si>
  <si>
    <t xml:space="preserve">Pounds better than the race's average runner: career mean (earlier days only)</t>
  </si>
  <si>
    <t xml:space="preserve">fw_lbsc_l1</t>
  </si>
  <si>
    <t xml:space="preserve">Pounds better than the race's average runner: last run (earlier days only)</t>
  </si>
  <si>
    <t xml:space="preserve">fw_lbsc_m3</t>
  </si>
  <si>
    <t xml:space="preserve">Pounds better than the race's average runner: mean of the last 3 runs (earlier days only)</t>
  </si>
  <si>
    <t xml:space="preserve">fw_lbsc_m5</t>
  </si>
  <si>
    <t xml:space="preserve">Pounds better than the race's average runner: mean of the last 5 runs (earlier days only)</t>
  </si>
  <si>
    <t xml:space="preserve">fw_lbsc_w3</t>
  </si>
  <si>
    <t xml:space="preserve">Pounds better than the race's average runner: last 3 runs weighted 3-2-1 by recency (earlier days only)</t>
  </si>
  <si>
    <t xml:space="preserve">fw_lbsc_w5</t>
  </si>
  <si>
    <t xml:space="preserve">Pounds better than the race's average runner: last 5 runs weighted 5..1 by recency (earlier days only)</t>
  </si>
  <si>
    <t xml:space="preserve">fw_lbsc_w10</t>
  </si>
  <si>
    <t xml:space="preserve">Pounds better than the race's average runner: last 10 runs weighted 10..1 by recency (earlier days only)</t>
  </si>
  <si>
    <t xml:space="preserve">fw_perf_car</t>
  </si>
  <si>
    <t xml:space="preserve">Rating-scale performance figure (lbs): career mean (earlier days only)</t>
  </si>
  <si>
    <t xml:space="preserve">fw_perf_l1</t>
  </si>
  <si>
    <t xml:space="preserve">Rating-scale performance figure (lbs): last run (earlier days only)</t>
  </si>
  <si>
    <t xml:space="preserve">fw_perf_m3</t>
  </si>
  <si>
    <t xml:space="preserve">Rating-scale performance figure (lbs): mean of the last 3 runs (earlier days only)</t>
  </si>
  <si>
    <t xml:space="preserve">fw_perf_m5</t>
  </si>
  <si>
    <t xml:space="preserve">Rating-scale performance figure (lbs): mean of the last 5 runs (earlier days only)</t>
  </si>
  <si>
    <t xml:space="preserve">fw_perf_w3</t>
  </si>
  <si>
    <t xml:space="preserve">Rating-scale performance figure (lbs): last 3 runs weighted 3-2-1 by recency (earlier days only)</t>
  </si>
  <si>
    <t xml:space="preserve">fw_perf_w5</t>
  </si>
  <si>
    <t xml:space="preserve">Rating-scale performance figure (lbs): last 5 runs weighted 5..1 by recency (earlier days only)</t>
  </si>
  <si>
    <t xml:space="preserve">fw_perf_w10</t>
  </si>
  <si>
    <t xml:space="preserve">Rating-scale performance figure (lbs): last 10 runs weighted 10..1 by recency (earlier days only)</t>
  </si>
  <si>
    <t xml:space="preserve">fw_rsr_car</t>
  </si>
  <si>
    <t xml:space="preserve">Speed rating (rsr): career mean (earlier days only)</t>
  </si>
  <si>
    <t xml:space="preserve">fw_rsr_l1</t>
  </si>
  <si>
    <t xml:space="preserve">Speed rating (rsr): last run (earlier days only)</t>
  </si>
  <si>
    <t xml:space="preserve">fw_rsr_m3</t>
  </si>
  <si>
    <t xml:space="preserve">Speed rating (rsr): mean of the last 3 runs (earlier days only)</t>
  </si>
  <si>
    <t xml:space="preserve">fw_rsr_m5</t>
  </si>
  <si>
    <t xml:space="preserve">Speed rating (rsr): mean of the last 5 runs (earlier days only)</t>
  </si>
  <si>
    <t xml:space="preserve">fw_rsr_w3</t>
  </si>
  <si>
    <t xml:space="preserve">Speed rating (rsr): last 3 runs weighted 3-2-1 by recency (earlier days only)</t>
  </si>
  <si>
    <t xml:space="preserve">fw_rsr_w5</t>
  </si>
  <si>
    <t xml:space="preserve">Speed rating (rsr): last 5 runs weighted 5..1 by recency (earlier days only)</t>
  </si>
  <si>
    <t xml:space="preserve">fw_rsr_w10</t>
  </si>
  <si>
    <t xml:space="preserve">Speed rating (rsr): last 10 runs weighted 10..1 by recency (earlier days only)</t>
  </si>
  <si>
    <t xml:space="preserve">fw_mkt_car</t>
  </si>
  <si>
    <t xml:space="preserve">The market's view, log(n x bsp chance): career mean (earlier days only)</t>
  </si>
  <si>
    <t xml:space="preserve">fw_mkt_l1</t>
  </si>
  <si>
    <t xml:space="preserve">The market's view, log(n x bsp chance): last run (earlier days only)</t>
  </si>
  <si>
    <t xml:space="preserve">fw_mkt_m3</t>
  </si>
  <si>
    <t xml:space="preserve">The market's view, log(n x bsp chance): mean of the last 3 runs (earlier days only)</t>
  </si>
  <si>
    <t xml:space="preserve">fw_mkt_m5</t>
  </si>
  <si>
    <t xml:space="preserve">The market's view, log(n x bsp chance): mean of the last 5 runs (earlier days only)</t>
  </si>
  <si>
    <t xml:space="preserve">fw_mkt_w3</t>
  </si>
  <si>
    <t xml:space="preserve">The market's view, log(n x bsp chance): last 3 runs weighted 3-2-1 by recency (earlier days only)</t>
  </si>
  <si>
    <t xml:space="preserve">fw_mkt_w5</t>
  </si>
  <si>
    <t xml:space="preserve">The market's view, log(n x bsp chance): last 5 runs weighted 5..1 by recency (earlier days only)</t>
  </si>
  <si>
    <t xml:space="preserve">fw_mkt_w10</t>
  </si>
  <si>
    <t xml:space="preserve">The market's view, log(n x bsp chance): last 10 runs weighted 10..1 by recency (earlier days only)</t>
  </si>
  <si>
    <t xml:space="preserve">fw_ae_car</t>
  </si>
  <si>
    <t xml:space="preserve">Wins above the market (won - bsp chance): career mean (earlier days only)</t>
  </si>
  <si>
    <t xml:space="preserve">fw_ae_l1</t>
  </si>
  <si>
    <t xml:space="preserve">Wins above the market (won - bsp chance): last run (earlier days only)</t>
  </si>
  <si>
    <t xml:space="preserve">fw_ae_m3</t>
  </si>
  <si>
    <t xml:space="preserve">Wins above the market (won - bsp chance): mean of the last 3 runs (earlier days only)</t>
  </si>
  <si>
    <t xml:space="preserve">fw_ae_m5</t>
  </si>
  <si>
    <t xml:space="preserve">Wins above the market (won - bsp chance): mean of the last 5 runs (earlier days only)</t>
  </si>
  <si>
    <t xml:space="preserve">fw_ae_w3</t>
  </si>
  <si>
    <t xml:space="preserve">Wins above the market (won - bsp chance): last 3 runs weighted 3-2-1 by recency (earlier days only)</t>
  </si>
  <si>
    <t xml:space="preserve">fw_ae_w5</t>
  </si>
  <si>
    <t xml:space="preserve">Wins above the market (won - bsp chance): last 5 runs weighted 5..1 by recency (earlier days only)</t>
  </si>
  <si>
    <t xml:space="preserve">fw_ae_w10</t>
  </si>
  <si>
    <t xml:space="preserve">Wins above the market (won - bsp chance): last 10 runs weighted 10..1 by recency (earlier days only)</t>
  </si>
  <si>
    <t xml:space="preserve">fw_nres_car</t>
  </si>
  <si>
    <t xml:space="preserve">Finishing position against the market's order: career mean (earlier days only)</t>
  </si>
  <si>
    <t xml:space="preserve">fw_nres_l1</t>
  </si>
  <si>
    <t xml:space="preserve">Finishing position against the market's order: last run (earlier days only)</t>
  </si>
  <si>
    <t xml:space="preserve">fw_nres_m3</t>
  </si>
  <si>
    <t xml:space="preserve">Finishing position against the market's order: mean of the last 3 runs (earlier days only)</t>
  </si>
  <si>
    <t xml:space="preserve">fw_nres_m5</t>
  </si>
  <si>
    <t xml:space="preserve">Finishing position against the market's order: mean of the last 5 runs (earlier days only)</t>
  </si>
  <si>
    <t xml:space="preserve">fw_nres_w3</t>
  </si>
  <si>
    <t xml:space="preserve">Finishing position against the market's order: last 3 runs weighted 3-2-1 by recency (earlier days only)</t>
  </si>
  <si>
    <t xml:space="preserve">fw_nres_w5</t>
  </si>
  <si>
    <t xml:space="preserve">Finishing position against the market's order: last 5 runs weighted 5..1 by recency (earlier days only)</t>
  </si>
  <si>
    <t xml:space="preserve">fw_nres_w10</t>
  </si>
  <si>
    <t xml:space="preserve">Finishing position against the market's order: last 10 runs weighted 10..1 by recency (earlier days only)</t>
  </si>
  <si>
    <t xml:space="preserve">fw_perf_l1_vs_or</t>
  </si>
  <si>
    <t xml:space="preserve">Performance figure (last run) less today's official rating (+ = well in)</t>
  </si>
  <si>
    <t xml:space="preserve">fw_perf_w5_vs_or</t>
  </si>
  <si>
    <t xml:space="preserve">Performance figure (last 5 runs weighted 5..1 by recency) less today's official rating (+ = well in)</t>
  </si>
  <si>
    <t xml:space="preserve">fw_perf_car_vs_or</t>
  </si>
  <si>
    <t xml:space="preserve">Performance figure (career mean) less today's official rating (+ = well in)</t>
  </si>
  <si>
    <t xml:space="preserve">sf_adj_car</t>
  </si>
  <si>
    <t xml:space="preserve">Shape form (shape/draw remodel)</t>
  </si>
  <si>
    <t xml:space="preserve">Past runs read against pace and draw; speed drawn near; market misses</t>
  </si>
  <si>
    <t xml:space="preserve">Form net of the pace and draw each run met (lbs better than the average runner less the credit): career mean</t>
  </si>
  <si>
    <t xml:space="preserve">model/shape_form.py</t>
  </si>
  <si>
    <t xml:space="preserve">sf_adj_l1</t>
  </si>
  <si>
    <t xml:space="preserve">Form net of the pace and draw each run met (lbs better than the average runner less the credit): last run</t>
  </si>
  <si>
    <t xml:space="preserve">sf_adj_m3</t>
  </si>
  <si>
    <t xml:space="preserve">Form net of the pace and draw each run met (lbs better than the average runner less the credit): mean of the last 3 runs</t>
  </si>
  <si>
    <t xml:space="preserve">sf_adj_m5</t>
  </si>
  <si>
    <t xml:space="preserve">Form net of the pace and draw each run met (lbs better than the average runner less the credit): mean of the last 5 runs</t>
  </si>
  <si>
    <t xml:space="preserve">sf_adj_w3</t>
  </si>
  <si>
    <t xml:space="preserve">Form net of the pace and draw each run met (lbs better than the average runner less the credit): last 3 runs weighted 3-2-1 by recency</t>
  </si>
  <si>
    <t xml:space="preserve">sf_adj_w5</t>
  </si>
  <si>
    <t xml:space="preserve">Form net of the pace and draw each run met (lbs better than the average runner less the credit): last 5 runs weighted 5..1 by recency</t>
  </si>
  <si>
    <t xml:space="preserve">sf_adj_w10</t>
  </si>
  <si>
    <t xml:space="preserve">Form net of the pace and draw each run met (lbs better than the average runner less the credit): last 10 runs weighted 10..1 by recency</t>
  </si>
  <si>
    <t xml:space="preserve">sf_bias_car</t>
  </si>
  <si>
    <t xml:space="preserve">Credit the pace and draw handed each run (+ = helped, lbs): career mean</t>
  </si>
  <si>
    <t xml:space="preserve">sf_bias_l1</t>
  </si>
  <si>
    <t xml:space="preserve">Credit the pace and draw handed each run (+ = helped, lbs): last run</t>
  </si>
  <si>
    <t xml:space="preserve">sf_bias_m3</t>
  </si>
  <si>
    <t xml:space="preserve">Credit the pace and draw handed each run (+ = helped, lbs): mean of the last 3 runs</t>
  </si>
  <si>
    <t xml:space="preserve">sf_bias_m5</t>
  </si>
  <si>
    <t xml:space="preserve">Credit the pace and draw handed each run (+ = helped, lbs): mean of the last 5 runs</t>
  </si>
  <si>
    <t xml:space="preserve">sf_bias_w3</t>
  </si>
  <si>
    <t xml:space="preserve">Credit the pace and draw handed each run (+ = helped, lbs): last 3 runs weighted 3-2-1 by recency</t>
  </si>
  <si>
    <t xml:space="preserve">sf_bias_w5</t>
  </si>
  <si>
    <t xml:space="preserve">Credit the pace and draw handed each run (+ = helped, lbs): last 5 runs weighted 5..1 by recency</t>
  </si>
  <si>
    <t xml:space="preserve">sf_bias_w10</t>
  </si>
  <si>
    <t xml:space="preserve">Credit the pace and draw handed each run (+ = helped, lbs): last 10 runs weighted 10..1 by recency</t>
  </si>
  <si>
    <t xml:space="preserve">sf_speed_inside</t>
  </si>
  <si>
    <t xml:space="preserve">Expected leaders (sum of p_lead) drawn in lower stalls</t>
  </si>
  <si>
    <t xml:space="preserve">sf_speed_outside</t>
  </si>
  <si>
    <t xml:space="preserve">Expected leaders drawn in higher stalls</t>
  </si>
  <si>
    <t xml:space="preserve">sf_speed_near</t>
  </si>
  <si>
    <t xml:space="preserve">Expected leaders within two stalls either side</t>
  </si>
  <si>
    <t xml:space="preserve">sf_draw_ae</t>
  </si>
  <si>
    <t xml:space="preserve">Market's miss (won - BSP chance) for runners drawn in this cell, earlier days</t>
  </si>
  <si>
    <t xml:space="preserve">sf_pos_ae</t>
  </si>
  <si>
    <t xml:space="preserve">Market's miss for runners projected to race where this one is, in this projected shape</t>
  </si>
  <si>
    <t xml:space="preserve">p_lead</t>
  </si>
  <si>
    <t xml:space="preserve">Shape and draw (old)</t>
  </si>
  <si>
    <t xml:space="preserve">Run style, race shape, position value, draw curves</t>
  </si>
  <si>
    <t xml:space="preserve">Chance of leading (projected style)</t>
  </si>
  <si>
    <t xml:space="preserve">model/race_shape.py, model/draw_curve.py</t>
  </si>
  <si>
    <t xml:space="preserve">p_prom</t>
  </si>
  <si>
    <t xml:space="preserve">Chance of racing prominently</t>
  </si>
  <si>
    <t xml:space="preserve">p_mid</t>
  </si>
  <si>
    <t xml:space="preserve">Chance of racing mid-division</t>
  </si>
  <si>
    <t xml:space="preserve">p_rear</t>
  </si>
  <si>
    <t xml:space="preserve">Chance of racing in rear</t>
  </si>
  <si>
    <t xml:space="preserve">pred_epf</t>
  </si>
  <si>
    <t xml:space="preserve">Projected early position (0 led .. 1 last)</t>
  </si>
  <si>
    <t xml:space="preserve">style_n_eff</t>
  </si>
  <si>
    <t xml:space="preserve">Runs behind the style projection</t>
  </si>
  <si>
    <t xml:space="preserve">shape_exp_leaders</t>
  </si>
  <si>
    <t xml:space="preserve">Expected number of leaders in the race</t>
  </si>
  <si>
    <t xml:space="preserve">shape_p_no_leader</t>
  </si>
  <si>
    <t xml:space="preserve">Chance nobody takes the lead</t>
  </si>
  <si>
    <t xml:space="preserve">shape_p_contested</t>
  </si>
  <si>
    <t xml:space="preserve">Chance the lead is contested</t>
  </si>
  <si>
    <t xml:space="preserve">shape_front_share</t>
  </si>
  <si>
    <t xml:space="preserve">Share of the field expected on the pace</t>
  </si>
  <si>
    <t xml:space="preserve">shape_lead1</t>
  </si>
  <si>
    <t xml:space="preserve">Largest chance of leading in the race</t>
  </si>
  <si>
    <t xml:space="preserve">shape_lead2</t>
  </si>
  <si>
    <t xml:space="preserve">Second largest chance of leading</t>
  </si>
  <si>
    <t xml:space="preserve">shape_lead_clarity</t>
  </si>
  <si>
    <t xml:space="preserve">How clear the likely leader is</t>
  </si>
  <si>
    <t xml:space="preserve">shape_mean_epf</t>
  </si>
  <si>
    <t xml:space="preserve">Field's mean projected early position</t>
  </si>
  <si>
    <t xml:space="preserve">shape_bin</t>
  </si>
  <si>
    <t xml:space="preserve">Race shape: 0 no natural leader, 1 one, 2 contested</t>
  </si>
  <si>
    <t xml:space="preserve">lead_share</t>
  </si>
  <si>
    <t xml:space="preserve">Share of the field's claims on the lead</t>
  </si>
  <si>
    <t xml:space="preserve">lead_rank</t>
  </si>
  <si>
    <t xml:space="preserve">Rank of the chance of leading</t>
  </si>
  <si>
    <t xml:space="preserve">rel_epf</t>
  </si>
  <si>
    <t xml:space="preserve">Projected early position less the field's mean</t>
  </si>
  <si>
    <t xml:space="preserve">pv_exp_nfp</t>
  </si>
  <si>
    <t xml:space="preserve">Value of the projected position in this shape here (NFP)</t>
  </si>
  <si>
    <t xml:space="preserve">pv_exp_lbs</t>
  </si>
  <si>
    <t xml:space="preserve">Value of the projected position in this shape here (lbs)</t>
  </si>
  <si>
    <t xml:space="preserve">pv_act_nfp</t>
  </si>
  <si>
    <t xml:space="preserve">Chance-weighted value of each actual position here (NFP)</t>
  </si>
  <si>
    <t xml:space="preserve">pv_act_lbs</t>
  </si>
  <si>
    <t xml:space="preserve">Chance-weighted value of each actual position here (lbs)</t>
  </si>
  <si>
    <t xml:space="preserve">pv_front_bias_lbs</t>
  </si>
  <si>
    <t xml:space="preserve">Lead less rear value in this shape here (lbs)</t>
  </si>
  <si>
    <t xml:space="preserve">pv_n_eff</t>
  </si>
  <si>
    <t xml:space="preserve">Runners behind the position value</t>
  </si>
  <si>
    <t xml:space="preserve">dc_draw_pct</t>
  </si>
  <si>
    <t xml:space="preserve">Stall position, 0 lowest .. 1 highest</t>
  </si>
  <si>
    <t xml:space="preserve">dc_edge_nfp</t>
  </si>
  <si>
    <t xml:space="preserve">Draw curve: the stall's worth in NFP here</t>
  </si>
  <si>
    <t xml:space="preserve">dc_edge_lbs</t>
  </si>
  <si>
    <t xml:space="preserve">Draw curve: the stall's worth in pounds</t>
  </si>
  <si>
    <t xml:space="preserve">dc_edge_rel_lbs</t>
  </si>
  <si>
    <t xml:space="preserve">Stall's worth less the race's mean</t>
  </si>
  <si>
    <t xml:space="preserve">dc_race_spread_lbs</t>
  </si>
  <si>
    <t xml:space="preserve">Best less worst stall in the race (lbs)</t>
  </si>
  <si>
    <t xml:space="preserve">dc_n_eff</t>
  </si>
  <si>
    <t xml:space="preserve">Runners behind the draw curve</t>
  </si>
  <si>
    <t xml:space="preserve">dc_edge_style_lbs</t>
  </si>
  <si>
    <t xml:space="preserve">Stall's worth for the projected style (lbs)</t>
  </si>
  <si>
    <t xml:space="preserve">dc_edge_style_rel_lbs</t>
  </si>
  <si>
    <t xml:space="preserve">The same less the race's mean</t>
  </si>
  <si>
    <t xml:space="preserve">it_gelded</t>
  </si>
  <si>
    <t xml:space="preserve">Intent (card-unsafe)</t>
  </si>
  <si>
    <t xml:space="preserve">What the 06:00 card cannot know</t>
  </si>
  <si>
    <t xml:space="preserve">Gelded since the last run (not knowable at 06:00)</t>
  </si>
  <si>
    <t xml:space="preserve">No</t>
  </si>
  <si>
    <t xml:space="preserve">it_ae_gelded</t>
  </si>
  <si>
    <t xml:space="preserve">Trainer's A-E with first run after gelding (not knowable at 06:00)</t>
  </si>
  <si>
    <t xml:space="preserve">it_jockey_upgrade</t>
  </si>
  <si>
    <t xml:space="preserve">Jockey as ridden stronger than usual (the 06:00 card has the booking)</t>
  </si>
  <si>
    <t xml:space="preserve">it_claim_change</t>
  </si>
  <si>
    <t xml:space="preserve">Claim as ridden changed (the 06:00 card has the booking)</t>
  </si>
  <si>
    <t xml:space="preserve">Features</t>
  </si>
  <si>
    <t xml:space="preserve">Evidence</t>
  </si>
  <si>
    <t xml:space="preserve">The 19 proprietary metrics and their ranks (the original model). Within-race ranks carry about 40% of gain; rPMW3 alone about 14%.</t>
  </si>
  <si>
    <t xml:space="preserve">Today's card as fetched at 06:00 (card fill: model/card_enrich.py, parity checked).</t>
  </si>
  <si>
    <t xml:space="preserve">Benter/Woods/Ziemba-style additions to the engine (served since the first retrain).</t>
  </si>
  <si>
    <t xml:space="preserve">Iteration 26: -0.0049, Brier skill vs market +0.0010 (resolved); leak probe clean. Served from 25 Sep.</t>
  </si>
  <si>
    <t xml:space="preserve">RSI, MACD, z-score, Sharpe, drawdown of finishing-position series.</t>
  </si>
  <si>
    <t xml:space="preserve">Iteration 24: price-forecast error -0.0052 on the 501; iteration 28 (with freshness, as served): -0.0085, Brier skill vs market +0.0013. Served from 25 Sep.</t>
  </si>
  <si>
    <t xml:space="preserve">Style and pace from in-running comments (rebuilt parser, 23 Sep).</t>
  </si>
  <si>
    <t xml:space="preserve">Draw bias cells and stall position (track_draw_bias is blank on every row: open defect).</t>
  </si>
  <si>
    <t xml:space="preserve">Iteration 29: -0.0073 on the 535 (rank 1 -0.0092), Brier skill vs market +0.0022 (resolved), early-price rule +6.01% -&gt; +6.50%; leak probe clean. Promotion waits on iteration 32.</t>
  </si>
  <si>
    <t xml:space="preserve">Iteration 30: -0.0051 on the 535, Brier skill vs market +0.0018 (resolved), early-price rule +5.80% -&gt; +6.91%; leak probe clean. Promotion waits on iteration 32.</t>
  </si>
  <si>
    <t xml:space="preserve">Iterations 18 and 25: no gain to the price forecast (-0.0000), a little concordance lost. Built by the engine, not served; the inputs shape form reads.</t>
  </si>
  <si>
    <t xml:space="preserve">The 06:00 card cannot know these (a gelding since the last run; the jockey or claim as ridden). The post-race guard refuses them as inputs.</t>
  </si>
  <si>
    <t xml:space="preserve">Total</t>
  </si>
  <si>
    <t xml:space="preserve">Research blocks (opt-in, never served)</t>
  </si>
  <si>
    <t xml:space="preserve">Performance figures (lbs)</t>
  </si>
  <si>
    <t xml:space="preserve">Research only (opt-in)</t>
  </si>
  <si>
    <t xml:space="preserve">model/perf_figures.py</t>
  </si>
  <si>
    <t xml:space="preserve">iter8: nothing beyond BSP against the result</t>
  </si>
  <si>
    <t xml:space="preserve">Kalman rating</t>
  </si>
  <si>
    <t xml:space="preserve">model/state_space.py</t>
  </si>
  <si>
    <t xml:space="preserve">iter8: nothing beyond BSP</t>
  </si>
  <si>
    <t xml:space="preserve">Handicap angles</t>
  </si>
  <si>
    <t xml:space="preserve">model/handicap_features.py</t>
  </si>
  <si>
    <t xml:space="preserve">A-E vs the market by entity</t>
  </si>
  <si>
    <t xml:space="preserve">model/ae_features.py</t>
  </si>
  <si>
    <t xml:space="preserve">iter11: -0.43 mnats, no persistent mispricing</t>
  </si>
  <si>
    <t xml:space="preserve">The race's other markets</t>
  </si>
  <si>
    <t xml:space="preserve">model/market_block.py</t>
  </si>
  <si>
    <t xml:space="preserve">iter5: -0.26 mnats</t>
  </si>
  <si>
    <t xml:space="preserve">In-day (earlier races today)</t>
  </si>
  <si>
    <t xml:space="preserve">model/inday_features.py</t>
  </si>
  <si>
    <t xml:space="preserve">iter12-16; rejected on the locked holdout</t>
  </si>
  <si>
    <t xml:space="preserve">Betfair price-file features</t>
  </si>
  <si>
    <t xml:space="preserve">model/market_features.py</t>
  </si>
  <si>
    <t xml:space="preserve">not scored as a block; data from Jan 2026</t>
  </si>
  <si>
    <t xml:space="preserve">Timeform feed</t>
  </si>
  <si>
    <t xml:space="preserve">model/blandford_features.py</t>
  </si>
  <si>
    <t xml:space="preserve">same-day fields banned (leak); lagged not a candidate</t>
  </si>
  <si>
    <t xml:space="preserve">Odds metrics</t>
  </si>
  <si>
    <t xml:space="preserve">model/odds_metrics.py</t>
  </si>
  <si>
    <t xml:space="preserve">not scored: uses the race's own BSP (leaks)</t>
  </si>
  <si>
    <t xml:space="preserve">ABM race simulator</t>
  </si>
  <si>
    <t xml:space="preserve">model/abm/</t>
  </si>
  <si>
    <t xml:space="preserve">not run at scale</t>
  </si>
  <si>
    <t xml:space="preserve">ID</t>
  </si>
  <si>
    <t xml:space="preserve">Feature or idea</t>
  </si>
  <si>
    <t xml:space="preserve">Category</t>
  </si>
  <si>
    <t xml:space="preserve">What it would measure</t>
  </si>
  <si>
    <t xml:space="preserve">Data</t>
  </si>
  <si>
    <t xml:space="preserve">Status / notes</t>
  </si>
  <si>
    <t xml:space="preserve">Priority</t>
  </si>
  <si>
    <t xml:space="preserve">B2</t>
  </si>
  <si>
    <t xml:space="preserve">Field-size-adjusted lengths beaten (lagged)</t>
  </si>
  <si>
    <t xml:space="preserve">Form</t>
  </si>
  <si>
    <t xml:space="preserve">Lengths beaten scaled by field size, over past runs</t>
  </si>
  <si>
    <t xml:space="preserve">Available</t>
  </si>
  <si>
    <t xml:space="preserve">The unlagged version leaked the result and was removed. fw_lbs / fw_lbsc now cover pounds beaten.</t>
  </si>
  <si>
    <t xml:space="preserve">B3</t>
  </si>
  <si>
    <t xml:space="preserve">Lengths per position</t>
  </si>
  <si>
    <t xml:space="preserve">Lengths beaten per place behind the winner (how strung out the field was)</t>
  </si>
  <si>
    <t xml:space="preserve">Not built</t>
  </si>
  <si>
    <t xml:space="preserve">B4</t>
  </si>
  <si>
    <t xml:space="preserve">Closing-sectional proxy</t>
  </si>
  <si>
    <t xml:space="preserve">Speed over the final furlongs</t>
  </si>
  <si>
    <t xml:space="preserve">Not available</t>
  </si>
  <si>
    <t xml:space="preserve">No sectional or per-horse times in the data</t>
  </si>
  <si>
    <t xml:space="preserve">A1-A4</t>
  </si>
  <si>
    <t xml:space="preserve">Per-horse speed figures</t>
  </si>
  <si>
    <t xml:space="preserve">Speed</t>
  </si>
  <si>
    <t xml:space="preserve">Speed from the horse's own time, going-adjusted, best, trend</t>
  </si>
  <si>
    <t xml:space="preserve">comptime_numeric is the race's winning time, so RSR rates the race, not the horse. The horse's time can be derived as winning time + lengths beaten x seconds per length.</t>
  </si>
  <si>
    <t xml:space="preserve">D2</t>
  </si>
  <si>
    <t xml:space="preserve">Headgear type flags</t>
  </si>
  <si>
    <t xml:space="preserve">Equipment</t>
  </si>
  <si>
    <t xml:space="preserve">One flag per headgear item (blinkers, visor, cheekpieces, hood, tongue-tie)</t>
  </si>
  <si>
    <t xml:space="preserve">Partial: one category column</t>
  </si>
  <si>
    <t xml:space="preserve">D3</t>
  </si>
  <si>
    <t xml:space="preserve">Form with / without headgear</t>
  </si>
  <si>
    <t xml:space="preserve">The horse's form when wearing today's headgear vs without</t>
  </si>
  <si>
    <t xml:space="preserve">F1</t>
  </si>
  <si>
    <t xml:space="preserve">SP-to-BSP spread (lagged)</t>
  </si>
  <si>
    <t xml:space="preserve">Market</t>
  </si>
  <si>
    <t xml:space="preserve">How far industry SP differed from BSP in past runs</t>
  </si>
  <si>
    <t xml:space="preserve">The same-race version added nothing (markets block)</t>
  </si>
  <si>
    <t xml:space="preserve">F2</t>
  </si>
  <si>
    <t xml:space="preserve">Win/place price ratio (lagged)</t>
  </si>
  <si>
    <t xml:space="preserve">Place-market view relative to the win market in past runs</t>
  </si>
  <si>
    <t xml:space="preserve">Partial (Betfair files from Jan 2026)</t>
  </si>
  <si>
    <t xml:space="preserve">Opt-in behind --market-features</t>
  </si>
  <si>
    <t xml:space="preserve">G2</t>
  </si>
  <si>
    <t xml:space="preserve">Horse handicap / non-handicap form</t>
  </si>
  <si>
    <t xml:space="preserve">The horse's form split by handicap and non-handicap</t>
  </si>
  <si>
    <t xml:space="preserve">Only trainer and jockey splits exist (opt-in)</t>
  </si>
  <si>
    <t xml:space="preserve">G4</t>
  </si>
  <si>
    <t xml:space="preserve">Age restriction</t>
  </si>
  <si>
    <t xml:space="preserve">Race conditions</t>
  </si>
  <si>
    <t xml:space="preserve">Age band of the race (2yo, 3yo only, 3yo+, 4yo+)</t>
  </si>
  <si>
    <t xml:space="preserve">race_restrictions_age is never read</t>
  </si>
  <si>
    <t xml:space="preserve">H3</t>
  </si>
  <si>
    <t xml:space="preserve">Claimer flag</t>
  </si>
  <si>
    <t xml:space="preserve">Connections</t>
  </si>
  <si>
    <t xml:space="preserve">Whether the jockey claims an allowance</t>
  </si>
  <si>
    <t xml:space="preserve">Partial: raw claim only; is_claimer is opt-in</t>
  </si>
  <si>
    <t xml:space="preserve">I1</t>
  </si>
  <si>
    <t xml:space="preserve">OR percentile in the field</t>
  </si>
  <si>
    <t xml:space="preserve">Ratings</t>
  </si>
  <si>
    <t xml:space="preserve">Official rating's percentile within the race</t>
  </si>
  <si>
    <t xml:space="preserve">Partial: difference to the max and median only</t>
  </si>
  <si>
    <t xml:space="preserve">I2</t>
  </si>
  <si>
    <t xml:space="preserve">OR trajectory slope</t>
  </si>
  <si>
    <t xml:space="preserve">Slope of the official rating over recent runs</t>
  </si>
  <si>
    <t xml:space="preserve">Partial: changes only</t>
  </si>
  <si>
    <t xml:space="preserve">J1</t>
  </si>
  <si>
    <t xml:space="preserve">Month / season</t>
  </si>
  <si>
    <t xml:space="preserve">Context</t>
  </si>
  <si>
    <t xml:space="preserve">Seasonal effects</t>
  </si>
  <si>
    <t xml:space="preserve">Surveyed on 24 Sep: nothing for the price to miss</t>
  </si>
  <si>
    <t xml:space="preserve">J2</t>
  </si>
  <si>
    <t xml:space="preserve">Day of week</t>
  </si>
  <si>
    <t xml:space="preserve">Weekday effects (strength of meetings)</t>
  </si>
  <si>
    <t xml:space="preserve">Surveyed: nothing</t>
  </si>
  <si>
    <t xml:space="preserve">J3</t>
  </si>
  <si>
    <t xml:space="preserve">Horse seasonality</t>
  </si>
  <si>
    <t xml:space="preserve">The horse's form by time of year</t>
  </si>
  <si>
    <t xml:space="preserve">J4</t>
  </si>
  <si>
    <t xml:space="preserve">Campaign stage</t>
  </si>
  <si>
    <t xml:space="preserve">Run number within the current campaign</t>
  </si>
  <si>
    <t xml:space="preserve">Written in model/primitives.py, never called; fr_runs_since_break now covers most of it</t>
  </si>
  <si>
    <t xml:space="preserve">K1</t>
  </si>
  <si>
    <t xml:space="preserve">Major-race experience</t>
  </si>
  <si>
    <t xml:space="preserve">Class</t>
  </si>
  <si>
    <t xml:space="preserve">Runs and form in Group / Listed / major races</t>
  </si>
  <si>
    <t xml:space="preserve">`major` feeds only the opt-in connections block</t>
  </si>
  <si>
    <t xml:space="preserve">K2</t>
  </si>
  <si>
    <t xml:space="preserve">Class ladder vs career median</t>
  </si>
  <si>
    <t xml:space="preserve">Today's class against the horse's career median class</t>
  </si>
  <si>
    <t xml:space="preserve">Partial: against a three-run mean</t>
  </si>
  <si>
    <t xml:space="preserve">L2</t>
  </si>
  <si>
    <t xml:space="preserve">Class x speed</t>
  </si>
  <si>
    <t xml:space="preserve">Speed figures scaled by the class they were run in</t>
  </si>
  <si>
    <t xml:space="preserve">L4</t>
  </si>
  <si>
    <t xml:space="preserve">Weight per OR point</t>
  </si>
  <si>
    <t xml:space="preserve">Handicap</t>
  </si>
  <si>
    <t xml:space="preserve">Weight carried relative to the official rating</t>
  </si>
  <si>
    <t xml:space="preserve">The handicap block's hc_wt_vs_mark is close (opt-in, added nothing against the result)</t>
  </si>
  <si>
    <t xml:space="preserve">R1</t>
  </si>
  <si>
    <t xml:space="preserve">Trainer and jockey career NFP / RB</t>
  </si>
  <si>
    <t xml:space="preserve">Career finishing-position quality of runners and rides</t>
  </si>
  <si>
    <t xml:space="preserve">Never built, so five spec rank columns are skipped: trainerRBrank, trainerNFPrank, jockeyRBrank, jockeyNFPrank, horsexRBMARrank</t>
  </si>
  <si>
    <t xml:space="preserve">N1</t>
  </si>
  <si>
    <t xml:space="preserve">Connection form windows</t>
  </si>
  <si>
    <t xml:space="preserve">The window ladder (career, last 3/5, weighted 3/5/10) for trainer and jockey: A-E, strike rate, pounds beaten</t>
  </si>
  <si>
    <t xml:space="preserve">New idea: form windows gave the largest gain of any block for the horse</t>
  </si>
  <si>
    <t xml:space="preserve">N2</t>
  </si>
  <si>
    <t xml:space="preserve">Condition-specific form windows</t>
  </si>
  <si>
    <t xml:space="preserve">Form windows restricted to runs at today's trip band, going, course and code</t>
  </si>
  <si>
    <t xml:space="preserve">New idea: extends form windows and the unexposure features</t>
  </si>
  <si>
    <t xml:space="preserve">N3</t>
  </si>
  <si>
    <t xml:space="preserve">Re-test research blocks on the price forecast</t>
  </si>
  <si>
    <t xml:space="preserve">Research</t>
  </si>
  <si>
    <t xml:space="preserve">Perf figures, Kalman ratings, pedigree suite, connections, comments, handicap angles, A-E by entity</t>
  </si>
  <si>
    <t xml:space="preserve">Each was tested only against the result (nothing beyond BSP); freshness, intent and form windows all failed that test yet sharpened the BSP forecast</t>
  </si>
  <si>
    <t xml:space="preserve">N4</t>
  </si>
  <si>
    <t xml:space="preserve">Head-to-head ratings</t>
  </si>
  <si>
    <t xml:space="preserve">Pairwise results between today's rivals (who has beaten whom, by how much)</t>
  </si>
  <si>
    <t xml:space="preserve">Available (h2h fetch)</t>
  </si>
  <si>
    <t xml:space="preserve">data/h2h exists; not a model feature</t>
  </si>
  <si>
    <t xml:space="preserve">N5</t>
  </si>
  <si>
    <t xml:space="preserve">Jockey booking strength (card-safe)</t>
  </si>
  <si>
    <t xml:space="preserve">Jockey booked at 06:00 against the horse's usual jockey quality</t>
  </si>
  <si>
    <t xml:space="preserve">The ridden version is card-unsafe; the booked version is safe</t>
  </si>
  <si>
    <t xml:space="preserve">N6</t>
  </si>
  <si>
    <t xml:space="preserve">Betfair price-history windows</t>
  </si>
  <si>
    <t xml:space="preserve">Past runs' morning-to-BSP drift and volume, windowed</t>
  </si>
  <si>
    <t xml:space="preserve">Needs more history before it can train</t>
  </si>
  <si>
    <t xml:space="preserve">N7</t>
  </si>
  <si>
    <t xml:space="preserve">Race shape x horse style fit, learned per horse</t>
  </si>
  <si>
    <t xml:space="preserve">Pace</t>
  </si>
  <si>
    <t xml:space="preserve">How this horse has run in each pace scenario (from shape form's per-run readings)</t>
  </si>
  <si>
    <t xml:space="preserve">Builds on shape form</t>
  </si>
  <si>
    <t xml:space="preserve">N8</t>
  </si>
  <si>
    <t xml:space="preserve">Model hyperparameters</t>
  </si>
  <si>
    <t xml:space="preserve">Recipe</t>
  </si>
  <si>
    <t xml:space="preserve">Leaves, learning rate, min child samples at the 6000-round cap</t>
  </si>
  <si>
    <t xml:space="preserve">n/a</t>
  </si>
  <si>
    <t xml:space="preserve">Iteration 31: the recipe was under-fitted at 3000 rounds</t>
  </si>
  <si>
    <t xml:space="preserve">X1</t>
  </si>
  <si>
    <t xml:space="preserve">Fix: track_draw_bias</t>
  </si>
  <si>
    <t xml:space="preserve">Defect</t>
  </si>
  <si>
    <t xml:space="preserve">Blank on every row (draw_metrics.py:643)</t>
  </si>
  <si>
    <t xml:space="preserve">Zero gain; fix or drop</t>
  </si>
  <si>
    <t xml:space="preserve">X2</t>
  </si>
  <si>
    <t xml:space="preserve">Fix: FCS without official ratings</t>
  </si>
  <si>
    <t xml:space="preserve">FCS is 0 when today's race has no ratings</t>
  </si>
  <si>
    <t xml:space="preserve">custom_metrics.py:656</t>
  </si>
  <si>
    <t xml:space="preserve">X3</t>
  </si>
  <si>
    <t xml:space="preserve">Fix: duplicate columns</t>
  </si>
  <si>
    <t xml:space="preserve">RB = NFP (9), WOA = WAX (7), OFS = ORR2 (7), racepacescore = RPS (1)</t>
  </si>
  <si>
    <t xml:space="preserve">Harmless to accuracy; splits importance readings</t>
  </si>
  <si>
    <t xml:space="preserve">M1</t>
  </si>
  <si>
    <t xml:space="preserve">The rest of the racing2 master framework</t>
  </si>
  <si>
    <t xml:space="preserve">RESEARCH_FRAMEWORK.md s14 counted 277 items: 75 implemented, 80 partial, 122 missing</t>
  </si>
  <si>
    <t xml:space="preserve">Mixed</t>
  </si>
  <si>
    <t xml:space="preserve">The framework document is not in the repository, so the items cannot be listed one by one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</si>
</sst>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3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COUNTIF(Features!$F$2:$F$671,A5)</f>
        <v>535</v>
      </c>
      <c r="C5" s="4"/>
      <c r="D5" s="4"/>
    </row>
    <row r="6" customFormat="false" ht="15" hidden="false" customHeight="false" outlineLevel="0" collapsed="false">
      <c r="A6" s="4" t="s">
        <v>5</v>
      </c>
      <c r="B6" s="4" t="n">
        <f aca="false">COUNTIF(Features!$F$2:$F$671,A6)</f>
        <v>99</v>
      </c>
      <c r="C6" s="4"/>
      <c r="D6" s="4"/>
    </row>
    <row r="7" customFormat="false" ht="15" hidden="false" customHeight="false" outlineLevel="0" collapsed="false">
      <c r="A7" s="4" t="s">
        <v>6</v>
      </c>
      <c r="B7" s="4" t="n">
        <f aca="false">COUNTIF(Features!$F$2:$F$671,A7)</f>
        <v>32</v>
      </c>
      <c r="C7" s="4"/>
      <c r="D7" s="4"/>
    </row>
    <row r="8" customFormat="false" ht="15" hidden="false" customHeight="false" outlineLevel="0" collapsed="false">
      <c r="A8" s="4" t="s">
        <v>7</v>
      </c>
      <c r="B8" s="4" t="n">
        <f aca="false">COUNTIF(Features!$F$2:$F$671,A8)</f>
        <v>4</v>
      </c>
      <c r="C8" s="4"/>
      <c r="D8" s="4"/>
    </row>
    <row r="9" customFormat="false" ht="15" hidden="false" customHeight="false" outlineLevel="0" collapsed="false">
      <c r="A9" s="5" t="s">
        <v>8</v>
      </c>
      <c r="B9" s="5" t="n">
        <f aca="false">SUM(B5:B8)</f>
        <v>670</v>
      </c>
      <c r="C9" s="4"/>
      <c r="D9" s="4"/>
    </row>
    <row r="10" customFormat="false" ht="15" hidden="false" customHeight="false" outlineLevel="0" collapsed="false">
      <c r="A10" s="4" t="s">
        <v>9</v>
      </c>
      <c r="B10" s="4" t="n">
        <f aca="false">COUNTIFS(Features!$F$2:$F$671,"Served",Features!$G$2:$G$671,0)</f>
        <v>9</v>
      </c>
      <c r="C10" s="4"/>
      <c r="D10" s="4"/>
    </row>
    <row r="11" customFormat="false" ht="15" hidden="false" customHeight="false" outlineLevel="0" collapsed="false">
      <c r="A11" s="4" t="s">
        <v>10</v>
      </c>
      <c r="B11" s="6" t="n">
        <f aca="false">SUM(Features!$H$2:$H$671)</f>
        <v>1</v>
      </c>
      <c r="C11" s="4"/>
      <c r="D11" s="4"/>
    </row>
    <row r="12" customFormat="false" ht="15" hidden="false" customHeight="false" outlineLevel="0" collapsed="false">
      <c r="A12" s="4"/>
      <c r="B12" s="4"/>
      <c r="C12" s="4"/>
      <c r="D12" s="4"/>
    </row>
    <row r="13" customFormat="false" ht="15" hidden="false" customHeight="false" outlineLevel="0" collapsed="false">
      <c r="A13" s="3" t="s">
        <v>11</v>
      </c>
      <c r="B13" s="3" t="s">
        <v>3</v>
      </c>
      <c r="C13" s="4"/>
      <c r="D13" s="4"/>
    </row>
    <row r="14" customFormat="false" ht="15" hidden="false" customHeight="false" outlineLevel="0" collapsed="false">
      <c r="A14" s="4" t="s">
        <v>12</v>
      </c>
      <c r="B14" s="4" t="n">
        <f aca="false">COUNTIF('Not yet developed'!$G$2:$G$35,A14)</f>
        <v>5</v>
      </c>
      <c r="C14" s="4"/>
      <c r="D14" s="4"/>
    </row>
    <row r="15" customFormat="false" ht="15" hidden="false" customHeight="false" outlineLevel="0" collapsed="false">
      <c r="A15" s="4" t="s">
        <v>13</v>
      </c>
      <c r="B15" s="4" t="n">
        <f aca="false">COUNTIF('Not yet developed'!$G$2:$G$35,A15)</f>
        <v>11</v>
      </c>
      <c r="C15" s="4"/>
      <c r="D15" s="4"/>
    </row>
    <row r="16" customFormat="false" ht="15" hidden="false" customHeight="false" outlineLevel="0" collapsed="false">
      <c r="A16" s="4" t="s">
        <v>14</v>
      </c>
      <c r="B16" s="4" t="n">
        <f aca="false">COUNTIF('Not yet developed'!$G$2:$G$35,A16)</f>
        <v>16</v>
      </c>
      <c r="C16" s="4"/>
      <c r="D16" s="4"/>
    </row>
    <row r="17" customFormat="false" ht="15" hidden="false" customHeight="false" outlineLevel="0" collapsed="false">
      <c r="A17" s="4" t="s">
        <v>15</v>
      </c>
      <c r="B17" s="4" t="n">
        <f aca="false">COUNTIF('Not yet developed'!$G$2:$G$35,A17)</f>
        <v>1</v>
      </c>
      <c r="C17" s="4"/>
      <c r="D17" s="4"/>
    </row>
    <row r="18" customFormat="false" ht="15" hidden="false" customHeight="false" outlineLevel="0" collapsed="false">
      <c r="A18" s="4" t="s">
        <v>16</v>
      </c>
      <c r="B18" s="4" t="n">
        <f aca="false">COUNTIF('Not yet developed'!$G$2:$G$35,A18)</f>
        <v>1</v>
      </c>
      <c r="C18" s="4"/>
      <c r="D18" s="4"/>
    </row>
    <row r="19" customFormat="false" ht="15" hidden="false" customHeight="false" outlineLevel="0" collapsed="false">
      <c r="A19" s="3"/>
      <c r="B19" s="3"/>
      <c r="C19" s="3"/>
      <c r="D19" s="3"/>
    </row>
    <row r="20" customFormat="false" ht="15" hidden="false" customHeight="false" outlineLevel="0" collapsed="false">
      <c r="A20" s="4" t="s">
        <v>17</v>
      </c>
      <c r="B20" s="4" t="s">
        <v>18</v>
      </c>
      <c r="C20" s="4" t="s">
        <v>19</v>
      </c>
      <c r="D20" s="4" t="s">
        <v>20</v>
      </c>
    </row>
    <row r="21" customFormat="false" ht="15" hidden="false" customHeight="false" outlineLevel="0" collapsed="false">
      <c r="A21" s="4" t="str">
        <f aca="false">INDEX(Features!$A$2:$A$671,MATCH(1,Features!$I$2:$I$671,0))</f>
        <v>rPMW3</v>
      </c>
      <c r="B21" s="6" t="n">
        <f aca="false">INDEX(Features!$H$2:$H$671,MATCH(1,Features!$I$2:$I$671,0))</f>
        <v>0.136894118539648</v>
      </c>
      <c r="C21" s="4" t="str">
        <f aca="false">INDEX(Features!$B$2:$B$671,MATCH(1,Features!$I$2:$I$671,0))</f>
        <v>Custom metrics</v>
      </c>
      <c r="D21" s="4" t="str">
        <f aca="false">INDEX(Features!$D$2:$D$671,MATCH(1,Features!$I$2:$I$671,0))</f>
        <v>Within-race rank (1 = highest in the field) of PMW3: performance-adjusted prize money (prize x RB^2), recency-weighted, last 3 runs</v>
      </c>
    </row>
    <row r="22" customFormat="false" ht="15" hidden="false" customHeight="false" outlineLevel="0" collapsed="false">
      <c r="A22" s="4" t="str">
        <f aca="false">INDEX(Features!$A$2:$A$671,MATCH(2,Features!$I$2:$I$671,0))</f>
        <v>LR_ORR2</v>
      </c>
      <c r="B22" s="6" t="n">
        <f aca="false">INDEX(Features!$H$2:$H$671,MATCH(2,Features!$I$2:$I$671,0))</f>
        <v>0.0862119255298125</v>
      </c>
      <c r="C22" s="4" t="str">
        <f aca="false">INDEX(Features!$B$2:$B$671,MATCH(2,Features!$I$2:$I$671,0))</f>
        <v>Custom metrics</v>
      </c>
      <c r="D22" s="4" t="str">
        <f aca="false">INDEX(Features!$D$2:$D$671,MATCH(2,Features!$I$2:$I$671,0))</f>
        <v>Market rating (runners / BSP) in the last run</v>
      </c>
    </row>
    <row r="23" customFormat="false" ht="15" hidden="false" customHeight="false" outlineLevel="0" collapsed="false">
      <c r="A23" s="4" t="str">
        <f aca="false">INDEX(Features!$A$2:$A$671,MATCH(3,Features!$I$2:$I$671,0))</f>
        <v>rPMW5</v>
      </c>
      <c r="B23" s="6" t="n">
        <f aca="false">INDEX(Features!$H$2:$H$671,MATCH(3,Features!$I$2:$I$671,0))</f>
        <v>0.0660377230707883</v>
      </c>
      <c r="C23" s="4" t="str">
        <f aca="false">INDEX(Features!$B$2:$B$671,MATCH(3,Features!$I$2:$I$671,0))</f>
        <v>Custom metrics</v>
      </c>
      <c r="D23" s="4" t="str">
        <f aca="false">INDEX(Features!$D$2:$D$671,MATCH(3,Features!$I$2:$I$671,0))</f>
        <v>Within-race rank (1 = highest in the field) of PMW5: performance-adjusted prize money (prize x RB^2), recency-weighted, last 5 runs</v>
      </c>
    </row>
    <row r="24" customFormat="false" ht="15" hidden="false" customHeight="false" outlineLevel="0" collapsed="false">
      <c r="A24" s="4" t="str">
        <f aca="false">INDEX(Features!$A$2:$A$671,MATCH(4,Features!$I$2:$I$671,0))</f>
        <v>rPMW10</v>
      </c>
      <c r="B24" s="6" t="n">
        <f aca="false">INDEX(Features!$H$2:$H$671,MATCH(4,Features!$I$2:$I$671,0))</f>
        <v>0.0574750665282581</v>
      </c>
      <c r="C24" s="4" t="str">
        <f aca="false">INDEX(Features!$B$2:$B$671,MATCH(4,Features!$I$2:$I$671,0))</f>
        <v>Custom metrics</v>
      </c>
      <c r="D24" s="4" t="str">
        <f aca="false">INDEX(Features!$D$2:$D$671,MATCH(4,Features!$I$2:$I$671,0))</f>
        <v>Within-race rank (1 = highest in the field) of PMW10: performance-adjusted prize money (prize x RB^2), recency-weighted, last 10 runs</v>
      </c>
    </row>
    <row r="25" customFormat="false" ht="15" hidden="false" customHeight="false" outlineLevel="0" collapsed="false">
      <c r="A25" s="4" t="str">
        <f aca="false">INDEX(Features!$A$2:$A$671,MATCH(5,Features!$I$2:$I$671,0))</f>
        <v>or_num</v>
      </c>
      <c r="B25" s="6" t="n">
        <f aca="false">INDEX(Features!$H$2:$H$671,MATCH(5,Features!$I$2:$I$671,0))</f>
        <v>0.0513936993338301</v>
      </c>
      <c r="C25" s="4" t="str">
        <f aca="false">INDEX(Features!$B$2:$B$671,MATCH(5,Features!$I$2:$I$671,0))</f>
        <v>Card fields</v>
      </c>
      <c r="D25" s="4" t="str">
        <f aca="false">INDEX(Features!$D$2:$D$671,MATCH(5,Features!$I$2:$I$671,0))</f>
        <v>Official rating</v>
      </c>
    </row>
    <row r="26" customFormat="false" ht="15" hidden="false" customHeight="false" outlineLevel="0" collapsed="false">
      <c r="A26" s="4" t="str">
        <f aca="false">INDEX(Features!$A$2:$A$671,MATCH(6,Features!$I$2:$I$671,0))</f>
        <v>LR3_RWO</v>
      </c>
      <c r="B26" s="6" t="n">
        <f aca="false">INDEX(Features!$H$2:$H$671,MATCH(6,Features!$I$2:$I$671,0))</f>
        <v>0.0371987357902317</v>
      </c>
      <c r="C26" s="4" t="str">
        <f aca="false">INDEX(Features!$B$2:$B$671,MATCH(6,Features!$I$2:$I$671,0))</f>
        <v>Custom metrics</v>
      </c>
      <c r="D26" s="4" t="str">
        <f aca="false">INDEX(Features!$D$2:$D$671,MATCH(6,Features!$I$2:$I$671,0))</f>
        <v>Harmonic-weighted mean ORR2 over the last 3 runs</v>
      </c>
    </row>
    <row r="27" customFormat="false" ht="15" hidden="false" customHeight="false" outlineLevel="0" collapsed="false">
      <c r="A27" s="4" t="str">
        <f aca="false">INDEX(Features!$A$2:$A$671,MATCH(7,Features!$I$2:$I$671,0))</f>
        <v>trainerWAXrank</v>
      </c>
      <c r="B27" s="6" t="n">
        <f aca="false">INDEX(Features!$H$2:$H$671,MATCH(7,Features!$I$2:$I$671,0))</f>
        <v>0.0254513059894734</v>
      </c>
      <c r="C27" s="4" t="str">
        <f aca="false">INDEX(Features!$B$2:$B$671,MATCH(7,Features!$I$2:$I$671,0))</f>
        <v>Custom metrics</v>
      </c>
      <c r="D27" s="4" t="str">
        <f aca="false">INDEX(Features!$D$2:$D$671,MATCH(7,Features!$I$2:$I$671,0))</f>
        <v>Within-race rank (1 = highest in the field) of preracetrainercareerWAX: trainer's career wins above chance per run (won - 1/runners) over earlier days</v>
      </c>
    </row>
    <row r="28" customFormat="false" ht="15" hidden="false" customHeight="false" outlineLevel="0" collapsed="false">
      <c r="A28" s="4" t="str">
        <f aca="false">INDEX(Features!$A$2:$A$671,MATCH(8,Features!$I$2:$I$671,0))</f>
        <v>LR_LB</v>
      </c>
      <c r="B28" s="6" t="n">
        <f aca="false">INDEX(Features!$H$2:$H$671,MATCH(8,Features!$I$2:$I$671,0))</f>
        <v>0.0250732153301025</v>
      </c>
      <c r="C28" s="4" t="str">
        <f aca="false">INDEX(Features!$B$2:$B$671,MATCH(8,Features!$I$2:$I$671,0))</f>
        <v>Research-backed metrics</v>
      </c>
      <c r="D28" s="4" t="str">
        <f aca="false">INDEX(Features!$D$2:$D$671,MATCH(8,Features!$I$2:$I$671,0))</f>
        <v>Lengths beaten: last run</v>
      </c>
    </row>
    <row r="29" customFormat="false" ht="15" hidden="false" customHeight="false" outlineLevel="0" collapsed="false">
      <c r="A29" s="4" t="str">
        <f aca="false">INDEX(Features!$A$2:$A$671,MATCH(9,Features!$I$2:$I$671,0))</f>
        <v>rTJNFP</v>
      </c>
      <c r="B29" s="6" t="n">
        <f aca="false">INDEX(Features!$H$2:$H$671,MATCH(9,Features!$I$2:$I$671,0))</f>
        <v>0.0232343043091372</v>
      </c>
      <c r="C29" s="4" t="str">
        <f aca="false">INDEX(Features!$B$2:$B$671,MATCH(9,Features!$I$2:$I$671,0))</f>
        <v>Custom metrics</v>
      </c>
      <c r="D29" s="4" t="str">
        <f aca="false">INDEX(Features!$D$2:$D$671,MATCH(9,Features!$I$2:$I$671,0))</f>
        <v>Within-race rank (1 = highest in the field) of trainerjockeycareerNFP: trainer-jockey combination's career normalised finishing position (1 = won, 0 = last)</v>
      </c>
    </row>
    <row r="30" customFormat="false" ht="15" hidden="false" customHeight="false" outlineLevel="0" collapsed="false">
      <c r="A30" s="4" t="str">
        <f aca="false">INDEX(Features!$A$2:$A$671,MATCH(10,Features!$I$2:$I$671,0))</f>
        <v>median_or_num</v>
      </c>
      <c r="B30" s="6" t="n">
        <f aca="false">INDEX(Features!$H$2:$H$671,MATCH(10,Features!$I$2:$I$671,0))</f>
        <v>0.0165164967657774</v>
      </c>
      <c r="C30" s="4" t="str">
        <f aca="false">INDEX(Features!$B$2:$B$671,MATCH(10,Features!$I$2:$I$671,0))</f>
        <v>Card fields</v>
      </c>
      <c r="D30" s="4" t="str">
        <f aca="false">INDEX(Features!$D$2:$D$671,MATCH(10,Features!$I$2:$I$671,0))</f>
        <v>Median official rating in the race</v>
      </c>
    </row>
    <row r="31" customFormat="false" ht="15" hidden="false" customHeight="false" outlineLevel="0" collapsed="false">
      <c r="A31" s="4" t="str">
        <f aca="false">INDEX(Features!$A$2:$A$671,MATCH(11,Features!$I$2:$I$671,0))</f>
        <v>or_vs_max</v>
      </c>
      <c r="B31" s="6" t="n">
        <f aca="false">INDEX(Features!$H$2:$H$671,MATCH(11,Features!$I$2:$I$671,0))</f>
        <v>0.0164539182685642</v>
      </c>
      <c r="C31" s="4" t="str">
        <f aca="false">INDEX(Features!$B$2:$B$671,MATCH(11,Features!$I$2:$I$671,0))</f>
        <v>Card fields</v>
      </c>
      <c r="D31" s="4" t="str">
        <f aca="false">INDEX(Features!$D$2:$D$671,MATCH(11,Features!$I$2:$I$671,0))</f>
        <v>Official rating less the race's highest</v>
      </c>
    </row>
    <row r="32" customFormat="false" ht="15" hidden="false" customHeight="false" outlineLevel="0" collapsed="false">
      <c r="A32" s="4" t="str">
        <f aca="false">INDEX(Features!$A$2:$A$671,MATCH(12,Features!$I$2:$I$671,0))</f>
        <v>jockeyWAXrank</v>
      </c>
      <c r="B32" s="6" t="n">
        <f aca="false">INDEX(Features!$H$2:$H$671,MATCH(12,Features!$I$2:$I$671,0))</f>
        <v>0.0151202296857051</v>
      </c>
      <c r="C32" s="4" t="str">
        <f aca="false">INDEX(Features!$B$2:$B$671,MATCH(12,Features!$I$2:$I$671,0))</f>
        <v>Custom metrics</v>
      </c>
      <c r="D32" s="4" t="str">
        <f aca="false">INDEX(Features!$D$2:$D$671,MATCH(12,Features!$I$2:$I$671,0))</f>
        <v>Within-race rank (1 = highest in the field) of preracejockeycareerWAX: jockey's career wins above chance per run (won - 1/runners) over earlier days</v>
      </c>
    </row>
    <row r="33" customFormat="false" ht="15" hidden="false" customHeight="false" outlineLevel="0" collapsed="false">
      <c r="A33" s="4" t="str">
        <f aca="false">INDEX(Features!$A$2:$A$671,MATCH(13,Features!$I$2:$I$671,0))</f>
        <v>race_type_cat</v>
      </c>
      <c r="B33" s="6" t="n">
        <f aca="false">INDEX(Features!$H$2:$H$671,MATCH(13,Features!$I$2:$I$671,0))</f>
        <v>0.0134387078870233</v>
      </c>
      <c r="C33" s="4" t="str">
        <f aca="false">INDEX(Features!$B$2:$B$671,MATCH(13,Features!$I$2:$I$671,0))</f>
        <v>Card fields</v>
      </c>
      <c r="D33" s="4" t="str">
        <f aca="false">INDEX(Features!$D$2:$D$671,MATCH(13,Features!$I$2:$I$671,0))</f>
        <v>Race type, category code</v>
      </c>
    </row>
    <row r="34" customFormat="false" ht="15" hidden="false" customHeight="false" outlineLevel="0" collapsed="false">
      <c r="A34" s="4" t="str">
        <f aca="false">INDEX(Features!$A$2:$A$671,MATCH(14,Features!$I$2:$I$671,0))</f>
        <v>jockeyCWOrank</v>
      </c>
      <c r="B34" s="6" t="n">
        <f aca="false">INDEX(Features!$H$2:$H$671,MATCH(14,Features!$I$2:$I$671,0))</f>
        <v>0.011983439768987</v>
      </c>
      <c r="C34" s="4" t="str">
        <f aca="false">INDEX(Features!$B$2:$B$671,MATCH(14,Features!$I$2:$I$671,0))</f>
        <v>Custom metrics</v>
      </c>
      <c r="D34" s="4" t="str">
        <f aca="false">INDEX(Features!$D$2:$D$671,MATCH(14,Features!$I$2:$I$671,0))</f>
        <v>Within-race rank (1 = highest in the field) of preracejockeycareerCWO: jockey's career cumulative wins above chance over earlier days</v>
      </c>
    </row>
    <row r="35" customFormat="false" ht="15" hidden="false" customHeight="false" outlineLevel="0" collapsed="false">
      <c r="A35" s="4" t="str">
        <f aca="false">INDEX(Features!$A$2:$A$671,MATCH(15,Features!$I$2:$I$671,0))</f>
        <v>PMW10</v>
      </c>
      <c r="B35" s="6" t="n">
        <f aca="false">INDEX(Features!$H$2:$H$671,MATCH(15,Features!$I$2:$I$671,0))</f>
        <v>0.0119718259072596</v>
      </c>
      <c r="C35" s="4" t="str">
        <f aca="false">INDEX(Features!$B$2:$B$671,MATCH(15,Features!$I$2:$I$671,0))</f>
        <v>Custom metrics</v>
      </c>
      <c r="D35" s="4" t="str">
        <f aca="false">INDEX(Features!$D$2:$D$671,MATCH(15,Features!$I$2:$I$671,0))</f>
        <v>Performance-adjusted prize money (prize x RB^2), recency-weighted, last 10 runs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80"/>
    <col collapsed="false" customWidth="true" hidden="false" outlineLevel="0" max="5" min="5" style="0" width="30"/>
    <col collapsed="false" customWidth="true" hidden="false" outlineLevel="0" max="6" min="6" style="0" width="36"/>
    <col collapsed="false" customWidth="true" hidden="false" outlineLevel="0" max="7" min="7" style="0" width="1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</cols>
  <sheetData>
    <row r="1" customFormat="false" ht="23.85" hidden="false" customHeight="false" outlineLevel="0" collapsed="false">
      <c r="A1" s="3" t="s">
        <v>21</v>
      </c>
      <c r="B1" s="3" t="s">
        <v>19</v>
      </c>
      <c r="C1" s="3" t="s">
        <v>22</v>
      </c>
      <c r="D1" s="3" t="s">
        <v>20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</row>
    <row r="2" customFormat="false" ht="15" hidden="false" customHeight="false" outlineLevel="0" collapsed="false">
      <c r="A2" s="4" t="s">
        <v>29</v>
      </c>
      <c r="B2" s="4" t="s">
        <v>30</v>
      </c>
      <c r="C2" s="4" t="s">
        <v>31</v>
      </c>
      <c r="D2" s="7" t="s">
        <v>32</v>
      </c>
      <c r="E2" s="4" t="s">
        <v>33</v>
      </c>
      <c r="F2" s="4" t="s">
        <v>4</v>
      </c>
      <c r="G2" s="8" t="n">
        <v>2705640.90774846</v>
      </c>
      <c r="H2" s="6" t="n">
        <f aca="false">IF(G2="","",G2/SUMIFS($G$2:$G$671,$F$2:$F$671,"Served"))</f>
        <v>0.136894118539648</v>
      </c>
      <c r="I2" s="4" t="n">
        <f aca="false">IF(G2="","",RANK(G2,$G$2:$G$671,0))</f>
        <v>1</v>
      </c>
      <c r="J2" s="4" t="s">
        <v>34</v>
      </c>
    </row>
    <row r="3" customFormat="false" ht="15" hidden="false" customHeight="false" outlineLevel="0" collapsed="false">
      <c r="A3" s="4" t="s">
        <v>35</v>
      </c>
      <c r="B3" s="4" t="s">
        <v>30</v>
      </c>
      <c r="C3" s="4" t="s">
        <v>36</v>
      </c>
      <c r="D3" s="7" t="s">
        <v>37</v>
      </c>
      <c r="E3" s="4" t="s">
        <v>33</v>
      </c>
      <c r="F3" s="4" t="s">
        <v>4</v>
      </c>
      <c r="G3" s="8" t="n">
        <v>1703933.77697718</v>
      </c>
      <c r="H3" s="6" t="n">
        <f aca="false">IF(G3="","",G3/SUMIFS($G$2:$G$671,$F$2:$F$671,"Served"))</f>
        <v>0.0862119255298125</v>
      </c>
      <c r="I3" s="4" t="n">
        <f aca="false">IF(G3="","",RANK(G3,$G$2:$G$671,0))</f>
        <v>2</v>
      </c>
      <c r="J3" s="4" t="s">
        <v>34</v>
      </c>
    </row>
    <row r="4" customFormat="false" ht="15" hidden="false" customHeight="false" outlineLevel="0" collapsed="false">
      <c r="A4" s="4" t="s">
        <v>38</v>
      </c>
      <c r="B4" s="4" t="s">
        <v>30</v>
      </c>
      <c r="C4" s="4" t="s">
        <v>31</v>
      </c>
      <c r="D4" s="7" t="s">
        <v>39</v>
      </c>
      <c r="E4" s="4" t="s">
        <v>33</v>
      </c>
      <c r="F4" s="4" t="s">
        <v>4</v>
      </c>
      <c r="G4" s="8" t="n">
        <v>1305201.17957544</v>
      </c>
      <c r="H4" s="6" t="n">
        <f aca="false">IF(G4="","",G4/SUMIFS($G$2:$G$671,$F$2:$F$671,"Served"))</f>
        <v>0.0660377230707883</v>
      </c>
      <c r="I4" s="4" t="n">
        <f aca="false">IF(G4="","",RANK(G4,$G$2:$G$671,0))</f>
        <v>3</v>
      </c>
      <c r="J4" s="4" t="s">
        <v>34</v>
      </c>
    </row>
    <row r="5" customFormat="false" ht="15" hidden="false" customHeight="false" outlineLevel="0" collapsed="false">
      <c r="A5" s="4" t="s">
        <v>40</v>
      </c>
      <c r="B5" s="4" t="s">
        <v>30</v>
      </c>
      <c r="C5" s="4" t="s">
        <v>31</v>
      </c>
      <c r="D5" s="7" t="s">
        <v>41</v>
      </c>
      <c r="E5" s="4" t="s">
        <v>33</v>
      </c>
      <c r="F5" s="4" t="s">
        <v>4</v>
      </c>
      <c r="G5" s="8" t="n">
        <v>1135964.73561704</v>
      </c>
      <c r="H5" s="6" t="n">
        <f aca="false">IF(G5="","",G5/SUMIFS($G$2:$G$671,$F$2:$F$671,"Served"))</f>
        <v>0.0574750665282581</v>
      </c>
      <c r="I5" s="4" t="n">
        <f aca="false">IF(G5="","",RANK(G5,$G$2:$G$671,0))</f>
        <v>4</v>
      </c>
      <c r="J5" s="4" t="s">
        <v>34</v>
      </c>
    </row>
    <row r="6" customFormat="false" ht="15" hidden="false" customHeight="false" outlineLevel="0" collapsed="false">
      <c r="A6" s="4" t="s">
        <v>42</v>
      </c>
      <c r="B6" s="4" t="s">
        <v>43</v>
      </c>
      <c r="C6" s="4" t="s">
        <v>44</v>
      </c>
      <c r="D6" s="7" t="s">
        <v>45</v>
      </c>
      <c r="E6" s="4" t="s">
        <v>46</v>
      </c>
      <c r="F6" s="4" t="s">
        <v>4</v>
      </c>
      <c r="G6" s="8" t="n">
        <v>1015769.68244886</v>
      </c>
      <c r="H6" s="6" t="n">
        <f aca="false">IF(G6="","",G6/SUMIFS($G$2:$G$671,$F$2:$F$671,"Served"))</f>
        <v>0.0513936993338301</v>
      </c>
      <c r="I6" s="4" t="n">
        <f aca="false">IF(G6="","",RANK(G6,$G$2:$G$671,0))</f>
        <v>5</v>
      </c>
      <c r="J6" s="4" t="s">
        <v>34</v>
      </c>
    </row>
    <row r="7" customFormat="false" ht="15" hidden="false" customHeight="false" outlineLevel="0" collapsed="false">
      <c r="A7" s="4" t="s">
        <v>47</v>
      </c>
      <c r="B7" s="4" t="s">
        <v>30</v>
      </c>
      <c r="C7" s="4" t="s">
        <v>36</v>
      </c>
      <c r="D7" s="7" t="s">
        <v>48</v>
      </c>
      <c r="E7" s="4" t="s">
        <v>33</v>
      </c>
      <c r="F7" s="4" t="s">
        <v>4</v>
      </c>
      <c r="G7" s="8" t="n">
        <v>735213.62600708</v>
      </c>
      <c r="H7" s="6" t="n">
        <f aca="false">IF(G7="","",G7/SUMIFS($G$2:$G$671,$F$2:$F$671,"Served"))</f>
        <v>0.0371987357902317</v>
      </c>
      <c r="I7" s="4" t="n">
        <f aca="false">IF(G7="","",RANK(G7,$G$2:$G$671,0))</f>
        <v>6</v>
      </c>
      <c r="J7" s="4" t="s">
        <v>34</v>
      </c>
    </row>
    <row r="8" customFormat="false" ht="15" hidden="false" customHeight="false" outlineLevel="0" collapsed="false">
      <c r="A8" s="4" t="s">
        <v>49</v>
      </c>
      <c r="B8" s="4" t="s">
        <v>30</v>
      </c>
      <c r="C8" s="4" t="s">
        <v>31</v>
      </c>
      <c r="D8" s="7" t="s">
        <v>50</v>
      </c>
      <c r="E8" s="4" t="s">
        <v>33</v>
      </c>
      <c r="F8" s="4" t="s">
        <v>4</v>
      </c>
      <c r="G8" s="8" t="n">
        <v>503031.798409939</v>
      </c>
      <c r="H8" s="6" t="n">
        <f aca="false">IF(G8="","",G8/SUMIFS($G$2:$G$671,$F$2:$F$671,"Served"))</f>
        <v>0.0254513059894734</v>
      </c>
      <c r="I8" s="4" t="n">
        <f aca="false">IF(G8="","",RANK(G8,$G$2:$G$671,0))</f>
        <v>7</v>
      </c>
      <c r="J8" s="4" t="s">
        <v>34</v>
      </c>
    </row>
    <row r="9" customFormat="false" ht="15" hidden="false" customHeight="false" outlineLevel="0" collapsed="false">
      <c r="A9" s="4" t="s">
        <v>51</v>
      </c>
      <c r="B9" s="4" t="s">
        <v>52</v>
      </c>
      <c r="C9" s="4" t="s">
        <v>53</v>
      </c>
      <c r="D9" s="7" t="s">
        <v>54</v>
      </c>
      <c r="E9" s="4" t="s">
        <v>33</v>
      </c>
      <c r="F9" s="4" t="s">
        <v>4</v>
      </c>
      <c r="G9" s="8" t="n">
        <v>495559.033577204</v>
      </c>
      <c r="H9" s="6" t="n">
        <f aca="false">IF(G9="","",G9/SUMIFS($G$2:$G$671,$F$2:$F$671,"Served"))</f>
        <v>0.0250732153301025</v>
      </c>
      <c r="I9" s="4" t="n">
        <f aca="false">IF(G9="","",RANK(G9,$G$2:$G$671,0))</f>
        <v>8</v>
      </c>
      <c r="J9" s="4" t="s">
        <v>34</v>
      </c>
    </row>
    <row r="10" customFormat="false" ht="15" hidden="false" customHeight="false" outlineLevel="0" collapsed="false">
      <c r="A10" s="4" t="s">
        <v>55</v>
      </c>
      <c r="B10" s="4" t="s">
        <v>30</v>
      </c>
      <c r="C10" s="4" t="s">
        <v>31</v>
      </c>
      <c r="D10" s="7" t="s">
        <v>56</v>
      </c>
      <c r="E10" s="4" t="s">
        <v>33</v>
      </c>
      <c r="F10" s="4" t="s">
        <v>4</v>
      </c>
      <c r="G10" s="8" t="n">
        <v>459213.915634155</v>
      </c>
      <c r="H10" s="6" t="n">
        <f aca="false">IF(G10="","",G10/SUMIFS($G$2:$G$671,$F$2:$F$671,"Served"))</f>
        <v>0.0232343043091372</v>
      </c>
      <c r="I10" s="4" t="n">
        <f aca="false">IF(G10="","",RANK(G10,$G$2:$G$671,0))</f>
        <v>9</v>
      </c>
      <c r="J10" s="4" t="s">
        <v>34</v>
      </c>
    </row>
    <row r="11" customFormat="false" ht="15" hidden="false" customHeight="false" outlineLevel="0" collapsed="false">
      <c r="A11" s="4" t="s">
        <v>57</v>
      </c>
      <c r="B11" s="4" t="s">
        <v>43</v>
      </c>
      <c r="C11" s="4" t="s">
        <v>44</v>
      </c>
      <c r="D11" s="7" t="s">
        <v>58</v>
      </c>
      <c r="E11" s="4" t="s">
        <v>46</v>
      </c>
      <c r="F11" s="4" t="s">
        <v>4</v>
      </c>
      <c r="G11" s="8" t="n">
        <v>326439.950663328</v>
      </c>
      <c r="H11" s="6" t="n">
        <f aca="false">IF(G11="","",G11/SUMIFS($G$2:$G$671,$F$2:$F$671,"Served"))</f>
        <v>0.0165164967657774</v>
      </c>
      <c r="I11" s="4" t="n">
        <f aca="false">IF(G11="","",RANK(G11,$G$2:$G$671,0))</f>
        <v>10</v>
      </c>
      <c r="J11" s="4" t="s">
        <v>34</v>
      </c>
    </row>
    <row r="12" customFormat="false" ht="15" hidden="false" customHeight="false" outlineLevel="0" collapsed="false">
      <c r="A12" s="4" t="s">
        <v>59</v>
      </c>
      <c r="B12" s="4" t="s">
        <v>43</v>
      </c>
      <c r="C12" s="4" t="s">
        <v>44</v>
      </c>
      <c r="D12" s="7" t="s">
        <v>60</v>
      </c>
      <c r="E12" s="4" t="s">
        <v>46</v>
      </c>
      <c r="F12" s="4" t="s">
        <v>4</v>
      </c>
      <c r="G12" s="8" t="n">
        <v>325203.119279981</v>
      </c>
      <c r="H12" s="6" t="n">
        <f aca="false">IF(G12="","",G12/SUMIFS($G$2:$G$671,$F$2:$F$671,"Served"))</f>
        <v>0.0164539182685642</v>
      </c>
      <c r="I12" s="4" t="n">
        <f aca="false">IF(G12="","",RANK(G12,$G$2:$G$671,0))</f>
        <v>11</v>
      </c>
      <c r="J12" s="4" t="s">
        <v>34</v>
      </c>
    </row>
    <row r="13" customFormat="false" ht="15" hidden="false" customHeight="false" outlineLevel="0" collapsed="false">
      <c r="A13" s="4" t="s">
        <v>61</v>
      </c>
      <c r="B13" s="4" t="s">
        <v>30</v>
      </c>
      <c r="C13" s="4" t="s">
        <v>31</v>
      </c>
      <c r="D13" s="7" t="s">
        <v>62</v>
      </c>
      <c r="E13" s="4" t="s">
        <v>33</v>
      </c>
      <c r="F13" s="4" t="s">
        <v>4</v>
      </c>
      <c r="G13" s="8" t="n">
        <v>298843.459519029</v>
      </c>
      <c r="H13" s="6" t="n">
        <f aca="false">IF(G13="","",G13/SUMIFS($G$2:$G$671,$F$2:$F$671,"Served"))</f>
        <v>0.0151202296857051</v>
      </c>
      <c r="I13" s="4" t="n">
        <f aca="false">IF(G13="","",RANK(G13,$G$2:$G$671,0))</f>
        <v>12</v>
      </c>
      <c r="J13" s="4" t="s">
        <v>34</v>
      </c>
    </row>
    <row r="14" customFormat="false" ht="15" hidden="false" customHeight="false" outlineLevel="0" collapsed="false">
      <c r="A14" s="4" t="s">
        <v>63</v>
      </c>
      <c r="B14" s="4" t="s">
        <v>43</v>
      </c>
      <c r="C14" s="4" t="s">
        <v>44</v>
      </c>
      <c r="D14" s="7" t="s">
        <v>64</v>
      </c>
      <c r="E14" s="4" t="s">
        <v>46</v>
      </c>
      <c r="F14" s="4" t="s">
        <v>4</v>
      </c>
      <c r="G14" s="8" t="n">
        <v>265609.057527781</v>
      </c>
      <c r="H14" s="6" t="n">
        <f aca="false">IF(G14="","",G14/SUMIFS($G$2:$G$671,$F$2:$F$671,"Served"))</f>
        <v>0.0134387078870233</v>
      </c>
      <c r="I14" s="4" t="n">
        <f aca="false">IF(G14="","",RANK(G14,$G$2:$G$671,0))</f>
        <v>13</v>
      </c>
      <c r="J14" s="4" t="s">
        <v>34</v>
      </c>
    </row>
    <row r="15" customFormat="false" ht="15" hidden="false" customHeight="false" outlineLevel="0" collapsed="false">
      <c r="A15" s="4" t="s">
        <v>65</v>
      </c>
      <c r="B15" s="4" t="s">
        <v>30</v>
      </c>
      <c r="C15" s="4" t="s">
        <v>31</v>
      </c>
      <c r="D15" s="7" t="s">
        <v>66</v>
      </c>
      <c r="E15" s="4" t="s">
        <v>33</v>
      </c>
      <c r="F15" s="4" t="s">
        <v>4</v>
      </c>
      <c r="G15" s="8" t="n">
        <v>236846.441617727</v>
      </c>
      <c r="H15" s="6" t="n">
        <f aca="false">IF(G15="","",G15/SUMIFS($G$2:$G$671,$F$2:$F$671,"Served"))</f>
        <v>0.011983439768987</v>
      </c>
      <c r="I15" s="4" t="n">
        <f aca="false">IF(G15="","",RANK(G15,$G$2:$G$671,0))</f>
        <v>14</v>
      </c>
      <c r="J15" s="4" t="s">
        <v>34</v>
      </c>
    </row>
    <row r="16" customFormat="false" ht="15" hidden="false" customHeight="false" outlineLevel="0" collapsed="false">
      <c r="A16" s="4" t="s">
        <v>67</v>
      </c>
      <c r="B16" s="4" t="s">
        <v>30</v>
      </c>
      <c r="C16" s="4" t="s">
        <v>68</v>
      </c>
      <c r="D16" s="7" t="s">
        <v>69</v>
      </c>
      <c r="E16" s="4" t="s">
        <v>33</v>
      </c>
      <c r="F16" s="4" t="s">
        <v>4</v>
      </c>
      <c r="G16" s="8" t="n">
        <v>236616.899693489</v>
      </c>
      <c r="H16" s="6" t="n">
        <f aca="false">IF(G16="","",G16/SUMIFS($G$2:$G$671,$F$2:$F$671,"Served"))</f>
        <v>0.0119718259072596</v>
      </c>
      <c r="I16" s="4" t="n">
        <f aca="false">IF(G16="","",RANK(G16,$G$2:$G$671,0))</f>
        <v>15</v>
      </c>
      <c r="J16" s="4" t="s">
        <v>34</v>
      </c>
    </row>
    <row r="17" customFormat="false" ht="15" hidden="false" customHeight="false" outlineLevel="0" collapsed="false">
      <c r="A17" s="4" t="s">
        <v>70</v>
      </c>
      <c r="B17" s="4" t="s">
        <v>71</v>
      </c>
      <c r="C17" s="4" t="s">
        <v>72</v>
      </c>
      <c r="D17" s="7" t="s">
        <v>73</v>
      </c>
      <c r="E17" s="4" t="s">
        <v>74</v>
      </c>
      <c r="F17" s="4" t="s">
        <v>4</v>
      </c>
      <c r="G17" s="8" t="n">
        <v>200810.793771625</v>
      </c>
      <c r="H17" s="6" t="n">
        <f aca="false">IF(G17="","",G17/SUMIFS($G$2:$G$671,$F$2:$F$671,"Served"))</f>
        <v>0.0101601866411348</v>
      </c>
      <c r="I17" s="4" t="n">
        <f aca="false">IF(G17="","",RANK(G17,$G$2:$G$671,0))</f>
        <v>16</v>
      </c>
      <c r="J17" s="4" t="s">
        <v>34</v>
      </c>
    </row>
    <row r="18" customFormat="false" ht="15" hidden="false" customHeight="false" outlineLevel="0" collapsed="false">
      <c r="A18" s="4" t="s">
        <v>75</v>
      </c>
      <c r="B18" s="4" t="s">
        <v>30</v>
      </c>
      <c r="C18" s="4" t="s">
        <v>31</v>
      </c>
      <c r="D18" s="7" t="s">
        <v>76</v>
      </c>
      <c r="E18" s="4" t="s">
        <v>33</v>
      </c>
      <c r="F18" s="4" t="s">
        <v>4</v>
      </c>
      <c r="G18" s="8" t="n">
        <v>185338.829648256</v>
      </c>
      <c r="H18" s="6" t="n">
        <f aca="false">IF(G18="","",G18/SUMIFS($G$2:$G$671,$F$2:$F$671,"Served"))</f>
        <v>0.00937736993967228</v>
      </c>
      <c r="I18" s="4" t="n">
        <f aca="false">IF(G18="","",RANK(G18,$G$2:$G$671,0))</f>
        <v>17</v>
      </c>
      <c r="J18" s="4" t="s">
        <v>34</v>
      </c>
    </row>
    <row r="19" customFormat="false" ht="15" hidden="false" customHeight="false" outlineLevel="0" collapsed="false">
      <c r="A19" s="4" t="s">
        <v>77</v>
      </c>
      <c r="B19" s="4" t="s">
        <v>30</v>
      </c>
      <c r="C19" s="4" t="s">
        <v>36</v>
      </c>
      <c r="D19" s="7" t="s">
        <v>78</v>
      </c>
      <c r="E19" s="4" t="s">
        <v>33</v>
      </c>
      <c r="F19" s="4" t="s">
        <v>4</v>
      </c>
      <c r="G19" s="8" t="n">
        <v>178800.35163796</v>
      </c>
      <c r="H19" s="6" t="n">
        <f aca="false">IF(G19="","",G19/SUMIFS($G$2:$G$671,$F$2:$F$671,"Served"))</f>
        <v>0.0090465502875717</v>
      </c>
      <c r="I19" s="4" t="n">
        <f aca="false">IF(G19="","",RANK(G19,$G$2:$G$671,0))</f>
        <v>18</v>
      </c>
      <c r="J19" s="4" t="s">
        <v>34</v>
      </c>
    </row>
    <row r="20" customFormat="false" ht="15" hidden="false" customHeight="false" outlineLevel="0" collapsed="false">
      <c r="A20" s="4" t="s">
        <v>79</v>
      </c>
      <c r="B20" s="4" t="s">
        <v>30</v>
      </c>
      <c r="C20" s="4" t="s">
        <v>31</v>
      </c>
      <c r="D20" s="7" t="s">
        <v>80</v>
      </c>
      <c r="E20" s="4" t="s">
        <v>33</v>
      </c>
      <c r="F20" s="4" t="s">
        <v>4</v>
      </c>
      <c r="G20" s="8" t="n">
        <v>154193.885760069</v>
      </c>
      <c r="H20" s="6" t="n">
        <f aca="false">IF(G20="","",G20/SUMIFS($G$2:$G$671,$F$2:$F$671,"Served"))</f>
        <v>0.00780156598567005</v>
      </c>
      <c r="I20" s="4" t="n">
        <f aca="false">IF(G20="","",RANK(G20,$G$2:$G$671,0))</f>
        <v>19</v>
      </c>
      <c r="J20" s="4" t="s">
        <v>34</v>
      </c>
    </row>
    <row r="21" customFormat="false" ht="15" hidden="false" customHeight="false" outlineLevel="0" collapsed="false">
      <c r="A21" s="4" t="s">
        <v>81</v>
      </c>
      <c r="B21" s="4" t="s">
        <v>30</v>
      </c>
      <c r="C21" s="4" t="s">
        <v>31</v>
      </c>
      <c r="D21" s="7" t="s">
        <v>82</v>
      </c>
      <c r="E21" s="4" t="s">
        <v>33</v>
      </c>
      <c r="F21" s="4" t="s">
        <v>4</v>
      </c>
      <c r="G21" s="8" t="n">
        <v>142687.796542049</v>
      </c>
      <c r="H21" s="6" t="n">
        <f aca="false">IF(G21="","",G21/SUMIFS($G$2:$G$671,$F$2:$F$671,"Served"))</f>
        <v>0.007219405974403</v>
      </c>
      <c r="I21" s="4" t="n">
        <f aca="false">IF(G21="","",RANK(G21,$G$2:$G$671,0))</f>
        <v>20</v>
      </c>
      <c r="J21" s="4" t="s">
        <v>34</v>
      </c>
    </row>
    <row r="22" customFormat="false" ht="15" hidden="false" customHeight="false" outlineLevel="0" collapsed="false">
      <c r="A22" s="4" t="s">
        <v>83</v>
      </c>
      <c r="B22" s="4" t="s">
        <v>30</v>
      </c>
      <c r="C22" s="4" t="s">
        <v>36</v>
      </c>
      <c r="D22" s="7" t="s">
        <v>84</v>
      </c>
      <c r="E22" s="4" t="s">
        <v>33</v>
      </c>
      <c r="F22" s="4" t="s">
        <v>4</v>
      </c>
      <c r="G22" s="8" t="n">
        <v>119463.888262272</v>
      </c>
      <c r="H22" s="6" t="n">
        <f aca="false">IF(G22="","",G22/SUMIFS($G$2:$G$671,$F$2:$F$671,"Served"))</f>
        <v>0.00604437330694851</v>
      </c>
      <c r="I22" s="4" t="n">
        <f aca="false">IF(G22="","",RANK(G22,$G$2:$G$671,0))</f>
        <v>21</v>
      </c>
      <c r="J22" s="4" t="s">
        <v>34</v>
      </c>
    </row>
    <row r="23" customFormat="false" ht="15" hidden="false" customHeight="false" outlineLevel="0" collapsed="false">
      <c r="A23" s="4" t="s">
        <v>85</v>
      </c>
      <c r="B23" s="4" t="s">
        <v>30</v>
      </c>
      <c r="C23" s="4" t="s">
        <v>86</v>
      </c>
      <c r="D23" s="7" t="s">
        <v>87</v>
      </c>
      <c r="E23" s="4" t="s">
        <v>33</v>
      </c>
      <c r="F23" s="4" t="s">
        <v>4</v>
      </c>
      <c r="G23" s="8" t="n">
        <v>119329.62397933</v>
      </c>
      <c r="H23" s="6" t="n">
        <f aca="false">IF(G23="","",G23/SUMIFS($G$2:$G$671,$F$2:$F$671,"Served"))</f>
        <v>0.00603758009554635</v>
      </c>
      <c r="I23" s="4" t="n">
        <f aca="false">IF(G23="","",RANK(G23,$G$2:$G$671,0))</f>
        <v>22</v>
      </c>
      <c r="J23" s="4" t="s">
        <v>34</v>
      </c>
    </row>
    <row r="24" customFormat="false" ht="15" hidden="false" customHeight="false" outlineLevel="0" collapsed="false">
      <c r="A24" s="4" t="s">
        <v>88</v>
      </c>
      <c r="B24" s="4" t="s">
        <v>30</v>
      </c>
      <c r="C24" s="4" t="s">
        <v>36</v>
      </c>
      <c r="D24" s="7" t="s">
        <v>89</v>
      </c>
      <c r="E24" s="4" t="s">
        <v>33</v>
      </c>
      <c r="F24" s="4" t="s">
        <v>4</v>
      </c>
      <c r="G24" s="8" t="n">
        <v>118260.212306738</v>
      </c>
      <c r="H24" s="6" t="n">
        <f aca="false">IF(G24="","",G24/SUMIFS($G$2:$G$671,$F$2:$F$671,"Served"))</f>
        <v>0.00598347233577073</v>
      </c>
      <c r="I24" s="4" t="n">
        <f aca="false">IF(G24="","",RANK(G24,$G$2:$G$671,0))</f>
        <v>23</v>
      </c>
      <c r="J24" s="4" t="s">
        <v>34</v>
      </c>
    </row>
    <row r="25" customFormat="false" ht="15" hidden="false" customHeight="false" outlineLevel="0" collapsed="false">
      <c r="A25" s="4" t="s">
        <v>90</v>
      </c>
      <c r="B25" s="4" t="s">
        <v>30</v>
      </c>
      <c r="C25" s="4" t="s">
        <v>36</v>
      </c>
      <c r="D25" s="7" t="s">
        <v>91</v>
      </c>
      <c r="E25" s="4" t="s">
        <v>33</v>
      </c>
      <c r="F25" s="4" t="s">
        <v>4</v>
      </c>
      <c r="G25" s="8" t="n">
        <v>110856.737725019</v>
      </c>
      <c r="H25" s="6" t="n">
        <f aca="false">IF(G25="","",G25/SUMIFS($G$2:$G$671,$F$2:$F$671,"Served"))</f>
        <v>0.00560888747342164</v>
      </c>
      <c r="I25" s="4" t="n">
        <f aca="false">IF(G25="","",RANK(G25,$G$2:$G$671,0))</f>
        <v>24</v>
      </c>
      <c r="J25" s="4" t="s">
        <v>34</v>
      </c>
    </row>
    <row r="26" customFormat="false" ht="15" hidden="false" customHeight="false" outlineLevel="0" collapsed="false">
      <c r="A26" s="4" t="s">
        <v>92</v>
      </c>
      <c r="B26" s="4" t="s">
        <v>30</v>
      </c>
      <c r="C26" s="4" t="s">
        <v>93</v>
      </c>
      <c r="D26" s="7" t="s">
        <v>94</v>
      </c>
      <c r="E26" s="4" t="s">
        <v>33</v>
      </c>
      <c r="F26" s="4" t="s">
        <v>4</v>
      </c>
      <c r="G26" s="8" t="n">
        <v>106993.496824026</v>
      </c>
      <c r="H26" s="6" t="n">
        <f aca="false">IF(G26="","",G26/SUMIFS($G$2:$G$671,$F$2:$F$671,"Served"))</f>
        <v>0.00541342363476764</v>
      </c>
      <c r="I26" s="4" t="n">
        <f aca="false">IF(G26="","",RANK(G26,$G$2:$G$671,0))</f>
        <v>25</v>
      </c>
      <c r="J26" s="4" t="s">
        <v>34</v>
      </c>
    </row>
    <row r="27" customFormat="false" ht="15" hidden="false" customHeight="false" outlineLevel="0" collapsed="false">
      <c r="A27" s="4" t="s">
        <v>95</v>
      </c>
      <c r="B27" s="4" t="s">
        <v>30</v>
      </c>
      <c r="C27" s="4" t="s">
        <v>31</v>
      </c>
      <c r="D27" s="7" t="s">
        <v>96</v>
      </c>
      <c r="E27" s="4" t="s">
        <v>33</v>
      </c>
      <c r="F27" s="4" t="s">
        <v>4</v>
      </c>
      <c r="G27" s="8" t="n">
        <v>104584.542224407</v>
      </c>
      <c r="H27" s="6" t="n">
        <f aca="false">IF(G27="","",G27/SUMIFS($G$2:$G$671,$F$2:$F$671,"Served"))</f>
        <v>0.00529154060307173</v>
      </c>
      <c r="I27" s="4" t="n">
        <f aca="false">IF(G27="","",RANK(G27,$G$2:$G$671,0))</f>
        <v>26</v>
      </c>
      <c r="J27" s="4" t="s">
        <v>34</v>
      </c>
    </row>
    <row r="28" customFormat="false" ht="15" hidden="false" customHeight="false" outlineLevel="0" collapsed="false">
      <c r="A28" s="4" t="s">
        <v>97</v>
      </c>
      <c r="B28" s="4" t="s">
        <v>30</v>
      </c>
      <c r="C28" s="4" t="s">
        <v>31</v>
      </c>
      <c r="D28" s="7" t="s">
        <v>98</v>
      </c>
      <c r="E28" s="4" t="s">
        <v>33</v>
      </c>
      <c r="F28" s="4" t="s">
        <v>4</v>
      </c>
      <c r="G28" s="8" t="n">
        <v>100613.249936938</v>
      </c>
      <c r="H28" s="6" t="n">
        <f aca="false">IF(G28="","",G28/SUMIFS($G$2:$G$671,$F$2:$F$671,"Served"))</f>
        <v>0.00509060981598929</v>
      </c>
      <c r="I28" s="4" t="n">
        <f aca="false">IF(G28="","",RANK(G28,$G$2:$G$671,0))</f>
        <v>27</v>
      </c>
      <c r="J28" s="4" t="s">
        <v>34</v>
      </c>
    </row>
    <row r="29" customFormat="false" ht="15" hidden="false" customHeight="false" outlineLevel="0" collapsed="false">
      <c r="A29" s="4" t="s">
        <v>99</v>
      </c>
      <c r="B29" s="4" t="s">
        <v>71</v>
      </c>
      <c r="C29" s="4" t="s">
        <v>72</v>
      </c>
      <c r="D29" s="7" t="s">
        <v>100</v>
      </c>
      <c r="E29" s="4" t="s">
        <v>74</v>
      </c>
      <c r="F29" s="4" t="s">
        <v>4</v>
      </c>
      <c r="G29" s="8" t="n">
        <v>99232.7797136307</v>
      </c>
      <c r="H29" s="6" t="n">
        <f aca="false">IF(G29="","",G29/SUMIFS($G$2:$G$671,$F$2:$F$671,"Served"))</f>
        <v>0.0050207637939807</v>
      </c>
      <c r="I29" s="4" t="n">
        <f aca="false">IF(G29="","",RANK(G29,$G$2:$G$671,0))</f>
        <v>28</v>
      </c>
      <c r="J29" s="4" t="s">
        <v>34</v>
      </c>
    </row>
    <row r="30" customFormat="false" ht="15" hidden="false" customHeight="false" outlineLevel="0" collapsed="false">
      <c r="A30" s="4" t="s">
        <v>101</v>
      </c>
      <c r="B30" s="4" t="s">
        <v>30</v>
      </c>
      <c r="C30" s="4" t="s">
        <v>31</v>
      </c>
      <c r="D30" s="7" t="s">
        <v>102</v>
      </c>
      <c r="E30" s="4" t="s">
        <v>33</v>
      </c>
      <c r="F30" s="4" t="s">
        <v>4</v>
      </c>
      <c r="G30" s="8" t="n">
        <v>98231.0228023529</v>
      </c>
      <c r="H30" s="6" t="n">
        <f aca="false">IF(G30="","",G30/SUMIFS($G$2:$G$671,$F$2:$F$671,"Served"))</f>
        <v>0.00497007908228535</v>
      </c>
      <c r="I30" s="4" t="n">
        <f aca="false">IF(G30="","",RANK(G30,$G$2:$G$671,0))</f>
        <v>29</v>
      </c>
      <c r="J30" s="4" t="s">
        <v>34</v>
      </c>
    </row>
    <row r="31" customFormat="false" ht="15" hidden="false" customHeight="false" outlineLevel="0" collapsed="false">
      <c r="A31" s="4" t="s">
        <v>103</v>
      </c>
      <c r="B31" s="4" t="s">
        <v>30</v>
      </c>
      <c r="C31" s="4" t="s">
        <v>31</v>
      </c>
      <c r="D31" s="7" t="s">
        <v>104</v>
      </c>
      <c r="E31" s="4" t="s">
        <v>33</v>
      </c>
      <c r="F31" s="4" t="s">
        <v>4</v>
      </c>
      <c r="G31" s="8" t="n">
        <v>96944.9458866119</v>
      </c>
      <c r="H31" s="6" t="n">
        <f aca="false">IF(G31="","",G31/SUMIFS($G$2:$G$671,$F$2:$F$671,"Served"))</f>
        <v>0.00490500896701235</v>
      </c>
      <c r="I31" s="4" t="n">
        <f aca="false">IF(G31="","",RANK(G31,$G$2:$G$671,0))</f>
        <v>30</v>
      </c>
      <c r="J31" s="4" t="s">
        <v>34</v>
      </c>
    </row>
    <row r="32" customFormat="false" ht="15" hidden="false" customHeight="false" outlineLevel="0" collapsed="false">
      <c r="A32" s="4" t="s">
        <v>105</v>
      </c>
      <c r="B32" s="4" t="s">
        <v>30</v>
      </c>
      <c r="C32" s="4" t="s">
        <v>93</v>
      </c>
      <c r="D32" s="7" t="s">
        <v>106</v>
      </c>
      <c r="E32" s="4" t="s">
        <v>33</v>
      </c>
      <c r="F32" s="4" t="s">
        <v>4</v>
      </c>
      <c r="G32" s="8" t="n">
        <v>89350.8018661737</v>
      </c>
      <c r="H32" s="6" t="n">
        <f aca="false">IF(G32="","",G32/SUMIFS($G$2:$G$671,$F$2:$F$671,"Served"))</f>
        <v>0.00452077702819008</v>
      </c>
      <c r="I32" s="4" t="n">
        <f aca="false">IF(G32="","",RANK(G32,$G$2:$G$671,0))</f>
        <v>31</v>
      </c>
      <c r="J32" s="4" t="s">
        <v>34</v>
      </c>
    </row>
    <row r="33" customFormat="false" ht="15" hidden="false" customHeight="false" outlineLevel="0" collapsed="false">
      <c r="A33" s="4" t="s">
        <v>107</v>
      </c>
      <c r="B33" s="4" t="s">
        <v>30</v>
      </c>
      <c r="C33" s="4" t="s">
        <v>68</v>
      </c>
      <c r="D33" s="7" t="s">
        <v>108</v>
      </c>
      <c r="E33" s="4" t="s">
        <v>33</v>
      </c>
      <c r="F33" s="4" t="s">
        <v>4</v>
      </c>
      <c r="G33" s="8" t="n">
        <v>85299.1439805031</v>
      </c>
      <c r="H33" s="6" t="n">
        <f aca="false">IF(G33="","",G33/SUMIFS($G$2:$G$671,$F$2:$F$671,"Served"))</f>
        <v>0.00431578007782069</v>
      </c>
      <c r="I33" s="4" t="n">
        <f aca="false">IF(G33="","",RANK(G33,$G$2:$G$671,0))</f>
        <v>32</v>
      </c>
      <c r="J33" s="4" t="s">
        <v>34</v>
      </c>
    </row>
    <row r="34" customFormat="false" ht="15" hidden="false" customHeight="false" outlineLevel="0" collapsed="false">
      <c r="A34" s="4" t="s">
        <v>109</v>
      </c>
      <c r="B34" s="4" t="s">
        <v>30</v>
      </c>
      <c r="C34" s="4" t="s">
        <v>86</v>
      </c>
      <c r="D34" s="7" t="s">
        <v>110</v>
      </c>
      <c r="E34" s="4" t="s">
        <v>33</v>
      </c>
      <c r="F34" s="4" t="s">
        <v>4</v>
      </c>
      <c r="G34" s="8" t="n">
        <v>84374.7268426418</v>
      </c>
      <c r="H34" s="6" t="n">
        <f aca="false">IF(G34="","",G34/SUMIFS($G$2:$G$671,$F$2:$F$671,"Served"))</f>
        <v>0.00426900843532813</v>
      </c>
      <c r="I34" s="4" t="n">
        <f aca="false">IF(G34="","",RANK(G34,$G$2:$G$671,0))</f>
        <v>33</v>
      </c>
      <c r="J34" s="4" t="s">
        <v>34</v>
      </c>
    </row>
    <row r="35" customFormat="false" ht="15" hidden="false" customHeight="false" outlineLevel="0" collapsed="false">
      <c r="A35" s="4" t="s">
        <v>111</v>
      </c>
      <c r="B35" s="4" t="s">
        <v>30</v>
      </c>
      <c r="C35" s="4" t="s">
        <v>31</v>
      </c>
      <c r="D35" s="7" t="s">
        <v>112</v>
      </c>
      <c r="E35" s="4" t="s">
        <v>33</v>
      </c>
      <c r="F35" s="4" t="s">
        <v>4</v>
      </c>
      <c r="G35" s="8" t="n">
        <v>83399.1315629482</v>
      </c>
      <c r="H35" s="6" t="n">
        <f aca="false">IF(G35="","",G35/SUMIFS($G$2:$G$671,$F$2:$F$671,"Served"))</f>
        <v>0.00421964739281779</v>
      </c>
      <c r="I35" s="4" t="n">
        <f aca="false">IF(G35="","",RANK(G35,$G$2:$G$671,0))</f>
        <v>34</v>
      </c>
      <c r="J35" s="4" t="s">
        <v>34</v>
      </c>
    </row>
    <row r="36" customFormat="false" ht="15" hidden="false" customHeight="false" outlineLevel="0" collapsed="false">
      <c r="A36" s="4" t="s">
        <v>113</v>
      </c>
      <c r="B36" s="4" t="s">
        <v>30</v>
      </c>
      <c r="C36" s="4" t="s">
        <v>31</v>
      </c>
      <c r="D36" s="7" t="s">
        <v>114</v>
      </c>
      <c r="E36" s="4" t="s">
        <v>33</v>
      </c>
      <c r="F36" s="4" t="s">
        <v>4</v>
      </c>
      <c r="G36" s="8" t="n">
        <v>82857.5397789478</v>
      </c>
      <c r="H36" s="6" t="n">
        <f aca="false">IF(G36="","",G36/SUMIFS($G$2:$G$671,$F$2:$F$671,"Served"))</f>
        <v>0.00419224511276402</v>
      </c>
      <c r="I36" s="4" t="n">
        <f aca="false">IF(G36="","",RANK(G36,$G$2:$G$671,0))</f>
        <v>35</v>
      </c>
      <c r="J36" s="4" t="s">
        <v>34</v>
      </c>
    </row>
    <row r="37" customFormat="false" ht="15" hidden="false" customHeight="false" outlineLevel="0" collapsed="false">
      <c r="A37" s="4" t="s">
        <v>115</v>
      </c>
      <c r="B37" s="4" t="s">
        <v>116</v>
      </c>
      <c r="C37" s="4" t="s">
        <v>117</v>
      </c>
      <c r="D37" s="7" t="s">
        <v>118</v>
      </c>
      <c r="E37" s="4" t="s">
        <v>119</v>
      </c>
      <c r="F37" s="4" t="s">
        <v>4</v>
      </c>
      <c r="G37" s="8" t="n">
        <v>79413.364402771</v>
      </c>
      <c r="H37" s="6" t="n">
        <f aca="false">IF(G37="","",G37/SUMIFS($G$2:$G$671,$F$2:$F$671,"Served"))</f>
        <v>0.00401798423769097</v>
      </c>
      <c r="I37" s="4" t="n">
        <f aca="false">IF(G37="","",RANK(G37,$G$2:$G$671,0))</f>
        <v>36</v>
      </c>
      <c r="J37" s="4" t="s">
        <v>34</v>
      </c>
    </row>
    <row r="38" customFormat="false" ht="15" hidden="false" customHeight="false" outlineLevel="0" collapsed="false">
      <c r="A38" s="4" t="s">
        <v>120</v>
      </c>
      <c r="B38" s="4" t="s">
        <v>30</v>
      </c>
      <c r="C38" s="4" t="s">
        <v>31</v>
      </c>
      <c r="D38" s="7" t="s">
        <v>121</v>
      </c>
      <c r="E38" s="4" t="s">
        <v>33</v>
      </c>
      <c r="F38" s="4" t="s">
        <v>4</v>
      </c>
      <c r="G38" s="8" t="n">
        <v>77188.1399043798</v>
      </c>
      <c r="H38" s="6" t="n">
        <f aca="false">IF(G38="","",G38/SUMIFS($G$2:$G$671,$F$2:$F$671,"Served"))</f>
        <v>0.00390539718100222</v>
      </c>
      <c r="I38" s="4" t="n">
        <f aca="false">IF(G38="","",RANK(G38,$G$2:$G$671,0))</f>
        <v>37</v>
      </c>
      <c r="J38" s="4" t="s">
        <v>34</v>
      </c>
    </row>
    <row r="39" customFormat="false" ht="15" hidden="false" customHeight="false" outlineLevel="0" collapsed="false">
      <c r="A39" s="4" t="s">
        <v>122</v>
      </c>
      <c r="B39" s="4" t="s">
        <v>71</v>
      </c>
      <c r="C39" s="4" t="s">
        <v>72</v>
      </c>
      <c r="D39" s="7" t="s">
        <v>123</v>
      </c>
      <c r="E39" s="4" t="s">
        <v>74</v>
      </c>
      <c r="F39" s="4" t="s">
        <v>4</v>
      </c>
      <c r="G39" s="8" t="n">
        <v>75914.0315390825</v>
      </c>
      <c r="H39" s="6" t="n">
        <f aca="false">IF(G39="","",G39/SUMIFS($G$2:$G$671,$F$2:$F$671,"Served"))</f>
        <v>0.0038409326243451</v>
      </c>
      <c r="I39" s="4" t="n">
        <f aca="false">IF(G39="","",RANK(G39,$G$2:$G$671,0))</f>
        <v>38</v>
      </c>
      <c r="J39" s="4" t="s">
        <v>34</v>
      </c>
    </row>
    <row r="40" customFormat="false" ht="15" hidden="false" customHeight="false" outlineLevel="0" collapsed="false">
      <c r="A40" s="4" t="s">
        <v>124</v>
      </c>
      <c r="B40" s="4" t="s">
        <v>125</v>
      </c>
      <c r="C40" s="4" t="s">
        <v>126</v>
      </c>
      <c r="D40" s="7" t="s">
        <v>127</v>
      </c>
      <c r="E40" s="4" t="s">
        <v>128</v>
      </c>
      <c r="F40" s="4" t="s">
        <v>4</v>
      </c>
      <c r="G40" s="8" t="n">
        <v>73305.330589056</v>
      </c>
      <c r="H40" s="6" t="n">
        <f aca="false">IF(G40="","",G40/SUMIFS($G$2:$G$671,$F$2:$F$671,"Served"))</f>
        <v>0.00370894326239218</v>
      </c>
      <c r="I40" s="4" t="n">
        <f aca="false">IF(G40="","",RANK(G40,$G$2:$G$671,0))</f>
        <v>39</v>
      </c>
      <c r="J40" s="4" t="s">
        <v>34</v>
      </c>
    </row>
    <row r="41" customFormat="false" ht="15" hidden="false" customHeight="false" outlineLevel="0" collapsed="false">
      <c r="A41" s="4" t="s">
        <v>129</v>
      </c>
      <c r="B41" s="4" t="s">
        <v>43</v>
      </c>
      <c r="C41" s="4" t="s">
        <v>44</v>
      </c>
      <c r="D41" s="7" t="s">
        <v>130</v>
      </c>
      <c r="E41" s="4" t="s">
        <v>46</v>
      </c>
      <c r="F41" s="4" t="s">
        <v>4</v>
      </c>
      <c r="G41" s="8" t="n">
        <v>73236.0993828774</v>
      </c>
      <c r="H41" s="6" t="n">
        <f aca="false">IF(G41="","",G41/SUMIFS($G$2:$G$671,$F$2:$F$671,"Served"))</f>
        <v>0.00370544045279239</v>
      </c>
      <c r="I41" s="4" t="n">
        <f aca="false">IF(G41="","",RANK(G41,$G$2:$G$671,0))</f>
        <v>40</v>
      </c>
      <c r="J41" s="4" t="s">
        <v>34</v>
      </c>
    </row>
    <row r="42" customFormat="false" ht="15" hidden="false" customHeight="false" outlineLevel="0" collapsed="false">
      <c r="A42" s="4" t="s">
        <v>131</v>
      </c>
      <c r="B42" s="4" t="s">
        <v>30</v>
      </c>
      <c r="C42" s="4" t="s">
        <v>132</v>
      </c>
      <c r="D42" s="7" t="s">
        <v>133</v>
      </c>
      <c r="E42" s="4" t="s">
        <v>33</v>
      </c>
      <c r="F42" s="4" t="s">
        <v>4</v>
      </c>
      <c r="G42" s="8" t="n">
        <v>72228.3709764481</v>
      </c>
      <c r="H42" s="6" t="n">
        <f aca="false">IF(G42="","",G42/SUMIFS($G$2:$G$671,$F$2:$F$671,"Served"))</f>
        <v>0.00365445360840722</v>
      </c>
      <c r="I42" s="4" t="n">
        <f aca="false">IF(G42="","",RANK(G42,$G$2:$G$671,0))</f>
        <v>41</v>
      </c>
      <c r="J42" s="4" t="s">
        <v>34</v>
      </c>
    </row>
    <row r="43" customFormat="false" ht="15" hidden="false" customHeight="false" outlineLevel="0" collapsed="false">
      <c r="A43" s="4" t="s">
        <v>134</v>
      </c>
      <c r="B43" s="4" t="s">
        <v>43</v>
      </c>
      <c r="C43" s="4" t="s">
        <v>44</v>
      </c>
      <c r="D43" s="7" t="s">
        <v>135</v>
      </c>
      <c r="E43" s="4" t="s">
        <v>46</v>
      </c>
      <c r="F43" s="4" t="s">
        <v>4</v>
      </c>
      <c r="G43" s="8" t="n">
        <v>70247.8287885189</v>
      </c>
      <c r="H43" s="6" t="n">
        <f aca="false">IF(G43="","",G43/SUMIFS($G$2:$G$671,$F$2:$F$671,"Served"))</f>
        <v>0.00355424645369179</v>
      </c>
      <c r="I43" s="4" t="n">
        <f aca="false">IF(G43="","",RANK(G43,$G$2:$G$671,0))</f>
        <v>42</v>
      </c>
      <c r="J43" s="4" t="s">
        <v>34</v>
      </c>
    </row>
    <row r="44" customFormat="false" ht="15" hidden="false" customHeight="false" outlineLevel="0" collapsed="false">
      <c r="A44" s="4" t="s">
        <v>136</v>
      </c>
      <c r="B44" s="4" t="s">
        <v>30</v>
      </c>
      <c r="C44" s="4" t="s">
        <v>31</v>
      </c>
      <c r="D44" s="7" t="s">
        <v>137</v>
      </c>
      <c r="E44" s="4" t="s">
        <v>33</v>
      </c>
      <c r="F44" s="4" t="s">
        <v>4</v>
      </c>
      <c r="G44" s="8" t="n">
        <v>69084.4232671261</v>
      </c>
      <c r="H44" s="6" t="n">
        <f aca="false">IF(G44="","",G44/SUMIFS($G$2:$G$671,$F$2:$F$671,"Served"))</f>
        <v>0.00349538299812416</v>
      </c>
      <c r="I44" s="4" t="n">
        <f aca="false">IF(G44="","",RANK(G44,$G$2:$G$671,0))</f>
        <v>43</v>
      </c>
      <c r="J44" s="4" t="s">
        <v>34</v>
      </c>
    </row>
    <row r="45" customFormat="false" ht="15" hidden="false" customHeight="false" outlineLevel="0" collapsed="false">
      <c r="A45" s="4" t="s">
        <v>138</v>
      </c>
      <c r="B45" s="4" t="s">
        <v>43</v>
      </c>
      <c r="C45" s="4" t="s">
        <v>44</v>
      </c>
      <c r="D45" s="7" t="s">
        <v>139</v>
      </c>
      <c r="E45" s="4" t="s">
        <v>46</v>
      </c>
      <c r="F45" s="4" t="s">
        <v>4</v>
      </c>
      <c r="G45" s="8" t="n">
        <v>67770.2494140863</v>
      </c>
      <c r="H45" s="6" t="n">
        <f aca="false">IF(G45="","",G45/SUMIFS($G$2:$G$671,$F$2:$F$671,"Served"))</f>
        <v>0.00342889129528787</v>
      </c>
      <c r="I45" s="4" t="n">
        <f aca="false">IF(G45="","",RANK(G45,$G$2:$G$671,0))</f>
        <v>44</v>
      </c>
      <c r="J45" s="4" t="s">
        <v>34</v>
      </c>
    </row>
    <row r="46" customFormat="false" ht="15" hidden="false" customHeight="false" outlineLevel="0" collapsed="false">
      <c r="A46" s="4" t="s">
        <v>140</v>
      </c>
      <c r="B46" s="4" t="s">
        <v>30</v>
      </c>
      <c r="C46" s="4" t="s">
        <v>86</v>
      </c>
      <c r="D46" s="7" t="s">
        <v>141</v>
      </c>
      <c r="E46" s="4" t="s">
        <v>33</v>
      </c>
      <c r="F46" s="4" t="s">
        <v>4</v>
      </c>
      <c r="G46" s="8" t="n">
        <v>67134.3880708218</v>
      </c>
      <c r="H46" s="6" t="n">
        <f aca="false">IF(G46="","",G46/SUMIFS($G$2:$G$671,$F$2:$F$671,"Served"))</f>
        <v>0.00339671936964527</v>
      </c>
      <c r="I46" s="4" t="n">
        <f aca="false">IF(G46="","",RANK(G46,$G$2:$G$671,0))</f>
        <v>45</v>
      </c>
      <c r="J46" s="4" t="s">
        <v>34</v>
      </c>
    </row>
    <row r="47" customFormat="false" ht="15" hidden="false" customHeight="false" outlineLevel="0" collapsed="false">
      <c r="A47" s="4" t="s">
        <v>142</v>
      </c>
      <c r="B47" s="4" t="s">
        <v>71</v>
      </c>
      <c r="C47" s="4" t="s">
        <v>72</v>
      </c>
      <c r="D47" s="7" t="s">
        <v>143</v>
      </c>
      <c r="E47" s="4" t="s">
        <v>74</v>
      </c>
      <c r="F47" s="4" t="s">
        <v>4</v>
      </c>
      <c r="G47" s="8" t="n">
        <v>62822.9278199673</v>
      </c>
      <c r="H47" s="6" t="n">
        <f aca="false">IF(G47="","",G47/SUMIFS($G$2:$G$671,$F$2:$F$671,"Served"))</f>
        <v>0.0031785775057456</v>
      </c>
      <c r="I47" s="4" t="n">
        <f aca="false">IF(G47="","",RANK(G47,$G$2:$G$671,0))</f>
        <v>46</v>
      </c>
      <c r="J47" s="4" t="s">
        <v>34</v>
      </c>
    </row>
    <row r="48" customFormat="false" ht="15" hidden="false" customHeight="false" outlineLevel="0" collapsed="false">
      <c r="A48" s="4" t="s">
        <v>144</v>
      </c>
      <c r="B48" s="4" t="s">
        <v>52</v>
      </c>
      <c r="C48" s="4" t="s">
        <v>145</v>
      </c>
      <c r="D48" s="7" t="s">
        <v>146</v>
      </c>
      <c r="E48" s="4" t="s">
        <v>33</v>
      </c>
      <c r="F48" s="4" t="s">
        <v>4</v>
      </c>
      <c r="G48" s="8" t="n">
        <v>59430.2783322334</v>
      </c>
      <c r="H48" s="6" t="n">
        <f aca="false">IF(G48="","",G48/SUMIFS($G$2:$G$671,$F$2:$F$671,"Served"))</f>
        <v>0.00300692362521501</v>
      </c>
      <c r="I48" s="4" t="n">
        <f aca="false">IF(G48="","",RANK(G48,$G$2:$G$671,0))</f>
        <v>47</v>
      </c>
      <c r="J48" s="4" t="s">
        <v>34</v>
      </c>
    </row>
    <row r="49" customFormat="false" ht="15" hidden="false" customHeight="false" outlineLevel="0" collapsed="false">
      <c r="A49" s="4" t="s">
        <v>147</v>
      </c>
      <c r="B49" s="4" t="s">
        <v>52</v>
      </c>
      <c r="C49" s="4" t="s">
        <v>148</v>
      </c>
      <c r="D49" s="7" t="s">
        <v>149</v>
      </c>
      <c r="E49" s="4" t="s">
        <v>33</v>
      </c>
      <c r="F49" s="4" t="s">
        <v>4</v>
      </c>
      <c r="G49" s="8" t="n">
        <v>58361.8446142674</v>
      </c>
      <c r="H49" s="6" t="n">
        <f aca="false">IF(G49="","",G49/SUMIFS($G$2:$G$671,$F$2:$F$671,"Served"))</f>
        <v>0.00295286534585498</v>
      </c>
      <c r="I49" s="4" t="n">
        <f aca="false">IF(G49="","",RANK(G49,$G$2:$G$671,0))</f>
        <v>48</v>
      </c>
      <c r="J49" s="4" t="s">
        <v>34</v>
      </c>
    </row>
    <row r="50" customFormat="false" ht="15" hidden="false" customHeight="false" outlineLevel="0" collapsed="false">
      <c r="A50" s="4" t="s">
        <v>150</v>
      </c>
      <c r="B50" s="4" t="s">
        <v>43</v>
      </c>
      <c r="C50" s="4" t="s">
        <v>44</v>
      </c>
      <c r="D50" s="7" t="s">
        <v>151</v>
      </c>
      <c r="E50" s="4" t="s">
        <v>46</v>
      </c>
      <c r="F50" s="4" t="s">
        <v>4</v>
      </c>
      <c r="G50" s="8" t="n">
        <v>57740.3178368807</v>
      </c>
      <c r="H50" s="6" t="n">
        <f aca="false">IF(G50="","",G50/SUMIFS($G$2:$G$671,$F$2:$F$671,"Served"))</f>
        <v>0.00292141868931772</v>
      </c>
      <c r="I50" s="4" t="n">
        <f aca="false">IF(G50="","",RANK(G50,$G$2:$G$671,0))</f>
        <v>49</v>
      </c>
      <c r="J50" s="4" t="s">
        <v>34</v>
      </c>
    </row>
    <row r="51" customFormat="false" ht="15" hidden="false" customHeight="false" outlineLevel="0" collapsed="false">
      <c r="A51" s="4" t="s">
        <v>152</v>
      </c>
      <c r="B51" s="4" t="s">
        <v>43</v>
      </c>
      <c r="C51" s="4" t="s">
        <v>44</v>
      </c>
      <c r="D51" s="7" t="s">
        <v>153</v>
      </c>
      <c r="E51" s="4" t="s">
        <v>46</v>
      </c>
      <c r="F51" s="4" t="s">
        <v>4</v>
      </c>
      <c r="G51" s="8" t="n">
        <v>55871.5928258896</v>
      </c>
      <c r="H51" s="6" t="n">
        <f aca="false">IF(G51="","",G51/SUMIFS($G$2:$G$671,$F$2:$F$671,"Served"))</f>
        <v>0.00282686901628461</v>
      </c>
      <c r="I51" s="4" t="n">
        <f aca="false">IF(G51="","",RANK(G51,$G$2:$G$671,0))</f>
        <v>50</v>
      </c>
      <c r="J51" s="4" t="s">
        <v>34</v>
      </c>
    </row>
    <row r="52" customFormat="false" ht="15" hidden="false" customHeight="false" outlineLevel="0" collapsed="false">
      <c r="A52" s="4" t="s">
        <v>154</v>
      </c>
      <c r="B52" s="4" t="s">
        <v>52</v>
      </c>
      <c r="C52" s="4" t="s">
        <v>155</v>
      </c>
      <c r="D52" s="7" t="s">
        <v>156</v>
      </c>
      <c r="E52" s="4" t="s">
        <v>33</v>
      </c>
      <c r="F52" s="4" t="s">
        <v>4</v>
      </c>
      <c r="G52" s="8" t="n">
        <v>55226.2390916348</v>
      </c>
      <c r="H52" s="6" t="n">
        <f aca="false">IF(G52="","",G52/SUMIFS($G$2:$G$671,$F$2:$F$671,"Served"))</f>
        <v>0.00279421681534246</v>
      </c>
      <c r="I52" s="4" t="n">
        <f aca="false">IF(G52="","",RANK(G52,$G$2:$G$671,0))</f>
        <v>51</v>
      </c>
      <c r="J52" s="4" t="s">
        <v>34</v>
      </c>
    </row>
    <row r="53" customFormat="false" ht="15" hidden="false" customHeight="false" outlineLevel="0" collapsed="false">
      <c r="A53" s="4" t="s">
        <v>157</v>
      </c>
      <c r="B53" s="4" t="s">
        <v>52</v>
      </c>
      <c r="C53" s="4" t="s">
        <v>158</v>
      </c>
      <c r="D53" s="7" t="s">
        <v>159</v>
      </c>
      <c r="E53" s="4" t="s">
        <v>33</v>
      </c>
      <c r="F53" s="4" t="s">
        <v>4</v>
      </c>
      <c r="G53" s="8" t="n">
        <v>54868.600626111</v>
      </c>
      <c r="H53" s="6" t="n">
        <f aca="false">IF(G53="","",G53/SUMIFS($G$2:$G$671,$F$2:$F$671,"Served"))</f>
        <v>0.00277612180415545</v>
      </c>
      <c r="I53" s="4" t="n">
        <f aca="false">IF(G53="","",RANK(G53,$G$2:$G$671,0))</f>
        <v>52</v>
      </c>
      <c r="J53" s="4" t="s">
        <v>34</v>
      </c>
    </row>
    <row r="54" customFormat="false" ht="15" hidden="false" customHeight="false" outlineLevel="0" collapsed="false">
      <c r="A54" s="4" t="s">
        <v>160</v>
      </c>
      <c r="B54" s="4" t="s">
        <v>43</v>
      </c>
      <c r="C54" s="4" t="s">
        <v>44</v>
      </c>
      <c r="D54" s="7" t="s">
        <v>161</v>
      </c>
      <c r="E54" s="4" t="s">
        <v>46</v>
      </c>
      <c r="F54" s="4" t="s">
        <v>4</v>
      </c>
      <c r="G54" s="8" t="n">
        <v>53475.4830245972</v>
      </c>
      <c r="H54" s="6" t="n">
        <f aca="false">IF(G54="","",G54/SUMIFS($G$2:$G$671,$F$2:$F$671,"Served"))</f>
        <v>0.00270563587768415</v>
      </c>
      <c r="I54" s="4" t="n">
        <f aca="false">IF(G54="","",RANK(G54,$G$2:$G$671,0))</f>
        <v>53</v>
      </c>
      <c r="J54" s="4" t="s">
        <v>34</v>
      </c>
    </row>
    <row r="55" customFormat="false" ht="15" hidden="false" customHeight="false" outlineLevel="0" collapsed="false">
      <c r="A55" s="4" t="s">
        <v>162</v>
      </c>
      <c r="B55" s="4" t="s">
        <v>30</v>
      </c>
      <c r="C55" s="4" t="s">
        <v>93</v>
      </c>
      <c r="D55" s="7" t="s">
        <v>163</v>
      </c>
      <c r="E55" s="4" t="s">
        <v>33</v>
      </c>
      <c r="F55" s="4" t="s">
        <v>4</v>
      </c>
      <c r="G55" s="8" t="n">
        <v>53342.7630925179</v>
      </c>
      <c r="H55" s="6" t="n">
        <f aca="false">IF(G55="","",G55/SUMIFS($G$2:$G$671,$F$2:$F$671,"Served"))</f>
        <v>0.00269892080397921</v>
      </c>
      <c r="I55" s="4" t="n">
        <f aca="false">IF(G55="","",RANK(G55,$G$2:$G$671,0))</f>
        <v>54</v>
      </c>
      <c r="J55" s="4" t="s">
        <v>34</v>
      </c>
    </row>
    <row r="56" customFormat="false" ht="15" hidden="false" customHeight="false" outlineLevel="0" collapsed="false">
      <c r="A56" s="4" t="s">
        <v>164</v>
      </c>
      <c r="B56" s="4" t="s">
        <v>52</v>
      </c>
      <c r="C56" s="4" t="s">
        <v>165</v>
      </c>
      <c r="D56" s="7" t="s">
        <v>166</v>
      </c>
      <c r="E56" s="4" t="s">
        <v>33</v>
      </c>
      <c r="F56" s="4" t="s">
        <v>4</v>
      </c>
      <c r="G56" s="8" t="n">
        <v>51904.9362940788</v>
      </c>
      <c r="H56" s="6" t="n">
        <f aca="false">IF(G56="","",G56/SUMIFS($G$2:$G$671,$F$2:$F$671,"Served"))</f>
        <v>0.0026261727790579</v>
      </c>
      <c r="I56" s="4" t="n">
        <f aca="false">IF(G56="","",RANK(G56,$G$2:$G$671,0))</f>
        <v>55</v>
      </c>
      <c r="J56" s="4" t="s">
        <v>34</v>
      </c>
    </row>
    <row r="57" customFormat="false" ht="15" hidden="false" customHeight="false" outlineLevel="0" collapsed="false">
      <c r="A57" s="4" t="s">
        <v>167</v>
      </c>
      <c r="B57" s="4" t="s">
        <v>30</v>
      </c>
      <c r="C57" s="4" t="s">
        <v>93</v>
      </c>
      <c r="D57" s="7" t="s">
        <v>168</v>
      </c>
      <c r="E57" s="4" t="s">
        <v>33</v>
      </c>
      <c r="F57" s="4" t="s">
        <v>4</v>
      </c>
      <c r="G57" s="8" t="n">
        <v>49811.4883255959</v>
      </c>
      <c r="H57" s="6" t="n">
        <f aca="false">IF(G57="","",G57/SUMIFS($G$2:$G$671,$F$2:$F$671,"Served"))</f>
        <v>0.00252025306386828</v>
      </c>
      <c r="I57" s="4" t="n">
        <f aca="false">IF(G57="","",RANK(G57,$G$2:$G$671,0))</f>
        <v>56</v>
      </c>
      <c r="J57" s="4" t="s">
        <v>34</v>
      </c>
    </row>
    <row r="58" customFormat="false" ht="15" hidden="false" customHeight="false" outlineLevel="0" collapsed="false">
      <c r="A58" s="4" t="s">
        <v>169</v>
      </c>
      <c r="B58" s="4" t="s">
        <v>30</v>
      </c>
      <c r="C58" s="4" t="s">
        <v>31</v>
      </c>
      <c r="D58" s="7" t="s">
        <v>170</v>
      </c>
      <c r="E58" s="4" t="s">
        <v>33</v>
      </c>
      <c r="F58" s="4" t="s">
        <v>4</v>
      </c>
      <c r="G58" s="8" t="n">
        <v>49473.9731338024</v>
      </c>
      <c r="H58" s="6" t="n">
        <f aca="false">IF(G58="","",G58/SUMIFS($G$2:$G$671,$F$2:$F$671,"Served"))</f>
        <v>0.00250317620620325</v>
      </c>
      <c r="I58" s="4" t="n">
        <f aca="false">IF(G58="","",RANK(G58,$G$2:$G$671,0))</f>
        <v>57</v>
      </c>
      <c r="J58" s="4" t="s">
        <v>34</v>
      </c>
    </row>
    <row r="59" customFormat="false" ht="15" hidden="false" customHeight="false" outlineLevel="0" collapsed="false">
      <c r="A59" s="4" t="s">
        <v>171</v>
      </c>
      <c r="B59" s="4" t="s">
        <v>172</v>
      </c>
      <c r="C59" s="4" t="s">
        <v>173</v>
      </c>
      <c r="D59" s="7" t="s">
        <v>174</v>
      </c>
      <c r="E59" s="4" t="s">
        <v>175</v>
      </c>
      <c r="F59" s="4" t="s">
        <v>4</v>
      </c>
      <c r="G59" s="8" t="n">
        <v>48888.557040453</v>
      </c>
      <c r="H59" s="6" t="n">
        <f aca="false">IF(G59="","",G59/SUMIFS($G$2:$G$671,$F$2:$F$671,"Served"))</f>
        <v>0.00247355659931141</v>
      </c>
      <c r="I59" s="4" t="n">
        <f aca="false">IF(G59="","",RANK(G59,$G$2:$G$671,0))</f>
        <v>58</v>
      </c>
      <c r="J59" s="4" t="s">
        <v>34</v>
      </c>
    </row>
    <row r="60" customFormat="false" ht="15" hidden="false" customHeight="false" outlineLevel="0" collapsed="false">
      <c r="A60" s="4" t="s">
        <v>176</v>
      </c>
      <c r="B60" s="4" t="s">
        <v>30</v>
      </c>
      <c r="C60" s="4" t="s">
        <v>177</v>
      </c>
      <c r="D60" s="7" t="s">
        <v>178</v>
      </c>
      <c r="E60" s="4" t="s">
        <v>33</v>
      </c>
      <c r="F60" s="4" t="s">
        <v>4</v>
      </c>
      <c r="G60" s="8" t="n">
        <v>48758.0229959488</v>
      </c>
      <c r="H60" s="6" t="n">
        <f aca="false">IF(G60="","",G60/SUMIFS($G$2:$G$671,$F$2:$F$671,"Served"))</f>
        <v>0.00246695212237929</v>
      </c>
      <c r="I60" s="4" t="n">
        <f aca="false">IF(G60="","",RANK(G60,$G$2:$G$671,0))</f>
        <v>59</v>
      </c>
      <c r="J60" s="4" t="s">
        <v>34</v>
      </c>
    </row>
    <row r="61" customFormat="false" ht="15" hidden="false" customHeight="false" outlineLevel="0" collapsed="false">
      <c r="A61" s="4" t="s">
        <v>179</v>
      </c>
      <c r="B61" s="4" t="s">
        <v>30</v>
      </c>
      <c r="C61" s="4" t="s">
        <v>68</v>
      </c>
      <c r="D61" s="7" t="s">
        <v>180</v>
      </c>
      <c r="E61" s="4" t="s">
        <v>33</v>
      </c>
      <c r="F61" s="4" t="s">
        <v>4</v>
      </c>
      <c r="G61" s="8" t="n">
        <v>47325.6776602268</v>
      </c>
      <c r="H61" s="6" t="n">
        <f aca="false">IF(G61="","",G61/SUMIFS($G$2:$G$671,$F$2:$F$671,"Served"))</f>
        <v>0.00239448143655528</v>
      </c>
      <c r="I61" s="4" t="n">
        <f aca="false">IF(G61="","",RANK(G61,$G$2:$G$671,0))</f>
        <v>60</v>
      </c>
      <c r="J61" s="4" t="s">
        <v>34</v>
      </c>
    </row>
    <row r="62" customFormat="false" ht="15" hidden="false" customHeight="false" outlineLevel="0" collapsed="false">
      <c r="A62" s="4" t="s">
        <v>181</v>
      </c>
      <c r="B62" s="4" t="s">
        <v>116</v>
      </c>
      <c r="C62" s="4" t="s">
        <v>117</v>
      </c>
      <c r="D62" s="7" t="s">
        <v>182</v>
      </c>
      <c r="E62" s="4" t="s">
        <v>119</v>
      </c>
      <c r="F62" s="4" t="s">
        <v>4</v>
      </c>
      <c r="G62" s="8" t="n">
        <v>47227.3690478802</v>
      </c>
      <c r="H62" s="6" t="n">
        <f aca="false">IF(G62="","",G62/SUMIFS($G$2:$G$671,$F$2:$F$671,"Served"))</f>
        <v>0.00238950743176643</v>
      </c>
      <c r="I62" s="4" t="n">
        <f aca="false">IF(G62="","",RANK(G62,$G$2:$G$671,0))</f>
        <v>61</v>
      </c>
      <c r="J62" s="4" t="s">
        <v>34</v>
      </c>
    </row>
    <row r="63" customFormat="false" ht="15" hidden="false" customHeight="false" outlineLevel="0" collapsed="false">
      <c r="A63" s="4" t="s">
        <v>183</v>
      </c>
      <c r="B63" s="4" t="s">
        <v>30</v>
      </c>
      <c r="C63" s="4" t="s">
        <v>31</v>
      </c>
      <c r="D63" s="7" t="s">
        <v>184</v>
      </c>
      <c r="E63" s="4" t="s">
        <v>33</v>
      </c>
      <c r="F63" s="4" t="s">
        <v>4</v>
      </c>
      <c r="G63" s="8" t="n">
        <v>47023.3632626534</v>
      </c>
      <c r="H63" s="6" t="n">
        <f aca="false">IF(G63="","",G63/SUMIFS($G$2:$G$671,$F$2:$F$671,"Served"))</f>
        <v>0.00237918559191487</v>
      </c>
      <c r="I63" s="4" t="n">
        <f aca="false">IF(G63="","",RANK(G63,$G$2:$G$671,0))</f>
        <v>62</v>
      </c>
      <c r="J63" s="4" t="s">
        <v>34</v>
      </c>
    </row>
    <row r="64" customFormat="false" ht="15" hidden="false" customHeight="false" outlineLevel="0" collapsed="false">
      <c r="A64" s="4" t="s">
        <v>185</v>
      </c>
      <c r="B64" s="4" t="s">
        <v>30</v>
      </c>
      <c r="C64" s="4" t="s">
        <v>68</v>
      </c>
      <c r="D64" s="7" t="s">
        <v>186</v>
      </c>
      <c r="E64" s="4" t="s">
        <v>33</v>
      </c>
      <c r="F64" s="4" t="s">
        <v>4</v>
      </c>
      <c r="G64" s="8" t="n">
        <v>45719.9576103687</v>
      </c>
      <c r="H64" s="6" t="n">
        <f aca="false">IF(G64="","",G64/SUMIFS($G$2:$G$671,$F$2:$F$671,"Served"))</f>
        <v>0.00231323871501849</v>
      </c>
      <c r="I64" s="4" t="n">
        <f aca="false">IF(G64="","",RANK(G64,$G$2:$G$671,0))</f>
        <v>63</v>
      </c>
      <c r="J64" s="4" t="s">
        <v>34</v>
      </c>
    </row>
    <row r="65" customFormat="false" ht="15" hidden="false" customHeight="false" outlineLevel="0" collapsed="false">
      <c r="A65" s="4" t="s">
        <v>187</v>
      </c>
      <c r="B65" s="4" t="s">
        <v>30</v>
      </c>
      <c r="C65" s="4" t="s">
        <v>177</v>
      </c>
      <c r="D65" s="7" t="s">
        <v>188</v>
      </c>
      <c r="E65" s="4" t="s">
        <v>33</v>
      </c>
      <c r="F65" s="4" t="s">
        <v>4</v>
      </c>
      <c r="G65" s="8" t="n">
        <v>45228.524128437</v>
      </c>
      <c r="H65" s="6" t="n">
        <f aca="false">IF(G65="","",G65/SUMIFS($G$2:$G$671,$F$2:$F$671,"Served"))</f>
        <v>0.00228837423535408</v>
      </c>
      <c r="I65" s="4" t="n">
        <f aca="false">IF(G65="","",RANK(G65,$G$2:$G$671,0))</f>
        <v>64</v>
      </c>
      <c r="J65" s="4" t="s">
        <v>34</v>
      </c>
    </row>
    <row r="66" customFormat="false" ht="15" hidden="false" customHeight="false" outlineLevel="0" collapsed="false">
      <c r="A66" s="4" t="s">
        <v>189</v>
      </c>
      <c r="B66" s="4" t="s">
        <v>30</v>
      </c>
      <c r="C66" s="4" t="s">
        <v>177</v>
      </c>
      <c r="D66" s="7" t="s">
        <v>190</v>
      </c>
      <c r="E66" s="4" t="s">
        <v>33</v>
      </c>
      <c r="F66" s="4" t="s">
        <v>4</v>
      </c>
      <c r="G66" s="8" t="n">
        <v>44950.0356957912</v>
      </c>
      <c r="H66" s="6" t="n">
        <f aca="false">IF(G66="","",G66/SUMIFS($G$2:$G$671,$F$2:$F$671,"Served"))</f>
        <v>0.0022742838849305</v>
      </c>
      <c r="I66" s="4" t="n">
        <f aca="false">IF(G66="","",RANK(G66,$G$2:$G$671,0))</f>
        <v>65</v>
      </c>
      <c r="J66" s="4" t="s">
        <v>34</v>
      </c>
    </row>
    <row r="67" customFormat="false" ht="15" hidden="false" customHeight="false" outlineLevel="0" collapsed="false">
      <c r="A67" s="4" t="s">
        <v>191</v>
      </c>
      <c r="B67" s="4" t="s">
        <v>30</v>
      </c>
      <c r="C67" s="4" t="s">
        <v>86</v>
      </c>
      <c r="D67" s="7" t="s">
        <v>192</v>
      </c>
      <c r="E67" s="4" t="s">
        <v>33</v>
      </c>
      <c r="F67" s="4" t="s">
        <v>4</v>
      </c>
      <c r="G67" s="8" t="n">
        <v>44062.1122229099</v>
      </c>
      <c r="H67" s="6" t="n">
        <f aca="false">IF(G67="","",G67/SUMIFS($G$2:$G$671,$F$2:$F$671,"Served"))</f>
        <v>0.00222935866931795</v>
      </c>
      <c r="I67" s="4" t="n">
        <f aca="false">IF(G67="","",RANK(G67,$G$2:$G$671,0))</f>
        <v>66</v>
      </c>
      <c r="J67" s="4" t="s">
        <v>34</v>
      </c>
    </row>
    <row r="68" customFormat="false" ht="15" hidden="false" customHeight="false" outlineLevel="0" collapsed="false">
      <c r="A68" s="4" t="s">
        <v>193</v>
      </c>
      <c r="B68" s="4" t="s">
        <v>52</v>
      </c>
      <c r="C68" s="4" t="s">
        <v>53</v>
      </c>
      <c r="D68" s="7" t="s">
        <v>194</v>
      </c>
      <c r="E68" s="4" t="s">
        <v>33</v>
      </c>
      <c r="F68" s="4" t="s">
        <v>4</v>
      </c>
      <c r="G68" s="8" t="n">
        <v>43060.770781517</v>
      </c>
      <c r="H68" s="6" t="n">
        <f aca="false">IF(G68="","",G68/SUMIFS($G$2:$G$671,$F$2:$F$671,"Served"))</f>
        <v>0.00217869497866183</v>
      </c>
      <c r="I68" s="4" t="n">
        <f aca="false">IF(G68="","",RANK(G68,$G$2:$G$671,0))</f>
        <v>67</v>
      </c>
      <c r="J68" s="4" t="s">
        <v>34</v>
      </c>
    </row>
    <row r="69" customFormat="false" ht="15" hidden="false" customHeight="false" outlineLevel="0" collapsed="false">
      <c r="A69" s="4" t="s">
        <v>195</v>
      </c>
      <c r="B69" s="4" t="s">
        <v>30</v>
      </c>
      <c r="C69" s="4" t="s">
        <v>31</v>
      </c>
      <c r="D69" s="7" t="s">
        <v>196</v>
      </c>
      <c r="E69" s="4" t="s">
        <v>33</v>
      </c>
      <c r="F69" s="4" t="s">
        <v>4</v>
      </c>
      <c r="G69" s="8" t="n">
        <v>41674.4722714424</v>
      </c>
      <c r="H69" s="6" t="n">
        <f aca="false">IF(G69="","",G69/SUMIFS($G$2:$G$671,$F$2:$F$671,"Served"))</f>
        <v>0.00210855406970898</v>
      </c>
      <c r="I69" s="4" t="n">
        <f aca="false">IF(G69="","",RANK(G69,$G$2:$G$671,0))</f>
        <v>68</v>
      </c>
      <c r="J69" s="4" t="s">
        <v>34</v>
      </c>
    </row>
    <row r="70" customFormat="false" ht="15" hidden="false" customHeight="false" outlineLevel="0" collapsed="false">
      <c r="A70" s="4" t="s">
        <v>197</v>
      </c>
      <c r="B70" s="4" t="s">
        <v>71</v>
      </c>
      <c r="C70" s="4" t="s">
        <v>72</v>
      </c>
      <c r="D70" s="7" t="s">
        <v>198</v>
      </c>
      <c r="E70" s="4" t="s">
        <v>74</v>
      </c>
      <c r="F70" s="4" t="s">
        <v>4</v>
      </c>
      <c r="G70" s="8" t="n">
        <v>41627.7772839069</v>
      </c>
      <c r="H70" s="6" t="n">
        <f aca="false">IF(G70="","",G70/SUMIFS($G$2:$G$671,$F$2:$F$671,"Served"))</f>
        <v>0.00210619149855603</v>
      </c>
      <c r="I70" s="4" t="n">
        <f aca="false">IF(G70="","",RANK(G70,$G$2:$G$671,0))</f>
        <v>69</v>
      </c>
      <c r="J70" s="4" t="s">
        <v>34</v>
      </c>
    </row>
    <row r="71" customFormat="false" ht="15" hidden="false" customHeight="false" outlineLevel="0" collapsed="false">
      <c r="A71" s="4" t="s">
        <v>199</v>
      </c>
      <c r="B71" s="4" t="s">
        <v>52</v>
      </c>
      <c r="C71" s="4" t="s">
        <v>200</v>
      </c>
      <c r="D71" s="7" t="s">
        <v>201</v>
      </c>
      <c r="E71" s="4" t="s">
        <v>33</v>
      </c>
      <c r="F71" s="4" t="s">
        <v>4</v>
      </c>
      <c r="G71" s="8" t="n">
        <v>40771.3861908913</v>
      </c>
      <c r="H71" s="6" t="n">
        <f aca="false">IF(G71="","",G71/SUMIFS($G$2:$G$671,$F$2:$F$671,"Served"))</f>
        <v>0.00206286168953819</v>
      </c>
      <c r="I71" s="4" t="n">
        <f aca="false">IF(G71="","",RANK(G71,$G$2:$G$671,0))</f>
        <v>70</v>
      </c>
      <c r="J71" s="4" t="s">
        <v>34</v>
      </c>
    </row>
    <row r="72" customFormat="false" ht="15" hidden="false" customHeight="false" outlineLevel="0" collapsed="false">
      <c r="A72" s="4" t="s">
        <v>202</v>
      </c>
      <c r="B72" s="4" t="s">
        <v>52</v>
      </c>
      <c r="C72" s="4" t="s">
        <v>203</v>
      </c>
      <c r="D72" s="7" t="s">
        <v>204</v>
      </c>
      <c r="E72" s="4" t="s">
        <v>33</v>
      </c>
      <c r="F72" s="4" t="s">
        <v>4</v>
      </c>
      <c r="G72" s="8" t="n">
        <v>39570.8900270462</v>
      </c>
      <c r="H72" s="6" t="n">
        <f aca="false">IF(G72="","",G72/SUMIFS($G$2:$G$671,$F$2:$F$671,"Served"))</f>
        <v>0.00200212160252622</v>
      </c>
      <c r="I72" s="4" t="n">
        <f aca="false">IF(G72="","",RANK(G72,$G$2:$G$671,0))</f>
        <v>71</v>
      </c>
      <c r="J72" s="4" t="s">
        <v>34</v>
      </c>
    </row>
    <row r="73" customFormat="false" ht="15" hidden="false" customHeight="false" outlineLevel="0" collapsed="false">
      <c r="A73" s="4" t="s">
        <v>205</v>
      </c>
      <c r="B73" s="4" t="s">
        <v>30</v>
      </c>
      <c r="C73" s="4" t="s">
        <v>206</v>
      </c>
      <c r="D73" s="7" t="s">
        <v>207</v>
      </c>
      <c r="E73" s="4" t="s">
        <v>33</v>
      </c>
      <c r="F73" s="4" t="s">
        <v>4</v>
      </c>
      <c r="G73" s="8" t="n">
        <v>39152.3688392639</v>
      </c>
      <c r="H73" s="6" t="n">
        <f aca="false">IF(G73="","",G73/SUMIFS($G$2:$G$671,$F$2:$F$671,"Served"))</f>
        <v>0.00198094618012351</v>
      </c>
      <c r="I73" s="4" t="n">
        <f aca="false">IF(G73="","",RANK(G73,$G$2:$G$671,0))</f>
        <v>72</v>
      </c>
      <c r="J73" s="4" t="s">
        <v>34</v>
      </c>
    </row>
    <row r="74" customFormat="false" ht="15" hidden="false" customHeight="false" outlineLevel="0" collapsed="false">
      <c r="A74" s="4" t="s">
        <v>208</v>
      </c>
      <c r="B74" s="4" t="s">
        <v>30</v>
      </c>
      <c r="C74" s="4" t="s">
        <v>31</v>
      </c>
      <c r="D74" s="7" t="s">
        <v>209</v>
      </c>
      <c r="E74" s="4" t="s">
        <v>33</v>
      </c>
      <c r="F74" s="4" t="s">
        <v>4</v>
      </c>
      <c r="G74" s="8" t="n">
        <v>38709.2941250801</v>
      </c>
      <c r="H74" s="6" t="n">
        <f aca="false">IF(G74="","",G74/SUMIFS($G$2:$G$671,$F$2:$F$671,"Served"))</f>
        <v>0.00195852845193508</v>
      </c>
      <c r="I74" s="4" t="n">
        <f aca="false">IF(G74="","",RANK(G74,$G$2:$G$671,0))</f>
        <v>73</v>
      </c>
      <c r="J74" s="4" t="s">
        <v>34</v>
      </c>
    </row>
    <row r="75" customFormat="false" ht="15" hidden="false" customHeight="false" outlineLevel="0" collapsed="false">
      <c r="A75" s="4" t="s">
        <v>210</v>
      </c>
      <c r="B75" s="4" t="s">
        <v>30</v>
      </c>
      <c r="C75" s="4" t="s">
        <v>31</v>
      </c>
      <c r="D75" s="7" t="s">
        <v>211</v>
      </c>
      <c r="E75" s="4" t="s">
        <v>33</v>
      </c>
      <c r="F75" s="4" t="s">
        <v>4</v>
      </c>
      <c r="G75" s="8" t="n">
        <v>38389.5529028177</v>
      </c>
      <c r="H75" s="6" t="n">
        <f aca="false">IF(G75="","",G75/SUMIFS($G$2:$G$671,$F$2:$F$671,"Served"))</f>
        <v>0.00194235088282122</v>
      </c>
      <c r="I75" s="4" t="n">
        <f aca="false">IF(G75="","",RANK(G75,$G$2:$G$671,0))</f>
        <v>74</v>
      </c>
      <c r="J75" s="4" t="s">
        <v>34</v>
      </c>
    </row>
    <row r="76" customFormat="false" ht="15" hidden="false" customHeight="false" outlineLevel="0" collapsed="false">
      <c r="A76" s="4" t="s">
        <v>212</v>
      </c>
      <c r="B76" s="4" t="s">
        <v>213</v>
      </c>
      <c r="C76" s="4" t="s">
        <v>214</v>
      </c>
      <c r="D76" s="7" t="s">
        <v>215</v>
      </c>
      <c r="E76" s="4" t="s">
        <v>216</v>
      </c>
      <c r="F76" s="4" t="s">
        <v>4</v>
      </c>
      <c r="G76" s="8" t="n">
        <v>38269.326851368</v>
      </c>
      <c r="H76" s="6" t="n">
        <f aca="false">IF(G76="","",G76/SUMIFS($G$2:$G$671,$F$2:$F$671,"Served"))</f>
        <v>0.00193626794724333</v>
      </c>
      <c r="I76" s="4" t="n">
        <f aca="false">IF(G76="","",RANK(G76,$G$2:$G$671,0))</f>
        <v>75</v>
      </c>
      <c r="J76" s="4" t="s">
        <v>34</v>
      </c>
    </row>
    <row r="77" customFormat="false" ht="15" hidden="false" customHeight="false" outlineLevel="0" collapsed="false">
      <c r="A77" s="4" t="s">
        <v>217</v>
      </c>
      <c r="B77" s="4" t="s">
        <v>30</v>
      </c>
      <c r="C77" s="4" t="s">
        <v>31</v>
      </c>
      <c r="D77" s="7" t="s">
        <v>218</v>
      </c>
      <c r="E77" s="4" t="s">
        <v>33</v>
      </c>
      <c r="F77" s="4" t="s">
        <v>4</v>
      </c>
      <c r="G77" s="8" t="n">
        <v>36844.4093236923</v>
      </c>
      <c r="H77" s="6" t="n">
        <f aca="false">IF(G77="","",G77/SUMIFS($G$2:$G$671,$F$2:$F$671,"Served"))</f>
        <v>0.00186417307745325</v>
      </c>
      <c r="I77" s="4" t="n">
        <f aca="false">IF(G77="","",RANK(G77,$G$2:$G$671,0))</f>
        <v>76</v>
      </c>
      <c r="J77" s="4" t="s">
        <v>34</v>
      </c>
    </row>
    <row r="78" customFormat="false" ht="15" hidden="false" customHeight="false" outlineLevel="0" collapsed="false">
      <c r="A78" s="4" t="s">
        <v>219</v>
      </c>
      <c r="B78" s="4" t="s">
        <v>116</v>
      </c>
      <c r="C78" s="4" t="s">
        <v>220</v>
      </c>
      <c r="D78" s="7" t="s">
        <v>221</v>
      </c>
      <c r="E78" s="4" t="s">
        <v>119</v>
      </c>
      <c r="F78" s="4" t="s">
        <v>4</v>
      </c>
      <c r="G78" s="8" t="n">
        <v>36835.0321404934</v>
      </c>
      <c r="H78" s="6" t="n">
        <f aca="false">IF(G78="","",G78/SUMIFS($G$2:$G$671,$F$2:$F$671,"Served"))</f>
        <v>0.00186369863118629</v>
      </c>
      <c r="I78" s="4" t="n">
        <f aca="false">IF(G78="","",RANK(G78,$G$2:$G$671,0))</f>
        <v>77</v>
      </c>
      <c r="J78" s="4" t="s">
        <v>34</v>
      </c>
    </row>
    <row r="79" customFormat="false" ht="15" hidden="false" customHeight="false" outlineLevel="0" collapsed="false">
      <c r="A79" s="4" t="s">
        <v>222</v>
      </c>
      <c r="B79" s="4" t="s">
        <v>30</v>
      </c>
      <c r="C79" s="4" t="s">
        <v>31</v>
      </c>
      <c r="D79" s="7" t="s">
        <v>223</v>
      </c>
      <c r="E79" s="4" t="s">
        <v>33</v>
      </c>
      <c r="F79" s="4" t="s">
        <v>4</v>
      </c>
      <c r="G79" s="8" t="n">
        <v>36393.7245293856</v>
      </c>
      <c r="H79" s="6" t="n">
        <f aca="false">IF(G79="","",G79/SUMIFS($G$2:$G$671,$F$2:$F$671,"Served"))</f>
        <v>0.00184137031102584</v>
      </c>
      <c r="I79" s="4" t="n">
        <f aca="false">IF(G79="","",RANK(G79,$G$2:$G$671,0))</f>
        <v>78</v>
      </c>
      <c r="J79" s="4" t="s">
        <v>34</v>
      </c>
    </row>
    <row r="80" customFormat="false" ht="15" hidden="false" customHeight="false" outlineLevel="0" collapsed="false">
      <c r="A80" s="4" t="s">
        <v>224</v>
      </c>
      <c r="B80" s="4" t="s">
        <v>30</v>
      </c>
      <c r="C80" s="4" t="s">
        <v>31</v>
      </c>
      <c r="D80" s="7" t="s">
        <v>225</v>
      </c>
      <c r="E80" s="4" t="s">
        <v>33</v>
      </c>
      <c r="F80" s="4" t="s">
        <v>4</v>
      </c>
      <c r="G80" s="8" t="n">
        <v>36212.1606667042</v>
      </c>
      <c r="H80" s="6" t="n">
        <f aca="false">IF(G80="","",G80/SUMIFS($G$2:$G$671,$F$2:$F$671,"Served"))</f>
        <v>0.00183218393863279</v>
      </c>
      <c r="I80" s="4" t="n">
        <f aca="false">IF(G80="","",RANK(G80,$G$2:$G$671,0))</f>
        <v>79</v>
      </c>
      <c r="J80" s="4" t="s">
        <v>34</v>
      </c>
    </row>
    <row r="81" customFormat="false" ht="15" hidden="false" customHeight="false" outlineLevel="0" collapsed="false">
      <c r="A81" s="4" t="s">
        <v>226</v>
      </c>
      <c r="B81" s="4" t="s">
        <v>52</v>
      </c>
      <c r="C81" s="4" t="s">
        <v>227</v>
      </c>
      <c r="D81" s="7" t="s">
        <v>228</v>
      </c>
      <c r="E81" s="4" t="s">
        <v>33</v>
      </c>
      <c r="F81" s="4" t="s">
        <v>4</v>
      </c>
      <c r="G81" s="8" t="n">
        <v>35606.6462304592</v>
      </c>
      <c r="H81" s="6" t="n">
        <f aca="false">IF(G81="","",G81/SUMIFS($G$2:$G$671,$F$2:$F$671,"Served"))</f>
        <v>0.00180154743961498</v>
      </c>
      <c r="I81" s="4" t="n">
        <f aca="false">IF(G81="","",RANK(G81,$G$2:$G$671,0))</f>
        <v>80</v>
      </c>
      <c r="J81" s="4" t="s">
        <v>34</v>
      </c>
    </row>
    <row r="82" customFormat="false" ht="15" hidden="false" customHeight="false" outlineLevel="0" collapsed="false">
      <c r="A82" s="4" t="s">
        <v>229</v>
      </c>
      <c r="B82" s="4" t="s">
        <v>30</v>
      </c>
      <c r="C82" s="4" t="s">
        <v>31</v>
      </c>
      <c r="D82" s="7" t="s">
        <v>230</v>
      </c>
      <c r="E82" s="4" t="s">
        <v>33</v>
      </c>
      <c r="F82" s="4" t="s">
        <v>4</v>
      </c>
      <c r="G82" s="8" t="n">
        <v>35053.5323536396</v>
      </c>
      <c r="H82" s="6" t="n">
        <f aca="false">IF(G82="","",G82/SUMIFS($G$2:$G$671,$F$2:$F$671,"Served"))</f>
        <v>0.00177356218983464</v>
      </c>
      <c r="I82" s="4" t="n">
        <f aca="false">IF(G82="","",RANK(G82,$G$2:$G$671,0))</f>
        <v>81</v>
      </c>
      <c r="J82" s="4" t="s">
        <v>34</v>
      </c>
    </row>
    <row r="83" customFormat="false" ht="15" hidden="false" customHeight="false" outlineLevel="0" collapsed="false">
      <c r="A83" s="4" t="s">
        <v>231</v>
      </c>
      <c r="B83" s="4" t="s">
        <v>52</v>
      </c>
      <c r="C83" s="4" t="s">
        <v>232</v>
      </c>
      <c r="D83" s="7" t="s">
        <v>233</v>
      </c>
      <c r="E83" s="4" t="s">
        <v>33</v>
      </c>
      <c r="F83" s="4" t="s">
        <v>4</v>
      </c>
      <c r="G83" s="8" t="n">
        <v>34259.3210374117</v>
      </c>
      <c r="H83" s="6" t="n">
        <f aca="false">IF(G83="","",G83/SUMIFS($G$2:$G$671,$F$2:$F$671,"Served"))</f>
        <v>0.00173337841756912</v>
      </c>
      <c r="I83" s="4" t="n">
        <f aca="false">IF(G83="","",RANK(G83,$G$2:$G$671,0))</f>
        <v>82</v>
      </c>
      <c r="J83" s="4" t="s">
        <v>34</v>
      </c>
    </row>
    <row r="84" customFormat="false" ht="15" hidden="false" customHeight="false" outlineLevel="0" collapsed="false">
      <c r="A84" s="4" t="s">
        <v>234</v>
      </c>
      <c r="B84" s="4" t="s">
        <v>30</v>
      </c>
      <c r="C84" s="4" t="s">
        <v>31</v>
      </c>
      <c r="D84" s="7" t="s">
        <v>235</v>
      </c>
      <c r="E84" s="4" t="s">
        <v>33</v>
      </c>
      <c r="F84" s="4" t="s">
        <v>4</v>
      </c>
      <c r="G84" s="8" t="n">
        <v>34257.7033963203</v>
      </c>
      <c r="H84" s="6" t="n">
        <f aca="false">IF(G84="","",G84/SUMIFS($G$2:$G$671,$F$2:$F$671,"Served"))</f>
        <v>0.00173329657169272</v>
      </c>
      <c r="I84" s="4" t="n">
        <f aca="false">IF(G84="","",RANK(G84,$G$2:$G$671,0))</f>
        <v>83</v>
      </c>
      <c r="J84" s="4" t="s">
        <v>34</v>
      </c>
    </row>
    <row r="85" customFormat="false" ht="15" hidden="false" customHeight="false" outlineLevel="0" collapsed="false">
      <c r="A85" s="4" t="s">
        <v>236</v>
      </c>
      <c r="B85" s="4" t="s">
        <v>30</v>
      </c>
      <c r="C85" s="4" t="s">
        <v>31</v>
      </c>
      <c r="D85" s="7" t="s">
        <v>237</v>
      </c>
      <c r="E85" s="4" t="s">
        <v>33</v>
      </c>
      <c r="F85" s="4" t="s">
        <v>4</v>
      </c>
      <c r="G85" s="8" t="n">
        <v>34137.0778318644</v>
      </c>
      <c r="H85" s="6" t="n">
        <f aca="false">IF(G85="","",G85/SUMIFS($G$2:$G$671,$F$2:$F$671,"Served"))</f>
        <v>0.00172719342242695</v>
      </c>
      <c r="I85" s="4" t="n">
        <f aca="false">IF(G85="","",RANK(G85,$G$2:$G$671,0))</f>
        <v>84</v>
      </c>
      <c r="J85" s="4" t="s">
        <v>34</v>
      </c>
    </row>
    <row r="86" customFormat="false" ht="15" hidden="false" customHeight="false" outlineLevel="0" collapsed="false">
      <c r="A86" s="4" t="s">
        <v>238</v>
      </c>
      <c r="B86" s="4" t="s">
        <v>30</v>
      </c>
      <c r="C86" s="4" t="s">
        <v>31</v>
      </c>
      <c r="D86" s="7" t="s">
        <v>239</v>
      </c>
      <c r="E86" s="4" t="s">
        <v>33</v>
      </c>
      <c r="F86" s="4" t="s">
        <v>4</v>
      </c>
      <c r="G86" s="8" t="n">
        <v>32937.6224348545</v>
      </c>
      <c r="H86" s="6" t="n">
        <f aca="false">IF(G86="","",G86/SUMIFS($G$2:$G$671,$F$2:$F$671,"Served"))</f>
        <v>0.00166650599386574</v>
      </c>
      <c r="I86" s="4" t="n">
        <f aca="false">IF(G86="","",RANK(G86,$G$2:$G$671,0))</f>
        <v>85</v>
      </c>
      <c r="J86" s="4" t="s">
        <v>34</v>
      </c>
    </row>
    <row r="87" customFormat="false" ht="15" hidden="false" customHeight="false" outlineLevel="0" collapsed="false">
      <c r="A87" s="4" t="s">
        <v>240</v>
      </c>
      <c r="B87" s="4" t="s">
        <v>30</v>
      </c>
      <c r="C87" s="4" t="s">
        <v>241</v>
      </c>
      <c r="D87" s="7" t="s">
        <v>242</v>
      </c>
      <c r="E87" s="4" t="s">
        <v>33</v>
      </c>
      <c r="F87" s="4" t="s">
        <v>4</v>
      </c>
      <c r="G87" s="8" t="n">
        <v>32524.590331912</v>
      </c>
      <c r="H87" s="6" t="n">
        <f aca="false">IF(G87="","",G87/SUMIFS($G$2:$G$671,$F$2:$F$671,"Served"))</f>
        <v>0.00164560829620787</v>
      </c>
      <c r="I87" s="4" t="n">
        <f aca="false">IF(G87="","",RANK(G87,$G$2:$G$671,0))</f>
        <v>86</v>
      </c>
      <c r="J87" s="4" t="s">
        <v>34</v>
      </c>
    </row>
    <row r="88" customFormat="false" ht="15" hidden="false" customHeight="false" outlineLevel="0" collapsed="false">
      <c r="A88" s="4" t="s">
        <v>243</v>
      </c>
      <c r="B88" s="4" t="s">
        <v>30</v>
      </c>
      <c r="C88" s="4" t="s">
        <v>31</v>
      </c>
      <c r="D88" s="7" t="s">
        <v>244</v>
      </c>
      <c r="E88" s="4" t="s">
        <v>33</v>
      </c>
      <c r="F88" s="4" t="s">
        <v>4</v>
      </c>
      <c r="G88" s="8" t="n">
        <v>32406.3978953362</v>
      </c>
      <c r="H88" s="6" t="n">
        <f aca="false">IF(G88="","",G88/SUMIFS($G$2:$G$671,$F$2:$F$671,"Served"))</f>
        <v>0.00163962825304073</v>
      </c>
      <c r="I88" s="4" t="n">
        <f aca="false">IF(G88="","",RANK(G88,$G$2:$G$671,0))</f>
        <v>87</v>
      </c>
      <c r="J88" s="4" t="s">
        <v>34</v>
      </c>
    </row>
    <row r="89" customFormat="false" ht="15" hidden="false" customHeight="false" outlineLevel="0" collapsed="false">
      <c r="A89" s="4" t="s">
        <v>245</v>
      </c>
      <c r="B89" s="4" t="s">
        <v>30</v>
      </c>
      <c r="C89" s="4" t="s">
        <v>31</v>
      </c>
      <c r="D89" s="7" t="s">
        <v>246</v>
      </c>
      <c r="E89" s="4" t="s">
        <v>33</v>
      </c>
      <c r="F89" s="4" t="s">
        <v>4</v>
      </c>
      <c r="G89" s="8" t="n">
        <v>31971.3086037636</v>
      </c>
      <c r="H89" s="6" t="n">
        <f aca="false">IF(G89="","",G89/SUMIFS($G$2:$G$671,$F$2:$F$671,"Served"))</f>
        <v>0.00161761455385201</v>
      </c>
      <c r="I89" s="4" t="n">
        <f aca="false">IF(G89="","",RANK(G89,$G$2:$G$671,0))</f>
        <v>88</v>
      </c>
      <c r="J89" s="4" t="s">
        <v>34</v>
      </c>
    </row>
    <row r="90" customFormat="false" ht="15" hidden="false" customHeight="false" outlineLevel="0" collapsed="false">
      <c r="A90" s="4" t="s">
        <v>247</v>
      </c>
      <c r="B90" s="4" t="s">
        <v>30</v>
      </c>
      <c r="C90" s="4" t="s">
        <v>36</v>
      </c>
      <c r="D90" s="7" t="s">
        <v>248</v>
      </c>
      <c r="E90" s="4" t="s">
        <v>33</v>
      </c>
      <c r="F90" s="4" t="s">
        <v>4</v>
      </c>
      <c r="G90" s="8" t="n">
        <v>31751.4155442715</v>
      </c>
      <c r="H90" s="6" t="n">
        <f aca="false">IF(G90="","",G90/SUMIFS($G$2:$G$671,$F$2:$F$671,"Served"))</f>
        <v>0.00160648888434208</v>
      </c>
      <c r="I90" s="4" t="n">
        <f aca="false">IF(G90="","",RANK(G90,$G$2:$G$671,0))</f>
        <v>89</v>
      </c>
      <c r="J90" s="4" t="s">
        <v>34</v>
      </c>
    </row>
    <row r="91" customFormat="false" ht="15" hidden="false" customHeight="false" outlineLevel="0" collapsed="false">
      <c r="A91" s="4" t="s">
        <v>249</v>
      </c>
      <c r="B91" s="4" t="s">
        <v>213</v>
      </c>
      <c r="C91" s="4" t="s">
        <v>214</v>
      </c>
      <c r="D91" s="7" t="s">
        <v>250</v>
      </c>
      <c r="E91" s="4" t="s">
        <v>216</v>
      </c>
      <c r="F91" s="4" t="s">
        <v>4</v>
      </c>
      <c r="G91" s="8" t="n">
        <v>30913.5189168453</v>
      </c>
      <c r="H91" s="6" t="n">
        <f aca="false">IF(G91="","",G91/SUMIFS($G$2:$G$671,$F$2:$F$671,"Served"))</f>
        <v>0.00156409481796381</v>
      </c>
      <c r="I91" s="4" t="n">
        <f aca="false">IF(G91="","",RANK(G91,$G$2:$G$671,0))</f>
        <v>90</v>
      </c>
      <c r="J91" s="4" t="s">
        <v>34</v>
      </c>
    </row>
    <row r="92" customFormat="false" ht="15" hidden="false" customHeight="false" outlineLevel="0" collapsed="false">
      <c r="A92" s="4" t="s">
        <v>251</v>
      </c>
      <c r="B92" s="4" t="s">
        <v>52</v>
      </c>
      <c r="C92" s="4" t="s">
        <v>227</v>
      </c>
      <c r="D92" s="7" t="s">
        <v>252</v>
      </c>
      <c r="E92" s="4" t="s">
        <v>33</v>
      </c>
      <c r="F92" s="4" t="s">
        <v>4</v>
      </c>
      <c r="G92" s="8" t="n">
        <v>30871.4633885622</v>
      </c>
      <c r="H92" s="6" t="n">
        <f aca="false">IF(G92="","",G92/SUMIFS($G$2:$G$671,$F$2:$F$671,"Served"))</f>
        <v>0.00156196698405298</v>
      </c>
      <c r="I92" s="4" t="n">
        <f aca="false">IF(G92="","",RANK(G92,$G$2:$G$671,0))</f>
        <v>91</v>
      </c>
      <c r="J92" s="4" t="s">
        <v>34</v>
      </c>
    </row>
    <row r="93" customFormat="false" ht="15" hidden="false" customHeight="false" outlineLevel="0" collapsed="false">
      <c r="A93" s="4" t="s">
        <v>253</v>
      </c>
      <c r="B93" s="4" t="s">
        <v>52</v>
      </c>
      <c r="C93" s="4" t="s">
        <v>232</v>
      </c>
      <c r="D93" s="7" t="s">
        <v>254</v>
      </c>
      <c r="E93" s="4" t="s">
        <v>33</v>
      </c>
      <c r="F93" s="4" t="s">
        <v>4</v>
      </c>
      <c r="G93" s="8" t="n">
        <v>30259.6810948849</v>
      </c>
      <c r="H93" s="6" t="n">
        <f aca="false">IF(G93="","",G93/SUMIFS($G$2:$G$671,$F$2:$F$671,"Served"))</f>
        <v>0.00153101335765294</v>
      </c>
      <c r="I93" s="4" t="n">
        <f aca="false">IF(G93="","",RANK(G93,$G$2:$G$671,0))</f>
        <v>92</v>
      </c>
      <c r="J93" s="4" t="s">
        <v>34</v>
      </c>
    </row>
    <row r="94" customFormat="false" ht="15" hidden="false" customHeight="false" outlineLevel="0" collapsed="false">
      <c r="A94" s="4" t="s">
        <v>255</v>
      </c>
      <c r="B94" s="4" t="s">
        <v>172</v>
      </c>
      <c r="C94" s="4" t="s">
        <v>173</v>
      </c>
      <c r="D94" s="7" t="s">
        <v>256</v>
      </c>
      <c r="E94" s="4" t="s">
        <v>175</v>
      </c>
      <c r="F94" s="4" t="s">
        <v>4</v>
      </c>
      <c r="G94" s="8" t="n">
        <v>29584.7786419392</v>
      </c>
      <c r="H94" s="6" t="n">
        <f aca="false">IF(G94="","",G94/SUMIFS($G$2:$G$671,$F$2:$F$671,"Served"))</f>
        <v>0.00149686611507849</v>
      </c>
      <c r="I94" s="4" t="n">
        <f aca="false">IF(G94="","",RANK(G94,$G$2:$G$671,0))</f>
        <v>93</v>
      </c>
      <c r="J94" s="4" t="s">
        <v>34</v>
      </c>
    </row>
    <row r="95" customFormat="false" ht="15" hidden="false" customHeight="false" outlineLevel="0" collapsed="false">
      <c r="A95" s="4" t="s">
        <v>257</v>
      </c>
      <c r="B95" s="4" t="s">
        <v>52</v>
      </c>
      <c r="C95" s="4" t="s">
        <v>232</v>
      </c>
      <c r="D95" s="7" t="s">
        <v>258</v>
      </c>
      <c r="E95" s="4" t="s">
        <v>33</v>
      </c>
      <c r="F95" s="4" t="s">
        <v>4</v>
      </c>
      <c r="G95" s="8" t="n">
        <v>29134.9980604649</v>
      </c>
      <c r="H95" s="6" t="n">
        <f aca="false">IF(G95="","",G95/SUMIFS($G$2:$G$671,$F$2:$F$671,"Served"))</f>
        <v>0.00147410909804018</v>
      </c>
      <c r="I95" s="4" t="n">
        <f aca="false">IF(G95="","",RANK(G95,$G$2:$G$671,0))</f>
        <v>94</v>
      </c>
      <c r="J95" s="4" t="s">
        <v>34</v>
      </c>
    </row>
    <row r="96" customFormat="false" ht="15" hidden="false" customHeight="false" outlineLevel="0" collapsed="false">
      <c r="A96" s="4" t="s">
        <v>259</v>
      </c>
      <c r="B96" s="4" t="s">
        <v>52</v>
      </c>
      <c r="C96" s="4" t="s">
        <v>165</v>
      </c>
      <c r="D96" s="7" t="s">
        <v>260</v>
      </c>
      <c r="E96" s="4" t="s">
        <v>33</v>
      </c>
      <c r="F96" s="4" t="s">
        <v>4</v>
      </c>
      <c r="G96" s="8" t="n">
        <v>27462.3864395618</v>
      </c>
      <c r="H96" s="6" t="n">
        <f aca="false">IF(G96="","",G96/SUMIFS($G$2:$G$671,$F$2:$F$671,"Served"))</f>
        <v>0.00138948194266011</v>
      </c>
      <c r="I96" s="4" t="n">
        <f aca="false">IF(G96="","",RANK(G96,$G$2:$G$671,0))</f>
        <v>95</v>
      </c>
      <c r="J96" s="4" t="s">
        <v>34</v>
      </c>
    </row>
    <row r="97" customFormat="false" ht="15" hidden="false" customHeight="false" outlineLevel="0" collapsed="false">
      <c r="A97" s="4" t="s">
        <v>261</v>
      </c>
      <c r="B97" s="4" t="s">
        <v>52</v>
      </c>
      <c r="C97" s="4" t="s">
        <v>155</v>
      </c>
      <c r="D97" s="7" t="s">
        <v>262</v>
      </c>
      <c r="E97" s="4" t="s">
        <v>33</v>
      </c>
      <c r="F97" s="4" t="s">
        <v>4</v>
      </c>
      <c r="G97" s="8" t="n">
        <v>26967.7227220535</v>
      </c>
      <c r="H97" s="6" t="n">
        <f aca="false">IF(G97="","",G97/SUMIFS($G$2:$G$671,$F$2:$F$671,"Served"))</f>
        <v>0.00136445402658008</v>
      </c>
      <c r="I97" s="4" t="n">
        <f aca="false">IF(G97="","",RANK(G97,$G$2:$G$671,0))</f>
        <v>96</v>
      </c>
      <c r="J97" s="4" t="s">
        <v>34</v>
      </c>
    </row>
    <row r="98" customFormat="false" ht="15" hidden="false" customHeight="false" outlineLevel="0" collapsed="false">
      <c r="A98" s="4" t="s">
        <v>263</v>
      </c>
      <c r="B98" s="4" t="s">
        <v>52</v>
      </c>
      <c r="C98" s="4" t="s">
        <v>264</v>
      </c>
      <c r="D98" s="7" t="s">
        <v>265</v>
      </c>
      <c r="E98" s="4" t="s">
        <v>33</v>
      </c>
      <c r="F98" s="4" t="s">
        <v>4</v>
      </c>
      <c r="G98" s="8" t="n">
        <v>26863.9665868282</v>
      </c>
      <c r="H98" s="6" t="n">
        <f aca="false">IF(G98="","",G98/SUMIFS($G$2:$G$671,$F$2:$F$671,"Served"))</f>
        <v>0.00135920439990786</v>
      </c>
      <c r="I98" s="4" t="n">
        <f aca="false">IF(G98="","",RANK(G98,$G$2:$G$671,0))</f>
        <v>97</v>
      </c>
      <c r="J98" s="4" t="s">
        <v>34</v>
      </c>
    </row>
    <row r="99" customFormat="false" ht="15" hidden="false" customHeight="false" outlineLevel="0" collapsed="false">
      <c r="A99" s="4" t="s">
        <v>266</v>
      </c>
      <c r="B99" s="4" t="s">
        <v>30</v>
      </c>
      <c r="C99" s="4" t="s">
        <v>31</v>
      </c>
      <c r="D99" s="7" t="s">
        <v>267</v>
      </c>
      <c r="E99" s="4" t="s">
        <v>33</v>
      </c>
      <c r="F99" s="4" t="s">
        <v>4</v>
      </c>
      <c r="G99" s="8" t="n">
        <v>26623.2986729145</v>
      </c>
      <c r="H99" s="6" t="n">
        <f aca="false">IF(G99="","",G99/SUMIFS($G$2:$G$671,$F$2:$F$671,"Served"))</f>
        <v>0.00134702760961701</v>
      </c>
      <c r="I99" s="4" t="n">
        <f aca="false">IF(G99="","",RANK(G99,$G$2:$G$671,0))</f>
        <v>98</v>
      </c>
      <c r="J99" s="4" t="s">
        <v>34</v>
      </c>
    </row>
    <row r="100" customFormat="false" ht="15" hidden="false" customHeight="false" outlineLevel="0" collapsed="false">
      <c r="A100" s="4" t="s">
        <v>268</v>
      </c>
      <c r="B100" s="4" t="s">
        <v>172</v>
      </c>
      <c r="C100" s="4" t="s">
        <v>173</v>
      </c>
      <c r="D100" s="7" t="s">
        <v>269</v>
      </c>
      <c r="E100" s="4" t="s">
        <v>175</v>
      </c>
      <c r="F100" s="4" t="s">
        <v>4</v>
      </c>
      <c r="G100" s="8" t="n">
        <v>26408.9425246716</v>
      </c>
      <c r="H100" s="6" t="n">
        <f aca="false">IF(G100="","",G100/SUMIFS($G$2:$G$671,$F$2:$F$671,"Served"))</f>
        <v>0.00133618208466829</v>
      </c>
      <c r="I100" s="4" t="n">
        <f aca="false">IF(G100="","",RANK(G100,$G$2:$G$671,0))</f>
        <v>99</v>
      </c>
      <c r="J100" s="4" t="s">
        <v>34</v>
      </c>
    </row>
    <row r="101" customFormat="false" ht="15" hidden="false" customHeight="false" outlineLevel="0" collapsed="false">
      <c r="A101" s="4" t="s">
        <v>270</v>
      </c>
      <c r="B101" s="4" t="s">
        <v>30</v>
      </c>
      <c r="C101" s="4" t="s">
        <v>31</v>
      </c>
      <c r="D101" s="7" t="s">
        <v>271</v>
      </c>
      <c r="E101" s="4" t="s">
        <v>33</v>
      </c>
      <c r="F101" s="4" t="s">
        <v>4</v>
      </c>
      <c r="G101" s="8" t="n">
        <v>26302.6915971041</v>
      </c>
      <c r="H101" s="6" t="n">
        <f aca="false">IF(G101="","",G101/SUMIFS($G$2:$G$671,$F$2:$F$671,"Served"))</f>
        <v>0.00133080623193347</v>
      </c>
      <c r="I101" s="4" t="n">
        <f aca="false">IF(G101="","",RANK(G101,$G$2:$G$671,0))</f>
        <v>100</v>
      </c>
      <c r="J101" s="4" t="s">
        <v>34</v>
      </c>
    </row>
    <row r="102" customFormat="false" ht="15" hidden="false" customHeight="false" outlineLevel="0" collapsed="false">
      <c r="A102" s="4" t="s">
        <v>272</v>
      </c>
      <c r="B102" s="4" t="s">
        <v>52</v>
      </c>
      <c r="C102" s="4" t="s">
        <v>203</v>
      </c>
      <c r="D102" s="7" t="s">
        <v>273</v>
      </c>
      <c r="E102" s="4" t="s">
        <v>33</v>
      </c>
      <c r="F102" s="4" t="s">
        <v>4</v>
      </c>
      <c r="G102" s="8" t="n">
        <v>26236.7245328426</v>
      </c>
      <c r="H102" s="6" t="n">
        <f aca="false">IF(G102="","",G102/SUMIFS($G$2:$G$671,$F$2:$F$671,"Served"))</f>
        <v>0.00132746857426838</v>
      </c>
      <c r="I102" s="4" t="n">
        <f aca="false">IF(G102="","",RANK(G102,$G$2:$G$671,0))</f>
        <v>101</v>
      </c>
      <c r="J102" s="4" t="s">
        <v>34</v>
      </c>
    </row>
    <row r="103" customFormat="false" ht="15" hidden="false" customHeight="false" outlineLevel="0" collapsed="false">
      <c r="A103" s="4" t="s">
        <v>274</v>
      </c>
      <c r="B103" s="4" t="s">
        <v>52</v>
      </c>
      <c r="C103" s="4" t="s">
        <v>155</v>
      </c>
      <c r="D103" s="7" t="s">
        <v>275</v>
      </c>
      <c r="E103" s="4" t="s">
        <v>33</v>
      </c>
      <c r="F103" s="4" t="s">
        <v>4</v>
      </c>
      <c r="G103" s="8" t="n">
        <v>26054.7559893131</v>
      </c>
      <c r="H103" s="6" t="n">
        <f aca="false">IF(G103="","",G103/SUMIFS($G$2:$G$671,$F$2:$F$671,"Served"))</f>
        <v>0.00131826172671626</v>
      </c>
      <c r="I103" s="4" t="n">
        <f aca="false">IF(G103="","",RANK(G103,$G$2:$G$671,0))</f>
        <v>102</v>
      </c>
      <c r="J103" s="4" t="s">
        <v>34</v>
      </c>
    </row>
    <row r="104" customFormat="false" ht="15" hidden="false" customHeight="false" outlineLevel="0" collapsed="false">
      <c r="A104" s="4" t="s">
        <v>276</v>
      </c>
      <c r="B104" s="4" t="s">
        <v>52</v>
      </c>
      <c r="C104" s="4" t="s">
        <v>203</v>
      </c>
      <c r="D104" s="7" t="s">
        <v>277</v>
      </c>
      <c r="E104" s="4" t="s">
        <v>33</v>
      </c>
      <c r="F104" s="4" t="s">
        <v>4</v>
      </c>
      <c r="G104" s="8" t="n">
        <v>25443.6092836857</v>
      </c>
      <c r="H104" s="6" t="n">
        <f aca="false">IF(G104="","",G104/SUMIFS($G$2:$G$671,$F$2:$F$671,"Served"))</f>
        <v>0.00128734025841436</v>
      </c>
      <c r="I104" s="4" t="n">
        <f aca="false">IF(G104="","",RANK(G104,$G$2:$G$671,0))</f>
        <v>103</v>
      </c>
      <c r="J104" s="4" t="s">
        <v>34</v>
      </c>
    </row>
    <row r="105" customFormat="false" ht="15" hidden="false" customHeight="false" outlineLevel="0" collapsed="false">
      <c r="A105" s="4" t="s">
        <v>278</v>
      </c>
      <c r="B105" s="4" t="s">
        <v>43</v>
      </c>
      <c r="C105" s="4" t="s">
        <v>44</v>
      </c>
      <c r="D105" s="7" t="s">
        <v>279</v>
      </c>
      <c r="E105" s="4" t="s">
        <v>46</v>
      </c>
      <c r="F105" s="4" t="s">
        <v>4</v>
      </c>
      <c r="G105" s="8" t="n">
        <v>25240.2429276705</v>
      </c>
      <c r="H105" s="6" t="n">
        <f aca="false">IF(G105="","",G105/SUMIFS($G$2:$G$671,$F$2:$F$671,"Served"))</f>
        <v>0.00127705077100766</v>
      </c>
      <c r="I105" s="4" t="n">
        <f aca="false">IF(G105="","",RANK(G105,$G$2:$G$671,0))</f>
        <v>104</v>
      </c>
      <c r="J105" s="4" t="s">
        <v>34</v>
      </c>
    </row>
    <row r="106" customFormat="false" ht="15" hidden="false" customHeight="false" outlineLevel="0" collapsed="false">
      <c r="A106" s="4" t="s">
        <v>280</v>
      </c>
      <c r="B106" s="4" t="s">
        <v>43</v>
      </c>
      <c r="C106" s="4" t="s">
        <v>44</v>
      </c>
      <c r="D106" s="7" t="s">
        <v>281</v>
      </c>
      <c r="E106" s="4" t="s">
        <v>46</v>
      </c>
      <c r="F106" s="4" t="s">
        <v>4</v>
      </c>
      <c r="G106" s="8" t="n">
        <v>24186.6452727318</v>
      </c>
      <c r="H106" s="6" t="n">
        <f aca="false">IF(G106="","",G106/SUMIFS($G$2:$G$671,$F$2:$F$671,"Served"))</f>
        <v>0.00122374313441212</v>
      </c>
      <c r="I106" s="4" t="n">
        <f aca="false">IF(G106="","",RANK(G106,$G$2:$G$671,0))</f>
        <v>105</v>
      </c>
      <c r="J106" s="4" t="s">
        <v>34</v>
      </c>
    </row>
    <row r="107" customFormat="false" ht="15" hidden="false" customHeight="false" outlineLevel="0" collapsed="false">
      <c r="A107" s="4" t="s">
        <v>282</v>
      </c>
      <c r="B107" s="4" t="s">
        <v>52</v>
      </c>
      <c r="C107" s="4" t="s">
        <v>148</v>
      </c>
      <c r="D107" s="7" t="s">
        <v>283</v>
      </c>
      <c r="E107" s="4" t="s">
        <v>33</v>
      </c>
      <c r="F107" s="4" t="s">
        <v>4</v>
      </c>
      <c r="G107" s="8" t="n">
        <v>24149.2247890234</v>
      </c>
      <c r="H107" s="6" t="n">
        <f aca="false">IF(G107="","",G107/SUMIFS($G$2:$G$671,$F$2:$F$671,"Served"))</f>
        <v>0.00122184981437918</v>
      </c>
      <c r="I107" s="4" t="n">
        <f aca="false">IF(G107="","",RANK(G107,$G$2:$G$671,0))</f>
        <v>106</v>
      </c>
      <c r="J107" s="4" t="s">
        <v>34</v>
      </c>
    </row>
    <row r="108" customFormat="false" ht="15" hidden="false" customHeight="false" outlineLevel="0" collapsed="false">
      <c r="A108" s="4" t="s">
        <v>284</v>
      </c>
      <c r="B108" s="4" t="s">
        <v>52</v>
      </c>
      <c r="C108" s="4" t="s">
        <v>53</v>
      </c>
      <c r="D108" s="7" t="s">
        <v>285</v>
      </c>
      <c r="E108" s="4" t="s">
        <v>33</v>
      </c>
      <c r="F108" s="4" t="s">
        <v>4</v>
      </c>
      <c r="G108" s="8" t="n">
        <v>23443.8422181606</v>
      </c>
      <c r="H108" s="6" t="n">
        <f aca="false">IF(G108="","",G108/SUMIFS($G$2:$G$671,$F$2:$F$671,"Served"))</f>
        <v>0.00118616040526545</v>
      </c>
      <c r="I108" s="4" t="n">
        <f aca="false">IF(G108="","",RANK(G108,$G$2:$G$671,0))</f>
        <v>107</v>
      </c>
      <c r="J108" s="4" t="s">
        <v>34</v>
      </c>
    </row>
    <row r="109" customFormat="false" ht="15" hidden="false" customHeight="false" outlineLevel="0" collapsed="false">
      <c r="A109" s="4" t="s">
        <v>286</v>
      </c>
      <c r="B109" s="4" t="s">
        <v>30</v>
      </c>
      <c r="C109" s="4" t="s">
        <v>287</v>
      </c>
      <c r="D109" s="7" t="s">
        <v>288</v>
      </c>
      <c r="E109" s="4" t="s">
        <v>33</v>
      </c>
      <c r="F109" s="4" t="s">
        <v>4</v>
      </c>
      <c r="G109" s="8" t="n">
        <v>23314.9469549656</v>
      </c>
      <c r="H109" s="6" t="n">
        <f aca="false">IF(G109="","",G109/SUMIFS($G$2:$G$671,$F$2:$F$671,"Served"))</f>
        <v>0.00117963884381637</v>
      </c>
      <c r="I109" s="4" t="n">
        <f aca="false">IF(G109="","",RANK(G109,$G$2:$G$671,0))</f>
        <v>108</v>
      </c>
      <c r="J109" s="4" t="s">
        <v>34</v>
      </c>
    </row>
    <row r="110" customFormat="false" ht="15" hidden="false" customHeight="false" outlineLevel="0" collapsed="false">
      <c r="A110" s="4" t="s">
        <v>289</v>
      </c>
      <c r="B110" s="4" t="s">
        <v>30</v>
      </c>
      <c r="C110" s="4" t="s">
        <v>31</v>
      </c>
      <c r="D110" s="7" t="s">
        <v>290</v>
      </c>
      <c r="E110" s="4" t="s">
        <v>33</v>
      </c>
      <c r="F110" s="4" t="s">
        <v>4</v>
      </c>
      <c r="G110" s="8" t="n">
        <v>22134.7325515747</v>
      </c>
      <c r="H110" s="6" t="n">
        <f aca="false">IF(G110="","",G110/SUMIFS($G$2:$G$671,$F$2:$F$671,"Served"))</f>
        <v>0.00111992492909202</v>
      </c>
      <c r="I110" s="4" t="n">
        <f aca="false">IF(G110="","",RANK(G110,$G$2:$G$671,0))</f>
        <v>109</v>
      </c>
      <c r="J110" s="4" t="s">
        <v>34</v>
      </c>
    </row>
    <row r="111" customFormat="false" ht="15" hidden="false" customHeight="false" outlineLevel="0" collapsed="false">
      <c r="A111" s="4" t="s">
        <v>291</v>
      </c>
      <c r="B111" s="4" t="s">
        <v>30</v>
      </c>
      <c r="C111" s="4" t="s">
        <v>93</v>
      </c>
      <c r="D111" s="7" t="s">
        <v>292</v>
      </c>
      <c r="E111" s="4" t="s">
        <v>33</v>
      </c>
      <c r="F111" s="4" t="s">
        <v>4</v>
      </c>
      <c r="G111" s="8" t="n">
        <v>21949.9089915752</v>
      </c>
      <c r="H111" s="6" t="n">
        <f aca="false">IF(G111="","",G111/SUMIFS($G$2:$G$671,$F$2:$F$671,"Served"))</f>
        <v>0.00111057362964241</v>
      </c>
      <c r="I111" s="4" t="n">
        <f aca="false">IF(G111="","",RANK(G111,$G$2:$G$671,0))</f>
        <v>110</v>
      </c>
      <c r="J111" s="4" t="s">
        <v>34</v>
      </c>
    </row>
    <row r="112" customFormat="false" ht="15" hidden="false" customHeight="false" outlineLevel="0" collapsed="false">
      <c r="A112" s="4" t="s">
        <v>293</v>
      </c>
      <c r="B112" s="4" t="s">
        <v>52</v>
      </c>
      <c r="C112" s="4" t="s">
        <v>148</v>
      </c>
      <c r="D112" s="7" t="s">
        <v>294</v>
      </c>
      <c r="E112" s="4" t="s">
        <v>33</v>
      </c>
      <c r="F112" s="4" t="s">
        <v>4</v>
      </c>
      <c r="G112" s="8" t="n">
        <v>21756.0536710024</v>
      </c>
      <c r="H112" s="6" t="n">
        <f aca="false">IF(G112="","",G112/SUMIFS($G$2:$G$671,$F$2:$F$671,"Served"))</f>
        <v>0.00110076536086659</v>
      </c>
      <c r="I112" s="4" t="n">
        <f aca="false">IF(G112="","",RANK(G112,$G$2:$G$671,0))</f>
        <v>111</v>
      </c>
      <c r="J112" s="4" t="s">
        <v>34</v>
      </c>
    </row>
    <row r="113" customFormat="false" ht="15" hidden="false" customHeight="false" outlineLevel="0" collapsed="false">
      <c r="A113" s="4" t="s">
        <v>295</v>
      </c>
      <c r="B113" s="4" t="s">
        <v>30</v>
      </c>
      <c r="C113" s="4" t="s">
        <v>177</v>
      </c>
      <c r="D113" s="7" t="s">
        <v>296</v>
      </c>
      <c r="E113" s="4" t="s">
        <v>33</v>
      </c>
      <c r="F113" s="4" t="s">
        <v>4</v>
      </c>
      <c r="G113" s="8" t="n">
        <v>21738.3929462433</v>
      </c>
      <c r="H113" s="6" t="n">
        <f aca="false">IF(G113="","",G113/SUMIFS($G$2:$G$671,$F$2:$F$671,"Served"))</f>
        <v>0.00109987180202745</v>
      </c>
      <c r="I113" s="4" t="n">
        <f aca="false">IF(G113="","",RANK(G113,$G$2:$G$671,0))</f>
        <v>112</v>
      </c>
      <c r="J113" s="4" t="s">
        <v>34</v>
      </c>
    </row>
    <row r="114" customFormat="false" ht="15" hidden="false" customHeight="false" outlineLevel="0" collapsed="false">
      <c r="A114" s="4" t="s">
        <v>297</v>
      </c>
      <c r="B114" s="4" t="s">
        <v>52</v>
      </c>
      <c r="C114" s="4" t="s">
        <v>53</v>
      </c>
      <c r="D114" s="7" t="s">
        <v>298</v>
      </c>
      <c r="E114" s="4" t="s">
        <v>33</v>
      </c>
      <c r="F114" s="4" t="s">
        <v>4</v>
      </c>
      <c r="G114" s="8" t="n">
        <v>21621.3575520515</v>
      </c>
      <c r="H114" s="6" t="n">
        <f aca="false">IF(G114="","",G114/SUMIFS($G$2:$G$671,$F$2:$F$671,"Served"))</f>
        <v>0.00109395030036773</v>
      </c>
      <c r="I114" s="4" t="n">
        <f aca="false">IF(G114="","",RANK(G114,$G$2:$G$671,0))</f>
        <v>113</v>
      </c>
      <c r="J114" s="4" t="s">
        <v>34</v>
      </c>
    </row>
    <row r="115" customFormat="false" ht="15" hidden="false" customHeight="false" outlineLevel="0" collapsed="false">
      <c r="A115" s="4" t="s">
        <v>299</v>
      </c>
      <c r="B115" s="4" t="s">
        <v>30</v>
      </c>
      <c r="C115" s="4" t="s">
        <v>93</v>
      </c>
      <c r="D115" s="7" t="s">
        <v>300</v>
      </c>
      <c r="E115" s="4" t="s">
        <v>33</v>
      </c>
      <c r="F115" s="4" t="s">
        <v>4</v>
      </c>
      <c r="G115" s="8" t="n">
        <v>21562.4470100403</v>
      </c>
      <c r="H115" s="6" t="n">
        <f aca="false">IF(G115="","",G115/SUMIFS($G$2:$G$671,$F$2:$F$671,"Served"))</f>
        <v>0.00109096967322752</v>
      </c>
      <c r="I115" s="4" t="n">
        <f aca="false">IF(G115="","",RANK(G115,$G$2:$G$671,0))</f>
        <v>114</v>
      </c>
      <c r="J115" s="4" t="s">
        <v>34</v>
      </c>
    </row>
    <row r="116" customFormat="false" ht="15" hidden="false" customHeight="false" outlineLevel="0" collapsed="false">
      <c r="A116" s="4" t="s">
        <v>301</v>
      </c>
      <c r="B116" s="4" t="s">
        <v>52</v>
      </c>
      <c r="C116" s="4" t="s">
        <v>302</v>
      </c>
      <c r="D116" s="7" t="s">
        <v>303</v>
      </c>
      <c r="E116" s="4" t="s">
        <v>33</v>
      </c>
      <c r="F116" s="4" t="s">
        <v>4</v>
      </c>
      <c r="G116" s="8" t="n">
        <v>21445.2751631737</v>
      </c>
      <c r="H116" s="6" t="n">
        <f aca="false">IF(G116="","",G116/SUMIFS($G$2:$G$671,$F$2:$F$671,"Served"))</f>
        <v>0.00108504126763292</v>
      </c>
      <c r="I116" s="4" t="n">
        <f aca="false">IF(G116="","",RANK(G116,$G$2:$G$671,0))</f>
        <v>115</v>
      </c>
      <c r="J116" s="4" t="s">
        <v>34</v>
      </c>
    </row>
    <row r="117" customFormat="false" ht="15" hidden="false" customHeight="false" outlineLevel="0" collapsed="false">
      <c r="A117" s="4" t="s">
        <v>304</v>
      </c>
      <c r="B117" s="4" t="s">
        <v>30</v>
      </c>
      <c r="C117" s="4" t="s">
        <v>31</v>
      </c>
      <c r="D117" s="7" t="s">
        <v>305</v>
      </c>
      <c r="E117" s="4" t="s">
        <v>33</v>
      </c>
      <c r="F117" s="4" t="s">
        <v>4</v>
      </c>
      <c r="G117" s="8" t="n">
        <v>21302.3989548683</v>
      </c>
      <c r="H117" s="6" t="n">
        <f aca="false">IF(G117="","",G117/SUMIFS($G$2:$G$671,$F$2:$F$671,"Served"))</f>
        <v>0.00107781232881098</v>
      </c>
      <c r="I117" s="4" t="n">
        <f aca="false">IF(G117="","",RANK(G117,$G$2:$G$671,0))</f>
        <v>116</v>
      </c>
      <c r="J117" s="4" t="s">
        <v>34</v>
      </c>
    </row>
    <row r="118" customFormat="false" ht="15" hidden="false" customHeight="false" outlineLevel="0" collapsed="false">
      <c r="A118" s="4" t="s">
        <v>306</v>
      </c>
      <c r="B118" s="4" t="s">
        <v>172</v>
      </c>
      <c r="C118" s="4" t="s">
        <v>173</v>
      </c>
      <c r="D118" s="7" t="s">
        <v>307</v>
      </c>
      <c r="E118" s="4" t="s">
        <v>175</v>
      </c>
      <c r="F118" s="4" t="s">
        <v>4</v>
      </c>
      <c r="G118" s="8" t="n">
        <v>20955.6681807041</v>
      </c>
      <c r="H118" s="6" t="n">
        <f aca="false">IF(G118="","",G118/SUMIFS($G$2:$G$671,$F$2:$F$671,"Served"))</f>
        <v>0.0010602692012053</v>
      </c>
      <c r="I118" s="4" t="n">
        <f aca="false">IF(G118="","",RANK(G118,$G$2:$G$671,0))</f>
        <v>117</v>
      </c>
      <c r="J118" s="4" t="s">
        <v>34</v>
      </c>
    </row>
    <row r="119" customFormat="false" ht="15" hidden="false" customHeight="false" outlineLevel="0" collapsed="false">
      <c r="A119" s="4" t="s">
        <v>308</v>
      </c>
      <c r="B119" s="4" t="s">
        <v>52</v>
      </c>
      <c r="C119" s="4" t="s">
        <v>155</v>
      </c>
      <c r="D119" s="7" t="s">
        <v>309</v>
      </c>
      <c r="E119" s="4" t="s">
        <v>33</v>
      </c>
      <c r="F119" s="4" t="s">
        <v>4</v>
      </c>
      <c r="G119" s="8" t="n">
        <v>20790.7717396021</v>
      </c>
      <c r="H119" s="6" t="n">
        <f aca="false">IF(G119="","",G119/SUMIFS($G$2:$G$671,$F$2:$F$671,"Served"))</f>
        <v>0.00105192613066318</v>
      </c>
      <c r="I119" s="4" t="n">
        <f aca="false">IF(G119="","",RANK(G119,$G$2:$G$671,0))</f>
        <v>118</v>
      </c>
      <c r="J119" s="4" t="s">
        <v>34</v>
      </c>
    </row>
    <row r="120" customFormat="false" ht="15" hidden="false" customHeight="false" outlineLevel="0" collapsed="false">
      <c r="A120" s="4" t="s">
        <v>310</v>
      </c>
      <c r="B120" s="4" t="s">
        <v>125</v>
      </c>
      <c r="C120" s="4" t="s">
        <v>126</v>
      </c>
      <c r="D120" s="7" t="s">
        <v>311</v>
      </c>
      <c r="E120" s="4" t="s">
        <v>128</v>
      </c>
      <c r="F120" s="4" t="s">
        <v>4</v>
      </c>
      <c r="G120" s="8" t="n">
        <v>20611.6538043022</v>
      </c>
      <c r="H120" s="6" t="n">
        <f aca="false">IF(G120="","",G120/SUMIFS($G$2:$G$671,$F$2:$F$671,"Served"))</f>
        <v>0.00104286351197003</v>
      </c>
      <c r="I120" s="4" t="n">
        <f aca="false">IF(G120="","",RANK(G120,$G$2:$G$671,0))</f>
        <v>119</v>
      </c>
      <c r="J120" s="4" t="s">
        <v>34</v>
      </c>
    </row>
    <row r="121" customFormat="false" ht="15" hidden="false" customHeight="false" outlineLevel="0" collapsed="false">
      <c r="A121" s="4" t="s">
        <v>312</v>
      </c>
      <c r="B121" s="4" t="s">
        <v>52</v>
      </c>
      <c r="C121" s="4" t="s">
        <v>145</v>
      </c>
      <c r="D121" s="7" t="s">
        <v>313</v>
      </c>
      <c r="E121" s="4" t="s">
        <v>33</v>
      </c>
      <c r="F121" s="4" t="s">
        <v>4</v>
      </c>
      <c r="G121" s="8" t="n">
        <v>20406.4642250538</v>
      </c>
      <c r="H121" s="6" t="n">
        <f aca="false">IF(G121="","",G121/SUMIFS($G$2:$G$671,$F$2:$F$671,"Served"))</f>
        <v>0.00103248177709003</v>
      </c>
      <c r="I121" s="4" t="n">
        <f aca="false">IF(G121="","",RANK(G121,$G$2:$G$671,0))</f>
        <v>120</v>
      </c>
      <c r="J121" s="4" t="s">
        <v>34</v>
      </c>
    </row>
    <row r="122" customFormat="false" ht="15" hidden="false" customHeight="false" outlineLevel="0" collapsed="false">
      <c r="A122" s="4" t="s">
        <v>314</v>
      </c>
      <c r="B122" s="4" t="s">
        <v>30</v>
      </c>
      <c r="C122" s="4" t="s">
        <v>206</v>
      </c>
      <c r="D122" s="7" t="s">
        <v>315</v>
      </c>
      <c r="E122" s="4" t="s">
        <v>33</v>
      </c>
      <c r="F122" s="4" t="s">
        <v>4</v>
      </c>
      <c r="G122" s="8" t="n">
        <v>20366.6442571878</v>
      </c>
      <c r="H122" s="6" t="n">
        <f aca="false">IF(G122="","",G122/SUMIFS($G$2:$G$671,$F$2:$F$671,"Served"))</f>
        <v>0.00103046705319016</v>
      </c>
      <c r="I122" s="4" t="n">
        <f aca="false">IF(G122="","",RANK(G122,$G$2:$G$671,0))</f>
        <v>121</v>
      </c>
      <c r="J122" s="4" t="s">
        <v>34</v>
      </c>
    </row>
    <row r="123" customFormat="false" ht="15" hidden="false" customHeight="false" outlineLevel="0" collapsed="false">
      <c r="A123" s="4" t="s">
        <v>316</v>
      </c>
      <c r="B123" s="4" t="s">
        <v>125</v>
      </c>
      <c r="C123" s="4" t="s">
        <v>126</v>
      </c>
      <c r="D123" s="7" t="s">
        <v>317</v>
      </c>
      <c r="E123" s="4" t="s">
        <v>128</v>
      </c>
      <c r="F123" s="4" t="s">
        <v>4</v>
      </c>
      <c r="G123" s="8" t="n">
        <v>20168.4390916824</v>
      </c>
      <c r="H123" s="6" t="n">
        <f aca="false">IF(G123="","",G123/SUMIFS($G$2:$G$671,$F$2:$F$671,"Served"))</f>
        <v>0.00102043870044603</v>
      </c>
      <c r="I123" s="4" t="n">
        <f aca="false">IF(G123="","",RANK(G123,$G$2:$G$671,0))</f>
        <v>122</v>
      </c>
      <c r="J123" s="4" t="s">
        <v>34</v>
      </c>
    </row>
    <row r="124" customFormat="false" ht="15" hidden="false" customHeight="false" outlineLevel="0" collapsed="false">
      <c r="A124" s="4" t="s">
        <v>318</v>
      </c>
      <c r="B124" s="4" t="s">
        <v>172</v>
      </c>
      <c r="C124" s="4" t="s">
        <v>173</v>
      </c>
      <c r="D124" s="7" t="s">
        <v>319</v>
      </c>
      <c r="E124" s="4" t="s">
        <v>175</v>
      </c>
      <c r="F124" s="4" t="s">
        <v>4</v>
      </c>
      <c r="G124" s="8" t="n">
        <v>19895.1798508167</v>
      </c>
      <c r="H124" s="6" t="n">
        <f aca="false">IF(G124="","",G124/SUMIFS($G$2:$G$671,$F$2:$F$671,"Served"))</f>
        <v>0.001006612925265</v>
      </c>
      <c r="I124" s="4" t="n">
        <f aca="false">IF(G124="","",RANK(G124,$G$2:$G$671,0))</f>
        <v>123</v>
      </c>
      <c r="J124" s="4" t="s">
        <v>34</v>
      </c>
    </row>
    <row r="125" customFormat="false" ht="15" hidden="false" customHeight="false" outlineLevel="0" collapsed="false">
      <c r="A125" s="4" t="s">
        <v>320</v>
      </c>
      <c r="B125" s="4" t="s">
        <v>71</v>
      </c>
      <c r="C125" s="4" t="s">
        <v>72</v>
      </c>
      <c r="D125" s="7" t="s">
        <v>321</v>
      </c>
      <c r="E125" s="4" t="s">
        <v>74</v>
      </c>
      <c r="F125" s="4" t="s">
        <v>4</v>
      </c>
      <c r="G125" s="8" t="n">
        <v>19785.3716952801</v>
      </c>
      <c r="H125" s="6" t="n">
        <f aca="false">IF(G125="","",G125/SUMIFS($G$2:$G$671,$F$2:$F$671,"Served"))</f>
        <v>0.00100105709166653</v>
      </c>
      <c r="I125" s="4" t="n">
        <f aca="false">IF(G125="","",RANK(G125,$G$2:$G$671,0))</f>
        <v>124</v>
      </c>
      <c r="J125" s="4" t="s">
        <v>34</v>
      </c>
    </row>
    <row r="126" customFormat="false" ht="15" hidden="false" customHeight="false" outlineLevel="0" collapsed="false">
      <c r="A126" s="4" t="s">
        <v>322</v>
      </c>
      <c r="B126" s="4" t="s">
        <v>172</v>
      </c>
      <c r="C126" s="4" t="s">
        <v>173</v>
      </c>
      <c r="D126" s="7" t="s">
        <v>323</v>
      </c>
      <c r="E126" s="4" t="s">
        <v>175</v>
      </c>
      <c r="F126" s="4" t="s">
        <v>4</v>
      </c>
      <c r="G126" s="8" t="n">
        <v>19041.0151745081</v>
      </c>
      <c r="H126" s="6" t="n">
        <f aca="false">IF(G126="","",G126/SUMIFS($G$2:$G$671,$F$2:$F$671,"Served"))</f>
        <v>0.000963395763624624</v>
      </c>
      <c r="I126" s="4" t="n">
        <f aca="false">IF(G126="","",RANK(G126,$G$2:$G$671,0))</f>
        <v>125</v>
      </c>
      <c r="J126" s="4" t="s">
        <v>34</v>
      </c>
    </row>
    <row r="127" customFormat="false" ht="15" hidden="false" customHeight="false" outlineLevel="0" collapsed="false">
      <c r="A127" s="4" t="s">
        <v>324</v>
      </c>
      <c r="B127" s="4" t="s">
        <v>30</v>
      </c>
      <c r="C127" s="4" t="s">
        <v>325</v>
      </c>
      <c r="D127" s="7" t="s">
        <v>326</v>
      </c>
      <c r="E127" s="4" t="s">
        <v>33</v>
      </c>
      <c r="F127" s="4" t="s">
        <v>4</v>
      </c>
      <c r="G127" s="8" t="n">
        <v>18833.7362303734</v>
      </c>
      <c r="H127" s="6" t="n">
        <f aca="false">IF(G127="","",G127/SUMIFS($G$2:$G$671,$F$2:$F$671,"Served"))</f>
        <v>0.000952908315616321</v>
      </c>
      <c r="I127" s="4" t="n">
        <f aca="false">IF(G127="","",RANK(G127,$G$2:$G$671,0))</f>
        <v>126</v>
      </c>
      <c r="J127" s="4" t="s">
        <v>34</v>
      </c>
    </row>
    <row r="128" customFormat="false" ht="15" hidden="false" customHeight="false" outlineLevel="0" collapsed="false">
      <c r="A128" s="4" t="s">
        <v>327</v>
      </c>
      <c r="B128" s="4" t="s">
        <v>52</v>
      </c>
      <c r="C128" s="4" t="s">
        <v>148</v>
      </c>
      <c r="D128" s="7" t="s">
        <v>328</v>
      </c>
      <c r="E128" s="4" t="s">
        <v>33</v>
      </c>
      <c r="F128" s="4" t="s">
        <v>4</v>
      </c>
      <c r="G128" s="8" t="n">
        <v>18500.0402158499</v>
      </c>
      <c r="H128" s="6" t="n">
        <f aca="false">IF(G128="","",G128/SUMIFS($G$2:$G$671,$F$2:$F$671,"Served"))</f>
        <v>0.000936024692354429</v>
      </c>
      <c r="I128" s="4" t="n">
        <f aca="false">IF(G128="","",RANK(G128,$G$2:$G$671,0))</f>
        <v>127</v>
      </c>
      <c r="J128" s="4" t="s">
        <v>34</v>
      </c>
    </row>
    <row r="129" customFormat="false" ht="15" hidden="false" customHeight="false" outlineLevel="0" collapsed="false">
      <c r="A129" s="4" t="s">
        <v>329</v>
      </c>
      <c r="B129" s="4" t="s">
        <v>52</v>
      </c>
      <c r="C129" s="4" t="s">
        <v>155</v>
      </c>
      <c r="D129" s="7" t="s">
        <v>330</v>
      </c>
      <c r="E129" s="4" t="s">
        <v>33</v>
      </c>
      <c r="F129" s="4" t="s">
        <v>4</v>
      </c>
      <c r="G129" s="8" t="n">
        <v>18489.8875088692</v>
      </c>
      <c r="H129" s="6" t="n">
        <f aca="false">IF(G129="","",G129/SUMIFS($G$2:$G$671,$F$2:$F$671,"Served"))</f>
        <v>0.000935511007826325</v>
      </c>
      <c r="I129" s="4" t="n">
        <f aca="false">IF(G129="","",RANK(G129,$G$2:$G$671,0))</f>
        <v>128</v>
      </c>
      <c r="J129" s="4" t="s">
        <v>34</v>
      </c>
    </row>
    <row r="130" customFormat="false" ht="15" hidden="false" customHeight="false" outlineLevel="0" collapsed="false">
      <c r="A130" s="4" t="s">
        <v>331</v>
      </c>
      <c r="B130" s="4" t="s">
        <v>213</v>
      </c>
      <c r="C130" s="4" t="s">
        <v>214</v>
      </c>
      <c r="D130" s="7" t="s">
        <v>332</v>
      </c>
      <c r="E130" s="4" t="s">
        <v>216</v>
      </c>
      <c r="F130" s="4" t="s">
        <v>4</v>
      </c>
      <c r="G130" s="8" t="n">
        <v>18214.5812940598</v>
      </c>
      <c r="H130" s="6" t="n">
        <f aca="false">IF(G130="","",G130/SUMIFS($G$2:$G$671,$F$2:$F$671,"Served"))</f>
        <v>0.000921581664321468</v>
      </c>
      <c r="I130" s="4" t="n">
        <f aca="false">IF(G130="","",RANK(G130,$G$2:$G$671,0))</f>
        <v>129</v>
      </c>
      <c r="J130" s="4" t="s">
        <v>34</v>
      </c>
    </row>
    <row r="131" customFormat="false" ht="15" hidden="false" customHeight="false" outlineLevel="0" collapsed="false">
      <c r="A131" s="4" t="s">
        <v>333</v>
      </c>
      <c r="B131" s="4" t="s">
        <v>30</v>
      </c>
      <c r="C131" s="4" t="s">
        <v>93</v>
      </c>
      <c r="D131" s="7" t="s">
        <v>334</v>
      </c>
      <c r="E131" s="4" t="s">
        <v>33</v>
      </c>
      <c r="F131" s="4" t="s">
        <v>4</v>
      </c>
      <c r="G131" s="8" t="n">
        <v>17889.5725150108</v>
      </c>
      <c r="H131" s="6" t="n">
        <f aca="false">IF(G131="","",G131/SUMIFS($G$2:$G$671,$F$2:$F$671,"Served"))</f>
        <v>0.000905137578856123</v>
      </c>
      <c r="I131" s="4" t="n">
        <f aca="false">IF(G131="","",RANK(G131,$G$2:$G$671,0))</f>
        <v>130</v>
      </c>
      <c r="J131" s="4" t="s">
        <v>34</v>
      </c>
    </row>
    <row r="132" customFormat="false" ht="15" hidden="false" customHeight="false" outlineLevel="0" collapsed="false">
      <c r="A132" s="4" t="s">
        <v>335</v>
      </c>
      <c r="B132" s="4" t="s">
        <v>52</v>
      </c>
      <c r="C132" s="4" t="s">
        <v>145</v>
      </c>
      <c r="D132" s="7" t="s">
        <v>336</v>
      </c>
      <c r="E132" s="4" t="s">
        <v>33</v>
      </c>
      <c r="F132" s="4" t="s">
        <v>4</v>
      </c>
      <c r="G132" s="8" t="n">
        <v>17694.4341195822</v>
      </c>
      <c r="H132" s="6" t="n">
        <f aca="false">IF(G132="","",G132/SUMIFS($G$2:$G$671,$F$2:$F$671,"Served"))</f>
        <v>0.000895264391856715</v>
      </c>
      <c r="I132" s="4" t="n">
        <f aca="false">IF(G132="","",RANK(G132,$G$2:$G$671,0))</f>
        <v>131</v>
      </c>
      <c r="J132" s="4" t="s">
        <v>34</v>
      </c>
    </row>
    <row r="133" customFormat="false" ht="15" hidden="false" customHeight="false" outlineLevel="0" collapsed="false">
      <c r="A133" s="4" t="s">
        <v>337</v>
      </c>
      <c r="B133" s="4" t="s">
        <v>30</v>
      </c>
      <c r="C133" s="4" t="s">
        <v>132</v>
      </c>
      <c r="D133" s="7" t="s">
        <v>338</v>
      </c>
      <c r="E133" s="4" t="s">
        <v>33</v>
      </c>
      <c r="F133" s="4" t="s">
        <v>4</v>
      </c>
      <c r="G133" s="8" t="n">
        <v>17617.4897637367</v>
      </c>
      <c r="H133" s="6" t="n">
        <f aca="false">IF(G133="","",G133/SUMIFS($G$2:$G$671,$F$2:$F$671,"Served"))</f>
        <v>0.000891371329129914</v>
      </c>
      <c r="I133" s="4" t="n">
        <f aca="false">IF(G133="","",RANK(G133,$G$2:$G$671,0))</f>
        <v>132</v>
      </c>
      <c r="J133" s="4" t="s">
        <v>34</v>
      </c>
    </row>
    <row r="134" customFormat="false" ht="15" hidden="false" customHeight="false" outlineLevel="0" collapsed="false">
      <c r="A134" s="4" t="s">
        <v>339</v>
      </c>
      <c r="B134" s="4" t="s">
        <v>52</v>
      </c>
      <c r="C134" s="4" t="s">
        <v>155</v>
      </c>
      <c r="D134" s="7" t="s">
        <v>340</v>
      </c>
      <c r="E134" s="4" t="s">
        <v>33</v>
      </c>
      <c r="F134" s="4" t="s">
        <v>4</v>
      </c>
      <c r="G134" s="8" t="n">
        <v>17581.4657042027</v>
      </c>
      <c r="H134" s="6" t="n">
        <f aca="false">IF(G134="","",G134/SUMIFS($G$2:$G$671,$F$2:$F$671,"Served"))</f>
        <v>0.000889548662322203</v>
      </c>
      <c r="I134" s="4" t="n">
        <f aca="false">IF(G134="","",RANK(G134,$G$2:$G$671,0))</f>
        <v>133</v>
      </c>
      <c r="J134" s="4" t="s">
        <v>34</v>
      </c>
    </row>
    <row r="135" customFormat="false" ht="15" hidden="false" customHeight="false" outlineLevel="0" collapsed="false">
      <c r="A135" s="4" t="s">
        <v>341</v>
      </c>
      <c r="B135" s="4" t="s">
        <v>213</v>
      </c>
      <c r="C135" s="4" t="s">
        <v>214</v>
      </c>
      <c r="D135" s="7" t="s">
        <v>342</v>
      </c>
      <c r="E135" s="4" t="s">
        <v>216</v>
      </c>
      <c r="F135" s="4" t="s">
        <v>4</v>
      </c>
      <c r="G135" s="8" t="n">
        <v>17457.5706170797</v>
      </c>
      <c r="H135" s="6" t="n">
        <f aca="false">IF(G135="","",G135/SUMIFS($G$2:$G$671,$F$2:$F$671,"Served"))</f>
        <v>0.000883280088878287</v>
      </c>
      <c r="I135" s="4" t="n">
        <f aca="false">IF(G135="","",RANK(G135,$G$2:$G$671,0))</f>
        <v>134</v>
      </c>
      <c r="J135" s="4" t="s">
        <v>34</v>
      </c>
    </row>
    <row r="136" customFormat="false" ht="15" hidden="false" customHeight="false" outlineLevel="0" collapsed="false">
      <c r="A136" s="4" t="s">
        <v>343</v>
      </c>
      <c r="B136" s="4" t="s">
        <v>30</v>
      </c>
      <c r="C136" s="4" t="s">
        <v>344</v>
      </c>
      <c r="D136" s="7" t="s">
        <v>345</v>
      </c>
      <c r="E136" s="4" t="s">
        <v>33</v>
      </c>
      <c r="F136" s="4" t="s">
        <v>4</v>
      </c>
      <c r="G136" s="8" t="n">
        <v>17432.0515723229</v>
      </c>
      <c r="H136" s="6" t="n">
        <f aca="false">IF(G136="","",G136/SUMIFS($G$2:$G$671,$F$2:$F$671,"Served"))</f>
        <v>0.0008819889319003</v>
      </c>
      <c r="I136" s="4" t="n">
        <f aca="false">IF(G136="","",RANK(G136,$G$2:$G$671,0))</f>
        <v>135</v>
      </c>
      <c r="J136" s="4" t="s">
        <v>34</v>
      </c>
    </row>
    <row r="137" customFormat="false" ht="15" hidden="false" customHeight="false" outlineLevel="0" collapsed="false">
      <c r="A137" s="4" t="s">
        <v>346</v>
      </c>
      <c r="B137" s="4" t="s">
        <v>52</v>
      </c>
      <c r="C137" s="4" t="s">
        <v>158</v>
      </c>
      <c r="D137" s="7" t="s">
        <v>347</v>
      </c>
      <c r="E137" s="4" t="s">
        <v>33</v>
      </c>
      <c r="F137" s="4" t="s">
        <v>4</v>
      </c>
      <c r="G137" s="8" t="n">
        <v>17253.7782390118</v>
      </c>
      <c r="H137" s="6" t="n">
        <f aca="false">IF(G137="","",G137/SUMIFS($G$2:$G$671,$F$2:$F$671,"Served"))</f>
        <v>0.000872969046536778</v>
      </c>
      <c r="I137" s="4" t="n">
        <f aca="false">IF(G137="","",RANK(G137,$G$2:$G$671,0))</f>
        <v>136</v>
      </c>
      <c r="J137" s="4" t="s">
        <v>34</v>
      </c>
    </row>
    <row r="138" customFormat="false" ht="15" hidden="false" customHeight="false" outlineLevel="0" collapsed="false">
      <c r="A138" s="4" t="s">
        <v>348</v>
      </c>
      <c r="B138" s="4" t="s">
        <v>52</v>
      </c>
      <c r="C138" s="4" t="s">
        <v>349</v>
      </c>
      <c r="D138" s="7" t="s">
        <v>350</v>
      </c>
      <c r="E138" s="4" t="s">
        <v>33</v>
      </c>
      <c r="F138" s="4" t="s">
        <v>4</v>
      </c>
      <c r="G138" s="8" t="n">
        <v>17225.3448243141</v>
      </c>
      <c r="H138" s="6" t="n">
        <f aca="false">IF(G138="","",G138/SUMIFS($G$2:$G$671,$F$2:$F$671,"Served"))</f>
        <v>0.000871530434623808</v>
      </c>
      <c r="I138" s="4" t="n">
        <f aca="false">IF(G138="","",RANK(G138,$G$2:$G$671,0))</f>
        <v>137</v>
      </c>
      <c r="J138" s="4" t="s">
        <v>34</v>
      </c>
    </row>
    <row r="139" customFormat="false" ht="15" hidden="false" customHeight="false" outlineLevel="0" collapsed="false">
      <c r="A139" s="4" t="s">
        <v>351</v>
      </c>
      <c r="B139" s="4" t="s">
        <v>172</v>
      </c>
      <c r="C139" s="4" t="s">
        <v>173</v>
      </c>
      <c r="D139" s="7" t="s">
        <v>352</v>
      </c>
      <c r="E139" s="4" t="s">
        <v>175</v>
      </c>
      <c r="F139" s="4" t="s">
        <v>4</v>
      </c>
      <c r="G139" s="8" t="n">
        <v>17055.5117040873</v>
      </c>
      <c r="H139" s="6" t="n">
        <f aca="false">IF(G139="","",G139/SUMIFS($G$2:$G$671,$F$2:$F$671,"Served"))</f>
        <v>0.000862937588756601</v>
      </c>
      <c r="I139" s="4" t="n">
        <f aca="false">IF(G139="","",RANK(G139,$G$2:$G$671,0))</f>
        <v>138</v>
      </c>
      <c r="J139" s="4" t="s">
        <v>34</v>
      </c>
    </row>
    <row r="140" customFormat="false" ht="15" hidden="false" customHeight="false" outlineLevel="0" collapsed="false">
      <c r="A140" s="4" t="s">
        <v>353</v>
      </c>
      <c r="B140" s="4" t="s">
        <v>30</v>
      </c>
      <c r="C140" s="4" t="s">
        <v>177</v>
      </c>
      <c r="D140" s="7" t="s">
        <v>354</v>
      </c>
      <c r="E140" s="4" t="s">
        <v>33</v>
      </c>
      <c r="F140" s="4" t="s">
        <v>4</v>
      </c>
      <c r="G140" s="8" t="n">
        <v>16489.4296200275</v>
      </c>
      <c r="H140" s="6" t="n">
        <f aca="false">IF(G140="","",G140/SUMIFS($G$2:$G$671,$F$2:$F$671,"Served"))</f>
        <v>0.000834296201905701</v>
      </c>
      <c r="I140" s="4" t="n">
        <f aca="false">IF(G140="","",RANK(G140,$G$2:$G$671,0))</f>
        <v>139</v>
      </c>
      <c r="J140" s="4" t="s">
        <v>34</v>
      </c>
    </row>
    <row r="141" customFormat="false" ht="15" hidden="false" customHeight="false" outlineLevel="0" collapsed="false">
      <c r="A141" s="4" t="s">
        <v>355</v>
      </c>
      <c r="B141" s="4" t="s">
        <v>52</v>
      </c>
      <c r="C141" s="4" t="s">
        <v>200</v>
      </c>
      <c r="D141" s="7" t="s">
        <v>356</v>
      </c>
      <c r="E141" s="4" t="s">
        <v>33</v>
      </c>
      <c r="F141" s="4" t="s">
        <v>4</v>
      </c>
      <c r="G141" s="8" t="n">
        <v>16472.0027258396</v>
      </c>
      <c r="H141" s="6" t="n">
        <f aca="false">IF(G141="","",G141/SUMIFS($G$2:$G$671,$F$2:$F$671,"Served"))</f>
        <v>0.00083341447391589</v>
      </c>
      <c r="I141" s="4" t="n">
        <f aca="false">IF(G141="","",RANK(G141,$G$2:$G$671,0))</f>
        <v>140</v>
      </c>
      <c r="J141" s="4" t="s">
        <v>34</v>
      </c>
    </row>
    <row r="142" customFormat="false" ht="15" hidden="false" customHeight="false" outlineLevel="0" collapsed="false">
      <c r="A142" s="4" t="s">
        <v>357</v>
      </c>
      <c r="B142" s="4" t="s">
        <v>30</v>
      </c>
      <c r="C142" s="4" t="s">
        <v>31</v>
      </c>
      <c r="D142" s="7" t="s">
        <v>358</v>
      </c>
      <c r="E142" s="4" t="s">
        <v>33</v>
      </c>
      <c r="F142" s="4" t="s">
        <v>4</v>
      </c>
      <c r="G142" s="8" t="n">
        <v>16334.0783574581</v>
      </c>
      <c r="H142" s="6" t="n">
        <f aca="false">IF(G142="","",G142/SUMIFS($G$2:$G$671,$F$2:$F$671,"Served"))</f>
        <v>0.000826436077492089</v>
      </c>
      <c r="I142" s="4" t="n">
        <f aca="false">IF(G142="","",RANK(G142,$G$2:$G$671,0))</f>
        <v>141</v>
      </c>
      <c r="J142" s="4" t="s">
        <v>34</v>
      </c>
    </row>
    <row r="143" customFormat="false" ht="15" hidden="false" customHeight="false" outlineLevel="0" collapsed="false">
      <c r="A143" s="4" t="s">
        <v>359</v>
      </c>
      <c r="B143" s="4" t="s">
        <v>172</v>
      </c>
      <c r="C143" s="4" t="s">
        <v>173</v>
      </c>
      <c r="D143" s="7" t="s">
        <v>360</v>
      </c>
      <c r="E143" s="4" t="s">
        <v>175</v>
      </c>
      <c r="F143" s="4" t="s">
        <v>4</v>
      </c>
      <c r="G143" s="8" t="n">
        <v>16000.8063948154</v>
      </c>
      <c r="H143" s="6" t="n">
        <f aca="false">IF(G143="","",G143/SUMIFS($G$2:$G$671,$F$2:$F$671,"Served"))</f>
        <v>0.000809573909482545</v>
      </c>
      <c r="I143" s="4" t="n">
        <f aca="false">IF(G143="","",RANK(G143,$G$2:$G$671,0))</f>
        <v>142</v>
      </c>
      <c r="J143" s="4" t="s">
        <v>34</v>
      </c>
    </row>
    <row r="144" customFormat="false" ht="15" hidden="false" customHeight="false" outlineLevel="0" collapsed="false">
      <c r="A144" s="4" t="s">
        <v>361</v>
      </c>
      <c r="B144" s="4" t="s">
        <v>52</v>
      </c>
      <c r="C144" s="4" t="s">
        <v>362</v>
      </c>
      <c r="D144" s="7" t="s">
        <v>363</v>
      </c>
      <c r="E144" s="4" t="s">
        <v>33</v>
      </c>
      <c r="F144" s="4" t="s">
        <v>4</v>
      </c>
      <c r="G144" s="8" t="n">
        <v>15771.839877367</v>
      </c>
      <c r="H144" s="6" t="n">
        <f aca="false">IF(G144="","",G144/SUMIFS($G$2:$G$671,$F$2:$F$671,"Served"))</f>
        <v>0.000797989160933161</v>
      </c>
      <c r="I144" s="4" t="n">
        <f aca="false">IF(G144="","",RANK(G144,$G$2:$G$671,0))</f>
        <v>143</v>
      </c>
      <c r="J144" s="4" t="s">
        <v>34</v>
      </c>
    </row>
    <row r="145" customFormat="false" ht="15" hidden="false" customHeight="false" outlineLevel="0" collapsed="false">
      <c r="A145" s="4" t="s">
        <v>364</v>
      </c>
      <c r="B145" s="4" t="s">
        <v>52</v>
      </c>
      <c r="C145" s="4" t="s">
        <v>232</v>
      </c>
      <c r="D145" s="7" t="s">
        <v>365</v>
      </c>
      <c r="E145" s="4" t="s">
        <v>33</v>
      </c>
      <c r="F145" s="4" t="s">
        <v>4</v>
      </c>
      <c r="G145" s="8" t="n">
        <v>15699.33411479</v>
      </c>
      <c r="H145" s="6" t="n">
        <f aca="false">IF(G145="","",G145/SUMIFS($G$2:$G$671,$F$2:$F$671,"Served"))</f>
        <v>0.000794320672469445</v>
      </c>
      <c r="I145" s="4" t="n">
        <f aca="false">IF(G145="","",RANK(G145,$G$2:$G$671,0))</f>
        <v>144</v>
      </c>
      <c r="J145" s="4" t="s">
        <v>34</v>
      </c>
    </row>
    <row r="146" customFormat="false" ht="15" hidden="false" customHeight="false" outlineLevel="0" collapsed="false">
      <c r="A146" s="4" t="s">
        <v>366</v>
      </c>
      <c r="B146" s="4" t="s">
        <v>30</v>
      </c>
      <c r="C146" s="4" t="s">
        <v>241</v>
      </c>
      <c r="D146" s="7" t="s">
        <v>367</v>
      </c>
      <c r="E146" s="4" t="s">
        <v>33</v>
      </c>
      <c r="F146" s="4" t="s">
        <v>4</v>
      </c>
      <c r="G146" s="8" t="n">
        <v>15622.1985803843</v>
      </c>
      <c r="H146" s="6" t="n">
        <f aca="false">IF(G146="","",G146/SUMIFS($G$2:$G$671,$F$2:$F$671,"Served"))</f>
        <v>0.00079041793690675</v>
      </c>
      <c r="I146" s="4" t="n">
        <f aca="false">IF(G146="","",RANK(G146,$G$2:$G$671,0))</f>
        <v>145</v>
      </c>
      <c r="J146" s="4" t="s">
        <v>34</v>
      </c>
    </row>
    <row r="147" customFormat="false" ht="15" hidden="false" customHeight="false" outlineLevel="0" collapsed="false">
      <c r="A147" s="4" t="s">
        <v>368</v>
      </c>
      <c r="B147" s="4" t="s">
        <v>30</v>
      </c>
      <c r="C147" s="4" t="s">
        <v>241</v>
      </c>
      <c r="D147" s="7" t="s">
        <v>369</v>
      </c>
      <c r="E147" s="4" t="s">
        <v>33</v>
      </c>
      <c r="F147" s="4" t="s">
        <v>4</v>
      </c>
      <c r="G147" s="8" t="n">
        <v>15328.5551035404</v>
      </c>
      <c r="H147" s="6" t="n">
        <f aca="false">IF(G147="","",G147/SUMIFS($G$2:$G$671,$F$2:$F$671,"Served"))</f>
        <v>0.000775560804604997</v>
      </c>
      <c r="I147" s="4" t="n">
        <f aca="false">IF(G147="","",RANK(G147,$G$2:$G$671,0))</f>
        <v>146</v>
      </c>
      <c r="J147" s="4" t="s">
        <v>34</v>
      </c>
    </row>
    <row r="148" customFormat="false" ht="15" hidden="false" customHeight="false" outlineLevel="0" collapsed="false">
      <c r="A148" s="4" t="s">
        <v>370</v>
      </c>
      <c r="B148" s="4" t="s">
        <v>52</v>
      </c>
      <c r="C148" s="4" t="s">
        <v>203</v>
      </c>
      <c r="D148" s="7" t="s">
        <v>371</v>
      </c>
      <c r="E148" s="4" t="s">
        <v>33</v>
      </c>
      <c r="F148" s="4" t="s">
        <v>4</v>
      </c>
      <c r="G148" s="8" t="n">
        <v>15285.3045173883</v>
      </c>
      <c r="H148" s="6" t="n">
        <f aca="false">IF(G148="","",G148/SUMIFS($G$2:$G$671,$F$2:$F$671,"Served"))</f>
        <v>0.00077337250576214</v>
      </c>
      <c r="I148" s="4" t="n">
        <f aca="false">IF(G148="","",RANK(G148,$G$2:$G$671,0))</f>
        <v>147</v>
      </c>
      <c r="J148" s="4" t="s">
        <v>34</v>
      </c>
    </row>
    <row r="149" customFormat="false" ht="15" hidden="false" customHeight="false" outlineLevel="0" collapsed="false">
      <c r="A149" s="4" t="s">
        <v>372</v>
      </c>
      <c r="B149" s="4" t="s">
        <v>52</v>
      </c>
      <c r="C149" s="4" t="s">
        <v>165</v>
      </c>
      <c r="D149" s="7" t="s">
        <v>373</v>
      </c>
      <c r="E149" s="4" t="s">
        <v>33</v>
      </c>
      <c r="F149" s="4" t="s">
        <v>4</v>
      </c>
      <c r="G149" s="8" t="n">
        <v>15283.037509203</v>
      </c>
      <c r="H149" s="6" t="n">
        <f aca="false">IF(G149="","",G149/SUMIFS($G$2:$G$671,$F$2:$F$671,"Served"))</f>
        <v>0.000773257804625574</v>
      </c>
      <c r="I149" s="4" t="n">
        <f aca="false">IF(G149="","",RANK(G149,$G$2:$G$671,0))</f>
        <v>148</v>
      </c>
      <c r="J149" s="4" t="s">
        <v>34</v>
      </c>
    </row>
    <row r="150" customFormat="false" ht="15" hidden="false" customHeight="false" outlineLevel="0" collapsed="false">
      <c r="A150" s="4" t="s">
        <v>374</v>
      </c>
      <c r="B150" s="4" t="s">
        <v>52</v>
      </c>
      <c r="C150" s="4" t="s">
        <v>145</v>
      </c>
      <c r="D150" s="7" t="s">
        <v>375</v>
      </c>
      <c r="E150" s="4" t="s">
        <v>33</v>
      </c>
      <c r="F150" s="4" t="s">
        <v>4</v>
      </c>
      <c r="G150" s="8" t="n">
        <v>15276.943125248</v>
      </c>
      <c r="H150" s="6" t="n">
        <f aca="false">IF(G150="","",G150/SUMIFS($G$2:$G$671,$F$2:$F$671,"Served"))</f>
        <v>0.00077294945427606</v>
      </c>
      <c r="I150" s="4" t="n">
        <f aca="false">IF(G150="","",RANK(G150,$G$2:$G$671,0))</f>
        <v>149</v>
      </c>
      <c r="J150" s="4" t="s">
        <v>34</v>
      </c>
    </row>
    <row r="151" customFormat="false" ht="15" hidden="false" customHeight="false" outlineLevel="0" collapsed="false">
      <c r="A151" s="4" t="s">
        <v>376</v>
      </c>
      <c r="B151" s="4" t="s">
        <v>30</v>
      </c>
      <c r="C151" s="4" t="s">
        <v>31</v>
      </c>
      <c r="D151" s="7" t="s">
        <v>377</v>
      </c>
      <c r="E151" s="4" t="s">
        <v>33</v>
      </c>
      <c r="F151" s="4" t="s">
        <v>4</v>
      </c>
      <c r="G151" s="8" t="n">
        <v>15233.2489210367</v>
      </c>
      <c r="H151" s="6" t="n">
        <f aca="false">IF(G151="","",G151/SUMIFS($G$2:$G$671,$F$2:$F$671,"Served"))</f>
        <v>0.000770738710214031</v>
      </c>
      <c r="I151" s="4" t="n">
        <f aca="false">IF(G151="","",RANK(G151,$G$2:$G$671,0))</f>
        <v>150</v>
      </c>
      <c r="J151" s="4" t="s">
        <v>34</v>
      </c>
    </row>
    <row r="152" customFormat="false" ht="15" hidden="false" customHeight="false" outlineLevel="0" collapsed="false">
      <c r="A152" s="4" t="s">
        <v>378</v>
      </c>
      <c r="B152" s="4" t="s">
        <v>30</v>
      </c>
      <c r="C152" s="4" t="s">
        <v>93</v>
      </c>
      <c r="D152" s="7" t="s">
        <v>379</v>
      </c>
      <c r="E152" s="4" t="s">
        <v>33</v>
      </c>
      <c r="F152" s="4" t="s">
        <v>4</v>
      </c>
      <c r="G152" s="8" t="n">
        <v>15218.6855518818</v>
      </c>
      <c r="H152" s="6" t="n">
        <f aca="false">IF(G152="","",G152/SUMIFS($G$2:$G$671,$F$2:$F$671,"Served"))</f>
        <v>0.000770001864619435</v>
      </c>
      <c r="I152" s="4" t="n">
        <f aca="false">IF(G152="","",RANK(G152,$G$2:$G$671,0))</f>
        <v>151</v>
      </c>
      <c r="J152" s="4" t="s">
        <v>34</v>
      </c>
    </row>
    <row r="153" customFormat="false" ht="15" hidden="false" customHeight="false" outlineLevel="0" collapsed="false">
      <c r="A153" s="4" t="s">
        <v>380</v>
      </c>
      <c r="B153" s="4" t="s">
        <v>43</v>
      </c>
      <c r="C153" s="4" t="s">
        <v>44</v>
      </c>
      <c r="D153" s="7" t="s">
        <v>381</v>
      </c>
      <c r="E153" s="4" t="s">
        <v>46</v>
      </c>
      <c r="F153" s="4" t="s">
        <v>4</v>
      </c>
      <c r="G153" s="8" t="n">
        <v>15039.9526093006</v>
      </c>
      <c r="H153" s="6" t="n">
        <f aca="false">IF(G153="","",G153/SUMIFS($G$2:$G$671,$F$2:$F$671,"Served"))</f>
        <v>0.000760958724948321</v>
      </c>
      <c r="I153" s="4" t="n">
        <f aca="false">IF(G153="","",RANK(G153,$G$2:$G$671,0))</f>
        <v>152</v>
      </c>
      <c r="J153" s="4" t="s">
        <v>34</v>
      </c>
    </row>
    <row r="154" customFormat="false" ht="15" hidden="false" customHeight="false" outlineLevel="0" collapsed="false">
      <c r="A154" s="4" t="s">
        <v>382</v>
      </c>
      <c r="B154" s="4" t="s">
        <v>52</v>
      </c>
      <c r="C154" s="4" t="s">
        <v>145</v>
      </c>
      <c r="D154" s="7" t="s">
        <v>383</v>
      </c>
      <c r="E154" s="4" t="s">
        <v>33</v>
      </c>
      <c r="F154" s="4" t="s">
        <v>4</v>
      </c>
      <c r="G154" s="8" t="n">
        <v>15001.8138687611</v>
      </c>
      <c r="H154" s="6" t="n">
        <f aca="false">IF(G154="","",G154/SUMIFS($G$2:$G$671,$F$2:$F$671,"Served"))</f>
        <v>0.000759029064122518</v>
      </c>
      <c r="I154" s="4" t="n">
        <f aca="false">IF(G154="","",RANK(G154,$G$2:$G$671,0))</f>
        <v>153</v>
      </c>
      <c r="J154" s="4" t="s">
        <v>34</v>
      </c>
    </row>
    <row r="155" customFormat="false" ht="15" hidden="false" customHeight="false" outlineLevel="0" collapsed="false">
      <c r="A155" s="4" t="s">
        <v>384</v>
      </c>
      <c r="B155" s="4" t="s">
        <v>172</v>
      </c>
      <c r="C155" s="4" t="s">
        <v>173</v>
      </c>
      <c r="D155" s="7" t="s">
        <v>385</v>
      </c>
      <c r="E155" s="4" t="s">
        <v>175</v>
      </c>
      <c r="F155" s="4" t="s">
        <v>4</v>
      </c>
      <c r="G155" s="8" t="n">
        <v>14820.0747792721</v>
      </c>
      <c r="H155" s="6" t="n">
        <f aca="false">IF(G155="","",G155/SUMIFS($G$2:$G$671,$F$2:$F$671,"Served"))</f>
        <v>0.000749833825985578</v>
      </c>
      <c r="I155" s="4" t="n">
        <f aca="false">IF(G155="","",RANK(G155,$G$2:$G$671,0))</f>
        <v>154</v>
      </c>
      <c r="J155" s="4" t="s">
        <v>34</v>
      </c>
    </row>
    <row r="156" customFormat="false" ht="15" hidden="false" customHeight="false" outlineLevel="0" collapsed="false">
      <c r="A156" s="4" t="s">
        <v>386</v>
      </c>
      <c r="B156" s="4" t="s">
        <v>30</v>
      </c>
      <c r="C156" s="4" t="s">
        <v>241</v>
      </c>
      <c r="D156" s="7" t="s">
        <v>387</v>
      </c>
      <c r="E156" s="4" t="s">
        <v>33</v>
      </c>
      <c r="F156" s="4" t="s">
        <v>4</v>
      </c>
      <c r="G156" s="8" t="n">
        <v>14758.8021473885</v>
      </c>
      <c r="H156" s="6" t="n">
        <f aca="false">IF(G156="","",G156/SUMIFS($G$2:$G$671,$F$2:$F$671,"Served"))</f>
        <v>0.000746733686972936</v>
      </c>
      <c r="I156" s="4" t="n">
        <f aca="false">IF(G156="","",RANK(G156,$G$2:$G$671,0))</f>
        <v>155</v>
      </c>
      <c r="J156" s="4" t="s">
        <v>34</v>
      </c>
    </row>
    <row r="157" customFormat="false" ht="15" hidden="false" customHeight="false" outlineLevel="0" collapsed="false">
      <c r="A157" s="4" t="s">
        <v>388</v>
      </c>
      <c r="B157" s="4" t="s">
        <v>43</v>
      </c>
      <c r="C157" s="4" t="s">
        <v>44</v>
      </c>
      <c r="D157" s="7" t="s">
        <v>389</v>
      </c>
      <c r="E157" s="4" t="s">
        <v>46</v>
      </c>
      <c r="F157" s="4" t="s">
        <v>4</v>
      </c>
      <c r="G157" s="8" t="n">
        <v>14347.5091295242</v>
      </c>
      <c r="H157" s="6" t="n">
        <f aca="false">IF(G157="","",G157/SUMIFS($G$2:$G$671,$F$2:$F$671,"Served"))</f>
        <v>0.000725923979749486</v>
      </c>
      <c r="I157" s="4" t="n">
        <f aca="false">IF(G157="","",RANK(G157,$G$2:$G$671,0))</f>
        <v>156</v>
      </c>
      <c r="J157" s="4" t="s">
        <v>34</v>
      </c>
    </row>
    <row r="158" customFormat="false" ht="15" hidden="false" customHeight="false" outlineLevel="0" collapsed="false">
      <c r="A158" s="4" t="s">
        <v>390</v>
      </c>
      <c r="B158" s="4" t="s">
        <v>30</v>
      </c>
      <c r="C158" s="4" t="s">
        <v>391</v>
      </c>
      <c r="D158" s="7" t="s">
        <v>392</v>
      </c>
      <c r="E158" s="4" t="s">
        <v>33</v>
      </c>
      <c r="F158" s="4" t="s">
        <v>4</v>
      </c>
      <c r="G158" s="8" t="n">
        <v>14306.4262728691</v>
      </c>
      <c r="H158" s="6" t="n">
        <f aca="false">IF(G158="","",G158/SUMIFS($G$2:$G$671,$F$2:$F$671,"Served"))</f>
        <v>0.000723845358956613</v>
      </c>
      <c r="I158" s="4" t="n">
        <f aca="false">IF(G158="","",RANK(G158,$G$2:$G$671,0))</f>
        <v>157</v>
      </c>
      <c r="J158" s="4" t="s">
        <v>34</v>
      </c>
    </row>
    <row r="159" customFormat="false" ht="15" hidden="false" customHeight="false" outlineLevel="0" collapsed="false">
      <c r="A159" s="4" t="s">
        <v>393</v>
      </c>
      <c r="B159" s="4" t="s">
        <v>172</v>
      </c>
      <c r="C159" s="4" t="s">
        <v>173</v>
      </c>
      <c r="D159" s="7" t="s">
        <v>394</v>
      </c>
      <c r="E159" s="4" t="s">
        <v>175</v>
      </c>
      <c r="F159" s="4" t="s">
        <v>4</v>
      </c>
      <c r="G159" s="8" t="n">
        <v>14306.1197638512</v>
      </c>
      <c r="H159" s="6" t="n">
        <f aca="false">IF(G159="","",G159/SUMIFS($G$2:$G$671,$F$2:$F$671,"Served"))</f>
        <v>0.000723829850881718</v>
      </c>
      <c r="I159" s="4" t="n">
        <f aca="false">IF(G159="","",RANK(G159,$G$2:$G$671,0))</f>
        <v>158</v>
      </c>
      <c r="J159" s="4" t="s">
        <v>34</v>
      </c>
    </row>
    <row r="160" customFormat="false" ht="15" hidden="false" customHeight="false" outlineLevel="0" collapsed="false">
      <c r="A160" s="4" t="s">
        <v>395</v>
      </c>
      <c r="B160" s="4" t="s">
        <v>52</v>
      </c>
      <c r="C160" s="4" t="s">
        <v>145</v>
      </c>
      <c r="D160" s="7" t="s">
        <v>396</v>
      </c>
      <c r="E160" s="4" t="s">
        <v>33</v>
      </c>
      <c r="F160" s="4" t="s">
        <v>4</v>
      </c>
      <c r="G160" s="8" t="n">
        <v>14297.8485534191</v>
      </c>
      <c r="H160" s="6" t="n">
        <f aca="false">IF(G160="","",G160/SUMIFS($G$2:$G$671,$F$2:$F$671,"Served"))</f>
        <v>0.000723411362213059</v>
      </c>
      <c r="I160" s="4" t="n">
        <f aca="false">IF(G160="","",RANK(G160,$G$2:$G$671,0))</f>
        <v>159</v>
      </c>
      <c r="J160" s="4" t="s">
        <v>34</v>
      </c>
    </row>
    <row r="161" customFormat="false" ht="15" hidden="false" customHeight="false" outlineLevel="0" collapsed="false">
      <c r="A161" s="4" t="s">
        <v>397</v>
      </c>
      <c r="B161" s="4" t="s">
        <v>213</v>
      </c>
      <c r="C161" s="4" t="s">
        <v>214</v>
      </c>
      <c r="D161" s="7" t="s">
        <v>398</v>
      </c>
      <c r="E161" s="4" t="s">
        <v>216</v>
      </c>
      <c r="F161" s="4" t="s">
        <v>4</v>
      </c>
      <c r="G161" s="8" t="n">
        <v>13915.6962864399</v>
      </c>
      <c r="H161" s="6" t="n">
        <f aca="false">IF(G161="","",G161/SUMIFS($G$2:$G$671,$F$2:$F$671,"Served"))</f>
        <v>0.000704076055156521</v>
      </c>
      <c r="I161" s="4" t="n">
        <f aca="false">IF(G161="","",RANK(G161,$G$2:$G$671,0))</f>
        <v>160</v>
      </c>
      <c r="J161" s="4" t="s">
        <v>34</v>
      </c>
    </row>
    <row r="162" customFormat="false" ht="15" hidden="false" customHeight="false" outlineLevel="0" collapsed="false">
      <c r="A162" s="4" t="s">
        <v>399</v>
      </c>
      <c r="B162" s="4" t="s">
        <v>213</v>
      </c>
      <c r="C162" s="4" t="s">
        <v>214</v>
      </c>
      <c r="D162" s="7" t="s">
        <v>400</v>
      </c>
      <c r="E162" s="4" t="s">
        <v>216</v>
      </c>
      <c r="F162" s="4" t="s">
        <v>4</v>
      </c>
      <c r="G162" s="8" t="n">
        <v>13900.1431384087</v>
      </c>
      <c r="H162" s="6" t="n">
        <f aca="false">IF(G162="","",G162/SUMIFS($G$2:$G$671,$F$2:$F$671,"Served"))</f>
        <v>0.000703289130888723</v>
      </c>
      <c r="I162" s="4" t="n">
        <f aca="false">IF(G162="","",RANK(G162,$G$2:$G$671,0))</f>
        <v>161</v>
      </c>
      <c r="J162" s="4" t="s">
        <v>34</v>
      </c>
    </row>
    <row r="163" customFormat="false" ht="15" hidden="false" customHeight="false" outlineLevel="0" collapsed="false">
      <c r="A163" s="4" t="s">
        <v>401</v>
      </c>
      <c r="B163" s="4" t="s">
        <v>30</v>
      </c>
      <c r="C163" s="4" t="s">
        <v>402</v>
      </c>
      <c r="D163" s="7" t="s">
        <v>403</v>
      </c>
      <c r="E163" s="4" t="s">
        <v>33</v>
      </c>
      <c r="F163" s="4" t="s">
        <v>4</v>
      </c>
      <c r="G163" s="8" t="n">
        <v>13715.4344978333</v>
      </c>
      <c r="H163" s="6" t="n">
        <f aca="false">IF(G163="","",G163/SUMIFS($G$2:$G$671,$F$2:$F$671,"Served"))</f>
        <v>0.000693943645881524</v>
      </c>
      <c r="I163" s="4" t="n">
        <f aca="false">IF(G163="","",RANK(G163,$G$2:$G$671,0))</f>
        <v>162</v>
      </c>
      <c r="J163" s="4" t="s">
        <v>34</v>
      </c>
    </row>
    <row r="164" customFormat="false" ht="15" hidden="false" customHeight="false" outlineLevel="0" collapsed="false">
      <c r="A164" s="4" t="s">
        <v>404</v>
      </c>
      <c r="B164" s="4" t="s">
        <v>30</v>
      </c>
      <c r="C164" s="4" t="s">
        <v>177</v>
      </c>
      <c r="D164" s="7" t="s">
        <v>405</v>
      </c>
      <c r="E164" s="4" t="s">
        <v>33</v>
      </c>
      <c r="F164" s="4" t="s">
        <v>4</v>
      </c>
      <c r="G164" s="8" t="n">
        <v>13604.6724748611</v>
      </c>
      <c r="H164" s="6" t="n">
        <f aca="false">IF(G164="","",G164/SUMIFS($G$2:$G$671,$F$2:$F$671,"Served"))</f>
        <v>0.000688339550578629</v>
      </c>
      <c r="I164" s="4" t="n">
        <f aca="false">IF(G164="","",RANK(G164,$G$2:$G$671,0))</f>
        <v>163</v>
      </c>
      <c r="J164" s="4" t="s">
        <v>34</v>
      </c>
    </row>
    <row r="165" customFormat="false" ht="15" hidden="false" customHeight="false" outlineLevel="0" collapsed="false">
      <c r="A165" s="4" t="s">
        <v>406</v>
      </c>
      <c r="B165" s="4" t="s">
        <v>213</v>
      </c>
      <c r="C165" s="4" t="s">
        <v>214</v>
      </c>
      <c r="D165" s="7" t="s">
        <v>407</v>
      </c>
      <c r="E165" s="4" t="s">
        <v>216</v>
      </c>
      <c r="F165" s="4" t="s">
        <v>4</v>
      </c>
      <c r="G165" s="8" t="n">
        <v>13537.1268901825</v>
      </c>
      <c r="H165" s="6" t="n">
        <f aca="false">IF(G165="","",G165/SUMIFS($G$2:$G$671,$F$2:$F$671,"Served"))</f>
        <v>0.000684922026379705</v>
      </c>
      <c r="I165" s="4" t="n">
        <f aca="false">IF(G165="","",RANK(G165,$G$2:$G$671,0))</f>
        <v>164</v>
      </c>
      <c r="J165" s="4" t="s">
        <v>34</v>
      </c>
    </row>
    <row r="166" customFormat="false" ht="15" hidden="false" customHeight="false" outlineLevel="0" collapsed="false">
      <c r="A166" s="4" t="s">
        <v>408</v>
      </c>
      <c r="B166" s="4" t="s">
        <v>30</v>
      </c>
      <c r="C166" s="4" t="s">
        <v>31</v>
      </c>
      <c r="D166" s="7" t="s">
        <v>409</v>
      </c>
      <c r="E166" s="4" t="s">
        <v>33</v>
      </c>
      <c r="F166" s="4" t="s">
        <v>4</v>
      </c>
      <c r="G166" s="8" t="n">
        <v>13089.1887526512</v>
      </c>
      <c r="H166" s="6" t="n">
        <f aca="false">IF(G166="","",G166/SUMIFS($G$2:$G$671,$F$2:$F$671,"Served"))</f>
        <v>0.000662258229302264</v>
      </c>
      <c r="I166" s="4" t="n">
        <f aca="false">IF(G166="","",RANK(G166,$G$2:$G$671,0))</f>
        <v>165</v>
      </c>
      <c r="J166" s="4" t="s">
        <v>34</v>
      </c>
    </row>
    <row r="167" customFormat="false" ht="15" hidden="false" customHeight="false" outlineLevel="0" collapsed="false">
      <c r="A167" s="4" t="s">
        <v>410</v>
      </c>
      <c r="B167" s="4" t="s">
        <v>30</v>
      </c>
      <c r="C167" s="4" t="s">
        <v>31</v>
      </c>
      <c r="D167" s="7" t="s">
        <v>411</v>
      </c>
      <c r="E167" s="4" t="s">
        <v>33</v>
      </c>
      <c r="F167" s="4" t="s">
        <v>4</v>
      </c>
      <c r="G167" s="8" t="n">
        <v>13047.2016844749</v>
      </c>
      <c r="H167" s="6" t="n">
        <f aca="false">IF(G167="","",G167/SUMIFS($G$2:$G$671,$F$2:$F$671,"Served"))</f>
        <v>0.00066013385918663</v>
      </c>
      <c r="I167" s="4" t="n">
        <f aca="false">IF(G167="","",RANK(G167,$G$2:$G$671,0))</f>
        <v>166</v>
      </c>
      <c r="J167" s="4" t="s">
        <v>34</v>
      </c>
    </row>
    <row r="168" customFormat="false" ht="15" hidden="false" customHeight="false" outlineLevel="0" collapsed="false">
      <c r="A168" s="4" t="s">
        <v>412</v>
      </c>
      <c r="B168" s="4" t="s">
        <v>52</v>
      </c>
      <c r="C168" s="4" t="s">
        <v>145</v>
      </c>
      <c r="D168" s="7" t="s">
        <v>413</v>
      </c>
      <c r="E168" s="4" t="s">
        <v>33</v>
      </c>
      <c r="F168" s="4" t="s">
        <v>4</v>
      </c>
      <c r="G168" s="8" t="n">
        <v>12862.9609401226</v>
      </c>
      <c r="H168" s="6" t="n">
        <f aca="false">IF(G168="","",G168/SUMIFS($G$2:$G$671,$F$2:$F$671,"Served"))</f>
        <v>0.000650812047772199</v>
      </c>
      <c r="I168" s="4" t="n">
        <f aca="false">IF(G168="","",RANK(G168,$G$2:$G$671,0))</f>
        <v>167</v>
      </c>
      <c r="J168" s="4" t="s">
        <v>34</v>
      </c>
    </row>
    <row r="169" customFormat="false" ht="15" hidden="false" customHeight="false" outlineLevel="0" collapsed="false">
      <c r="A169" s="4" t="s">
        <v>414</v>
      </c>
      <c r="B169" s="4" t="s">
        <v>30</v>
      </c>
      <c r="C169" s="4" t="s">
        <v>391</v>
      </c>
      <c r="D169" s="7" t="s">
        <v>415</v>
      </c>
      <c r="E169" s="4" t="s">
        <v>33</v>
      </c>
      <c r="F169" s="4" t="s">
        <v>4</v>
      </c>
      <c r="G169" s="8" t="n">
        <v>12732.4899680615</v>
      </c>
      <c r="H169" s="6" t="n">
        <f aca="false">IF(G169="","",G169/SUMIFS($G$2:$G$671,$F$2:$F$671,"Served"))</f>
        <v>0.000644210762042015</v>
      </c>
      <c r="I169" s="4" t="n">
        <f aca="false">IF(G169="","",RANK(G169,$G$2:$G$671,0))</f>
        <v>168</v>
      </c>
      <c r="J169" s="4" t="s">
        <v>34</v>
      </c>
    </row>
    <row r="170" customFormat="false" ht="15" hidden="false" customHeight="false" outlineLevel="0" collapsed="false">
      <c r="A170" s="4" t="s">
        <v>416</v>
      </c>
      <c r="B170" s="4" t="s">
        <v>172</v>
      </c>
      <c r="C170" s="4" t="s">
        <v>173</v>
      </c>
      <c r="D170" s="7" t="s">
        <v>417</v>
      </c>
      <c r="E170" s="4" t="s">
        <v>175</v>
      </c>
      <c r="F170" s="4" t="s">
        <v>4</v>
      </c>
      <c r="G170" s="8" t="n">
        <v>12597.4723618031</v>
      </c>
      <c r="H170" s="6" t="n">
        <f aca="false">IF(G170="","",G170/SUMIFS($G$2:$G$671,$F$2:$F$671,"Served"))</f>
        <v>0.000637379435629429</v>
      </c>
      <c r="I170" s="4" t="n">
        <f aca="false">IF(G170="","",RANK(G170,$G$2:$G$671,0))</f>
        <v>169</v>
      </c>
      <c r="J170" s="4" t="s">
        <v>34</v>
      </c>
    </row>
    <row r="171" customFormat="false" ht="15" hidden="false" customHeight="false" outlineLevel="0" collapsed="false">
      <c r="A171" s="4" t="s">
        <v>418</v>
      </c>
      <c r="B171" s="4" t="s">
        <v>30</v>
      </c>
      <c r="C171" s="4" t="s">
        <v>177</v>
      </c>
      <c r="D171" s="7" t="s">
        <v>419</v>
      </c>
      <c r="E171" s="4" t="s">
        <v>33</v>
      </c>
      <c r="F171" s="4" t="s">
        <v>4</v>
      </c>
      <c r="G171" s="8" t="n">
        <v>12506.47853899</v>
      </c>
      <c r="H171" s="6" t="n">
        <f aca="false">IF(G171="","",G171/SUMIFS($G$2:$G$671,$F$2:$F$671,"Served"))</f>
        <v>0.000632775528610256</v>
      </c>
      <c r="I171" s="4" t="n">
        <f aca="false">IF(G171="","",RANK(G171,$G$2:$G$671,0))</f>
        <v>170</v>
      </c>
      <c r="J171" s="4" t="s">
        <v>34</v>
      </c>
    </row>
    <row r="172" customFormat="false" ht="15" hidden="false" customHeight="false" outlineLevel="0" collapsed="false">
      <c r="A172" s="4" t="s">
        <v>420</v>
      </c>
      <c r="B172" s="4" t="s">
        <v>30</v>
      </c>
      <c r="C172" s="4" t="s">
        <v>93</v>
      </c>
      <c r="D172" s="7" t="s">
        <v>421</v>
      </c>
      <c r="E172" s="4" t="s">
        <v>33</v>
      </c>
      <c r="F172" s="4" t="s">
        <v>4</v>
      </c>
      <c r="G172" s="8" t="n">
        <v>12450.3851790428</v>
      </c>
      <c r="H172" s="6" t="n">
        <f aca="false">IF(G172="","",G172/SUMIFS($G$2:$G$671,$F$2:$F$671,"Served"))</f>
        <v>0.000629937439104768</v>
      </c>
      <c r="I172" s="4" t="n">
        <f aca="false">IF(G172="","",RANK(G172,$G$2:$G$671,0))</f>
        <v>171</v>
      </c>
      <c r="J172" s="4" t="s">
        <v>34</v>
      </c>
    </row>
    <row r="173" customFormat="false" ht="15" hidden="false" customHeight="false" outlineLevel="0" collapsed="false">
      <c r="A173" s="4" t="s">
        <v>422</v>
      </c>
      <c r="B173" s="4" t="s">
        <v>52</v>
      </c>
      <c r="C173" s="4" t="s">
        <v>145</v>
      </c>
      <c r="D173" s="7" t="s">
        <v>423</v>
      </c>
      <c r="E173" s="4" t="s">
        <v>33</v>
      </c>
      <c r="F173" s="4" t="s">
        <v>4</v>
      </c>
      <c r="G173" s="8" t="n">
        <v>12359.087785244</v>
      </c>
      <c r="H173" s="6" t="n">
        <f aca="false">IF(G173="","",G173/SUMIFS($G$2:$G$671,$F$2:$F$671,"Served"))</f>
        <v>0.000625318172662845</v>
      </c>
      <c r="I173" s="4" t="n">
        <f aca="false">IF(G173="","",RANK(G173,$G$2:$G$671,0))</f>
        <v>172</v>
      </c>
      <c r="J173" s="4" t="s">
        <v>34</v>
      </c>
    </row>
    <row r="174" customFormat="false" ht="15" hidden="false" customHeight="false" outlineLevel="0" collapsed="false">
      <c r="A174" s="4" t="s">
        <v>424</v>
      </c>
      <c r="B174" s="4" t="s">
        <v>71</v>
      </c>
      <c r="C174" s="4" t="s">
        <v>72</v>
      </c>
      <c r="D174" s="7" t="s">
        <v>425</v>
      </c>
      <c r="E174" s="4" t="s">
        <v>74</v>
      </c>
      <c r="F174" s="4" t="s">
        <v>4</v>
      </c>
      <c r="G174" s="8" t="n">
        <v>12308.2520151138</v>
      </c>
      <c r="H174" s="6" t="n">
        <f aca="false">IF(G174="","",G174/SUMIFS($G$2:$G$671,$F$2:$F$671,"Served"))</f>
        <v>0.00062274609522185</v>
      </c>
      <c r="I174" s="4" t="n">
        <f aca="false">IF(G174="","",RANK(G174,$G$2:$G$671,0))</f>
        <v>173</v>
      </c>
      <c r="J174" s="4" t="s">
        <v>34</v>
      </c>
    </row>
    <row r="175" customFormat="false" ht="15" hidden="false" customHeight="false" outlineLevel="0" collapsed="false">
      <c r="A175" s="4" t="s">
        <v>426</v>
      </c>
      <c r="B175" s="4" t="s">
        <v>52</v>
      </c>
      <c r="C175" s="4" t="s">
        <v>200</v>
      </c>
      <c r="D175" s="7" t="s">
        <v>427</v>
      </c>
      <c r="E175" s="4" t="s">
        <v>33</v>
      </c>
      <c r="F175" s="4" t="s">
        <v>4</v>
      </c>
      <c r="G175" s="8" t="n">
        <v>12287.6119146347</v>
      </c>
      <c r="H175" s="6" t="n">
        <f aca="false">IF(G175="","",G175/SUMIFS($G$2:$G$671,$F$2:$F$671,"Served"))</f>
        <v>0.00062170179242706</v>
      </c>
      <c r="I175" s="4" t="n">
        <f aca="false">IF(G175="","",RANK(G175,$G$2:$G$671,0))</f>
        <v>174</v>
      </c>
      <c r="J175" s="4" t="s">
        <v>34</v>
      </c>
    </row>
    <row r="176" customFormat="false" ht="15" hidden="false" customHeight="false" outlineLevel="0" collapsed="false">
      <c r="A176" s="4" t="s">
        <v>428</v>
      </c>
      <c r="B176" s="4" t="s">
        <v>30</v>
      </c>
      <c r="C176" s="4" t="s">
        <v>68</v>
      </c>
      <c r="D176" s="7" t="s">
        <v>429</v>
      </c>
      <c r="E176" s="4" t="s">
        <v>33</v>
      </c>
      <c r="F176" s="4" t="s">
        <v>4</v>
      </c>
      <c r="G176" s="8" t="n">
        <v>12130.5095483065</v>
      </c>
      <c r="H176" s="6" t="n">
        <f aca="false">IF(G176="","",G176/SUMIFS($G$2:$G$671,$F$2:$F$671,"Served"))</f>
        <v>0.000613753069484038</v>
      </c>
      <c r="I176" s="4" t="n">
        <f aca="false">IF(G176="","",RANK(G176,$G$2:$G$671,0))</f>
        <v>175</v>
      </c>
      <c r="J176" s="4" t="s">
        <v>34</v>
      </c>
    </row>
    <row r="177" customFormat="false" ht="15" hidden="false" customHeight="false" outlineLevel="0" collapsed="false">
      <c r="A177" s="4" t="s">
        <v>430</v>
      </c>
      <c r="B177" s="4" t="s">
        <v>52</v>
      </c>
      <c r="C177" s="4" t="s">
        <v>155</v>
      </c>
      <c r="D177" s="7" t="s">
        <v>431</v>
      </c>
      <c r="E177" s="4" t="s">
        <v>33</v>
      </c>
      <c r="F177" s="4" t="s">
        <v>4</v>
      </c>
      <c r="G177" s="8" t="n">
        <v>12115.5478823185</v>
      </c>
      <c r="H177" s="6" t="n">
        <f aca="false">IF(G177="","",G177/SUMIFS($G$2:$G$671,$F$2:$F$671,"Served"))</f>
        <v>0.000612996071734839</v>
      </c>
      <c r="I177" s="4" t="n">
        <f aca="false">IF(G177="","",RANK(G177,$G$2:$G$671,0))</f>
        <v>176</v>
      </c>
      <c r="J177" s="4" t="s">
        <v>34</v>
      </c>
    </row>
    <row r="178" customFormat="false" ht="15" hidden="false" customHeight="false" outlineLevel="0" collapsed="false">
      <c r="A178" s="4" t="s">
        <v>432</v>
      </c>
      <c r="B178" s="4" t="s">
        <v>125</v>
      </c>
      <c r="C178" s="4" t="s">
        <v>126</v>
      </c>
      <c r="D178" s="7" t="s">
        <v>433</v>
      </c>
      <c r="E178" s="4" t="s">
        <v>128</v>
      </c>
      <c r="F178" s="4" t="s">
        <v>4</v>
      </c>
      <c r="G178" s="8" t="n">
        <v>12107.4203904867</v>
      </c>
      <c r="H178" s="6" t="n">
        <f aca="false">IF(G178="","",G178/SUMIFS($G$2:$G$671,$F$2:$F$671,"Served"))</f>
        <v>0.000612584854626515</v>
      </c>
      <c r="I178" s="4" t="n">
        <f aca="false">IF(G178="","",RANK(G178,$G$2:$G$671,0))</f>
        <v>177</v>
      </c>
      <c r="J178" s="4" t="s">
        <v>34</v>
      </c>
    </row>
    <row r="179" customFormat="false" ht="15" hidden="false" customHeight="false" outlineLevel="0" collapsed="false">
      <c r="A179" s="4" t="s">
        <v>434</v>
      </c>
      <c r="B179" s="4" t="s">
        <v>30</v>
      </c>
      <c r="C179" s="4" t="s">
        <v>31</v>
      </c>
      <c r="D179" s="7" t="s">
        <v>435</v>
      </c>
      <c r="E179" s="4" t="s">
        <v>33</v>
      </c>
      <c r="F179" s="4" t="s">
        <v>4</v>
      </c>
      <c r="G179" s="8" t="n">
        <v>12000.2293298245</v>
      </c>
      <c r="H179" s="6" t="n">
        <f aca="false">IF(G179="","",G179/SUMIFS($G$2:$G$671,$F$2:$F$671,"Served"))</f>
        <v>0.000607161435087481</v>
      </c>
      <c r="I179" s="4" t="n">
        <f aca="false">IF(G179="","",RANK(G179,$G$2:$G$671,0))</f>
        <v>178</v>
      </c>
      <c r="J179" s="4" t="s">
        <v>34</v>
      </c>
    </row>
    <row r="180" customFormat="false" ht="15" hidden="false" customHeight="false" outlineLevel="0" collapsed="false">
      <c r="A180" s="4" t="s">
        <v>436</v>
      </c>
      <c r="B180" s="4" t="s">
        <v>52</v>
      </c>
      <c r="C180" s="4" t="s">
        <v>145</v>
      </c>
      <c r="D180" s="7" t="s">
        <v>437</v>
      </c>
      <c r="E180" s="4" t="s">
        <v>33</v>
      </c>
      <c r="F180" s="4" t="s">
        <v>4</v>
      </c>
      <c r="G180" s="8" t="n">
        <v>11935.5221395493</v>
      </c>
      <c r="H180" s="6" t="n">
        <f aca="false">IF(G180="","",G180/SUMIFS($G$2:$G$671,$F$2:$F$671,"Served"))</f>
        <v>0.000603887521778981</v>
      </c>
      <c r="I180" s="4" t="n">
        <f aca="false">IF(G180="","",RANK(G180,$G$2:$G$671,0))</f>
        <v>179</v>
      </c>
      <c r="J180" s="4" t="s">
        <v>34</v>
      </c>
    </row>
    <row r="181" customFormat="false" ht="15" hidden="false" customHeight="false" outlineLevel="0" collapsed="false">
      <c r="A181" s="4" t="s">
        <v>438</v>
      </c>
      <c r="B181" s="4" t="s">
        <v>52</v>
      </c>
      <c r="C181" s="4" t="s">
        <v>145</v>
      </c>
      <c r="D181" s="7" t="s">
        <v>439</v>
      </c>
      <c r="E181" s="4" t="s">
        <v>33</v>
      </c>
      <c r="F181" s="4" t="s">
        <v>4</v>
      </c>
      <c r="G181" s="8" t="n">
        <v>11886.0190442801</v>
      </c>
      <c r="H181" s="6" t="n">
        <f aca="false">IF(G181="","",G181/SUMIFS($G$2:$G$671,$F$2:$F$671,"Served"))</f>
        <v>0.000601382872114476</v>
      </c>
      <c r="I181" s="4" t="n">
        <f aca="false">IF(G181="","",RANK(G181,$G$2:$G$671,0))</f>
        <v>180</v>
      </c>
      <c r="J181" s="4" t="s">
        <v>34</v>
      </c>
    </row>
    <row r="182" customFormat="false" ht="15" hidden="false" customHeight="false" outlineLevel="0" collapsed="false">
      <c r="A182" s="4" t="s">
        <v>440</v>
      </c>
      <c r="B182" s="4" t="s">
        <v>125</v>
      </c>
      <c r="C182" s="4" t="s">
        <v>126</v>
      </c>
      <c r="D182" s="7" t="s">
        <v>441</v>
      </c>
      <c r="E182" s="4" t="s">
        <v>128</v>
      </c>
      <c r="F182" s="4" t="s">
        <v>4</v>
      </c>
      <c r="G182" s="8" t="n">
        <v>11829.2613677979</v>
      </c>
      <c r="H182" s="6" t="n">
        <f aca="false">IF(G182="","",G182/SUMIFS($G$2:$G$671,$F$2:$F$671,"Served"))</f>
        <v>0.000598511170969606</v>
      </c>
      <c r="I182" s="4" t="n">
        <f aca="false">IF(G182="","",RANK(G182,$G$2:$G$671,0))</f>
        <v>181</v>
      </c>
      <c r="J182" s="4" t="s">
        <v>34</v>
      </c>
    </row>
    <row r="183" customFormat="false" ht="15" hidden="false" customHeight="false" outlineLevel="0" collapsed="false">
      <c r="A183" s="4" t="s">
        <v>442</v>
      </c>
      <c r="B183" s="4" t="s">
        <v>30</v>
      </c>
      <c r="C183" s="4" t="s">
        <v>177</v>
      </c>
      <c r="D183" s="7" t="s">
        <v>443</v>
      </c>
      <c r="E183" s="4" t="s">
        <v>33</v>
      </c>
      <c r="F183" s="4" t="s">
        <v>4</v>
      </c>
      <c r="G183" s="8" t="n">
        <v>11488.4151012898</v>
      </c>
      <c r="H183" s="6" t="n">
        <f aca="false">IF(G183="","",G183/SUMIFS($G$2:$G$671,$F$2:$F$671,"Served"))</f>
        <v>0.000581265774850139</v>
      </c>
      <c r="I183" s="4" t="n">
        <f aca="false">IF(G183="","",RANK(G183,$G$2:$G$671,0))</f>
        <v>182</v>
      </c>
      <c r="J183" s="4" t="s">
        <v>34</v>
      </c>
    </row>
    <row r="184" customFormat="false" ht="15" hidden="false" customHeight="false" outlineLevel="0" collapsed="false">
      <c r="A184" s="4" t="s">
        <v>444</v>
      </c>
      <c r="B184" s="4" t="s">
        <v>30</v>
      </c>
      <c r="C184" s="4" t="s">
        <v>93</v>
      </c>
      <c r="D184" s="7" t="s">
        <v>445</v>
      </c>
      <c r="E184" s="4" t="s">
        <v>33</v>
      </c>
      <c r="F184" s="4" t="s">
        <v>4</v>
      </c>
      <c r="G184" s="8" t="n">
        <v>11351.6050350666</v>
      </c>
      <c r="H184" s="6" t="n">
        <f aca="false">IF(G184="","",G184/SUMIFS($G$2:$G$671,$F$2:$F$671,"Served"))</f>
        <v>0.00057434375745702</v>
      </c>
      <c r="I184" s="4" t="n">
        <f aca="false">IF(G184="","",RANK(G184,$G$2:$G$671,0))</f>
        <v>183</v>
      </c>
      <c r="J184" s="4" t="s">
        <v>34</v>
      </c>
    </row>
    <row r="185" customFormat="false" ht="15" hidden="false" customHeight="false" outlineLevel="0" collapsed="false">
      <c r="A185" s="4" t="s">
        <v>446</v>
      </c>
      <c r="B185" s="4" t="s">
        <v>52</v>
      </c>
      <c r="C185" s="4" t="s">
        <v>145</v>
      </c>
      <c r="D185" s="7" t="s">
        <v>447</v>
      </c>
      <c r="E185" s="4" t="s">
        <v>33</v>
      </c>
      <c r="F185" s="4" t="s">
        <v>4</v>
      </c>
      <c r="G185" s="8" t="n">
        <v>11309.8779118061</v>
      </c>
      <c r="H185" s="6" t="n">
        <f aca="false">IF(G185="","",G185/SUMIFS($G$2:$G$671,$F$2:$F$671,"Served"))</f>
        <v>0.000572232539467382</v>
      </c>
      <c r="I185" s="4" t="n">
        <f aca="false">IF(G185="","",RANK(G185,$G$2:$G$671,0))</f>
        <v>184</v>
      </c>
      <c r="J185" s="4" t="s">
        <v>34</v>
      </c>
    </row>
    <row r="186" customFormat="false" ht="15" hidden="false" customHeight="false" outlineLevel="0" collapsed="false">
      <c r="A186" s="4" t="s">
        <v>448</v>
      </c>
      <c r="B186" s="4" t="s">
        <v>125</v>
      </c>
      <c r="C186" s="4" t="s">
        <v>126</v>
      </c>
      <c r="D186" s="7" t="s">
        <v>449</v>
      </c>
      <c r="E186" s="4" t="s">
        <v>128</v>
      </c>
      <c r="F186" s="4" t="s">
        <v>4</v>
      </c>
      <c r="G186" s="8" t="n">
        <v>11209.2080328465</v>
      </c>
      <c r="H186" s="6" t="n">
        <f aca="false">IF(G186="","",G186/SUMIFS($G$2:$G$671,$F$2:$F$671,"Served"))</f>
        <v>0.00056713906445959</v>
      </c>
      <c r="I186" s="4" t="n">
        <f aca="false">IF(G186="","",RANK(G186,$G$2:$G$671,0))</f>
        <v>185</v>
      </c>
      <c r="J186" s="4" t="s">
        <v>34</v>
      </c>
    </row>
    <row r="187" customFormat="false" ht="15" hidden="false" customHeight="false" outlineLevel="0" collapsed="false">
      <c r="A187" s="4" t="s">
        <v>450</v>
      </c>
      <c r="B187" s="4" t="s">
        <v>52</v>
      </c>
      <c r="C187" s="4" t="s">
        <v>145</v>
      </c>
      <c r="D187" s="7" t="s">
        <v>451</v>
      </c>
      <c r="E187" s="4" t="s">
        <v>33</v>
      </c>
      <c r="F187" s="4" t="s">
        <v>4</v>
      </c>
      <c r="G187" s="8" t="n">
        <v>11189.8250826597</v>
      </c>
      <c r="H187" s="6" t="n">
        <f aca="false">IF(G187="","",G187/SUMIFS($G$2:$G$671,$F$2:$F$671,"Served"))</f>
        <v>0.000566158368213864</v>
      </c>
      <c r="I187" s="4" t="n">
        <f aca="false">IF(G187="","",RANK(G187,$G$2:$G$671,0))</f>
        <v>186</v>
      </c>
      <c r="J187" s="4" t="s">
        <v>34</v>
      </c>
    </row>
    <row r="188" customFormat="false" ht="15" hidden="false" customHeight="false" outlineLevel="0" collapsed="false">
      <c r="A188" s="4" t="s">
        <v>452</v>
      </c>
      <c r="B188" s="4" t="s">
        <v>52</v>
      </c>
      <c r="C188" s="4" t="s">
        <v>145</v>
      </c>
      <c r="D188" s="7" t="s">
        <v>453</v>
      </c>
      <c r="E188" s="4" t="s">
        <v>33</v>
      </c>
      <c r="F188" s="4" t="s">
        <v>4</v>
      </c>
      <c r="G188" s="8" t="n">
        <v>11159.9994132519</v>
      </c>
      <c r="H188" s="6" t="n">
        <f aca="false">IF(G188="","",G188/SUMIFS($G$2:$G$671,$F$2:$F$671,"Served"))</f>
        <v>0.000564649314033116</v>
      </c>
      <c r="I188" s="4" t="n">
        <f aca="false">IF(G188="","",RANK(G188,$G$2:$G$671,0))</f>
        <v>187</v>
      </c>
      <c r="J188" s="4" t="s">
        <v>34</v>
      </c>
    </row>
    <row r="189" customFormat="false" ht="15" hidden="false" customHeight="false" outlineLevel="0" collapsed="false">
      <c r="A189" s="4" t="s">
        <v>454</v>
      </c>
      <c r="B189" s="4" t="s">
        <v>71</v>
      </c>
      <c r="C189" s="4" t="s">
        <v>72</v>
      </c>
      <c r="D189" s="7" t="s">
        <v>455</v>
      </c>
      <c r="E189" s="4" t="s">
        <v>74</v>
      </c>
      <c r="F189" s="4" t="s">
        <v>4</v>
      </c>
      <c r="G189" s="8" t="n">
        <v>11110.0622105598</v>
      </c>
      <c r="H189" s="6" t="n">
        <f aca="false">IF(G189="","",G189/SUMIFS($G$2:$G$671,$F$2:$F$671,"Served"))</f>
        <v>0.000562122700347876</v>
      </c>
      <c r="I189" s="4" t="n">
        <f aca="false">IF(G189="","",RANK(G189,$G$2:$G$671,0))</f>
        <v>188</v>
      </c>
      <c r="J189" s="4" t="s">
        <v>34</v>
      </c>
    </row>
    <row r="190" customFormat="false" ht="15" hidden="false" customHeight="false" outlineLevel="0" collapsed="false">
      <c r="A190" s="4" t="s">
        <v>456</v>
      </c>
      <c r="B190" s="4" t="s">
        <v>30</v>
      </c>
      <c r="C190" s="4" t="s">
        <v>132</v>
      </c>
      <c r="D190" s="7" t="s">
        <v>457</v>
      </c>
      <c r="E190" s="4" t="s">
        <v>33</v>
      </c>
      <c r="F190" s="4" t="s">
        <v>4</v>
      </c>
      <c r="G190" s="8" t="n">
        <v>10996.8107743263</v>
      </c>
      <c r="H190" s="6" t="n">
        <f aca="false">IF(G190="","",G190/SUMIFS($G$2:$G$671,$F$2:$F$671,"Served"))</f>
        <v>0.000556392651141369</v>
      </c>
      <c r="I190" s="4" t="n">
        <f aca="false">IF(G190="","",RANK(G190,$G$2:$G$671,0))</f>
        <v>189</v>
      </c>
      <c r="J190" s="4" t="s">
        <v>34</v>
      </c>
    </row>
    <row r="191" customFormat="false" ht="15" hidden="false" customHeight="false" outlineLevel="0" collapsed="false">
      <c r="A191" s="4" t="s">
        <v>458</v>
      </c>
      <c r="B191" s="4" t="s">
        <v>52</v>
      </c>
      <c r="C191" s="4" t="s">
        <v>145</v>
      </c>
      <c r="D191" s="7" t="s">
        <v>459</v>
      </c>
      <c r="E191" s="4" t="s">
        <v>33</v>
      </c>
      <c r="F191" s="4" t="s">
        <v>4</v>
      </c>
      <c r="G191" s="8" t="n">
        <v>10977.4128954411</v>
      </c>
      <c r="H191" s="6" t="n">
        <f aca="false">IF(G191="","",G191/SUMIFS($G$2:$G$671,$F$2:$F$671,"Served"))</f>
        <v>0.00055541119956591</v>
      </c>
      <c r="I191" s="4" t="n">
        <f aca="false">IF(G191="","",RANK(G191,$G$2:$G$671,0))</f>
        <v>190</v>
      </c>
      <c r="J191" s="4" t="s">
        <v>34</v>
      </c>
    </row>
    <row r="192" customFormat="false" ht="15" hidden="false" customHeight="false" outlineLevel="0" collapsed="false">
      <c r="A192" s="4" t="s">
        <v>460</v>
      </c>
      <c r="B192" s="4" t="s">
        <v>43</v>
      </c>
      <c r="C192" s="4" t="s">
        <v>44</v>
      </c>
      <c r="D192" s="7" t="s">
        <v>461</v>
      </c>
      <c r="E192" s="4" t="s">
        <v>46</v>
      </c>
      <c r="F192" s="4" t="s">
        <v>4</v>
      </c>
      <c r="G192" s="8" t="n">
        <v>10971.1549868584</v>
      </c>
      <c r="H192" s="6" t="n">
        <f aca="false">IF(G192="","",G192/SUMIFS($G$2:$G$671,$F$2:$F$671,"Served"))</f>
        <v>0.000555094575553878</v>
      </c>
      <c r="I192" s="4" t="n">
        <f aca="false">IF(G192="","",RANK(G192,$G$2:$G$671,0))</f>
        <v>191</v>
      </c>
      <c r="J192" s="4" t="s">
        <v>34</v>
      </c>
    </row>
    <row r="193" customFormat="false" ht="15" hidden="false" customHeight="false" outlineLevel="0" collapsed="false">
      <c r="A193" s="4" t="s">
        <v>462</v>
      </c>
      <c r="B193" s="4" t="s">
        <v>125</v>
      </c>
      <c r="C193" s="4" t="s">
        <v>126</v>
      </c>
      <c r="D193" s="7" t="s">
        <v>463</v>
      </c>
      <c r="E193" s="4" t="s">
        <v>128</v>
      </c>
      <c r="F193" s="4" t="s">
        <v>4</v>
      </c>
      <c r="G193" s="8" t="n">
        <v>10956.1955828667</v>
      </c>
      <c r="H193" s="6" t="n">
        <f aca="false">IF(G193="","",G193/SUMIFS($G$2:$G$671,$F$2:$F$671,"Served"))</f>
        <v>0.000554337692252233</v>
      </c>
      <c r="I193" s="4" t="n">
        <f aca="false">IF(G193="","",RANK(G193,$G$2:$G$671,0))</f>
        <v>192</v>
      </c>
      <c r="J193" s="4" t="s">
        <v>34</v>
      </c>
    </row>
    <row r="194" customFormat="false" ht="15" hidden="false" customHeight="false" outlineLevel="0" collapsed="false">
      <c r="A194" s="4" t="s">
        <v>464</v>
      </c>
      <c r="B194" s="4" t="s">
        <v>52</v>
      </c>
      <c r="C194" s="4" t="s">
        <v>465</v>
      </c>
      <c r="D194" s="7" t="s">
        <v>466</v>
      </c>
      <c r="E194" s="4" t="s">
        <v>33</v>
      </c>
      <c r="F194" s="4" t="s">
        <v>4</v>
      </c>
      <c r="G194" s="8" t="n">
        <v>10919.7195258141</v>
      </c>
      <c r="H194" s="6" t="n">
        <f aca="false">IF(G194="","",G194/SUMIFS($G$2:$G$671,$F$2:$F$671,"Served"))</f>
        <v>0.000552492156259737</v>
      </c>
      <c r="I194" s="4" t="n">
        <f aca="false">IF(G194="","",RANK(G194,$G$2:$G$671,0))</f>
        <v>193</v>
      </c>
      <c r="J194" s="4" t="s">
        <v>34</v>
      </c>
    </row>
    <row r="195" customFormat="false" ht="15" hidden="false" customHeight="false" outlineLevel="0" collapsed="false">
      <c r="A195" s="4" t="s">
        <v>467</v>
      </c>
      <c r="B195" s="4" t="s">
        <v>30</v>
      </c>
      <c r="C195" s="4" t="s">
        <v>402</v>
      </c>
      <c r="D195" s="7" t="s">
        <v>468</v>
      </c>
      <c r="E195" s="4" t="s">
        <v>33</v>
      </c>
      <c r="F195" s="4" t="s">
        <v>4</v>
      </c>
      <c r="G195" s="8" t="n">
        <v>10900.4285619259</v>
      </c>
      <c r="H195" s="6" t="n">
        <f aca="false">IF(G195="","",G195/SUMIFS($G$2:$G$671,$F$2:$F$671,"Served"))</f>
        <v>0.000551516114136155</v>
      </c>
      <c r="I195" s="4" t="n">
        <f aca="false">IF(G195="","",RANK(G195,$G$2:$G$671,0))</f>
        <v>194</v>
      </c>
      <c r="J195" s="4" t="s">
        <v>34</v>
      </c>
    </row>
    <row r="196" customFormat="false" ht="15" hidden="false" customHeight="false" outlineLevel="0" collapsed="false">
      <c r="A196" s="4" t="s">
        <v>469</v>
      </c>
      <c r="B196" s="4" t="s">
        <v>30</v>
      </c>
      <c r="C196" s="4" t="s">
        <v>344</v>
      </c>
      <c r="D196" s="7" t="s">
        <v>470</v>
      </c>
      <c r="E196" s="4" t="s">
        <v>33</v>
      </c>
      <c r="F196" s="4" t="s">
        <v>4</v>
      </c>
      <c r="G196" s="8" t="n">
        <v>10828.9831018448</v>
      </c>
      <c r="H196" s="6" t="n">
        <f aca="false">IF(G196="","",G196/SUMIFS($G$2:$G$671,$F$2:$F$671,"Served"))</f>
        <v>0.00054790127254596</v>
      </c>
      <c r="I196" s="4" t="n">
        <f aca="false">IF(G196="","",RANK(G196,$G$2:$G$671,0))</f>
        <v>195</v>
      </c>
      <c r="J196" s="4" t="s">
        <v>34</v>
      </c>
    </row>
    <row r="197" customFormat="false" ht="15" hidden="false" customHeight="false" outlineLevel="0" collapsed="false">
      <c r="A197" s="4" t="s">
        <v>471</v>
      </c>
      <c r="B197" s="4" t="s">
        <v>213</v>
      </c>
      <c r="C197" s="4" t="s">
        <v>214</v>
      </c>
      <c r="D197" s="7" t="s">
        <v>472</v>
      </c>
      <c r="E197" s="4" t="s">
        <v>216</v>
      </c>
      <c r="F197" s="4" t="s">
        <v>4</v>
      </c>
      <c r="G197" s="8" t="n">
        <v>10708.1395475864</v>
      </c>
      <c r="H197" s="6" t="n">
        <f aca="false">IF(G197="","",G197/SUMIFS($G$2:$G$671,$F$2:$F$671,"Served"))</f>
        <v>0.000541787093907538</v>
      </c>
      <c r="I197" s="4" t="n">
        <f aca="false">IF(G197="","",RANK(G197,$G$2:$G$671,0))</f>
        <v>196</v>
      </c>
      <c r="J197" s="4" t="s">
        <v>34</v>
      </c>
    </row>
    <row r="198" customFormat="false" ht="15" hidden="false" customHeight="false" outlineLevel="0" collapsed="false">
      <c r="A198" s="4" t="s">
        <v>473</v>
      </c>
      <c r="B198" s="4" t="s">
        <v>52</v>
      </c>
      <c r="C198" s="4" t="s">
        <v>158</v>
      </c>
      <c r="D198" s="7" t="s">
        <v>474</v>
      </c>
      <c r="E198" s="4" t="s">
        <v>33</v>
      </c>
      <c r="F198" s="4" t="s">
        <v>4</v>
      </c>
      <c r="G198" s="8" t="n">
        <v>10641.7361917496</v>
      </c>
      <c r="H198" s="6" t="n">
        <f aca="false">IF(G198="","",G198/SUMIFS($G$2:$G$671,$F$2:$F$671,"Served"))</f>
        <v>0.000538427361712726</v>
      </c>
      <c r="I198" s="4" t="n">
        <f aca="false">IF(G198="","",RANK(G198,$G$2:$G$671,0))</f>
        <v>197</v>
      </c>
      <c r="J198" s="4" t="s">
        <v>34</v>
      </c>
    </row>
    <row r="199" customFormat="false" ht="15" hidden="false" customHeight="false" outlineLevel="0" collapsed="false">
      <c r="A199" s="4" t="s">
        <v>475</v>
      </c>
      <c r="B199" s="4" t="s">
        <v>52</v>
      </c>
      <c r="C199" s="4" t="s">
        <v>158</v>
      </c>
      <c r="D199" s="7" t="s">
        <v>476</v>
      </c>
      <c r="E199" s="4" t="s">
        <v>33</v>
      </c>
      <c r="F199" s="4" t="s">
        <v>4</v>
      </c>
      <c r="G199" s="8" t="n">
        <v>10465.3864777088</v>
      </c>
      <c r="H199" s="6" t="n">
        <f aca="false">IF(G199="","",G199/SUMIFS($G$2:$G$671,$F$2:$F$671,"Served"))</f>
        <v>0.000529504803442266</v>
      </c>
      <c r="I199" s="4" t="n">
        <f aca="false">IF(G199="","",RANK(G199,$G$2:$G$671,0))</f>
        <v>198</v>
      </c>
      <c r="J199" s="4" t="s">
        <v>34</v>
      </c>
    </row>
    <row r="200" customFormat="false" ht="15" hidden="false" customHeight="false" outlineLevel="0" collapsed="false">
      <c r="A200" s="4" t="s">
        <v>477</v>
      </c>
      <c r="B200" s="4" t="s">
        <v>52</v>
      </c>
      <c r="C200" s="4" t="s">
        <v>145</v>
      </c>
      <c r="D200" s="7" t="s">
        <v>478</v>
      </c>
      <c r="E200" s="4" t="s">
        <v>33</v>
      </c>
      <c r="F200" s="4" t="s">
        <v>4</v>
      </c>
      <c r="G200" s="8" t="n">
        <v>10333.7447994947</v>
      </c>
      <c r="H200" s="6" t="n">
        <f aca="false">IF(G200="","",G200/SUMIFS($G$2:$G$671,$F$2:$F$671,"Served"))</f>
        <v>0.00052284428487508</v>
      </c>
      <c r="I200" s="4" t="n">
        <f aca="false">IF(G200="","",RANK(G200,$G$2:$G$671,0))</f>
        <v>199</v>
      </c>
      <c r="J200" s="4" t="s">
        <v>34</v>
      </c>
    </row>
    <row r="201" customFormat="false" ht="15" hidden="false" customHeight="false" outlineLevel="0" collapsed="false">
      <c r="A201" s="4" t="s">
        <v>479</v>
      </c>
      <c r="B201" s="4" t="s">
        <v>172</v>
      </c>
      <c r="C201" s="4" t="s">
        <v>173</v>
      </c>
      <c r="D201" s="7" t="s">
        <v>480</v>
      </c>
      <c r="E201" s="4" t="s">
        <v>175</v>
      </c>
      <c r="F201" s="4" t="s">
        <v>4</v>
      </c>
      <c r="G201" s="8" t="n">
        <v>10280.1331624985</v>
      </c>
      <c r="H201" s="6" t="n">
        <f aca="false">IF(G201="","",G201/SUMIFS($G$2:$G$671,$F$2:$F$671,"Served"))</f>
        <v>0.000520131760175644</v>
      </c>
      <c r="I201" s="4" t="n">
        <f aca="false">IF(G201="","",RANK(G201,$G$2:$G$671,0))</f>
        <v>200</v>
      </c>
      <c r="J201" s="4" t="s">
        <v>34</v>
      </c>
    </row>
    <row r="202" customFormat="false" ht="15" hidden="false" customHeight="false" outlineLevel="0" collapsed="false">
      <c r="A202" s="4" t="s">
        <v>481</v>
      </c>
      <c r="B202" s="4" t="s">
        <v>30</v>
      </c>
      <c r="C202" s="4" t="s">
        <v>402</v>
      </c>
      <c r="D202" s="7" t="s">
        <v>482</v>
      </c>
      <c r="E202" s="4" t="s">
        <v>33</v>
      </c>
      <c r="F202" s="4" t="s">
        <v>4</v>
      </c>
      <c r="G202" s="8" t="n">
        <v>10261.5311908722</v>
      </c>
      <c r="H202" s="6" t="n">
        <f aca="false">IF(G202="","",G202/SUMIFS($G$2:$G$671,$F$2:$F$671,"Served"))</f>
        <v>0.000519190578180063</v>
      </c>
      <c r="I202" s="4" t="n">
        <f aca="false">IF(G202="","",RANK(G202,$G$2:$G$671,0))</f>
        <v>201</v>
      </c>
      <c r="J202" s="4" t="s">
        <v>34</v>
      </c>
    </row>
    <row r="203" customFormat="false" ht="15" hidden="false" customHeight="false" outlineLevel="0" collapsed="false">
      <c r="A203" s="4" t="s">
        <v>483</v>
      </c>
      <c r="B203" s="4" t="s">
        <v>71</v>
      </c>
      <c r="C203" s="4" t="s">
        <v>72</v>
      </c>
      <c r="D203" s="7" t="s">
        <v>484</v>
      </c>
      <c r="E203" s="4" t="s">
        <v>74</v>
      </c>
      <c r="F203" s="4" t="s">
        <v>4</v>
      </c>
      <c r="G203" s="8" t="n">
        <v>10233.5278965235</v>
      </c>
      <c r="H203" s="6" t="n">
        <f aca="false">IF(G203="","",G203/SUMIFS($G$2:$G$671,$F$2:$F$671,"Served"))</f>
        <v>0.000517773728558558</v>
      </c>
      <c r="I203" s="4" t="n">
        <f aca="false">IF(G203="","",RANK(G203,$G$2:$G$671,0))</f>
        <v>202</v>
      </c>
      <c r="J203" s="4" t="s">
        <v>34</v>
      </c>
    </row>
    <row r="204" customFormat="false" ht="15" hidden="false" customHeight="false" outlineLevel="0" collapsed="false">
      <c r="A204" s="4" t="s">
        <v>485</v>
      </c>
      <c r="B204" s="4" t="s">
        <v>30</v>
      </c>
      <c r="C204" s="4" t="s">
        <v>241</v>
      </c>
      <c r="D204" s="7" t="s">
        <v>486</v>
      </c>
      <c r="E204" s="4" t="s">
        <v>33</v>
      </c>
      <c r="F204" s="4" t="s">
        <v>4</v>
      </c>
      <c r="G204" s="8" t="n">
        <v>10146.5384430885</v>
      </c>
      <c r="H204" s="6" t="n">
        <f aca="false">IF(G204="","",G204/SUMIFS($G$2:$G$671,$F$2:$F$671,"Served"))</f>
        <v>0.000513372425888968</v>
      </c>
      <c r="I204" s="4" t="n">
        <f aca="false">IF(G204="","",RANK(G204,$G$2:$G$671,0))</f>
        <v>203</v>
      </c>
      <c r="J204" s="4" t="s">
        <v>34</v>
      </c>
    </row>
    <row r="205" customFormat="false" ht="15" hidden="false" customHeight="false" outlineLevel="0" collapsed="false">
      <c r="A205" s="4" t="s">
        <v>487</v>
      </c>
      <c r="B205" s="4" t="s">
        <v>30</v>
      </c>
      <c r="C205" s="4" t="s">
        <v>132</v>
      </c>
      <c r="D205" s="7" t="s">
        <v>488</v>
      </c>
      <c r="E205" s="4" t="s">
        <v>33</v>
      </c>
      <c r="F205" s="4" t="s">
        <v>4</v>
      </c>
      <c r="G205" s="8" t="n">
        <v>10120.5729498863</v>
      </c>
      <c r="H205" s="6" t="n">
        <f aca="false">IF(G205="","",G205/SUMIFS($G$2:$G$671,$F$2:$F$671,"Served"))</f>
        <v>0.000512058680486101</v>
      </c>
      <c r="I205" s="4" t="n">
        <f aca="false">IF(G205="","",RANK(G205,$G$2:$G$671,0))</f>
        <v>204</v>
      </c>
      <c r="J205" s="4" t="s">
        <v>34</v>
      </c>
    </row>
    <row r="206" customFormat="false" ht="15" hidden="false" customHeight="false" outlineLevel="0" collapsed="false">
      <c r="A206" s="4" t="s">
        <v>489</v>
      </c>
      <c r="B206" s="4" t="s">
        <v>52</v>
      </c>
      <c r="C206" s="4" t="s">
        <v>264</v>
      </c>
      <c r="D206" s="7" t="s">
        <v>490</v>
      </c>
      <c r="E206" s="4" t="s">
        <v>33</v>
      </c>
      <c r="F206" s="4" t="s">
        <v>4</v>
      </c>
      <c r="G206" s="8" t="n">
        <v>9701.4565410614</v>
      </c>
      <c r="H206" s="6" t="n">
        <f aca="false">IF(G206="","",G206/SUMIFS($G$2:$G$671,$F$2:$F$671,"Served"))</f>
        <v>0.000490853142387058</v>
      </c>
      <c r="I206" s="4" t="n">
        <f aca="false">IF(G206="","",RANK(G206,$G$2:$G$671,0))</f>
        <v>205</v>
      </c>
      <c r="J206" s="4" t="s">
        <v>34</v>
      </c>
    </row>
    <row r="207" customFormat="false" ht="15" hidden="false" customHeight="false" outlineLevel="0" collapsed="false">
      <c r="A207" s="4" t="s">
        <v>491</v>
      </c>
      <c r="B207" s="4" t="s">
        <v>30</v>
      </c>
      <c r="C207" s="4" t="s">
        <v>68</v>
      </c>
      <c r="D207" s="7" t="s">
        <v>492</v>
      </c>
      <c r="E207" s="4" t="s">
        <v>33</v>
      </c>
      <c r="F207" s="4" t="s">
        <v>4</v>
      </c>
      <c r="G207" s="8" t="n">
        <v>9632.65136432648</v>
      </c>
      <c r="H207" s="6" t="n">
        <f aca="false">IF(G207="","",G207/SUMIFS($G$2:$G$671,$F$2:$F$671,"Served"))</f>
        <v>0.000487371888096026</v>
      </c>
      <c r="I207" s="4" t="n">
        <f aca="false">IF(G207="","",RANK(G207,$G$2:$G$671,0))</f>
        <v>206</v>
      </c>
      <c r="J207" s="4" t="s">
        <v>34</v>
      </c>
    </row>
    <row r="208" customFormat="false" ht="15" hidden="false" customHeight="false" outlineLevel="0" collapsed="false">
      <c r="A208" s="4" t="s">
        <v>493</v>
      </c>
      <c r="B208" s="4" t="s">
        <v>172</v>
      </c>
      <c r="C208" s="4" t="s">
        <v>173</v>
      </c>
      <c r="D208" s="7" t="s">
        <v>494</v>
      </c>
      <c r="E208" s="4" t="s">
        <v>175</v>
      </c>
      <c r="F208" s="4" t="s">
        <v>4</v>
      </c>
      <c r="G208" s="8" t="n">
        <v>9548.99983334541</v>
      </c>
      <c r="H208" s="6" t="n">
        <f aca="false">IF(G208="","",G208/SUMIFS($G$2:$G$671,$F$2:$F$671,"Served"))</f>
        <v>0.00048313947034785</v>
      </c>
      <c r="I208" s="4" t="n">
        <f aca="false">IF(G208="","",RANK(G208,$G$2:$G$671,0))</f>
        <v>207</v>
      </c>
      <c r="J208" s="4" t="s">
        <v>34</v>
      </c>
    </row>
    <row r="209" customFormat="false" ht="15" hidden="false" customHeight="false" outlineLevel="0" collapsed="false">
      <c r="A209" s="4" t="s">
        <v>495</v>
      </c>
      <c r="B209" s="4" t="s">
        <v>172</v>
      </c>
      <c r="C209" s="4" t="s">
        <v>173</v>
      </c>
      <c r="D209" s="7" t="s">
        <v>496</v>
      </c>
      <c r="E209" s="4" t="s">
        <v>175</v>
      </c>
      <c r="F209" s="4" t="s">
        <v>4</v>
      </c>
      <c r="G209" s="8" t="n">
        <v>9530.18528747559</v>
      </c>
      <c r="H209" s="6" t="n">
        <f aca="false">IF(G209="","",G209/SUMIFS($G$2:$G$671,$F$2:$F$671,"Served"))</f>
        <v>0.000482187532984249</v>
      </c>
      <c r="I209" s="4" t="n">
        <f aca="false">IF(G209="","",RANK(G209,$G$2:$G$671,0))</f>
        <v>208</v>
      </c>
      <c r="J209" s="4" t="s">
        <v>34</v>
      </c>
    </row>
    <row r="210" customFormat="false" ht="15" hidden="false" customHeight="false" outlineLevel="0" collapsed="false">
      <c r="A210" s="4" t="s">
        <v>497</v>
      </c>
      <c r="B210" s="4" t="s">
        <v>30</v>
      </c>
      <c r="C210" s="4" t="s">
        <v>36</v>
      </c>
      <c r="D210" s="7" t="s">
        <v>498</v>
      </c>
      <c r="E210" s="4" t="s">
        <v>33</v>
      </c>
      <c r="F210" s="4" t="s">
        <v>4</v>
      </c>
      <c r="G210" s="8" t="n">
        <v>9474.15075182915</v>
      </c>
      <c r="H210" s="6" t="n">
        <f aca="false">IF(G210="","",G210/SUMIFS($G$2:$G$671,$F$2:$F$671,"Served"))</f>
        <v>0.000479352419742454</v>
      </c>
      <c r="I210" s="4" t="n">
        <f aca="false">IF(G210="","",RANK(G210,$G$2:$G$671,0))</f>
        <v>209</v>
      </c>
      <c r="J210" s="4" t="s">
        <v>34</v>
      </c>
    </row>
    <row r="211" customFormat="false" ht="15" hidden="false" customHeight="false" outlineLevel="0" collapsed="false">
      <c r="A211" s="4" t="s">
        <v>499</v>
      </c>
      <c r="B211" s="4" t="s">
        <v>172</v>
      </c>
      <c r="C211" s="4" t="s">
        <v>173</v>
      </c>
      <c r="D211" s="7" t="s">
        <v>500</v>
      </c>
      <c r="E211" s="4" t="s">
        <v>175</v>
      </c>
      <c r="F211" s="4" t="s">
        <v>4</v>
      </c>
      <c r="G211" s="8" t="n">
        <v>9381.59577870369</v>
      </c>
      <c r="H211" s="6" t="n">
        <f aca="false">IF(G211="","",G211/SUMIFS($G$2:$G$671,$F$2:$F$671,"Served"))</f>
        <v>0.000474669525044128</v>
      </c>
      <c r="I211" s="4" t="n">
        <f aca="false">IF(G211="","",RANK(G211,$G$2:$G$671,0))</f>
        <v>210</v>
      </c>
      <c r="J211" s="4" t="s">
        <v>34</v>
      </c>
    </row>
    <row r="212" customFormat="false" ht="15" hidden="false" customHeight="false" outlineLevel="0" collapsed="false">
      <c r="A212" s="4" t="s">
        <v>501</v>
      </c>
      <c r="B212" s="4" t="s">
        <v>213</v>
      </c>
      <c r="C212" s="4" t="s">
        <v>214</v>
      </c>
      <c r="D212" s="7" t="s">
        <v>502</v>
      </c>
      <c r="E212" s="4" t="s">
        <v>216</v>
      </c>
      <c r="F212" s="4" t="s">
        <v>4</v>
      </c>
      <c r="G212" s="8" t="n">
        <v>9339.98081660271</v>
      </c>
      <c r="H212" s="6" t="n">
        <f aca="false">IF(G212="","",G212/SUMIFS($G$2:$G$671,$F$2:$F$671,"Served"))</f>
        <v>0.000472563981940252</v>
      </c>
      <c r="I212" s="4" t="n">
        <f aca="false">IF(G212="","",RANK(G212,$G$2:$G$671,0))</f>
        <v>211</v>
      </c>
      <c r="J212" s="4" t="s">
        <v>34</v>
      </c>
    </row>
    <row r="213" customFormat="false" ht="15" hidden="false" customHeight="false" outlineLevel="0" collapsed="false">
      <c r="A213" s="4" t="s">
        <v>503</v>
      </c>
      <c r="B213" s="4" t="s">
        <v>52</v>
      </c>
      <c r="C213" s="4" t="s">
        <v>227</v>
      </c>
      <c r="D213" s="7" t="s">
        <v>504</v>
      </c>
      <c r="E213" s="4" t="s">
        <v>33</v>
      </c>
      <c r="F213" s="4" t="s">
        <v>4</v>
      </c>
      <c r="G213" s="8" t="n">
        <v>9296.46297693253</v>
      </c>
      <c r="H213" s="6" t="n">
        <f aca="false">IF(G213="","",G213/SUMIFS($G$2:$G$671,$F$2:$F$671,"Served"))</f>
        <v>0.000470362161186678</v>
      </c>
      <c r="I213" s="4" t="n">
        <f aca="false">IF(G213="","",RANK(G213,$G$2:$G$671,0))</f>
        <v>212</v>
      </c>
      <c r="J213" s="4" t="s">
        <v>34</v>
      </c>
    </row>
    <row r="214" customFormat="false" ht="15" hidden="false" customHeight="false" outlineLevel="0" collapsed="false">
      <c r="A214" s="4" t="s">
        <v>505</v>
      </c>
      <c r="B214" s="4" t="s">
        <v>172</v>
      </c>
      <c r="C214" s="4" t="s">
        <v>173</v>
      </c>
      <c r="D214" s="7" t="s">
        <v>506</v>
      </c>
      <c r="E214" s="4" t="s">
        <v>175</v>
      </c>
      <c r="F214" s="4" t="s">
        <v>4</v>
      </c>
      <c r="G214" s="8" t="n">
        <v>9269.92629396915</v>
      </c>
      <c r="H214" s="6" t="n">
        <f aca="false">IF(G214="","",G214/SUMIFS($G$2:$G$671,$F$2:$F$671,"Served"))</f>
        <v>0.000469019515969852</v>
      </c>
      <c r="I214" s="4" t="n">
        <f aca="false">IF(G214="","",RANK(G214,$G$2:$G$671,0))</f>
        <v>213</v>
      </c>
      <c r="J214" s="4" t="s">
        <v>34</v>
      </c>
    </row>
    <row r="215" customFormat="false" ht="15" hidden="false" customHeight="false" outlineLevel="0" collapsed="false">
      <c r="A215" s="4" t="s">
        <v>507</v>
      </c>
      <c r="B215" s="4" t="s">
        <v>30</v>
      </c>
      <c r="C215" s="4" t="s">
        <v>31</v>
      </c>
      <c r="D215" s="7" t="s">
        <v>508</v>
      </c>
      <c r="E215" s="4" t="s">
        <v>33</v>
      </c>
      <c r="F215" s="4" t="s">
        <v>4</v>
      </c>
      <c r="G215" s="8" t="n">
        <v>9194.33966684341</v>
      </c>
      <c r="H215" s="6" t="n">
        <f aca="false">IF(G215="","",G215/SUMIFS($G$2:$G$671,$F$2:$F$671,"Served"))</f>
        <v>0.000465195148640052</v>
      </c>
      <c r="I215" s="4" t="n">
        <f aca="false">IF(G215="","",RANK(G215,$G$2:$G$671,0))</f>
        <v>214</v>
      </c>
      <c r="J215" s="4" t="s">
        <v>34</v>
      </c>
    </row>
    <row r="216" customFormat="false" ht="15" hidden="false" customHeight="false" outlineLevel="0" collapsed="false">
      <c r="A216" s="4" t="s">
        <v>509</v>
      </c>
      <c r="B216" s="4" t="s">
        <v>30</v>
      </c>
      <c r="C216" s="4" t="s">
        <v>287</v>
      </c>
      <c r="D216" s="7" t="s">
        <v>510</v>
      </c>
      <c r="E216" s="4" t="s">
        <v>33</v>
      </c>
      <c r="F216" s="4" t="s">
        <v>4</v>
      </c>
      <c r="G216" s="8" t="n">
        <v>9154.46021652222</v>
      </c>
      <c r="H216" s="6" t="n">
        <f aca="false">IF(G216="","",G216/SUMIFS($G$2:$G$671,$F$2:$F$671,"Served"))</f>
        <v>0.000463177415176631</v>
      </c>
      <c r="I216" s="4" t="n">
        <f aca="false">IF(G216="","",RANK(G216,$G$2:$G$671,0))</f>
        <v>215</v>
      </c>
      <c r="J216" s="4" t="s">
        <v>34</v>
      </c>
    </row>
    <row r="217" customFormat="false" ht="15" hidden="false" customHeight="false" outlineLevel="0" collapsed="false">
      <c r="A217" s="4" t="s">
        <v>511</v>
      </c>
      <c r="B217" s="4" t="s">
        <v>116</v>
      </c>
      <c r="C217" s="4" t="s">
        <v>220</v>
      </c>
      <c r="D217" s="7" t="s">
        <v>512</v>
      </c>
      <c r="E217" s="4" t="s">
        <v>119</v>
      </c>
      <c r="F217" s="4" t="s">
        <v>4</v>
      </c>
      <c r="G217" s="8" t="n">
        <v>9078.50223863125</v>
      </c>
      <c r="H217" s="6" t="n">
        <f aca="false">IF(G217="","",G217/SUMIFS($G$2:$G$671,$F$2:$F$671,"Served"))</f>
        <v>0.000459334259050606</v>
      </c>
      <c r="I217" s="4" t="n">
        <f aca="false">IF(G217="","",RANK(G217,$G$2:$G$671,0))</f>
        <v>216</v>
      </c>
      <c r="J217" s="4" t="s">
        <v>34</v>
      </c>
    </row>
    <row r="218" customFormat="false" ht="15" hidden="false" customHeight="false" outlineLevel="0" collapsed="false">
      <c r="A218" s="4" t="s">
        <v>513</v>
      </c>
      <c r="B218" s="4" t="s">
        <v>52</v>
      </c>
      <c r="C218" s="4" t="s">
        <v>158</v>
      </c>
      <c r="D218" s="7" t="s">
        <v>166</v>
      </c>
      <c r="E218" s="4" t="s">
        <v>33</v>
      </c>
      <c r="F218" s="4" t="s">
        <v>4</v>
      </c>
      <c r="G218" s="8" t="n">
        <v>9048.34761404991</v>
      </c>
      <c r="H218" s="6" t="n">
        <f aca="false">IF(G218="","",G218/SUMIFS($G$2:$G$671,$F$2:$F$671,"Served"))</f>
        <v>0.000457808561113331</v>
      </c>
      <c r="I218" s="4" t="n">
        <f aca="false">IF(G218="","",RANK(G218,$G$2:$G$671,0))</f>
        <v>217</v>
      </c>
      <c r="J218" s="4" t="s">
        <v>34</v>
      </c>
    </row>
    <row r="219" customFormat="false" ht="15" hidden="false" customHeight="false" outlineLevel="0" collapsed="false">
      <c r="A219" s="4" t="s">
        <v>514</v>
      </c>
      <c r="B219" s="4" t="s">
        <v>30</v>
      </c>
      <c r="C219" s="4" t="s">
        <v>31</v>
      </c>
      <c r="D219" s="7" t="s">
        <v>515</v>
      </c>
      <c r="E219" s="4" t="s">
        <v>33</v>
      </c>
      <c r="F219" s="4" t="s">
        <v>4</v>
      </c>
      <c r="G219" s="8" t="n">
        <v>9005.55387639999</v>
      </c>
      <c r="H219" s="6" t="n">
        <f aca="false">IF(G219="","",G219/SUMIFS($G$2:$G$671,$F$2:$F$671,"Served"))</f>
        <v>0.000455643376894751</v>
      </c>
      <c r="I219" s="4" t="n">
        <f aca="false">IF(G219="","",RANK(G219,$G$2:$G$671,0))</f>
        <v>218</v>
      </c>
      <c r="J219" s="4" t="s">
        <v>34</v>
      </c>
    </row>
    <row r="220" customFormat="false" ht="15" hidden="false" customHeight="false" outlineLevel="0" collapsed="false">
      <c r="A220" s="4" t="s">
        <v>516</v>
      </c>
      <c r="B220" s="4" t="s">
        <v>43</v>
      </c>
      <c r="C220" s="4" t="s">
        <v>44</v>
      </c>
      <c r="D220" s="7" t="s">
        <v>517</v>
      </c>
      <c r="E220" s="4" t="s">
        <v>46</v>
      </c>
      <c r="F220" s="4" t="s">
        <v>4</v>
      </c>
      <c r="G220" s="8" t="n">
        <v>8985.29797780514</v>
      </c>
      <c r="H220" s="6" t="n">
        <f aca="false">IF(G220="","",G220/SUMIFS($G$2:$G$671,$F$2:$F$671,"Served"))</f>
        <v>0.000454618513109084</v>
      </c>
      <c r="I220" s="4" t="n">
        <f aca="false">IF(G220="","",RANK(G220,$G$2:$G$671,0))</f>
        <v>219</v>
      </c>
      <c r="J220" s="4" t="s">
        <v>34</v>
      </c>
    </row>
    <row r="221" customFormat="false" ht="15" hidden="false" customHeight="false" outlineLevel="0" collapsed="false">
      <c r="A221" s="4" t="s">
        <v>518</v>
      </c>
      <c r="B221" s="4" t="s">
        <v>71</v>
      </c>
      <c r="C221" s="4" t="s">
        <v>72</v>
      </c>
      <c r="D221" s="7" t="s">
        <v>519</v>
      </c>
      <c r="E221" s="4" t="s">
        <v>74</v>
      </c>
      <c r="F221" s="4" t="s">
        <v>4</v>
      </c>
      <c r="G221" s="8" t="n">
        <v>8949.7151658535</v>
      </c>
      <c r="H221" s="6" t="n">
        <f aca="false">IF(G221="","",G221/SUMIFS($G$2:$G$671,$F$2:$F$671,"Served"))</f>
        <v>0.000452818171584334</v>
      </c>
      <c r="I221" s="4" t="n">
        <f aca="false">IF(G221="","",RANK(G221,$G$2:$G$671,0))</f>
        <v>220</v>
      </c>
      <c r="J221" s="4" t="s">
        <v>34</v>
      </c>
    </row>
    <row r="222" customFormat="false" ht="15" hidden="false" customHeight="false" outlineLevel="0" collapsed="false">
      <c r="A222" s="4" t="s">
        <v>520</v>
      </c>
      <c r="B222" s="4" t="s">
        <v>30</v>
      </c>
      <c r="C222" s="4" t="s">
        <v>31</v>
      </c>
      <c r="D222" s="7" t="s">
        <v>521</v>
      </c>
      <c r="E222" s="4" t="s">
        <v>33</v>
      </c>
      <c r="F222" s="4" t="s">
        <v>4</v>
      </c>
      <c r="G222" s="8" t="n">
        <v>8935.05949950218</v>
      </c>
      <c r="H222" s="6" t="n">
        <f aca="false">IF(G222="","",G222/SUMIFS($G$2:$G$671,$F$2:$F$671,"Served"))</f>
        <v>0.000452076656137465</v>
      </c>
      <c r="I222" s="4" t="n">
        <f aca="false">IF(G222="","",RANK(G222,$G$2:$G$671,0))</f>
        <v>221</v>
      </c>
      <c r="J222" s="4" t="s">
        <v>34</v>
      </c>
    </row>
    <row r="223" customFormat="false" ht="15" hidden="false" customHeight="false" outlineLevel="0" collapsed="false">
      <c r="A223" s="4" t="s">
        <v>522</v>
      </c>
      <c r="B223" s="4" t="s">
        <v>52</v>
      </c>
      <c r="C223" s="4" t="s">
        <v>203</v>
      </c>
      <c r="D223" s="7" t="s">
        <v>523</v>
      </c>
      <c r="E223" s="4" t="s">
        <v>33</v>
      </c>
      <c r="F223" s="4" t="s">
        <v>4</v>
      </c>
      <c r="G223" s="8" t="n">
        <v>8795.7716281414</v>
      </c>
      <c r="H223" s="6" t="n">
        <f aca="false">IF(G223="","",G223/SUMIFS($G$2:$G$671,$F$2:$F$671,"Served"))</f>
        <v>0.000445029272163269</v>
      </c>
      <c r="I223" s="4" t="n">
        <f aca="false">IF(G223="","",RANK(G223,$G$2:$G$671,0))</f>
        <v>222</v>
      </c>
      <c r="J223" s="4" t="s">
        <v>34</v>
      </c>
    </row>
    <row r="224" customFormat="false" ht="15" hidden="false" customHeight="false" outlineLevel="0" collapsed="false">
      <c r="A224" s="4" t="s">
        <v>524</v>
      </c>
      <c r="B224" s="4" t="s">
        <v>125</v>
      </c>
      <c r="C224" s="4" t="s">
        <v>126</v>
      </c>
      <c r="D224" s="7" t="s">
        <v>525</v>
      </c>
      <c r="E224" s="4" t="s">
        <v>128</v>
      </c>
      <c r="F224" s="4" t="s">
        <v>4</v>
      </c>
      <c r="G224" s="8" t="n">
        <v>8611.65678787231</v>
      </c>
      <c r="H224" s="6" t="n">
        <f aca="false">IF(G224="","",G224/SUMIFS($G$2:$G$671,$F$2:$F$671,"Served"))</f>
        <v>0.000435713830969086</v>
      </c>
      <c r="I224" s="4" t="n">
        <f aca="false">IF(G224="","",RANK(G224,$G$2:$G$671,0))</f>
        <v>223</v>
      </c>
      <c r="J224" s="4" t="s">
        <v>34</v>
      </c>
    </row>
    <row r="225" customFormat="false" ht="15" hidden="false" customHeight="false" outlineLevel="0" collapsed="false">
      <c r="A225" s="4" t="s">
        <v>526</v>
      </c>
      <c r="B225" s="4" t="s">
        <v>30</v>
      </c>
      <c r="C225" s="4" t="s">
        <v>241</v>
      </c>
      <c r="D225" s="7" t="s">
        <v>527</v>
      </c>
      <c r="E225" s="4" t="s">
        <v>33</v>
      </c>
      <c r="F225" s="4" t="s">
        <v>4</v>
      </c>
      <c r="G225" s="8" t="n">
        <v>8582.07518804073</v>
      </c>
      <c r="H225" s="6" t="n">
        <f aca="false">IF(G225="","",G225/SUMIFS($G$2:$G$671,$F$2:$F$671,"Served"))</f>
        <v>0.000434217125688522</v>
      </c>
      <c r="I225" s="4" t="n">
        <f aca="false">IF(G225="","",RANK(G225,$G$2:$G$671,0))</f>
        <v>224</v>
      </c>
      <c r="J225" s="4" t="s">
        <v>34</v>
      </c>
    </row>
    <row r="226" customFormat="false" ht="15" hidden="false" customHeight="false" outlineLevel="0" collapsed="false">
      <c r="A226" s="4" t="s">
        <v>528</v>
      </c>
      <c r="B226" s="4" t="s">
        <v>172</v>
      </c>
      <c r="C226" s="4" t="s">
        <v>173</v>
      </c>
      <c r="D226" s="7" t="s">
        <v>529</v>
      </c>
      <c r="E226" s="4" t="s">
        <v>175</v>
      </c>
      <c r="F226" s="4" t="s">
        <v>4</v>
      </c>
      <c r="G226" s="8" t="n">
        <v>8567.12829518318</v>
      </c>
      <c r="H226" s="6" t="n">
        <f aca="false">IF(G226="","",G226/SUMIFS($G$2:$G$671,$F$2:$F$671,"Served"))</f>
        <v>0.00043346087539796</v>
      </c>
      <c r="I226" s="4" t="n">
        <f aca="false">IF(G226="","",RANK(G226,$G$2:$G$671,0))</f>
        <v>225</v>
      </c>
      <c r="J226" s="4" t="s">
        <v>34</v>
      </c>
    </row>
    <row r="227" customFormat="false" ht="15" hidden="false" customHeight="false" outlineLevel="0" collapsed="false">
      <c r="A227" s="4" t="s">
        <v>530</v>
      </c>
      <c r="B227" s="4" t="s">
        <v>116</v>
      </c>
      <c r="C227" s="4" t="s">
        <v>220</v>
      </c>
      <c r="D227" s="7" t="s">
        <v>531</v>
      </c>
      <c r="E227" s="4" t="s">
        <v>119</v>
      </c>
      <c r="F227" s="4" t="s">
        <v>4</v>
      </c>
      <c r="G227" s="8" t="n">
        <v>8545.57836997509</v>
      </c>
      <c r="H227" s="6" t="n">
        <f aca="false">IF(G227="","",G227/SUMIFS($G$2:$G$671,$F$2:$F$671,"Served"))</f>
        <v>0.000432370539275562</v>
      </c>
      <c r="I227" s="4" t="n">
        <f aca="false">IF(G227="","",RANK(G227,$G$2:$G$671,0))</f>
        <v>226</v>
      </c>
      <c r="J227" s="4" t="s">
        <v>34</v>
      </c>
    </row>
    <row r="228" customFormat="false" ht="15" hidden="false" customHeight="false" outlineLevel="0" collapsed="false">
      <c r="A228" s="4" t="s">
        <v>532</v>
      </c>
      <c r="B228" s="4" t="s">
        <v>52</v>
      </c>
      <c r="C228" s="4" t="s">
        <v>145</v>
      </c>
      <c r="D228" s="7" t="s">
        <v>533</v>
      </c>
      <c r="E228" s="4" t="s">
        <v>33</v>
      </c>
      <c r="F228" s="4" t="s">
        <v>4</v>
      </c>
      <c r="G228" s="8" t="n">
        <v>8534.84009766579</v>
      </c>
      <c r="H228" s="6" t="n">
        <f aca="false">IF(G228="","",G228/SUMIFS($G$2:$G$671,$F$2:$F$671,"Served"))</f>
        <v>0.000431827227589887</v>
      </c>
      <c r="I228" s="4" t="n">
        <f aca="false">IF(G228="","",RANK(G228,$G$2:$G$671,0))</f>
        <v>227</v>
      </c>
      <c r="J228" s="4" t="s">
        <v>34</v>
      </c>
    </row>
    <row r="229" customFormat="false" ht="15" hidden="false" customHeight="false" outlineLevel="0" collapsed="false">
      <c r="A229" s="4" t="s">
        <v>534</v>
      </c>
      <c r="B229" s="4" t="s">
        <v>172</v>
      </c>
      <c r="C229" s="4" t="s">
        <v>173</v>
      </c>
      <c r="D229" s="7" t="s">
        <v>535</v>
      </c>
      <c r="E229" s="4" t="s">
        <v>175</v>
      </c>
      <c r="F229" s="4" t="s">
        <v>4</v>
      </c>
      <c r="G229" s="8" t="n">
        <v>8405.74291396141</v>
      </c>
      <c r="H229" s="6" t="n">
        <f aca="false">IF(G229="","",G229/SUMIFS($G$2:$G$671,$F$2:$F$671,"Served"))</f>
        <v>0.000425295449807199</v>
      </c>
      <c r="I229" s="4" t="n">
        <f aca="false">IF(G229="","",RANK(G229,$G$2:$G$671,0))</f>
        <v>228</v>
      </c>
      <c r="J229" s="4" t="s">
        <v>34</v>
      </c>
    </row>
    <row r="230" customFormat="false" ht="15" hidden="false" customHeight="false" outlineLevel="0" collapsed="false">
      <c r="A230" s="4" t="s">
        <v>536</v>
      </c>
      <c r="B230" s="4" t="s">
        <v>116</v>
      </c>
      <c r="C230" s="4" t="s">
        <v>117</v>
      </c>
      <c r="D230" s="7" t="s">
        <v>537</v>
      </c>
      <c r="E230" s="4" t="s">
        <v>119</v>
      </c>
      <c r="F230" s="4" t="s">
        <v>4</v>
      </c>
      <c r="G230" s="8" t="n">
        <v>8297.25619804859</v>
      </c>
      <c r="H230" s="6" t="n">
        <f aca="false">IF(G230="","",G230/SUMIFS($G$2:$G$671,$F$2:$F$671,"Served"))</f>
        <v>0.000419806475529195</v>
      </c>
      <c r="I230" s="4" t="n">
        <f aca="false">IF(G230="","",RANK(G230,$G$2:$G$671,0))</f>
        <v>229</v>
      </c>
      <c r="J230" s="4" t="s">
        <v>34</v>
      </c>
    </row>
    <row r="231" customFormat="false" ht="15" hidden="false" customHeight="false" outlineLevel="0" collapsed="false">
      <c r="A231" s="4" t="s">
        <v>538</v>
      </c>
      <c r="B231" s="4" t="s">
        <v>213</v>
      </c>
      <c r="C231" s="4" t="s">
        <v>214</v>
      </c>
      <c r="D231" s="7" t="s">
        <v>539</v>
      </c>
      <c r="E231" s="4" t="s">
        <v>216</v>
      </c>
      <c r="F231" s="4" t="s">
        <v>4</v>
      </c>
      <c r="G231" s="8" t="n">
        <v>8264.31322979927</v>
      </c>
      <c r="H231" s="6" t="n">
        <f aca="false">IF(G231="","",G231/SUMIFS($G$2:$G$671,$F$2:$F$671,"Served"))</f>
        <v>0.000418139699059467</v>
      </c>
      <c r="I231" s="4" t="n">
        <f aca="false">IF(G231="","",RANK(G231,$G$2:$G$671,0))</f>
        <v>230</v>
      </c>
      <c r="J231" s="4" t="s">
        <v>34</v>
      </c>
    </row>
    <row r="232" customFormat="false" ht="15" hidden="false" customHeight="false" outlineLevel="0" collapsed="false">
      <c r="A232" s="4" t="s">
        <v>540</v>
      </c>
      <c r="B232" s="4" t="s">
        <v>30</v>
      </c>
      <c r="C232" s="4" t="s">
        <v>31</v>
      </c>
      <c r="D232" s="7" t="s">
        <v>541</v>
      </c>
      <c r="E232" s="4" t="s">
        <v>33</v>
      </c>
      <c r="F232" s="4" t="s">
        <v>4</v>
      </c>
      <c r="G232" s="8" t="n">
        <v>8260.21132612228</v>
      </c>
      <c r="H232" s="6" t="n">
        <f aca="false">IF(G232="","",G232/SUMIFS($G$2:$G$671,$F$2:$F$671,"Served"))</f>
        <v>0.000417932159882118</v>
      </c>
      <c r="I232" s="4" t="n">
        <f aca="false">IF(G232="","",RANK(G232,$G$2:$G$671,0))</f>
        <v>231</v>
      </c>
      <c r="J232" s="4" t="s">
        <v>34</v>
      </c>
    </row>
    <row r="233" customFormat="false" ht="15" hidden="false" customHeight="false" outlineLevel="0" collapsed="false">
      <c r="A233" s="4" t="s">
        <v>542</v>
      </c>
      <c r="B233" s="4" t="s">
        <v>30</v>
      </c>
      <c r="C233" s="4" t="s">
        <v>402</v>
      </c>
      <c r="D233" s="7" t="s">
        <v>543</v>
      </c>
      <c r="E233" s="4" t="s">
        <v>33</v>
      </c>
      <c r="F233" s="4" t="s">
        <v>4</v>
      </c>
      <c r="G233" s="8" t="n">
        <v>8209.79760122299</v>
      </c>
      <c r="H233" s="6" t="n">
        <f aca="false">IF(G233="","",G233/SUMIFS($G$2:$G$671,$F$2:$F$671,"Served"))</f>
        <v>0.000415381436165373</v>
      </c>
      <c r="I233" s="4" t="n">
        <f aca="false">IF(G233="","",RANK(G233,$G$2:$G$671,0))</f>
        <v>232</v>
      </c>
      <c r="J233" s="4" t="s">
        <v>34</v>
      </c>
    </row>
    <row r="234" customFormat="false" ht="15" hidden="false" customHeight="false" outlineLevel="0" collapsed="false">
      <c r="A234" s="4" t="s">
        <v>544</v>
      </c>
      <c r="B234" s="4" t="s">
        <v>43</v>
      </c>
      <c r="C234" s="4" t="s">
        <v>44</v>
      </c>
      <c r="D234" s="7" t="s">
        <v>545</v>
      </c>
      <c r="E234" s="4" t="s">
        <v>46</v>
      </c>
      <c r="F234" s="4" t="s">
        <v>4</v>
      </c>
      <c r="G234" s="8" t="n">
        <v>8202.62030363083</v>
      </c>
      <c r="H234" s="6" t="n">
        <f aca="false">IF(G234="","",G234/SUMIFS($G$2:$G$671,$F$2:$F$671,"Served"))</f>
        <v>0.000415018294913124</v>
      </c>
      <c r="I234" s="4" t="n">
        <f aca="false">IF(G234="","",RANK(G234,$G$2:$G$671,0))</f>
        <v>233</v>
      </c>
      <c r="J234" s="4" t="s">
        <v>34</v>
      </c>
    </row>
    <row r="235" customFormat="false" ht="15" hidden="false" customHeight="false" outlineLevel="0" collapsed="false">
      <c r="A235" s="4" t="s">
        <v>546</v>
      </c>
      <c r="B235" s="4" t="s">
        <v>52</v>
      </c>
      <c r="C235" s="4" t="s">
        <v>145</v>
      </c>
      <c r="D235" s="7" t="s">
        <v>547</v>
      </c>
      <c r="E235" s="4" t="s">
        <v>33</v>
      </c>
      <c r="F235" s="4" t="s">
        <v>4</v>
      </c>
      <c r="G235" s="8" t="n">
        <v>8158.29751515389</v>
      </c>
      <c r="H235" s="6" t="n">
        <f aca="false">IF(G235="","",G235/SUMIFS($G$2:$G$671,$F$2:$F$671,"Served"))</f>
        <v>0.000412775747115153</v>
      </c>
      <c r="I235" s="4" t="n">
        <f aca="false">IF(G235="","",RANK(G235,$G$2:$G$671,0))</f>
        <v>234</v>
      </c>
      <c r="J235" s="4" t="s">
        <v>34</v>
      </c>
    </row>
    <row r="236" customFormat="false" ht="15" hidden="false" customHeight="false" outlineLevel="0" collapsed="false">
      <c r="A236" s="4" t="s">
        <v>548</v>
      </c>
      <c r="B236" s="4" t="s">
        <v>213</v>
      </c>
      <c r="C236" s="4" t="s">
        <v>214</v>
      </c>
      <c r="D236" s="7" t="s">
        <v>549</v>
      </c>
      <c r="E236" s="4" t="s">
        <v>216</v>
      </c>
      <c r="F236" s="4" t="s">
        <v>4</v>
      </c>
      <c r="G236" s="8" t="n">
        <v>8128.47952389717</v>
      </c>
      <c r="H236" s="6" t="n">
        <f aca="false">IF(G236="","",G236/SUMIFS($G$2:$G$671,$F$2:$F$671,"Served"))</f>
        <v>0.000411267081416752</v>
      </c>
      <c r="I236" s="4" t="n">
        <f aca="false">IF(G236="","",RANK(G236,$G$2:$G$671,0))</f>
        <v>235</v>
      </c>
      <c r="J236" s="4" t="s">
        <v>34</v>
      </c>
    </row>
    <row r="237" customFormat="false" ht="15" hidden="false" customHeight="false" outlineLevel="0" collapsed="false">
      <c r="A237" s="4" t="s">
        <v>550</v>
      </c>
      <c r="B237" s="4" t="s">
        <v>52</v>
      </c>
      <c r="C237" s="4" t="s">
        <v>264</v>
      </c>
      <c r="D237" s="7" t="s">
        <v>551</v>
      </c>
      <c r="E237" s="4" t="s">
        <v>33</v>
      </c>
      <c r="F237" s="4" t="s">
        <v>4</v>
      </c>
      <c r="G237" s="8" t="n">
        <v>8105.21573829651</v>
      </c>
      <c r="H237" s="6" t="n">
        <f aca="false">IF(G237="","",G237/SUMIFS($G$2:$G$671,$F$2:$F$671,"Served"))</f>
        <v>0.000410090031123575</v>
      </c>
      <c r="I237" s="4" t="n">
        <f aca="false">IF(G237="","",RANK(G237,$G$2:$G$671,0))</f>
        <v>236</v>
      </c>
      <c r="J237" s="4" t="s">
        <v>34</v>
      </c>
    </row>
    <row r="238" customFormat="false" ht="15" hidden="false" customHeight="false" outlineLevel="0" collapsed="false">
      <c r="A238" s="4" t="s">
        <v>552</v>
      </c>
      <c r="B238" s="4" t="s">
        <v>52</v>
      </c>
      <c r="C238" s="4" t="s">
        <v>158</v>
      </c>
      <c r="D238" s="7" t="s">
        <v>553</v>
      </c>
      <c r="E238" s="4" t="s">
        <v>33</v>
      </c>
      <c r="F238" s="4" t="s">
        <v>4</v>
      </c>
      <c r="G238" s="8" t="n">
        <v>8032.18373394013</v>
      </c>
      <c r="H238" s="6" t="n">
        <f aca="false">IF(G238="","",G238/SUMIFS($G$2:$G$671,$F$2:$F$671,"Served"))</f>
        <v>0.000406394917025869</v>
      </c>
      <c r="I238" s="4" t="n">
        <f aca="false">IF(G238="","",RANK(G238,$G$2:$G$671,0))</f>
        <v>237</v>
      </c>
      <c r="J238" s="4" t="s">
        <v>34</v>
      </c>
    </row>
    <row r="239" customFormat="false" ht="15" hidden="false" customHeight="false" outlineLevel="0" collapsed="false">
      <c r="A239" s="4" t="s">
        <v>554</v>
      </c>
      <c r="B239" s="4" t="s">
        <v>30</v>
      </c>
      <c r="C239" s="4" t="s">
        <v>31</v>
      </c>
      <c r="D239" s="7" t="s">
        <v>555</v>
      </c>
      <c r="E239" s="4" t="s">
        <v>33</v>
      </c>
      <c r="F239" s="4" t="s">
        <v>4</v>
      </c>
      <c r="G239" s="8" t="n">
        <v>7943.34119749069</v>
      </c>
      <c r="H239" s="6" t="n">
        <f aca="false">IF(G239="","",G239/SUMIFS($G$2:$G$671,$F$2:$F$671,"Served"))</f>
        <v>0.000401899856102876</v>
      </c>
      <c r="I239" s="4" t="n">
        <f aca="false">IF(G239="","",RANK(G239,$G$2:$G$671,0))</f>
        <v>238</v>
      </c>
      <c r="J239" s="4" t="s">
        <v>34</v>
      </c>
    </row>
    <row r="240" customFormat="false" ht="15" hidden="false" customHeight="false" outlineLevel="0" collapsed="false">
      <c r="A240" s="4" t="s">
        <v>556</v>
      </c>
      <c r="B240" s="4" t="s">
        <v>172</v>
      </c>
      <c r="C240" s="4" t="s">
        <v>173</v>
      </c>
      <c r="D240" s="7" t="s">
        <v>557</v>
      </c>
      <c r="E240" s="4" t="s">
        <v>175</v>
      </c>
      <c r="F240" s="4" t="s">
        <v>4</v>
      </c>
      <c r="G240" s="8" t="n">
        <v>7542.75457620621</v>
      </c>
      <c r="H240" s="6" t="n">
        <f aca="false">IF(G240="","",G240/SUMIFS($G$2:$G$671,$F$2:$F$671,"Served"))</f>
        <v>0.000381631847786447</v>
      </c>
      <c r="I240" s="4" t="n">
        <f aca="false">IF(G240="","",RANK(G240,$G$2:$G$671,0))</f>
        <v>239</v>
      </c>
      <c r="J240" s="4" t="s">
        <v>34</v>
      </c>
    </row>
    <row r="241" customFormat="false" ht="15" hidden="false" customHeight="false" outlineLevel="0" collapsed="false">
      <c r="A241" s="4" t="s">
        <v>558</v>
      </c>
      <c r="B241" s="4" t="s">
        <v>116</v>
      </c>
      <c r="C241" s="4" t="s">
        <v>220</v>
      </c>
      <c r="D241" s="7" t="s">
        <v>559</v>
      </c>
      <c r="E241" s="4" t="s">
        <v>119</v>
      </c>
      <c r="F241" s="4" t="s">
        <v>4</v>
      </c>
      <c r="G241" s="8" t="n">
        <v>7512.19046282768</v>
      </c>
      <c r="H241" s="6" t="n">
        <f aca="false">IF(G241="","",G241/SUMIFS($G$2:$G$671,$F$2:$F$671,"Served"))</f>
        <v>0.000380085431427973</v>
      </c>
      <c r="I241" s="4" t="n">
        <f aca="false">IF(G241="","",RANK(G241,$G$2:$G$671,0))</f>
        <v>240</v>
      </c>
      <c r="J241" s="4" t="s">
        <v>34</v>
      </c>
    </row>
    <row r="242" customFormat="false" ht="15" hidden="false" customHeight="false" outlineLevel="0" collapsed="false">
      <c r="A242" s="4" t="s">
        <v>560</v>
      </c>
      <c r="B242" s="4" t="s">
        <v>30</v>
      </c>
      <c r="C242" s="4" t="s">
        <v>68</v>
      </c>
      <c r="D242" s="7" t="s">
        <v>561</v>
      </c>
      <c r="E242" s="4" t="s">
        <v>33</v>
      </c>
      <c r="F242" s="4" t="s">
        <v>4</v>
      </c>
      <c r="G242" s="8" t="n">
        <v>7481.08640360832</v>
      </c>
      <c r="H242" s="6" t="n">
        <f aca="false">IF(G242="","",G242/SUMIFS($G$2:$G$671,$F$2:$F$671,"Served"))</f>
        <v>0.000378511696067288</v>
      </c>
      <c r="I242" s="4" t="n">
        <f aca="false">IF(G242="","",RANK(G242,$G$2:$G$671,0))</f>
        <v>241</v>
      </c>
      <c r="J242" s="4" t="s">
        <v>34</v>
      </c>
    </row>
    <row r="243" customFormat="false" ht="15" hidden="false" customHeight="false" outlineLevel="0" collapsed="false">
      <c r="A243" s="4" t="s">
        <v>562</v>
      </c>
      <c r="B243" s="4" t="s">
        <v>172</v>
      </c>
      <c r="C243" s="4" t="s">
        <v>173</v>
      </c>
      <c r="D243" s="7" t="s">
        <v>563</v>
      </c>
      <c r="E243" s="4" t="s">
        <v>175</v>
      </c>
      <c r="F243" s="4" t="s">
        <v>4</v>
      </c>
      <c r="G243" s="8" t="n">
        <v>7423.69954657555</v>
      </c>
      <c r="H243" s="6" t="n">
        <f aca="false">IF(G243="","",G243/SUMIFS($G$2:$G$671,$F$2:$F$671,"Served"))</f>
        <v>0.000375608161016955</v>
      </c>
      <c r="I243" s="4" t="n">
        <f aca="false">IF(G243="","",RANK(G243,$G$2:$G$671,0))</f>
        <v>242</v>
      </c>
      <c r="J243" s="4" t="s">
        <v>34</v>
      </c>
    </row>
    <row r="244" customFormat="false" ht="15" hidden="false" customHeight="false" outlineLevel="0" collapsed="false">
      <c r="A244" s="4" t="s">
        <v>564</v>
      </c>
      <c r="B244" s="4" t="s">
        <v>30</v>
      </c>
      <c r="C244" s="4" t="s">
        <v>287</v>
      </c>
      <c r="D244" s="7" t="s">
        <v>565</v>
      </c>
      <c r="E244" s="4" t="s">
        <v>33</v>
      </c>
      <c r="F244" s="4" t="s">
        <v>4</v>
      </c>
      <c r="G244" s="8" t="n">
        <v>7409.3254711628</v>
      </c>
      <c r="H244" s="6" t="n">
        <f aca="false">IF(G244="","",G244/SUMIFS($G$2:$G$671,$F$2:$F$671,"Served"))</f>
        <v>0.000374880892894339</v>
      </c>
      <c r="I244" s="4" t="n">
        <f aca="false">IF(G244="","",RANK(G244,$G$2:$G$671,0))</f>
        <v>243</v>
      </c>
      <c r="J244" s="4" t="s">
        <v>34</v>
      </c>
    </row>
    <row r="245" customFormat="false" ht="15" hidden="false" customHeight="false" outlineLevel="0" collapsed="false">
      <c r="A245" s="4" t="s">
        <v>566</v>
      </c>
      <c r="B245" s="4" t="s">
        <v>52</v>
      </c>
      <c r="C245" s="4" t="s">
        <v>465</v>
      </c>
      <c r="D245" s="7" t="s">
        <v>567</v>
      </c>
      <c r="E245" s="4" t="s">
        <v>33</v>
      </c>
      <c r="F245" s="4" t="s">
        <v>4</v>
      </c>
      <c r="G245" s="8" t="n">
        <v>7331.33743000031</v>
      </c>
      <c r="H245" s="6" t="n">
        <f aca="false">IF(G245="","",G245/SUMIFS($G$2:$G$671,$F$2:$F$671,"Served"))</f>
        <v>0.0003709350240538</v>
      </c>
      <c r="I245" s="4" t="n">
        <f aca="false">IF(G245="","",RANK(G245,$G$2:$G$671,0))</f>
        <v>244</v>
      </c>
      <c r="J245" s="4" t="s">
        <v>34</v>
      </c>
    </row>
    <row r="246" customFormat="false" ht="15" hidden="false" customHeight="false" outlineLevel="0" collapsed="false">
      <c r="A246" s="4" t="s">
        <v>568</v>
      </c>
      <c r="B246" s="4" t="s">
        <v>30</v>
      </c>
      <c r="C246" s="4" t="s">
        <v>31</v>
      </c>
      <c r="D246" s="7" t="s">
        <v>569</v>
      </c>
      <c r="E246" s="4" t="s">
        <v>33</v>
      </c>
      <c r="F246" s="4" t="s">
        <v>4</v>
      </c>
      <c r="G246" s="8" t="n">
        <v>7161.66632163525</v>
      </c>
      <c r="H246" s="6" t="n">
        <f aca="false">IF(G246="","",G246/SUMIFS($G$2:$G$671,$F$2:$F$671,"Served"))</f>
        <v>0.000362350375309482</v>
      </c>
      <c r="I246" s="4" t="n">
        <f aca="false">IF(G246="","",RANK(G246,$G$2:$G$671,0))</f>
        <v>245</v>
      </c>
      <c r="J246" s="4" t="s">
        <v>34</v>
      </c>
    </row>
    <row r="247" customFormat="false" ht="15" hidden="false" customHeight="false" outlineLevel="0" collapsed="false">
      <c r="A247" s="4" t="s">
        <v>570</v>
      </c>
      <c r="B247" s="4" t="s">
        <v>52</v>
      </c>
      <c r="C247" s="4" t="s">
        <v>362</v>
      </c>
      <c r="D247" s="7" t="s">
        <v>571</v>
      </c>
      <c r="E247" s="4" t="s">
        <v>33</v>
      </c>
      <c r="F247" s="4" t="s">
        <v>4</v>
      </c>
      <c r="G247" s="8" t="n">
        <v>7148.1215801239</v>
      </c>
      <c r="H247" s="6" t="n">
        <f aca="false">IF(G247="","",G247/SUMIFS($G$2:$G$671,$F$2:$F$671,"Served"))</f>
        <v>0.000361665068015105</v>
      </c>
      <c r="I247" s="4" t="n">
        <f aca="false">IF(G247="","",RANK(G247,$G$2:$G$671,0))</f>
        <v>246</v>
      </c>
      <c r="J247" s="4" t="s">
        <v>34</v>
      </c>
    </row>
    <row r="248" customFormat="false" ht="15" hidden="false" customHeight="false" outlineLevel="0" collapsed="false">
      <c r="A248" s="4" t="s">
        <v>572</v>
      </c>
      <c r="B248" s="4" t="s">
        <v>172</v>
      </c>
      <c r="C248" s="4" t="s">
        <v>173</v>
      </c>
      <c r="D248" s="7" t="s">
        <v>573</v>
      </c>
      <c r="E248" s="4" t="s">
        <v>175</v>
      </c>
      <c r="F248" s="4" t="s">
        <v>4</v>
      </c>
      <c r="G248" s="8" t="n">
        <v>7126.62775230408</v>
      </c>
      <c r="H248" s="6" t="n">
        <f aca="false">IF(G248="","",G248/SUMIFS($G$2:$G$671,$F$2:$F$671,"Served"))</f>
        <v>0.000360577570186028</v>
      </c>
      <c r="I248" s="4" t="n">
        <f aca="false">IF(G248="","",RANK(G248,$G$2:$G$671,0))</f>
        <v>247</v>
      </c>
      <c r="J248" s="4" t="s">
        <v>34</v>
      </c>
    </row>
    <row r="249" customFormat="false" ht="15" hidden="false" customHeight="false" outlineLevel="0" collapsed="false">
      <c r="A249" s="4" t="s">
        <v>574</v>
      </c>
      <c r="B249" s="4" t="s">
        <v>30</v>
      </c>
      <c r="C249" s="4" t="s">
        <v>344</v>
      </c>
      <c r="D249" s="7" t="s">
        <v>575</v>
      </c>
      <c r="E249" s="4" t="s">
        <v>33</v>
      </c>
      <c r="F249" s="4" t="s">
        <v>4</v>
      </c>
      <c r="G249" s="8" t="n">
        <v>6988.66522431374</v>
      </c>
      <c r="H249" s="6" t="n">
        <f aca="false">IF(G249="","",G249/SUMIFS($G$2:$G$671,$F$2:$F$671,"Served"))</f>
        <v>0.000353597243045552</v>
      </c>
      <c r="I249" s="4" t="n">
        <f aca="false">IF(G249="","",RANK(G249,$G$2:$G$671,0))</f>
        <v>248</v>
      </c>
      <c r="J249" s="4" t="s">
        <v>34</v>
      </c>
    </row>
    <row r="250" customFormat="false" ht="15" hidden="false" customHeight="false" outlineLevel="0" collapsed="false">
      <c r="A250" s="4" t="s">
        <v>576</v>
      </c>
      <c r="B250" s="4" t="s">
        <v>172</v>
      </c>
      <c r="C250" s="4" t="s">
        <v>173</v>
      </c>
      <c r="D250" s="7" t="s">
        <v>577</v>
      </c>
      <c r="E250" s="4" t="s">
        <v>175</v>
      </c>
      <c r="F250" s="4" t="s">
        <v>4</v>
      </c>
      <c r="G250" s="8" t="n">
        <v>6807.78031349182</v>
      </c>
      <c r="H250" s="6" t="n">
        <f aca="false">IF(G250="","",G250/SUMIFS($G$2:$G$671,$F$2:$F$671,"Served"))</f>
        <v>0.000344445222778127</v>
      </c>
      <c r="I250" s="4" t="n">
        <f aca="false">IF(G250="","",RANK(G250,$G$2:$G$671,0))</f>
        <v>249</v>
      </c>
      <c r="J250" s="4" t="s">
        <v>34</v>
      </c>
    </row>
    <row r="251" customFormat="false" ht="15" hidden="false" customHeight="false" outlineLevel="0" collapsed="false">
      <c r="A251" s="4" t="s">
        <v>578</v>
      </c>
      <c r="B251" s="4" t="s">
        <v>30</v>
      </c>
      <c r="C251" s="4" t="s">
        <v>31</v>
      </c>
      <c r="D251" s="7" t="s">
        <v>579</v>
      </c>
      <c r="E251" s="4" t="s">
        <v>33</v>
      </c>
      <c r="F251" s="4" t="s">
        <v>4</v>
      </c>
      <c r="G251" s="8" t="n">
        <v>6764.04730653763</v>
      </c>
      <c r="H251" s="6" t="n">
        <f aca="false">IF(G251="","",G251/SUMIFS($G$2:$G$671,$F$2:$F$671,"Served"))</f>
        <v>0.000342232515459525</v>
      </c>
      <c r="I251" s="4" t="n">
        <f aca="false">IF(G251="","",RANK(G251,$G$2:$G$671,0))</f>
        <v>250</v>
      </c>
      <c r="J251" s="4" t="s">
        <v>34</v>
      </c>
    </row>
    <row r="252" customFormat="false" ht="15" hidden="false" customHeight="false" outlineLevel="0" collapsed="false">
      <c r="A252" s="4" t="s">
        <v>580</v>
      </c>
      <c r="B252" s="4" t="s">
        <v>172</v>
      </c>
      <c r="C252" s="4" t="s">
        <v>173</v>
      </c>
      <c r="D252" s="7" t="s">
        <v>581</v>
      </c>
      <c r="E252" s="4" t="s">
        <v>175</v>
      </c>
      <c r="F252" s="4" t="s">
        <v>4</v>
      </c>
      <c r="G252" s="8" t="n">
        <v>6711.52455067635</v>
      </c>
      <c r="H252" s="6" t="n">
        <f aca="false">IF(G252="","",G252/SUMIFS($G$2:$G$671,$F$2:$F$671,"Served"))</f>
        <v>0.000339575083593267</v>
      </c>
      <c r="I252" s="4" t="n">
        <f aca="false">IF(G252="","",RANK(G252,$G$2:$G$671,0))</f>
        <v>251</v>
      </c>
      <c r="J252" s="4" t="s">
        <v>34</v>
      </c>
    </row>
    <row r="253" customFormat="false" ht="15" hidden="false" customHeight="false" outlineLevel="0" collapsed="false">
      <c r="A253" s="4" t="s">
        <v>582</v>
      </c>
      <c r="B253" s="4" t="s">
        <v>172</v>
      </c>
      <c r="C253" s="4" t="s">
        <v>173</v>
      </c>
      <c r="D253" s="7" t="s">
        <v>583</v>
      </c>
      <c r="E253" s="4" t="s">
        <v>175</v>
      </c>
      <c r="F253" s="4" t="s">
        <v>4</v>
      </c>
      <c r="G253" s="8" t="n">
        <v>6593.81672358513</v>
      </c>
      <c r="H253" s="6" t="n">
        <f aca="false">IF(G253="","",G253/SUMIFS($G$2:$G$671,$F$2:$F$671,"Served"))</f>
        <v>0.000333619559640061</v>
      </c>
      <c r="I253" s="4" t="n">
        <f aca="false">IF(G253="","",RANK(G253,$G$2:$G$671,0))</f>
        <v>252</v>
      </c>
      <c r="J253" s="4" t="s">
        <v>34</v>
      </c>
    </row>
    <row r="254" customFormat="false" ht="15" hidden="false" customHeight="false" outlineLevel="0" collapsed="false">
      <c r="A254" s="4" t="s">
        <v>584</v>
      </c>
      <c r="B254" s="4" t="s">
        <v>213</v>
      </c>
      <c r="C254" s="4" t="s">
        <v>214</v>
      </c>
      <c r="D254" s="7" t="s">
        <v>585</v>
      </c>
      <c r="E254" s="4" t="s">
        <v>216</v>
      </c>
      <c r="F254" s="4" t="s">
        <v>4</v>
      </c>
      <c r="G254" s="8" t="n">
        <v>6546.87391149998</v>
      </c>
      <c r="H254" s="6" t="n">
        <f aca="false">IF(G254="","",G254/SUMIFS($G$2:$G$671,$F$2:$F$671,"Served"))</f>
        <v>0.00033124444960097</v>
      </c>
      <c r="I254" s="4" t="n">
        <f aca="false">IF(G254="","",RANK(G254,$G$2:$G$671,0))</f>
        <v>253</v>
      </c>
      <c r="J254" s="4" t="s">
        <v>34</v>
      </c>
    </row>
    <row r="255" customFormat="false" ht="15" hidden="false" customHeight="false" outlineLevel="0" collapsed="false">
      <c r="A255" s="4" t="s">
        <v>586</v>
      </c>
      <c r="B255" s="4" t="s">
        <v>213</v>
      </c>
      <c r="C255" s="4" t="s">
        <v>214</v>
      </c>
      <c r="D255" s="7" t="s">
        <v>587</v>
      </c>
      <c r="E255" s="4" t="s">
        <v>216</v>
      </c>
      <c r="F255" s="4" t="s">
        <v>4</v>
      </c>
      <c r="G255" s="8" t="n">
        <v>6524.50202703476</v>
      </c>
      <c r="H255" s="6" t="n">
        <f aca="false">IF(G255="","",G255/SUMIFS($G$2:$G$671,$F$2:$F$671,"Served"))</f>
        <v>0.000330112525776502</v>
      </c>
      <c r="I255" s="4" t="n">
        <f aca="false">IF(G255="","",RANK(G255,$G$2:$G$671,0))</f>
        <v>254</v>
      </c>
      <c r="J255" s="4" t="s">
        <v>34</v>
      </c>
    </row>
    <row r="256" customFormat="false" ht="15" hidden="false" customHeight="false" outlineLevel="0" collapsed="false">
      <c r="A256" s="4" t="s">
        <v>588</v>
      </c>
      <c r="B256" s="4" t="s">
        <v>213</v>
      </c>
      <c r="C256" s="4" t="s">
        <v>214</v>
      </c>
      <c r="D256" s="7" t="s">
        <v>589</v>
      </c>
      <c r="E256" s="4" t="s">
        <v>216</v>
      </c>
      <c r="F256" s="4" t="s">
        <v>4</v>
      </c>
      <c r="G256" s="8" t="n">
        <v>6404.66688919067</v>
      </c>
      <c r="H256" s="6" t="n">
        <f aca="false">IF(G256="","",G256/SUMIFS($G$2:$G$671,$F$2:$F$671,"Served"))</f>
        <v>0.000324049368792785</v>
      </c>
      <c r="I256" s="4" t="n">
        <f aca="false">IF(G256="","",RANK(G256,$G$2:$G$671,0))</f>
        <v>255</v>
      </c>
      <c r="J256" s="4" t="s">
        <v>34</v>
      </c>
    </row>
    <row r="257" customFormat="false" ht="15" hidden="false" customHeight="false" outlineLevel="0" collapsed="false">
      <c r="A257" s="4" t="s">
        <v>590</v>
      </c>
      <c r="B257" s="4" t="s">
        <v>116</v>
      </c>
      <c r="C257" s="4" t="s">
        <v>117</v>
      </c>
      <c r="D257" s="7" t="s">
        <v>591</v>
      </c>
      <c r="E257" s="4" t="s">
        <v>119</v>
      </c>
      <c r="F257" s="4" t="s">
        <v>4</v>
      </c>
      <c r="G257" s="8" t="n">
        <v>6318.71246695519</v>
      </c>
      <c r="H257" s="6" t="n">
        <f aca="false">IF(G257="","",G257/SUMIFS($G$2:$G$671,$F$2:$F$671,"Served"))</f>
        <v>0.000319700434374765</v>
      </c>
      <c r="I257" s="4" t="n">
        <f aca="false">IF(G257="","",RANK(G257,$G$2:$G$671,0))</f>
        <v>256</v>
      </c>
      <c r="J257" s="4" t="s">
        <v>34</v>
      </c>
    </row>
    <row r="258" customFormat="false" ht="15" hidden="false" customHeight="false" outlineLevel="0" collapsed="false">
      <c r="A258" s="4" t="s">
        <v>592</v>
      </c>
      <c r="B258" s="4" t="s">
        <v>52</v>
      </c>
      <c r="C258" s="4" t="s">
        <v>362</v>
      </c>
      <c r="D258" s="7" t="s">
        <v>593</v>
      </c>
      <c r="E258" s="4" t="s">
        <v>33</v>
      </c>
      <c r="F258" s="4" t="s">
        <v>4</v>
      </c>
      <c r="G258" s="8" t="n">
        <v>6263.2745654583</v>
      </c>
      <c r="H258" s="6" t="n">
        <f aca="false">IF(G258="","",G258/SUMIFS($G$2:$G$671,$F$2:$F$671,"Served"))</f>
        <v>0.000316895508326607</v>
      </c>
      <c r="I258" s="4" t="n">
        <f aca="false">IF(G258="","",RANK(G258,$G$2:$G$671,0))</f>
        <v>257</v>
      </c>
      <c r="J258" s="4" t="s">
        <v>34</v>
      </c>
    </row>
    <row r="259" customFormat="false" ht="15" hidden="false" customHeight="false" outlineLevel="0" collapsed="false">
      <c r="A259" s="4" t="s">
        <v>594</v>
      </c>
      <c r="B259" s="4" t="s">
        <v>116</v>
      </c>
      <c r="C259" s="4" t="s">
        <v>220</v>
      </c>
      <c r="D259" s="7" t="s">
        <v>595</v>
      </c>
      <c r="E259" s="4" t="s">
        <v>119</v>
      </c>
      <c r="F259" s="4" t="s">
        <v>4</v>
      </c>
      <c r="G259" s="8" t="n">
        <v>6250.40048384666</v>
      </c>
      <c r="H259" s="6" t="n">
        <f aca="false">IF(G259="","",G259/SUMIFS($G$2:$G$671,$F$2:$F$671,"Served"))</f>
        <v>0.000316244133619348</v>
      </c>
      <c r="I259" s="4" t="n">
        <f aca="false">IF(G259="","",RANK(G259,$G$2:$G$671,0))</f>
        <v>258</v>
      </c>
      <c r="J259" s="4" t="s">
        <v>34</v>
      </c>
    </row>
    <row r="260" customFormat="false" ht="15" hidden="false" customHeight="false" outlineLevel="0" collapsed="false">
      <c r="A260" s="4" t="s">
        <v>596</v>
      </c>
      <c r="B260" s="4" t="s">
        <v>52</v>
      </c>
      <c r="C260" s="4" t="s">
        <v>362</v>
      </c>
      <c r="D260" s="7" t="s">
        <v>597</v>
      </c>
      <c r="E260" s="4" t="s">
        <v>33</v>
      </c>
      <c r="F260" s="4" t="s">
        <v>4</v>
      </c>
      <c r="G260" s="8" t="n">
        <v>6222.18500328064</v>
      </c>
      <c r="H260" s="6" t="n">
        <f aca="false">IF(G260="","",G260/SUMIFS($G$2:$G$671,$F$2:$F$671,"Served"))</f>
        <v>0.000314816548262327</v>
      </c>
      <c r="I260" s="4" t="n">
        <f aca="false">IF(G260="","",RANK(G260,$G$2:$G$671,0))</f>
        <v>259</v>
      </c>
      <c r="J260" s="4" t="s">
        <v>34</v>
      </c>
    </row>
    <row r="261" customFormat="false" ht="15" hidden="false" customHeight="false" outlineLevel="0" collapsed="false">
      <c r="A261" s="4" t="s">
        <v>598</v>
      </c>
      <c r="B261" s="4" t="s">
        <v>213</v>
      </c>
      <c r="C261" s="4" t="s">
        <v>214</v>
      </c>
      <c r="D261" s="7" t="s">
        <v>599</v>
      </c>
      <c r="E261" s="4" t="s">
        <v>216</v>
      </c>
      <c r="F261" s="4" t="s">
        <v>4</v>
      </c>
      <c r="G261" s="8" t="n">
        <v>6122.72915506363</v>
      </c>
      <c r="H261" s="6" t="n">
        <f aca="false">IF(G261="","",G261/SUMIFS($G$2:$G$671,$F$2:$F$671,"Served"))</f>
        <v>0.000309784498134652</v>
      </c>
      <c r="I261" s="4" t="n">
        <f aca="false">IF(G261="","",RANK(G261,$G$2:$G$671,0))</f>
        <v>260</v>
      </c>
      <c r="J261" s="4" t="s">
        <v>34</v>
      </c>
    </row>
    <row r="262" customFormat="false" ht="15" hidden="false" customHeight="false" outlineLevel="0" collapsed="false">
      <c r="A262" s="4" t="s">
        <v>600</v>
      </c>
      <c r="B262" s="4" t="s">
        <v>213</v>
      </c>
      <c r="C262" s="4" t="s">
        <v>214</v>
      </c>
      <c r="D262" s="7" t="s">
        <v>601</v>
      </c>
      <c r="E262" s="4" t="s">
        <v>216</v>
      </c>
      <c r="F262" s="4" t="s">
        <v>4</v>
      </c>
      <c r="G262" s="8" t="n">
        <v>6121.41907334328</v>
      </c>
      <c r="H262" s="6" t="n">
        <f aca="false">IF(G262="","",G262/SUMIFS($G$2:$G$671,$F$2:$F$671,"Served"))</f>
        <v>0.000309718213476621</v>
      </c>
      <c r="I262" s="4" t="n">
        <f aca="false">IF(G262="","",RANK(G262,$G$2:$G$671,0))</f>
        <v>261</v>
      </c>
      <c r="J262" s="4" t="s">
        <v>34</v>
      </c>
    </row>
    <row r="263" customFormat="false" ht="15" hidden="false" customHeight="false" outlineLevel="0" collapsed="false">
      <c r="A263" s="4" t="s">
        <v>602</v>
      </c>
      <c r="B263" s="4" t="s">
        <v>172</v>
      </c>
      <c r="C263" s="4" t="s">
        <v>173</v>
      </c>
      <c r="D263" s="7" t="s">
        <v>603</v>
      </c>
      <c r="E263" s="4" t="s">
        <v>175</v>
      </c>
      <c r="F263" s="4" t="s">
        <v>4</v>
      </c>
      <c r="G263" s="8" t="n">
        <v>6051.85008645058</v>
      </c>
      <c r="H263" s="6" t="n">
        <f aca="false">IF(G263="","",G263/SUMIFS($G$2:$G$671,$F$2:$F$671,"Served"))</f>
        <v>0.000306198313584844</v>
      </c>
      <c r="I263" s="4" t="n">
        <f aca="false">IF(G263="","",RANK(G263,$G$2:$G$671,0))</f>
        <v>262</v>
      </c>
      <c r="J263" s="4" t="s">
        <v>34</v>
      </c>
    </row>
    <row r="264" customFormat="false" ht="15" hidden="false" customHeight="false" outlineLevel="0" collapsed="false">
      <c r="A264" s="4" t="s">
        <v>604</v>
      </c>
      <c r="B264" s="4" t="s">
        <v>172</v>
      </c>
      <c r="C264" s="4" t="s">
        <v>173</v>
      </c>
      <c r="D264" s="7" t="s">
        <v>605</v>
      </c>
      <c r="E264" s="4" t="s">
        <v>175</v>
      </c>
      <c r="F264" s="4" t="s">
        <v>4</v>
      </c>
      <c r="G264" s="8" t="n">
        <v>6047.83655238152</v>
      </c>
      <c r="H264" s="6" t="n">
        <f aca="false">IF(G264="","",G264/SUMIFS($G$2:$G$671,$F$2:$F$671,"Served"))</f>
        <v>0.000305995245540212</v>
      </c>
      <c r="I264" s="4" t="n">
        <f aca="false">IF(G264="","",RANK(G264,$G$2:$G$671,0))</f>
        <v>263</v>
      </c>
      <c r="J264" s="4" t="s">
        <v>34</v>
      </c>
    </row>
    <row r="265" customFormat="false" ht="15" hidden="false" customHeight="false" outlineLevel="0" collapsed="false">
      <c r="A265" s="4" t="s">
        <v>606</v>
      </c>
      <c r="B265" s="4" t="s">
        <v>30</v>
      </c>
      <c r="C265" s="4" t="s">
        <v>31</v>
      </c>
      <c r="D265" s="7" t="s">
        <v>607</v>
      </c>
      <c r="E265" s="4" t="s">
        <v>33</v>
      </c>
      <c r="F265" s="4" t="s">
        <v>4</v>
      </c>
      <c r="G265" s="8" t="n">
        <v>6002.0602812767</v>
      </c>
      <c r="H265" s="6" t="n">
        <f aca="false">IF(G265="","",G265/SUMIFS($G$2:$G$671,$F$2:$F$671,"Served"))</f>
        <v>0.000303679157597803</v>
      </c>
      <c r="I265" s="4" t="n">
        <f aca="false">IF(G265="","",RANK(G265,$G$2:$G$671,0))</f>
        <v>264</v>
      </c>
      <c r="J265" s="4" t="s">
        <v>34</v>
      </c>
    </row>
    <row r="266" customFormat="false" ht="15" hidden="false" customHeight="false" outlineLevel="0" collapsed="false">
      <c r="A266" s="4" t="s">
        <v>608</v>
      </c>
      <c r="B266" s="4" t="s">
        <v>52</v>
      </c>
      <c r="C266" s="4" t="s">
        <v>155</v>
      </c>
      <c r="D266" s="7" t="s">
        <v>609</v>
      </c>
      <c r="E266" s="4" t="s">
        <v>33</v>
      </c>
      <c r="F266" s="4" t="s">
        <v>4</v>
      </c>
      <c r="G266" s="8" t="n">
        <v>5989.40987658501</v>
      </c>
      <c r="H266" s="6" t="n">
        <f aca="false">IF(G266="","",G266/SUMIFS($G$2:$G$671,$F$2:$F$671,"Served"))</f>
        <v>0.000303039100007573</v>
      </c>
      <c r="I266" s="4" t="n">
        <f aca="false">IF(G266="","",RANK(G266,$G$2:$G$671,0))</f>
        <v>265</v>
      </c>
      <c r="J266" s="4" t="s">
        <v>34</v>
      </c>
    </row>
    <row r="267" customFormat="false" ht="15" hidden="false" customHeight="false" outlineLevel="0" collapsed="false">
      <c r="A267" s="4" t="s">
        <v>610</v>
      </c>
      <c r="B267" s="4" t="s">
        <v>52</v>
      </c>
      <c r="C267" s="4" t="s">
        <v>465</v>
      </c>
      <c r="D267" s="7" t="s">
        <v>611</v>
      </c>
      <c r="E267" s="4" t="s">
        <v>33</v>
      </c>
      <c r="F267" s="4" t="s">
        <v>4</v>
      </c>
      <c r="G267" s="8" t="n">
        <v>5849.29328083992</v>
      </c>
      <c r="H267" s="6" t="n">
        <f aca="false">IF(G267="","",G267/SUMIFS($G$2:$G$671,$F$2:$F$671,"Served"))</f>
        <v>0.000295949786044154</v>
      </c>
      <c r="I267" s="4" t="n">
        <f aca="false">IF(G267="","",RANK(G267,$G$2:$G$671,0))</f>
        <v>266</v>
      </c>
      <c r="J267" s="4" t="s">
        <v>34</v>
      </c>
    </row>
    <row r="268" customFormat="false" ht="15" hidden="false" customHeight="false" outlineLevel="0" collapsed="false">
      <c r="A268" s="4" t="s">
        <v>612</v>
      </c>
      <c r="B268" s="4" t="s">
        <v>52</v>
      </c>
      <c r="C268" s="4" t="s">
        <v>613</v>
      </c>
      <c r="D268" s="7" t="s">
        <v>614</v>
      </c>
      <c r="E268" s="4" t="s">
        <v>33</v>
      </c>
      <c r="F268" s="4" t="s">
        <v>4</v>
      </c>
      <c r="G268" s="8" t="n">
        <v>5795.03370416164</v>
      </c>
      <c r="H268" s="6" t="n">
        <f aca="false">IF(G268="","",G268/SUMIFS($G$2:$G$671,$F$2:$F$671,"Served"))</f>
        <v>0.000293204478305631</v>
      </c>
      <c r="I268" s="4" t="n">
        <f aca="false">IF(G268="","",RANK(G268,$G$2:$G$671,0))</f>
        <v>267</v>
      </c>
      <c r="J268" s="4" t="s">
        <v>34</v>
      </c>
    </row>
    <row r="269" customFormat="false" ht="15" hidden="false" customHeight="false" outlineLevel="0" collapsed="false">
      <c r="A269" s="4" t="s">
        <v>615</v>
      </c>
      <c r="B269" s="4" t="s">
        <v>213</v>
      </c>
      <c r="C269" s="4" t="s">
        <v>214</v>
      </c>
      <c r="D269" s="7" t="s">
        <v>616</v>
      </c>
      <c r="E269" s="4" t="s">
        <v>216</v>
      </c>
      <c r="F269" s="4" t="s">
        <v>4</v>
      </c>
      <c r="G269" s="8" t="n">
        <v>5769.00231218338</v>
      </c>
      <c r="H269" s="6" t="n">
        <f aca="false">IF(G269="","",G269/SUMIFS($G$2:$G$671,$F$2:$F$671,"Served"))</f>
        <v>0.000291887398700196</v>
      </c>
      <c r="I269" s="4" t="n">
        <f aca="false">IF(G269="","",RANK(G269,$G$2:$G$671,0))</f>
        <v>268</v>
      </c>
      <c r="J269" s="4" t="s">
        <v>34</v>
      </c>
    </row>
    <row r="270" customFormat="false" ht="15" hidden="false" customHeight="false" outlineLevel="0" collapsed="false">
      <c r="A270" s="4" t="s">
        <v>617</v>
      </c>
      <c r="B270" s="4" t="s">
        <v>52</v>
      </c>
      <c r="C270" s="4" t="s">
        <v>200</v>
      </c>
      <c r="D270" s="7" t="s">
        <v>618</v>
      </c>
      <c r="E270" s="4" t="s">
        <v>33</v>
      </c>
      <c r="F270" s="4" t="s">
        <v>4</v>
      </c>
      <c r="G270" s="8" t="n">
        <v>5735.33317494392</v>
      </c>
      <c r="H270" s="6" t="n">
        <f aca="false">IF(G270="","",G270/SUMIFS($G$2:$G$671,$F$2:$F$671,"Served"))</f>
        <v>0.00029018388111544</v>
      </c>
      <c r="I270" s="4" t="n">
        <f aca="false">IF(G270="","",RANK(G270,$G$2:$G$671,0))</f>
        <v>269</v>
      </c>
      <c r="J270" s="4" t="s">
        <v>34</v>
      </c>
    </row>
    <row r="271" customFormat="false" ht="15" hidden="false" customHeight="false" outlineLevel="0" collapsed="false">
      <c r="A271" s="4" t="s">
        <v>619</v>
      </c>
      <c r="B271" s="4" t="s">
        <v>213</v>
      </c>
      <c r="C271" s="4" t="s">
        <v>214</v>
      </c>
      <c r="D271" s="7" t="s">
        <v>620</v>
      </c>
      <c r="E271" s="4" t="s">
        <v>216</v>
      </c>
      <c r="F271" s="4" t="s">
        <v>4</v>
      </c>
      <c r="G271" s="8" t="n">
        <v>5625.25619900227</v>
      </c>
      <c r="H271" s="6" t="n">
        <f aca="false">IF(G271="","",G271/SUMIFS($G$2:$G$671,$F$2:$F$671,"Served"))</f>
        <v>0.000284614446328329</v>
      </c>
      <c r="I271" s="4" t="n">
        <f aca="false">IF(G271="","",RANK(G271,$G$2:$G$671,0))</f>
        <v>270</v>
      </c>
      <c r="J271" s="4" t="s">
        <v>34</v>
      </c>
    </row>
    <row r="272" customFormat="false" ht="15" hidden="false" customHeight="false" outlineLevel="0" collapsed="false">
      <c r="A272" s="4" t="s">
        <v>621</v>
      </c>
      <c r="B272" s="4" t="s">
        <v>172</v>
      </c>
      <c r="C272" s="4" t="s">
        <v>173</v>
      </c>
      <c r="D272" s="7" t="s">
        <v>622</v>
      </c>
      <c r="E272" s="4" t="s">
        <v>175</v>
      </c>
      <c r="F272" s="4" t="s">
        <v>4</v>
      </c>
      <c r="G272" s="8" t="n">
        <v>5620.42035079002</v>
      </c>
      <c r="H272" s="6" t="n">
        <f aca="false">IF(G272="","",G272/SUMIFS($G$2:$G$671,$F$2:$F$671,"Served"))</f>
        <v>0.000284369772625877</v>
      </c>
      <c r="I272" s="4" t="n">
        <f aca="false">IF(G272="","",RANK(G272,$G$2:$G$671,0))</f>
        <v>271</v>
      </c>
      <c r="J272" s="4" t="s">
        <v>34</v>
      </c>
    </row>
    <row r="273" customFormat="false" ht="15" hidden="false" customHeight="false" outlineLevel="0" collapsed="false">
      <c r="A273" s="4" t="s">
        <v>623</v>
      </c>
      <c r="B273" s="4" t="s">
        <v>30</v>
      </c>
      <c r="C273" s="4" t="s">
        <v>31</v>
      </c>
      <c r="D273" s="7" t="s">
        <v>624</v>
      </c>
      <c r="E273" s="4" t="s">
        <v>33</v>
      </c>
      <c r="F273" s="4" t="s">
        <v>4</v>
      </c>
      <c r="G273" s="8" t="n">
        <v>5605.82652187347</v>
      </c>
      <c r="H273" s="6" t="n">
        <f aca="false">IF(G273="","",G273/SUMIFS($G$2:$G$671,$F$2:$F$671,"Served"))</f>
        <v>0.000283631385894685</v>
      </c>
      <c r="I273" s="4" t="n">
        <f aca="false">IF(G273="","",RANK(G273,$G$2:$G$671,0))</f>
        <v>272</v>
      </c>
      <c r="J273" s="4" t="s">
        <v>34</v>
      </c>
    </row>
    <row r="274" customFormat="false" ht="15" hidden="false" customHeight="false" outlineLevel="0" collapsed="false">
      <c r="A274" s="4" t="s">
        <v>625</v>
      </c>
      <c r="B274" s="4" t="s">
        <v>172</v>
      </c>
      <c r="C274" s="4" t="s">
        <v>173</v>
      </c>
      <c r="D274" s="7" t="s">
        <v>626</v>
      </c>
      <c r="E274" s="4" t="s">
        <v>175</v>
      </c>
      <c r="F274" s="4" t="s">
        <v>4</v>
      </c>
      <c r="G274" s="8" t="n">
        <v>5546.1956384182</v>
      </c>
      <c r="H274" s="6" t="n">
        <f aca="false">IF(G274="","",G274/SUMIFS($G$2:$G$671,$F$2:$F$671,"Served"))</f>
        <v>0.000280614312488908</v>
      </c>
      <c r="I274" s="4" t="n">
        <f aca="false">IF(G274="","",RANK(G274,$G$2:$G$671,0))</f>
        <v>273</v>
      </c>
      <c r="J274" s="4" t="s">
        <v>34</v>
      </c>
    </row>
    <row r="275" customFormat="false" ht="15" hidden="false" customHeight="false" outlineLevel="0" collapsed="false">
      <c r="A275" s="4" t="s">
        <v>627</v>
      </c>
      <c r="B275" s="4" t="s">
        <v>30</v>
      </c>
      <c r="C275" s="4" t="s">
        <v>287</v>
      </c>
      <c r="D275" s="7" t="s">
        <v>628</v>
      </c>
      <c r="E275" s="4" t="s">
        <v>33</v>
      </c>
      <c r="F275" s="4" t="s">
        <v>4</v>
      </c>
      <c r="G275" s="8" t="n">
        <v>5501.47809517384</v>
      </c>
      <c r="H275" s="6" t="n">
        <f aca="false">IF(G275="","",G275/SUMIFS($G$2:$G$671,$F$2:$F$671,"Served"))</f>
        <v>0.000278351791750046</v>
      </c>
      <c r="I275" s="4" t="n">
        <f aca="false">IF(G275="","",RANK(G275,$G$2:$G$671,0))</f>
        <v>274</v>
      </c>
      <c r="J275" s="4" t="s">
        <v>34</v>
      </c>
    </row>
    <row r="276" customFormat="false" ht="15" hidden="false" customHeight="false" outlineLevel="0" collapsed="false">
      <c r="A276" s="4" t="s">
        <v>629</v>
      </c>
      <c r="B276" s="4" t="s">
        <v>116</v>
      </c>
      <c r="C276" s="4" t="s">
        <v>220</v>
      </c>
      <c r="D276" s="7" t="s">
        <v>630</v>
      </c>
      <c r="E276" s="4" t="s">
        <v>119</v>
      </c>
      <c r="F276" s="4" t="s">
        <v>4</v>
      </c>
      <c r="G276" s="8" t="n">
        <v>5447.61836004257</v>
      </c>
      <c r="H276" s="6" t="n">
        <f aca="false">IF(G276="","",G276/SUMIFS($G$2:$G$671,$F$2:$F$671,"Served"))</f>
        <v>0.000275626714322196</v>
      </c>
      <c r="I276" s="4" t="n">
        <f aca="false">IF(G276="","",RANK(G276,$G$2:$G$671,0))</f>
        <v>275</v>
      </c>
      <c r="J276" s="4" t="s">
        <v>34</v>
      </c>
    </row>
    <row r="277" customFormat="false" ht="15" hidden="false" customHeight="false" outlineLevel="0" collapsed="false">
      <c r="A277" s="4" t="s">
        <v>631</v>
      </c>
      <c r="B277" s="4" t="s">
        <v>30</v>
      </c>
      <c r="C277" s="4" t="s">
        <v>241</v>
      </c>
      <c r="D277" s="7" t="s">
        <v>632</v>
      </c>
      <c r="E277" s="4" t="s">
        <v>33</v>
      </c>
      <c r="F277" s="4" t="s">
        <v>4</v>
      </c>
      <c r="G277" s="8" t="n">
        <v>5382.04055094719</v>
      </c>
      <c r="H277" s="6" t="n">
        <f aca="false">IF(G277="","",G277/SUMIFS($G$2:$G$671,$F$2:$F$671,"Served"))</f>
        <v>0.000272308751341164</v>
      </c>
      <c r="I277" s="4" t="n">
        <f aca="false">IF(G277="","",RANK(G277,$G$2:$G$671,0))</f>
        <v>276</v>
      </c>
      <c r="J277" s="4" t="s">
        <v>34</v>
      </c>
    </row>
    <row r="278" customFormat="false" ht="15" hidden="false" customHeight="false" outlineLevel="0" collapsed="false">
      <c r="A278" s="4" t="s">
        <v>633</v>
      </c>
      <c r="B278" s="4" t="s">
        <v>30</v>
      </c>
      <c r="C278" s="4" t="s">
        <v>287</v>
      </c>
      <c r="D278" s="7" t="s">
        <v>634</v>
      </c>
      <c r="E278" s="4" t="s">
        <v>33</v>
      </c>
      <c r="F278" s="4" t="s">
        <v>4</v>
      </c>
      <c r="G278" s="8" t="n">
        <v>5340.53346538544</v>
      </c>
      <c r="H278" s="6" t="n">
        <f aca="false">IF(G278="","",G278/SUMIFS($G$2:$G$671,$F$2:$F$671,"Served"))</f>
        <v>0.000270208666339177</v>
      </c>
      <c r="I278" s="4" t="n">
        <f aca="false">IF(G278="","",RANK(G278,$G$2:$G$671,0))</f>
        <v>277</v>
      </c>
      <c r="J278" s="4" t="s">
        <v>34</v>
      </c>
    </row>
    <row r="279" customFormat="false" ht="15" hidden="false" customHeight="false" outlineLevel="0" collapsed="false">
      <c r="A279" s="4" t="s">
        <v>635</v>
      </c>
      <c r="B279" s="4" t="s">
        <v>116</v>
      </c>
      <c r="C279" s="4" t="s">
        <v>220</v>
      </c>
      <c r="D279" s="7" t="s">
        <v>636</v>
      </c>
      <c r="E279" s="4" t="s">
        <v>119</v>
      </c>
      <c r="F279" s="4" t="s">
        <v>4</v>
      </c>
      <c r="G279" s="8" t="n">
        <v>5280.3505011797</v>
      </c>
      <c r="H279" s="6" t="n">
        <f aca="false">IF(G279="","",G279/SUMIFS($G$2:$G$671,$F$2:$F$671,"Served"))</f>
        <v>0.000267163659955494</v>
      </c>
      <c r="I279" s="4" t="n">
        <f aca="false">IF(G279="","",RANK(G279,$G$2:$G$671,0))</f>
        <v>278</v>
      </c>
      <c r="J279" s="4" t="s">
        <v>34</v>
      </c>
    </row>
    <row r="280" customFormat="false" ht="15" hidden="false" customHeight="false" outlineLevel="0" collapsed="false">
      <c r="A280" s="4" t="s">
        <v>637</v>
      </c>
      <c r="B280" s="4" t="s">
        <v>52</v>
      </c>
      <c r="C280" s="4" t="s">
        <v>613</v>
      </c>
      <c r="D280" s="7" t="s">
        <v>638</v>
      </c>
      <c r="E280" s="4" t="s">
        <v>33</v>
      </c>
      <c r="F280" s="4" t="s">
        <v>4</v>
      </c>
      <c r="G280" s="8" t="n">
        <v>5269.03562140465</v>
      </c>
      <c r="H280" s="6" t="n">
        <f aca="false">IF(G280="","",G280/SUMIFS($G$2:$G$671,$F$2:$F$671,"Served"))</f>
        <v>0.000266591174342658</v>
      </c>
      <c r="I280" s="4" t="n">
        <f aca="false">IF(G280="","",RANK(G280,$G$2:$G$671,0))</f>
        <v>279</v>
      </c>
      <c r="J280" s="4" t="s">
        <v>34</v>
      </c>
    </row>
    <row r="281" customFormat="false" ht="15" hidden="false" customHeight="false" outlineLevel="0" collapsed="false">
      <c r="A281" s="4" t="s">
        <v>639</v>
      </c>
      <c r="B281" s="4" t="s">
        <v>116</v>
      </c>
      <c r="C281" s="4" t="s">
        <v>117</v>
      </c>
      <c r="D281" s="7" t="s">
        <v>640</v>
      </c>
      <c r="E281" s="4" t="s">
        <v>119</v>
      </c>
      <c r="F281" s="4" t="s">
        <v>4</v>
      </c>
      <c r="G281" s="8" t="n">
        <v>5222.87479603291</v>
      </c>
      <c r="H281" s="6" t="n">
        <f aca="false">IF(G281="","",G281/SUMIFS($G$2:$G$671,$F$2:$F$671,"Served"))</f>
        <v>0.000264255629562036</v>
      </c>
      <c r="I281" s="4" t="n">
        <f aca="false">IF(G281="","",RANK(G281,$G$2:$G$671,0))</f>
        <v>280</v>
      </c>
      <c r="J281" s="4" t="s">
        <v>34</v>
      </c>
    </row>
    <row r="282" customFormat="false" ht="15" hidden="false" customHeight="false" outlineLevel="0" collapsed="false">
      <c r="A282" s="4" t="s">
        <v>641</v>
      </c>
      <c r="B282" s="4" t="s">
        <v>116</v>
      </c>
      <c r="C282" s="4" t="s">
        <v>220</v>
      </c>
      <c r="D282" s="7" t="s">
        <v>642</v>
      </c>
      <c r="E282" s="4" t="s">
        <v>119</v>
      </c>
      <c r="F282" s="4" t="s">
        <v>4</v>
      </c>
      <c r="G282" s="8" t="n">
        <v>5206.06363606453</v>
      </c>
      <c r="H282" s="6" t="n">
        <f aca="false">IF(G282="","",G282/SUMIFS($G$2:$G$671,$F$2:$F$671,"Served"))</f>
        <v>0.000263405055149553</v>
      </c>
      <c r="I282" s="4" t="n">
        <f aca="false">IF(G282="","",RANK(G282,$G$2:$G$671,0))</f>
        <v>281</v>
      </c>
      <c r="J282" s="4" t="s">
        <v>34</v>
      </c>
    </row>
    <row r="283" customFormat="false" ht="15" hidden="false" customHeight="false" outlineLevel="0" collapsed="false">
      <c r="A283" s="4" t="s">
        <v>643</v>
      </c>
      <c r="B283" s="4" t="s">
        <v>172</v>
      </c>
      <c r="C283" s="4" t="s">
        <v>173</v>
      </c>
      <c r="D283" s="7" t="s">
        <v>644</v>
      </c>
      <c r="E283" s="4" t="s">
        <v>175</v>
      </c>
      <c r="F283" s="4" t="s">
        <v>4</v>
      </c>
      <c r="G283" s="8" t="n">
        <v>5128.39886617661</v>
      </c>
      <c r="H283" s="6" t="n">
        <f aca="false">IF(G283="","",G283/SUMIFS($G$2:$G$671,$F$2:$F$671,"Served"))</f>
        <v>0.000259475542484016</v>
      </c>
      <c r="I283" s="4" t="n">
        <f aca="false">IF(G283="","",RANK(G283,$G$2:$G$671,0))</f>
        <v>282</v>
      </c>
      <c r="J283" s="4" t="s">
        <v>34</v>
      </c>
    </row>
    <row r="284" customFormat="false" ht="15" hidden="false" customHeight="false" outlineLevel="0" collapsed="false">
      <c r="A284" s="4" t="s">
        <v>645</v>
      </c>
      <c r="B284" s="4" t="s">
        <v>30</v>
      </c>
      <c r="C284" s="4" t="s">
        <v>31</v>
      </c>
      <c r="D284" s="7" t="s">
        <v>646</v>
      </c>
      <c r="E284" s="4" t="s">
        <v>33</v>
      </c>
      <c r="F284" s="4" t="s">
        <v>4</v>
      </c>
      <c r="G284" s="8" t="n">
        <v>5111.10488200188</v>
      </c>
      <c r="H284" s="6" t="n">
        <f aca="false">IF(G284="","",G284/SUMIFS($G$2:$G$671,$F$2:$F$671,"Served"))</f>
        <v>0.00025860053918522</v>
      </c>
      <c r="I284" s="4" t="n">
        <f aca="false">IF(G284="","",RANK(G284,$G$2:$G$671,0))</f>
        <v>283</v>
      </c>
      <c r="J284" s="4" t="s">
        <v>34</v>
      </c>
    </row>
    <row r="285" customFormat="false" ht="15" hidden="false" customHeight="false" outlineLevel="0" collapsed="false">
      <c r="A285" s="4" t="s">
        <v>647</v>
      </c>
      <c r="B285" s="4" t="s">
        <v>30</v>
      </c>
      <c r="C285" s="4" t="s">
        <v>391</v>
      </c>
      <c r="D285" s="7" t="s">
        <v>648</v>
      </c>
      <c r="E285" s="4" t="s">
        <v>33</v>
      </c>
      <c r="F285" s="4" t="s">
        <v>4</v>
      </c>
      <c r="G285" s="8" t="n">
        <v>5042.10590076447</v>
      </c>
      <c r="H285" s="6" t="n">
        <f aca="false">IF(G285="","",G285/SUMIFS($G$2:$G$671,$F$2:$F$671,"Served"))</f>
        <v>0.000255109479196594</v>
      </c>
      <c r="I285" s="4" t="n">
        <f aca="false">IF(G285="","",RANK(G285,$G$2:$G$671,0))</f>
        <v>284</v>
      </c>
      <c r="J285" s="4" t="s">
        <v>34</v>
      </c>
    </row>
    <row r="286" customFormat="false" ht="15" hidden="false" customHeight="false" outlineLevel="0" collapsed="false">
      <c r="A286" s="4" t="s">
        <v>649</v>
      </c>
      <c r="B286" s="4" t="s">
        <v>52</v>
      </c>
      <c r="C286" s="4" t="s">
        <v>362</v>
      </c>
      <c r="D286" s="7" t="s">
        <v>650</v>
      </c>
      <c r="E286" s="4" t="s">
        <v>33</v>
      </c>
      <c r="F286" s="4" t="s">
        <v>4</v>
      </c>
      <c r="G286" s="8" t="n">
        <v>4995.02965843678</v>
      </c>
      <c r="H286" s="6" t="n">
        <f aca="false">IF(G286="","",G286/SUMIFS($G$2:$G$671,$F$2:$F$671,"Served"))</f>
        <v>0.000252727618145058</v>
      </c>
      <c r="I286" s="4" t="n">
        <f aca="false">IF(G286="","",RANK(G286,$G$2:$G$671,0))</f>
        <v>285</v>
      </c>
      <c r="J286" s="4" t="s">
        <v>34</v>
      </c>
    </row>
    <row r="287" customFormat="false" ht="15" hidden="false" customHeight="false" outlineLevel="0" collapsed="false">
      <c r="A287" s="4" t="s">
        <v>651</v>
      </c>
      <c r="B287" s="4" t="s">
        <v>52</v>
      </c>
      <c r="C287" s="4" t="s">
        <v>362</v>
      </c>
      <c r="D287" s="7" t="s">
        <v>652</v>
      </c>
      <c r="E287" s="4" t="s">
        <v>33</v>
      </c>
      <c r="F287" s="4" t="s">
        <v>4</v>
      </c>
      <c r="G287" s="8" t="n">
        <v>4976.26965141296</v>
      </c>
      <c r="H287" s="6" t="n">
        <f aca="false">IF(G287="","",G287/SUMIFS($G$2:$G$671,$F$2:$F$671,"Served"))</f>
        <v>0.000251778440219057</v>
      </c>
      <c r="I287" s="4" t="n">
        <f aca="false">IF(G287="","",RANK(G287,$G$2:$G$671,0))</f>
        <v>286</v>
      </c>
      <c r="J287" s="4" t="s">
        <v>34</v>
      </c>
    </row>
    <row r="288" customFormat="false" ht="15" hidden="false" customHeight="false" outlineLevel="0" collapsed="false">
      <c r="A288" s="4" t="s">
        <v>653</v>
      </c>
      <c r="B288" s="4" t="s">
        <v>30</v>
      </c>
      <c r="C288" s="4" t="s">
        <v>31</v>
      </c>
      <c r="D288" s="7" t="s">
        <v>654</v>
      </c>
      <c r="E288" s="4" t="s">
        <v>33</v>
      </c>
      <c r="F288" s="4" t="s">
        <v>4</v>
      </c>
      <c r="G288" s="8" t="n">
        <v>4908.6174519062</v>
      </c>
      <c r="H288" s="6" t="n">
        <f aca="false">IF(G288="","",G288/SUMIFS($G$2:$G$671,$F$2:$F$671,"Served"))</f>
        <v>0.000248355521755552</v>
      </c>
      <c r="I288" s="4" t="n">
        <f aca="false">IF(G288="","",RANK(G288,$G$2:$G$671,0))</f>
        <v>287</v>
      </c>
      <c r="J288" s="4" t="s">
        <v>34</v>
      </c>
    </row>
    <row r="289" customFormat="false" ht="15" hidden="false" customHeight="false" outlineLevel="0" collapsed="false">
      <c r="A289" s="4" t="s">
        <v>655</v>
      </c>
      <c r="B289" s="4" t="s">
        <v>172</v>
      </c>
      <c r="C289" s="4" t="s">
        <v>173</v>
      </c>
      <c r="D289" s="7" t="s">
        <v>656</v>
      </c>
      <c r="E289" s="4" t="s">
        <v>175</v>
      </c>
      <c r="F289" s="4" t="s">
        <v>4</v>
      </c>
      <c r="G289" s="8" t="n">
        <v>4838.70583057404</v>
      </c>
      <c r="H289" s="6" t="n">
        <f aca="false">IF(G289="","",G289/SUMIFS($G$2:$G$671,$F$2:$F$671,"Served"))</f>
        <v>0.000244818285993579</v>
      </c>
      <c r="I289" s="4" t="n">
        <f aca="false">IF(G289="","",RANK(G289,$G$2:$G$671,0))</f>
        <v>288</v>
      </c>
      <c r="J289" s="4" t="s">
        <v>34</v>
      </c>
    </row>
    <row r="290" customFormat="false" ht="15" hidden="false" customHeight="false" outlineLevel="0" collapsed="false">
      <c r="A290" s="4" t="s">
        <v>657</v>
      </c>
      <c r="B290" s="4" t="s">
        <v>30</v>
      </c>
      <c r="C290" s="4" t="s">
        <v>287</v>
      </c>
      <c r="D290" s="7" t="s">
        <v>658</v>
      </c>
      <c r="E290" s="4" t="s">
        <v>33</v>
      </c>
      <c r="F290" s="4" t="s">
        <v>4</v>
      </c>
      <c r="G290" s="8" t="n">
        <v>4720.02316999435</v>
      </c>
      <c r="H290" s="6" t="n">
        <f aca="false">IF(G290="","",G290/SUMIFS($G$2:$G$671,$F$2:$F$671,"Served"))</f>
        <v>0.000238813439541314</v>
      </c>
      <c r="I290" s="4" t="n">
        <f aca="false">IF(G290="","",RANK(G290,$G$2:$G$671,0))</f>
        <v>289</v>
      </c>
      <c r="J290" s="4" t="s">
        <v>34</v>
      </c>
    </row>
    <row r="291" customFormat="false" ht="15" hidden="false" customHeight="false" outlineLevel="0" collapsed="false">
      <c r="A291" s="4" t="s">
        <v>659</v>
      </c>
      <c r="B291" s="4" t="s">
        <v>213</v>
      </c>
      <c r="C291" s="4" t="s">
        <v>214</v>
      </c>
      <c r="D291" s="7" t="s">
        <v>660</v>
      </c>
      <c r="E291" s="4" t="s">
        <v>216</v>
      </c>
      <c r="F291" s="4" t="s">
        <v>4</v>
      </c>
      <c r="G291" s="8" t="n">
        <v>4699.90946221352</v>
      </c>
      <c r="H291" s="6" t="n">
        <f aca="false">IF(G291="","",G291/SUMIFS($G$2:$G$671,$F$2:$F$671,"Served"))</f>
        <v>0.000237795770016383</v>
      </c>
      <c r="I291" s="4" t="n">
        <f aca="false">IF(G291="","",RANK(G291,$G$2:$G$671,0))</f>
        <v>290</v>
      </c>
      <c r="J291" s="4" t="s">
        <v>34</v>
      </c>
    </row>
    <row r="292" customFormat="false" ht="15" hidden="false" customHeight="false" outlineLevel="0" collapsed="false">
      <c r="A292" s="4" t="s">
        <v>661</v>
      </c>
      <c r="B292" s="4" t="s">
        <v>213</v>
      </c>
      <c r="C292" s="4" t="s">
        <v>214</v>
      </c>
      <c r="D292" s="7" t="s">
        <v>662</v>
      </c>
      <c r="E292" s="4" t="s">
        <v>216</v>
      </c>
      <c r="F292" s="4" t="s">
        <v>4</v>
      </c>
      <c r="G292" s="8" t="n">
        <v>4663.13944172859</v>
      </c>
      <c r="H292" s="6" t="n">
        <f aca="false">IF(G292="","",G292/SUMIFS($G$2:$G$671,$F$2:$F$671,"Served"))</f>
        <v>0.000235935360703176</v>
      </c>
      <c r="I292" s="4" t="n">
        <f aca="false">IF(G292="","",RANK(G292,$G$2:$G$671,0))</f>
        <v>291</v>
      </c>
      <c r="J292" s="4" t="s">
        <v>34</v>
      </c>
    </row>
    <row r="293" customFormat="false" ht="15" hidden="false" customHeight="false" outlineLevel="0" collapsed="false">
      <c r="A293" s="4" t="s">
        <v>663</v>
      </c>
      <c r="B293" s="4" t="s">
        <v>213</v>
      </c>
      <c r="C293" s="4" t="s">
        <v>214</v>
      </c>
      <c r="D293" s="7" t="s">
        <v>664</v>
      </c>
      <c r="E293" s="4" t="s">
        <v>216</v>
      </c>
      <c r="F293" s="4" t="s">
        <v>4</v>
      </c>
      <c r="G293" s="8" t="n">
        <v>4661.60876536369</v>
      </c>
      <c r="H293" s="6" t="n">
        <f aca="false">IF(G293="","",G293/SUMIFS($G$2:$G$671,$F$2:$F$671,"Served"))</f>
        <v>0.000235857914878366</v>
      </c>
      <c r="I293" s="4" t="n">
        <f aca="false">IF(G293="","",RANK(G293,$G$2:$G$671,0))</f>
        <v>292</v>
      </c>
      <c r="J293" s="4" t="s">
        <v>34</v>
      </c>
    </row>
    <row r="294" customFormat="false" ht="15" hidden="false" customHeight="false" outlineLevel="0" collapsed="false">
      <c r="A294" s="4" t="s">
        <v>665</v>
      </c>
      <c r="B294" s="4" t="s">
        <v>30</v>
      </c>
      <c r="C294" s="4" t="s">
        <v>325</v>
      </c>
      <c r="D294" s="7" t="s">
        <v>666</v>
      </c>
      <c r="E294" s="4" t="s">
        <v>33</v>
      </c>
      <c r="F294" s="4" t="s">
        <v>4</v>
      </c>
      <c r="G294" s="8" t="n">
        <v>4623.81413626671</v>
      </c>
      <c r="H294" s="6" t="n">
        <f aca="false">IF(G294="","",G294/SUMIFS($G$2:$G$671,$F$2:$F$671,"Served"))</f>
        <v>0.000233945664652939</v>
      </c>
      <c r="I294" s="4" t="n">
        <f aca="false">IF(G294="","",RANK(G294,$G$2:$G$671,0))</f>
        <v>293</v>
      </c>
      <c r="J294" s="4" t="s">
        <v>34</v>
      </c>
    </row>
    <row r="295" customFormat="false" ht="15" hidden="false" customHeight="false" outlineLevel="0" collapsed="false">
      <c r="A295" s="4" t="s">
        <v>667</v>
      </c>
      <c r="B295" s="4" t="s">
        <v>52</v>
      </c>
      <c r="C295" s="4" t="s">
        <v>668</v>
      </c>
      <c r="D295" s="7" t="s">
        <v>669</v>
      </c>
      <c r="E295" s="4" t="s">
        <v>33</v>
      </c>
      <c r="F295" s="4" t="s">
        <v>4</v>
      </c>
      <c r="G295" s="8" t="n">
        <v>4620.95911824703</v>
      </c>
      <c r="H295" s="6" t="n">
        <f aca="false">IF(G295="","",G295/SUMIFS($G$2:$G$671,$F$2:$F$671,"Served"))</f>
        <v>0.000233801212677032</v>
      </c>
      <c r="I295" s="4" t="n">
        <f aca="false">IF(G295="","",RANK(G295,$G$2:$G$671,0))</f>
        <v>294</v>
      </c>
      <c r="J295" s="4" t="s">
        <v>34</v>
      </c>
    </row>
    <row r="296" customFormat="false" ht="15" hidden="false" customHeight="false" outlineLevel="0" collapsed="false">
      <c r="A296" s="4" t="s">
        <v>670</v>
      </c>
      <c r="B296" s="4" t="s">
        <v>52</v>
      </c>
      <c r="C296" s="4" t="s">
        <v>362</v>
      </c>
      <c r="D296" s="7" t="s">
        <v>671</v>
      </c>
      <c r="E296" s="4" t="s">
        <v>33</v>
      </c>
      <c r="F296" s="4" t="s">
        <v>4</v>
      </c>
      <c r="G296" s="8" t="n">
        <v>4619.04267406464</v>
      </c>
      <c r="H296" s="6" t="n">
        <f aca="false">IF(G296="","",G296/SUMIFS($G$2:$G$671,$F$2:$F$671,"Served"))</f>
        <v>0.000233704248613424</v>
      </c>
      <c r="I296" s="4" t="n">
        <f aca="false">IF(G296="","",RANK(G296,$G$2:$G$671,0))</f>
        <v>295</v>
      </c>
      <c r="J296" s="4" t="s">
        <v>34</v>
      </c>
    </row>
    <row r="297" customFormat="false" ht="15" hidden="false" customHeight="false" outlineLevel="0" collapsed="false">
      <c r="A297" s="4" t="s">
        <v>672</v>
      </c>
      <c r="B297" s="4" t="s">
        <v>213</v>
      </c>
      <c r="C297" s="4" t="s">
        <v>214</v>
      </c>
      <c r="D297" s="7" t="s">
        <v>673</v>
      </c>
      <c r="E297" s="4" t="s">
        <v>216</v>
      </c>
      <c r="F297" s="4" t="s">
        <v>4</v>
      </c>
      <c r="G297" s="8" t="n">
        <v>4580.30372309685</v>
      </c>
      <c r="H297" s="6" t="n">
        <f aca="false">IF(G297="","",G297/SUMIFS($G$2:$G$671,$F$2:$F$671,"Served"))</f>
        <v>0.000231744219649234</v>
      </c>
      <c r="I297" s="4" t="n">
        <f aca="false">IF(G297="","",RANK(G297,$G$2:$G$671,0))</f>
        <v>296</v>
      </c>
      <c r="J297" s="4" t="s">
        <v>34</v>
      </c>
    </row>
    <row r="298" customFormat="false" ht="15" hidden="false" customHeight="false" outlineLevel="0" collapsed="false">
      <c r="A298" s="4" t="s">
        <v>674</v>
      </c>
      <c r="B298" s="4" t="s">
        <v>30</v>
      </c>
      <c r="C298" s="4" t="s">
        <v>31</v>
      </c>
      <c r="D298" s="7" t="s">
        <v>675</v>
      </c>
      <c r="E298" s="4" t="s">
        <v>33</v>
      </c>
      <c r="F298" s="4" t="s">
        <v>4</v>
      </c>
      <c r="G298" s="8" t="n">
        <v>4544.3802857399</v>
      </c>
      <c r="H298" s="6" t="n">
        <f aca="false">IF(G298="","",G298/SUMIFS($G$2:$G$671,$F$2:$F$671,"Served"))</f>
        <v>0.000229926643903018</v>
      </c>
      <c r="I298" s="4" t="n">
        <f aca="false">IF(G298="","",RANK(G298,$G$2:$G$671,0))</f>
        <v>297</v>
      </c>
      <c r="J298" s="4" t="s">
        <v>34</v>
      </c>
    </row>
    <row r="299" customFormat="false" ht="15" hidden="false" customHeight="false" outlineLevel="0" collapsed="false">
      <c r="A299" s="4" t="s">
        <v>676</v>
      </c>
      <c r="B299" s="4" t="s">
        <v>172</v>
      </c>
      <c r="C299" s="4" t="s">
        <v>173</v>
      </c>
      <c r="D299" s="7" t="s">
        <v>677</v>
      </c>
      <c r="E299" s="4" t="s">
        <v>175</v>
      </c>
      <c r="F299" s="4" t="s">
        <v>4</v>
      </c>
      <c r="G299" s="8" t="n">
        <v>4511.86265540123</v>
      </c>
      <c r="H299" s="6" t="n">
        <f aca="false">IF(G299="","",G299/SUMIFS($G$2:$G$671,$F$2:$F$671,"Served"))</f>
        <v>0.00022828138775337</v>
      </c>
      <c r="I299" s="4" t="n">
        <f aca="false">IF(G299="","",RANK(G299,$G$2:$G$671,0))</f>
        <v>298</v>
      </c>
      <c r="J299" s="4" t="s">
        <v>34</v>
      </c>
    </row>
    <row r="300" customFormat="false" ht="15" hidden="false" customHeight="false" outlineLevel="0" collapsed="false">
      <c r="A300" s="4" t="s">
        <v>678</v>
      </c>
      <c r="B300" s="4" t="s">
        <v>172</v>
      </c>
      <c r="C300" s="4" t="s">
        <v>173</v>
      </c>
      <c r="D300" s="7" t="s">
        <v>679</v>
      </c>
      <c r="E300" s="4" t="s">
        <v>175</v>
      </c>
      <c r="F300" s="4" t="s">
        <v>4</v>
      </c>
      <c r="G300" s="8" t="n">
        <v>4510.07937097549</v>
      </c>
      <c r="H300" s="6" t="n">
        <f aca="false">IF(G300="","",G300/SUMIFS($G$2:$G$671,$F$2:$F$671,"Served"))</f>
        <v>0.000228191161016752</v>
      </c>
      <c r="I300" s="4" t="n">
        <f aca="false">IF(G300="","",RANK(G300,$G$2:$G$671,0))</f>
        <v>299</v>
      </c>
      <c r="J300" s="4" t="s">
        <v>34</v>
      </c>
    </row>
    <row r="301" customFormat="false" ht="15" hidden="false" customHeight="false" outlineLevel="0" collapsed="false">
      <c r="A301" s="4" t="s">
        <v>680</v>
      </c>
      <c r="B301" s="4" t="s">
        <v>213</v>
      </c>
      <c r="C301" s="4" t="s">
        <v>214</v>
      </c>
      <c r="D301" s="7" t="s">
        <v>681</v>
      </c>
      <c r="E301" s="4" t="s">
        <v>216</v>
      </c>
      <c r="F301" s="4" t="s">
        <v>4</v>
      </c>
      <c r="G301" s="8" t="n">
        <v>4504.46548175812</v>
      </c>
      <c r="H301" s="6" t="n">
        <f aca="false">IF(G301="","",G301/SUMIFS($G$2:$G$671,$F$2:$F$671,"Served"))</f>
        <v>0.000227907121692173</v>
      </c>
      <c r="I301" s="4" t="n">
        <f aca="false">IF(G301="","",RANK(G301,$G$2:$G$671,0))</f>
        <v>300</v>
      </c>
      <c r="J301" s="4" t="s">
        <v>34</v>
      </c>
    </row>
    <row r="302" customFormat="false" ht="15" hidden="false" customHeight="false" outlineLevel="0" collapsed="false">
      <c r="A302" s="4" t="s">
        <v>682</v>
      </c>
      <c r="B302" s="4" t="s">
        <v>30</v>
      </c>
      <c r="C302" s="4" t="s">
        <v>683</v>
      </c>
      <c r="D302" s="7" t="s">
        <v>684</v>
      </c>
      <c r="E302" s="4" t="s">
        <v>33</v>
      </c>
      <c r="F302" s="4" t="s">
        <v>4</v>
      </c>
      <c r="G302" s="8" t="n">
        <v>4485.74390697479</v>
      </c>
      <c r="H302" s="6" t="n">
        <f aca="false">IF(G302="","",G302/SUMIFS($G$2:$G$671,$F$2:$F$671,"Served"))</f>
        <v>0.000226959888276867</v>
      </c>
      <c r="I302" s="4" t="n">
        <f aca="false">IF(G302="","",RANK(G302,$G$2:$G$671,0))</f>
        <v>301</v>
      </c>
      <c r="J302" s="4" t="s">
        <v>34</v>
      </c>
    </row>
    <row r="303" customFormat="false" ht="15" hidden="false" customHeight="false" outlineLevel="0" collapsed="false">
      <c r="A303" s="4" t="s">
        <v>685</v>
      </c>
      <c r="B303" s="4" t="s">
        <v>30</v>
      </c>
      <c r="C303" s="4" t="s">
        <v>206</v>
      </c>
      <c r="D303" s="7" t="s">
        <v>686</v>
      </c>
      <c r="E303" s="4" t="s">
        <v>33</v>
      </c>
      <c r="F303" s="4" t="s">
        <v>4</v>
      </c>
      <c r="G303" s="8" t="n">
        <v>4480.41143226624</v>
      </c>
      <c r="H303" s="6" t="n">
        <f aca="false">IF(G303="","",G303/SUMIFS($G$2:$G$671,$F$2:$F$671,"Served"))</f>
        <v>0.000226690087349932</v>
      </c>
      <c r="I303" s="4" t="n">
        <f aca="false">IF(G303="","",RANK(G303,$G$2:$G$671,0))</f>
        <v>302</v>
      </c>
      <c r="J303" s="4" t="s">
        <v>34</v>
      </c>
    </row>
    <row r="304" customFormat="false" ht="15" hidden="false" customHeight="false" outlineLevel="0" collapsed="false">
      <c r="A304" s="4" t="s">
        <v>687</v>
      </c>
      <c r="B304" s="4" t="s">
        <v>30</v>
      </c>
      <c r="C304" s="4" t="s">
        <v>36</v>
      </c>
      <c r="D304" s="7" t="s">
        <v>688</v>
      </c>
      <c r="E304" s="4" t="s">
        <v>33</v>
      </c>
      <c r="F304" s="4" t="s">
        <v>4</v>
      </c>
      <c r="G304" s="8" t="n">
        <v>4371.11722350121</v>
      </c>
      <c r="H304" s="6" t="n">
        <f aca="false">IF(G304="","",G304/SUMIFS($G$2:$G$671,$F$2:$F$671,"Served"))</f>
        <v>0.000221160257309468</v>
      </c>
      <c r="I304" s="4" t="n">
        <f aca="false">IF(G304="","",RANK(G304,$G$2:$G$671,0))</f>
        <v>303</v>
      </c>
      <c r="J304" s="4" t="s">
        <v>34</v>
      </c>
    </row>
    <row r="305" customFormat="false" ht="15" hidden="false" customHeight="false" outlineLevel="0" collapsed="false">
      <c r="A305" s="4" t="s">
        <v>689</v>
      </c>
      <c r="B305" s="4" t="s">
        <v>116</v>
      </c>
      <c r="C305" s="4" t="s">
        <v>220</v>
      </c>
      <c r="D305" s="7" t="s">
        <v>690</v>
      </c>
      <c r="E305" s="4" t="s">
        <v>119</v>
      </c>
      <c r="F305" s="4" t="s">
        <v>4</v>
      </c>
      <c r="G305" s="8" t="n">
        <v>4341.51826906204</v>
      </c>
      <c r="H305" s="6" t="n">
        <f aca="false">IF(G305="","",G305/SUMIFS($G$2:$G$671,$F$2:$F$671,"Served"))</f>
        <v>0.000219662673958314</v>
      </c>
      <c r="I305" s="4" t="n">
        <f aca="false">IF(G305="","",RANK(G305,$G$2:$G$671,0))</f>
        <v>304</v>
      </c>
      <c r="J305" s="4" t="s">
        <v>34</v>
      </c>
    </row>
    <row r="306" customFormat="false" ht="15" hidden="false" customHeight="false" outlineLevel="0" collapsed="false">
      <c r="A306" s="4" t="s">
        <v>691</v>
      </c>
      <c r="B306" s="4" t="s">
        <v>172</v>
      </c>
      <c r="C306" s="4" t="s">
        <v>173</v>
      </c>
      <c r="D306" s="7" t="s">
        <v>692</v>
      </c>
      <c r="E306" s="4" t="s">
        <v>175</v>
      </c>
      <c r="F306" s="4" t="s">
        <v>4</v>
      </c>
      <c r="G306" s="8" t="n">
        <v>4341.27766060829</v>
      </c>
      <c r="H306" s="6" t="n">
        <f aca="false">IF(G306="","",G306/SUMIFS($G$2:$G$671,$F$2:$F$671,"Served"))</f>
        <v>0.000219650500176459</v>
      </c>
      <c r="I306" s="4" t="n">
        <f aca="false">IF(G306="","",RANK(G306,$G$2:$G$671,0))</f>
        <v>305</v>
      </c>
      <c r="J306" s="4" t="s">
        <v>34</v>
      </c>
    </row>
    <row r="307" customFormat="false" ht="15" hidden="false" customHeight="false" outlineLevel="0" collapsed="false">
      <c r="A307" s="4" t="s">
        <v>693</v>
      </c>
      <c r="B307" s="4" t="s">
        <v>52</v>
      </c>
      <c r="C307" s="4" t="s">
        <v>613</v>
      </c>
      <c r="D307" s="7" t="s">
        <v>694</v>
      </c>
      <c r="E307" s="4" t="s">
        <v>33</v>
      </c>
      <c r="F307" s="4" t="s">
        <v>4</v>
      </c>
      <c r="G307" s="8" t="n">
        <v>4307.55937027931</v>
      </c>
      <c r="H307" s="6" t="n">
        <f aca="false">IF(G307="","",G307/SUMIFS($G$2:$G$671,$F$2:$F$671,"Served"))</f>
        <v>0.000217944495650865</v>
      </c>
      <c r="I307" s="4" t="n">
        <f aca="false">IF(G307="","",RANK(G307,$G$2:$G$671,0))</f>
        <v>306</v>
      </c>
      <c r="J307" s="4" t="s">
        <v>34</v>
      </c>
    </row>
    <row r="308" customFormat="false" ht="15" hidden="false" customHeight="false" outlineLevel="0" collapsed="false">
      <c r="A308" s="4" t="s">
        <v>695</v>
      </c>
      <c r="B308" s="4" t="s">
        <v>52</v>
      </c>
      <c r="C308" s="4" t="s">
        <v>613</v>
      </c>
      <c r="D308" s="7" t="s">
        <v>696</v>
      </c>
      <c r="E308" s="4" t="s">
        <v>33</v>
      </c>
      <c r="F308" s="4" t="s">
        <v>4</v>
      </c>
      <c r="G308" s="8" t="n">
        <v>4259.42893242836</v>
      </c>
      <c r="H308" s="6" t="n">
        <f aca="false">IF(G308="","",G308/SUMIFS($G$2:$G$671,$F$2:$F$671,"Served"))</f>
        <v>0.000215509296713096</v>
      </c>
      <c r="I308" s="4" t="n">
        <f aca="false">IF(G308="","",RANK(G308,$G$2:$G$671,0))</f>
        <v>307</v>
      </c>
      <c r="J308" s="4" t="s">
        <v>34</v>
      </c>
    </row>
    <row r="309" customFormat="false" ht="15" hidden="false" customHeight="false" outlineLevel="0" collapsed="false">
      <c r="A309" s="4" t="s">
        <v>697</v>
      </c>
      <c r="B309" s="4" t="s">
        <v>213</v>
      </c>
      <c r="C309" s="4" t="s">
        <v>214</v>
      </c>
      <c r="D309" s="7" t="s">
        <v>698</v>
      </c>
      <c r="E309" s="4" t="s">
        <v>216</v>
      </c>
      <c r="F309" s="4" t="s">
        <v>4</v>
      </c>
      <c r="G309" s="8" t="n">
        <v>4239.74827170372</v>
      </c>
      <c r="H309" s="6" t="n">
        <f aca="false">IF(G309="","",G309/SUMIFS($G$2:$G$671,$F$2:$F$671,"Served"))</f>
        <v>0.000214513537558782</v>
      </c>
      <c r="I309" s="4" t="n">
        <f aca="false">IF(G309="","",RANK(G309,$G$2:$G$671,0))</f>
        <v>308</v>
      </c>
      <c r="J309" s="4" t="s">
        <v>34</v>
      </c>
    </row>
    <row r="310" customFormat="false" ht="15" hidden="false" customHeight="false" outlineLevel="0" collapsed="false">
      <c r="A310" s="4" t="s">
        <v>699</v>
      </c>
      <c r="B310" s="4" t="s">
        <v>52</v>
      </c>
      <c r="C310" s="4" t="s">
        <v>200</v>
      </c>
      <c r="D310" s="7" t="s">
        <v>700</v>
      </c>
      <c r="E310" s="4" t="s">
        <v>33</v>
      </c>
      <c r="F310" s="4" t="s">
        <v>4</v>
      </c>
      <c r="G310" s="8" t="n">
        <v>4221.28058624268</v>
      </c>
      <c r="H310" s="6" t="n">
        <f aca="false">IF(G310="","",G310/SUMIFS($G$2:$G$671,$F$2:$F$671,"Served"))</f>
        <v>0.000213579149881756</v>
      </c>
      <c r="I310" s="4" t="n">
        <f aca="false">IF(G310="","",RANK(G310,$G$2:$G$671,0))</f>
        <v>309</v>
      </c>
      <c r="J310" s="4" t="s">
        <v>34</v>
      </c>
    </row>
    <row r="311" customFormat="false" ht="15" hidden="false" customHeight="false" outlineLevel="0" collapsed="false">
      <c r="A311" s="4" t="s">
        <v>701</v>
      </c>
      <c r="B311" s="4" t="s">
        <v>213</v>
      </c>
      <c r="C311" s="4" t="s">
        <v>214</v>
      </c>
      <c r="D311" s="7" t="s">
        <v>702</v>
      </c>
      <c r="E311" s="4" t="s">
        <v>216</v>
      </c>
      <c r="F311" s="4" t="s">
        <v>4</v>
      </c>
      <c r="G311" s="8" t="n">
        <v>4149.52062225342</v>
      </c>
      <c r="H311" s="6" t="n">
        <f aca="false">IF(G311="","",G311/SUMIFS($G$2:$G$671,$F$2:$F$671,"Served"))</f>
        <v>0.000209948395708646</v>
      </c>
      <c r="I311" s="4" t="n">
        <f aca="false">IF(G311="","",RANK(G311,$G$2:$G$671,0))</f>
        <v>310</v>
      </c>
      <c r="J311" s="4" t="s">
        <v>34</v>
      </c>
    </row>
    <row r="312" customFormat="false" ht="15" hidden="false" customHeight="false" outlineLevel="0" collapsed="false">
      <c r="A312" s="4" t="s">
        <v>703</v>
      </c>
      <c r="B312" s="4" t="s">
        <v>30</v>
      </c>
      <c r="C312" s="4" t="s">
        <v>31</v>
      </c>
      <c r="D312" s="7" t="s">
        <v>704</v>
      </c>
      <c r="E312" s="4" t="s">
        <v>33</v>
      </c>
      <c r="F312" s="4" t="s">
        <v>4</v>
      </c>
      <c r="G312" s="8" t="n">
        <v>4132.66852402687</v>
      </c>
      <c r="H312" s="6" t="n">
        <f aca="false">IF(G312="","",G312/SUMIFS($G$2:$G$671,$F$2:$F$671,"Served"))</f>
        <v>0.000209095749991448</v>
      </c>
      <c r="I312" s="4" t="n">
        <f aca="false">IF(G312="","",RANK(G312,$G$2:$G$671,0))</f>
        <v>311</v>
      </c>
      <c r="J312" s="4" t="s">
        <v>34</v>
      </c>
    </row>
    <row r="313" customFormat="false" ht="15" hidden="false" customHeight="false" outlineLevel="0" collapsed="false">
      <c r="A313" s="4" t="s">
        <v>705</v>
      </c>
      <c r="B313" s="4" t="s">
        <v>116</v>
      </c>
      <c r="C313" s="4" t="s">
        <v>220</v>
      </c>
      <c r="D313" s="7" t="s">
        <v>706</v>
      </c>
      <c r="E313" s="4" t="s">
        <v>119</v>
      </c>
      <c r="F313" s="4" t="s">
        <v>4</v>
      </c>
      <c r="G313" s="8" t="n">
        <v>4099.22394180298</v>
      </c>
      <c r="H313" s="6" t="n">
        <f aca="false">IF(G313="","",G313/SUMIFS($G$2:$G$671,$F$2:$F$671,"Served"))</f>
        <v>0.000207403593951689</v>
      </c>
      <c r="I313" s="4" t="n">
        <f aca="false">IF(G313="","",RANK(G313,$G$2:$G$671,0))</f>
        <v>312</v>
      </c>
      <c r="J313" s="4" t="s">
        <v>34</v>
      </c>
    </row>
    <row r="314" customFormat="false" ht="15" hidden="false" customHeight="false" outlineLevel="0" collapsed="false">
      <c r="A314" s="4" t="s">
        <v>707</v>
      </c>
      <c r="B314" s="4" t="s">
        <v>213</v>
      </c>
      <c r="C314" s="4" t="s">
        <v>214</v>
      </c>
      <c r="D314" s="7" t="s">
        <v>708</v>
      </c>
      <c r="E314" s="4" t="s">
        <v>216</v>
      </c>
      <c r="F314" s="4" t="s">
        <v>4</v>
      </c>
      <c r="G314" s="8" t="n">
        <v>3989.62174153328</v>
      </c>
      <c r="H314" s="6" t="n">
        <f aca="false">IF(G314="","",G314/SUMIFS($G$2:$G$671,$F$2:$F$671,"Served"))</f>
        <v>0.000201858180828699</v>
      </c>
      <c r="I314" s="4" t="n">
        <f aca="false">IF(G314="","",RANK(G314,$G$2:$G$671,0))</f>
        <v>313</v>
      </c>
      <c r="J314" s="4" t="s">
        <v>34</v>
      </c>
    </row>
    <row r="315" customFormat="false" ht="15" hidden="false" customHeight="false" outlineLevel="0" collapsed="false">
      <c r="A315" s="4" t="s">
        <v>709</v>
      </c>
      <c r="B315" s="4" t="s">
        <v>125</v>
      </c>
      <c r="C315" s="4" t="s">
        <v>126</v>
      </c>
      <c r="D315" s="7" t="s">
        <v>710</v>
      </c>
      <c r="E315" s="4" t="s">
        <v>128</v>
      </c>
      <c r="F315" s="4" t="s">
        <v>4</v>
      </c>
      <c r="G315" s="8" t="n">
        <v>3986.98728871346</v>
      </c>
      <c r="H315" s="6" t="n">
        <f aca="false">IF(G315="","",G315/SUMIFS($G$2:$G$671,$F$2:$F$671,"Served"))</f>
        <v>0.000201724888529794</v>
      </c>
      <c r="I315" s="4" t="n">
        <f aca="false">IF(G315="","",RANK(G315,$G$2:$G$671,0))</f>
        <v>314</v>
      </c>
      <c r="J315" s="4" t="s">
        <v>34</v>
      </c>
    </row>
    <row r="316" customFormat="false" ht="15" hidden="false" customHeight="false" outlineLevel="0" collapsed="false">
      <c r="A316" s="4" t="s">
        <v>711</v>
      </c>
      <c r="B316" s="4" t="s">
        <v>43</v>
      </c>
      <c r="C316" s="4" t="s">
        <v>44</v>
      </c>
      <c r="D316" s="7" t="s">
        <v>712</v>
      </c>
      <c r="E316" s="4" t="s">
        <v>46</v>
      </c>
      <c r="F316" s="4" t="s">
        <v>4</v>
      </c>
      <c r="G316" s="8" t="n">
        <v>3874.24297165871</v>
      </c>
      <c r="H316" s="6" t="n">
        <f aca="false">IF(G316="","",G316/SUMIFS($G$2:$G$671,$F$2:$F$671,"Served"))</f>
        <v>0.000196020497433635</v>
      </c>
      <c r="I316" s="4" t="n">
        <f aca="false">IF(G316="","",RANK(G316,$G$2:$G$671,0))</f>
        <v>315</v>
      </c>
      <c r="J316" s="4" t="s">
        <v>34</v>
      </c>
    </row>
    <row r="317" customFormat="false" ht="15" hidden="false" customHeight="false" outlineLevel="0" collapsed="false">
      <c r="A317" s="4" t="s">
        <v>713</v>
      </c>
      <c r="B317" s="4" t="s">
        <v>30</v>
      </c>
      <c r="C317" s="4" t="s">
        <v>287</v>
      </c>
      <c r="D317" s="7" t="s">
        <v>714</v>
      </c>
      <c r="E317" s="4" t="s">
        <v>33</v>
      </c>
      <c r="F317" s="4" t="s">
        <v>4</v>
      </c>
      <c r="G317" s="8" t="n">
        <v>3852.74593019486</v>
      </c>
      <c r="H317" s="6" t="n">
        <f aca="false">IF(G317="","",G317/SUMIFS($G$2:$G$671,$F$2:$F$671,"Served"))</f>
        <v>0.000194932837007606</v>
      </c>
      <c r="I317" s="4" t="n">
        <f aca="false">IF(G317="","",RANK(G317,$G$2:$G$671,0))</f>
        <v>316</v>
      </c>
      <c r="J317" s="4" t="s">
        <v>34</v>
      </c>
    </row>
    <row r="318" customFormat="false" ht="15" hidden="false" customHeight="false" outlineLevel="0" collapsed="false">
      <c r="A318" s="4" t="s">
        <v>715</v>
      </c>
      <c r="B318" s="4" t="s">
        <v>52</v>
      </c>
      <c r="C318" s="4" t="s">
        <v>668</v>
      </c>
      <c r="D318" s="7" t="s">
        <v>716</v>
      </c>
      <c r="E318" s="4" t="s">
        <v>33</v>
      </c>
      <c r="F318" s="4" t="s">
        <v>4</v>
      </c>
      <c r="G318" s="8" t="n">
        <v>3793.80023312569</v>
      </c>
      <c r="H318" s="6" t="n">
        <f aca="false">IF(G318="","",G318/SUMIFS($G$2:$G$671,$F$2:$F$671,"Served"))</f>
        <v>0.000191950431168427</v>
      </c>
      <c r="I318" s="4" t="n">
        <f aca="false">IF(G318="","",RANK(G318,$G$2:$G$671,0))</f>
        <v>317</v>
      </c>
      <c r="J318" s="4" t="s">
        <v>34</v>
      </c>
    </row>
    <row r="319" customFormat="false" ht="15" hidden="false" customHeight="false" outlineLevel="0" collapsed="false">
      <c r="A319" s="4" t="s">
        <v>717</v>
      </c>
      <c r="B319" s="4" t="s">
        <v>30</v>
      </c>
      <c r="C319" s="4" t="s">
        <v>206</v>
      </c>
      <c r="D319" s="7" t="s">
        <v>718</v>
      </c>
      <c r="E319" s="4" t="s">
        <v>33</v>
      </c>
      <c r="F319" s="4" t="s">
        <v>4</v>
      </c>
      <c r="G319" s="8" t="n">
        <v>3786.77918314934</v>
      </c>
      <c r="H319" s="6" t="n">
        <f aca="false">IF(G319="","",G319/SUMIFS($G$2:$G$671,$F$2:$F$671,"Served"))</f>
        <v>0.000191595195392319</v>
      </c>
      <c r="I319" s="4" t="n">
        <f aca="false">IF(G319="","",RANK(G319,$G$2:$G$671,0))</f>
        <v>318</v>
      </c>
      <c r="J319" s="4" t="s">
        <v>34</v>
      </c>
    </row>
    <row r="320" customFormat="false" ht="15" hidden="false" customHeight="false" outlineLevel="0" collapsed="false">
      <c r="A320" s="4" t="s">
        <v>719</v>
      </c>
      <c r="B320" s="4" t="s">
        <v>116</v>
      </c>
      <c r="C320" s="4" t="s">
        <v>220</v>
      </c>
      <c r="D320" s="7" t="s">
        <v>720</v>
      </c>
      <c r="E320" s="4" t="s">
        <v>119</v>
      </c>
      <c r="F320" s="4" t="s">
        <v>4</v>
      </c>
      <c r="G320" s="8" t="n">
        <v>3741.67837417126</v>
      </c>
      <c r="H320" s="6" t="n">
        <f aca="false">IF(G320="","",G320/SUMIFS($G$2:$G$671,$F$2:$F$671,"Served"))</f>
        <v>0.000189313283009638</v>
      </c>
      <c r="I320" s="4" t="n">
        <f aca="false">IF(G320="","",RANK(G320,$G$2:$G$671,0))</f>
        <v>319</v>
      </c>
      <c r="J320" s="4" t="s">
        <v>34</v>
      </c>
    </row>
    <row r="321" customFormat="false" ht="15" hidden="false" customHeight="false" outlineLevel="0" collapsed="false">
      <c r="A321" s="4" t="s">
        <v>721</v>
      </c>
      <c r="B321" s="4" t="s">
        <v>30</v>
      </c>
      <c r="C321" s="4" t="s">
        <v>287</v>
      </c>
      <c r="D321" s="7" t="s">
        <v>722</v>
      </c>
      <c r="E321" s="4" t="s">
        <v>33</v>
      </c>
      <c r="F321" s="4" t="s">
        <v>4</v>
      </c>
      <c r="G321" s="8" t="n">
        <v>3701.0608792305</v>
      </c>
      <c r="H321" s="6" t="n">
        <f aca="false">IF(G321="","",G321/SUMIFS($G$2:$G$671,$F$2:$F$671,"Served"))</f>
        <v>0.000187258207573988</v>
      </c>
      <c r="I321" s="4" t="n">
        <f aca="false">IF(G321="","",RANK(G321,$G$2:$G$671,0))</f>
        <v>320</v>
      </c>
      <c r="J321" s="4" t="s">
        <v>34</v>
      </c>
    </row>
    <row r="322" customFormat="false" ht="15" hidden="false" customHeight="false" outlineLevel="0" collapsed="false">
      <c r="A322" s="4" t="s">
        <v>723</v>
      </c>
      <c r="B322" s="4" t="s">
        <v>172</v>
      </c>
      <c r="C322" s="4" t="s">
        <v>173</v>
      </c>
      <c r="D322" s="7" t="s">
        <v>724</v>
      </c>
      <c r="E322" s="4" t="s">
        <v>175</v>
      </c>
      <c r="F322" s="4" t="s">
        <v>4</v>
      </c>
      <c r="G322" s="8" t="n">
        <v>3681.8093341589</v>
      </c>
      <c r="H322" s="6" t="n">
        <f aca="false">IF(G322="","",G322/SUMIFS($G$2:$G$671,$F$2:$F$671,"Served"))</f>
        <v>0.000186284159877726</v>
      </c>
      <c r="I322" s="4" t="n">
        <f aca="false">IF(G322="","",RANK(G322,$G$2:$G$671,0))</f>
        <v>321</v>
      </c>
      <c r="J322" s="4" t="s">
        <v>34</v>
      </c>
    </row>
    <row r="323" customFormat="false" ht="15" hidden="false" customHeight="false" outlineLevel="0" collapsed="false">
      <c r="A323" s="4" t="s">
        <v>725</v>
      </c>
      <c r="B323" s="4" t="s">
        <v>30</v>
      </c>
      <c r="C323" s="4" t="s">
        <v>31</v>
      </c>
      <c r="D323" s="7" t="s">
        <v>726</v>
      </c>
      <c r="E323" s="4" t="s">
        <v>33</v>
      </c>
      <c r="F323" s="4" t="s">
        <v>4</v>
      </c>
      <c r="G323" s="8" t="n">
        <v>3676.21380472183</v>
      </c>
      <c r="H323" s="6" t="n">
        <f aca="false">IF(G323="","",G323/SUMIFS($G$2:$G$671,$F$2:$F$671,"Served"))</f>
        <v>0.000186001049481274</v>
      </c>
      <c r="I323" s="4" t="n">
        <f aca="false">IF(G323="","",RANK(G323,$G$2:$G$671,0))</f>
        <v>322</v>
      </c>
      <c r="J323" s="4" t="s">
        <v>34</v>
      </c>
    </row>
    <row r="324" customFormat="false" ht="15" hidden="false" customHeight="false" outlineLevel="0" collapsed="false">
      <c r="A324" s="4" t="s">
        <v>727</v>
      </c>
      <c r="B324" s="4" t="s">
        <v>52</v>
      </c>
      <c r="C324" s="4" t="s">
        <v>200</v>
      </c>
      <c r="D324" s="7" t="s">
        <v>728</v>
      </c>
      <c r="E324" s="4" t="s">
        <v>33</v>
      </c>
      <c r="F324" s="4" t="s">
        <v>4</v>
      </c>
      <c r="G324" s="8" t="n">
        <v>3648.216547966</v>
      </c>
      <c r="H324" s="6" t="n">
        <f aca="false">IF(G324="","",G324/SUMIFS($G$2:$G$671,$F$2:$F$671,"Served"))</f>
        <v>0.000184584505336727</v>
      </c>
      <c r="I324" s="4" t="n">
        <f aca="false">IF(G324="","",RANK(G324,$G$2:$G$671,0))</f>
        <v>323</v>
      </c>
      <c r="J324" s="4" t="s">
        <v>34</v>
      </c>
    </row>
    <row r="325" customFormat="false" ht="15" hidden="false" customHeight="false" outlineLevel="0" collapsed="false">
      <c r="A325" s="4" t="s">
        <v>729</v>
      </c>
      <c r="B325" s="4" t="s">
        <v>213</v>
      </c>
      <c r="C325" s="4" t="s">
        <v>214</v>
      </c>
      <c r="D325" s="7" t="s">
        <v>730</v>
      </c>
      <c r="E325" s="4" t="s">
        <v>216</v>
      </c>
      <c r="F325" s="4" t="s">
        <v>4</v>
      </c>
      <c r="G325" s="8" t="n">
        <v>3589.100081563</v>
      </c>
      <c r="H325" s="6" t="n">
        <f aca="false">IF(G325="","",G325/SUMIFS($G$2:$G$671,$F$2:$F$671,"Served"))</f>
        <v>0.000181593459283187</v>
      </c>
      <c r="I325" s="4" t="n">
        <f aca="false">IF(G325="","",RANK(G325,$G$2:$G$671,0))</f>
        <v>324</v>
      </c>
      <c r="J325" s="4" t="s">
        <v>34</v>
      </c>
    </row>
    <row r="326" customFormat="false" ht="15" hidden="false" customHeight="false" outlineLevel="0" collapsed="false">
      <c r="A326" s="4" t="s">
        <v>731</v>
      </c>
      <c r="B326" s="4" t="s">
        <v>43</v>
      </c>
      <c r="C326" s="4" t="s">
        <v>44</v>
      </c>
      <c r="D326" s="7" t="s">
        <v>732</v>
      </c>
      <c r="E326" s="4" t="s">
        <v>46</v>
      </c>
      <c r="F326" s="4" t="s">
        <v>4</v>
      </c>
      <c r="G326" s="8" t="n">
        <v>3547.83089971542</v>
      </c>
      <c r="H326" s="6" t="n">
        <f aca="false">IF(G326="","",G326/SUMIFS($G$2:$G$671,$F$2:$F$671,"Served"))</f>
        <v>0.00017950541121454</v>
      </c>
      <c r="I326" s="4" t="n">
        <f aca="false">IF(G326="","",RANK(G326,$G$2:$G$671,0))</f>
        <v>325</v>
      </c>
      <c r="J326" s="4" t="s">
        <v>34</v>
      </c>
    </row>
    <row r="327" customFormat="false" ht="15" hidden="false" customHeight="false" outlineLevel="0" collapsed="false">
      <c r="A327" s="4" t="s">
        <v>733</v>
      </c>
      <c r="B327" s="4" t="s">
        <v>116</v>
      </c>
      <c r="C327" s="4" t="s">
        <v>117</v>
      </c>
      <c r="D327" s="7" t="s">
        <v>734</v>
      </c>
      <c r="E327" s="4" t="s">
        <v>119</v>
      </c>
      <c r="F327" s="4" t="s">
        <v>4</v>
      </c>
      <c r="G327" s="8" t="n">
        <v>3531.31699156761</v>
      </c>
      <c r="H327" s="6" t="n">
        <f aca="false">IF(G327="","",G327/SUMIFS($G$2:$G$671,$F$2:$F$671,"Served"))</f>
        <v>0.000178669876501465</v>
      </c>
      <c r="I327" s="4" t="n">
        <f aca="false">IF(G327="","",RANK(G327,$G$2:$G$671,0))</f>
        <v>326</v>
      </c>
      <c r="J327" s="4" t="s">
        <v>34</v>
      </c>
    </row>
    <row r="328" customFormat="false" ht="15" hidden="false" customHeight="false" outlineLevel="0" collapsed="false">
      <c r="A328" s="4" t="s">
        <v>735</v>
      </c>
      <c r="B328" s="4" t="s">
        <v>213</v>
      </c>
      <c r="C328" s="4" t="s">
        <v>214</v>
      </c>
      <c r="D328" s="7" t="s">
        <v>736</v>
      </c>
      <c r="E328" s="4" t="s">
        <v>216</v>
      </c>
      <c r="F328" s="4" t="s">
        <v>4</v>
      </c>
      <c r="G328" s="8" t="n">
        <v>3525.57267594337</v>
      </c>
      <c r="H328" s="6" t="n">
        <f aca="false">IF(G328="","",G328/SUMIFS($G$2:$G$671,$F$2:$F$671,"Served"))</f>
        <v>0.000178379238145968</v>
      </c>
      <c r="I328" s="4" t="n">
        <f aca="false">IF(G328="","",RANK(G328,$G$2:$G$671,0))</f>
        <v>327</v>
      </c>
      <c r="J328" s="4" t="s">
        <v>34</v>
      </c>
    </row>
    <row r="329" customFormat="false" ht="15" hidden="false" customHeight="false" outlineLevel="0" collapsed="false">
      <c r="A329" s="4" t="s">
        <v>737</v>
      </c>
      <c r="B329" s="4" t="s">
        <v>116</v>
      </c>
      <c r="C329" s="4" t="s">
        <v>220</v>
      </c>
      <c r="D329" s="7" t="s">
        <v>738</v>
      </c>
      <c r="E329" s="4" t="s">
        <v>119</v>
      </c>
      <c r="F329" s="4" t="s">
        <v>4</v>
      </c>
      <c r="G329" s="8" t="n">
        <v>3496.78454589844</v>
      </c>
      <c r="H329" s="6" t="n">
        <f aca="false">IF(G329="","",G329/SUMIFS($G$2:$G$671,$F$2:$F$671,"Served"))</f>
        <v>0.000176922679119373</v>
      </c>
      <c r="I329" s="4" t="n">
        <f aca="false">IF(G329="","",RANK(G329,$G$2:$G$671,0))</f>
        <v>328</v>
      </c>
      <c r="J329" s="4" t="s">
        <v>34</v>
      </c>
    </row>
    <row r="330" customFormat="false" ht="15" hidden="false" customHeight="false" outlineLevel="0" collapsed="false">
      <c r="A330" s="4" t="s">
        <v>739</v>
      </c>
      <c r="B330" s="4" t="s">
        <v>213</v>
      </c>
      <c r="C330" s="4" t="s">
        <v>214</v>
      </c>
      <c r="D330" s="7" t="s">
        <v>740</v>
      </c>
      <c r="E330" s="4" t="s">
        <v>216</v>
      </c>
      <c r="F330" s="4" t="s">
        <v>4</v>
      </c>
      <c r="G330" s="8" t="n">
        <v>3470.33099722862</v>
      </c>
      <c r="H330" s="6" t="n">
        <f aca="false">IF(G330="","",G330/SUMIFS($G$2:$G$671,$F$2:$F$671,"Served"))</f>
        <v>0.000175584240150244</v>
      </c>
      <c r="I330" s="4" t="n">
        <f aca="false">IF(G330="","",RANK(G330,$G$2:$G$671,0))</f>
        <v>329</v>
      </c>
      <c r="J330" s="4" t="s">
        <v>34</v>
      </c>
    </row>
    <row r="331" customFormat="false" ht="15" hidden="false" customHeight="false" outlineLevel="0" collapsed="false">
      <c r="A331" s="4" t="s">
        <v>741</v>
      </c>
      <c r="B331" s="4" t="s">
        <v>116</v>
      </c>
      <c r="C331" s="4" t="s">
        <v>117</v>
      </c>
      <c r="D331" s="7" t="s">
        <v>742</v>
      </c>
      <c r="E331" s="4" t="s">
        <v>119</v>
      </c>
      <c r="F331" s="4" t="s">
        <v>4</v>
      </c>
      <c r="G331" s="8" t="n">
        <v>3413.40751791</v>
      </c>
      <c r="H331" s="6" t="n">
        <f aca="false">IF(G331="","",G331/SUMIFS($G$2:$G$671,$F$2:$F$671,"Served"))</f>
        <v>0.000172704150075018</v>
      </c>
      <c r="I331" s="4" t="n">
        <f aca="false">IF(G331="","",RANK(G331,$G$2:$G$671,0))</f>
        <v>330</v>
      </c>
      <c r="J331" s="4" t="s">
        <v>34</v>
      </c>
    </row>
    <row r="332" customFormat="false" ht="15" hidden="false" customHeight="false" outlineLevel="0" collapsed="false">
      <c r="A332" s="4" t="s">
        <v>743</v>
      </c>
      <c r="B332" s="4" t="s">
        <v>30</v>
      </c>
      <c r="C332" s="4" t="s">
        <v>31</v>
      </c>
      <c r="D332" s="7" t="s">
        <v>744</v>
      </c>
      <c r="E332" s="4" t="s">
        <v>33</v>
      </c>
      <c r="F332" s="4" t="s">
        <v>4</v>
      </c>
      <c r="G332" s="8" t="n">
        <v>3379.45565569401</v>
      </c>
      <c r="H332" s="6" t="n">
        <f aca="false">IF(G332="","",G332/SUMIFS($G$2:$G$671,$F$2:$F$671,"Served"))</f>
        <v>0.000170986327788429</v>
      </c>
      <c r="I332" s="4" t="n">
        <f aca="false">IF(G332="","",RANK(G332,$G$2:$G$671,0))</f>
        <v>331</v>
      </c>
      <c r="J332" s="4" t="s">
        <v>34</v>
      </c>
    </row>
    <row r="333" customFormat="false" ht="15" hidden="false" customHeight="false" outlineLevel="0" collapsed="false">
      <c r="A333" s="4" t="s">
        <v>745</v>
      </c>
      <c r="B333" s="4" t="s">
        <v>172</v>
      </c>
      <c r="C333" s="4" t="s">
        <v>173</v>
      </c>
      <c r="D333" s="7" t="s">
        <v>746</v>
      </c>
      <c r="E333" s="4" t="s">
        <v>175</v>
      </c>
      <c r="F333" s="4" t="s">
        <v>4</v>
      </c>
      <c r="G333" s="8" t="n">
        <v>3359.65848565102</v>
      </c>
      <c r="H333" s="6" t="n">
        <f aca="false">IF(G333="","",G333/SUMIFS($G$2:$G$671,$F$2:$F$671,"Served"))</f>
        <v>0.000169984673749693</v>
      </c>
      <c r="I333" s="4" t="n">
        <f aca="false">IF(G333="","",RANK(G333,$G$2:$G$671,0))</f>
        <v>332</v>
      </c>
      <c r="J333" s="4" t="s">
        <v>34</v>
      </c>
    </row>
    <row r="334" customFormat="false" ht="15" hidden="false" customHeight="false" outlineLevel="0" collapsed="false">
      <c r="A334" s="4" t="s">
        <v>747</v>
      </c>
      <c r="B334" s="4" t="s">
        <v>52</v>
      </c>
      <c r="C334" s="4" t="s">
        <v>668</v>
      </c>
      <c r="D334" s="7" t="s">
        <v>748</v>
      </c>
      <c r="E334" s="4" t="s">
        <v>33</v>
      </c>
      <c r="F334" s="4" t="s">
        <v>4</v>
      </c>
      <c r="G334" s="8" t="n">
        <v>3353.28755021095</v>
      </c>
      <c r="H334" s="6" t="n">
        <f aca="false">IF(G334="","",G334/SUMIFS($G$2:$G$671,$F$2:$F$671,"Served"))</f>
        <v>0.000169662331051206</v>
      </c>
      <c r="I334" s="4" t="n">
        <f aca="false">IF(G334="","",RANK(G334,$G$2:$G$671,0))</f>
        <v>333</v>
      </c>
      <c r="J334" s="4" t="s">
        <v>34</v>
      </c>
    </row>
    <row r="335" customFormat="false" ht="15" hidden="false" customHeight="false" outlineLevel="0" collapsed="false">
      <c r="A335" s="4" t="s">
        <v>749</v>
      </c>
      <c r="B335" s="4" t="s">
        <v>172</v>
      </c>
      <c r="C335" s="4" t="s">
        <v>173</v>
      </c>
      <c r="D335" s="7" t="s">
        <v>750</v>
      </c>
      <c r="E335" s="4" t="s">
        <v>175</v>
      </c>
      <c r="F335" s="4" t="s">
        <v>4</v>
      </c>
      <c r="G335" s="8" t="n">
        <v>3344.3892698288</v>
      </c>
      <c r="H335" s="6" t="n">
        <f aca="false">IF(G335="","",G335/SUMIFS($G$2:$G$671,$F$2:$F$671,"Served"))</f>
        <v>0.000169212115264645</v>
      </c>
      <c r="I335" s="4" t="n">
        <f aca="false">IF(G335="","",RANK(G335,$G$2:$G$671,0))</f>
        <v>334</v>
      </c>
      <c r="J335" s="4" t="s">
        <v>34</v>
      </c>
    </row>
    <row r="336" customFormat="false" ht="15" hidden="false" customHeight="false" outlineLevel="0" collapsed="false">
      <c r="A336" s="4" t="s">
        <v>751</v>
      </c>
      <c r="B336" s="4" t="s">
        <v>213</v>
      </c>
      <c r="C336" s="4" t="s">
        <v>214</v>
      </c>
      <c r="D336" s="7" t="s">
        <v>752</v>
      </c>
      <c r="E336" s="4" t="s">
        <v>216</v>
      </c>
      <c r="F336" s="4" t="s">
        <v>4</v>
      </c>
      <c r="G336" s="8" t="n">
        <v>3327.79852259159</v>
      </c>
      <c r="H336" s="6" t="n">
        <f aca="false">IF(G336="","",G336/SUMIFS($G$2:$G$671,$F$2:$F$671,"Served"))</f>
        <v>0.000168372692814885</v>
      </c>
      <c r="I336" s="4" t="n">
        <f aca="false">IF(G336="","",RANK(G336,$G$2:$G$671,0))</f>
        <v>335</v>
      </c>
      <c r="J336" s="4" t="s">
        <v>34</v>
      </c>
    </row>
    <row r="337" customFormat="false" ht="15" hidden="false" customHeight="false" outlineLevel="0" collapsed="false">
      <c r="A337" s="4" t="s">
        <v>753</v>
      </c>
      <c r="B337" s="4" t="s">
        <v>172</v>
      </c>
      <c r="C337" s="4" t="s">
        <v>173</v>
      </c>
      <c r="D337" s="7" t="s">
        <v>754</v>
      </c>
      <c r="E337" s="4" t="s">
        <v>175</v>
      </c>
      <c r="F337" s="4" t="s">
        <v>4</v>
      </c>
      <c r="G337" s="8" t="n">
        <v>3310.73698031902</v>
      </c>
      <c r="H337" s="6" t="n">
        <f aca="false">IF(G337="","",G337/SUMIFS($G$2:$G$671,$F$2:$F$671,"Served"))</f>
        <v>0.000167509450104575</v>
      </c>
      <c r="I337" s="4" t="n">
        <f aca="false">IF(G337="","",RANK(G337,$G$2:$G$671,0))</f>
        <v>336</v>
      </c>
      <c r="J337" s="4" t="s">
        <v>34</v>
      </c>
    </row>
    <row r="338" customFormat="false" ht="15" hidden="false" customHeight="false" outlineLevel="0" collapsed="false">
      <c r="A338" s="4" t="s">
        <v>755</v>
      </c>
      <c r="B338" s="4" t="s">
        <v>30</v>
      </c>
      <c r="C338" s="4" t="s">
        <v>31</v>
      </c>
      <c r="D338" s="7" t="s">
        <v>756</v>
      </c>
      <c r="E338" s="4" t="s">
        <v>33</v>
      </c>
      <c r="F338" s="4" t="s">
        <v>4</v>
      </c>
      <c r="G338" s="8" t="n">
        <v>3295.91322684288</v>
      </c>
      <c r="H338" s="6" t="n">
        <f aca="false">IF(G338="","",G338/SUMIFS($G$2:$G$671,$F$2:$F$671,"Served"))</f>
        <v>0.000166759430151908</v>
      </c>
      <c r="I338" s="4" t="n">
        <f aca="false">IF(G338="","",RANK(G338,$G$2:$G$671,0))</f>
        <v>337</v>
      </c>
      <c r="J338" s="4" t="s">
        <v>34</v>
      </c>
    </row>
    <row r="339" customFormat="false" ht="15" hidden="false" customHeight="false" outlineLevel="0" collapsed="false">
      <c r="A339" s="4" t="s">
        <v>757</v>
      </c>
      <c r="B339" s="4" t="s">
        <v>213</v>
      </c>
      <c r="C339" s="4" t="s">
        <v>214</v>
      </c>
      <c r="D339" s="7" t="s">
        <v>758</v>
      </c>
      <c r="E339" s="4" t="s">
        <v>216</v>
      </c>
      <c r="F339" s="4" t="s">
        <v>4</v>
      </c>
      <c r="G339" s="8" t="n">
        <v>3256.14907503128</v>
      </c>
      <c r="H339" s="6" t="n">
        <f aca="false">IF(G339="","",G339/SUMIFS($G$2:$G$671,$F$2:$F$671,"Served"))</f>
        <v>0.000164747530311047</v>
      </c>
      <c r="I339" s="4" t="n">
        <f aca="false">IF(G339="","",RANK(G339,$G$2:$G$671,0))</f>
        <v>338</v>
      </c>
      <c r="J339" s="4" t="s">
        <v>34</v>
      </c>
    </row>
    <row r="340" customFormat="false" ht="15" hidden="false" customHeight="false" outlineLevel="0" collapsed="false">
      <c r="A340" s="4" t="s">
        <v>759</v>
      </c>
      <c r="B340" s="4" t="s">
        <v>172</v>
      </c>
      <c r="C340" s="4" t="s">
        <v>173</v>
      </c>
      <c r="D340" s="7" t="s">
        <v>760</v>
      </c>
      <c r="E340" s="4" t="s">
        <v>175</v>
      </c>
      <c r="F340" s="4" t="s">
        <v>4</v>
      </c>
      <c r="G340" s="8" t="n">
        <v>3219.33136701584</v>
      </c>
      <c r="H340" s="6" t="n">
        <f aca="false">IF(G340="","",G340/SUMIFS($G$2:$G$671,$F$2:$F$671,"Served"))</f>
        <v>0.000162884708208162</v>
      </c>
      <c r="I340" s="4" t="n">
        <f aca="false">IF(G340="","",RANK(G340,$G$2:$G$671,0))</f>
        <v>339</v>
      </c>
      <c r="J340" s="4" t="s">
        <v>34</v>
      </c>
    </row>
    <row r="341" customFormat="false" ht="15" hidden="false" customHeight="false" outlineLevel="0" collapsed="false">
      <c r="A341" s="4" t="s">
        <v>761</v>
      </c>
      <c r="B341" s="4" t="s">
        <v>125</v>
      </c>
      <c r="C341" s="4" t="s">
        <v>126</v>
      </c>
      <c r="D341" s="7" t="s">
        <v>762</v>
      </c>
      <c r="E341" s="4" t="s">
        <v>128</v>
      </c>
      <c r="F341" s="4" t="s">
        <v>4</v>
      </c>
      <c r="G341" s="8" t="n">
        <v>3213.75919008255</v>
      </c>
      <c r="H341" s="6" t="n">
        <f aca="false">IF(G341="","",G341/SUMIFS($G$2:$G$671,$F$2:$F$671,"Served"))</f>
        <v>0.000162602779350772</v>
      </c>
      <c r="I341" s="4" t="n">
        <f aca="false">IF(G341="","",RANK(G341,$G$2:$G$671,0))</f>
        <v>340</v>
      </c>
      <c r="J341" s="4" t="s">
        <v>34</v>
      </c>
    </row>
    <row r="342" customFormat="false" ht="15" hidden="false" customHeight="false" outlineLevel="0" collapsed="false">
      <c r="A342" s="4" t="s">
        <v>763</v>
      </c>
      <c r="B342" s="4" t="s">
        <v>172</v>
      </c>
      <c r="C342" s="4" t="s">
        <v>173</v>
      </c>
      <c r="D342" s="7" t="s">
        <v>764</v>
      </c>
      <c r="E342" s="4" t="s">
        <v>175</v>
      </c>
      <c r="F342" s="4" t="s">
        <v>4</v>
      </c>
      <c r="G342" s="8" t="n">
        <v>3161.45669054985</v>
      </c>
      <c r="H342" s="6" t="n">
        <f aca="false">IF(G342="","",G342/SUMIFS($G$2:$G$671,$F$2:$F$671,"Served"))</f>
        <v>0.00015995649153392</v>
      </c>
      <c r="I342" s="4" t="n">
        <f aca="false">IF(G342="","",RANK(G342,$G$2:$G$671,0))</f>
        <v>341</v>
      </c>
      <c r="J342" s="4" t="s">
        <v>34</v>
      </c>
    </row>
    <row r="343" customFormat="false" ht="15" hidden="false" customHeight="false" outlineLevel="0" collapsed="false">
      <c r="A343" s="4" t="s">
        <v>765</v>
      </c>
      <c r="B343" s="4" t="s">
        <v>30</v>
      </c>
      <c r="C343" s="4" t="s">
        <v>36</v>
      </c>
      <c r="D343" s="7" t="s">
        <v>766</v>
      </c>
      <c r="E343" s="4" t="s">
        <v>33</v>
      </c>
      <c r="F343" s="4" t="s">
        <v>4</v>
      </c>
      <c r="G343" s="8" t="n">
        <v>3154.56952118874</v>
      </c>
      <c r="H343" s="6" t="n">
        <f aca="false">IF(G343="","",G343/SUMIFS($G$2:$G$671,$F$2:$F$671,"Served"))</f>
        <v>0.000159608029557232</v>
      </c>
      <c r="I343" s="4" t="n">
        <f aca="false">IF(G343="","",RANK(G343,$G$2:$G$671,0))</f>
        <v>342</v>
      </c>
      <c r="J343" s="4" t="s">
        <v>34</v>
      </c>
    </row>
    <row r="344" customFormat="false" ht="15" hidden="false" customHeight="false" outlineLevel="0" collapsed="false">
      <c r="A344" s="4" t="s">
        <v>767</v>
      </c>
      <c r="B344" s="4" t="s">
        <v>30</v>
      </c>
      <c r="C344" s="4" t="s">
        <v>36</v>
      </c>
      <c r="D344" s="7" t="s">
        <v>768</v>
      </c>
      <c r="E344" s="4" t="s">
        <v>33</v>
      </c>
      <c r="F344" s="4" t="s">
        <v>4</v>
      </c>
      <c r="G344" s="8" t="n">
        <v>3141.21166610718</v>
      </c>
      <c r="H344" s="6" t="n">
        <f aca="false">IF(G344="","",G344/SUMIFS($G$2:$G$671,$F$2:$F$671,"Served"))</f>
        <v>0.000158932177934892</v>
      </c>
      <c r="I344" s="4" t="n">
        <f aca="false">IF(G344="","",RANK(G344,$G$2:$G$671,0))</f>
        <v>343</v>
      </c>
      <c r="J344" s="4" t="s">
        <v>34</v>
      </c>
    </row>
    <row r="345" customFormat="false" ht="15" hidden="false" customHeight="false" outlineLevel="0" collapsed="false">
      <c r="A345" s="4" t="s">
        <v>769</v>
      </c>
      <c r="B345" s="4" t="s">
        <v>213</v>
      </c>
      <c r="C345" s="4" t="s">
        <v>214</v>
      </c>
      <c r="D345" s="7" t="s">
        <v>770</v>
      </c>
      <c r="E345" s="4" t="s">
        <v>216</v>
      </c>
      <c r="F345" s="4" t="s">
        <v>4</v>
      </c>
      <c r="G345" s="8" t="n">
        <v>3128.79400205612</v>
      </c>
      <c r="H345" s="6" t="n">
        <f aca="false">IF(G345="","",G345/SUMIFS($G$2:$G$671,$F$2:$F$671,"Served"))</f>
        <v>0.000158303896048067</v>
      </c>
      <c r="I345" s="4" t="n">
        <f aca="false">IF(G345="","",RANK(G345,$G$2:$G$671,0))</f>
        <v>344</v>
      </c>
      <c r="J345" s="4" t="s">
        <v>34</v>
      </c>
    </row>
    <row r="346" customFormat="false" ht="15" hidden="false" customHeight="false" outlineLevel="0" collapsed="false">
      <c r="A346" s="4" t="s">
        <v>771</v>
      </c>
      <c r="B346" s="4" t="s">
        <v>30</v>
      </c>
      <c r="C346" s="4" t="s">
        <v>683</v>
      </c>
      <c r="D346" s="7" t="s">
        <v>772</v>
      </c>
      <c r="E346" s="4" t="s">
        <v>33</v>
      </c>
      <c r="F346" s="4" t="s">
        <v>4</v>
      </c>
      <c r="G346" s="8" t="n">
        <v>3111.05274987221</v>
      </c>
      <c r="H346" s="6" t="n">
        <f aca="false">IF(G346="","",G346/SUMIFS($G$2:$G$671,$F$2:$F$671,"Served"))</f>
        <v>0.000157406262857886</v>
      </c>
      <c r="I346" s="4" t="n">
        <f aca="false">IF(G346="","",RANK(G346,$G$2:$G$671,0))</f>
        <v>345</v>
      </c>
      <c r="J346" s="4" t="s">
        <v>34</v>
      </c>
    </row>
    <row r="347" customFormat="false" ht="15" hidden="false" customHeight="false" outlineLevel="0" collapsed="false">
      <c r="A347" s="4" t="s">
        <v>773</v>
      </c>
      <c r="B347" s="4" t="s">
        <v>213</v>
      </c>
      <c r="C347" s="4" t="s">
        <v>214</v>
      </c>
      <c r="D347" s="7" t="s">
        <v>774</v>
      </c>
      <c r="E347" s="4" t="s">
        <v>216</v>
      </c>
      <c r="F347" s="4" t="s">
        <v>4</v>
      </c>
      <c r="G347" s="8" t="n">
        <v>3067.36875009537</v>
      </c>
      <c r="H347" s="6" t="n">
        <f aca="false">IF(G347="","",G347/SUMIFS($G$2:$G$671,$F$2:$F$671,"Served"))</f>
        <v>0.000155196035097576</v>
      </c>
      <c r="I347" s="4" t="n">
        <f aca="false">IF(G347="","",RANK(G347,$G$2:$G$671,0))</f>
        <v>346</v>
      </c>
      <c r="J347" s="4" t="s">
        <v>34</v>
      </c>
    </row>
    <row r="348" customFormat="false" ht="15" hidden="false" customHeight="false" outlineLevel="0" collapsed="false">
      <c r="A348" s="4" t="s">
        <v>775</v>
      </c>
      <c r="B348" s="4" t="s">
        <v>30</v>
      </c>
      <c r="C348" s="4" t="s">
        <v>206</v>
      </c>
      <c r="D348" s="7" t="s">
        <v>776</v>
      </c>
      <c r="E348" s="4" t="s">
        <v>33</v>
      </c>
      <c r="F348" s="4" t="s">
        <v>4</v>
      </c>
      <c r="G348" s="8" t="n">
        <v>3065.08869504929</v>
      </c>
      <c r="H348" s="6" t="n">
        <f aca="false">IF(G348="","",G348/SUMIFS($G$2:$G$671,$F$2:$F$671,"Served"))</f>
        <v>0.000155080673844403</v>
      </c>
      <c r="I348" s="4" t="n">
        <f aca="false">IF(G348="","",RANK(G348,$G$2:$G$671,0))</f>
        <v>347</v>
      </c>
      <c r="J348" s="4" t="s">
        <v>34</v>
      </c>
    </row>
    <row r="349" customFormat="false" ht="15" hidden="false" customHeight="false" outlineLevel="0" collapsed="false">
      <c r="A349" s="4" t="s">
        <v>777</v>
      </c>
      <c r="B349" s="4" t="s">
        <v>213</v>
      </c>
      <c r="C349" s="4" t="s">
        <v>214</v>
      </c>
      <c r="D349" s="7" t="s">
        <v>778</v>
      </c>
      <c r="E349" s="4" t="s">
        <v>216</v>
      </c>
      <c r="F349" s="4" t="s">
        <v>4</v>
      </c>
      <c r="G349" s="8" t="n">
        <v>3040.72855854034</v>
      </c>
      <c r="H349" s="6" t="n">
        <f aca="false">IF(G349="","",G349/SUMIFS($G$2:$G$671,$F$2:$F$671,"Served"))</f>
        <v>0.000153848152778748</v>
      </c>
      <c r="I349" s="4" t="n">
        <f aca="false">IF(G349="","",RANK(G349,$G$2:$G$671,0))</f>
        <v>348</v>
      </c>
      <c r="J349" s="4" t="s">
        <v>34</v>
      </c>
    </row>
    <row r="350" customFormat="false" ht="15" hidden="false" customHeight="false" outlineLevel="0" collapsed="false">
      <c r="A350" s="4" t="s">
        <v>779</v>
      </c>
      <c r="B350" s="4" t="s">
        <v>172</v>
      </c>
      <c r="C350" s="4" t="s">
        <v>173</v>
      </c>
      <c r="D350" s="7" t="s">
        <v>780</v>
      </c>
      <c r="E350" s="4" t="s">
        <v>175</v>
      </c>
      <c r="F350" s="4" t="s">
        <v>4</v>
      </c>
      <c r="G350" s="8" t="n">
        <v>3002.58012127876</v>
      </c>
      <c r="H350" s="6" t="n">
        <f aca="false">IF(G350="","",G350/SUMIFS($G$2:$G$671,$F$2:$F$671,"Served"))</f>
        <v>0.000151918001339348</v>
      </c>
      <c r="I350" s="4" t="n">
        <f aca="false">IF(G350="","",RANK(G350,$G$2:$G$671,0))</f>
        <v>349</v>
      </c>
      <c r="J350" s="4" t="s">
        <v>34</v>
      </c>
    </row>
    <row r="351" customFormat="false" ht="15" hidden="false" customHeight="false" outlineLevel="0" collapsed="false">
      <c r="A351" s="4" t="s">
        <v>781</v>
      </c>
      <c r="B351" s="4" t="s">
        <v>30</v>
      </c>
      <c r="C351" s="4" t="s">
        <v>241</v>
      </c>
      <c r="D351" s="7" t="s">
        <v>782</v>
      </c>
      <c r="E351" s="4" t="s">
        <v>33</v>
      </c>
      <c r="F351" s="4" t="s">
        <v>4</v>
      </c>
      <c r="G351" s="8" t="n">
        <v>2980.72208619118</v>
      </c>
      <c r="H351" s="6" t="n">
        <f aca="false">IF(G351="","",G351/SUMIFS($G$2:$G$671,$F$2:$F$671,"Served"))</f>
        <v>0.000150812076145153</v>
      </c>
      <c r="I351" s="4" t="n">
        <f aca="false">IF(G351="","",RANK(G351,$G$2:$G$671,0))</f>
        <v>350</v>
      </c>
      <c r="J351" s="4" t="s">
        <v>34</v>
      </c>
    </row>
    <row r="352" customFormat="false" ht="15" hidden="false" customHeight="false" outlineLevel="0" collapsed="false">
      <c r="A352" s="4" t="s">
        <v>783</v>
      </c>
      <c r="B352" s="4" t="s">
        <v>172</v>
      </c>
      <c r="C352" s="4" t="s">
        <v>173</v>
      </c>
      <c r="D352" s="7" t="s">
        <v>784</v>
      </c>
      <c r="E352" s="4" t="s">
        <v>175</v>
      </c>
      <c r="F352" s="4" t="s">
        <v>4</v>
      </c>
      <c r="G352" s="8" t="n">
        <v>2968.07293248177</v>
      </c>
      <c r="H352" s="6" t="n">
        <f aca="false">IF(G352="","",G352/SUMIFS($G$2:$G$671,$F$2:$F$671,"Served"))</f>
        <v>0.000150172081849397</v>
      </c>
      <c r="I352" s="4" t="n">
        <f aca="false">IF(G352="","",RANK(G352,$G$2:$G$671,0))</f>
        <v>351</v>
      </c>
      <c r="J352" s="4" t="s">
        <v>34</v>
      </c>
    </row>
    <row r="353" customFormat="false" ht="15" hidden="false" customHeight="false" outlineLevel="0" collapsed="false">
      <c r="A353" s="4" t="s">
        <v>785</v>
      </c>
      <c r="B353" s="4" t="s">
        <v>172</v>
      </c>
      <c r="C353" s="4" t="s">
        <v>173</v>
      </c>
      <c r="D353" s="7" t="s">
        <v>786</v>
      </c>
      <c r="E353" s="4" t="s">
        <v>175</v>
      </c>
      <c r="F353" s="4" t="s">
        <v>4</v>
      </c>
      <c r="G353" s="8" t="n">
        <v>2944.11471509934</v>
      </c>
      <c r="H353" s="6" t="n">
        <f aca="false">IF(G353="","",G353/SUMIFS($G$2:$G$671,$F$2:$F$671,"Served"))</f>
        <v>0.000148959896211253</v>
      </c>
      <c r="I353" s="4" t="n">
        <f aca="false">IF(G353="","",RANK(G353,$G$2:$G$671,0))</f>
        <v>352</v>
      </c>
      <c r="J353" s="4" t="s">
        <v>34</v>
      </c>
    </row>
    <row r="354" customFormat="false" ht="15" hidden="false" customHeight="false" outlineLevel="0" collapsed="false">
      <c r="A354" s="4" t="s">
        <v>787</v>
      </c>
      <c r="B354" s="4" t="s">
        <v>30</v>
      </c>
      <c r="C354" s="4" t="s">
        <v>287</v>
      </c>
      <c r="D354" s="7" t="s">
        <v>788</v>
      </c>
      <c r="E354" s="4" t="s">
        <v>33</v>
      </c>
      <c r="F354" s="4" t="s">
        <v>4</v>
      </c>
      <c r="G354" s="8" t="n">
        <v>2913.74706101418</v>
      </c>
      <c r="H354" s="6" t="n">
        <f aca="false">IF(G354="","",G354/SUMIFS($G$2:$G$671,$F$2:$F$671,"Served"))</f>
        <v>0.000147423419871691</v>
      </c>
      <c r="I354" s="4" t="n">
        <f aca="false">IF(G354="","",RANK(G354,$G$2:$G$671,0))</f>
        <v>353</v>
      </c>
      <c r="J354" s="4" t="s">
        <v>34</v>
      </c>
    </row>
    <row r="355" customFormat="false" ht="15" hidden="false" customHeight="false" outlineLevel="0" collapsed="false">
      <c r="A355" s="4" t="s">
        <v>789</v>
      </c>
      <c r="B355" s="4" t="s">
        <v>52</v>
      </c>
      <c r="C355" s="4" t="s">
        <v>613</v>
      </c>
      <c r="D355" s="7" t="s">
        <v>790</v>
      </c>
      <c r="E355" s="4" t="s">
        <v>33</v>
      </c>
      <c r="F355" s="4" t="s">
        <v>4</v>
      </c>
      <c r="G355" s="8" t="n">
        <v>2899.1556353569</v>
      </c>
      <c r="H355" s="6" t="n">
        <f aca="false">IF(G355="","",G355/SUMIFS($G$2:$G$671,$F$2:$F$671,"Served"))</f>
        <v>0.000146685154735373</v>
      </c>
      <c r="I355" s="4" t="n">
        <f aca="false">IF(G355="","",RANK(G355,$G$2:$G$671,0))</f>
        <v>354</v>
      </c>
      <c r="J355" s="4" t="s">
        <v>34</v>
      </c>
    </row>
    <row r="356" customFormat="false" ht="15" hidden="false" customHeight="false" outlineLevel="0" collapsed="false">
      <c r="A356" s="4" t="s">
        <v>791</v>
      </c>
      <c r="B356" s="4" t="s">
        <v>30</v>
      </c>
      <c r="C356" s="4" t="s">
        <v>31</v>
      </c>
      <c r="D356" s="7" t="s">
        <v>792</v>
      </c>
      <c r="E356" s="4" t="s">
        <v>33</v>
      </c>
      <c r="F356" s="4" t="s">
        <v>4</v>
      </c>
      <c r="G356" s="8" t="n">
        <v>2784.87509286404</v>
      </c>
      <c r="H356" s="6" t="n">
        <f aca="false">IF(G356="","",G356/SUMIFS($G$2:$G$671,$F$2:$F$671,"Served"))</f>
        <v>0.000140903037054497</v>
      </c>
      <c r="I356" s="4" t="n">
        <f aca="false">IF(G356="","",RANK(G356,$G$2:$G$671,0))</f>
        <v>355</v>
      </c>
      <c r="J356" s="4" t="s">
        <v>34</v>
      </c>
    </row>
    <row r="357" customFormat="false" ht="15" hidden="false" customHeight="false" outlineLevel="0" collapsed="false">
      <c r="A357" s="4" t="s">
        <v>793</v>
      </c>
      <c r="B357" s="4" t="s">
        <v>52</v>
      </c>
      <c r="C357" s="4" t="s">
        <v>165</v>
      </c>
      <c r="D357" s="7" t="s">
        <v>794</v>
      </c>
      <c r="E357" s="4" t="s">
        <v>33</v>
      </c>
      <c r="F357" s="4" t="s">
        <v>4</v>
      </c>
      <c r="G357" s="8" t="n">
        <v>2778.03888130188</v>
      </c>
      <c r="H357" s="6" t="n">
        <f aca="false">IF(G357="","",G357/SUMIFS($G$2:$G$671,$F$2:$F$671,"Served"))</f>
        <v>0.000140557153329398</v>
      </c>
      <c r="I357" s="4" t="n">
        <f aca="false">IF(G357="","",RANK(G357,$G$2:$G$671,0))</f>
        <v>356</v>
      </c>
      <c r="J357" s="4" t="s">
        <v>34</v>
      </c>
    </row>
    <row r="358" customFormat="false" ht="15" hidden="false" customHeight="false" outlineLevel="0" collapsed="false">
      <c r="A358" s="4" t="s">
        <v>795</v>
      </c>
      <c r="B358" s="4" t="s">
        <v>52</v>
      </c>
      <c r="C358" s="4" t="s">
        <v>796</v>
      </c>
      <c r="D358" s="7" t="s">
        <v>797</v>
      </c>
      <c r="E358" s="4" t="s">
        <v>33</v>
      </c>
      <c r="F358" s="4" t="s">
        <v>4</v>
      </c>
      <c r="G358" s="8" t="n">
        <v>2776.27541399002</v>
      </c>
      <c r="H358" s="6" t="n">
        <f aca="false">IF(G358="","",G358/SUMIFS($G$2:$G$671,$F$2:$F$671,"Served"))</f>
        <v>0.000140467929255893</v>
      </c>
      <c r="I358" s="4" t="n">
        <f aca="false">IF(G358="","",RANK(G358,$G$2:$G$671,0))</f>
        <v>357</v>
      </c>
      <c r="J358" s="4" t="s">
        <v>34</v>
      </c>
    </row>
    <row r="359" customFormat="false" ht="15" hidden="false" customHeight="false" outlineLevel="0" collapsed="false">
      <c r="A359" s="4" t="s">
        <v>798</v>
      </c>
      <c r="B359" s="4" t="s">
        <v>30</v>
      </c>
      <c r="C359" s="4" t="s">
        <v>344</v>
      </c>
      <c r="D359" s="7" t="s">
        <v>799</v>
      </c>
      <c r="E359" s="4" t="s">
        <v>33</v>
      </c>
      <c r="F359" s="4" t="s">
        <v>4</v>
      </c>
      <c r="G359" s="8" t="n">
        <v>2750.9547355175</v>
      </c>
      <c r="H359" s="6" t="n">
        <f aca="false">IF(G359="","",G359/SUMIFS($G$2:$G$671,$F$2:$F$671,"Served"))</f>
        <v>0.00013918680878259</v>
      </c>
      <c r="I359" s="4" t="n">
        <f aca="false">IF(G359="","",RANK(G359,$G$2:$G$671,0))</f>
        <v>358</v>
      </c>
      <c r="J359" s="4" t="s">
        <v>34</v>
      </c>
    </row>
    <row r="360" customFormat="false" ht="15" hidden="false" customHeight="false" outlineLevel="0" collapsed="false">
      <c r="A360" s="4" t="s">
        <v>800</v>
      </c>
      <c r="B360" s="4" t="s">
        <v>172</v>
      </c>
      <c r="C360" s="4" t="s">
        <v>173</v>
      </c>
      <c r="D360" s="7" t="s">
        <v>801</v>
      </c>
      <c r="E360" s="4" t="s">
        <v>175</v>
      </c>
      <c r="F360" s="4" t="s">
        <v>4</v>
      </c>
      <c r="G360" s="8" t="n">
        <v>2743.25155425072</v>
      </c>
      <c r="H360" s="6" t="n">
        <f aca="false">IF(G360="","",G360/SUMIFS($G$2:$G$671,$F$2:$F$671,"Served"))</f>
        <v>0.000138797060014952</v>
      </c>
      <c r="I360" s="4" t="n">
        <f aca="false">IF(G360="","",RANK(G360,$G$2:$G$671,0))</f>
        <v>359</v>
      </c>
      <c r="J360" s="4" t="s">
        <v>34</v>
      </c>
    </row>
    <row r="361" customFormat="false" ht="15" hidden="false" customHeight="false" outlineLevel="0" collapsed="false">
      <c r="A361" s="4" t="s">
        <v>802</v>
      </c>
      <c r="B361" s="4" t="s">
        <v>213</v>
      </c>
      <c r="C361" s="4" t="s">
        <v>214</v>
      </c>
      <c r="D361" s="7" t="s">
        <v>803</v>
      </c>
      <c r="E361" s="4" t="s">
        <v>216</v>
      </c>
      <c r="F361" s="4" t="s">
        <v>4</v>
      </c>
      <c r="G361" s="8" t="n">
        <v>2722.63178753853</v>
      </c>
      <c r="H361" s="6" t="n">
        <f aca="false">IF(G361="","",G361/SUMIFS($G$2:$G$671,$F$2:$F$671,"Served"))</f>
        <v>0.00013775378602376</v>
      </c>
      <c r="I361" s="4" t="n">
        <f aca="false">IF(G361="","",RANK(G361,$G$2:$G$671,0))</f>
        <v>360</v>
      </c>
      <c r="J361" s="4" t="s">
        <v>34</v>
      </c>
    </row>
    <row r="362" customFormat="false" ht="15" hidden="false" customHeight="false" outlineLevel="0" collapsed="false">
      <c r="A362" s="4" t="s">
        <v>804</v>
      </c>
      <c r="B362" s="4" t="s">
        <v>30</v>
      </c>
      <c r="C362" s="4" t="s">
        <v>31</v>
      </c>
      <c r="D362" s="7" t="s">
        <v>267</v>
      </c>
      <c r="E362" s="4" t="s">
        <v>33</v>
      </c>
      <c r="F362" s="4" t="s">
        <v>4</v>
      </c>
      <c r="G362" s="8" t="n">
        <v>2693.03297901154</v>
      </c>
      <c r="H362" s="6" t="n">
        <f aca="false">IF(G362="","",G362/SUMIFS($G$2:$G$671,$F$2:$F$671,"Served"))</f>
        <v>0.000136256210055152</v>
      </c>
      <c r="I362" s="4" t="n">
        <f aca="false">IF(G362="","",RANK(G362,$G$2:$G$671,0))</f>
        <v>361</v>
      </c>
      <c r="J362" s="4" t="s">
        <v>34</v>
      </c>
    </row>
    <row r="363" customFormat="false" ht="15" hidden="false" customHeight="false" outlineLevel="0" collapsed="false">
      <c r="A363" s="4" t="s">
        <v>805</v>
      </c>
      <c r="B363" s="4" t="s">
        <v>172</v>
      </c>
      <c r="C363" s="4" t="s">
        <v>173</v>
      </c>
      <c r="D363" s="7" t="s">
        <v>806</v>
      </c>
      <c r="E363" s="4" t="s">
        <v>175</v>
      </c>
      <c r="F363" s="4" t="s">
        <v>4</v>
      </c>
      <c r="G363" s="8" t="n">
        <v>2692.08442306519</v>
      </c>
      <c r="H363" s="6" t="n">
        <f aca="false">IF(G363="","",G363/SUMIFS($G$2:$G$671,$F$2:$F$671,"Served"))</f>
        <v>0.000136208217089866</v>
      </c>
      <c r="I363" s="4" t="n">
        <f aca="false">IF(G363="","",RANK(G363,$G$2:$G$671,0))</f>
        <v>362</v>
      </c>
      <c r="J363" s="4" t="s">
        <v>34</v>
      </c>
    </row>
    <row r="364" customFormat="false" ht="15" hidden="false" customHeight="false" outlineLevel="0" collapsed="false">
      <c r="A364" s="4" t="s">
        <v>807</v>
      </c>
      <c r="B364" s="4" t="s">
        <v>213</v>
      </c>
      <c r="C364" s="4" t="s">
        <v>214</v>
      </c>
      <c r="D364" s="7" t="s">
        <v>808</v>
      </c>
      <c r="E364" s="4" t="s">
        <v>216</v>
      </c>
      <c r="F364" s="4" t="s">
        <v>4</v>
      </c>
      <c r="G364" s="8" t="n">
        <v>2659.92422127724</v>
      </c>
      <c r="H364" s="6" t="n">
        <f aca="false">IF(G364="","",G364/SUMIFS($G$2:$G$671,$F$2:$F$671,"Served"))</f>
        <v>0.000134581045330595</v>
      </c>
      <c r="I364" s="4" t="n">
        <f aca="false">IF(G364="","",RANK(G364,$G$2:$G$671,0))</f>
        <v>363</v>
      </c>
      <c r="J364" s="4" t="s">
        <v>34</v>
      </c>
    </row>
    <row r="365" customFormat="false" ht="15" hidden="false" customHeight="false" outlineLevel="0" collapsed="false">
      <c r="A365" s="4" t="s">
        <v>809</v>
      </c>
      <c r="B365" s="4" t="s">
        <v>52</v>
      </c>
      <c r="C365" s="4" t="s">
        <v>668</v>
      </c>
      <c r="D365" s="7" t="s">
        <v>810</v>
      </c>
      <c r="E365" s="4" t="s">
        <v>33</v>
      </c>
      <c r="F365" s="4" t="s">
        <v>4</v>
      </c>
      <c r="G365" s="8" t="n">
        <v>2642.27222883701</v>
      </c>
      <c r="H365" s="6" t="n">
        <f aca="false">IF(G365="","",G365/SUMIFS($G$2:$G$671,$F$2:$F$671,"Served"))</f>
        <v>0.000133687928310279</v>
      </c>
      <c r="I365" s="4" t="n">
        <f aca="false">IF(G365="","",RANK(G365,$G$2:$G$671,0))</f>
        <v>364</v>
      </c>
      <c r="J365" s="4" t="s">
        <v>34</v>
      </c>
    </row>
    <row r="366" customFormat="false" ht="15" hidden="false" customHeight="false" outlineLevel="0" collapsed="false">
      <c r="A366" s="4" t="s">
        <v>811</v>
      </c>
      <c r="B366" s="4" t="s">
        <v>116</v>
      </c>
      <c r="C366" s="4" t="s">
        <v>220</v>
      </c>
      <c r="D366" s="7" t="s">
        <v>812</v>
      </c>
      <c r="E366" s="4" t="s">
        <v>119</v>
      </c>
      <c r="F366" s="4" t="s">
        <v>4</v>
      </c>
      <c r="G366" s="8" t="n">
        <v>2641.38936853409</v>
      </c>
      <c r="H366" s="6" t="n">
        <f aca="false">IF(G366="","",G366/SUMIFS($G$2:$G$671,$F$2:$F$671,"Served"))</f>
        <v>0.000133643259269899</v>
      </c>
      <c r="I366" s="4" t="n">
        <f aca="false">IF(G366="","",RANK(G366,$G$2:$G$671,0))</f>
        <v>365</v>
      </c>
      <c r="J366" s="4" t="s">
        <v>34</v>
      </c>
    </row>
    <row r="367" customFormat="false" ht="15" hidden="false" customHeight="false" outlineLevel="0" collapsed="false">
      <c r="A367" s="4" t="s">
        <v>813</v>
      </c>
      <c r="B367" s="4" t="s">
        <v>213</v>
      </c>
      <c r="C367" s="4" t="s">
        <v>214</v>
      </c>
      <c r="D367" s="7" t="s">
        <v>814</v>
      </c>
      <c r="E367" s="4" t="s">
        <v>216</v>
      </c>
      <c r="F367" s="4" t="s">
        <v>4</v>
      </c>
      <c r="G367" s="8" t="n">
        <v>2639.11988067627</v>
      </c>
      <c r="H367" s="6" t="n">
        <f aca="false">IF(G367="","",G367/SUMIFS($G$2:$G$671,$F$2:$F$671,"Served"))</f>
        <v>0.000133528432672273</v>
      </c>
      <c r="I367" s="4" t="n">
        <f aca="false">IF(G367="","",RANK(G367,$G$2:$G$671,0))</f>
        <v>366</v>
      </c>
      <c r="J367" s="4" t="s">
        <v>34</v>
      </c>
    </row>
    <row r="368" customFormat="false" ht="15" hidden="false" customHeight="false" outlineLevel="0" collapsed="false">
      <c r="A368" s="4" t="s">
        <v>815</v>
      </c>
      <c r="B368" s="4" t="s">
        <v>172</v>
      </c>
      <c r="C368" s="4" t="s">
        <v>173</v>
      </c>
      <c r="D368" s="7" t="s">
        <v>816</v>
      </c>
      <c r="E368" s="4" t="s">
        <v>175</v>
      </c>
      <c r="F368" s="4" t="s">
        <v>4</v>
      </c>
      <c r="G368" s="8" t="n">
        <v>2621.99001836777</v>
      </c>
      <c r="H368" s="6" t="n">
        <f aca="false">IF(G368="","",G368/SUMIFS($G$2:$G$671,$F$2:$F$671,"Served"))</f>
        <v>0.000132661733253769</v>
      </c>
      <c r="I368" s="4" t="n">
        <f aca="false">IF(G368="","",RANK(G368,$G$2:$G$671,0))</f>
        <v>367</v>
      </c>
      <c r="J368" s="4" t="s">
        <v>34</v>
      </c>
    </row>
    <row r="369" customFormat="false" ht="15" hidden="false" customHeight="false" outlineLevel="0" collapsed="false">
      <c r="A369" s="4" t="s">
        <v>817</v>
      </c>
      <c r="B369" s="4" t="s">
        <v>116</v>
      </c>
      <c r="C369" s="4" t="s">
        <v>220</v>
      </c>
      <c r="D369" s="7" t="s">
        <v>818</v>
      </c>
      <c r="E369" s="4" t="s">
        <v>119</v>
      </c>
      <c r="F369" s="4" t="s">
        <v>4</v>
      </c>
      <c r="G369" s="8" t="n">
        <v>2620.42809319496</v>
      </c>
      <c r="H369" s="6" t="n">
        <f aca="false">IF(G369="","",G369/SUMIFS($G$2:$G$671,$F$2:$F$671,"Served"))</f>
        <v>0.000132582706369919</v>
      </c>
      <c r="I369" s="4" t="n">
        <f aca="false">IF(G369="","",RANK(G369,$G$2:$G$671,0))</f>
        <v>368</v>
      </c>
      <c r="J369" s="4" t="s">
        <v>34</v>
      </c>
    </row>
    <row r="370" customFormat="false" ht="15" hidden="false" customHeight="false" outlineLevel="0" collapsed="false">
      <c r="A370" s="4" t="s">
        <v>819</v>
      </c>
      <c r="B370" s="4" t="s">
        <v>172</v>
      </c>
      <c r="C370" s="4" t="s">
        <v>173</v>
      </c>
      <c r="D370" s="7" t="s">
        <v>820</v>
      </c>
      <c r="E370" s="4" t="s">
        <v>175</v>
      </c>
      <c r="F370" s="4" t="s">
        <v>4</v>
      </c>
      <c r="G370" s="8" t="n">
        <v>2579.5092279911</v>
      </c>
      <c r="H370" s="6" t="n">
        <f aca="false">IF(G370="","",G370/SUMIFS($G$2:$G$671,$F$2:$F$671,"Served"))</f>
        <v>0.000130512382858886</v>
      </c>
      <c r="I370" s="4" t="n">
        <f aca="false">IF(G370="","",RANK(G370,$G$2:$G$671,0))</f>
        <v>369</v>
      </c>
      <c r="J370" s="4" t="s">
        <v>34</v>
      </c>
    </row>
    <row r="371" customFormat="false" ht="15" hidden="false" customHeight="false" outlineLevel="0" collapsed="false">
      <c r="A371" s="4" t="s">
        <v>821</v>
      </c>
      <c r="B371" s="4" t="s">
        <v>30</v>
      </c>
      <c r="C371" s="4" t="s">
        <v>683</v>
      </c>
      <c r="D371" s="7" t="s">
        <v>822</v>
      </c>
      <c r="E371" s="4" t="s">
        <v>33</v>
      </c>
      <c r="F371" s="4" t="s">
        <v>4</v>
      </c>
      <c r="G371" s="8" t="n">
        <v>2554.90871286392</v>
      </c>
      <c r="H371" s="6" t="n">
        <f aca="false">IF(G371="","",G371/SUMIFS($G$2:$G$671,$F$2:$F$671,"Served"))</f>
        <v>0.000129267699640092</v>
      </c>
      <c r="I371" s="4" t="n">
        <f aca="false">IF(G371="","",RANK(G371,$G$2:$G$671,0))</f>
        <v>370</v>
      </c>
      <c r="J371" s="4" t="s">
        <v>34</v>
      </c>
    </row>
    <row r="372" customFormat="false" ht="15" hidden="false" customHeight="false" outlineLevel="0" collapsed="false">
      <c r="A372" s="4" t="s">
        <v>823</v>
      </c>
      <c r="B372" s="4" t="s">
        <v>172</v>
      </c>
      <c r="C372" s="4" t="s">
        <v>173</v>
      </c>
      <c r="D372" s="7" t="s">
        <v>824</v>
      </c>
      <c r="E372" s="4" t="s">
        <v>175</v>
      </c>
      <c r="F372" s="4" t="s">
        <v>4</v>
      </c>
      <c r="G372" s="8" t="n">
        <v>2549.57203781605</v>
      </c>
      <c r="H372" s="6" t="n">
        <f aca="false">IF(G372="","",G372/SUMIFS($G$2:$G$671,$F$2:$F$671,"Served"))</f>
        <v>0.000128997686193548</v>
      </c>
      <c r="I372" s="4" t="n">
        <f aca="false">IF(G372="","",RANK(G372,$G$2:$G$671,0))</f>
        <v>371</v>
      </c>
      <c r="J372" s="4" t="s">
        <v>34</v>
      </c>
    </row>
    <row r="373" customFormat="false" ht="15" hidden="false" customHeight="false" outlineLevel="0" collapsed="false">
      <c r="A373" s="4" t="s">
        <v>825</v>
      </c>
      <c r="B373" s="4" t="s">
        <v>125</v>
      </c>
      <c r="C373" s="4" t="s">
        <v>126</v>
      </c>
      <c r="D373" s="7" t="s">
        <v>826</v>
      </c>
      <c r="E373" s="4" t="s">
        <v>128</v>
      </c>
      <c r="F373" s="4" t="s">
        <v>4</v>
      </c>
      <c r="G373" s="8" t="n">
        <v>2538.88839411736</v>
      </c>
      <c r="H373" s="6" t="n">
        <f aca="false">IF(G373="","",G373/SUMIFS($G$2:$G$671,$F$2:$F$671,"Served"))</f>
        <v>0.000128457138487185</v>
      </c>
      <c r="I373" s="4" t="n">
        <f aca="false">IF(G373="","",RANK(G373,$G$2:$G$671,0))</f>
        <v>372</v>
      </c>
      <c r="J373" s="4" t="s">
        <v>34</v>
      </c>
    </row>
    <row r="374" customFormat="false" ht="15" hidden="false" customHeight="false" outlineLevel="0" collapsed="false">
      <c r="A374" s="4" t="s">
        <v>827</v>
      </c>
      <c r="B374" s="4" t="s">
        <v>30</v>
      </c>
      <c r="C374" s="4" t="s">
        <v>206</v>
      </c>
      <c r="D374" s="7" t="s">
        <v>828</v>
      </c>
      <c r="E374" s="4" t="s">
        <v>33</v>
      </c>
      <c r="F374" s="4" t="s">
        <v>4</v>
      </c>
      <c r="G374" s="8" t="n">
        <v>2475.6049734354</v>
      </c>
      <c r="H374" s="6" t="n">
        <f aca="false">IF(G374="","",G374/SUMIFS($G$2:$G$671,$F$2:$F$671,"Served"))</f>
        <v>0.000125255261967792</v>
      </c>
      <c r="I374" s="4" t="n">
        <f aca="false">IF(G374="","",RANK(G374,$G$2:$G$671,0))</f>
        <v>373</v>
      </c>
      <c r="J374" s="4" t="s">
        <v>34</v>
      </c>
    </row>
    <row r="375" customFormat="false" ht="15" hidden="false" customHeight="false" outlineLevel="0" collapsed="false">
      <c r="A375" s="4" t="s">
        <v>829</v>
      </c>
      <c r="B375" s="4" t="s">
        <v>116</v>
      </c>
      <c r="C375" s="4" t="s">
        <v>117</v>
      </c>
      <c r="D375" s="7" t="s">
        <v>830</v>
      </c>
      <c r="E375" s="4" t="s">
        <v>119</v>
      </c>
      <c r="F375" s="4" t="s">
        <v>4</v>
      </c>
      <c r="G375" s="8" t="n">
        <v>2413.9243850708</v>
      </c>
      <c r="H375" s="6" t="n">
        <f aca="false">IF(G375="","",G375/SUMIFS($G$2:$G$671,$F$2:$F$671,"Served"))</f>
        <v>0.000122134482062744</v>
      </c>
      <c r="I375" s="4" t="n">
        <f aca="false">IF(G375="","",RANK(G375,$G$2:$G$671,0))</f>
        <v>374</v>
      </c>
      <c r="J375" s="4" t="s">
        <v>34</v>
      </c>
    </row>
    <row r="376" customFormat="false" ht="15" hidden="false" customHeight="false" outlineLevel="0" collapsed="false">
      <c r="A376" s="4" t="s">
        <v>831</v>
      </c>
      <c r="B376" s="4" t="s">
        <v>30</v>
      </c>
      <c r="C376" s="4" t="s">
        <v>31</v>
      </c>
      <c r="D376" s="7" t="s">
        <v>832</v>
      </c>
      <c r="E376" s="4" t="s">
        <v>33</v>
      </c>
      <c r="F376" s="4" t="s">
        <v>4</v>
      </c>
      <c r="G376" s="8" t="n">
        <v>2356.48753976822</v>
      </c>
      <c r="H376" s="6" t="n">
        <f aca="false">IF(G376="","",G376/SUMIFS($G$2:$G$671,$F$2:$F$671,"Served"))</f>
        <v>0.000119228417814943</v>
      </c>
      <c r="I376" s="4" t="n">
        <f aca="false">IF(G376="","",RANK(G376,$G$2:$G$671,0))</f>
        <v>375</v>
      </c>
      <c r="J376" s="4" t="s">
        <v>34</v>
      </c>
    </row>
    <row r="377" customFormat="false" ht="15" hidden="false" customHeight="false" outlineLevel="0" collapsed="false">
      <c r="A377" s="4" t="s">
        <v>833</v>
      </c>
      <c r="B377" s="4" t="s">
        <v>116</v>
      </c>
      <c r="C377" s="4" t="s">
        <v>117</v>
      </c>
      <c r="D377" s="7" t="s">
        <v>834</v>
      </c>
      <c r="E377" s="4" t="s">
        <v>119</v>
      </c>
      <c r="F377" s="4" t="s">
        <v>4</v>
      </c>
      <c r="G377" s="8" t="n">
        <v>2351.44558644295</v>
      </c>
      <c r="H377" s="6" t="n">
        <f aca="false">IF(G377="","",G377/SUMIFS($G$2:$G$671,$F$2:$F$671,"Served"))</f>
        <v>0.000118973316055428</v>
      </c>
      <c r="I377" s="4" t="n">
        <f aca="false">IF(G377="","",RANK(G377,$G$2:$G$671,0))</f>
        <v>376</v>
      </c>
      <c r="J377" s="4" t="s">
        <v>34</v>
      </c>
    </row>
    <row r="378" customFormat="false" ht="15" hidden="false" customHeight="false" outlineLevel="0" collapsed="false">
      <c r="A378" s="4" t="s">
        <v>835</v>
      </c>
      <c r="B378" s="4" t="s">
        <v>52</v>
      </c>
      <c r="C378" s="4" t="s">
        <v>362</v>
      </c>
      <c r="D378" s="7" t="s">
        <v>836</v>
      </c>
      <c r="E378" s="4" t="s">
        <v>33</v>
      </c>
      <c r="F378" s="4" t="s">
        <v>4</v>
      </c>
      <c r="G378" s="8" t="n">
        <v>2346.91677451134</v>
      </c>
      <c r="H378" s="6" t="n">
        <f aca="false">IF(G378="","",G378/SUMIFS($G$2:$G$671,$F$2:$F$671,"Served"))</f>
        <v>0.000118744177105158</v>
      </c>
      <c r="I378" s="4" t="n">
        <f aca="false">IF(G378="","",RANK(G378,$G$2:$G$671,0))</f>
        <v>377</v>
      </c>
      <c r="J378" s="4" t="s">
        <v>34</v>
      </c>
    </row>
    <row r="379" customFormat="false" ht="15" hidden="false" customHeight="false" outlineLevel="0" collapsed="false">
      <c r="A379" s="4" t="s">
        <v>837</v>
      </c>
      <c r="B379" s="4" t="s">
        <v>213</v>
      </c>
      <c r="C379" s="4" t="s">
        <v>214</v>
      </c>
      <c r="D379" s="7" t="s">
        <v>838</v>
      </c>
      <c r="E379" s="4" t="s">
        <v>216</v>
      </c>
      <c r="F379" s="4" t="s">
        <v>4</v>
      </c>
      <c r="G379" s="8" t="n">
        <v>2325.54924297333</v>
      </c>
      <c r="H379" s="6" t="n">
        <f aca="false">IF(G379="","",G379/SUMIFS($G$2:$G$671,$F$2:$F$671,"Served"))</f>
        <v>0.000117663069339938</v>
      </c>
      <c r="I379" s="4" t="n">
        <f aca="false">IF(G379="","",RANK(G379,$G$2:$G$671,0))</f>
        <v>378</v>
      </c>
      <c r="J379" s="4" t="s">
        <v>34</v>
      </c>
    </row>
    <row r="380" customFormat="false" ht="15" hidden="false" customHeight="false" outlineLevel="0" collapsed="false">
      <c r="A380" s="4" t="s">
        <v>839</v>
      </c>
      <c r="B380" s="4" t="s">
        <v>172</v>
      </c>
      <c r="C380" s="4" t="s">
        <v>173</v>
      </c>
      <c r="D380" s="7" t="s">
        <v>840</v>
      </c>
      <c r="E380" s="4" t="s">
        <v>175</v>
      </c>
      <c r="F380" s="4" t="s">
        <v>4</v>
      </c>
      <c r="G380" s="8" t="n">
        <v>2323.69064974785</v>
      </c>
      <c r="H380" s="6" t="n">
        <f aca="false">IF(G380="","",G380/SUMIFS($G$2:$G$671,$F$2:$F$671,"Served"))</f>
        <v>0.000117569032292894</v>
      </c>
      <c r="I380" s="4" t="n">
        <f aca="false">IF(G380="","",RANK(G380,$G$2:$G$671,0))</f>
        <v>379</v>
      </c>
      <c r="J380" s="4" t="s">
        <v>34</v>
      </c>
    </row>
    <row r="381" customFormat="false" ht="15" hidden="false" customHeight="false" outlineLevel="0" collapsed="false">
      <c r="A381" s="4" t="s">
        <v>841</v>
      </c>
      <c r="B381" s="4" t="s">
        <v>125</v>
      </c>
      <c r="C381" s="4" t="s">
        <v>126</v>
      </c>
      <c r="D381" s="7" t="s">
        <v>842</v>
      </c>
      <c r="E381" s="4" t="s">
        <v>128</v>
      </c>
      <c r="F381" s="4" t="s">
        <v>4</v>
      </c>
      <c r="G381" s="8" t="n">
        <v>2306.74157190323</v>
      </c>
      <c r="H381" s="6" t="n">
        <f aca="false">IF(G381="","",G381/SUMIFS($G$2:$G$671,$F$2:$F$671,"Served"))</f>
        <v>0.000116711479812462</v>
      </c>
      <c r="I381" s="4" t="n">
        <f aca="false">IF(G381="","",RANK(G381,$G$2:$G$671,0))</f>
        <v>380</v>
      </c>
      <c r="J381" s="4" t="s">
        <v>34</v>
      </c>
    </row>
    <row r="382" customFormat="false" ht="15" hidden="false" customHeight="false" outlineLevel="0" collapsed="false">
      <c r="A382" s="4" t="s">
        <v>843</v>
      </c>
      <c r="B382" s="4" t="s">
        <v>30</v>
      </c>
      <c r="C382" s="4" t="s">
        <v>31</v>
      </c>
      <c r="D382" s="7" t="s">
        <v>844</v>
      </c>
      <c r="E382" s="4" t="s">
        <v>33</v>
      </c>
      <c r="F382" s="4" t="s">
        <v>4</v>
      </c>
      <c r="G382" s="8" t="n">
        <v>2273.36650872231</v>
      </c>
      <c r="H382" s="6" t="n">
        <f aca="false">IF(G382="","",G382/SUMIFS($G$2:$G$671,$F$2:$F$671,"Served"))</f>
        <v>0.00011502284114564</v>
      </c>
      <c r="I382" s="4" t="n">
        <f aca="false">IF(G382="","",RANK(G382,$G$2:$G$671,0))</f>
        <v>381</v>
      </c>
      <c r="J382" s="4" t="s">
        <v>34</v>
      </c>
    </row>
    <row r="383" customFormat="false" ht="15" hidden="false" customHeight="false" outlineLevel="0" collapsed="false">
      <c r="A383" s="4" t="s">
        <v>845</v>
      </c>
      <c r="B383" s="4" t="s">
        <v>71</v>
      </c>
      <c r="C383" s="4" t="s">
        <v>72</v>
      </c>
      <c r="D383" s="7" t="s">
        <v>846</v>
      </c>
      <c r="E383" s="4" t="s">
        <v>74</v>
      </c>
      <c r="F383" s="4" t="s">
        <v>4</v>
      </c>
      <c r="G383" s="8" t="n">
        <v>2266.71713089943</v>
      </c>
      <c r="H383" s="6" t="n">
        <f aca="false">IF(G383="","",G383/SUMIFS($G$2:$G$671,$F$2:$F$671,"Served"))</f>
        <v>0.000114686410426659</v>
      </c>
      <c r="I383" s="4" t="n">
        <f aca="false">IF(G383="","",RANK(G383,$G$2:$G$671,0))</f>
        <v>382</v>
      </c>
      <c r="J383" s="4" t="s">
        <v>34</v>
      </c>
    </row>
    <row r="384" customFormat="false" ht="15" hidden="false" customHeight="false" outlineLevel="0" collapsed="false">
      <c r="A384" s="4" t="s">
        <v>847</v>
      </c>
      <c r="B384" s="4" t="s">
        <v>30</v>
      </c>
      <c r="C384" s="4" t="s">
        <v>31</v>
      </c>
      <c r="D384" s="7" t="s">
        <v>848</v>
      </c>
      <c r="E384" s="4" t="s">
        <v>33</v>
      </c>
      <c r="F384" s="4" t="s">
        <v>4</v>
      </c>
      <c r="G384" s="8" t="n">
        <v>2262.07678747177</v>
      </c>
      <c r="H384" s="6" t="n">
        <f aca="false">IF(G384="","",G384/SUMIFS($G$2:$G$671,$F$2:$F$671,"Served"))</f>
        <v>0.000114451628448965</v>
      </c>
      <c r="I384" s="4" t="n">
        <f aca="false">IF(G384="","",RANK(G384,$G$2:$G$671,0))</f>
        <v>383</v>
      </c>
      <c r="J384" s="4" t="s">
        <v>34</v>
      </c>
    </row>
    <row r="385" customFormat="false" ht="15" hidden="false" customHeight="false" outlineLevel="0" collapsed="false">
      <c r="A385" s="4" t="s">
        <v>849</v>
      </c>
      <c r="B385" s="4" t="s">
        <v>43</v>
      </c>
      <c r="C385" s="4" t="s">
        <v>44</v>
      </c>
      <c r="D385" s="7" t="s">
        <v>850</v>
      </c>
      <c r="E385" s="4" t="s">
        <v>46</v>
      </c>
      <c r="F385" s="4" t="s">
        <v>4</v>
      </c>
      <c r="G385" s="8" t="n">
        <v>2249.37642812729</v>
      </c>
      <c r="H385" s="6" t="n">
        <f aca="false">IF(G385="","",G385/SUMIFS($G$2:$G$671,$F$2:$F$671,"Served"))</f>
        <v>0.000113809043362148</v>
      </c>
      <c r="I385" s="4" t="n">
        <f aca="false">IF(G385="","",RANK(G385,$G$2:$G$671,0))</f>
        <v>384</v>
      </c>
      <c r="J385" s="4" t="s">
        <v>34</v>
      </c>
    </row>
    <row r="386" customFormat="false" ht="15" hidden="false" customHeight="false" outlineLevel="0" collapsed="false">
      <c r="A386" s="4" t="s">
        <v>851</v>
      </c>
      <c r="B386" s="4" t="s">
        <v>30</v>
      </c>
      <c r="C386" s="4" t="s">
        <v>206</v>
      </c>
      <c r="D386" s="7" t="s">
        <v>852</v>
      </c>
      <c r="E386" s="4" t="s">
        <v>33</v>
      </c>
      <c r="F386" s="4" t="s">
        <v>4</v>
      </c>
      <c r="G386" s="8" t="n">
        <v>2157.28515386581</v>
      </c>
      <c r="H386" s="6" t="n">
        <f aca="false">IF(G386="","",G386/SUMIFS($G$2:$G$671,$F$2:$F$671,"Served"))</f>
        <v>0.000109149609887768</v>
      </c>
      <c r="I386" s="4" t="n">
        <f aca="false">IF(G386="","",RANK(G386,$G$2:$G$671,0))</f>
        <v>385</v>
      </c>
      <c r="J386" s="4" t="s">
        <v>34</v>
      </c>
    </row>
    <row r="387" customFormat="false" ht="15" hidden="false" customHeight="false" outlineLevel="0" collapsed="false">
      <c r="A387" s="4" t="s">
        <v>853</v>
      </c>
      <c r="B387" s="4" t="s">
        <v>30</v>
      </c>
      <c r="C387" s="4" t="s">
        <v>31</v>
      </c>
      <c r="D387" s="7" t="s">
        <v>854</v>
      </c>
      <c r="E387" s="4" t="s">
        <v>33</v>
      </c>
      <c r="F387" s="4" t="s">
        <v>4</v>
      </c>
      <c r="G387" s="8" t="n">
        <v>2124.81717801094</v>
      </c>
      <c r="H387" s="6" t="n">
        <f aca="false">IF(G387="","",G387/SUMIFS($G$2:$G$671,$F$2:$F$671,"Served"))</f>
        <v>0.000107506866047411</v>
      </c>
      <c r="I387" s="4" t="n">
        <f aca="false">IF(G387="","",RANK(G387,$G$2:$G$671,0))</f>
        <v>386</v>
      </c>
      <c r="J387" s="4" t="s">
        <v>34</v>
      </c>
    </row>
    <row r="388" customFormat="false" ht="15" hidden="false" customHeight="false" outlineLevel="0" collapsed="false">
      <c r="A388" s="4" t="s">
        <v>855</v>
      </c>
      <c r="B388" s="4" t="s">
        <v>30</v>
      </c>
      <c r="C388" s="4" t="s">
        <v>132</v>
      </c>
      <c r="D388" s="7" t="s">
        <v>856</v>
      </c>
      <c r="E388" s="4" t="s">
        <v>33</v>
      </c>
      <c r="F388" s="4" t="s">
        <v>4</v>
      </c>
      <c r="G388" s="8" t="n">
        <v>2099.08917093277</v>
      </c>
      <c r="H388" s="6" t="n">
        <f aca="false">IF(G388="","",G388/SUMIFS($G$2:$G$671,$F$2:$F$671,"Served"))</f>
        <v>0.000106205136449569</v>
      </c>
      <c r="I388" s="4" t="n">
        <f aca="false">IF(G388="","",RANK(G388,$G$2:$G$671,0))</f>
        <v>387</v>
      </c>
      <c r="J388" s="4" t="s">
        <v>34</v>
      </c>
    </row>
    <row r="389" customFormat="false" ht="15" hidden="false" customHeight="false" outlineLevel="0" collapsed="false">
      <c r="A389" s="4" t="s">
        <v>857</v>
      </c>
      <c r="B389" s="4" t="s">
        <v>30</v>
      </c>
      <c r="C389" s="4" t="s">
        <v>31</v>
      </c>
      <c r="D389" s="7" t="s">
        <v>858</v>
      </c>
      <c r="E389" s="4" t="s">
        <v>33</v>
      </c>
      <c r="F389" s="4" t="s">
        <v>4</v>
      </c>
      <c r="G389" s="8" t="n">
        <v>2091.686013937</v>
      </c>
      <c r="H389" s="6" t="n">
        <f aca="false">IF(G389="","",G389/SUMIFS($G$2:$G$671,$F$2:$F$671,"Served"))</f>
        <v>0.000105830567655741</v>
      </c>
      <c r="I389" s="4" t="n">
        <f aca="false">IF(G389="","",RANK(G389,$G$2:$G$671,0))</f>
        <v>388</v>
      </c>
      <c r="J389" s="4" t="s">
        <v>34</v>
      </c>
    </row>
    <row r="390" customFormat="false" ht="15" hidden="false" customHeight="false" outlineLevel="0" collapsed="false">
      <c r="A390" s="4" t="s">
        <v>859</v>
      </c>
      <c r="B390" s="4" t="s">
        <v>116</v>
      </c>
      <c r="C390" s="4" t="s">
        <v>117</v>
      </c>
      <c r="D390" s="7" t="s">
        <v>860</v>
      </c>
      <c r="E390" s="4" t="s">
        <v>119</v>
      </c>
      <c r="F390" s="4" t="s">
        <v>4</v>
      </c>
      <c r="G390" s="8" t="n">
        <v>2091.02797913551</v>
      </c>
      <c r="H390" s="6" t="n">
        <f aca="false">IF(G390="","",G390/SUMIFS($G$2:$G$671,$F$2:$F$671,"Served"))</f>
        <v>0.000105797273845813</v>
      </c>
      <c r="I390" s="4" t="n">
        <f aca="false">IF(G390="","",RANK(G390,$G$2:$G$671,0))</f>
        <v>389</v>
      </c>
      <c r="J390" s="4" t="s">
        <v>34</v>
      </c>
    </row>
    <row r="391" customFormat="false" ht="15" hidden="false" customHeight="false" outlineLevel="0" collapsed="false">
      <c r="A391" s="4" t="s">
        <v>861</v>
      </c>
      <c r="B391" s="4" t="s">
        <v>172</v>
      </c>
      <c r="C391" s="4" t="s">
        <v>173</v>
      </c>
      <c r="D391" s="7" t="s">
        <v>862</v>
      </c>
      <c r="E391" s="4" t="s">
        <v>175</v>
      </c>
      <c r="F391" s="4" t="s">
        <v>4</v>
      </c>
      <c r="G391" s="8" t="n">
        <v>1993.12736558914</v>
      </c>
      <c r="H391" s="6" t="n">
        <f aca="false">IF(G391="","",G391/SUMIFS($G$2:$G$671,$F$2:$F$671,"Served"))</f>
        <v>0.000100843912090548</v>
      </c>
      <c r="I391" s="4" t="n">
        <f aca="false">IF(G391="","",RANK(G391,$G$2:$G$671,0))</f>
        <v>390</v>
      </c>
      <c r="J391" s="4" t="s">
        <v>34</v>
      </c>
    </row>
    <row r="392" customFormat="false" ht="15" hidden="false" customHeight="false" outlineLevel="0" collapsed="false">
      <c r="A392" s="4" t="s">
        <v>863</v>
      </c>
      <c r="B392" s="4" t="s">
        <v>213</v>
      </c>
      <c r="C392" s="4" t="s">
        <v>214</v>
      </c>
      <c r="D392" s="7" t="s">
        <v>864</v>
      </c>
      <c r="E392" s="4" t="s">
        <v>216</v>
      </c>
      <c r="F392" s="4" t="s">
        <v>4</v>
      </c>
      <c r="G392" s="8" t="n">
        <v>1966.18258404732</v>
      </c>
      <c r="H392" s="6" t="n">
        <f aca="false">IF(G392="","",G392/SUMIFS($G$2:$G$671,$F$2:$F$671,"Served"))</f>
        <v>9.94806187917781E-005</v>
      </c>
      <c r="I392" s="4" t="n">
        <f aca="false">IF(G392="","",RANK(G392,$G$2:$G$671,0))</f>
        <v>391</v>
      </c>
      <c r="J392" s="4" t="s">
        <v>34</v>
      </c>
    </row>
    <row r="393" customFormat="false" ht="15" hidden="false" customHeight="false" outlineLevel="0" collapsed="false">
      <c r="A393" s="4" t="s">
        <v>865</v>
      </c>
      <c r="B393" s="4" t="s">
        <v>125</v>
      </c>
      <c r="C393" s="4" t="s">
        <v>126</v>
      </c>
      <c r="D393" s="7" t="s">
        <v>866</v>
      </c>
      <c r="E393" s="4" t="s">
        <v>128</v>
      </c>
      <c r="F393" s="4" t="s">
        <v>4</v>
      </c>
      <c r="G393" s="8" t="n">
        <v>1934.2441277504</v>
      </c>
      <c r="H393" s="6" t="n">
        <f aca="false">IF(G393="","",G393/SUMIFS($G$2:$G$671,$F$2:$F$671,"Served"))</f>
        <v>9.78646664273077E-005</v>
      </c>
      <c r="I393" s="4" t="n">
        <f aca="false">IF(G393="","",RANK(G393,$G$2:$G$671,0))</f>
        <v>392</v>
      </c>
      <c r="J393" s="4" t="s">
        <v>34</v>
      </c>
    </row>
    <row r="394" customFormat="false" ht="15" hidden="false" customHeight="false" outlineLevel="0" collapsed="false">
      <c r="A394" s="4" t="s">
        <v>867</v>
      </c>
      <c r="B394" s="4" t="s">
        <v>172</v>
      </c>
      <c r="C394" s="4" t="s">
        <v>173</v>
      </c>
      <c r="D394" s="7" t="s">
        <v>868</v>
      </c>
      <c r="E394" s="4" t="s">
        <v>175</v>
      </c>
      <c r="F394" s="4" t="s">
        <v>4</v>
      </c>
      <c r="G394" s="8" t="n">
        <v>1930.80176222324</v>
      </c>
      <c r="H394" s="6" t="n">
        <f aca="false">IF(G394="","",G394/SUMIFS($G$2:$G$671,$F$2:$F$671,"Served"))</f>
        <v>9.76904971230289E-005</v>
      </c>
      <c r="I394" s="4" t="n">
        <f aca="false">IF(G394="","",RANK(G394,$G$2:$G$671,0))</f>
        <v>393</v>
      </c>
      <c r="J394" s="4" t="s">
        <v>34</v>
      </c>
    </row>
    <row r="395" customFormat="false" ht="15" hidden="false" customHeight="false" outlineLevel="0" collapsed="false">
      <c r="A395" s="4" t="s">
        <v>869</v>
      </c>
      <c r="B395" s="4" t="s">
        <v>172</v>
      </c>
      <c r="C395" s="4" t="s">
        <v>173</v>
      </c>
      <c r="D395" s="7" t="s">
        <v>870</v>
      </c>
      <c r="E395" s="4" t="s">
        <v>175</v>
      </c>
      <c r="F395" s="4" t="s">
        <v>4</v>
      </c>
      <c r="G395" s="8" t="n">
        <v>1929.9564498663</v>
      </c>
      <c r="H395" s="6" t="n">
        <f aca="false">IF(G395="","",G395/SUMIFS($G$2:$G$671,$F$2:$F$671,"Served"))</f>
        <v>9.76477278517395E-005</v>
      </c>
      <c r="I395" s="4" t="n">
        <f aca="false">IF(G395="","",RANK(G395,$G$2:$G$671,0))</f>
        <v>394</v>
      </c>
      <c r="J395" s="4" t="s">
        <v>34</v>
      </c>
    </row>
    <row r="396" customFormat="false" ht="15" hidden="false" customHeight="false" outlineLevel="0" collapsed="false">
      <c r="A396" s="4" t="s">
        <v>871</v>
      </c>
      <c r="B396" s="4" t="s">
        <v>30</v>
      </c>
      <c r="C396" s="4" t="s">
        <v>31</v>
      </c>
      <c r="D396" s="7" t="s">
        <v>872</v>
      </c>
      <c r="E396" s="4" t="s">
        <v>33</v>
      </c>
      <c r="F396" s="4" t="s">
        <v>4</v>
      </c>
      <c r="G396" s="8" t="n">
        <v>1904.66508591175</v>
      </c>
      <c r="H396" s="6" t="n">
        <f aca="false">IF(G396="","",G396/SUMIFS($G$2:$G$671,$F$2:$F$671,"Served"))</f>
        <v>9.63680905704922E-005</v>
      </c>
      <c r="I396" s="4" t="n">
        <f aca="false">IF(G396="","",RANK(G396,$G$2:$G$671,0))</f>
        <v>395</v>
      </c>
      <c r="J396" s="4" t="s">
        <v>34</v>
      </c>
    </row>
    <row r="397" customFormat="false" ht="15" hidden="false" customHeight="false" outlineLevel="0" collapsed="false">
      <c r="A397" s="4" t="s">
        <v>873</v>
      </c>
      <c r="B397" s="4" t="s">
        <v>30</v>
      </c>
      <c r="C397" s="4" t="s">
        <v>31</v>
      </c>
      <c r="D397" s="7" t="s">
        <v>874</v>
      </c>
      <c r="E397" s="4" t="s">
        <v>33</v>
      </c>
      <c r="F397" s="4" t="s">
        <v>4</v>
      </c>
      <c r="G397" s="8" t="n">
        <v>1897.44481992722</v>
      </c>
      <c r="H397" s="6" t="n">
        <f aca="false">IF(G397="","",G397/SUMIFS($G$2:$G$671,$F$2:$F$671,"Served"))</f>
        <v>9.60027752972258E-005</v>
      </c>
      <c r="I397" s="4" t="n">
        <f aca="false">IF(G397="","",RANK(G397,$G$2:$G$671,0))</f>
        <v>396</v>
      </c>
      <c r="J397" s="4" t="s">
        <v>34</v>
      </c>
    </row>
    <row r="398" customFormat="false" ht="15" hidden="false" customHeight="false" outlineLevel="0" collapsed="false">
      <c r="A398" s="4" t="s">
        <v>875</v>
      </c>
      <c r="B398" s="4" t="s">
        <v>116</v>
      </c>
      <c r="C398" s="4" t="s">
        <v>220</v>
      </c>
      <c r="D398" s="7" t="s">
        <v>876</v>
      </c>
      <c r="E398" s="4" t="s">
        <v>119</v>
      </c>
      <c r="F398" s="4" t="s">
        <v>4</v>
      </c>
      <c r="G398" s="8" t="n">
        <v>1860.77083742619</v>
      </c>
      <c r="H398" s="6" t="n">
        <f aca="false">IF(G398="","",G398/SUMIFS($G$2:$G$671,$F$2:$F$671,"Served"))</f>
        <v>9.41472251045009E-005</v>
      </c>
      <c r="I398" s="4" t="n">
        <f aca="false">IF(G398="","",RANK(G398,$G$2:$G$671,0))</f>
        <v>397</v>
      </c>
      <c r="J398" s="4" t="s">
        <v>34</v>
      </c>
    </row>
    <row r="399" customFormat="false" ht="15" hidden="false" customHeight="false" outlineLevel="0" collapsed="false">
      <c r="A399" s="4" t="s">
        <v>877</v>
      </c>
      <c r="B399" s="4" t="s">
        <v>213</v>
      </c>
      <c r="C399" s="4" t="s">
        <v>214</v>
      </c>
      <c r="D399" s="7" t="s">
        <v>878</v>
      </c>
      <c r="E399" s="4" t="s">
        <v>216</v>
      </c>
      <c r="F399" s="4" t="s">
        <v>4</v>
      </c>
      <c r="G399" s="8" t="n">
        <v>1839.53092694283</v>
      </c>
      <c r="H399" s="6" t="n">
        <f aca="false">IF(G399="","",G399/SUMIFS($G$2:$G$671,$F$2:$F$671,"Served"))</f>
        <v>9.30725744311045E-005</v>
      </c>
      <c r="I399" s="4" t="n">
        <f aca="false">IF(G399="","",RANK(G399,$G$2:$G$671,0))</f>
        <v>398</v>
      </c>
      <c r="J399" s="4" t="s">
        <v>34</v>
      </c>
    </row>
    <row r="400" customFormat="false" ht="15" hidden="false" customHeight="false" outlineLevel="0" collapsed="false">
      <c r="A400" s="4" t="s">
        <v>879</v>
      </c>
      <c r="B400" s="4" t="s">
        <v>52</v>
      </c>
      <c r="C400" s="4" t="s">
        <v>465</v>
      </c>
      <c r="D400" s="7" t="s">
        <v>880</v>
      </c>
      <c r="E400" s="4" t="s">
        <v>33</v>
      </c>
      <c r="F400" s="4" t="s">
        <v>4</v>
      </c>
      <c r="G400" s="8" t="n">
        <v>1809.42590761185</v>
      </c>
      <c r="H400" s="6" t="n">
        <f aca="false">IF(G400="","",G400/SUMIFS($G$2:$G$671,$F$2:$F$671,"Served"))</f>
        <v>9.15493863121155E-005</v>
      </c>
      <c r="I400" s="4" t="n">
        <f aca="false">IF(G400="","",RANK(G400,$G$2:$G$671,0))</f>
        <v>399</v>
      </c>
      <c r="J400" s="4" t="s">
        <v>34</v>
      </c>
    </row>
    <row r="401" customFormat="false" ht="15" hidden="false" customHeight="false" outlineLevel="0" collapsed="false">
      <c r="A401" s="4" t="s">
        <v>881</v>
      </c>
      <c r="B401" s="4" t="s">
        <v>172</v>
      </c>
      <c r="C401" s="4" t="s">
        <v>173</v>
      </c>
      <c r="D401" s="7" t="s">
        <v>882</v>
      </c>
      <c r="E401" s="4" t="s">
        <v>175</v>
      </c>
      <c r="F401" s="4" t="s">
        <v>4</v>
      </c>
      <c r="G401" s="8" t="n">
        <v>1790.506336689</v>
      </c>
      <c r="H401" s="6" t="n">
        <f aca="false">IF(G401="","",G401/SUMIFS($G$2:$G$671,$F$2:$F$671,"Served"))</f>
        <v>9.05921351199063E-005</v>
      </c>
      <c r="I401" s="4" t="n">
        <f aca="false">IF(G401="","",RANK(G401,$G$2:$G$671,0))</f>
        <v>400</v>
      </c>
      <c r="J401" s="4" t="s">
        <v>34</v>
      </c>
    </row>
    <row r="402" customFormat="false" ht="15" hidden="false" customHeight="false" outlineLevel="0" collapsed="false">
      <c r="A402" s="4" t="s">
        <v>883</v>
      </c>
      <c r="B402" s="4" t="s">
        <v>172</v>
      </c>
      <c r="C402" s="4" t="s">
        <v>173</v>
      </c>
      <c r="D402" s="7" t="s">
        <v>884</v>
      </c>
      <c r="E402" s="4" t="s">
        <v>175</v>
      </c>
      <c r="F402" s="4" t="s">
        <v>4</v>
      </c>
      <c r="G402" s="8" t="n">
        <v>1752.76666462421</v>
      </c>
      <c r="H402" s="6" t="n">
        <f aca="false">IF(G402="","",G402/SUMIFS($G$2:$G$671,$F$2:$F$671,"Served"))</f>
        <v>8.86826654905522E-005</v>
      </c>
      <c r="I402" s="4" t="n">
        <f aca="false">IF(G402="","",RANK(G402,$G$2:$G$671,0))</f>
        <v>401</v>
      </c>
      <c r="J402" s="4" t="s">
        <v>34</v>
      </c>
    </row>
    <row r="403" customFormat="false" ht="15" hidden="false" customHeight="false" outlineLevel="0" collapsed="false">
      <c r="A403" s="4" t="s">
        <v>885</v>
      </c>
      <c r="B403" s="4" t="s">
        <v>125</v>
      </c>
      <c r="C403" s="4" t="s">
        <v>126</v>
      </c>
      <c r="D403" s="7" t="s">
        <v>228</v>
      </c>
      <c r="E403" s="4" t="s">
        <v>128</v>
      </c>
      <c r="F403" s="4" t="s">
        <v>4</v>
      </c>
      <c r="G403" s="8" t="n">
        <v>1751.0526983738</v>
      </c>
      <c r="H403" s="6" t="n">
        <f aca="false">IF(G403="","",G403/SUMIFS($G$2:$G$671,$F$2:$F$671,"Served"))</f>
        <v>8.85959459638087E-005</v>
      </c>
      <c r="I403" s="4" t="n">
        <f aca="false">IF(G403="","",RANK(G403,$G$2:$G$671,0))</f>
        <v>402</v>
      </c>
      <c r="J403" s="4" t="s">
        <v>34</v>
      </c>
    </row>
    <row r="404" customFormat="false" ht="15" hidden="false" customHeight="false" outlineLevel="0" collapsed="false">
      <c r="A404" s="4" t="s">
        <v>886</v>
      </c>
      <c r="B404" s="4" t="s">
        <v>30</v>
      </c>
      <c r="C404" s="4" t="s">
        <v>206</v>
      </c>
      <c r="D404" s="7" t="s">
        <v>887</v>
      </c>
      <c r="E404" s="4" t="s">
        <v>33</v>
      </c>
      <c r="F404" s="4" t="s">
        <v>4</v>
      </c>
      <c r="G404" s="8" t="n">
        <v>1742.35585188866</v>
      </c>
      <c r="H404" s="6" t="n">
        <f aca="false">IF(G404="","",G404/SUMIFS($G$2:$G$671,$F$2:$F$671,"Served"))</f>
        <v>8.8155921890308E-005</v>
      </c>
      <c r="I404" s="4" t="n">
        <f aca="false">IF(G404="","",RANK(G404,$G$2:$G$671,0))</f>
        <v>403</v>
      </c>
      <c r="J404" s="4" t="s">
        <v>34</v>
      </c>
    </row>
    <row r="405" customFormat="false" ht="15" hidden="false" customHeight="false" outlineLevel="0" collapsed="false">
      <c r="A405" s="4" t="s">
        <v>888</v>
      </c>
      <c r="B405" s="4" t="s">
        <v>30</v>
      </c>
      <c r="C405" s="4" t="s">
        <v>287</v>
      </c>
      <c r="D405" s="7" t="s">
        <v>889</v>
      </c>
      <c r="E405" s="4" t="s">
        <v>33</v>
      </c>
      <c r="F405" s="4" t="s">
        <v>4</v>
      </c>
      <c r="G405" s="8" t="n">
        <v>1733.37780809403</v>
      </c>
      <c r="H405" s="6" t="n">
        <f aca="false">IF(G405="","",G405/SUMIFS($G$2:$G$671,$F$2:$F$671,"Served"))</f>
        <v>8.77016704085401E-005</v>
      </c>
      <c r="I405" s="4" t="n">
        <f aca="false">IF(G405="","",RANK(G405,$G$2:$G$671,0))</f>
        <v>404</v>
      </c>
      <c r="J405" s="4" t="s">
        <v>34</v>
      </c>
    </row>
    <row r="406" customFormat="false" ht="15" hidden="false" customHeight="false" outlineLevel="0" collapsed="false">
      <c r="A406" s="4" t="s">
        <v>890</v>
      </c>
      <c r="B406" s="4" t="s">
        <v>116</v>
      </c>
      <c r="C406" s="4" t="s">
        <v>117</v>
      </c>
      <c r="D406" s="7" t="s">
        <v>891</v>
      </c>
      <c r="E406" s="4" t="s">
        <v>119</v>
      </c>
      <c r="F406" s="4" t="s">
        <v>4</v>
      </c>
      <c r="G406" s="8" t="n">
        <v>1730.09592819214</v>
      </c>
      <c r="H406" s="6" t="n">
        <f aca="false">IF(G406="","",G406/SUMIFS($G$2:$G$671,$F$2:$F$671,"Served"))</f>
        <v>8.75356210059624E-005</v>
      </c>
      <c r="I406" s="4" t="n">
        <f aca="false">IF(G406="","",RANK(G406,$G$2:$G$671,0))</f>
        <v>405</v>
      </c>
      <c r="J406" s="4" t="s">
        <v>34</v>
      </c>
    </row>
    <row r="407" customFormat="false" ht="15" hidden="false" customHeight="false" outlineLevel="0" collapsed="false">
      <c r="A407" s="4" t="s">
        <v>892</v>
      </c>
      <c r="B407" s="4" t="s">
        <v>52</v>
      </c>
      <c r="C407" s="4" t="s">
        <v>200</v>
      </c>
      <c r="D407" s="7" t="s">
        <v>893</v>
      </c>
      <c r="E407" s="4" t="s">
        <v>33</v>
      </c>
      <c r="F407" s="4" t="s">
        <v>4</v>
      </c>
      <c r="G407" s="8" t="n">
        <v>1718.88395738602</v>
      </c>
      <c r="H407" s="6" t="n">
        <f aca="false">IF(G407="","",G407/SUMIFS($G$2:$G$671,$F$2:$F$671,"Served"))</f>
        <v>8.69683421567253E-005</v>
      </c>
      <c r="I407" s="4" t="n">
        <f aca="false">IF(G407="","",RANK(G407,$G$2:$G$671,0))</f>
        <v>406</v>
      </c>
      <c r="J407" s="4" t="s">
        <v>34</v>
      </c>
    </row>
    <row r="408" customFormat="false" ht="15" hidden="false" customHeight="false" outlineLevel="0" collapsed="false">
      <c r="A408" s="4" t="s">
        <v>894</v>
      </c>
      <c r="B408" s="4" t="s">
        <v>125</v>
      </c>
      <c r="C408" s="4" t="s">
        <v>126</v>
      </c>
      <c r="D408" s="7" t="s">
        <v>895</v>
      </c>
      <c r="E408" s="4" t="s">
        <v>128</v>
      </c>
      <c r="F408" s="4" t="s">
        <v>4</v>
      </c>
      <c r="G408" s="8" t="n">
        <v>1686.81669092178</v>
      </c>
      <c r="H408" s="6" t="n">
        <f aca="false">IF(G408="","",G408/SUMIFS($G$2:$G$671,$F$2:$F$671,"Served"))</f>
        <v>8.53458725363016E-005</v>
      </c>
      <c r="I408" s="4" t="n">
        <f aca="false">IF(G408="","",RANK(G408,$G$2:$G$671,0))</f>
        <v>407</v>
      </c>
      <c r="J408" s="4" t="s">
        <v>34</v>
      </c>
    </row>
    <row r="409" customFormat="false" ht="15" hidden="false" customHeight="false" outlineLevel="0" collapsed="false">
      <c r="A409" s="4" t="s">
        <v>896</v>
      </c>
      <c r="B409" s="4" t="s">
        <v>30</v>
      </c>
      <c r="C409" s="4" t="s">
        <v>206</v>
      </c>
      <c r="D409" s="7" t="s">
        <v>897</v>
      </c>
      <c r="E409" s="4" t="s">
        <v>33</v>
      </c>
      <c r="F409" s="4" t="s">
        <v>4</v>
      </c>
      <c r="G409" s="8" t="n">
        <v>1668.55310869217</v>
      </c>
      <c r="H409" s="6" t="n">
        <f aca="false">IF(G409="","",G409/SUMIFS($G$2:$G$671,$F$2:$F$671,"Served"))</f>
        <v>8.44218116294979E-005</v>
      </c>
      <c r="I409" s="4" t="n">
        <f aca="false">IF(G409="","",RANK(G409,$G$2:$G$671,0))</f>
        <v>408</v>
      </c>
      <c r="J409" s="4" t="s">
        <v>34</v>
      </c>
    </row>
    <row r="410" customFormat="false" ht="15" hidden="false" customHeight="false" outlineLevel="0" collapsed="false">
      <c r="A410" s="4" t="s">
        <v>898</v>
      </c>
      <c r="B410" s="4" t="s">
        <v>52</v>
      </c>
      <c r="C410" s="4" t="s">
        <v>349</v>
      </c>
      <c r="D410" s="7" t="s">
        <v>899</v>
      </c>
      <c r="E410" s="4" t="s">
        <v>33</v>
      </c>
      <c r="F410" s="4" t="s">
        <v>4</v>
      </c>
      <c r="G410" s="8" t="n">
        <v>1667.85754036903</v>
      </c>
      <c r="H410" s="6" t="n">
        <f aca="false">IF(G410="","",G410/SUMIFS($G$2:$G$671,$F$2:$F$671,"Served"))</f>
        <v>8.4386618780289E-005</v>
      </c>
      <c r="I410" s="4" t="n">
        <f aca="false">IF(G410="","",RANK(G410,$G$2:$G$671,0))</f>
        <v>409</v>
      </c>
      <c r="J410" s="4" t="s">
        <v>34</v>
      </c>
    </row>
    <row r="411" customFormat="false" ht="15" hidden="false" customHeight="false" outlineLevel="0" collapsed="false">
      <c r="A411" s="4" t="s">
        <v>900</v>
      </c>
      <c r="B411" s="4" t="s">
        <v>30</v>
      </c>
      <c r="C411" s="4" t="s">
        <v>31</v>
      </c>
      <c r="D411" s="7" t="s">
        <v>901</v>
      </c>
      <c r="E411" s="4" t="s">
        <v>33</v>
      </c>
      <c r="F411" s="4" t="s">
        <v>4</v>
      </c>
      <c r="G411" s="8" t="n">
        <v>1662.84063768387</v>
      </c>
      <c r="H411" s="6" t="n">
        <f aca="false">IF(G411="","",G411/SUMIFS($G$2:$G$671,$F$2:$F$671,"Served"))</f>
        <v>8.41327844784354E-005</v>
      </c>
      <c r="I411" s="4" t="n">
        <f aca="false">IF(G411="","",RANK(G411,$G$2:$G$671,0))</f>
        <v>410</v>
      </c>
      <c r="J411" s="4" t="s">
        <v>34</v>
      </c>
    </row>
    <row r="412" customFormat="false" ht="15" hidden="false" customHeight="false" outlineLevel="0" collapsed="false">
      <c r="A412" s="4" t="s">
        <v>902</v>
      </c>
      <c r="B412" s="4" t="s">
        <v>172</v>
      </c>
      <c r="C412" s="4" t="s">
        <v>173</v>
      </c>
      <c r="D412" s="7" t="s">
        <v>903</v>
      </c>
      <c r="E412" s="4" t="s">
        <v>175</v>
      </c>
      <c r="F412" s="4" t="s">
        <v>4</v>
      </c>
      <c r="G412" s="8" t="n">
        <v>1655.20884799957</v>
      </c>
      <c r="H412" s="6" t="n">
        <f aca="false">IF(G412="","",G412/SUMIFS($G$2:$G$671,$F$2:$F$671,"Served"))</f>
        <v>8.37466478264061E-005</v>
      </c>
      <c r="I412" s="4" t="n">
        <f aca="false">IF(G412="","",RANK(G412,$G$2:$G$671,0))</f>
        <v>411</v>
      </c>
      <c r="J412" s="4" t="s">
        <v>34</v>
      </c>
    </row>
    <row r="413" customFormat="false" ht="15" hidden="false" customHeight="false" outlineLevel="0" collapsed="false">
      <c r="A413" s="4" t="s">
        <v>904</v>
      </c>
      <c r="B413" s="4" t="s">
        <v>172</v>
      </c>
      <c r="C413" s="4" t="s">
        <v>173</v>
      </c>
      <c r="D413" s="7" t="s">
        <v>905</v>
      </c>
      <c r="E413" s="4" t="s">
        <v>175</v>
      </c>
      <c r="F413" s="4" t="s">
        <v>4</v>
      </c>
      <c r="G413" s="8" t="n">
        <v>1631.19469714165</v>
      </c>
      <c r="H413" s="6" t="n">
        <f aca="false">IF(G413="","",G413/SUMIFS($G$2:$G$671,$F$2:$F$671,"Served"))</f>
        <v>8.25316321882408E-005</v>
      </c>
      <c r="I413" s="4" t="n">
        <f aca="false">IF(G413="","",RANK(G413,$G$2:$G$671,0))</f>
        <v>412</v>
      </c>
      <c r="J413" s="4" t="s">
        <v>34</v>
      </c>
    </row>
    <row r="414" customFormat="false" ht="15" hidden="false" customHeight="false" outlineLevel="0" collapsed="false">
      <c r="A414" s="4" t="s">
        <v>906</v>
      </c>
      <c r="B414" s="4" t="s">
        <v>52</v>
      </c>
      <c r="C414" s="4" t="s">
        <v>200</v>
      </c>
      <c r="D414" s="7" t="s">
        <v>907</v>
      </c>
      <c r="E414" s="4" t="s">
        <v>33</v>
      </c>
      <c r="F414" s="4" t="s">
        <v>4</v>
      </c>
      <c r="G414" s="8" t="n">
        <v>1600.40169930458</v>
      </c>
      <c r="H414" s="6" t="n">
        <f aca="false">IF(G414="","",G414/SUMIFS($G$2:$G$671,$F$2:$F$671,"Served"))</f>
        <v>8.0973635233055E-005</v>
      </c>
      <c r="I414" s="4" t="n">
        <f aca="false">IF(G414="","",RANK(G414,$G$2:$G$671,0))</f>
        <v>413</v>
      </c>
      <c r="J414" s="4" t="s">
        <v>34</v>
      </c>
    </row>
    <row r="415" customFormat="false" ht="15" hidden="false" customHeight="false" outlineLevel="0" collapsed="false">
      <c r="A415" s="4" t="s">
        <v>908</v>
      </c>
      <c r="B415" s="4" t="s">
        <v>30</v>
      </c>
      <c r="C415" s="4" t="s">
        <v>206</v>
      </c>
      <c r="D415" s="7" t="s">
        <v>909</v>
      </c>
      <c r="E415" s="4" t="s">
        <v>33</v>
      </c>
      <c r="F415" s="4" t="s">
        <v>4</v>
      </c>
      <c r="G415" s="8" t="n">
        <v>1595.56013095379</v>
      </c>
      <c r="H415" s="6" t="n">
        <f aca="false">IF(G415="","",G415/SUMIFS($G$2:$G$671,$F$2:$F$671,"Served"))</f>
        <v>8.07286721155056E-005</v>
      </c>
      <c r="I415" s="4" t="n">
        <f aca="false">IF(G415="","",RANK(G415,$G$2:$G$671,0))</f>
        <v>414</v>
      </c>
      <c r="J415" s="4" t="s">
        <v>34</v>
      </c>
    </row>
    <row r="416" customFormat="false" ht="15" hidden="false" customHeight="false" outlineLevel="0" collapsed="false">
      <c r="A416" s="4" t="s">
        <v>910</v>
      </c>
      <c r="B416" s="4" t="s">
        <v>172</v>
      </c>
      <c r="C416" s="4" t="s">
        <v>173</v>
      </c>
      <c r="D416" s="7" t="s">
        <v>911</v>
      </c>
      <c r="E416" s="4" t="s">
        <v>175</v>
      </c>
      <c r="F416" s="4" t="s">
        <v>4</v>
      </c>
      <c r="G416" s="8" t="n">
        <v>1589.84718990326</v>
      </c>
      <c r="H416" s="6" t="n">
        <f aca="false">IF(G416="","",G416/SUMIFS($G$2:$G$671,$F$2:$F$671,"Served"))</f>
        <v>8.04396211822714E-005</v>
      </c>
      <c r="I416" s="4" t="n">
        <f aca="false">IF(G416="","",RANK(G416,$G$2:$G$671,0))</f>
        <v>415</v>
      </c>
      <c r="J416" s="4" t="s">
        <v>34</v>
      </c>
    </row>
    <row r="417" customFormat="false" ht="15" hidden="false" customHeight="false" outlineLevel="0" collapsed="false">
      <c r="A417" s="4" t="s">
        <v>912</v>
      </c>
      <c r="B417" s="4" t="s">
        <v>30</v>
      </c>
      <c r="C417" s="4" t="s">
        <v>206</v>
      </c>
      <c r="D417" s="7" t="s">
        <v>913</v>
      </c>
      <c r="E417" s="4" t="s">
        <v>33</v>
      </c>
      <c r="F417" s="4" t="s">
        <v>4</v>
      </c>
      <c r="G417" s="8" t="n">
        <v>1573.50003170967</v>
      </c>
      <c r="H417" s="6" t="n">
        <f aca="false">IF(G417="","",G417/SUMIFS($G$2:$G$671,$F$2:$F$671,"Served"))</f>
        <v>7.96125233197536E-005</v>
      </c>
      <c r="I417" s="4" t="n">
        <f aca="false">IF(G417="","",RANK(G417,$G$2:$G$671,0))</f>
        <v>416</v>
      </c>
      <c r="J417" s="4" t="s">
        <v>34</v>
      </c>
    </row>
    <row r="418" customFormat="false" ht="15" hidden="false" customHeight="false" outlineLevel="0" collapsed="false">
      <c r="A418" s="4" t="s">
        <v>914</v>
      </c>
      <c r="B418" s="4" t="s">
        <v>52</v>
      </c>
      <c r="C418" s="4" t="s">
        <v>165</v>
      </c>
      <c r="D418" s="7" t="s">
        <v>915</v>
      </c>
      <c r="E418" s="4" t="s">
        <v>33</v>
      </c>
      <c r="F418" s="4" t="s">
        <v>4</v>
      </c>
      <c r="G418" s="8" t="n">
        <v>1537.60436868668</v>
      </c>
      <c r="H418" s="6" t="n">
        <f aca="false">IF(G418="","",G418/SUMIFS($G$2:$G$671,$F$2:$F$671,"Served"))</f>
        <v>7.77963528387203E-005</v>
      </c>
      <c r="I418" s="4" t="n">
        <f aca="false">IF(G418="","",RANK(G418,$G$2:$G$671,0))</f>
        <v>417</v>
      </c>
      <c r="J418" s="4" t="s">
        <v>34</v>
      </c>
    </row>
    <row r="419" customFormat="false" ht="15" hidden="false" customHeight="false" outlineLevel="0" collapsed="false">
      <c r="A419" s="4" t="s">
        <v>916</v>
      </c>
      <c r="B419" s="4" t="s">
        <v>116</v>
      </c>
      <c r="C419" s="4" t="s">
        <v>220</v>
      </c>
      <c r="D419" s="7" t="s">
        <v>917</v>
      </c>
      <c r="E419" s="4" t="s">
        <v>119</v>
      </c>
      <c r="F419" s="4" t="s">
        <v>4</v>
      </c>
      <c r="G419" s="8" t="n">
        <v>1517.01342797279</v>
      </c>
      <c r="H419" s="6" t="n">
        <f aca="false">IF(G419="","",G419/SUMIFS($G$2:$G$671,$F$2:$F$671,"Served"))</f>
        <v>7.67545373225309E-005</v>
      </c>
      <c r="I419" s="4" t="n">
        <f aca="false">IF(G419="","",RANK(G419,$G$2:$G$671,0))</f>
        <v>418</v>
      </c>
      <c r="J419" s="4" t="s">
        <v>34</v>
      </c>
    </row>
    <row r="420" customFormat="false" ht="15" hidden="false" customHeight="false" outlineLevel="0" collapsed="false">
      <c r="A420" s="4" t="s">
        <v>918</v>
      </c>
      <c r="B420" s="4" t="s">
        <v>116</v>
      </c>
      <c r="C420" s="4" t="s">
        <v>220</v>
      </c>
      <c r="D420" s="7" t="s">
        <v>919</v>
      </c>
      <c r="E420" s="4" t="s">
        <v>119</v>
      </c>
      <c r="F420" s="4" t="s">
        <v>4</v>
      </c>
      <c r="G420" s="8" t="n">
        <v>1502.20668125153</v>
      </c>
      <c r="H420" s="6" t="n">
        <f aca="false">IF(G420="","",G420/SUMIFS($G$2:$G$671,$F$2:$F$671,"Served"))</f>
        <v>7.60053778405601E-005</v>
      </c>
      <c r="I420" s="4" t="n">
        <f aca="false">IF(G420="","",RANK(G420,$G$2:$G$671,0))</f>
        <v>419</v>
      </c>
      <c r="J420" s="4" t="s">
        <v>34</v>
      </c>
    </row>
    <row r="421" customFormat="false" ht="15" hidden="false" customHeight="false" outlineLevel="0" collapsed="false">
      <c r="A421" s="4" t="s">
        <v>920</v>
      </c>
      <c r="B421" s="4" t="s">
        <v>52</v>
      </c>
      <c r="C421" s="4" t="s">
        <v>227</v>
      </c>
      <c r="D421" s="7" t="s">
        <v>866</v>
      </c>
      <c r="E421" s="4" t="s">
        <v>33</v>
      </c>
      <c r="F421" s="4" t="s">
        <v>4</v>
      </c>
      <c r="G421" s="8" t="n">
        <v>1495.80732345581</v>
      </c>
      <c r="H421" s="6" t="n">
        <f aca="false">IF(G421="","",G421/SUMIFS($G$2:$G$671,$F$2:$F$671,"Served"))</f>
        <v>7.56815970897016E-005</v>
      </c>
      <c r="I421" s="4" t="n">
        <f aca="false">IF(G421="","",RANK(G421,$G$2:$G$671,0))</f>
        <v>420</v>
      </c>
      <c r="J421" s="4" t="s">
        <v>34</v>
      </c>
    </row>
    <row r="422" customFormat="false" ht="15" hidden="false" customHeight="false" outlineLevel="0" collapsed="false">
      <c r="A422" s="4" t="s">
        <v>921</v>
      </c>
      <c r="B422" s="4" t="s">
        <v>30</v>
      </c>
      <c r="C422" s="4" t="s">
        <v>287</v>
      </c>
      <c r="D422" s="7" t="s">
        <v>922</v>
      </c>
      <c r="E422" s="4" t="s">
        <v>33</v>
      </c>
      <c r="F422" s="4" t="s">
        <v>4</v>
      </c>
      <c r="G422" s="8" t="n">
        <v>1470.25759792328</v>
      </c>
      <c r="H422" s="6" t="n">
        <f aca="false">IF(G422="","",G422/SUMIFS($G$2:$G$671,$F$2:$F$671,"Served"))</f>
        <v>7.43888877927327E-005</v>
      </c>
      <c r="I422" s="4" t="n">
        <f aca="false">IF(G422="","",RANK(G422,$G$2:$G$671,0))</f>
        <v>421</v>
      </c>
      <c r="J422" s="4" t="s">
        <v>34</v>
      </c>
    </row>
    <row r="423" customFormat="false" ht="15" hidden="false" customHeight="false" outlineLevel="0" collapsed="false">
      <c r="A423" s="4" t="s">
        <v>923</v>
      </c>
      <c r="B423" s="4" t="s">
        <v>172</v>
      </c>
      <c r="C423" s="4" t="s">
        <v>173</v>
      </c>
      <c r="D423" s="7" t="s">
        <v>924</v>
      </c>
      <c r="E423" s="4" t="s">
        <v>175</v>
      </c>
      <c r="F423" s="4" t="s">
        <v>4</v>
      </c>
      <c r="G423" s="8" t="n">
        <v>1467.71655797958</v>
      </c>
      <c r="H423" s="6" t="n">
        <f aca="false">IF(G423="","",G423/SUMIFS($G$2:$G$671,$F$2:$F$671,"Served"))</f>
        <v>7.42603217948318E-005</v>
      </c>
      <c r="I423" s="4" t="n">
        <f aca="false">IF(G423="","",RANK(G423,$G$2:$G$671,0))</f>
        <v>422</v>
      </c>
      <c r="J423" s="4" t="s">
        <v>34</v>
      </c>
    </row>
    <row r="424" customFormat="false" ht="15" hidden="false" customHeight="false" outlineLevel="0" collapsed="false">
      <c r="A424" s="4" t="s">
        <v>925</v>
      </c>
      <c r="B424" s="4" t="s">
        <v>30</v>
      </c>
      <c r="C424" s="4" t="s">
        <v>287</v>
      </c>
      <c r="D424" s="7" t="s">
        <v>926</v>
      </c>
      <c r="E424" s="4" t="s">
        <v>33</v>
      </c>
      <c r="F424" s="4" t="s">
        <v>4</v>
      </c>
      <c r="G424" s="8" t="n">
        <v>1460.41263461113</v>
      </c>
      <c r="H424" s="6" t="n">
        <f aca="false">IF(G424="","",G424/SUMIFS($G$2:$G$671,$F$2:$F$671,"Served"))</f>
        <v>7.38907738076831E-005</v>
      </c>
      <c r="I424" s="4" t="n">
        <f aca="false">IF(G424="","",RANK(G424,$G$2:$G$671,0))</f>
        <v>423</v>
      </c>
      <c r="J424" s="4" t="s">
        <v>34</v>
      </c>
    </row>
    <row r="425" customFormat="false" ht="15" hidden="false" customHeight="false" outlineLevel="0" collapsed="false">
      <c r="A425" s="4" t="s">
        <v>927</v>
      </c>
      <c r="B425" s="4" t="s">
        <v>172</v>
      </c>
      <c r="C425" s="4" t="s">
        <v>173</v>
      </c>
      <c r="D425" s="7" t="s">
        <v>928</v>
      </c>
      <c r="E425" s="4" t="s">
        <v>175</v>
      </c>
      <c r="F425" s="4" t="s">
        <v>4</v>
      </c>
      <c r="G425" s="8" t="n">
        <v>1455.71926832199</v>
      </c>
      <c r="H425" s="6" t="n">
        <f aca="false">IF(G425="","",G425/SUMIFS($G$2:$G$671,$F$2:$F$671,"Served"))</f>
        <v>7.36533090948694E-005</v>
      </c>
      <c r="I425" s="4" t="n">
        <f aca="false">IF(G425="","",RANK(G425,$G$2:$G$671,0))</f>
        <v>424</v>
      </c>
      <c r="J425" s="4" t="s">
        <v>34</v>
      </c>
    </row>
    <row r="426" customFormat="false" ht="15" hidden="false" customHeight="false" outlineLevel="0" collapsed="false">
      <c r="A426" s="4" t="s">
        <v>929</v>
      </c>
      <c r="B426" s="4" t="s">
        <v>172</v>
      </c>
      <c r="C426" s="4" t="s">
        <v>173</v>
      </c>
      <c r="D426" s="7" t="s">
        <v>930</v>
      </c>
      <c r="E426" s="4" t="s">
        <v>175</v>
      </c>
      <c r="F426" s="4" t="s">
        <v>4</v>
      </c>
      <c r="G426" s="8" t="n">
        <v>1427.75285482407</v>
      </c>
      <c r="H426" s="6" t="n">
        <f aca="false">IF(G426="","",G426/SUMIFS($G$2:$G$671,$F$2:$F$671,"Served"))</f>
        <v>7.22383254902271E-005</v>
      </c>
      <c r="I426" s="4" t="n">
        <f aca="false">IF(G426="","",RANK(G426,$G$2:$G$671,0))</f>
        <v>425</v>
      </c>
      <c r="J426" s="4" t="s">
        <v>34</v>
      </c>
    </row>
    <row r="427" customFormat="false" ht="15" hidden="false" customHeight="false" outlineLevel="0" collapsed="false">
      <c r="A427" s="4" t="s">
        <v>931</v>
      </c>
      <c r="B427" s="4" t="s">
        <v>30</v>
      </c>
      <c r="C427" s="4" t="s">
        <v>206</v>
      </c>
      <c r="D427" s="7" t="s">
        <v>932</v>
      </c>
      <c r="E427" s="4" t="s">
        <v>33</v>
      </c>
      <c r="F427" s="4" t="s">
        <v>4</v>
      </c>
      <c r="G427" s="8" t="n">
        <v>1390.04258906841</v>
      </c>
      <c r="H427" s="6" t="n">
        <f aca="false">IF(G427="","",G427/SUMIFS($G$2:$G$671,$F$2:$F$671,"Served"))</f>
        <v>7.03303436971768E-005</v>
      </c>
      <c r="I427" s="4" t="n">
        <f aca="false">IF(G427="","",RANK(G427,$G$2:$G$671,0))</f>
        <v>426</v>
      </c>
      <c r="J427" s="4" t="s">
        <v>34</v>
      </c>
    </row>
    <row r="428" customFormat="false" ht="15" hidden="false" customHeight="false" outlineLevel="0" collapsed="false">
      <c r="A428" s="4" t="s">
        <v>933</v>
      </c>
      <c r="B428" s="4" t="s">
        <v>125</v>
      </c>
      <c r="C428" s="4" t="s">
        <v>126</v>
      </c>
      <c r="D428" s="7" t="s">
        <v>934</v>
      </c>
      <c r="E428" s="4" t="s">
        <v>128</v>
      </c>
      <c r="F428" s="4" t="s">
        <v>4</v>
      </c>
      <c r="G428" s="8" t="n">
        <v>1382.22695970535</v>
      </c>
      <c r="H428" s="6" t="n">
        <f aca="false">IF(G428="","",G428/SUMIFS($G$2:$G$671,$F$2:$F$671,"Served"))</f>
        <v>6.99349055259751E-005</v>
      </c>
      <c r="I428" s="4" t="n">
        <f aca="false">IF(G428="","",RANK(G428,$G$2:$G$671,0))</f>
        <v>427</v>
      </c>
      <c r="J428" s="4" t="s">
        <v>34</v>
      </c>
    </row>
    <row r="429" customFormat="false" ht="15" hidden="false" customHeight="false" outlineLevel="0" collapsed="false">
      <c r="A429" s="4" t="s">
        <v>935</v>
      </c>
      <c r="B429" s="4" t="s">
        <v>172</v>
      </c>
      <c r="C429" s="4" t="s">
        <v>173</v>
      </c>
      <c r="D429" s="7" t="s">
        <v>936</v>
      </c>
      <c r="E429" s="4" t="s">
        <v>175</v>
      </c>
      <c r="F429" s="4" t="s">
        <v>4</v>
      </c>
      <c r="G429" s="8" t="n">
        <v>1371.72265696526</v>
      </c>
      <c r="H429" s="6" t="n">
        <f aca="false">IF(G429="","",G429/SUMIFS($G$2:$G$671,$F$2:$F$671,"Served"))</f>
        <v>6.9403431722352E-005</v>
      </c>
      <c r="I429" s="4" t="n">
        <f aca="false">IF(G429="","",RANK(G429,$G$2:$G$671,0))</f>
        <v>428</v>
      </c>
      <c r="J429" s="4" t="s">
        <v>34</v>
      </c>
    </row>
    <row r="430" customFormat="false" ht="15" hidden="false" customHeight="false" outlineLevel="0" collapsed="false">
      <c r="A430" s="4" t="s">
        <v>937</v>
      </c>
      <c r="B430" s="4" t="s">
        <v>30</v>
      </c>
      <c r="C430" s="4" t="s">
        <v>31</v>
      </c>
      <c r="D430" s="7" t="s">
        <v>938</v>
      </c>
      <c r="E430" s="4" t="s">
        <v>33</v>
      </c>
      <c r="F430" s="4" t="s">
        <v>4</v>
      </c>
      <c r="G430" s="8" t="n">
        <v>1347.75772833824</v>
      </c>
      <c r="H430" s="6" t="n">
        <f aca="false">IF(G430="","",G430/SUMIFS($G$2:$G$671,$F$2:$F$671,"Served"))</f>
        <v>6.8190906523289E-005</v>
      </c>
      <c r="I430" s="4" t="n">
        <f aca="false">IF(G430="","",RANK(G430,$G$2:$G$671,0))</f>
        <v>429</v>
      </c>
      <c r="J430" s="4" t="s">
        <v>34</v>
      </c>
    </row>
    <row r="431" customFormat="false" ht="15" hidden="false" customHeight="false" outlineLevel="0" collapsed="false">
      <c r="A431" s="4" t="s">
        <v>939</v>
      </c>
      <c r="B431" s="4" t="s">
        <v>71</v>
      </c>
      <c r="C431" s="4" t="s">
        <v>72</v>
      </c>
      <c r="D431" s="7" t="s">
        <v>940</v>
      </c>
      <c r="E431" s="4" t="s">
        <v>74</v>
      </c>
      <c r="F431" s="4" t="s">
        <v>4</v>
      </c>
      <c r="G431" s="8" t="n">
        <v>1344.70520877838</v>
      </c>
      <c r="H431" s="6" t="n">
        <f aca="false">IF(G431="","",G431/SUMIFS($G$2:$G$671,$F$2:$F$671,"Served"))</f>
        <v>6.80364617951377E-005</v>
      </c>
      <c r="I431" s="4" t="n">
        <f aca="false">IF(G431="","",RANK(G431,$G$2:$G$671,0))</f>
        <v>430</v>
      </c>
      <c r="J431" s="4" t="s">
        <v>34</v>
      </c>
    </row>
    <row r="432" customFormat="false" ht="15" hidden="false" customHeight="false" outlineLevel="0" collapsed="false">
      <c r="A432" s="4" t="s">
        <v>941</v>
      </c>
      <c r="B432" s="4" t="s">
        <v>172</v>
      </c>
      <c r="C432" s="4" t="s">
        <v>173</v>
      </c>
      <c r="D432" s="7" t="s">
        <v>942</v>
      </c>
      <c r="E432" s="4" t="s">
        <v>175</v>
      </c>
      <c r="F432" s="4" t="s">
        <v>4</v>
      </c>
      <c r="G432" s="8" t="n">
        <v>1317.59800064564</v>
      </c>
      <c r="H432" s="6" t="n">
        <f aca="false">IF(G432="","",G432/SUMIFS($G$2:$G$671,$F$2:$F$671,"Served"))</f>
        <v>6.66649503899193E-005</v>
      </c>
      <c r="I432" s="4" t="n">
        <f aca="false">IF(G432="","",RANK(G432,$G$2:$G$671,0))</f>
        <v>431</v>
      </c>
      <c r="J432" s="4" t="s">
        <v>34</v>
      </c>
    </row>
    <row r="433" customFormat="false" ht="15" hidden="false" customHeight="false" outlineLevel="0" collapsed="false">
      <c r="A433" s="4" t="s">
        <v>943</v>
      </c>
      <c r="B433" s="4" t="s">
        <v>30</v>
      </c>
      <c r="C433" s="4" t="s">
        <v>31</v>
      </c>
      <c r="D433" s="7" t="s">
        <v>944</v>
      </c>
      <c r="E433" s="4" t="s">
        <v>33</v>
      </c>
      <c r="F433" s="4" t="s">
        <v>4</v>
      </c>
      <c r="G433" s="8" t="n">
        <v>1312.97019064426</v>
      </c>
      <c r="H433" s="6" t="n">
        <f aca="false">IF(G433="","",G433/SUMIFS($G$2:$G$671,$F$2:$F$671,"Served"))</f>
        <v>6.64308025511973E-005</v>
      </c>
      <c r="I433" s="4" t="n">
        <f aca="false">IF(G433="","",RANK(G433,$G$2:$G$671,0))</f>
        <v>432</v>
      </c>
      <c r="J433" s="4" t="s">
        <v>34</v>
      </c>
    </row>
    <row r="434" customFormat="false" ht="15" hidden="false" customHeight="false" outlineLevel="0" collapsed="false">
      <c r="A434" s="4" t="s">
        <v>945</v>
      </c>
      <c r="B434" s="4" t="s">
        <v>172</v>
      </c>
      <c r="C434" s="4" t="s">
        <v>173</v>
      </c>
      <c r="D434" s="7" t="s">
        <v>946</v>
      </c>
      <c r="E434" s="4" t="s">
        <v>175</v>
      </c>
      <c r="F434" s="4" t="s">
        <v>4</v>
      </c>
      <c r="G434" s="8" t="n">
        <v>1303.7330673933</v>
      </c>
      <c r="H434" s="6" t="n">
        <f aca="false">IF(G434="","",G434/SUMIFS($G$2:$G$671,$F$2:$F$671,"Served"))</f>
        <v>6.5963442732065E-005</v>
      </c>
      <c r="I434" s="4" t="n">
        <f aca="false">IF(G434="","",RANK(G434,$G$2:$G$671,0))</f>
        <v>433</v>
      </c>
      <c r="J434" s="4" t="s">
        <v>34</v>
      </c>
    </row>
    <row r="435" customFormat="false" ht="15" hidden="false" customHeight="false" outlineLevel="0" collapsed="false">
      <c r="A435" s="4" t="s">
        <v>947</v>
      </c>
      <c r="B435" s="4" t="s">
        <v>213</v>
      </c>
      <c r="C435" s="4" t="s">
        <v>214</v>
      </c>
      <c r="D435" s="7" t="s">
        <v>948</v>
      </c>
      <c r="E435" s="4" t="s">
        <v>216</v>
      </c>
      <c r="F435" s="4" t="s">
        <v>4</v>
      </c>
      <c r="G435" s="8" t="n">
        <v>1296.84700465202</v>
      </c>
      <c r="H435" s="6" t="n">
        <f aca="false">IF(G435="","",G435/SUMIFS($G$2:$G$671,$F$2:$F$671,"Served"))</f>
        <v>6.56150367457138E-005</v>
      </c>
      <c r="I435" s="4" t="n">
        <f aca="false">IF(G435="","",RANK(G435,$G$2:$G$671,0))</f>
        <v>434</v>
      </c>
      <c r="J435" s="4" t="s">
        <v>34</v>
      </c>
    </row>
    <row r="436" customFormat="false" ht="15" hidden="false" customHeight="false" outlineLevel="0" collapsed="false">
      <c r="A436" s="4" t="s">
        <v>949</v>
      </c>
      <c r="B436" s="4" t="s">
        <v>30</v>
      </c>
      <c r="C436" s="4" t="s">
        <v>287</v>
      </c>
      <c r="D436" s="7" t="s">
        <v>950</v>
      </c>
      <c r="E436" s="4" t="s">
        <v>33</v>
      </c>
      <c r="F436" s="4" t="s">
        <v>4</v>
      </c>
      <c r="G436" s="8" t="n">
        <v>1296.33485579491</v>
      </c>
      <c r="H436" s="6" t="n">
        <f aca="false">IF(G436="","",G436/SUMIFS($G$2:$G$671,$F$2:$F$671,"Served"))</f>
        <v>6.55891241546692E-005</v>
      </c>
      <c r="I436" s="4" t="n">
        <f aca="false">IF(G436="","",RANK(G436,$G$2:$G$671,0))</f>
        <v>435</v>
      </c>
      <c r="J436" s="4" t="s">
        <v>34</v>
      </c>
    </row>
    <row r="437" customFormat="false" ht="15" hidden="false" customHeight="false" outlineLevel="0" collapsed="false">
      <c r="A437" s="4" t="s">
        <v>951</v>
      </c>
      <c r="B437" s="4" t="s">
        <v>172</v>
      </c>
      <c r="C437" s="4" t="s">
        <v>173</v>
      </c>
      <c r="D437" s="7" t="s">
        <v>952</v>
      </c>
      <c r="E437" s="4" t="s">
        <v>175</v>
      </c>
      <c r="F437" s="4" t="s">
        <v>4</v>
      </c>
      <c r="G437" s="8" t="n">
        <v>1266.9254629612</v>
      </c>
      <c r="H437" s="6" t="n">
        <f aca="false">IF(G437="","",G437/SUMIFS($G$2:$G$671,$F$2:$F$671,"Served"))</f>
        <v>6.41011318282569E-005</v>
      </c>
      <c r="I437" s="4" t="n">
        <f aca="false">IF(G437="","",RANK(G437,$G$2:$G$671,0))</f>
        <v>436</v>
      </c>
      <c r="J437" s="4" t="s">
        <v>34</v>
      </c>
    </row>
    <row r="438" customFormat="false" ht="15" hidden="false" customHeight="false" outlineLevel="0" collapsed="false">
      <c r="A438" s="4" t="s">
        <v>953</v>
      </c>
      <c r="B438" s="4" t="s">
        <v>172</v>
      </c>
      <c r="C438" s="4" t="s">
        <v>173</v>
      </c>
      <c r="D438" s="7" t="s">
        <v>954</v>
      </c>
      <c r="E438" s="4" t="s">
        <v>175</v>
      </c>
      <c r="F438" s="4" t="s">
        <v>4</v>
      </c>
      <c r="G438" s="8" t="n">
        <v>1231.30097794533</v>
      </c>
      <c r="H438" s="6" t="n">
        <f aca="false">IF(G438="","",G438/SUMIFS($G$2:$G$671,$F$2:$F$671,"Served"))</f>
        <v>6.22986818206782E-005</v>
      </c>
      <c r="I438" s="4" t="n">
        <f aca="false">IF(G438="","",RANK(G438,$G$2:$G$671,0))</f>
        <v>437</v>
      </c>
      <c r="J438" s="4" t="s">
        <v>34</v>
      </c>
    </row>
    <row r="439" customFormat="false" ht="15" hidden="false" customHeight="false" outlineLevel="0" collapsed="false">
      <c r="A439" s="4" t="s">
        <v>955</v>
      </c>
      <c r="B439" s="4" t="s">
        <v>172</v>
      </c>
      <c r="C439" s="4" t="s">
        <v>173</v>
      </c>
      <c r="D439" s="7" t="s">
        <v>956</v>
      </c>
      <c r="E439" s="4" t="s">
        <v>175</v>
      </c>
      <c r="F439" s="4" t="s">
        <v>4</v>
      </c>
      <c r="G439" s="8" t="n">
        <v>1229.6244366169</v>
      </c>
      <c r="H439" s="6" t="n">
        <f aca="false">IF(G439="","",G439/SUMIFS($G$2:$G$671,$F$2:$F$671,"Served"))</f>
        <v>6.22138558385261E-005</v>
      </c>
      <c r="I439" s="4" t="n">
        <f aca="false">IF(G439="","",RANK(G439,$G$2:$G$671,0))</f>
        <v>438</v>
      </c>
      <c r="J439" s="4" t="s">
        <v>34</v>
      </c>
    </row>
    <row r="440" customFormat="false" ht="15" hidden="false" customHeight="false" outlineLevel="0" collapsed="false">
      <c r="A440" s="4" t="s">
        <v>957</v>
      </c>
      <c r="B440" s="4" t="s">
        <v>172</v>
      </c>
      <c r="C440" s="4" t="s">
        <v>173</v>
      </c>
      <c r="D440" s="7" t="s">
        <v>958</v>
      </c>
      <c r="E440" s="4" t="s">
        <v>175</v>
      </c>
      <c r="F440" s="4" t="s">
        <v>4</v>
      </c>
      <c r="G440" s="8" t="n">
        <v>1215.05461621285</v>
      </c>
      <c r="H440" s="6" t="n">
        <f aca="false">IF(G440="","",G440/SUMIFS($G$2:$G$671,$F$2:$F$671,"Served"))</f>
        <v>6.14766838376956E-005</v>
      </c>
      <c r="I440" s="4" t="n">
        <f aca="false">IF(G440="","",RANK(G440,$G$2:$G$671,0))</f>
        <v>439</v>
      </c>
      <c r="J440" s="4" t="s">
        <v>34</v>
      </c>
    </row>
    <row r="441" customFormat="false" ht="15" hidden="false" customHeight="false" outlineLevel="0" collapsed="false">
      <c r="A441" s="4" t="s">
        <v>959</v>
      </c>
      <c r="B441" s="4" t="s">
        <v>172</v>
      </c>
      <c r="C441" s="4" t="s">
        <v>173</v>
      </c>
      <c r="D441" s="7" t="s">
        <v>960</v>
      </c>
      <c r="E441" s="4" t="s">
        <v>175</v>
      </c>
      <c r="F441" s="4" t="s">
        <v>4</v>
      </c>
      <c r="G441" s="8" t="n">
        <v>1187.40462183952</v>
      </c>
      <c r="H441" s="6" t="n">
        <f aca="false">IF(G441="","",G441/SUMIFS($G$2:$G$671,$F$2:$F$671,"Served"))</f>
        <v>6.00777097179141E-005</v>
      </c>
      <c r="I441" s="4" t="n">
        <f aca="false">IF(G441="","",RANK(G441,$G$2:$G$671,0))</f>
        <v>440</v>
      </c>
      <c r="J441" s="4" t="s">
        <v>34</v>
      </c>
    </row>
    <row r="442" customFormat="false" ht="15" hidden="false" customHeight="false" outlineLevel="0" collapsed="false">
      <c r="A442" s="4" t="s">
        <v>961</v>
      </c>
      <c r="B442" s="4" t="s">
        <v>213</v>
      </c>
      <c r="C442" s="4" t="s">
        <v>214</v>
      </c>
      <c r="D442" s="7" t="s">
        <v>962</v>
      </c>
      <c r="E442" s="4" t="s">
        <v>216</v>
      </c>
      <c r="F442" s="4" t="s">
        <v>4</v>
      </c>
      <c r="G442" s="8" t="n">
        <v>1167.81002426148</v>
      </c>
      <c r="H442" s="6" t="n">
        <f aca="false">IF(G442="","",G442/SUMIFS($G$2:$G$671,$F$2:$F$671,"Served"))</f>
        <v>5.90863049990159E-005</v>
      </c>
      <c r="I442" s="4" t="n">
        <f aca="false">IF(G442="","",RANK(G442,$G$2:$G$671,0))</f>
        <v>441</v>
      </c>
      <c r="J442" s="4" t="s">
        <v>34</v>
      </c>
    </row>
    <row r="443" customFormat="false" ht="15" hidden="false" customHeight="false" outlineLevel="0" collapsed="false">
      <c r="A443" s="4" t="s">
        <v>963</v>
      </c>
      <c r="B443" s="4" t="s">
        <v>30</v>
      </c>
      <c r="C443" s="4" t="s">
        <v>31</v>
      </c>
      <c r="D443" s="7" t="s">
        <v>964</v>
      </c>
      <c r="E443" s="4" t="s">
        <v>33</v>
      </c>
      <c r="F443" s="4" t="s">
        <v>4</v>
      </c>
      <c r="G443" s="8" t="n">
        <v>1141.99611210823</v>
      </c>
      <c r="H443" s="6" t="n">
        <f aca="false">IF(G443="","",G443/SUMIFS($G$2:$G$671,$F$2:$F$671,"Served"))</f>
        <v>5.77802289635161E-005</v>
      </c>
      <c r="I443" s="4" t="n">
        <f aca="false">IF(G443="","",RANK(G443,$G$2:$G$671,0))</f>
        <v>442</v>
      </c>
      <c r="J443" s="4" t="s">
        <v>34</v>
      </c>
    </row>
    <row r="444" customFormat="false" ht="15" hidden="false" customHeight="false" outlineLevel="0" collapsed="false">
      <c r="A444" s="4" t="s">
        <v>965</v>
      </c>
      <c r="B444" s="4" t="s">
        <v>172</v>
      </c>
      <c r="C444" s="4" t="s">
        <v>173</v>
      </c>
      <c r="D444" s="7" t="s">
        <v>966</v>
      </c>
      <c r="E444" s="4" t="s">
        <v>175</v>
      </c>
      <c r="F444" s="4" t="s">
        <v>4</v>
      </c>
      <c r="G444" s="8" t="n">
        <v>1141.8424077034</v>
      </c>
      <c r="H444" s="6" t="n">
        <f aca="false">IF(G444="","",G444/SUMIFS($G$2:$G$671,$F$2:$F$671,"Served"))</f>
        <v>5.7772452163219E-005</v>
      </c>
      <c r="I444" s="4" t="n">
        <f aca="false">IF(G444="","",RANK(G444,$G$2:$G$671,0))</f>
        <v>443</v>
      </c>
      <c r="J444" s="4" t="s">
        <v>34</v>
      </c>
    </row>
    <row r="445" customFormat="false" ht="15" hidden="false" customHeight="false" outlineLevel="0" collapsed="false">
      <c r="A445" s="4" t="s">
        <v>967</v>
      </c>
      <c r="B445" s="4" t="s">
        <v>52</v>
      </c>
      <c r="C445" s="4" t="s">
        <v>165</v>
      </c>
      <c r="D445" s="7" t="s">
        <v>968</v>
      </c>
      <c r="E445" s="4" t="s">
        <v>33</v>
      </c>
      <c r="F445" s="4" t="s">
        <v>4</v>
      </c>
      <c r="G445" s="8" t="n">
        <v>1122.71824240685</v>
      </c>
      <c r="H445" s="6" t="n">
        <f aca="false">IF(G445="","",G445/SUMIFS($G$2:$G$671,$F$2:$F$671,"Served"))</f>
        <v>5.68048493510421E-005</v>
      </c>
      <c r="I445" s="4" t="n">
        <f aca="false">IF(G445="","",RANK(G445,$G$2:$G$671,0))</f>
        <v>444</v>
      </c>
      <c r="J445" s="4" t="s">
        <v>34</v>
      </c>
    </row>
    <row r="446" customFormat="false" ht="15" hidden="false" customHeight="false" outlineLevel="0" collapsed="false">
      <c r="A446" s="4" t="s">
        <v>969</v>
      </c>
      <c r="B446" s="4" t="s">
        <v>52</v>
      </c>
      <c r="C446" s="4" t="s">
        <v>613</v>
      </c>
      <c r="D446" s="7" t="s">
        <v>970</v>
      </c>
      <c r="E446" s="4" t="s">
        <v>33</v>
      </c>
      <c r="F446" s="4" t="s">
        <v>4</v>
      </c>
      <c r="G446" s="8" t="n">
        <v>1120.49294281006</v>
      </c>
      <c r="H446" s="6" t="n">
        <f aca="false">IF(G446="","",G446/SUMIFS($G$2:$G$671,$F$2:$F$671,"Served"))</f>
        <v>5.66922584946885E-005</v>
      </c>
      <c r="I446" s="4" t="n">
        <f aca="false">IF(G446="","",RANK(G446,$G$2:$G$671,0))</f>
        <v>445</v>
      </c>
      <c r="J446" s="4" t="s">
        <v>34</v>
      </c>
    </row>
    <row r="447" customFormat="false" ht="15" hidden="false" customHeight="false" outlineLevel="0" collapsed="false">
      <c r="A447" s="4" t="s">
        <v>971</v>
      </c>
      <c r="B447" s="4" t="s">
        <v>52</v>
      </c>
      <c r="C447" s="4" t="s">
        <v>227</v>
      </c>
      <c r="D447" s="7" t="s">
        <v>972</v>
      </c>
      <c r="E447" s="4" t="s">
        <v>33</v>
      </c>
      <c r="F447" s="4" t="s">
        <v>4</v>
      </c>
      <c r="G447" s="8" t="n">
        <v>1113.73350095749</v>
      </c>
      <c r="H447" s="6" t="n">
        <f aca="false">IF(G447="","",G447/SUMIFS($G$2:$G$671,$F$2:$F$671,"Served"))</f>
        <v>5.63502589959458E-005</v>
      </c>
      <c r="I447" s="4" t="n">
        <f aca="false">IF(G447="","",RANK(G447,$G$2:$G$671,0))</f>
        <v>446</v>
      </c>
      <c r="J447" s="4" t="s">
        <v>34</v>
      </c>
    </row>
    <row r="448" customFormat="false" ht="15" hidden="false" customHeight="false" outlineLevel="0" collapsed="false">
      <c r="A448" s="4" t="s">
        <v>973</v>
      </c>
      <c r="B448" s="4" t="s">
        <v>172</v>
      </c>
      <c r="C448" s="4" t="s">
        <v>173</v>
      </c>
      <c r="D448" s="7" t="s">
        <v>974</v>
      </c>
      <c r="E448" s="4" t="s">
        <v>175</v>
      </c>
      <c r="F448" s="4" t="s">
        <v>4</v>
      </c>
      <c r="G448" s="8" t="n">
        <v>1112.93689417839</v>
      </c>
      <c r="H448" s="6" t="n">
        <f aca="false">IF(G448="","",G448/SUMIFS($G$2:$G$671,$F$2:$F$671,"Served"))</f>
        <v>5.63099540232737E-005</v>
      </c>
      <c r="I448" s="4" t="n">
        <f aca="false">IF(G448="","",RANK(G448,$G$2:$G$671,0))</f>
        <v>447</v>
      </c>
      <c r="J448" s="4" t="s">
        <v>34</v>
      </c>
    </row>
    <row r="449" customFormat="false" ht="15" hidden="false" customHeight="false" outlineLevel="0" collapsed="false">
      <c r="A449" s="4" t="s">
        <v>975</v>
      </c>
      <c r="B449" s="4" t="s">
        <v>213</v>
      </c>
      <c r="C449" s="4" t="s">
        <v>214</v>
      </c>
      <c r="D449" s="7" t="s">
        <v>976</v>
      </c>
      <c r="E449" s="4" t="s">
        <v>216</v>
      </c>
      <c r="F449" s="4" t="s">
        <v>4</v>
      </c>
      <c r="G449" s="8" t="n">
        <v>1013.0677087307</v>
      </c>
      <c r="H449" s="6" t="n">
        <f aca="false">IF(G449="","",G449/SUMIFS($G$2:$G$671,$F$2:$F$671,"Served"))</f>
        <v>5.1256990759752E-005</v>
      </c>
      <c r="I449" s="4" t="n">
        <f aca="false">IF(G449="","",RANK(G449,$G$2:$G$671,0))</f>
        <v>448</v>
      </c>
      <c r="J449" s="4" t="s">
        <v>34</v>
      </c>
    </row>
    <row r="450" customFormat="false" ht="15" hidden="false" customHeight="false" outlineLevel="0" collapsed="false">
      <c r="A450" s="4" t="s">
        <v>977</v>
      </c>
      <c r="B450" s="4" t="s">
        <v>213</v>
      </c>
      <c r="C450" s="4" t="s">
        <v>214</v>
      </c>
      <c r="D450" s="7" t="s">
        <v>978</v>
      </c>
      <c r="E450" s="4" t="s">
        <v>216</v>
      </c>
      <c r="F450" s="4" t="s">
        <v>4</v>
      </c>
      <c r="G450" s="8" t="n">
        <v>1002.23788785934</v>
      </c>
      <c r="H450" s="6" t="n">
        <f aca="false">IF(G450="","",G450/SUMIFS($G$2:$G$671,$F$2:$F$671,"Served"))</f>
        <v>5.07090470995713E-005</v>
      </c>
      <c r="I450" s="4" t="n">
        <f aca="false">IF(G450="","",RANK(G450,$G$2:$G$671,0))</f>
        <v>449</v>
      </c>
      <c r="J450" s="4" t="s">
        <v>34</v>
      </c>
    </row>
    <row r="451" customFormat="false" ht="15" hidden="false" customHeight="false" outlineLevel="0" collapsed="false">
      <c r="A451" s="4" t="s">
        <v>979</v>
      </c>
      <c r="B451" s="4" t="s">
        <v>172</v>
      </c>
      <c r="C451" s="4" t="s">
        <v>173</v>
      </c>
      <c r="D451" s="7" t="s">
        <v>980</v>
      </c>
      <c r="E451" s="4" t="s">
        <v>175</v>
      </c>
      <c r="F451" s="4" t="s">
        <v>4</v>
      </c>
      <c r="G451" s="8" t="n">
        <v>938.020451068878</v>
      </c>
      <c r="H451" s="6" t="n">
        <f aca="false">IF(G451="","",G451/SUMIFS($G$2:$G$671,$F$2:$F$671,"Served"))</f>
        <v>4.74599132699006E-005</v>
      </c>
      <c r="I451" s="4" t="n">
        <f aca="false">IF(G451="","",RANK(G451,$G$2:$G$671,0))</f>
        <v>450</v>
      </c>
      <c r="J451" s="4" t="s">
        <v>34</v>
      </c>
    </row>
    <row r="452" customFormat="false" ht="15" hidden="false" customHeight="false" outlineLevel="0" collapsed="false">
      <c r="A452" s="4" t="s">
        <v>981</v>
      </c>
      <c r="B452" s="4" t="s">
        <v>213</v>
      </c>
      <c r="C452" s="4" t="s">
        <v>214</v>
      </c>
      <c r="D452" s="7" t="s">
        <v>982</v>
      </c>
      <c r="E452" s="4" t="s">
        <v>216</v>
      </c>
      <c r="F452" s="4" t="s">
        <v>4</v>
      </c>
      <c r="G452" s="8" t="n">
        <v>925.046834468842</v>
      </c>
      <c r="H452" s="6" t="n">
        <f aca="false">IF(G452="","",G452/SUMIFS($G$2:$G$671,$F$2:$F$671,"Served"))</f>
        <v>4.68035025083516E-005</v>
      </c>
      <c r="I452" s="4" t="n">
        <f aca="false">IF(G452="","",RANK(G452,$G$2:$G$671,0))</f>
        <v>451</v>
      </c>
      <c r="J452" s="4" t="s">
        <v>34</v>
      </c>
    </row>
    <row r="453" customFormat="false" ht="15" hidden="false" customHeight="false" outlineLevel="0" collapsed="false">
      <c r="A453" s="4" t="s">
        <v>983</v>
      </c>
      <c r="B453" s="4" t="s">
        <v>30</v>
      </c>
      <c r="C453" s="4" t="s">
        <v>984</v>
      </c>
      <c r="D453" s="7" t="s">
        <v>985</v>
      </c>
      <c r="E453" s="4" t="s">
        <v>33</v>
      </c>
      <c r="F453" s="4" t="s">
        <v>4</v>
      </c>
      <c r="G453" s="8" t="n">
        <v>906.03777050972</v>
      </c>
      <c r="H453" s="6" t="n">
        <f aca="false">IF(G453="","",G453/SUMIFS($G$2:$G$671,$F$2:$F$671,"Served"))</f>
        <v>4.58417233426481E-005</v>
      </c>
      <c r="I453" s="4" t="n">
        <f aca="false">IF(G453="","",RANK(G453,$G$2:$G$671,0))</f>
        <v>452</v>
      </c>
      <c r="J453" s="4" t="s">
        <v>34</v>
      </c>
    </row>
    <row r="454" customFormat="false" ht="15" hidden="false" customHeight="false" outlineLevel="0" collapsed="false">
      <c r="A454" s="4" t="s">
        <v>986</v>
      </c>
      <c r="B454" s="4" t="s">
        <v>213</v>
      </c>
      <c r="C454" s="4" t="s">
        <v>214</v>
      </c>
      <c r="D454" s="7" t="s">
        <v>987</v>
      </c>
      <c r="E454" s="4" t="s">
        <v>216</v>
      </c>
      <c r="F454" s="4" t="s">
        <v>4</v>
      </c>
      <c r="G454" s="8" t="n">
        <v>898.013609886169</v>
      </c>
      <c r="H454" s="6" t="n">
        <f aca="false">IF(G454="","",G454/SUMIFS($G$2:$G$671,$F$2:$F$671,"Served"))</f>
        <v>4.54357343614659E-005</v>
      </c>
      <c r="I454" s="4" t="n">
        <f aca="false">IF(G454="","",RANK(G454,$G$2:$G$671,0))</f>
        <v>453</v>
      </c>
      <c r="J454" s="4" t="s">
        <v>34</v>
      </c>
    </row>
    <row r="455" customFormat="false" ht="15" hidden="false" customHeight="false" outlineLevel="0" collapsed="false">
      <c r="A455" s="4" t="s">
        <v>988</v>
      </c>
      <c r="B455" s="4" t="s">
        <v>52</v>
      </c>
      <c r="C455" s="4" t="s">
        <v>165</v>
      </c>
      <c r="D455" s="7" t="s">
        <v>989</v>
      </c>
      <c r="E455" s="4" t="s">
        <v>33</v>
      </c>
      <c r="F455" s="4" t="s">
        <v>4</v>
      </c>
      <c r="G455" s="8" t="n">
        <v>885.313934803009</v>
      </c>
      <c r="H455" s="6" t="n">
        <f aca="false">IF(G455="","",G455/SUMIFS($G$2:$G$671,$F$2:$F$671,"Served"))</f>
        <v>4.47931838954117E-005</v>
      </c>
      <c r="I455" s="4" t="n">
        <f aca="false">IF(G455="","",RANK(G455,$G$2:$G$671,0))</f>
        <v>454</v>
      </c>
      <c r="J455" s="4" t="s">
        <v>34</v>
      </c>
    </row>
    <row r="456" customFormat="false" ht="15" hidden="false" customHeight="false" outlineLevel="0" collapsed="false">
      <c r="A456" s="4" t="s">
        <v>990</v>
      </c>
      <c r="B456" s="4" t="s">
        <v>213</v>
      </c>
      <c r="C456" s="4" t="s">
        <v>214</v>
      </c>
      <c r="D456" s="7" t="s">
        <v>991</v>
      </c>
      <c r="E456" s="4" t="s">
        <v>216</v>
      </c>
      <c r="F456" s="4" t="s">
        <v>4</v>
      </c>
      <c r="G456" s="8" t="n">
        <v>852.582120060921</v>
      </c>
      <c r="H456" s="6" t="n">
        <f aca="false">IF(G456="","",G456/SUMIFS($G$2:$G$671,$F$2:$F$671,"Served"))</f>
        <v>4.31370909103858E-005</v>
      </c>
      <c r="I456" s="4" t="n">
        <f aca="false">IF(G456="","",RANK(G456,$G$2:$G$671,0))</f>
        <v>455</v>
      </c>
      <c r="J456" s="4" t="s">
        <v>34</v>
      </c>
    </row>
    <row r="457" customFormat="false" ht="15" hidden="false" customHeight="false" outlineLevel="0" collapsed="false">
      <c r="A457" s="4" t="s">
        <v>992</v>
      </c>
      <c r="B457" s="4" t="s">
        <v>30</v>
      </c>
      <c r="C457" s="4" t="s">
        <v>984</v>
      </c>
      <c r="D457" s="7" t="s">
        <v>993</v>
      </c>
      <c r="E457" s="4" t="s">
        <v>33</v>
      </c>
      <c r="F457" s="4" t="s">
        <v>4</v>
      </c>
      <c r="G457" s="8" t="n">
        <v>837.694570541382</v>
      </c>
      <c r="H457" s="6" t="n">
        <f aca="false">IF(G457="","",G457/SUMIFS($G$2:$G$671,$F$2:$F$671,"Served"))</f>
        <v>4.23838431446324E-005</v>
      </c>
      <c r="I457" s="4" t="n">
        <f aca="false">IF(G457="","",RANK(G457,$G$2:$G$671,0))</f>
        <v>456</v>
      </c>
      <c r="J457" s="4" t="s">
        <v>34</v>
      </c>
    </row>
    <row r="458" customFormat="false" ht="15" hidden="false" customHeight="false" outlineLevel="0" collapsed="false">
      <c r="A458" s="4" t="s">
        <v>994</v>
      </c>
      <c r="B458" s="4" t="s">
        <v>172</v>
      </c>
      <c r="C458" s="4" t="s">
        <v>173</v>
      </c>
      <c r="D458" s="7" t="s">
        <v>995</v>
      </c>
      <c r="E458" s="4" t="s">
        <v>175</v>
      </c>
      <c r="F458" s="4" t="s">
        <v>4</v>
      </c>
      <c r="G458" s="8" t="n">
        <v>833.189802408218</v>
      </c>
      <c r="H458" s="6" t="n">
        <f aca="false">IF(G458="","",G458/SUMIFS($G$2:$G$671,$F$2:$F$671,"Served"))</f>
        <v>4.21559207100444E-005</v>
      </c>
      <c r="I458" s="4" t="n">
        <f aca="false">IF(G458="","",RANK(G458,$G$2:$G$671,0))</f>
        <v>457</v>
      </c>
      <c r="J458" s="4" t="s">
        <v>34</v>
      </c>
    </row>
    <row r="459" customFormat="false" ht="15" hidden="false" customHeight="false" outlineLevel="0" collapsed="false">
      <c r="A459" s="4" t="s">
        <v>996</v>
      </c>
      <c r="B459" s="4" t="s">
        <v>52</v>
      </c>
      <c r="C459" s="4" t="s">
        <v>165</v>
      </c>
      <c r="D459" s="7" t="s">
        <v>997</v>
      </c>
      <c r="E459" s="4" t="s">
        <v>33</v>
      </c>
      <c r="F459" s="4" t="s">
        <v>4</v>
      </c>
      <c r="G459" s="8" t="n">
        <v>809.69309091568</v>
      </c>
      <c r="H459" s="6" t="n">
        <f aca="false">IF(G459="","",G459/SUMIFS($G$2:$G$671,$F$2:$F$671,"Served"))</f>
        <v>4.09670853405244E-005</v>
      </c>
      <c r="I459" s="4" t="n">
        <f aca="false">IF(G459="","",RANK(G459,$G$2:$G$671,0))</f>
        <v>458</v>
      </c>
      <c r="J459" s="4" t="s">
        <v>34</v>
      </c>
    </row>
    <row r="460" customFormat="false" ht="15" hidden="false" customHeight="false" outlineLevel="0" collapsed="false">
      <c r="A460" s="4" t="s">
        <v>998</v>
      </c>
      <c r="B460" s="4" t="s">
        <v>52</v>
      </c>
      <c r="C460" s="4" t="s">
        <v>200</v>
      </c>
      <c r="D460" s="7" t="s">
        <v>999</v>
      </c>
      <c r="E460" s="4" t="s">
        <v>33</v>
      </c>
      <c r="F460" s="4" t="s">
        <v>4</v>
      </c>
      <c r="G460" s="8" t="n">
        <v>771.338381767273</v>
      </c>
      <c r="H460" s="6" t="n">
        <f aca="false">IF(G460="","",G460/SUMIFS($G$2:$G$671,$F$2:$F$671,"Served"))</f>
        <v>3.90264974060061E-005</v>
      </c>
      <c r="I460" s="4" t="n">
        <f aca="false">IF(G460="","",RANK(G460,$G$2:$G$671,0))</f>
        <v>459</v>
      </c>
      <c r="J460" s="4" t="s">
        <v>34</v>
      </c>
    </row>
    <row r="461" customFormat="false" ht="15" hidden="false" customHeight="false" outlineLevel="0" collapsed="false">
      <c r="A461" s="4" t="s">
        <v>1000</v>
      </c>
      <c r="B461" s="4" t="s">
        <v>213</v>
      </c>
      <c r="C461" s="4" t="s">
        <v>214</v>
      </c>
      <c r="D461" s="7" t="s">
        <v>1001</v>
      </c>
      <c r="E461" s="4" t="s">
        <v>216</v>
      </c>
      <c r="F461" s="4" t="s">
        <v>4</v>
      </c>
      <c r="G461" s="8" t="n">
        <v>761.977650642395</v>
      </c>
      <c r="H461" s="6" t="n">
        <f aca="false">IF(G461="","",G461/SUMIFS($G$2:$G$671,$F$2:$F$671,"Served"))</f>
        <v>3.85528835452174E-005</v>
      </c>
      <c r="I461" s="4" t="n">
        <f aca="false">IF(G461="","",RANK(G461,$G$2:$G$671,0))</f>
        <v>460</v>
      </c>
      <c r="J461" s="4" t="s">
        <v>34</v>
      </c>
    </row>
    <row r="462" customFormat="false" ht="15" hidden="false" customHeight="false" outlineLevel="0" collapsed="false">
      <c r="A462" s="4" t="s">
        <v>1002</v>
      </c>
      <c r="B462" s="4" t="s">
        <v>213</v>
      </c>
      <c r="C462" s="4" t="s">
        <v>214</v>
      </c>
      <c r="D462" s="7" t="s">
        <v>1003</v>
      </c>
      <c r="E462" s="4" t="s">
        <v>216</v>
      </c>
      <c r="F462" s="4" t="s">
        <v>4</v>
      </c>
      <c r="G462" s="8" t="n">
        <v>760.420716047287</v>
      </c>
      <c r="H462" s="6" t="n">
        <f aca="false">IF(G462="","",G462/SUMIFS($G$2:$G$671,$F$2:$F$671,"Served"))</f>
        <v>3.8474109163735E-005</v>
      </c>
      <c r="I462" s="4" t="n">
        <f aca="false">IF(G462="","",RANK(G462,$G$2:$G$671,0))</f>
        <v>461</v>
      </c>
      <c r="J462" s="4" t="s">
        <v>34</v>
      </c>
    </row>
    <row r="463" customFormat="false" ht="15" hidden="false" customHeight="false" outlineLevel="0" collapsed="false">
      <c r="A463" s="4" t="s">
        <v>1004</v>
      </c>
      <c r="B463" s="4" t="s">
        <v>71</v>
      </c>
      <c r="C463" s="4" t="s">
        <v>72</v>
      </c>
      <c r="D463" s="7" t="s">
        <v>1005</v>
      </c>
      <c r="E463" s="4" t="s">
        <v>74</v>
      </c>
      <c r="F463" s="4" t="s">
        <v>4</v>
      </c>
      <c r="G463" s="8" t="n">
        <v>753.19761300087</v>
      </c>
      <c r="H463" s="6" t="n">
        <f aca="false">IF(G463="","",G463/SUMIFS($G$2:$G$671,$F$2:$F$671,"Served"))</f>
        <v>3.81086503469983E-005</v>
      </c>
      <c r="I463" s="4" t="n">
        <f aca="false">IF(G463="","",RANK(G463,$G$2:$G$671,0))</f>
        <v>462</v>
      </c>
      <c r="J463" s="4" t="s">
        <v>34</v>
      </c>
    </row>
    <row r="464" customFormat="false" ht="15" hidden="false" customHeight="false" outlineLevel="0" collapsed="false">
      <c r="A464" s="4" t="s">
        <v>1006</v>
      </c>
      <c r="B464" s="4" t="s">
        <v>213</v>
      </c>
      <c r="C464" s="4" t="s">
        <v>214</v>
      </c>
      <c r="D464" s="7" t="s">
        <v>1007</v>
      </c>
      <c r="E464" s="4" t="s">
        <v>216</v>
      </c>
      <c r="F464" s="4" t="s">
        <v>4</v>
      </c>
      <c r="G464" s="8" t="n">
        <v>751.576154470444</v>
      </c>
      <c r="H464" s="6" t="n">
        <f aca="false">IF(G464="","",G464/SUMIFS($G$2:$G$671,$F$2:$F$671,"Served"))</f>
        <v>3.80266113241421E-005</v>
      </c>
      <c r="I464" s="4" t="n">
        <f aca="false">IF(G464="","",RANK(G464,$G$2:$G$671,0))</f>
        <v>463</v>
      </c>
      <c r="J464" s="4" t="s">
        <v>34</v>
      </c>
    </row>
    <row r="465" customFormat="false" ht="15" hidden="false" customHeight="false" outlineLevel="0" collapsed="false">
      <c r="A465" s="4" t="s">
        <v>1008</v>
      </c>
      <c r="B465" s="4" t="s">
        <v>172</v>
      </c>
      <c r="C465" s="4" t="s">
        <v>173</v>
      </c>
      <c r="D465" s="7" t="s">
        <v>1009</v>
      </c>
      <c r="E465" s="4" t="s">
        <v>175</v>
      </c>
      <c r="F465" s="4" t="s">
        <v>4</v>
      </c>
      <c r="G465" s="8" t="n">
        <v>750.633952856064</v>
      </c>
      <c r="H465" s="6" t="n">
        <f aca="false">IF(G465="","",G465/SUMIFS($G$2:$G$671,$F$2:$F$671,"Served"))</f>
        <v>3.79789398614888E-005</v>
      </c>
      <c r="I465" s="4" t="n">
        <f aca="false">IF(G465="","",RANK(G465,$G$2:$G$671,0))</f>
        <v>464</v>
      </c>
      <c r="J465" s="4" t="s">
        <v>34</v>
      </c>
    </row>
    <row r="466" customFormat="false" ht="15" hidden="false" customHeight="false" outlineLevel="0" collapsed="false">
      <c r="A466" s="4" t="s">
        <v>1010</v>
      </c>
      <c r="B466" s="4" t="s">
        <v>172</v>
      </c>
      <c r="C466" s="4" t="s">
        <v>173</v>
      </c>
      <c r="D466" s="7" t="s">
        <v>1011</v>
      </c>
      <c r="E466" s="4" t="s">
        <v>175</v>
      </c>
      <c r="F466" s="4" t="s">
        <v>4</v>
      </c>
      <c r="G466" s="8" t="n">
        <v>743.619786024094</v>
      </c>
      <c r="H466" s="6" t="n">
        <f aca="false">IF(G466="","",G466/SUMIFS($G$2:$G$671,$F$2:$F$671,"Served"))</f>
        <v>3.76240523437096E-005</v>
      </c>
      <c r="I466" s="4" t="n">
        <f aca="false">IF(G466="","",RANK(G466,$G$2:$G$671,0))</f>
        <v>465</v>
      </c>
      <c r="J466" s="4" t="s">
        <v>34</v>
      </c>
    </row>
    <row r="467" customFormat="false" ht="15" hidden="false" customHeight="false" outlineLevel="0" collapsed="false">
      <c r="A467" s="4" t="s">
        <v>1012</v>
      </c>
      <c r="B467" s="4" t="s">
        <v>172</v>
      </c>
      <c r="C467" s="4" t="s">
        <v>173</v>
      </c>
      <c r="D467" s="7" t="s">
        <v>1013</v>
      </c>
      <c r="E467" s="4" t="s">
        <v>175</v>
      </c>
      <c r="F467" s="4" t="s">
        <v>4</v>
      </c>
      <c r="G467" s="8" t="n">
        <v>735.460062503815</v>
      </c>
      <c r="H467" s="6" t="n">
        <f aca="false">IF(G467="","",G467/SUMIFS($G$2:$G$671,$F$2:$F$671,"Served"))</f>
        <v>3.72112044466968E-005</v>
      </c>
      <c r="I467" s="4" t="n">
        <f aca="false">IF(G467="","",RANK(G467,$G$2:$G$671,0))</f>
        <v>466</v>
      </c>
      <c r="J467" s="4" t="s">
        <v>34</v>
      </c>
    </row>
    <row r="468" customFormat="false" ht="15" hidden="false" customHeight="false" outlineLevel="0" collapsed="false">
      <c r="A468" s="4" t="s">
        <v>1014</v>
      </c>
      <c r="B468" s="4" t="s">
        <v>172</v>
      </c>
      <c r="C468" s="4" t="s">
        <v>173</v>
      </c>
      <c r="D468" s="7" t="s">
        <v>1015</v>
      </c>
      <c r="E468" s="4" t="s">
        <v>175</v>
      </c>
      <c r="F468" s="4" t="s">
        <v>4</v>
      </c>
      <c r="G468" s="8" t="n">
        <v>711.471548557282</v>
      </c>
      <c r="H468" s="6" t="n">
        <f aca="false">IF(G468="","",G468/SUMIFS($G$2:$G$671,$F$2:$F$671,"Served"))</f>
        <v>3.59974859290686E-005</v>
      </c>
      <c r="I468" s="4" t="n">
        <f aca="false">IF(G468="","",RANK(G468,$G$2:$G$671,0))</f>
        <v>467</v>
      </c>
      <c r="J468" s="4" t="s">
        <v>34</v>
      </c>
    </row>
    <row r="469" customFormat="false" ht="15" hidden="false" customHeight="false" outlineLevel="0" collapsed="false">
      <c r="A469" s="4" t="s">
        <v>1016</v>
      </c>
      <c r="B469" s="4" t="s">
        <v>213</v>
      </c>
      <c r="C469" s="4" t="s">
        <v>214</v>
      </c>
      <c r="D469" s="7" t="s">
        <v>1017</v>
      </c>
      <c r="E469" s="4" t="s">
        <v>216</v>
      </c>
      <c r="F469" s="4" t="s">
        <v>4</v>
      </c>
      <c r="G469" s="8" t="n">
        <v>695.755780935288</v>
      </c>
      <c r="H469" s="6" t="n">
        <f aca="false">IF(G469="","",G469/SUMIFS($G$2:$G$671,$F$2:$F$671,"Served"))</f>
        <v>3.52023337898377E-005</v>
      </c>
      <c r="I469" s="4" t="n">
        <f aca="false">IF(G469="","",RANK(G469,$G$2:$G$671,0))</f>
        <v>468</v>
      </c>
      <c r="J469" s="4" t="s">
        <v>34</v>
      </c>
    </row>
    <row r="470" customFormat="false" ht="15" hidden="false" customHeight="false" outlineLevel="0" collapsed="false">
      <c r="A470" s="4" t="s">
        <v>1018</v>
      </c>
      <c r="B470" s="4" t="s">
        <v>52</v>
      </c>
      <c r="C470" s="4" t="s">
        <v>302</v>
      </c>
      <c r="D470" s="7" t="s">
        <v>1019</v>
      </c>
      <c r="E470" s="4" t="s">
        <v>33</v>
      </c>
      <c r="F470" s="4" t="s">
        <v>4</v>
      </c>
      <c r="G470" s="8" t="n">
        <v>691.051010131836</v>
      </c>
      <c r="H470" s="6" t="n">
        <f aca="false">IF(G470="","",G470/SUMIFS($G$2:$G$671,$F$2:$F$671,"Served"))</f>
        <v>3.49642920562783E-005</v>
      </c>
      <c r="I470" s="4" t="n">
        <f aca="false">IF(G470="","",RANK(G470,$G$2:$G$671,0))</f>
        <v>469</v>
      </c>
      <c r="J470" s="4" t="s">
        <v>34</v>
      </c>
    </row>
    <row r="471" customFormat="false" ht="15" hidden="false" customHeight="false" outlineLevel="0" collapsed="false">
      <c r="A471" s="4" t="s">
        <v>1020</v>
      </c>
      <c r="B471" s="4" t="s">
        <v>172</v>
      </c>
      <c r="C471" s="4" t="s">
        <v>173</v>
      </c>
      <c r="D471" s="7" t="s">
        <v>1021</v>
      </c>
      <c r="E471" s="4" t="s">
        <v>175</v>
      </c>
      <c r="F471" s="4" t="s">
        <v>4</v>
      </c>
      <c r="G471" s="8" t="n">
        <v>678.448967576027</v>
      </c>
      <c r="H471" s="6" t="n">
        <f aca="false">IF(G471="","",G471/SUMIFS($G$2:$G$671,$F$2:$F$671,"Served"))</f>
        <v>3.43266813879386E-005</v>
      </c>
      <c r="I471" s="4" t="n">
        <f aca="false">IF(G471="","",RANK(G471,$G$2:$G$671,0))</f>
        <v>470</v>
      </c>
      <c r="J471" s="4" t="s">
        <v>34</v>
      </c>
    </row>
    <row r="472" customFormat="false" ht="15" hidden="false" customHeight="false" outlineLevel="0" collapsed="false">
      <c r="A472" s="4" t="s">
        <v>1022</v>
      </c>
      <c r="B472" s="4" t="s">
        <v>52</v>
      </c>
      <c r="C472" s="4" t="s">
        <v>165</v>
      </c>
      <c r="D472" s="7" t="s">
        <v>1023</v>
      </c>
      <c r="E472" s="4" t="s">
        <v>33</v>
      </c>
      <c r="F472" s="4" t="s">
        <v>4</v>
      </c>
      <c r="G472" s="8" t="n">
        <v>628.744631767273</v>
      </c>
      <c r="H472" s="6" t="n">
        <f aca="false">IF(G472="","",G472/SUMIFS($G$2:$G$671,$F$2:$F$671,"Served"))</f>
        <v>3.18118497934532E-005</v>
      </c>
      <c r="I472" s="4" t="n">
        <f aca="false">IF(G472="","",RANK(G472,$G$2:$G$671,0))</f>
        <v>471</v>
      </c>
      <c r="J472" s="4" t="s">
        <v>34</v>
      </c>
    </row>
    <row r="473" customFormat="false" ht="15" hidden="false" customHeight="false" outlineLevel="0" collapsed="false">
      <c r="A473" s="4" t="s">
        <v>1024</v>
      </c>
      <c r="B473" s="4" t="s">
        <v>52</v>
      </c>
      <c r="C473" s="4" t="s">
        <v>349</v>
      </c>
      <c r="D473" s="7" t="s">
        <v>1025</v>
      </c>
      <c r="E473" s="4" t="s">
        <v>33</v>
      </c>
      <c r="F473" s="4" t="s">
        <v>4</v>
      </c>
      <c r="G473" s="8" t="n">
        <v>612.969019651413</v>
      </c>
      <c r="H473" s="6" t="n">
        <f aca="false">IF(G473="","",G473/SUMIFS($G$2:$G$671,$F$2:$F$671,"Served"))</f>
        <v>3.10136697730228E-005</v>
      </c>
      <c r="I473" s="4" t="n">
        <f aca="false">IF(G473="","",RANK(G473,$G$2:$G$671,0))</f>
        <v>472</v>
      </c>
      <c r="J473" s="4" t="s">
        <v>34</v>
      </c>
    </row>
    <row r="474" customFormat="false" ht="15" hidden="false" customHeight="false" outlineLevel="0" collapsed="false">
      <c r="A474" s="4" t="s">
        <v>1026</v>
      </c>
      <c r="B474" s="4" t="s">
        <v>213</v>
      </c>
      <c r="C474" s="4" t="s">
        <v>214</v>
      </c>
      <c r="D474" s="7" t="s">
        <v>1027</v>
      </c>
      <c r="E474" s="4" t="s">
        <v>216</v>
      </c>
      <c r="F474" s="4" t="s">
        <v>4</v>
      </c>
      <c r="G474" s="8" t="n">
        <v>610.26434135437</v>
      </c>
      <c r="H474" s="6" t="n">
        <f aca="false">IF(G474="","",G474/SUMIFS($G$2:$G$671,$F$2:$F$671,"Served"))</f>
        <v>3.08768243585605E-005</v>
      </c>
      <c r="I474" s="4" t="n">
        <f aca="false">IF(G474="","",RANK(G474,$G$2:$G$671,0))</f>
        <v>473</v>
      </c>
      <c r="J474" s="4" t="s">
        <v>34</v>
      </c>
    </row>
    <row r="475" customFormat="false" ht="15" hidden="false" customHeight="false" outlineLevel="0" collapsed="false">
      <c r="A475" s="4" t="s">
        <v>1028</v>
      </c>
      <c r="B475" s="4" t="s">
        <v>213</v>
      </c>
      <c r="C475" s="4" t="s">
        <v>214</v>
      </c>
      <c r="D475" s="7" t="s">
        <v>1029</v>
      </c>
      <c r="E475" s="4" t="s">
        <v>216</v>
      </c>
      <c r="F475" s="4" t="s">
        <v>4</v>
      </c>
      <c r="G475" s="8" t="n">
        <v>595.666868209839</v>
      </c>
      <c r="H475" s="6" t="n">
        <f aca="false">IF(G475="","",G475/SUMIFS($G$2:$G$671,$F$2:$F$671,"Served"))</f>
        <v>3.01382532446688E-005</v>
      </c>
      <c r="I475" s="4" t="n">
        <f aca="false">IF(G475="","",RANK(G475,$G$2:$G$671,0))</f>
        <v>474</v>
      </c>
      <c r="J475" s="4" t="s">
        <v>34</v>
      </c>
    </row>
    <row r="476" customFormat="false" ht="15" hidden="false" customHeight="false" outlineLevel="0" collapsed="false">
      <c r="A476" s="4" t="s">
        <v>1030</v>
      </c>
      <c r="B476" s="4" t="s">
        <v>30</v>
      </c>
      <c r="C476" s="4" t="s">
        <v>287</v>
      </c>
      <c r="D476" s="7" t="s">
        <v>1031</v>
      </c>
      <c r="E476" s="4" t="s">
        <v>33</v>
      </c>
      <c r="F476" s="4" t="s">
        <v>4</v>
      </c>
      <c r="G476" s="8" t="n">
        <v>590.424523591995</v>
      </c>
      <c r="H476" s="6" t="n">
        <f aca="false">IF(G476="","",G476/SUMIFS($G$2:$G$671,$F$2:$F$671,"Served"))</f>
        <v>2.987301252352E-005</v>
      </c>
      <c r="I476" s="4" t="n">
        <f aca="false">IF(G476="","",RANK(G476,$G$2:$G$671,0))</f>
        <v>475</v>
      </c>
      <c r="J476" s="4" t="s">
        <v>34</v>
      </c>
    </row>
    <row r="477" customFormat="false" ht="15" hidden="false" customHeight="false" outlineLevel="0" collapsed="false">
      <c r="A477" s="4" t="s">
        <v>1032</v>
      </c>
      <c r="B477" s="4" t="s">
        <v>172</v>
      </c>
      <c r="C477" s="4" t="s">
        <v>173</v>
      </c>
      <c r="D477" s="7" t="s">
        <v>1033</v>
      </c>
      <c r="E477" s="4" t="s">
        <v>175</v>
      </c>
      <c r="F477" s="4" t="s">
        <v>4</v>
      </c>
      <c r="G477" s="8" t="n">
        <v>579.729963302612</v>
      </c>
      <c r="H477" s="6" t="n">
        <f aca="false">IF(G477="","",G477/SUMIFS($G$2:$G$671,$F$2:$F$671,"Served"))</f>
        <v>2.93319124833072E-005</v>
      </c>
      <c r="I477" s="4" t="n">
        <f aca="false">IF(G477="","",RANK(G477,$G$2:$G$671,0))</f>
        <v>476</v>
      </c>
      <c r="J477" s="4" t="s">
        <v>34</v>
      </c>
    </row>
    <row r="478" customFormat="false" ht="15" hidden="false" customHeight="false" outlineLevel="0" collapsed="false">
      <c r="A478" s="4" t="s">
        <v>1034</v>
      </c>
      <c r="B478" s="4" t="s">
        <v>172</v>
      </c>
      <c r="C478" s="4" t="s">
        <v>173</v>
      </c>
      <c r="D478" s="7" t="s">
        <v>1035</v>
      </c>
      <c r="E478" s="4" t="s">
        <v>175</v>
      </c>
      <c r="F478" s="4" t="s">
        <v>4</v>
      </c>
      <c r="G478" s="8" t="n">
        <v>478.498542547226</v>
      </c>
      <c r="H478" s="6" t="n">
        <f aca="false">IF(G478="","",G478/SUMIFS($G$2:$G$671,$F$2:$F$671,"Served"))</f>
        <v>2.42100258082728E-005</v>
      </c>
      <c r="I478" s="4" t="n">
        <f aca="false">IF(G478="","",RANK(G478,$G$2:$G$671,0))</f>
        <v>477</v>
      </c>
      <c r="J478" s="4" t="s">
        <v>34</v>
      </c>
    </row>
    <row r="479" customFormat="false" ht="15" hidden="false" customHeight="false" outlineLevel="0" collapsed="false">
      <c r="A479" s="4" t="s">
        <v>1036</v>
      </c>
      <c r="B479" s="4" t="s">
        <v>213</v>
      </c>
      <c r="C479" s="4" t="s">
        <v>214</v>
      </c>
      <c r="D479" s="7" t="s">
        <v>1037</v>
      </c>
      <c r="E479" s="4" t="s">
        <v>216</v>
      </c>
      <c r="F479" s="4" t="s">
        <v>4</v>
      </c>
      <c r="G479" s="8" t="n">
        <v>476.965352296829</v>
      </c>
      <c r="H479" s="6" t="n">
        <f aca="false">IF(G479="","",G479/SUMIFS($G$2:$G$671,$F$2:$F$671,"Served"))</f>
        <v>2.41324527913656E-005</v>
      </c>
      <c r="I479" s="4" t="n">
        <f aca="false">IF(G479="","",RANK(G479,$G$2:$G$671,0))</f>
        <v>478</v>
      </c>
      <c r="J479" s="4" t="s">
        <v>34</v>
      </c>
    </row>
    <row r="480" customFormat="false" ht="15" hidden="false" customHeight="false" outlineLevel="0" collapsed="false">
      <c r="A480" s="4" t="s">
        <v>1038</v>
      </c>
      <c r="B480" s="4" t="s">
        <v>30</v>
      </c>
      <c r="C480" s="4" t="s">
        <v>31</v>
      </c>
      <c r="D480" s="7" t="s">
        <v>1039</v>
      </c>
      <c r="E480" s="4" t="s">
        <v>33</v>
      </c>
      <c r="F480" s="4" t="s">
        <v>4</v>
      </c>
      <c r="G480" s="8" t="n">
        <v>476.498277664185</v>
      </c>
      <c r="H480" s="6" t="n">
        <f aca="false">IF(G480="","",G480/SUMIFS($G$2:$G$671,$F$2:$F$671,"Served"))</f>
        <v>2.41088207676388E-005</v>
      </c>
      <c r="I480" s="4" t="n">
        <f aca="false">IF(G480="","",RANK(G480,$G$2:$G$671,0))</f>
        <v>479</v>
      </c>
      <c r="J480" s="4" t="s">
        <v>34</v>
      </c>
    </row>
    <row r="481" customFormat="false" ht="15" hidden="false" customHeight="false" outlineLevel="0" collapsed="false">
      <c r="A481" s="4" t="s">
        <v>1040</v>
      </c>
      <c r="B481" s="4" t="s">
        <v>52</v>
      </c>
      <c r="C481" s="4" t="s">
        <v>796</v>
      </c>
      <c r="D481" s="7" t="s">
        <v>1041</v>
      </c>
      <c r="E481" s="4" t="s">
        <v>33</v>
      </c>
      <c r="F481" s="4" t="s">
        <v>4</v>
      </c>
      <c r="G481" s="8" t="n">
        <v>462.773740530014</v>
      </c>
      <c r="H481" s="6" t="n">
        <f aca="false">IF(G481="","",G481/SUMIFS($G$2:$G$671,$F$2:$F$671,"Served"))</f>
        <v>2.34144165664137E-005</v>
      </c>
      <c r="I481" s="4" t="n">
        <f aca="false">IF(G481="","",RANK(G481,$G$2:$G$671,0))</f>
        <v>480</v>
      </c>
      <c r="J481" s="4" t="s">
        <v>34</v>
      </c>
    </row>
    <row r="482" customFormat="false" ht="15" hidden="false" customHeight="false" outlineLevel="0" collapsed="false">
      <c r="A482" s="4" t="s">
        <v>1042</v>
      </c>
      <c r="B482" s="4" t="s">
        <v>125</v>
      </c>
      <c r="C482" s="4" t="s">
        <v>126</v>
      </c>
      <c r="D482" s="7" t="s">
        <v>1043</v>
      </c>
      <c r="E482" s="4" t="s">
        <v>128</v>
      </c>
      <c r="F482" s="4" t="s">
        <v>4</v>
      </c>
      <c r="G482" s="8" t="n">
        <v>451.694448709488</v>
      </c>
      <c r="H482" s="6" t="n">
        <f aca="false">IF(G482="","",G482/SUMIFS($G$2:$G$671,$F$2:$F$671,"Served"))</f>
        <v>2.28538507191607E-005</v>
      </c>
      <c r="I482" s="4" t="n">
        <f aca="false">IF(G482="","",RANK(G482,$G$2:$G$671,0))</f>
        <v>481</v>
      </c>
      <c r="J482" s="4" t="s">
        <v>34</v>
      </c>
    </row>
    <row r="483" customFormat="false" ht="15" hidden="false" customHeight="false" outlineLevel="0" collapsed="false">
      <c r="A483" s="4" t="s">
        <v>1044</v>
      </c>
      <c r="B483" s="4" t="s">
        <v>125</v>
      </c>
      <c r="C483" s="4" t="s">
        <v>126</v>
      </c>
      <c r="D483" s="7" t="s">
        <v>1045</v>
      </c>
      <c r="E483" s="4" t="s">
        <v>128</v>
      </c>
      <c r="F483" s="4" t="s">
        <v>4</v>
      </c>
      <c r="G483" s="8" t="n">
        <v>451.553461313248</v>
      </c>
      <c r="H483" s="6" t="n">
        <f aca="false">IF(G483="","",G483/SUMIFS($G$2:$G$671,$F$2:$F$671,"Served"))</f>
        <v>2.28467173463327E-005</v>
      </c>
      <c r="I483" s="4" t="n">
        <f aca="false">IF(G483="","",RANK(G483,$G$2:$G$671,0))</f>
        <v>482</v>
      </c>
      <c r="J483" s="4" t="s">
        <v>34</v>
      </c>
    </row>
    <row r="484" customFormat="false" ht="15" hidden="false" customHeight="false" outlineLevel="0" collapsed="false">
      <c r="A484" s="4" t="s">
        <v>1046</v>
      </c>
      <c r="B484" s="4" t="s">
        <v>172</v>
      </c>
      <c r="C484" s="4" t="s">
        <v>173</v>
      </c>
      <c r="D484" s="7" t="s">
        <v>1047</v>
      </c>
      <c r="E484" s="4" t="s">
        <v>175</v>
      </c>
      <c r="F484" s="4" t="s">
        <v>4</v>
      </c>
      <c r="G484" s="8" t="n">
        <v>416.923139333725</v>
      </c>
      <c r="H484" s="6" t="n">
        <f aca="false">IF(G484="","",G484/SUMIFS($G$2:$G$671,$F$2:$F$671,"Served"))</f>
        <v>2.10945678321254E-005</v>
      </c>
      <c r="I484" s="4" t="n">
        <f aca="false">IF(G484="","",RANK(G484,$G$2:$G$671,0))</f>
        <v>483</v>
      </c>
      <c r="J484" s="4" t="s">
        <v>34</v>
      </c>
    </row>
    <row r="485" customFormat="false" ht="15" hidden="false" customHeight="false" outlineLevel="0" collapsed="false">
      <c r="A485" s="4" t="s">
        <v>1048</v>
      </c>
      <c r="B485" s="4" t="s">
        <v>213</v>
      </c>
      <c r="C485" s="4" t="s">
        <v>214</v>
      </c>
      <c r="D485" s="7" t="s">
        <v>1049</v>
      </c>
      <c r="E485" s="4" t="s">
        <v>216</v>
      </c>
      <c r="F485" s="4" t="s">
        <v>4</v>
      </c>
      <c r="G485" s="8" t="n">
        <v>404.704236507416</v>
      </c>
      <c r="H485" s="6" t="n">
        <f aca="false">IF(G485="","",G485/SUMIFS($G$2:$G$671,$F$2:$F$671,"Served"))</f>
        <v>2.04763424323175E-005</v>
      </c>
      <c r="I485" s="4" t="n">
        <f aca="false">IF(G485="","",RANK(G485,$G$2:$G$671,0))</f>
        <v>484</v>
      </c>
      <c r="J485" s="4" t="s">
        <v>34</v>
      </c>
    </row>
    <row r="486" customFormat="false" ht="15" hidden="false" customHeight="false" outlineLevel="0" collapsed="false">
      <c r="A486" s="4" t="s">
        <v>1050</v>
      </c>
      <c r="B486" s="4" t="s">
        <v>172</v>
      </c>
      <c r="C486" s="4" t="s">
        <v>173</v>
      </c>
      <c r="D486" s="7" t="s">
        <v>1051</v>
      </c>
      <c r="E486" s="4" t="s">
        <v>175</v>
      </c>
      <c r="F486" s="4" t="s">
        <v>4</v>
      </c>
      <c r="G486" s="8" t="n">
        <v>377.113759756088</v>
      </c>
      <c r="H486" s="6" t="n">
        <f aca="false">IF(G486="","",G486/SUMIFS($G$2:$G$671,$F$2:$F$671,"Served"))</f>
        <v>1.90803796553854E-005</v>
      </c>
      <c r="I486" s="4" t="n">
        <f aca="false">IF(G486="","",RANK(G486,$G$2:$G$671,0))</f>
        <v>485</v>
      </c>
      <c r="J486" s="4" t="s">
        <v>34</v>
      </c>
    </row>
    <row r="487" customFormat="false" ht="15" hidden="false" customHeight="false" outlineLevel="0" collapsed="false">
      <c r="A487" s="4" t="s">
        <v>1052</v>
      </c>
      <c r="B487" s="4" t="s">
        <v>30</v>
      </c>
      <c r="C487" s="4" t="s">
        <v>984</v>
      </c>
      <c r="D487" s="7" t="s">
        <v>1053</v>
      </c>
      <c r="E487" s="4" t="s">
        <v>33</v>
      </c>
      <c r="F487" s="4" t="s">
        <v>4</v>
      </c>
      <c r="G487" s="8" t="n">
        <v>357.219540596008</v>
      </c>
      <c r="H487" s="6" t="n">
        <f aca="false">IF(G487="","",G487/SUMIFS($G$2:$G$671,$F$2:$F$671,"Served"))</f>
        <v>1.80738153370554E-005</v>
      </c>
      <c r="I487" s="4" t="n">
        <f aca="false">IF(G487="","",RANK(G487,$G$2:$G$671,0))</f>
        <v>486</v>
      </c>
      <c r="J487" s="4" t="s">
        <v>34</v>
      </c>
    </row>
    <row r="488" customFormat="false" ht="15" hidden="false" customHeight="false" outlineLevel="0" collapsed="false">
      <c r="A488" s="4" t="s">
        <v>1054</v>
      </c>
      <c r="B488" s="4" t="s">
        <v>172</v>
      </c>
      <c r="C488" s="4" t="s">
        <v>173</v>
      </c>
      <c r="D488" s="7" t="s">
        <v>1055</v>
      </c>
      <c r="E488" s="4" t="s">
        <v>175</v>
      </c>
      <c r="F488" s="4" t="s">
        <v>4</v>
      </c>
      <c r="G488" s="8" t="n">
        <v>345.32074046135</v>
      </c>
      <c r="H488" s="6" t="n">
        <f aca="false">IF(G488="","",G488/SUMIFS($G$2:$G$671,$F$2:$F$671,"Served"))</f>
        <v>1.74717857952013E-005</v>
      </c>
      <c r="I488" s="4" t="n">
        <f aca="false">IF(G488="","",RANK(G488,$G$2:$G$671,0))</f>
        <v>487</v>
      </c>
      <c r="J488" s="4" t="s">
        <v>34</v>
      </c>
    </row>
    <row r="489" customFormat="false" ht="15" hidden="false" customHeight="false" outlineLevel="0" collapsed="false">
      <c r="A489" s="4" t="s">
        <v>1056</v>
      </c>
      <c r="B489" s="4" t="s">
        <v>30</v>
      </c>
      <c r="C489" s="4" t="s">
        <v>206</v>
      </c>
      <c r="D489" s="7" t="s">
        <v>1057</v>
      </c>
      <c r="E489" s="4" t="s">
        <v>33</v>
      </c>
      <c r="F489" s="4" t="s">
        <v>4</v>
      </c>
      <c r="G489" s="8" t="n">
        <v>326.139860868454</v>
      </c>
      <c r="H489" s="6" t="n">
        <f aca="false">IF(G489="","",G489/SUMIFS($G$2:$G$671,$F$2:$F$671,"Served"))</f>
        <v>1.65013134767333E-005</v>
      </c>
      <c r="I489" s="4" t="n">
        <f aca="false">IF(G489="","",RANK(G489,$G$2:$G$671,0))</f>
        <v>488</v>
      </c>
      <c r="J489" s="4" t="s">
        <v>34</v>
      </c>
    </row>
    <row r="490" customFormat="false" ht="15" hidden="false" customHeight="false" outlineLevel="0" collapsed="false">
      <c r="A490" s="4" t="s">
        <v>1058</v>
      </c>
      <c r="B490" s="4" t="s">
        <v>172</v>
      </c>
      <c r="C490" s="4" t="s">
        <v>173</v>
      </c>
      <c r="D490" s="7" t="s">
        <v>1059</v>
      </c>
      <c r="E490" s="4" t="s">
        <v>175</v>
      </c>
      <c r="F490" s="4" t="s">
        <v>4</v>
      </c>
      <c r="G490" s="8" t="n">
        <v>323.301729917526</v>
      </c>
      <c r="H490" s="6" t="n">
        <f aca="false">IF(G490="","",G490/SUMIFS($G$2:$G$671,$F$2:$F$671,"Served"))</f>
        <v>1.63577159159059E-005</v>
      </c>
      <c r="I490" s="4" t="n">
        <f aca="false">IF(G490="","",RANK(G490,$G$2:$G$671,0))</f>
        <v>489</v>
      </c>
      <c r="J490" s="4" t="s">
        <v>34</v>
      </c>
    </row>
    <row r="491" customFormat="false" ht="15" hidden="false" customHeight="false" outlineLevel="0" collapsed="false">
      <c r="A491" s="4" t="s">
        <v>1060</v>
      </c>
      <c r="B491" s="4" t="s">
        <v>125</v>
      </c>
      <c r="C491" s="4" t="s">
        <v>126</v>
      </c>
      <c r="D491" s="7" t="s">
        <v>1061</v>
      </c>
      <c r="E491" s="4" t="s">
        <v>128</v>
      </c>
      <c r="F491" s="4" t="s">
        <v>4</v>
      </c>
      <c r="G491" s="8" t="n">
        <v>316.927821397781</v>
      </c>
      <c r="H491" s="6" t="n">
        <f aca="false">IF(G491="","",G491/SUMIFS($G$2:$G$671,$F$2:$F$671,"Served"))</f>
        <v>1.60352227920165E-005</v>
      </c>
      <c r="I491" s="4" t="n">
        <f aca="false">IF(G491="","",RANK(G491,$G$2:$G$671,0))</f>
        <v>490</v>
      </c>
      <c r="J491" s="4" t="s">
        <v>34</v>
      </c>
    </row>
    <row r="492" customFormat="false" ht="15" hidden="false" customHeight="false" outlineLevel="0" collapsed="false">
      <c r="A492" s="4" t="s">
        <v>1062</v>
      </c>
      <c r="B492" s="4" t="s">
        <v>30</v>
      </c>
      <c r="C492" s="4" t="s">
        <v>984</v>
      </c>
      <c r="D492" s="7" t="s">
        <v>1063</v>
      </c>
      <c r="E492" s="4" t="s">
        <v>33</v>
      </c>
      <c r="F492" s="4" t="s">
        <v>4</v>
      </c>
      <c r="G492" s="8" t="n">
        <v>316.655768871307</v>
      </c>
      <c r="H492" s="6" t="n">
        <f aca="false">IF(G492="","",G492/SUMIFS($G$2:$G$671,$F$2:$F$671,"Served"))</f>
        <v>1.60214580715388E-005</v>
      </c>
      <c r="I492" s="4" t="n">
        <f aca="false">IF(G492="","",RANK(G492,$G$2:$G$671,0))</f>
        <v>491</v>
      </c>
      <c r="J492" s="4" t="s">
        <v>34</v>
      </c>
    </row>
    <row r="493" customFormat="false" ht="15" hidden="false" customHeight="false" outlineLevel="0" collapsed="false">
      <c r="A493" s="4" t="s">
        <v>1064</v>
      </c>
      <c r="B493" s="4" t="s">
        <v>30</v>
      </c>
      <c r="C493" s="4" t="s">
        <v>206</v>
      </c>
      <c r="D493" s="7" t="s">
        <v>1065</v>
      </c>
      <c r="E493" s="4" t="s">
        <v>33</v>
      </c>
      <c r="F493" s="4" t="s">
        <v>4</v>
      </c>
      <c r="G493" s="8" t="n">
        <v>313.585439920425</v>
      </c>
      <c r="H493" s="6" t="n">
        <f aca="false">IF(G493="","",G493/SUMIFS($G$2:$G$671,$F$2:$F$671,"Served"))</f>
        <v>1.58661122626571E-005</v>
      </c>
      <c r="I493" s="4" t="n">
        <f aca="false">IF(G493="","",RANK(G493,$G$2:$G$671,0))</f>
        <v>492</v>
      </c>
      <c r="J493" s="4" t="s">
        <v>34</v>
      </c>
    </row>
    <row r="494" customFormat="false" ht="15" hidden="false" customHeight="false" outlineLevel="0" collapsed="false">
      <c r="A494" s="4" t="s">
        <v>1066</v>
      </c>
      <c r="B494" s="4" t="s">
        <v>30</v>
      </c>
      <c r="C494" s="4" t="s">
        <v>31</v>
      </c>
      <c r="D494" s="7" t="s">
        <v>1067</v>
      </c>
      <c r="E494" s="4" t="s">
        <v>33</v>
      </c>
      <c r="F494" s="4" t="s">
        <v>4</v>
      </c>
      <c r="G494" s="8" t="n">
        <v>303.496510267258</v>
      </c>
      <c r="H494" s="6" t="n">
        <f aca="false">IF(G494="","",G494/SUMIFS($G$2:$G$671,$F$2:$F$671,"Served"))</f>
        <v>1.53556546006947E-005</v>
      </c>
      <c r="I494" s="4" t="n">
        <f aca="false">IF(G494="","",RANK(G494,$G$2:$G$671,0))</f>
        <v>493</v>
      </c>
      <c r="J494" s="4" t="s">
        <v>34</v>
      </c>
    </row>
    <row r="495" customFormat="false" ht="15" hidden="false" customHeight="false" outlineLevel="0" collapsed="false">
      <c r="A495" s="4" t="s">
        <v>1068</v>
      </c>
      <c r="B495" s="4" t="s">
        <v>52</v>
      </c>
      <c r="C495" s="4" t="s">
        <v>158</v>
      </c>
      <c r="D495" s="7" t="s">
        <v>1069</v>
      </c>
      <c r="E495" s="4" t="s">
        <v>33</v>
      </c>
      <c r="F495" s="4" t="s">
        <v>4</v>
      </c>
      <c r="G495" s="8" t="n">
        <v>290.909850358963</v>
      </c>
      <c r="H495" s="6" t="n">
        <f aca="false">IF(G495="","",G495/SUMIFS($G$2:$G$671,$F$2:$F$671,"Served"))</f>
        <v>1.47188222300095E-005</v>
      </c>
      <c r="I495" s="4" t="n">
        <f aca="false">IF(G495="","",RANK(G495,$G$2:$G$671,0))</f>
        <v>494</v>
      </c>
      <c r="J495" s="4" t="s">
        <v>34</v>
      </c>
    </row>
    <row r="496" customFormat="false" ht="15" hidden="false" customHeight="false" outlineLevel="0" collapsed="false">
      <c r="A496" s="4" t="s">
        <v>1070</v>
      </c>
      <c r="B496" s="4" t="s">
        <v>30</v>
      </c>
      <c r="C496" s="4" t="s">
        <v>984</v>
      </c>
      <c r="D496" s="7" t="s">
        <v>1071</v>
      </c>
      <c r="E496" s="4" t="s">
        <v>33</v>
      </c>
      <c r="F496" s="4" t="s">
        <v>4</v>
      </c>
      <c r="G496" s="8" t="n">
        <v>264.016138553619</v>
      </c>
      <c r="H496" s="6" t="n">
        <f aca="false">IF(G496="","",G496/SUMIFS($G$2:$G$671,$F$2:$F$671,"Served"))</f>
        <v>1.33581128463997E-005</v>
      </c>
      <c r="I496" s="4" t="n">
        <f aca="false">IF(G496="","",RANK(G496,$G$2:$G$671,0))</f>
        <v>495</v>
      </c>
      <c r="J496" s="4" t="s">
        <v>34</v>
      </c>
    </row>
    <row r="497" customFormat="false" ht="15" hidden="false" customHeight="false" outlineLevel="0" collapsed="false">
      <c r="A497" s="4" t="s">
        <v>1072</v>
      </c>
      <c r="B497" s="4" t="s">
        <v>30</v>
      </c>
      <c r="C497" s="4" t="s">
        <v>984</v>
      </c>
      <c r="D497" s="7" t="s">
        <v>1073</v>
      </c>
      <c r="E497" s="4" t="s">
        <v>33</v>
      </c>
      <c r="F497" s="4" t="s">
        <v>4</v>
      </c>
      <c r="G497" s="8" t="n">
        <v>258.505651950836</v>
      </c>
      <c r="H497" s="6" t="n">
        <f aca="false">IF(G497="","",G497/SUMIFS($G$2:$G$671,$F$2:$F$671,"Served"))</f>
        <v>1.30793052618262E-005</v>
      </c>
      <c r="I497" s="4" t="n">
        <f aca="false">IF(G497="","",RANK(G497,$G$2:$G$671,0))</f>
        <v>496</v>
      </c>
      <c r="J497" s="4" t="s">
        <v>34</v>
      </c>
    </row>
    <row r="498" customFormat="false" ht="15" hidden="false" customHeight="false" outlineLevel="0" collapsed="false">
      <c r="A498" s="4" t="s">
        <v>1074</v>
      </c>
      <c r="B498" s="4" t="s">
        <v>52</v>
      </c>
      <c r="C498" s="4" t="s">
        <v>203</v>
      </c>
      <c r="D498" s="7" t="s">
        <v>1075</v>
      </c>
      <c r="E498" s="4" t="s">
        <v>33</v>
      </c>
      <c r="F498" s="4" t="s">
        <v>4</v>
      </c>
      <c r="G498" s="8" t="n">
        <v>257.604318141937</v>
      </c>
      <c r="H498" s="6" t="n">
        <f aca="false">IF(G498="","",G498/SUMIFS($G$2:$G$671,$F$2:$F$671,"Served"))</f>
        <v>1.30337015392754E-005</v>
      </c>
      <c r="I498" s="4" t="n">
        <f aca="false">IF(G498="","",RANK(G498,$G$2:$G$671,0))</f>
        <v>497</v>
      </c>
      <c r="J498" s="4" t="s">
        <v>34</v>
      </c>
    </row>
    <row r="499" customFormat="false" ht="15" hidden="false" customHeight="false" outlineLevel="0" collapsed="false">
      <c r="A499" s="4" t="s">
        <v>1076</v>
      </c>
      <c r="B499" s="4" t="s">
        <v>172</v>
      </c>
      <c r="C499" s="4" t="s">
        <v>173</v>
      </c>
      <c r="D499" s="7" t="s">
        <v>1077</v>
      </c>
      <c r="E499" s="4" t="s">
        <v>175</v>
      </c>
      <c r="F499" s="4" t="s">
        <v>4</v>
      </c>
      <c r="G499" s="8" t="n">
        <v>245.234907388687</v>
      </c>
      <c r="H499" s="6" t="n">
        <f aca="false">IF(G499="","",G499/SUMIFS($G$2:$G$671,$F$2:$F$671,"Served"))</f>
        <v>1.24078610675884E-005</v>
      </c>
      <c r="I499" s="4" t="n">
        <f aca="false">IF(G499="","",RANK(G499,$G$2:$G$671,0))</f>
        <v>498</v>
      </c>
      <c r="J499" s="4" t="s">
        <v>34</v>
      </c>
    </row>
    <row r="500" customFormat="false" ht="15" hidden="false" customHeight="false" outlineLevel="0" collapsed="false">
      <c r="A500" s="4" t="s">
        <v>1078</v>
      </c>
      <c r="B500" s="4" t="s">
        <v>52</v>
      </c>
      <c r="C500" s="4" t="s">
        <v>796</v>
      </c>
      <c r="D500" s="7" t="s">
        <v>1079</v>
      </c>
      <c r="E500" s="4" t="s">
        <v>33</v>
      </c>
      <c r="F500" s="4" t="s">
        <v>4</v>
      </c>
      <c r="G500" s="8" t="n">
        <v>240.486989974976</v>
      </c>
      <c r="H500" s="6" t="n">
        <f aca="false">IF(G500="","",G500/SUMIFS($G$2:$G$671,$F$2:$F$671,"Served"))</f>
        <v>1.21676362959316E-005</v>
      </c>
      <c r="I500" s="4" t="n">
        <f aca="false">IF(G500="","",RANK(G500,$G$2:$G$671,0))</f>
        <v>499</v>
      </c>
      <c r="J500" s="4" t="s">
        <v>34</v>
      </c>
    </row>
    <row r="501" customFormat="false" ht="15" hidden="false" customHeight="false" outlineLevel="0" collapsed="false">
      <c r="A501" s="4" t="s">
        <v>1080</v>
      </c>
      <c r="B501" s="4" t="s">
        <v>30</v>
      </c>
      <c r="C501" s="4" t="s">
        <v>683</v>
      </c>
      <c r="D501" s="7" t="s">
        <v>1081</v>
      </c>
      <c r="E501" s="4" t="s">
        <v>33</v>
      </c>
      <c r="F501" s="4" t="s">
        <v>4</v>
      </c>
      <c r="G501" s="8" t="n">
        <v>226.283670425415</v>
      </c>
      <c r="H501" s="6" t="n">
        <f aca="false">IF(G501="","",G501/SUMIFS($G$2:$G$671,$F$2:$F$671,"Served"))</f>
        <v>1.14490077061192E-005</v>
      </c>
      <c r="I501" s="4" t="n">
        <f aca="false">IF(G501="","",RANK(G501,$G$2:$G$671,0))</f>
        <v>500</v>
      </c>
      <c r="J501" s="4" t="s">
        <v>34</v>
      </c>
    </row>
    <row r="502" customFormat="false" ht="15" hidden="false" customHeight="false" outlineLevel="0" collapsed="false">
      <c r="A502" s="4" t="s">
        <v>1082</v>
      </c>
      <c r="B502" s="4" t="s">
        <v>52</v>
      </c>
      <c r="C502" s="4" t="s">
        <v>796</v>
      </c>
      <c r="D502" s="7" t="s">
        <v>1083</v>
      </c>
      <c r="E502" s="4" t="s">
        <v>33</v>
      </c>
      <c r="F502" s="4" t="s">
        <v>4</v>
      </c>
      <c r="G502" s="8" t="n">
        <v>224.338131427765</v>
      </c>
      <c r="H502" s="6" t="n">
        <f aca="false">IF(G502="","",G502/SUMIFS($G$2:$G$671,$F$2:$F$671,"Served"))</f>
        <v>1.13505715664951E-005</v>
      </c>
      <c r="I502" s="4" t="n">
        <f aca="false">IF(G502="","",RANK(G502,$G$2:$G$671,0))</f>
        <v>501</v>
      </c>
      <c r="J502" s="4" t="s">
        <v>34</v>
      </c>
    </row>
    <row r="503" customFormat="false" ht="15" hidden="false" customHeight="false" outlineLevel="0" collapsed="false">
      <c r="A503" s="4" t="s">
        <v>1084</v>
      </c>
      <c r="B503" s="4" t="s">
        <v>172</v>
      </c>
      <c r="C503" s="4" t="s">
        <v>173</v>
      </c>
      <c r="D503" s="7" t="s">
        <v>1085</v>
      </c>
      <c r="E503" s="4" t="s">
        <v>175</v>
      </c>
      <c r="F503" s="4" t="s">
        <v>4</v>
      </c>
      <c r="G503" s="8" t="n">
        <v>223.99679017067</v>
      </c>
      <c r="H503" s="6" t="n">
        <f aca="false">IF(G503="","",G503/SUMIFS($G$2:$G$671,$F$2:$F$671,"Served"))</f>
        <v>1.13333011259213E-005</v>
      </c>
      <c r="I503" s="4" t="n">
        <f aca="false">IF(G503="","",RANK(G503,$G$2:$G$671,0))</f>
        <v>502</v>
      </c>
      <c r="J503" s="4" t="s">
        <v>34</v>
      </c>
    </row>
    <row r="504" customFormat="false" ht="15" hidden="false" customHeight="false" outlineLevel="0" collapsed="false">
      <c r="A504" s="4" t="s">
        <v>1086</v>
      </c>
      <c r="B504" s="4" t="s">
        <v>172</v>
      </c>
      <c r="C504" s="4" t="s">
        <v>173</v>
      </c>
      <c r="D504" s="7" t="s">
        <v>1087</v>
      </c>
      <c r="E504" s="4" t="s">
        <v>175</v>
      </c>
      <c r="F504" s="4" t="s">
        <v>4</v>
      </c>
      <c r="G504" s="8" t="n">
        <v>200.549919605255</v>
      </c>
      <c r="H504" s="6" t="n">
        <f aca="false">IF(G504="","",G504/SUMIFS($G$2:$G$671,$F$2:$F$671,"Served"))</f>
        <v>1.01469874989453E-005</v>
      </c>
      <c r="I504" s="4" t="n">
        <f aca="false">IF(G504="","",RANK(G504,$G$2:$G$671,0))</f>
        <v>503</v>
      </c>
      <c r="J504" s="4" t="s">
        <v>34</v>
      </c>
    </row>
    <row r="505" customFormat="false" ht="15" hidden="false" customHeight="false" outlineLevel="0" collapsed="false">
      <c r="A505" s="4" t="s">
        <v>1088</v>
      </c>
      <c r="B505" s="4" t="s">
        <v>30</v>
      </c>
      <c r="C505" s="4" t="s">
        <v>984</v>
      </c>
      <c r="D505" s="7" t="s">
        <v>1089</v>
      </c>
      <c r="E505" s="4" t="s">
        <v>33</v>
      </c>
      <c r="F505" s="4" t="s">
        <v>4</v>
      </c>
      <c r="G505" s="8" t="n">
        <v>198.400631427765</v>
      </c>
      <c r="H505" s="6" t="n">
        <f aca="false">IF(G505="","",G505/SUMIFS($G$2:$G$671,$F$2:$F$671,"Served"))</f>
        <v>1.00382425026294E-005</v>
      </c>
      <c r="I505" s="4" t="n">
        <f aca="false">IF(G505="","",RANK(G505,$G$2:$G$671,0))</f>
        <v>504</v>
      </c>
      <c r="J505" s="4" t="s">
        <v>34</v>
      </c>
    </row>
    <row r="506" customFormat="false" ht="15" hidden="false" customHeight="false" outlineLevel="0" collapsed="false">
      <c r="A506" s="4" t="s">
        <v>1090</v>
      </c>
      <c r="B506" s="4" t="s">
        <v>30</v>
      </c>
      <c r="C506" s="4" t="s">
        <v>206</v>
      </c>
      <c r="D506" s="7" t="s">
        <v>1091</v>
      </c>
      <c r="E506" s="4" t="s">
        <v>33</v>
      </c>
      <c r="F506" s="4" t="s">
        <v>4</v>
      </c>
      <c r="G506" s="8" t="n">
        <v>188.658821344376</v>
      </c>
      <c r="H506" s="6" t="n">
        <f aca="false">IF(G506="","",G506/SUMIFS($G$2:$G$671,$F$2:$F$671,"Served"))</f>
        <v>9.54534763970544E-006</v>
      </c>
      <c r="I506" s="4" t="n">
        <f aca="false">IF(G506="","",RANK(G506,$G$2:$G$671,0))</f>
        <v>505</v>
      </c>
      <c r="J506" s="4" t="s">
        <v>34</v>
      </c>
    </row>
    <row r="507" customFormat="false" ht="15" hidden="false" customHeight="false" outlineLevel="0" collapsed="false">
      <c r="A507" s="4" t="s">
        <v>1092</v>
      </c>
      <c r="B507" s="4" t="s">
        <v>30</v>
      </c>
      <c r="C507" s="4" t="s">
        <v>206</v>
      </c>
      <c r="D507" s="7" t="s">
        <v>1093</v>
      </c>
      <c r="E507" s="4" t="s">
        <v>33</v>
      </c>
      <c r="F507" s="4" t="s">
        <v>4</v>
      </c>
      <c r="G507" s="8" t="n">
        <v>144.01486992836</v>
      </c>
      <c r="H507" s="6" t="n">
        <f aca="false">IF(G507="","",G507/SUMIFS($G$2:$G$671,$F$2:$F$671,"Served"))</f>
        <v>7.28655033969414E-006</v>
      </c>
      <c r="I507" s="4" t="n">
        <f aca="false">IF(G507="","",RANK(G507,$G$2:$G$671,0))</f>
        <v>506</v>
      </c>
      <c r="J507" s="4" t="s">
        <v>34</v>
      </c>
    </row>
    <row r="508" customFormat="false" ht="15" hidden="false" customHeight="false" outlineLevel="0" collapsed="false">
      <c r="A508" s="4" t="s">
        <v>1094</v>
      </c>
      <c r="B508" s="4" t="s">
        <v>172</v>
      </c>
      <c r="C508" s="4" t="s">
        <v>173</v>
      </c>
      <c r="D508" s="7" t="s">
        <v>1095</v>
      </c>
      <c r="E508" s="4" t="s">
        <v>175</v>
      </c>
      <c r="F508" s="4" t="s">
        <v>4</v>
      </c>
      <c r="G508" s="8" t="n">
        <v>123.675360202789</v>
      </c>
      <c r="H508" s="6" t="n">
        <f aca="false">IF(G508="","",G508/SUMIFS($G$2:$G$671,$F$2:$F$671,"Served"))</f>
        <v>6.25745618036328E-006</v>
      </c>
      <c r="I508" s="4" t="n">
        <f aca="false">IF(G508="","",RANK(G508,$G$2:$G$671,0))</f>
        <v>507</v>
      </c>
      <c r="J508" s="4" t="s">
        <v>34</v>
      </c>
    </row>
    <row r="509" customFormat="false" ht="15" hidden="false" customHeight="false" outlineLevel="0" collapsed="false">
      <c r="A509" s="4" t="s">
        <v>1096</v>
      </c>
      <c r="B509" s="4" t="s">
        <v>52</v>
      </c>
      <c r="C509" s="4" t="s">
        <v>668</v>
      </c>
      <c r="D509" s="7" t="s">
        <v>1097</v>
      </c>
      <c r="E509" s="4" t="s">
        <v>33</v>
      </c>
      <c r="F509" s="4" t="s">
        <v>4</v>
      </c>
      <c r="G509" s="8" t="n">
        <v>120.026861906052</v>
      </c>
      <c r="H509" s="6" t="n">
        <f aca="false">IF(G509="","",G509/SUMIFS($G$2:$G$671,$F$2:$F$671,"Served"))</f>
        <v>6.0728574197166E-006</v>
      </c>
      <c r="I509" s="4" t="n">
        <f aca="false">IF(G509="","",RANK(G509,$G$2:$G$671,0))</f>
        <v>508</v>
      </c>
      <c r="J509" s="4" t="s">
        <v>34</v>
      </c>
    </row>
    <row r="510" customFormat="false" ht="15" hidden="false" customHeight="false" outlineLevel="0" collapsed="false">
      <c r="A510" s="4" t="s">
        <v>1098</v>
      </c>
      <c r="B510" s="4" t="s">
        <v>30</v>
      </c>
      <c r="C510" s="4" t="s">
        <v>206</v>
      </c>
      <c r="D510" s="7" t="s">
        <v>1099</v>
      </c>
      <c r="E510" s="4" t="s">
        <v>33</v>
      </c>
      <c r="F510" s="4" t="s">
        <v>4</v>
      </c>
      <c r="G510" s="8" t="n">
        <v>115.714530706406</v>
      </c>
      <c r="H510" s="6" t="n">
        <f aca="false">IF(G510="","",G510/SUMIFS($G$2:$G$671,$F$2:$F$671,"Served"))</f>
        <v>5.85467148944923E-006</v>
      </c>
      <c r="I510" s="4" t="n">
        <f aca="false">IF(G510="","",RANK(G510,$G$2:$G$671,0))</f>
        <v>509</v>
      </c>
      <c r="J510" s="4" t="s">
        <v>34</v>
      </c>
    </row>
    <row r="511" customFormat="false" ht="15" hidden="false" customHeight="false" outlineLevel="0" collapsed="false">
      <c r="A511" s="4" t="s">
        <v>1100</v>
      </c>
      <c r="B511" s="4" t="s">
        <v>30</v>
      </c>
      <c r="C511" s="4" t="s">
        <v>984</v>
      </c>
      <c r="D511" s="7" t="s">
        <v>1101</v>
      </c>
      <c r="E511" s="4" t="s">
        <v>33</v>
      </c>
      <c r="F511" s="4" t="s">
        <v>4</v>
      </c>
      <c r="G511" s="8" t="n">
        <v>107.544179916382</v>
      </c>
      <c r="H511" s="6" t="n">
        <f aca="false">IF(G511="","",G511/SUMIFS($G$2:$G$671,$F$2:$F$671,"Served"))</f>
        <v>5.44128589701642E-006</v>
      </c>
      <c r="I511" s="4" t="n">
        <f aca="false">IF(G511="","",RANK(G511,$G$2:$G$671,0))</f>
        <v>510</v>
      </c>
      <c r="J511" s="4" t="s">
        <v>34</v>
      </c>
    </row>
    <row r="512" customFormat="false" ht="15" hidden="false" customHeight="false" outlineLevel="0" collapsed="false">
      <c r="A512" s="4" t="s">
        <v>1102</v>
      </c>
      <c r="B512" s="4" t="s">
        <v>172</v>
      </c>
      <c r="C512" s="4" t="s">
        <v>173</v>
      </c>
      <c r="D512" s="7" t="s">
        <v>1103</v>
      </c>
      <c r="E512" s="4" t="s">
        <v>175</v>
      </c>
      <c r="F512" s="4" t="s">
        <v>4</v>
      </c>
      <c r="G512" s="8" t="n">
        <v>88.3969399929047</v>
      </c>
      <c r="H512" s="6" t="n">
        <f aca="false">IF(G512="","",G512/SUMIFS($G$2:$G$671,$F$2:$F$671,"Served"))</f>
        <v>4.47251560518461E-006</v>
      </c>
      <c r="I512" s="4" t="n">
        <f aca="false">IF(G512="","",RANK(G512,$G$2:$G$671,0))</f>
        <v>511</v>
      </c>
      <c r="J512" s="4" t="s">
        <v>34</v>
      </c>
    </row>
    <row r="513" customFormat="false" ht="15" hidden="false" customHeight="false" outlineLevel="0" collapsed="false">
      <c r="A513" s="4" t="s">
        <v>1104</v>
      </c>
      <c r="B513" s="4" t="s">
        <v>213</v>
      </c>
      <c r="C513" s="4" t="s">
        <v>214</v>
      </c>
      <c r="D513" s="7" t="s">
        <v>1105</v>
      </c>
      <c r="E513" s="4" t="s">
        <v>216</v>
      </c>
      <c r="F513" s="4" t="s">
        <v>4</v>
      </c>
      <c r="G513" s="8" t="n">
        <v>84.5275294780731</v>
      </c>
      <c r="H513" s="6" t="n">
        <f aca="false">IF(G513="","",G513/SUMIFS($G$2:$G$671,$F$2:$F$671,"Served"))</f>
        <v>4.27673960986352E-006</v>
      </c>
      <c r="I513" s="4" t="n">
        <f aca="false">IF(G513="","",RANK(G513,$G$2:$G$671,0))</f>
        <v>512</v>
      </c>
      <c r="J513" s="4" t="s">
        <v>34</v>
      </c>
    </row>
    <row r="514" customFormat="false" ht="15" hidden="false" customHeight="false" outlineLevel="0" collapsed="false">
      <c r="A514" s="4" t="s">
        <v>1106</v>
      </c>
      <c r="B514" s="4" t="s">
        <v>213</v>
      </c>
      <c r="C514" s="4" t="s">
        <v>214</v>
      </c>
      <c r="D514" s="7" t="s">
        <v>1107</v>
      </c>
      <c r="E514" s="4" t="s">
        <v>216</v>
      </c>
      <c r="F514" s="4" t="s">
        <v>4</v>
      </c>
      <c r="G514" s="8" t="n">
        <v>77.9628403186798</v>
      </c>
      <c r="H514" s="6" t="n">
        <f aca="false">IF(G514="","",G514/SUMIFS($G$2:$G$671,$F$2:$F$671,"Served"))</f>
        <v>3.94459378319883E-006</v>
      </c>
      <c r="I514" s="4" t="n">
        <f aca="false">IF(G514="","",RANK(G514,$G$2:$G$671,0))</f>
        <v>513</v>
      </c>
      <c r="J514" s="4" t="s">
        <v>34</v>
      </c>
    </row>
    <row r="515" customFormat="false" ht="15" hidden="false" customHeight="false" outlineLevel="0" collapsed="false">
      <c r="A515" s="4" t="s">
        <v>1108</v>
      </c>
      <c r="B515" s="4" t="s">
        <v>172</v>
      </c>
      <c r="C515" s="4" t="s">
        <v>173</v>
      </c>
      <c r="D515" s="7" t="s">
        <v>1109</v>
      </c>
      <c r="E515" s="4" t="s">
        <v>175</v>
      </c>
      <c r="F515" s="4" t="s">
        <v>4</v>
      </c>
      <c r="G515" s="8" t="n">
        <v>54.9185395240784</v>
      </c>
      <c r="H515" s="6" t="n">
        <f aca="false">IF(G515="","",G515/SUMIFS($G$2:$G$671,$F$2:$F$671,"Served"))</f>
        <v>2.77864850361454E-006</v>
      </c>
      <c r="I515" s="4" t="n">
        <f aca="false">IF(G515="","",RANK(G515,$G$2:$G$671,0))</f>
        <v>514</v>
      </c>
      <c r="J515" s="4" t="s">
        <v>34</v>
      </c>
    </row>
    <row r="516" customFormat="false" ht="15" hidden="false" customHeight="false" outlineLevel="0" collapsed="false">
      <c r="A516" s="4" t="s">
        <v>1110</v>
      </c>
      <c r="B516" s="4" t="s">
        <v>172</v>
      </c>
      <c r="C516" s="4" t="s">
        <v>173</v>
      </c>
      <c r="D516" s="7" t="s">
        <v>1111</v>
      </c>
      <c r="E516" s="4" t="s">
        <v>175</v>
      </c>
      <c r="F516" s="4" t="s">
        <v>4</v>
      </c>
      <c r="G516" s="8" t="n">
        <v>54.4201798439026</v>
      </c>
      <c r="H516" s="6" t="n">
        <f aca="false">IF(G516="","",G516/SUMIFS($G$2:$G$671,$F$2:$F$671,"Served"))</f>
        <v>2.75343358727513E-006</v>
      </c>
      <c r="I516" s="4" t="n">
        <f aca="false">IF(G516="","",RANK(G516,$G$2:$G$671,0))</f>
        <v>515</v>
      </c>
      <c r="J516" s="4" t="s">
        <v>34</v>
      </c>
    </row>
    <row r="517" customFormat="false" ht="15" hidden="false" customHeight="false" outlineLevel="0" collapsed="false">
      <c r="A517" s="4" t="s">
        <v>1112</v>
      </c>
      <c r="B517" s="4" t="s">
        <v>213</v>
      </c>
      <c r="C517" s="4" t="s">
        <v>214</v>
      </c>
      <c r="D517" s="7" t="s">
        <v>1113</v>
      </c>
      <c r="E517" s="4" t="s">
        <v>216</v>
      </c>
      <c r="F517" s="4" t="s">
        <v>4</v>
      </c>
      <c r="G517" s="8" t="n">
        <v>52.9381198883057</v>
      </c>
      <c r="H517" s="6" t="n">
        <f aca="false">IF(G517="","",G517/SUMIFS($G$2:$G$671,$F$2:$F$671,"Served"))</f>
        <v>2.67844754952587E-006</v>
      </c>
      <c r="I517" s="4" t="n">
        <f aca="false">IF(G517="","",RANK(G517,$G$2:$G$671,0))</f>
        <v>516</v>
      </c>
      <c r="J517" s="4" t="s">
        <v>34</v>
      </c>
    </row>
    <row r="518" customFormat="false" ht="15" hidden="false" customHeight="false" outlineLevel="0" collapsed="false">
      <c r="A518" s="4" t="s">
        <v>1114</v>
      </c>
      <c r="B518" s="4" t="s">
        <v>172</v>
      </c>
      <c r="C518" s="4" t="s">
        <v>173</v>
      </c>
      <c r="D518" s="7" t="s">
        <v>1115</v>
      </c>
      <c r="E518" s="4" t="s">
        <v>175</v>
      </c>
      <c r="F518" s="4" t="s">
        <v>4</v>
      </c>
      <c r="G518" s="8" t="n">
        <v>30.1687395572662</v>
      </c>
      <c r="H518" s="6" t="n">
        <f aca="false">IF(G518="","",G518/SUMIFS($G$2:$G$671,$F$2:$F$671,"Served"))</f>
        <v>1.52641209604602E-006</v>
      </c>
      <c r="I518" s="4" t="n">
        <f aca="false">IF(G518="","",RANK(G518,$G$2:$G$671,0))</f>
        <v>517</v>
      </c>
      <c r="J518" s="4" t="s">
        <v>34</v>
      </c>
    </row>
    <row r="519" customFormat="false" ht="15" hidden="false" customHeight="false" outlineLevel="0" collapsed="false">
      <c r="A519" s="4" t="s">
        <v>1116</v>
      </c>
      <c r="B519" s="4" t="s">
        <v>172</v>
      </c>
      <c r="C519" s="4" t="s">
        <v>173</v>
      </c>
      <c r="D519" s="7" t="s">
        <v>1117</v>
      </c>
      <c r="E519" s="4" t="s">
        <v>175</v>
      </c>
      <c r="F519" s="4" t="s">
        <v>4</v>
      </c>
      <c r="G519" s="8" t="n">
        <v>29.4059600830078</v>
      </c>
      <c r="H519" s="6" t="n">
        <f aca="false">IF(G519="","",G519/SUMIFS($G$2:$G$671,$F$2:$F$671,"Served"))</f>
        <v>1.48781864357799E-006</v>
      </c>
      <c r="I519" s="4" t="n">
        <f aca="false">IF(G519="","",RANK(G519,$G$2:$G$671,0))</f>
        <v>518</v>
      </c>
      <c r="J519" s="4" t="s">
        <v>34</v>
      </c>
    </row>
    <row r="520" customFormat="false" ht="15" hidden="false" customHeight="false" outlineLevel="0" collapsed="false">
      <c r="A520" s="4" t="s">
        <v>1118</v>
      </c>
      <c r="B520" s="4" t="s">
        <v>30</v>
      </c>
      <c r="C520" s="4" t="s">
        <v>984</v>
      </c>
      <c r="D520" s="7" t="s">
        <v>1119</v>
      </c>
      <c r="E520" s="4" t="s">
        <v>33</v>
      </c>
      <c r="F520" s="4" t="s">
        <v>4</v>
      </c>
      <c r="G520" s="8" t="n">
        <v>24.4666802883148</v>
      </c>
      <c r="H520" s="6" t="n">
        <f aca="false">IF(G520="","",G520/SUMIFS($G$2:$G$671,$F$2:$F$671,"Served"))</f>
        <v>1.23791173546657E-006</v>
      </c>
      <c r="I520" s="4" t="n">
        <f aca="false">IF(G520="","",RANK(G520,$G$2:$G$671,0))</f>
        <v>519</v>
      </c>
      <c r="J520" s="4" t="s">
        <v>34</v>
      </c>
    </row>
    <row r="521" customFormat="false" ht="15" hidden="false" customHeight="false" outlineLevel="0" collapsed="false">
      <c r="A521" s="4" t="s">
        <v>1120</v>
      </c>
      <c r="B521" s="4" t="s">
        <v>213</v>
      </c>
      <c r="C521" s="4" t="s">
        <v>214</v>
      </c>
      <c r="D521" s="7" t="s">
        <v>1121</v>
      </c>
      <c r="E521" s="4" t="s">
        <v>216</v>
      </c>
      <c r="F521" s="4" t="s">
        <v>4</v>
      </c>
      <c r="G521" s="8" t="n">
        <v>22.2243700027466</v>
      </c>
      <c r="H521" s="6" t="n">
        <f aca="false">IF(G521="","",G521/SUMIFS($G$2:$G$671,$F$2:$F$671,"Served"))</f>
        <v>1.1244602093767E-006</v>
      </c>
      <c r="I521" s="4" t="n">
        <f aca="false">IF(G521="","",RANK(G521,$G$2:$G$671,0))</f>
        <v>520</v>
      </c>
      <c r="J521" s="4" t="s">
        <v>34</v>
      </c>
    </row>
    <row r="522" customFormat="false" ht="15" hidden="false" customHeight="false" outlineLevel="0" collapsed="false">
      <c r="A522" s="4" t="s">
        <v>1122</v>
      </c>
      <c r="B522" s="4" t="s">
        <v>30</v>
      </c>
      <c r="C522" s="4" t="s">
        <v>683</v>
      </c>
      <c r="D522" s="7" t="s">
        <v>1123</v>
      </c>
      <c r="E522" s="4" t="s">
        <v>33</v>
      </c>
      <c r="F522" s="4" t="s">
        <v>4</v>
      </c>
      <c r="G522" s="8" t="n">
        <v>20.2041902542114</v>
      </c>
      <c r="H522" s="6" t="n">
        <f aca="false">IF(G522="","",G522/SUMIFS($G$2:$G$671,$F$2:$F$671,"Served"))</f>
        <v>1.02224755980617E-006</v>
      </c>
      <c r="I522" s="4" t="n">
        <f aca="false">IF(G522="","",RANK(G522,$G$2:$G$671,0))</f>
        <v>521</v>
      </c>
      <c r="J522" s="4" t="s">
        <v>34</v>
      </c>
    </row>
    <row r="523" customFormat="false" ht="15" hidden="false" customHeight="false" outlineLevel="0" collapsed="false">
      <c r="A523" s="4" t="s">
        <v>1124</v>
      </c>
      <c r="B523" s="4" t="s">
        <v>71</v>
      </c>
      <c r="C523" s="4" t="s">
        <v>72</v>
      </c>
      <c r="D523" s="7" t="s">
        <v>1125</v>
      </c>
      <c r="E523" s="4" t="s">
        <v>74</v>
      </c>
      <c r="F523" s="4" t="s">
        <v>4</v>
      </c>
      <c r="G523" s="8" t="n">
        <v>19.101900100708</v>
      </c>
      <c r="H523" s="6" t="n">
        <f aca="false">IF(G523="","",G523/SUMIFS($G$2:$G$671,$F$2:$F$671,"Served"))</f>
        <v>9.66476286350541E-007</v>
      </c>
      <c r="I523" s="4" t="n">
        <f aca="false">IF(G523="","",RANK(G523,$G$2:$G$671,0))</f>
        <v>522</v>
      </c>
      <c r="J523" s="4" t="s">
        <v>34</v>
      </c>
    </row>
    <row r="524" customFormat="false" ht="15" hidden="false" customHeight="false" outlineLevel="0" collapsed="false">
      <c r="A524" s="4" t="s">
        <v>1126</v>
      </c>
      <c r="B524" s="4" t="s">
        <v>52</v>
      </c>
      <c r="C524" s="4" t="s">
        <v>165</v>
      </c>
      <c r="D524" s="7" t="s">
        <v>1127</v>
      </c>
      <c r="E524" s="4" t="s">
        <v>33</v>
      </c>
      <c r="F524" s="4" t="s">
        <v>4</v>
      </c>
      <c r="G524" s="8" t="n">
        <v>17.481650352478</v>
      </c>
      <c r="H524" s="6" t="n">
        <f aca="false">IF(G524="","",G524/SUMIFS($G$2:$G$671,$F$2:$F$671,"Served"))</f>
        <v>8.84498422820008E-007</v>
      </c>
      <c r="I524" s="4" t="n">
        <f aca="false">IF(G524="","",RANK(G524,$G$2:$G$671,0))</f>
        <v>523</v>
      </c>
      <c r="J524" s="4" t="s">
        <v>34</v>
      </c>
    </row>
    <row r="525" customFormat="false" ht="15" hidden="false" customHeight="false" outlineLevel="0" collapsed="false">
      <c r="A525" s="4" t="s">
        <v>1128</v>
      </c>
      <c r="B525" s="4" t="s">
        <v>30</v>
      </c>
      <c r="C525" s="4" t="s">
        <v>206</v>
      </c>
      <c r="D525" s="7" t="s">
        <v>1129</v>
      </c>
      <c r="E525" s="4" t="s">
        <v>33</v>
      </c>
      <c r="F525" s="4" t="s">
        <v>4</v>
      </c>
      <c r="G525" s="8" t="n">
        <v>15.1664297580719</v>
      </c>
      <c r="H525" s="6" t="n">
        <f aca="false">IF(G525="","",G525/SUMIFS($G$2:$G$671,$F$2:$F$671,"Served"))</f>
        <v>7.67357939916897E-007</v>
      </c>
      <c r="I525" s="4" t="n">
        <f aca="false">IF(G525="","",RANK(G525,$G$2:$G$671,0))</f>
        <v>524</v>
      </c>
      <c r="J525" s="4" t="s">
        <v>34</v>
      </c>
    </row>
    <row r="526" customFormat="false" ht="15" hidden="false" customHeight="false" outlineLevel="0" collapsed="false">
      <c r="A526" s="4" t="s">
        <v>1130</v>
      </c>
      <c r="B526" s="4" t="s">
        <v>52</v>
      </c>
      <c r="C526" s="4" t="s">
        <v>668</v>
      </c>
      <c r="D526" s="7" t="s">
        <v>1131</v>
      </c>
      <c r="E526" s="4" t="s">
        <v>33</v>
      </c>
      <c r="F526" s="4" t="s">
        <v>4</v>
      </c>
      <c r="G526" s="8" t="n">
        <v>7.11773014068604</v>
      </c>
      <c r="H526" s="6" t="n">
        <f aca="false">IF(G526="","",G526/SUMIFS($G$2:$G$671,$F$2:$F$671,"Served"))</f>
        <v>3.60127388236136E-007</v>
      </c>
      <c r="I526" s="4" t="n">
        <f aca="false">IF(G526="","",RANK(G526,$G$2:$G$671,0))</f>
        <v>525</v>
      </c>
      <c r="J526" s="4" t="s">
        <v>34</v>
      </c>
    </row>
    <row r="527" customFormat="false" ht="15" hidden="false" customHeight="false" outlineLevel="0" collapsed="false">
      <c r="A527" s="4" t="s">
        <v>1132</v>
      </c>
      <c r="B527" s="4" t="s">
        <v>52</v>
      </c>
      <c r="C527" s="4" t="s">
        <v>165</v>
      </c>
      <c r="D527" s="7" t="s">
        <v>1133</v>
      </c>
      <c r="E527" s="4" t="s">
        <v>33</v>
      </c>
      <c r="F527" s="4" t="s">
        <v>4</v>
      </c>
      <c r="G527" s="8" t="n">
        <v>4.50799989700317</v>
      </c>
      <c r="H527" s="6" t="n">
        <f aca="false">IF(G527="","",G527/SUMIFS($G$2:$G$671,$F$2:$F$671,"Served"))</f>
        <v>2.28085948327348E-007</v>
      </c>
      <c r="I527" s="4" t="n">
        <f aca="false">IF(G527="","",RANK(G527,$G$2:$G$671,0))</f>
        <v>526</v>
      </c>
      <c r="J527" s="4" t="s">
        <v>34</v>
      </c>
    </row>
    <row r="528" customFormat="false" ht="15" hidden="false" customHeight="false" outlineLevel="0" collapsed="false">
      <c r="A528" s="4" t="s">
        <v>1134</v>
      </c>
      <c r="B528" s="4" t="s">
        <v>30</v>
      </c>
      <c r="C528" s="4" t="s">
        <v>683</v>
      </c>
      <c r="D528" s="7" t="s">
        <v>1135</v>
      </c>
      <c r="E528" s="4" t="s">
        <v>33</v>
      </c>
      <c r="F528" s="4" t="s">
        <v>4</v>
      </c>
      <c r="G528" s="8" t="n">
        <v>0</v>
      </c>
      <c r="H528" s="6" t="n">
        <f aca="false">IF(G528="","",G528/SUMIFS($G$2:$G$671,$F$2:$F$671,"Served"))</f>
        <v>0</v>
      </c>
      <c r="I528" s="4" t="n">
        <f aca="false">IF(G528="","",RANK(G528,$G$2:$G$671,0))</f>
        <v>527</v>
      </c>
      <c r="J528" s="4" t="s">
        <v>34</v>
      </c>
    </row>
    <row r="529" customFormat="false" ht="15" hidden="false" customHeight="false" outlineLevel="0" collapsed="false">
      <c r="A529" s="4" t="s">
        <v>1136</v>
      </c>
      <c r="B529" s="4" t="s">
        <v>30</v>
      </c>
      <c r="C529" s="4" t="s">
        <v>683</v>
      </c>
      <c r="D529" s="7" t="s">
        <v>1137</v>
      </c>
      <c r="E529" s="4" t="s">
        <v>33</v>
      </c>
      <c r="F529" s="4" t="s">
        <v>4</v>
      </c>
      <c r="G529" s="8" t="n">
        <v>0</v>
      </c>
      <c r="H529" s="6" t="n">
        <f aca="false">IF(G529="","",G529/SUMIFS($G$2:$G$671,$F$2:$F$671,"Served"))</f>
        <v>0</v>
      </c>
      <c r="I529" s="4" t="n">
        <f aca="false">IF(G529="","",RANK(G529,$G$2:$G$671,0))</f>
        <v>527</v>
      </c>
      <c r="J529" s="4" t="s">
        <v>34</v>
      </c>
    </row>
    <row r="530" customFormat="false" ht="15" hidden="false" customHeight="false" outlineLevel="0" collapsed="false">
      <c r="A530" s="4" t="s">
        <v>1138</v>
      </c>
      <c r="B530" s="4" t="s">
        <v>30</v>
      </c>
      <c r="C530" s="4" t="s">
        <v>683</v>
      </c>
      <c r="D530" s="7" t="s">
        <v>1139</v>
      </c>
      <c r="E530" s="4" t="s">
        <v>33</v>
      </c>
      <c r="F530" s="4" t="s">
        <v>4</v>
      </c>
      <c r="G530" s="8" t="n">
        <v>0</v>
      </c>
      <c r="H530" s="6" t="n">
        <f aca="false">IF(G530="","",G530/SUMIFS($G$2:$G$671,$F$2:$F$671,"Served"))</f>
        <v>0</v>
      </c>
      <c r="I530" s="4" t="n">
        <f aca="false">IF(G530="","",RANK(G530,$G$2:$G$671,0))</f>
        <v>527</v>
      </c>
      <c r="J530" s="4" t="s">
        <v>34</v>
      </c>
    </row>
    <row r="531" customFormat="false" ht="15" hidden="false" customHeight="false" outlineLevel="0" collapsed="false">
      <c r="A531" s="4" t="s">
        <v>1140</v>
      </c>
      <c r="B531" s="4" t="s">
        <v>30</v>
      </c>
      <c r="C531" s="4" t="s">
        <v>683</v>
      </c>
      <c r="D531" s="7" t="s">
        <v>1141</v>
      </c>
      <c r="E531" s="4" t="s">
        <v>33</v>
      </c>
      <c r="F531" s="4" t="s">
        <v>4</v>
      </c>
      <c r="G531" s="8" t="n">
        <v>0</v>
      </c>
      <c r="H531" s="6" t="n">
        <f aca="false">IF(G531="","",G531/SUMIFS($G$2:$G$671,$F$2:$F$671,"Served"))</f>
        <v>0</v>
      </c>
      <c r="I531" s="4" t="n">
        <f aca="false">IF(G531="","",RANK(G531,$G$2:$G$671,0))</f>
        <v>527</v>
      </c>
      <c r="J531" s="4" t="s">
        <v>34</v>
      </c>
    </row>
    <row r="532" customFormat="false" ht="15" hidden="false" customHeight="false" outlineLevel="0" collapsed="false">
      <c r="A532" s="4" t="s">
        <v>1142</v>
      </c>
      <c r="B532" s="4" t="s">
        <v>52</v>
      </c>
      <c r="C532" s="4" t="s">
        <v>165</v>
      </c>
      <c r="D532" s="7" t="s">
        <v>1143</v>
      </c>
      <c r="E532" s="4" t="s">
        <v>33</v>
      </c>
      <c r="F532" s="4" t="s">
        <v>4</v>
      </c>
      <c r="G532" s="8" t="n">
        <v>0</v>
      </c>
      <c r="H532" s="6" t="n">
        <f aca="false">IF(G532="","",G532/SUMIFS($G$2:$G$671,$F$2:$F$671,"Served"))</f>
        <v>0</v>
      </c>
      <c r="I532" s="4" t="n">
        <f aca="false">IF(G532="","",RANK(G532,$G$2:$G$671,0))</f>
        <v>527</v>
      </c>
      <c r="J532" s="4" t="s">
        <v>34</v>
      </c>
    </row>
    <row r="533" customFormat="false" ht="15" hidden="false" customHeight="false" outlineLevel="0" collapsed="false">
      <c r="A533" s="4" t="s">
        <v>1144</v>
      </c>
      <c r="B533" s="4" t="s">
        <v>52</v>
      </c>
      <c r="C533" s="4" t="s">
        <v>165</v>
      </c>
      <c r="D533" s="7" t="s">
        <v>1145</v>
      </c>
      <c r="E533" s="4" t="s">
        <v>33</v>
      </c>
      <c r="F533" s="4" t="s">
        <v>4</v>
      </c>
      <c r="G533" s="8" t="n">
        <v>0</v>
      </c>
      <c r="H533" s="6" t="n">
        <f aca="false">IF(G533="","",G533/SUMIFS($G$2:$G$671,$F$2:$F$671,"Served"))</f>
        <v>0</v>
      </c>
      <c r="I533" s="4" t="n">
        <f aca="false">IF(G533="","",RANK(G533,$G$2:$G$671,0))</f>
        <v>527</v>
      </c>
      <c r="J533" s="4" t="s">
        <v>34</v>
      </c>
    </row>
    <row r="534" customFormat="false" ht="15" hidden="false" customHeight="false" outlineLevel="0" collapsed="false">
      <c r="A534" s="4" t="s">
        <v>1146</v>
      </c>
      <c r="B534" s="4" t="s">
        <v>52</v>
      </c>
      <c r="C534" s="4" t="s">
        <v>349</v>
      </c>
      <c r="D534" s="7" t="s">
        <v>1147</v>
      </c>
      <c r="E534" s="4" t="s">
        <v>33</v>
      </c>
      <c r="F534" s="4" t="s">
        <v>4</v>
      </c>
      <c r="G534" s="8" t="n">
        <v>0</v>
      </c>
      <c r="H534" s="6" t="n">
        <f aca="false">IF(G534="","",G534/SUMIFS($G$2:$G$671,$F$2:$F$671,"Served"))</f>
        <v>0</v>
      </c>
      <c r="I534" s="4" t="n">
        <f aca="false">IF(G534="","",RANK(G534,$G$2:$G$671,0))</f>
        <v>527</v>
      </c>
      <c r="J534" s="4" t="s">
        <v>34</v>
      </c>
    </row>
    <row r="535" customFormat="false" ht="15" hidden="false" customHeight="false" outlineLevel="0" collapsed="false">
      <c r="A535" s="4" t="s">
        <v>1148</v>
      </c>
      <c r="B535" s="4" t="s">
        <v>213</v>
      </c>
      <c r="C535" s="4" t="s">
        <v>214</v>
      </c>
      <c r="D535" s="7" t="s">
        <v>1149</v>
      </c>
      <c r="E535" s="4" t="s">
        <v>216</v>
      </c>
      <c r="F535" s="4" t="s">
        <v>4</v>
      </c>
      <c r="G535" s="8" t="n">
        <v>0</v>
      </c>
      <c r="H535" s="6" t="n">
        <f aca="false">IF(G535="","",G535/SUMIFS($G$2:$G$671,$F$2:$F$671,"Served"))</f>
        <v>0</v>
      </c>
      <c r="I535" s="4" t="n">
        <f aca="false">IF(G535="","",RANK(G535,$G$2:$G$671,0))</f>
        <v>527</v>
      </c>
      <c r="J535" s="4" t="s">
        <v>34</v>
      </c>
    </row>
    <row r="536" customFormat="false" ht="15" hidden="false" customHeight="false" outlineLevel="0" collapsed="false">
      <c r="A536" s="4" t="s">
        <v>1150</v>
      </c>
      <c r="B536" s="4" t="s">
        <v>125</v>
      </c>
      <c r="C536" s="4" t="s">
        <v>126</v>
      </c>
      <c r="D536" s="7" t="s">
        <v>1151</v>
      </c>
      <c r="E536" s="4" t="s">
        <v>128</v>
      </c>
      <c r="F536" s="4" t="s">
        <v>4</v>
      </c>
      <c r="G536" s="8" t="n">
        <v>0</v>
      </c>
      <c r="H536" s="6" t="n">
        <f aca="false">IF(G536="","",G536/SUMIFS($G$2:$G$671,$F$2:$F$671,"Served"))</f>
        <v>0</v>
      </c>
      <c r="I536" s="4" t="n">
        <f aca="false">IF(G536="","",RANK(G536,$G$2:$G$671,0))</f>
        <v>527</v>
      </c>
      <c r="J536" s="4" t="s">
        <v>34</v>
      </c>
    </row>
    <row r="537" customFormat="false" ht="15" hidden="false" customHeight="false" outlineLevel="0" collapsed="false">
      <c r="A537" s="4" t="s">
        <v>1152</v>
      </c>
      <c r="B537" s="4" t="s">
        <v>1153</v>
      </c>
      <c r="C537" s="4" t="s">
        <v>1154</v>
      </c>
      <c r="D537" s="7" t="s">
        <v>1155</v>
      </c>
      <c r="E537" s="4" t="s">
        <v>1156</v>
      </c>
      <c r="F537" s="4" t="s">
        <v>5</v>
      </c>
      <c r="G537" s="8"/>
      <c r="H537" s="6" t="str">
        <f aca="false">IF(G537="","",G537/SUMIFS($G$2:$G$671,$F$2:$F$671,"Served"))</f>
        <v/>
      </c>
      <c r="I537" s="4" t="str">
        <f aca="false">IF(G537="","",RANK(G537,$G$2:$G$671,0))</f>
        <v/>
      </c>
      <c r="J537" s="4" t="s">
        <v>34</v>
      </c>
    </row>
    <row r="538" customFormat="false" ht="15" hidden="false" customHeight="false" outlineLevel="0" collapsed="false">
      <c r="A538" s="4" t="s">
        <v>1157</v>
      </c>
      <c r="B538" s="4" t="s">
        <v>1153</v>
      </c>
      <c r="C538" s="4" t="s">
        <v>1154</v>
      </c>
      <c r="D538" s="7" t="s">
        <v>1158</v>
      </c>
      <c r="E538" s="4" t="s">
        <v>1156</v>
      </c>
      <c r="F538" s="4" t="s">
        <v>5</v>
      </c>
      <c r="G538" s="8"/>
      <c r="H538" s="6" t="str">
        <f aca="false">IF(G538="","",G538/SUMIFS($G$2:$G$671,$F$2:$F$671,"Served"))</f>
        <v/>
      </c>
      <c r="I538" s="4" t="str">
        <f aca="false">IF(G538="","",RANK(G538,$G$2:$G$671,0))</f>
        <v/>
      </c>
      <c r="J538" s="4" t="s">
        <v>34</v>
      </c>
    </row>
    <row r="539" customFormat="false" ht="15" hidden="false" customHeight="false" outlineLevel="0" collapsed="false">
      <c r="A539" s="4" t="s">
        <v>1159</v>
      </c>
      <c r="B539" s="4" t="s">
        <v>1153</v>
      </c>
      <c r="C539" s="4" t="s">
        <v>1154</v>
      </c>
      <c r="D539" s="7" t="s">
        <v>1160</v>
      </c>
      <c r="E539" s="4" t="s">
        <v>1156</v>
      </c>
      <c r="F539" s="4" t="s">
        <v>5</v>
      </c>
      <c r="G539" s="8"/>
      <c r="H539" s="6" t="str">
        <f aca="false">IF(G539="","",G539/SUMIFS($G$2:$G$671,$F$2:$F$671,"Served"))</f>
        <v/>
      </c>
      <c r="I539" s="4" t="str">
        <f aca="false">IF(G539="","",RANK(G539,$G$2:$G$671,0))</f>
        <v/>
      </c>
      <c r="J539" s="4" t="s">
        <v>34</v>
      </c>
    </row>
    <row r="540" customFormat="false" ht="15" hidden="false" customHeight="false" outlineLevel="0" collapsed="false">
      <c r="A540" s="4" t="s">
        <v>1161</v>
      </c>
      <c r="B540" s="4" t="s">
        <v>1153</v>
      </c>
      <c r="C540" s="4" t="s">
        <v>1154</v>
      </c>
      <c r="D540" s="7" t="s">
        <v>1162</v>
      </c>
      <c r="E540" s="4" t="s">
        <v>1156</v>
      </c>
      <c r="F540" s="4" t="s">
        <v>5</v>
      </c>
      <c r="G540" s="8"/>
      <c r="H540" s="6" t="str">
        <f aca="false">IF(G540="","",G540/SUMIFS($G$2:$G$671,$F$2:$F$671,"Served"))</f>
        <v/>
      </c>
      <c r="I540" s="4" t="str">
        <f aca="false">IF(G540="","",RANK(G540,$G$2:$G$671,0))</f>
        <v/>
      </c>
      <c r="J540" s="4" t="s">
        <v>34</v>
      </c>
    </row>
    <row r="541" customFormat="false" ht="15" hidden="false" customHeight="false" outlineLevel="0" collapsed="false">
      <c r="A541" s="4" t="s">
        <v>1163</v>
      </c>
      <c r="B541" s="4" t="s">
        <v>1153</v>
      </c>
      <c r="C541" s="4" t="s">
        <v>1154</v>
      </c>
      <c r="D541" s="7" t="s">
        <v>1164</v>
      </c>
      <c r="E541" s="4" t="s">
        <v>1156</v>
      </c>
      <c r="F541" s="4" t="s">
        <v>5</v>
      </c>
      <c r="G541" s="8"/>
      <c r="H541" s="6" t="str">
        <f aca="false">IF(G541="","",G541/SUMIFS($G$2:$G$671,$F$2:$F$671,"Served"))</f>
        <v/>
      </c>
      <c r="I541" s="4" t="str">
        <f aca="false">IF(G541="","",RANK(G541,$G$2:$G$671,0))</f>
        <v/>
      </c>
      <c r="J541" s="4" t="s">
        <v>34</v>
      </c>
    </row>
    <row r="542" customFormat="false" ht="15" hidden="false" customHeight="false" outlineLevel="0" collapsed="false">
      <c r="A542" s="4" t="s">
        <v>1165</v>
      </c>
      <c r="B542" s="4" t="s">
        <v>1153</v>
      </c>
      <c r="C542" s="4" t="s">
        <v>1154</v>
      </c>
      <c r="D542" s="7" t="s">
        <v>1166</v>
      </c>
      <c r="E542" s="4" t="s">
        <v>1156</v>
      </c>
      <c r="F542" s="4" t="s">
        <v>5</v>
      </c>
      <c r="G542" s="8"/>
      <c r="H542" s="6" t="str">
        <f aca="false">IF(G542="","",G542/SUMIFS($G$2:$G$671,$F$2:$F$671,"Served"))</f>
        <v/>
      </c>
      <c r="I542" s="4" t="str">
        <f aca="false">IF(G542="","",RANK(G542,$G$2:$G$671,0))</f>
        <v/>
      </c>
      <c r="J542" s="4" t="s">
        <v>34</v>
      </c>
    </row>
    <row r="543" customFormat="false" ht="15" hidden="false" customHeight="false" outlineLevel="0" collapsed="false">
      <c r="A543" s="4" t="s">
        <v>1167</v>
      </c>
      <c r="B543" s="4" t="s">
        <v>1153</v>
      </c>
      <c r="C543" s="4" t="s">
        <v>1154</v>
      </c>
      <c r="D543" s="7" t="s">
        <v>1168</v>
      </c>
      <c r="E543" s="4" t="s">
        <v>1156</v>
      </c>
      <c r="F543" s="4" t="s">
        <v>5</v>
      </c>
      <c r="G543" s="8"/>
      <c r="H543" s="6" t="str">
        <f aca="false">IF(G543="","",G543/SUMIFS($G$2:$G$671,$F$2:$F$671,"Served"))</f>
        <v/>
      </c>
      <c r="I543" s="4" t="str">
        <f aca="false">IF(G543="","",RANK(G543,$G$2:$G$671,0))</f>
        <v/>
      </c>
      <c r="J543" s="4" t="s">
        <v>34</v>
      </c>
    </row>
    <row r="544" customFormat="false" ht="15" hidden="false" customHeight="false" outlineLevel="0" collapsed="false">
      <c r="A544" s="4" t="s">
        <v>1169</v>
      </c>
      <c r="B544" s="4" t="s">
        <v>1153</v>
      </c>
      <c r="C544" s="4" t="s">
        <v>1154</v>
      </c>
      <c r="D544" s="7" t="s">
        <v>1170</v>
      </c>
      <c r="E544" s="4" t="s">
        <v>1156</v>
      </c>
      <c r="F544" s="4" t="s">
        <v>5</v>
      </c>
      <c r="G544" s="8"/>
      <c r="H544" s="6" t="str">
        <f aca="false">IF(G544="","",G544/SUMIFS($G$2:$G$671,$F$2:$F$671,"Served"))</f>
        <v/>
      </c>
      <c r="I544" s="4" t="str">
        <f aca="false">IF(G544="","",RANK(G544,$G$2:$G$671,0))</f>
        <v/>
      </c>
      <c r="J544" s="4" t="s">
        <v>34</v>
      </c>
    </row>
    <row r="545" customFormat="false" ht="15" hidden="false" customHeight="false" outlineLevel="0" collapsed="false">
      <c r="A545" s="4" t="s">
        <v>1171</v>
      </c>
      <c r="B545" s="4" t="s">
        <v>1153</v>
      </c>
      <c r="C545" s="4" t="s">
        <v>1154</v>
      </c>
      <c r="D545" s="7" t="s">
        <v>1172</v>
      </c>
      <c r="E545" s="4" t="s">
        <v>1156</v>
      </c>
      <c r="F545" s="4" t="s">
        <v>5</v>
      </c>
      <c r="G545" s="8"/>
      <c r="H545" s="6" t="str">
        <f aca="false">IF(G545="","",G545/SUMIFS($G$2:$G$671,$F$2:$F$671,"Served"))</f>
        <v/>
      </c>
      <c r="I545" s="4" t="str">
        <f aca="false">IF(G545="","",RANK(G545,$G$2:$G$671,0))</f>
        <v/>
      </c>
      <c r="J545" s="4" t="s">
        <v>34</v>
      </c>
    </row>
    <row r="546" customFormat="false" ht="15" hidden="false" customHeight="false" outlineLevel="0" collapsed="false">
      <c r="A546" s="4" t="s">
        <v>1173</v>
      </c>
      <c r="B546" s="4" t="s">
        <v>1153</v>
      </c>
      <c r="C546" s="4" t="s">
        <v>1154</v>
      </c>
      <c r="D546" s="7" t="s">
        <v>1174</v>
      </c>
      <c r="E546" s="4" t="s">
        <v>1156</v>
      </c>
      <c r="F546" s="4" t="s">
        <v>5</v>
      </c>
      <c r="G546" s="8"/>
      <c r="H546" s="6" t="str">
        <f aca="false">IF(G546="","",G546/SUMIFS($G$2:$G$671,$F$2:$F$671,"Served"))</f>
        <v/>
      </c>
      <c r="I546" s="4" t="str">
        <f aca="false">IF(G546="","",RANK(G546,$G$2:$G$671,0))</f>
        <v/>
      </c>
      <c r="J546" s="4" t="s">
        <v>34</v>
      </c>
    </row>
    <row r="547" customFormat="false" ht="15" hidden="false" customHeight="false" outlineLevel="0" collapsed="false">
      <c r="A547" s="4" t="s">
        <v>1175</v>
      </c>
      <c r="B547" s="4" t="s">
        <v>1153</v>
      </c>
      <c r="C547" s="4" t="s">
        <v>1154</v>
      </c>
      <c r="D547" s="7" t="s">
        <v>1176</v>
      </c>
      <c r="E547" s="4" t="s">
        <v>1156</v>
      </c>
      <c r="F547" s="4" t="s">
        <v>5</v>
      </c>
      <c r="G547" s="8"/>
      <c r="H547" s="6" t="str">
        <f aca="false">IF(G547="","",G547/SUMIFS($G$2:$G$671,$F$2:$F$671,"Served"))</f>
        <v/>
      </c>
      <c r="I547" s="4" t="str">
        <f aca="false">IF(G547="","",RANK(G547,$G$2:$G$671,0))</f>
        <v/>
      </c>
      <c r="J547" s="4" t="s">
        <v>34</v>
      </c>
    </row>
    <row r="548" customFormat="false" ht="15" hidden="false" customHeight="false" outlineLevel="0" collapsed="false">
      <c r="A548" s="4" t="s">
        <v>1177</v>
      </c>
      <c r="B548" s="4" t="s">
        <v>1153</v>
      </c>
      <c r="C548" s="4" t="s">
        <v>1154</v>
      </c>
      <c r="D548" s="7" t="s">
        <v>1178</v>
      </c>
      <c r="E548" s="4" t="s">
        <v>1156</v>
      </c>
      <c r="F548" s="4" t="s">
        <v>5</v>
      </c>
      <c r="G548" s="8"/>
      <c r="H548" s="6" t="str">
        <f aca="false">IF(G548="","",G548/SUMIFS($G$2:$G$671,$F$2:$F$671,"Served"))</f>
        <v/>
      </c>
      <c r="I548" s="4" t="str">
        <f aca="false">IF(G548="","",RANK(G548,$G$2:$G$671,0))</f>
        <v/>
      </c>
      <c r="J548" s="4" t="s">
        <v>34</v>
      </c>
    </row>
    <row r="549" customFormat="false" ht="15" hidden="false" customHeight="false" outlineLevel="0" collapsed="false">
      <c r="A549" s="4" t="s">
        <v>1179</v>
      </c>
      <c r="B549" s="4" t="s">
        <v>1153</v>
      </c>
      <c r="C549" s="4" t="s">
        <v>1154</v>
      </c>
      <c r="D549" s="7" t="s">
        <v>1180</v>
      </c>
      <c r="E549" s="4" t="s">
        <v>1156</v>
      </c>
      <c r="F549" s="4" t="s">
        <v>5</v>
      </c>
      <c r="G549" s="8"/>
      <c r="H549" s="6" t="str">
        <f aca="false">IF(G549="","",G549/SUMIFS($G$2:$G$671,$F$2:$F$671,"Served"))</f>
        <v/>
      </c>
      <c r="I549" s="4" t="str">
        <f aca="false">IF(G549="","",RANK(G549,$G$2:$G$671,0))</f>
        <v/>
      </c>
      <c r="J549" s="4" t="s">
        <v>34</v>
      </c>
    </row>
    <row r="550" customFormat="false" ht="15" hidden="false" customHeight="false" outlineLevel="0" collapsed="false">
      <c r="A550" s="4" t="s">
        <v>1181</v>
      </c>
      <c r="B550" s="4" t="s">
        <v>1153</v>
      </c>
      <c r="C550" s="4" t="s">
        <v>1154</v>
      </c>
      <c r="D550" s="7" t="s">
        <v>1182</v>
      </c>
      <c r="E550" s="4" t="s">
        <v>1156</v>
      </c>
      <c r="F550" s="4" t="s">
        <v>5</v>
      </c>
      <c r="G550" s="8"/>
      <c r="H550" s="6" t="str">
        <f aca="false">IF(G550="","",G550/SUMIFS($G$2:$G$671,$F$2:$F$671,"Served"))</f>
        <v/>
      </c>
      <c r="I550" s="4" t="str">
        <f aca="false">IF(G550="","",RANK(G550,$G$2:$G$671,0))</f>
        <v/>
      </c>
      <c r="J550" s="4" t="s">
        <v>34</v>
      </c>
    </row>
    <row r="551" customFormat="false" ht="15" hidden="false" customHeight="false" outlineLevel="0" collapsed="false">
      <c r="A551" s="4" t="s">
        <v>1183</v>
      </c>
      <c r="B551" s="4" t="s">
        <v>1153</v>
      </c>
      <c r="C551" s="4" t="s">
        <v>1154</v>
      </c>
      <c r="D551" s="7" t="s">
        <v>1184</v>
      </c>
      <c r="E551" s="4" t="s">
        <v>1156</v>
      </c>
      <c r="F551" s="4" t="s">
        <v>5</v>
      </c>
      <c r="G551" s="8"/>
      <c r="H551" s="6" t="str">
        <f aca="false">IF(G551="","",G551/SUMIFS($G$2:$G$671,$F$2:$F$671,"Served"))</f>
        <v/>
      </c>
      <c r="I551" s="4" t="str">
        <f aca="false">IF(G551="","",RANK(G551,$G$2:$G$671,0))</f>
        <v/>
      </c>
      <c r="J551" s="4" t="s">
        <v>34</v>
      </c>
    </row>
    <row r="552" customFormat="false" ht="15" hidden="false" customHeight="false" outlineLevel="0" collapsed="false">
      <c r="A552" s="4" t="s">
        <v>1185</v>
      </c>
      <c r="B552" s="4" t="s">
        <v>1153</v>
      </c>
      <c r="C552" s="4" t="s">
        <v>1154</v>
      </c>
      <c r="D552" s="7" t="s">
        <v>1186</v>
      </c>
      <c r="E552" s="4" t="s">
        <v>1156</v>
      </c>
      <c r="F552" s="4" t="s">
        <v>5</v>
      </c>
      <c r="G552" s="8"/>
      <c r="H552" s="6" t="str">
        <f aca="false">IF(G552="","",G552/SUMIFS($G$2:$G$671,$F$2:$F$671,"Served"))</f>
        <v/>
      </c>
      <c r="I552" s="4" t="str">
        <f aca="false">IF(G552="","",RANK(G552,$G$2:$G$671,0))</f>
        <v/>
      </c>
      <c r="J552" s="4" t="s">
        <v>34</v>
      </c>
    </row>
    <row r="553" customFormat="false" ht="15" hidden="false" customHeight="false" outlineLevel="0" collapsed="false">
      <c r="A553" s="4" t="s">
        <v>1187</v>
      </c>
      <c r="B553" s="4" t="s">
        <v>1153</v>
      </c>
      <c r="C553" s="4" t="s">
        <v>1154</v>
      </c>
      <c r="D553" s="7" t="s">
        <v>1188</v>
      </c>
      <c r="E553" s="4" t="s">
        <v>1156</v>
      </c>
      <c r="F553" s="4" t="s">
        <v>5</v>
      </c>
      <c r="G553" s="8"/>
      <c r="H553" s="6" t="str">
        <f aca="false">IF(G553="","",G553/SUMIFS($G$2:$G$671,$F$2:$F$671,"Served"))</f>
        <v/>
      </c>
      <c r="I553" s="4" t="str">
        <f aca="false">IF(G553="","",RANK(G553,$G$2:$G$671,0))</f>
        <v/>
      </c>
      <c r="J553" s="4" t="s">
        <v>34</v>
      </c>
    </row>
    <row r="554" customFormat="false" ht="15" hidden="false" customHeight="false" outlineLevel="0" collapsed="false">
      <c r="A554" s="4" t="s">
        <v>1189</v>
      </c>
      <c r="B554" s="4" t="s">
        <v>1153</v>
      </c>
      <c r="C554" s="4" t="s">
        <v>1154</v>
      </c>
      <c r="D554" s="7" t="s">
        <v>1190</v>
      </c>
      <c r="E554" s="4" t="s">
        <v>1156</v>
      </c>
      <c r="F554" s="4" t="s">
        <v>5</v>
      </c>
      <c r="G554" s="8"/>
      <c r="H554" s="6" t="str">
        <f aca="false">IF(G554="","",G554/SUMIFS($G$2:$G$671,$F$2:$F$671,"Served"))</f>
        <v/>
      </c>
      <c r="I554" s="4" t="str">
        <f aca="false">IF(G554="","",RANK(G554,$G$2:$G$671,0))</f>
        <v/>
      </c>
      <c r="J554" s="4" t="s">
        <v>34</v>
      </c>
    </row>
    <row r="555" customFormat="false" ht="15" hidden="false" customHeight="false" outlineLevel="0" collapsed="false">
      <c r="A555" s="4" t="s">
        <v>1191</v>
      </c>
      <c r="B555" s="4" t="s">
        <v>1153</v>
      </c>
      <c r="C555" s="4" t="s">
        <v>1154</v>
      </c>
      <c r="D555" s="7" t="s">
        <v>1192</v>
      </c>
      <c r="E555" s="4" t="s">
        <v>1156</v>
      </c>
      <c r="F555" s="4" t="s">
        <v>5</v>
      </c>
      <c r="G555" s="8"/>
      <c r="H555" s="6" t="str">
        <f aca="false">IF(G555="","",G555/SUMIFS($G$2:$G$671,$F$2:$F$671,"Served"))</f>
        <v/>
      </c>
      <c r="I555" s="4" t="str">
        <f aca="false">IF(G555="","",RANK(G555,$G$2:$G$671,0))</f>
        <v/>
      </c>
      <c r="J555" s="4" t="s">
        <v>34</v>
      </c>
    </row>
    <row r="556" customFormat="false" ht="15" hidden="false" customHeight="false" outlineLevel="0" collapsed="false">
      <c r="A556" s="4" t="s">
        <v>1193</v>
      </c>
      <c r="B556" s="4" t="s">
        <v>1153</v>
      </c>
      <c r="C556" s="4" t="s">
        <v>1154</v>
      </c>
      <c r="D556" s="7" t="s">
        <v>1194</v>
      </c>
      <c r="E556" s="4" t="s">
        <v>1156</v>
      </c>
      <c r="F556" s="4" t="s">
        <v>5</v>
      </c>
      <c r="G556" s="8"/>
      <c r="H556" s="6" t="str">
        <f aca="false">IF(G556="","",G556/SUMIFS($G$2:$G$671,$F$2:$F$671,"Served"))</f>
        <v/>
      </c>
      <c r="I556" s="4" t="str">
        <f aca="false">IF(G556="","",RANK(G556,$G$2:$G$671,0))</f>
        <v/>
      </c>
      <c r="J556" s="4" t="s">
        <v>34</v>
      </c>
    </row>
    <row r="557" customFormat="false" ht="15" hidden="false" customHeight="false" outlineLevel="0" collapsed="false">
      <c r="A557" s="4" t="s">
        <v>1195</v>
      </c>
      <c r="B557" s="4" t="s">
        <v>1153</v>
      </c>
      <c r="C557" s="4" t="s">
        <v>1154</v>
      </c>
      <c r="D557" s="7" t="s">
        <v>1196</v>
      </c>
      <c r="E557" s="4" t="s">
        <v>1156</v>
      </c>
      <c r="F557" s="4" t="s">
        <v>5</v>
      </c>
      <c r="G557" s="8"/>
      <c r="H557" s="6" t="str">
        <f aca="false">IF(G557="","",G557/SUMIFS($G$2:$G$671,$F$2:$F$671,"Served"))</f>
        <v/>
      </c>
      <c r="I557" s="4" t="str">
        <f aca="false">IF(G557="","",RANK(G557,$G$2:$G$671,0))</f>
        <v/>
      </c>
      <c r="J557" s="4" t="s">
        <v>34</v>
      </c>
    </row>
    <row r="558" customFormat="false" ht="15" hidden="false" customHeight="false" outlineLevel="0" collapsed="false">
      <c r="A558" s="4" t="s">
        <v>1197</v>
      </c>
      <c r="B558" s="4" t="s">
        <v>1153</v>
      </c>
      <c r="C558" s="4" t="s">
        <v>1154</v>
      </c>
      <c r="D558" s="7" t="s">
        <v>1198</v>
      </c>
      <c r="E558" s="4" t="s">
        <v>1156</v>
      </c>
      <c r="F558" s="4" t="s">
        <v>5</v>
      </c>
      <c r="G558" s="8"/>
      <c r="H558" s="6" t="str">
        <f aca="false">IF(G558="","",G558/SUMIFS($G$2:$G$671,$F$2:$F$671,"Served"))</f>
        <v/>
      </c>
      <c r="I558" s="4" t="str">
        <f aca="false">IF(G558="","",RANK(G558,$G$2:$G$671,0))</f>
        <v/>
      </c>
      <c r="J558" s="4" t="s">
        <v>34</v>
      </c>
    </row>
    <row r="559" customFormat="false" ht="15" hidden="false" customHeight="false" outlineLevel="0" collapsed="false">
      <c r="A559" s="4" t="s">
        <v>1199</v>
      </c>
      <c r="B559" s="4" t="s">
        <v>1153</v>
      </c>
      <c r="C559" s="4" t="s">
        <v>1154</v>
      </c>
      <c r="D559" s="7" t="s">
        <v>1200</v>
      </c>
      <c r="E559" s="4" t="s">
        <v>1156</v>
      </c>
      <c r="F559" s="4" t="s">
        <v>5</v>
      </c>
      <c r="G559" s="8"/>
      <c r="H559" s="6" t="str">
        <f aca="false">IF(G559="","",G559/SUMIFS($G$2:$G$671,$F$2:$F$671,"Served"))</f>
        <v/>
      </c>
      <c r="I559" s="4" t="str">
        <f aca="false">IF(G559="","",RANK(G559,$G$2:$G$671,0))</f>
        <v/>
      </c>
      <c r="J559" s="4" t="s">
        <v>34</v>
      </c>
    </row>
    <row r="560" customFormat="false" ht="15" hidden="false" customHeight="false" outlineLevel="0" collapsed="false">
      <c r="A560" s="4" t="s">
        <v>1201</v>
      </c>
      <c r="B560" s="4" t="s">
        <v>1153</v>
      </c>
      <c r="C560" s="4" t="s">
        <v>1154</v>
      </c>
      <c r="D560" s="7" t="s">
        <v>1202</v>
      </c>
      <c r="E560" s="4" t="s">
        <v>1156</v>
      </c>
      <c r="F560" s="4" t="s">
        <v>5</v>
      </c>
      <c r="G560" s="8"/>
      <c r="H560" s="6" t="str">
        <f aca="false">IF(G560="","",G560/SUMIFS($G$2:$G$671,$F$2:$F$671,"Served"))</f>
        <v/>
      </c>
      <c r="I560" s="4" t="str">
        <f aca="false">IF(G560="","",RANK(G560,$G$2:$G$671,0))</f>
        <v/>
      </c>
      <c r="J560" s="4" t="s">
        <v>34</v>
      </c>
    </row>
    <row r="561" customFormat="false" ht="15" hidden="false" customHeight="false" outlineLevel="0" collapsed="false">
      <c r="A561" s="4" t="s">
        <v>1203</v>
      </c>
      <c r="B561" s="4" t="s">
        <v>1153</v>
      </c>
      <c r="C561" s="4" t="s">
        <v>1154</v>
      </c>
      <c r="D561" s="7" t="s">
        <v>1204</v>
      </c>
      <c r="E561" s="4" t="s">
        <v>1156</v>
      </c>
      <c r="F561" s="4" t="s">
        <v>5</v>
      </c>
      <c r="G561" s="8"/>
      <c r="H561" s="6" t="str">
        <f aca="false">IF(G561="","",G561/SUMIFS($G$2:$G$671,$F$2:$F$671,"Served"))</f>
        <v/>
      </c>
      <c r="I561" s="4" t="str">
        <f aca="false">IF(G561="","",RANK(G561,$G$2:$G$671,0))</f>
        <v/>
      </c>
      <c r="J561" s="4" t="s">
        <v>34</v>
      </c>
    </row>
    <row r="562" customFormat="false" ht="15" hidden="false" customHeight="false" outlineLevel="0" collapsed="false">
      <c r="A562" s="4" t="s">
        <v>1205</v>
      </c>
      <c r="B562" s="4" t="s">
        <v>1153</v>
      </c>
      <c r="C562" s="4" t="s">
        <v>1154</v>
      </c>
      <c r="D562" s="7" t="s">
        <v>1206</v>
      </c>
      <c r="E562" s="4" t="s">
        <v>1156</v>
      </c>
      <c r="F562" s="4" t="s">
        <v>5</v>
      </c>
      <c r="G562" s="8"/>
      <c r="H562" s="6" t="str">
        <f aca="false">IF(G562="","",G562/SUMIFS($G$2:$G$671,$F$2:$F$671,"Served"))</f>
        <v/>
      </c>
      <c r="I562" s="4" t="str">
        <f aca="false">IF(G562="","",RANK(G562,$G$2:$G$671,0))</f>
        <v/>
      </c>
      <c r="J562" s="4" t="s">
        <v>34</v>
      </c>
    </row>
    <row r="563" customFormat="false" ht="15" hidden="false" customHeight="false" outlineLevel="0" collapsed="false">
      <c r="A563" s="4" t="s">
        <v>1207</v>
      </c>
      <c r="B563" s="4" t="s">
        <v>1153</v>
      </c>
      <c r="C563" s="4" t="s">
        <v>1154</v>
      </c>
      <c r="D563" s="7" t="s">
        <v>1208</v>
      </c>
      <c r="E563" s="4" t="s">
        <v>1156</v>
      </c>
      <c r="F563" s="4" t="s">
        <v>5</v>
      </c>
      <c r="G563" s="8"/>
      <c r="H563" s="6" t="str">
        <f aca="false">IF(G563="","",G563/SUMIFS($G$2:$G$671,$F$2:$F$671,"Served"))</f>
        <v/>
      </c>
      <c r="I563" s="4" t="str">
        <f aca="false">IF(G563="","",RANK(G563,$G$2:$G$671,0))</f>
        <v/>
      </c>
      <c r="J563" s="4" t="s">
        <v>34</v>
      </c>
    </row>
    <row r="564" customFormat="false" ht="15" hidden="false" customHeight="false" outlineLevel="0" collapsed="false">
      <c r="A564" s="4" t="s">
        <v>1209</v>
      </c>
      <c r="B564" s="4" t="s">
        <v>1153</v>
      </c>
      <c r="C564" s="4" t="s">
        <v>1154</v>
      </c>
      <c r="D564" s="7" t="s">
        <v>1210</v>
      </c>
      <c r="E564" s="4" t="s">
        <v>1156</v>
      </c>
      <c r="F564" s="4" t="s">
        <v>5</v>
      </c>
      <c r="G564" s="8"/>
      <c r="H564" s="6" t="str">
        <f aca="false">IF(G564="","",G564/SUMIFS($G$2:$G$671,$F$2:$F$671,"Served"))</f>
        <v/>
      </c>
      <c r="I564" s="4" t="str">
        <f aca="false">IF(G564="","",RANK(G564,$G$2:$G$671,0))</f>
        <v/>
      </c>
      <c r="J564" s="4" t="s">
        <v>34</v>
      </c>
    </row>
    <row r="565" customFormat="false" ht="15" hidden="false" customHeight="false" outlineLevel="0" collapsed="false">
      <c r="A565" s="4" t="s">
        <v>1211</v>
      </c>
      <c r="B565" s="4" t="s">
        <v>1153</v>
      </c>
      <c r="C565" s="4" t="s">
        <v>1154</v>
      </c>
      <c r="D565" s="7" t="s">
        <v>1212</v>
      </c>
      <c r="E565" s="4" t="s">
        <v>1156</v>
      </c>
      <c r="F565" s="4" t="s">
        <v>5</v>
      </c>
      <c r="G565" s="8"/>
      <c r="H565" s="6" t="str">
        <f aca="false">IF(G565="","",G565/SUMIFS($G$2:$G$671,$F$2:$F$671,"Served"))</f>
        <v/>
      </c>
      <c r="I565" s="4" t="str">
        <f aca="false">IF(G565="","",RANK(G565,$G$2:$G$671,0))</f>
        <v/>
      </c>
      <c r="J565" s="4" t="s">
        <v>34</v>
      </c>
    </row>
    <row r="566" customFormat="false" ht="15" hidden="false" customHeight="false" outlineLevel="0" collapsed="false">
      <c r="A566" s="4" t="s">
        <v>1213</v>
      </c>
      <c r="B566" s="4" t="s">
        <v>1153</v>
      </c>
      <c r="C566" s="4" t="s">
        <v>1154</v>
      </c>
      <c r="D566" s="7" t="s">
        <v>1214</v>
      </c>
      <c r="E566" s="4" t="s">
        <v>1156</v>
      </c>
      <c r="F566" s="4" t="s">
        <v>5</v>
      </c>
      <c r="G566" s="8"/>
      <c r="H566" s="6" t="str">
        <f aca="false">IF(G566="","",G566/SUMIFS($G$2:$G$671,$F$2:$F$671,"Served"))</f>
        <v/>
      </c>
      <c r="I566" s="4" t="str">
        <f aca="false">IF(G566="","",RANK(G566,$G$2:$G$671,0))</f>
        <v/>
      </c>
      <c r="J566" s="4" t="s">
        <v>34</v>
      </c>
    </row>
    <row r="567" customFormat="false" ht="15" hidden="false" customHeight="false" outlineLevel="0" collapsed="false">
      <c r="A567" s="4" t="s">
        <v>1215</v>
      </c>
      <c r="B567" s="4" t="s">
        <v>1153</v>
      </c>
      <c r="C567" s="4" t="s">
        <v>1154</v>
      </c>
      <c r="D567" s="7" t="s">
        <v>1216</v>
      </c>
      <c r="E567" s="4" t="s">
        <v>1156</v>
      </c>
      <c r="F567" s="4" t="s">
        <v>5</v>
      </c>
      <c r="G567" s="8"/>
      <c r="H567" s="6" t="str">
        <f aca="false">IF(G567="","",G567/SUMIFS($G$2:$G$671,$F$2:$F$671,"Served"))</f>
        <v/>
      </c>
      <c r="I567" s="4" t="str">
        <f aca="false">IF(G567="","",RANK(G567,$G$2:$G$671,0))</f>
        <v/>
      </c>
      <c r="J567" s="4" t="s">
        <v>34</v>
      </c>
    </row>
    <row r="568" customFormat="false" ht="15" hidden="false" customHeight="false" outlineLevel="0" collapsed="false">
      <c r="A568" s="4" t="s">
        <v>1217</v>
      </c>
      <c r="B568" s="4" t="s">
        <v>1153</v>
      </c>
      <c r="C568" s="4" t="s">
        <v>1154</v>
      </c>
      <c r="D568" s="7" t="s">
        <v>1218</v>
      </c>
      <c r="E568" s="4" t="s">
        <v>1156</v>
      </c>
      <c r="F568" s="4" t="s">
        <v>5</v>
      </c>
      <c r="G568" s="8"/>
      <c r="H568" s="6" t="str">
        <f aca="false">IF(G568="","",G568/SUMIFS($G$2:$G$671,$F$2:$F$671,"Served"))</f>
        <v/>
      </c>
      <c r="I568" s="4" t="str">
        <f aca="false">IF(G568="","",RANK(G568,$G$2:$G$671,0))</f>
        <v/>
      </c>
      <c r="J568" s="4" t="s">
        <v>34</v>
      </c>
    </row>
    <row r="569" customFormat="false" ht="15" hidden="false" customHeight="false" outlineLevel="0" collapsed="false">
      <c r="A569" s="4" t="s">
        <v>1219</v>
      </c>
      <c r="B569" s="4" t="s">
        <v>1153</v>
      </c>
      <c r="C569" s="4" t="s">
        <v>1154</v>
      </c>
      <c r="D569" s="7" t="s">
        <v>1220</v>
      </c>
      <c r="E569" s="4" t="s">
        <v>1156</v>
      </c>
      <c r="F569" s="4" t="s">
        <v>5</v>
      </c>
      <c r="G569" s="8"/>
      <c r="H569" s="6" t="str">
        <f aca="false">IF(G569="","",G569/SUMIFS($G$2:$G$671,$F$2:$F$671,"Served"))</f>
        <v/>
      </c>
      <c r="I569" s="4" t="str">
        <f aca="false">IF(G569="","",RANK(G569,$G$2:$G$671,0))</f>
        <v/>
      </c>
      <c r="J569" s="4" t="s">
        <v>34</v>
      </c>
    </row>
    <row r="570" customFormat="false" ht="15" hidden="false" customHeight="false" outlineLevel="0" collapsed="false">
      <c r="A570" s="4" t="s">
        <v>1221</v>
      </c>
      <c r="B570" s="4" t="s">
        <v>1153</v>
      </c>
      <c r="C570" s="4" t="s">
        <v>1154</v>
      </c>
      <c r="D570" s="7" t="s">
        <v>1222</v>
      </c>
      <c r="E570" s="4" t="s">
        <v>1156</v>
      </c>
      <c r="F570" s="4" t="s">
        <v>5</v>
      </c>
      <c r="G570" s="8"/>
      <c r="H570" s="6" t="str">
        <f aca="false">IF(G570="","",G570/SUMIFS($G$2:$G$671,$F$2:$F$671,"Served"))</f>
        <v/>
      </c>
      <c r="I570" s="4" t="str">
        <f aca="false">IF(G570="","",RANK(G570,$G$2:$G$671,0))</f>
        <v/>
      </c>
      <c r="J570" s="4" t="s">
        <v>34</v>
      </c>
    </row>
    <row r="571" customFormat="false" ht="15" hidden="false" customHeight="false" outlineLevel="0" collapsed="false">
      <c r="A571" s="4" t="s">
        <v>1223</v>
      </c>
      <c r="B571" s="4" t="s">
        <v>1153</v>
      </c>
      <c r="C571" s="4" t="s">
        <v>1154</v>
      </c>
      <c r="D571" s="7" t="s">
        <v>1224</v>
      </c>
      <c r="E571" s="4" t="s">
        <v>1156</v>
      </c>
      <c r="F571" s="4" t="s">
        <v>5</v>
      </c>
      <c r="G571" s="8"/>
      <c r="H571" s="6" t="str">
        <f aca="false">IF(G571="","",G571/SUMIFS($G$2:$G$671,$F$2:$F$671,"Served"))</f>
        <v/>
      </c>
      <c r="I571" s="4" t="str">
        <f aca="false">IF(G571="","",RANK(G571,$G$2:$G$671,0))</f>
        <v/>
      </c>
      <c r="J571" s="4" t="s">
        <v>34</v>
      </c>
    </row>
    <row r="572" customFormat="false" ht="15" hidden="false" customHeight="false" outlineLevel="0" collapsed="false">
      <c r="A572" s="4" t="s">
        <v>1225</v>
      </c>
      <c r="B572" s="4" t="s">
        <v>1153</v>
      </c>
      <c r="C572" s="4" t="s">
        <v>1154</v>
      </c>
      <c r="D572" s="7" t="s">
        <v>1226</v>
      </c>
      <c r="E572" s="4" t="s">
        <v>1156</v>
      </c>
      <c r="F572" s="4" t="s">
        <v>5</v>
      </c>
      <c r="G572" s="8"/>
      <c r="H572" s="6" t="str">
        <f aca="false">IF(G572="","",G572/SUMIFS($G$2:$G$671,$F$2:$F$671,"Served"))</f>
        <v/>
      </c>
      <c r="I572" s="4" t="str">
        <f aca="false">IF(G572="","",RANK(G572,$G$2:$G$671,0))</f>
        <v/>
      </c>
      <c r="J572" s="4" t="s">
        <v>34</v>
      </c>
    </row>
    <row r="573" customFormat="false" ht="15" hidden="false" customHeight="false" outlineLevel="0" collapsed="false">
      <c r="A573" s="4" t="s">
        <v>1227</v>
      </c>
      <c r="B573" s="4" t="s">
        <v>1153</v>
      </c>
      <c r="C573" s="4" t="s">
        <v>1154</v>
      </c>
      <c r="D573" s="7" t="s">
        <v>1228</v>
      </c>
      <c r="E573" s="4" t="s">
        <v>1156</v>
      </c>
      <c r="F573" s="4" t="s">
        <v>5</v>
      </c>
      <c r="G573" s="8"/>
      <c r="H573" s="6" t="str">
        <f aca="false">IF(G573="","",G573/SUMIFS($G$2:$G$671,$F$2:$F$671,"Served"))</f>
        <v/>
      </c>
      <c r="I573" s="4" t="str">
        <f aca="false">IF(G573="","",RANK(G573,$G$2:$G$671,0))</f>
        <v/>
      </c>
      <c r="J573" s="4" t="s">
        <v>34</v>
      </c>
    </row>
    <row r="574" customFormat="false" ht="15" hidden="false" customHeight="false" outlineLevel="0" collapsed="false">
      <c r="A574" s="4" t="s">
        <v>1229</v>
      </c>
      <c r="B574" s="4" t="s">
        <v>1153</v>
      </c>
      <c r="C574" s="4" t="s">
        <v>1154</v>
      </c>
      <c r="D574" s="7" t="s">
        <v>1230</v>
      </c>
      <c r="E574" s="4" t="s">
        <v>1156</v>
      </c>
      <c r="F574" s="4" t="s">
        <v>5</v>
      </c>
      <c r="G574" s="8"/>
      <c r="H574" s="6" t="str">
        <f aca="false">IF(G574="","",G574/SUMIFS($G$2:$G$671,$F$2:$F$671,"Served"))</f>
        <v/>
      </c>
      <c r="I574" s="4" t="str">
        <f aca="false">IF(G574="","",RANK(G574,$G$2:$G$671,0))</f>
        <v/>
      </c>
      <c r="J574" s="4" t="s">
        <v>34</v>
      </c>
    </row>
    <row r="575" customFormat="false" ht="15" hidden="false" customHeight="false" outlineLevel="0" collapsed="false">
      <c r="A575" s="4" t="s">
        <v>1231</v>
      </c>
      <c r="B575" s="4" t="s">
        <v>1153</v>
      </c>
      <c r="C575" s="4" t="s">
        <v>1154</v>
      </c>
      <c r="D575" s="7" t="s">
        <v>1232</v>
      </c>
      <c r="E575" s="4" t="s">
        <v>1156</v>
      </c>
      <c r="F575" s="4" t="s">
        <v>5</v>
      </c>
      <c r="G575" s="8"/>
      <c r="H575" s="6" t="str">
        <f aca="false">IF(G575="","",G575/SUMIFS($G$2:$G$671,$F$2:$F$671,"Served"))</f>
        <v/>
      </c>
      <c r="I575" s="4" t="str">
        <f aca="false">IF(G575="","",RANK(G575,$G$2:$G$671,0))</f>
        <v/>
      </c>
      <c r="J575" s="4" t="s">
        <v>34</v>
      </c>
    </row>
    <row r="576" customFormat="false" ht="15" hidden="false" customHeight="false" outlineLevel="0" collapsed="false">
      <c r="A576" s="4" t="s">
        <v>1233</v>
      </c>
      <c r="B576" s="4" t="s">
        <v>1153</v>
      </c>
      <c r="C576" s="4" t="s">
        <v>1154</v>
      </c>
      <c r="D576" s="7" t="s">
        <v>1234</v>
      </c>
      <c r="E576" s="4" t="s">
        <v>1156</v>
      </c>
      <c r="F576" s="4" t="s">
        <v>5</v>
      </c>
      <c r="G576" s="8"/>
      <c r="H576" s="6" t="str">
        <f aca="false">IF(G576="","",G576/SUMIFS($G$2:$G$671,$F$2:$F$671,"Served"))</f>
        <v/>
      </c>
      <c r="I576" s="4" t="str">
        <f aca="false">IF(G576="","",RANK(G576,$G$2:$G$671,0))</f>
        <v/>
      </c>
      <c r="J576" s="4" t="s">
        <v>34</v>
      </c>
    </row>
    <row r="577" customFormat="false" ht="15" hidden="false" customHeight="false" outlineLevel="0" collapsed="false">
      <c r="A577" s="4" t="s">
        <v>1235</v>
      </c>
      <c r="B577" s="4" t="s">
        <v>1153</v>
      </c>
      <c r="C577" s="4" t="s">
        <v>1154</v>
      </c>
      <c r="D577" s="7" t="s">
        <v>1236</v>
      </c>
      <c r="E577" s="4" t="s">
        <v>1156</v>
      </c>
      <c r="F577" s="4" t="s">
        <v>5</v>
      </c>
      <c r="G577" s="8"/>
      <c r="H577" s="6" t="str">
        <f aca="false">IF(G577="","",G577/SUMIFS($G$2:$G$671,$F$2:$F$671,"Served"))</f>
        <v/>
      </c>
      <c r="I577" s="4" t="str">
        <f aca="false">IF(G577="","",RANK(G577,$G$2:$G$671,0))</f>
        <v/>
      </c>
      <c r="J577" s="4" t="s">
        <v>34</v>
      </c>
    </row>
    <row r="578" customFormat="false" ht="15" hidden="false" customHeight="false" outlineLevel="0" collapsed="false">
      <c r="A578" s="4" t="s">
        <v>1237</v>
      </c>
      <c r="B578" s="4" t="s">
        <v>1153</v>
      </c>
      <c r="C578" s="4" t="s">
        <v>1154</v>
      </c>
      <c r="D578" s="7" t="s">
        <v>1238</v>
      </c>
      <c r="E578" s="4" t="s">
        <v>1156</v>
      </c>
      <c r="F578" s="4" t="s">
        <v>5</v>
      </c>
      <c r="G578" s="8"/>
      <c r="H578" s="6" t="str">
        <f aca="false">IF(G578="","",G578/SUMIFS($G$2:$G$671,$F$2:$F$671,"Served"))</f>
        <v/>
      </c>
      <c r="I578" s="4" t="str">
        <f aca="false">IF(G578="","",RANK(G578,$G$2:$G$671,0))</f>
        <v/>
      </c>
      <c r="J578" s="4" t="s">
        <v>34</v>
      </c>
    </row>
    <row r="579" customFormat="false" ht="15" hidden="false" customHeight="false" outlineLevel="0" collapsed="false">
      <c r="A579" s="4" t="s">
        <v>1239</v>
      </c>
      <c r="B579" s="4" t="s">
        <v>1153</v>
      </c>
      <c r="C579" s="4" t="s">
        <v>1154</v>
      </c>
      <c r="D579" s="7" t="s">
        <v>1240</v>
      </c>
      <c r="E579" s="4" t="s">
        <v>1156</v>
      </c>
      <c r="F579" s="4" t="s">
        <v>5</v>
      </c>
      <c r="G579" s="8"/>
      <c r="H579" s="6" t="str">
        <f aca="false">IF(G579="","",G579/SUMIFS($G$2:$G$671,$F$2:$F$671,"Served"))</f>
        <v/>
      </c>
      <c r="I579" s="4" t="str">
        <f aca="false">IF(G579="","",RANK(G579,$G$2:$G$671,0))</f>
        <v/>
      </c>
      <c r="J579" s="4" t="s">
        <v>34</v>
      </c>
    </row>
    <row r="580" customFormat="false" ht="15" hidden="false" customHeight="false" outlineLevel="0" collapsed="false">
      <c r="A580" s="4" t="s">
        <v>1241</v>
      </c>
      <c r="B580" s="4" t="s">
        <v>1153</v>
      </c>
      <c r="C580" s="4" t="s">
        <v>1154</v>
      </c>
      <c r="D580" s="7" t="s">
        <v>1242</v>
      </c>
      <c r="E580" s="4" t="s">
        <v>1156</v>
      </c>
      <c r="F580" s="4" t="s">
        <v>5</v>
      </c>
      <c r="G580" s="8"/>
      <c r="H580" s="6" t="str">
        <f aca="false">IF(G580="","",G580/SUMIFS($G$2:$G$671,$F$2:$F$671,"Served"))</f>
        <v/>
      </c>
      <c r="I580" s="4" t="str">
        <f aca="false">IF(G580="","",RANK(G580,$G$2:$G$671,0))</f>
        <v/>
      </c>
      <c r="J580" s="4" t="s">
        <v>34</v>
      </c>
    </row>
    <row r="581" customFormat="false" ht="15" hidden="false" customHeight="false" outlineLevel="0" collapsed="false">
      <c r="A581" s="4" t="s">
        <v>1243</v>
      </c>
      <c r="B581" s="4" t="s">
        <v>1153</v>
      </c>
      <c r="C581" s="4" t="s">
        <v>1154</v>
      </c>
      <c r="D581" s="7" t="s">
        <v>1244</v>
      </c>
      <c r="E581" s="4" t="s">
        <v>1156</v>
      </c>
      <c r="F581" s="4" t="s">
        <v>5</v>
      </c>
      <c r="G581" s="8"/>
      <c r="H581" s="6" t="str">
        <f aca="false">IF(G581="","",G581/SUMIFS($G$2:$G$671,$F$2:$F$671,"Served"))</f>
        <v/>
      </c>
      <c r="I581" s="4" t="str">
        <f aca="false">IF(G581="","",RANK(G581,$G$2:$G$671,0))</f>
        <v/>
      </c>
      <c r="J581" s="4" t="s">
        <v>34</v>
      </c>
    </row>
    <row r="582" customFormat="false" ht="15" hidden="false" customHeight="false" outlineLevel="0" collapsed="false">
      <c r="A582" s="4" t="s">
        <v>1245</v>
      </c>
      <c r="B582" s="4" t="s">
        <v>1153</v>
      </c>
      <c r="C582" s="4" t="s">
        <v>1154</v>
      </c>
      <c r="D582" s="7" t="s">
        <v>1246</v>
      </c>
      <c r="E582" s="4" t="s">
        <v>1156</v>
      </c>
      <c r="F582" s="4" t="s">
        <v>5</v>
      </c>
      <c r="G582" s="8"/>
      <c r="H582" s="6" t="str">
        <f aca="false">IF(G582="","",G582/SUMIFS($G$2:$G$671,$F$2:$F$671,"Served"))</f>
        <v/>
      </c>
      <c r="I582" s="4" t="str">
        <f aca="false">IF(G582="","",RANK(G582,$G$2:$G$671,0))</f>
        <v/>
      </c>
      <c r="J582" s="4" t="s">
        <v>34</v>
      </c>
    </row>
    <row r="583" customFormat="false" ht="15" hidden="false" customHeight="false" outlineLevel="0" collapsed="false">
      <c r="A583" s="4" t="s">
        <v>1247</v>
      </c>
      <c r="B583" s="4" t="s">
        <v>1153</v>
      </c>
      <c r="C583" s="4" t="s">
        <v>1154</v>
      </c>
      <c r="D583" s="7" t="s">
        <v>1248</v>
      </c>
      <c r="E583" s="4" t="s">
        <v>1156</v>
      </c>
      <c r="F583" s="4" t="s">
        <v>5</v>
      </c>
      <c r="G583" s="8"/>
      <c r="H583" s="6" t="str">
        <f aca="false">IF(G583="","",G583/SUMIFS($G$2:$G$671,$F$2:$F$671,"Served"))</f>
        <v/>
      </c>
      <c r="I583" s="4" t="str">
        <f aca="false">IF(G583="","",RANK(G583,$G$2:$G$671,0))</f>
        <v/>
      </c>
      <c r="J583" s="4" t="s">
        <v>34</v>
      </c>
    </row>
    <row r="584" customFormat="false" ht="15" hidden="false" customHeight="false" outlineLevel="0" collapsed="false">
      <c r="A584" s="4" t="s">
        <v>1249</v>
      </c>
      <c r="B584" s="4" t="s">
        <v>1153</v>
      </c>
      <c r="C584" s="4" t="s">
        <v>1154</v>
      </c>
      <c r="D584" s="7" t="s">
        <v>1250</v>
      </c>
      <c r="E584" s="4" t="s">
        <v>1156</v>
      </c>
      <c r="F584" s="4" t="s">
        <v>5</v>
      </c>
      <c r="G584" s="8"/>
      <c r="H584" s="6" t="str">
        <f aca="false">IF(G584="","",G584/SUMIFS($G$2:$G$671,$F$2:$F$671,"Served"))</f>
        <v/>
      </c>
      <c r="I584" s="4" t="str">
        <f aca="false">IF(G584="","",RANK(G584,$G$2:$G$671,0))</f>
        <v/>
      </c>
      <c r="J584" s="4" t="s">
        <v>34</v>
      </c>
    </row>
    <row r="585" customFormat="false" ht="15" hidden="false" customHeight="false" outlineLevel="0" collapsed="false">
      <c r="A585" s="4" t="s">
        <v>1251</v>
      </c>
      <c r="B585" s="4" t="s">
        <v>1153</v>
      </c>
      <c r="C585" s="4" t="s">
        <v>1154</v>
      </c>
      <c r="D585" s="7" t="s">
        <v>1252</v>
      </c>
      <c r="E585" s="4" t="s">
        <v>1156</v>
      </c>
      <c r="F585" s="4" t="s">
        <v>5</v>
      </c>
      <c r="G585" s="8"/>
      <c r="H585" s="6" t="str">
        <f aca="false">IF(G585="","",G585/SUMIFS($G$2:$G$671,$F$2:$F$671,"Served"))</f>
        <v/>
      </c>
      <c r="I585" s="4" t="str">
        <f aca="false">IF(G585="","",RANK(G585,$G$2:$G$671,0))</f>
        <v/>
      </c>
      <c r="J585" s="4" t="s">
        <v>34</v>
      </c>
    </row>
    <row r="586" customFormat="false" ht="15" hidden="false" customHeight="false" outlineLevel="0" collapsed="false">
      <c r="A586" s="4" t="s">
        <v>1253</v>
      </c>
      <c r="B586" s="4" t="s">
        <v>1153</v>
      </c>
      <c r="C586" s="4" t="s">
        <v>1154</v>
      </c>
      <c r="D586" s="7" t="s">
        <v>1254</v>
      </c>
      <c r="E586" s="4" t="s">
        <v>1156</v>
      </c>
      <c r="F586" s="4" t="s">
        <v>5</v>
      </c>
      <c r="G586" s="8"/>
      <c r="H586" s="6" t="str">
        <f aca="false">IF(G586="","",G586/SUMIFS($G$2:$G$671,$F$2:$F$671,"Served"))</f>
        <v/>
      </c>
      <c r="I586" s="4" t="str">
        <f aca="false">IF(G586="","",RANK(G586,$G$2:$G$671,0))</f>
        <v/>
      </c>
      <c r="J586" s="4" t="s">
        <v>34</v>
      </c>
    </row>
    <row r="587" customFormat="false" ht="15" hidden="false" customHeight="false" outlineLevel="0" collapsed="false">
      <c r="A587" s="4" t="s">
        <v>1255</v>
      </c>
      <c r="B587" s="4" t="s">
        <v>1153</v>
      </c>
      <c r="C587" s="4" t="s">
        <v>1154</v>
      </c>
      <c r="D587" s="7" t="s">
        <v>1256</v>
      </c>
      <c r="E587" s="4" t="s">
        <v>1156</v>
      </c>
      <c r="F587" s="4" t="s">
        <v>5</v>
      </c>
      <c r="G587" s="8"/>
      <c r="H587" s="6" t="str">
        <f aca="false">IF(G587="","",G587/SUMIFS($G$2:$G$671,$F$2:$F$671,"Served"))</f>
        <v/>
      </c>
      <c r="I587" s="4" t="str">
        <f aca="false">IF(G587="","",RANK(G587,$G$2:$G$671,0))</f>
        <v/>
      </c>
      <c r="J587" s="4" t="s">
        <v>34</v>
      </c>
    </row>
    <row r="588" customFormat="false" ht="15" hidden="false" customHeight="false" outlineLevel="0" collapsed="false">
      <c r="A588" s="4" t="s">
        <v>1257</v>
      </c>
      <c r="B588" s="4" t="s">
        <v>1153</v>
      </c>
      <c r="C588" s="4" t="s">
        <v>1154</v>
      </c>
      <c r="D588" s="7" t="s">
        <v>1258</v>
      </c>
      <c r="E588" s="4" t="s">
        <v>1156</v>
      </c>
      <c r="F588" s="4" t="s">
        <v>5</v>
      </c>
      <c r="G588" s="8"/>
      <c r="H588" s="6" t="str">
        <f aca="false">IF(G588="","",G588/SUMIFS($G$2:$G$671,$F$2:$F$671,"Served"))</f>
        <v/>
      </c>
      <c r="I588" s="4" t="str">
        <f aca="false">IF(G588="","",RANK(G588,$G$2:$G$671,0))</f>
        <v/>
      </c>
      <c r="J588" s="4" t="s">
        <v>34</v>
      </c>
    </row>
    <row r="589" customFormat="false" ht="15" hidden="false" customHeight="false" outlineLevel="0" collapsed="false">
      <c r="A589" s="4" t="s">
        <v>1259</v>
      </c>
      <c r="B589" s="4" t="s">
        <v>1153</v>
      </c>
      <c r="C589" s="4" t="s">
        <v>1154</v>
      </c>
      <c r="D589" s="7" t="s">
        <v>1260</v>
      </c>
      <c r="E589" s="4" t="s">
        <v>1156</v>
      </c>
      <c r="F589" s="4" t="s">
        <v>5</v>
      </c>
      <c r="G589" s="8"/>
      <c r="H589" s="6" t="str">
        <f aca="false">IF(G589="","",G589/SUMIFS($G$2:$G$671,$F$2:$F$671,"Served"))</f>
        <v/>
      </c>
      <c r="I589" s="4" t="str">
        <f aca="false">IF(G589="","",RANK(G589,$G$2:$G$671,0))</f>
        <v/>
      </c>
      <c r="J589" s="4" t="s">
        <v>34</v>
      </c>
    </row>
    <row r="590" customFormat="false" ht="15" hidden="false" customHeight="false" outlineLevel="0" collapsed="false">
      <c r="A590" s="4" t="s">
        <v>1261</v>
      </c>
      <c r="B590" s="4" t="s">
        <v>1153</v>
      </c>
      <c r="C590" s="4" t="s">
        <v>1154</v>
      </c>
      <c r="D590" s="7" t="s">
        <v>1262</v>
      </c>
      <c r="E590" s="4" t="s">
        <v>1156</v>
      </c>
      <c r="F590" s="4" t="s">
        <v>5</v>
      </c>
      <c r="G590" s="8"/>
      <c r="H590" s="6" t="str">
        <f aca="false">IF(G590="","",G590/SUMIFS($G$2:$G$671,$F$2:$F$671,"Served"))</f>
        <v/>
      </c>
      <c r="I590" s="4" t="str">
        <f aca="false">IF(G590="","",RANK(G590,$G$2:$G$671,0))</f>
        <v/>
      </c>
      <c r="J590" s="4" t="s">
        <v>34</v>
      </c>
    </row>
    <row r="591" customFormat="false" ht="15" hidden="false" customHeight="false" outlineLevel="0" collapsed="false">
      <c r="A591" s="4" t="s">
        <v>1263</v>
      </c>
      <c r="B591" s="4" t="s">
        <v>1153</v>
      </c>
      <c r="C591" s="4" t="s">
        <v>1154</v>
      </c>
      <c r="D591" s="7" t="s">
        <v>1264</v>
      </c>
      <c r="E591" s="4" t="s">
        <v>1156</v>
      </c>
      <c r="F591" s="4" t="s">
        <v>5</v>
      </c>
      <c r="G591" s="8"/>
      <c r="H591" s="6" t="str">
        <f aca="false">IF(G591="","",G591/SUMIFS($G$2:$G$671,$F$2:$F$671,"Served"))</f>
        <v/>
      </c>
      <c r="I591" s="4" t="str">
        <f aca="false">IF(G591="","",RANK(G591,$G$2:$G$671,0))</f>
        <v/>
      </c>
      <c r="J591" s="4" t="s">
        <v>34</v>
      </c>
    </row>
    <row r="592" customFormat="false" ht="15" hidden="false" customHeight="false" outlineLevel="0" collapsed="false">
      <c r="A592" s="4" t="s">
        <v>1265</v>
      </c>
      <c r="B592" s="4" t="s">
        <v>1153</v>
      </c>
      <c r="C592" s="4" t="s">
        <v>1154</v>
      </c>
      <c r="D592" s="7" t="s">
        <v>1266</v>
      </c>
      <c r="E592" s="4" t="s">
        <v>1156</v>
      </c>
      <c r="F592" s="4" t="s">
        <v>5</v>
      </c>
      <c r="G592" s="8"/>
      <c r="H592" s="6" t="str">
        <f aca="false">IF(G592="","",G592/SUMIFS($G$2:$G$671,$F$2:$F$671,"Served"))</f>
        <v/>
      </c>
      <c r="I592" s="4" t="str">
        <f aca="false">IF(G592="","",RANK(G592,$G$2:$G$671,0))</f>
        <v/>
      </c>
      <c r="J592" s="4" t="s">
        <v>34</v>
      </c>
    </row>
    <row r="593" customFormat="false" ht="15" hidden="false" customHeight="false" outlineLevel="0" collapsed="false">
      <c r="A593" s="4" t="s">
        <v>1267</v>
      </c>
      <c r="B593" s="4" t="s">
        <v>1153</v>
      </c>
      <c r="C593" s="4" t="s">
        <v>1154</v>
      </c>
      <c r="D593" s="7" t="s">
        <v>1268</v>
      </c>
      <c r="E593" s="4" t="s">
        <v>1156</v>
      </c>
      <c r="F593" s="4" t="s">
        <v>5</v>
      </c>
      <c r="G593" s="8"/>
      <c r="H593" s="6" t="str">
        <f aca="false">IF(G593="","",G593/SUMIFS($G$2:$G$671,$F$2:$F$671,"Served"))</f>
        <v/>
      </c>
      <c r="I593" s="4" t="str">
        <f aca="false">IF(G593="","",RANK(G593,$G$2:$G$671,0))</f>
        <v/>
      </c>
      <c r="J593" s="4" t="s">
        <v>34</v>
      </c>
    </row>
    <row r="594" customFormat="false" ht="15" hidden="false" customHeight="false" outlineLevel="0" collapsed="false">
      <c r="A594" s="4" t="s">
        <v>1269</v>
      </c>
      <c r="B594" s="4" t="s">
        <v>1153</v>
      </c>
      <c r="C594" s="4" t="s">
        <v>1154</v>
      </c>
      <c r="D594" s="7" t="s">
        <v>1270</v>
      </c>
      <c r="E594" s="4" t="s">
        <v>1156</v>
      </c>
      <c r="F594" s="4" t="s">
        <v>5</v>
      </c>
      <c r="G594" s="8"/>
      <c r="H594" s="6" t="str">
        <f aca="false">IF(G594="","",G594/SUMIFS($G$2:$G$671,$F$2:$F$671,"Served"))</f>
        <v/>
      </c>
      <c r="I594" s="4" t="str">
        <f aca="false">IF(G594="","",RANK(G594,$G$2:$G$671,0))</f>
        <v/>
      </c>
      <c r="J594" s="4" t="s">
        <v>34</v>
      </c>
    </row>
    <row r="595" customFormat="false" ht="15" hidden="false" customHeight="false" outlineLevel="0" collapsed="false">
      <c r="A595" s="4" t="s">
        <v>1271</v>
      </c>
      <c r="B595" s="4" t="s">
        <v>1153</v>
      </c>
      <c r="C595" s="4" t="s">
        <v>1154</v>
      </c>
      <c r="D595" s="7" t="s">
        <v>1272</v>
      </c>
      <c r="E595" s="4" t="s">
        <v>1156</v>
      </c>
      <c r="F595" s="4" t="s">
        <v>5</v>
      </c>
      <c r="G595" s="8"/>
      <c r="H595" s="6" t="str">
        <f aca="false">IF(G595="","",G595/SUMIFS($G$2:$G$671,$F$2:$F$671,"Served"))</f>
        <v/>
      </c>
      <c r="I595" s="4" t="str">
        <f aca="false">IF(G595="","",RANK(G595,$G$2:$G$671,0))</f>
        <v/>
      </c>
      <c r="J595" s="4" t="s">
        <v>34</v>
      </c>
    </row>
    <row r="596" customFormat="false" ht="15" hidden="false" customHeight="false" outlineLevel="0" collapsed="false">
      <c r="A596" s="4" t="s">
        <v>1273</v>
      </c>
      <c r="B596" s="4" t="s">
        <v>1153</v>
      </c>
      <c r="C596" s="4" t="s">
        <v>1154</v>
      </c>
      <c r="D596" s="7" t="s">
        <v>1274</v>
      </c>
      <c r="E596" s="4" t="s">
        <v>1156</v>
      </c>
      <c r="F596" s="4" t="s">
        <v>5</v>
      </c>
      <c r="G596" s="8"/>
      <c r="H596" s="6" t="str">
        <f aca="false">IF(G596="","",G596/SUMIFS($G$2:$G$671,$F$2:$F$671,"Served"))</f>
        <v/>
      </c>
      <c r="I596" s="4" t="str">
        <f aca="false">IF(G596="","",RANK(G596,$G$2:$G$671,0))</f>
        <v/>
      </c>
      <c r="J596" s="4" t="s">
        <v>34</v>
      </c>
    </row>
    <row r="597" customFormat="false" ht="15" hidden="false" customHeight="false" outlineLevel="0" collapsed="false">
      <c r="A597" s="4" t="s">
        <v>1275</v>
      </c>
      <c r="B597" s="4" t="s">
        <v>1153</v>
      </c>
      <c r="C597" s="4" t="s">
        <v>1154</v>
      </c>
      <c r="D597" s="7" t="s">
        <v>1276</v>
      </c>
      <c r="E597" s="4" t="s">
        <v>1156</v>
      </c>
      <c r="F597" s="4" t="s">
        <v>5</v>
      </c>
      <c r="G597" s="8"/>
      <c r="H597" s="6" t="str">
        <f aca="false">IF(G597="","",G597/SUMIFS($G$2:$G$671,$F$2:$F$671,"Served"))</f>
        <v/>
      </c>
      <c r="I597" s="4" t="str">
        <f aca="false">IF(G597="","",RANK(G597,$G$2:$G$671,0))</f>
        <v/>
      </c>
      <c r="J597" s="4" t="s">
        <v>34</v>
      </c>
    </row>
    <row r="598" customFormat="false" ht="15" hidden="false" customHeight="false" outlineLevel="0" collapsed="false">
      <c r="A598" s="4" t="s">
        <v>1277</v>
      </c>
      <c r="B598" s="4" t="s">
        <v>1153</v>
      </c>
      <c r="C598" s="4" t="s">
        <v>1154</v>
      </c>
      <c r="D598" s="7" t="s">
        <v>1278</v>
      </c>
      <c r="E598" s="4" t="s">
        <v>1156</v>
      </c>
      <c r="F598" s="4" t="s">
        <v>5</v>
      </c>
      <c r="G598" s="8"/>
      <c r="H598" s="6" t="str">
        <f aca="false">IF(G598="","",G598/SUMIFS($G$2:$G$671,$F$2:$F$671,"Served"))</f>
        <v/>
      </c>
      <c r="I598" s="4" t="str">
        <f aca="false">IF(G598="","",RANK(G598,$G$2:$G$671,0))</f>
        <v/>
      </c>
      <c r="J598" s="4" t="s">
        <v>34</v>
      </c>
    </row>
    <row r="599" customFormat="false" ht="15" hidden="false" customHeight="false" outlineLevel="0" collapsed="false">
      <c r="A599" s="4" t="s">
        <v>1279</v>
      </c>
      <c r="B599" s="4" t="s">
        <v>1153</v>
      </c>
      <c r="C599" s="4" t="s">
        <v>1154</v>
      </c>
      <c r="D599" s="7" t="s">
        <v>1280</v>
      </c>
      <c r="E599" s="4" t="s">
        <v>1156</v>
      </c>
      <c r="F599" s="4" t="s">
        <v>5</v>
      </c>
      <c r="G599" s="8"/>
      <c r="H599" s="6" t="str">
        <f aca="false">IF(G599="","",G599/SUMIFS($G$2:$G$671,$F$2:$F$671,"Served"))</f>
        <v/>
      </c>
      <c r="I599" s="4" t="str">
        <f aca="false">IF(G599="","",RANK(G599,$G$2:$G$671,0))</f>
        <v/>
      </c>
      <c r="J599" s="4" t="s">
        <v>34</v>
      </c>
    </row>
    <row r="600" customFormat="false" ht="15" hidden="false" customHeight="false" outlineLevel="0" collapsed="false">
      <c r="A600" s="4" t="s">
        <v>1281</v>
      </c>
      <c r="B600" s="4" t="s">
        <v>1153</v>
      </c>
      <c r="C600" s="4" t="s">
        <v>1154</v>
      </c>
      <c r="D600" s="7" t="s">
        <v>1282</v>
      </c>
      <c r="E600" s="4" t="s">
        <v>1156</v>
      </c>
      <c r="F600" s="4" t="s">
        <v>5</v>
      </c>
      <c r="G600" s="8"/>
      <c r="H600" s="6" t="str">
        <f aca="false">IF(G600="","",G600/SUMIFS($G$2:$G$671,$F$2:$F$671,"Served"))</f>
        <v/>
      </c>
      <c r="I600" s="4" t="str">
        <f aca="false">IF(G600="","",RANK(G600,$G$2:$G$671,0))</f>
        <v/>
      </c>
      <c r="J600" s="4" t="s">
        <v>34</v>
      </c>
    </row>
    <row r="601" customFormat="false" ht="15" hidden="false" customHeight="false" outlineLevel="0" collapsed="false">
      <c r="A601" s="4" t="s">
        <v>1283</v>
      </c>
      <c r="B601" s="4" t="s">
        <v>1153</v>
      </c>
      <c r="C601" s="4" t="s">
        <v>1154</v>
      </c>
      <c r="D601" s="7" t="s">
        <v>1284</v>
      </c>
      <c r="E601" s="4" t="s">
        <v>1156</v>
      </c>
      <c r="F601" s="4" t="s">
        <v>5</v>
      </c>
      <c r="G601" s="8"/>
      <c r="H601" s="6" t="str">
        <f aca="false">IF(G601="","",G601/SUMIFS($G$2:$G$671,$F$2:$F$671,"Served"))</f>
        <v/>
      </c>
      <c r="I601" s="4" t="str">
        <f aca="false">IF(G601="","",RANK(G601,$G$2:$G$671,0))</f>
        <v/>
      </c>
      <c r="J601" s="4" t="s">
        <v>34</v>
      </c>
    </row>
    <row r="602" customFormat="false" ht="15" hidden="false" customHeight="false" outlineLevel="0" collapsed="false">
      <c r="A602" s="4" t="s">
        <v>1285</v>
      </c>
      <c r="B602" s="4" t="s">
        <v>1153</v>
      </c>
      <c r="C602" s="4" t="s">
        <v>1154</v>
      </c>
      <c r="D602" s="7" t="s">
        <v>1286</v>
      </c>
      <c r="E602" s="4" t="s">
        <v>1156</v>
      </c>
      <c r="F602" s="4" t="s">
        <v>5</v>
      </c>
      <c r="G602" s="8"/>
      <c r="H602" s="6" t="str">
        <f aca="false">IF(G602="","",G602/SUMIFS($G$2:$G$671,$F$2:$F$671,"Served"))</f>
        <v/>
      </c>
      <c r="I602" s="4" t="str">
        <f aca="false">IF(G602="","",RANK(G602,$G$2:$G$671,0))</f>
        <v/>
      </c>
      <c r="J602" s="4" t="s">
        <v>34</v>
      </c>
    </row>
    <row r="603" customFormat="false" ht="15" hidden="false" customHeight="false" outlineLevel="0" collapsed="false">
      <c r="A603" s="4" t="s">
        <v>1287</v>
      </c>
      <c r="B603" s="4" t="s">
        <v>1153</v>
      </c>
      <c r="C603" s="4" t="s">
        <v>1154</v>
      </c>
      <c r="D603" s="7" t="s">
        <v>1288</v>
      </c>
      <c r="E603" s="4" t="s">
        <v>1156</v>
      </c>
      <c r="F603" s="4" t="s">
        <v>5</v>
      </c>
      <c r="G603" s="8"/>
      <c r="H603" s="6" t="str">
        <f aca="false">IF(G603="","",G603/SUMIFS($G$2:$G$671,$F$2:$F$671,"Served"))</f>
        <v/>
      </c>
      <c r="I603" s="4" t="str">
        <f aca="false">IF(G603="","",RANK(G603,$G$2:$G$671,0))</f>
        <v/>
      </c>
      <c r="J603" s="4" t="s">
        <v>34</v>
      </c>
    </row>
    <row r="604" customFormat="false" ht="15" hidden="false" customHeight="false" outlineLevel="0" collapsed="false">
      <c r="A604" s="4" t="s">
        <v>1289</v>
      </c>
      <c r="B604" s="4" t="s">
        <v>1153</v>
      </c>
      <c r="C604" s="4" t="s">
        <v>1154</v>
      </c>
      <c r="D604" s="7" t="s">
        <v>1290</v>
      </c>
      <c r="E604" s="4" t="s">
        <v>1156</v>
      </c>
      <c r="F604" s="4" t="s">
        <v>5</v>
      </c>
      <c r="G604" s="8"/>
      <c r="H604" s="6" t="str">
        <f aca="false">IF(G604="","",G604/SUMIFS($G$2:$G$671,$F$2:$F$671,"Served"))</f>
        <v/>
      </c>
      <c r="I604" s="4" t="str">
        <f aca="false">IF(G604="","",RANK(G604,$G$2:$G$671,0))</f>
        <v/>
      </c>
      <c r="J604" s="4" t="s">
        <v>34</v>
      </c>
    </row>
    <row r="605" customFormat="false" ht="15" hidden="false" customHeight="false" outlineLevel="0" collapsed="false">
      <c r="A605" s="4" t="s">
        <v>1291</v>
      </c>
      <c r="B605" s="4" t="s">
        <v>1153</v>
      </c>
      <c r="C605" s="4" t="s">
        <v>1154</v>
      </c>
      <c r="D605" s="7" t="s">
        <v>1292</v>
      </c>
      <c r="E605" s="4" t="s">
        <v>1156</v>
      </c>
      <c r="F605" s="4" t="s">
        <v>5</v>
      </c>
      <c r="G605" s="8"/>
      <c r="H605" s="6" t="str">
        <f aca="false">IF(G605="","",G605/SUMIFS($G$2:$G$671,$F$2:$F$671,"Served"))</f>
        <v/>
      </c>
      <c r="I605" s="4" t="str">
        <f aca="false">IF(G605="","",RANK(G605,$G$2:$G$671,0))</f>
        <v/>
      </c>
      <c r="J605" s="4" t="s">
        <v>34</v>
      </c>
    </row>
    <row r="606" customFormat="false" ht="15" hidden="false" customHeight="false" outlineLevel="0" collapsed="false">
      <c r="A606" s="4" t="s">
        <v>1293</v>
      </c>
      <c r="B606" s="4" t="s">
        <v>1153</v>
      </c>
      <c r="C606" s="4" t="s">
        <v>1154</v>
      </c>
      <c r="D606" s="7" t="s">
        <v>1294</v>
      </c>
      <c r="E606" s="4" t="s">
        <v>1156</v>
      </c>
      <c r="F606" s="4" t="s">
        <v>5</v>
      </c>
      <c r="G606" s="8"/>
      <c r="H606" s="6" t="str">
        <f aca="false">IF(G606="","",G606/SUMIFS($G$2:$G$671,$F$2:$F$671,"Served"))</f>
        <v/>
      </c>
      <c r="I606" s="4" t="str">
        <f aca="false">IF(G606="","",RANK(G606,$G$2:$G$671,0))</f>
        <v/>
      </c>
      <c r="J606" s="4" t="s">
        <v>34</v>
      </c>
    </row>
    <row r="607" customFormat="false" ht="15" hidden="false" customHeight="false" outlineLevel="0" collapsed="false">
      <c r="A607" s="4" t="s">
        <v>1295</v>
      </c>
      <c r="B607" s="4" t="s">
        <v>1153</v>
      </c>
      <c r="C607" s="4" t="s">
        <v>1154</v>
      </c>
      <c r="D607" s="7" t="s">
        <v>1296</v>
      </c>
      <c r="E607" s="4" t="s">
        <v>1156</v>
      </c>
      <c r="F607" s="4" t="s">
        <v>5</v>
      </c>
      <c r="G607" s="8"/>
      <c r="H607" s="6" t="str">
        <f aca="false">IF(G607="","",G607/SUMIFS($G$2:$G$671,$F$2:$F$671,"Served"))</f>
        <v/>
      </c>
      <c r="I607" s="4" t="str">
        <f aca="false">IF(G607="","",RANK(G607,$G$2:$G$671,0))</f>
        <v/>
      </c>
      <c r="J607" s="4" t="s">
        <v>34</v>
      </c>
    </row>
    <row r="608" customFormat="false" ht="15" hidden="false" customHeight="false" outlineLevel="0" collapsed="false">
      <c r="A608" s="4" t="s">
        <v>1297</v>
      </c>
      <c r="B608" s="4" t="s">
        <v>1153</v>
      </c>
      <c r="C608" s="4" t="s">
        <v>1154</v>
      </c>
      <c r="D608" s="7" t="s">
        <v>1298</v>
      </c>
      <c r="E608" s="4" t="s">
        <v>1156</v>
      </c>
      <c r="F608" s="4" t="s">
        <v>5</v>
      </c>
      <c r="G608" s="8"/>
      <c r="H608" s="6" t="str">
        <f aca="false">IF(G608="","",G608/SUMIFS($G$2:$G$671,$F$2:$F$671,"Served"))</f>
        <v/>
      </c>
      <c r="I608" s="4" t="str">
        <f aca="false">IF(G608="","",RANK(G608,$G$2:$G$671,0))</f>
        <v/>
      </c>
      <c r="J608" s="4" t="s">
        <v>34</v>
      </c>
    </row>
    <row r="609" customFormat="false" ht="15" hidden="false" customHeight="false" outlineLevel="0" collapsed="false">
      <c r="A609" s="4" t="s">
        <v>1299</v>
      </c>
      <c r="B609" s="4" t="s">
        <v>1153</v>
      </c>
      <c r="C609" s="4" t="s">
        <v>1154</v>
      </c>
      <c r="D609" s="7" t="s">
        <v>1300</v>
      </c>
      <c r="E609" s="4" t="s">
        <v>1156</v>
      </c>
      <c r="F609" s="4" t="s">
        <v>5</v>
      </c>
      <c r="G609" s="8"/>
      <c r="H609" s="6" t="str">
        <f aca="false">IF(G609="","",G609/SUMIFS($G$2:$G$671,$F$2:$F$671,"Served"))</f>
        <v/>
      </c>
      <c r="I609" s="4" t="str">
        <f aca="false">IF(G609="","",RANK(G609,$G$2:$G$671,0))</f>
        <v/>
      </c>
      <c r="J609" s="4" t="s">
        <v>34</v>
      </c>
    </row>
    <row r="610" customFormat="false" ht="15" hidden="false" customHeight="false" outlineLevel="0" collapsed="false">
      <c r="A610" s="4" t="s">
        <v>1301</v>
      </c>
      <c r="B610" s="4" t="s">
        <v>1153</v>
      </c>
      <c r="C610" s="4" t="s">
        <v>1154</v>
      </c>
      <c r="D610" s="7" t="s">
        <v>1302</v>
      </c>
      <c r="E610" s="4" t="s">
        <v>1156</v>
      </c>
      <c r="F610" s="4" t="s">
        <v>5</v>
      </c>
      <c r="G610" s="8"/>
      <c r="H610" s="6" t="str">
        <f aca="false">IF(G610="","",G610/SUMIFS($G$2:$G$671,$F$2:$F$671,"Served"))</f>
        <v/>
      </c>
      <c r="I610" s="4" t="str">
        <f aca="false">IF(G610="","",RANK(G610,$G$2:$G$671,0))</f>
        <v/>
      </c>
      <c r="J610" s="4" t="s">
        <v>34</v>
      </c>
    </row>
    <row r="611" customFormat="false" ht="15" hidden="false" customHeight="false" outlineLevel="0" collapsed="false">
      <c r="A611" s="4" t="s">
        <v>1303</v>
      </c>
      <c r="B611" s="4" t="s">
        <v>1153</v>
      </c>
      <c r="C611" s="4" t="s">
        <v>1154</v>
      </c>
      <c r="D611" s="7" t="s">
        <v>1304</v>
      </c>
      <c r="E611" s="4" t="s">
        <v>1156</v>
      </c>
      <c r="F611" s="4" t="s">
        <v>5</v>
      </c>
      <c r="G611" s="8"/>
      <c r="H611" s="6" t="str">
        <f aca="false">IF(G611="","",G611/SUMIFS($G$2:$G$671,$F$2:$F$671,"Served"))</f>
        <v/>
      </c>
      <c r="I611" s="4" t="str">
        <f aca="false">IF(G611="","",RANK(G611,$G$2:$G$671,0))</f>
        <v/>
      </c>
      <c r="J611" s="4" t="s">
        <v>34</v>
      </c>
    </row>
    <row r="612" customFormat="false" ht="15" hidden="false" customHeight="false" outlineLevel="0" collapsed="false">
      <c r="A612" s="4" t="s">
        <v>1305</v>
      </c>
      <c r="B612" s="4" t="s">
        <v>1153</v>
      </c>
      <c r="C612" s="4" t="s">
        <v>1154</v>
      </c>
      <c r="D612" s="7" t="s">
        <v>1306</v>
      </c>
      <c r="E612" s="4" t="s">
        <v>1156</v>
      </c>
      <c r="F612" s="4" t="s">
        <v>5</v>
      </c>
      <c r="G612" s="8"/>
      <c r="H612" s="6" t="str">
        <f aca="false">IF(G612="","",G612/SUMIFS($G$2:$G$671,$F$2:$F$671,"Served"))</f>
        <v/>
      </c>
      <c r="I612" s="4" t="str">
        <f aca="false">IF(G612="","",RANK(G612,$G$2:$G$671,0))</f>
        <v/>
      </c>
      <c r="J612" s="4" t="s">
        <v>34</v>
      </c>
    </row>
    <row r="613" customFormat="false" ht="15" hidden="false" customHeight="false" outlineLevel="0" collapsed="false">
      <c r="A613" s="4" t="s">
        <v>1307</v>
      </c>
      <c r="B613" s="4" t="s">
        <v>1153</v>
      </c>
      <c r="C613" s="4" t="s">
        <v>1154</v>
      </c>
      <c r="D613" s="7" t="s">
        <v>1308</v>
      </c>
      <c r="E613" s="4" t="s">
        <v>1156</v>
      </c>
      <c r="F613" s="4" t="s">
        <v>5</v>
      </c>
      <c r="G613" s="8"/>
      <c r="H613" s="6" t="str">
        <f aca="false">IF(G613="","",G613/SUMIFS($G$2:$G$671,$F$2:$F$671,"Served"))</f>
        <v/>
      </c>
      <c r="I613" s="4" t="str">
        <f aca="false">IF(G613="","",RANK(G613,$G$2:$G$671,0))</f>
        <v/>
      </c>
      <c r="J613" s="4" t="s">
        <v>34</v>
      </c>
    </row>
    <row r="614" customFormat="false" ht="15" hidden="false" customHeight="false" outlineLevel="0" collapsed="false">
      <c r="A614" s="4" t="s">
        <v>1309</v>
      </c>
      <c r="B614" s="4" t="s">
        <v>1153</v>
      </c>
      <c r="C614" s="4" t="s">
        <v>1154</v>
      </c>
      <c r="D614" s="7" t="s">
        <v>1310</v>
      </c>
      <c r="E614" s="4" t="s">
        <v>1156</v>
      </c>
      <c r="F614" s="4" t="s">
        <v>5</v>
      </c>
      <c r="G614" s="8"/>
      <c r="H614" s="6" t="str">
        <f aca="false">IF(G614="","",G614/SUMIFS($G$2:$G$671,$F$2:$F$671,"Served"))</f>
        <v/>
      </c>
      <c r="I614" s="4" t="str">
        <f aca="false">IF(G614="","",RANK(G614,$G$2:$G$671,0))</f>
        <v/>
      </c>
      <c r="J614" s="4" t="s">
        <v>34</v>
      </c>
    </row>
    <row r="615" customFormat="false" ht="15" hidden="false" customHeight="false" outlineLevel="0" collapsed="false">
      <c r="A615" s="4" t="s">
        <v>1311</v>
      </c>
      <c r="B615" s="4" t="s">
        <v>1153</v>
      </c>
      <c r="C615" s="4" t="s">
        <v>1154</v>
      </c>
      <c r="D615" s="7" t="s">
        <v>1312</v>
      </c>
      <c r="E615" s="4" t="s">
        <v>1156</v>
      </c>
      <c r="F615" s="4" t="s">
        <v>5</v>
      </c>
      <c r="G615" s="8"/>
      <c r="H615" s="6" t="str">
        <f aca="false">IF(G615="","",G615/SUMIFS($G$2:$G$671,$F$2:$F$671,"Served"))</f>
        <v/>
      </c>
      <c r="I615" s="4" t="str">
        <f aca="false">IF(G615="","",RANK(G615,$G$2:$G$671,0))</f>
        <v/>
      </c>
      <c r="J615" s="4" t="s">
        <v>34</v>
      </c>
    </row>
    <row r="616" customFormat="false" ht="15" hidden="false" customHeight="false" outlineLevel="0" collapsed="false">
      <c r="A616" s="4" t="s">
        <v>1313</v>
      </c>
      <c r="B616" s="4" t="s">
        <v>1153</v>
      </c>
      <c r="C616" s="4" t="s">
        <v>1154</v>
      </c>
      <c r="D616" s="7" t="s">
        <v>1314</v>
      </c>
      <c r="E616" s="4" t="s">
        <v>1156</v>
      </c>
      <c r="F616" s="4" t="s">
        <v>5</v>
      </c>
      <c r="G616" s="8"/>
      <c r="H616" s="6" t="str">
        <f aca="false">IF(G616="","",G616/SUMIFS($G$2:$G$671,$F$2:$F$671,"Served"))</f>
        <v/>
      </c>
      <c r="I616" s="4" t="str">
        <f aca="false">IF(G616="","",RANK(G616,$G$2:$G$671,0))</f>
        <v/>
      </c>
      <c r="J616" s="4" t="s">
        <v>34</v>
      </c>
    </row>
    <row r="617" customFormat="false" ht="15" hidden="false" customHeight="false" outlineLevel="0" collapsed="false">
      <c r="A617" s="4" t="s">
        <v>1315</v>
      </c>
      <c r="B617" s="4" t="s">
        <v>1316</v>
      </c>
      <c r="C617" s="4" t="s">
        <v>1317</v>
      </c>
      <c r="D617" s="7" t="s">
        <v>1318</v>
      </c>
      <c r="E617" s="4" t="s">
        <v>1319</v>
      </c>
      <c r="F617" s="4" t="s">
        <v>5</v>
      </c>
      <c r="G617" s="8"/>
      <c r="H617" s="6" t="str">
        <f aca="false">IF(G617="","",G617/SUMIFS($G$2:$G$671,$F$2:$F$671,"Served"))</f>
        <v/>
      </c>
      <c r="I617" s="4" t="str">
        <f aca="false">IF(G617="","",RANK(G617,$G$2:$G$671,0))</f>
        <v/>
      </c>
      <c r="J617" s="4" t="s">
        <v>34</v>
      </c>
    </row>
    <row r="618" customFormat="false" ht="15" hidden="false" customHeight="false" outlineLevel="0" collapsed="false">
      <c r="A618" s="4" t="s">
        <v>1320</v>
      </c>
      <c r="B618" s="4" t="s">
        <v>1316</v>
      </c>
      <c r="C618" s="4" t="s">
        <v>1317</v>
      </c>
      <c r="D618" s="7" t="s">
        <v>1321</v>
      </c>
      <c r="E618" s="4" t="s">
        <v>1319</v>
      </c>
      <c r="F618" s="4" t="s">
        <v>5</v>
      </c>
      <c r="G618" s="8"/>
      <c r="H618" s="6" t="str">
        <f aca="false">IF(G618="","",G618/SUMIFS($G$2:$G$671,$F$2:$F$671,"Served"))</f>
        <v/>
      </c>
      <c r="I618" s="4" t="str">
        <f aca="false">IF(G618="","",RANK(G618,$G$2:$G$671,0))</f>
        <v/>
      </c>
      <c r="J618" s="4" t="s">
        <v>34</v>
      </c>
    </row>
    <row r="619" customFormat="false" ht="15" hidden="false" customHeight="false" outlineLevel="0" collapsed="false">
      <c r="A619" s="4" t="s">
        <v>1322</v>
      </c>
      <c r="B619" s="4" t="s">
        <v>1316</v>
      </c>
      <c r="C619" s="4" t="s">
        <v>1317</v>
      </c>
      <c r="D619" s="7" t="s">
        <v>1323</v>
      </c>
      <c r="E619" s="4" t="s">
        <v>1319</v>
      </c>
      <c r="F619" s="4" t="s">
        <v>5</v>
      </c>
      <c r="G619" s="8"/>
      <c r="H619" s="6" t="str">
        <f aca="false">IF(G619="","",G619/SUMIFS($G$2:$G$671,$F$2:$F$671,"Served"))</f>
        <v/>
      </c>
      <c r="I619" s="4" t="str">
        <f aca="false">IF(G619="","",RANK(G619,$G$2:$G$671,0))</f>
        <v/>
      </c>
      <c r="J619" s="4" t="s">
        <v>34</v>
      </c>
    </row>
    <row r="620" customFormat="false" ht="15" hidden="false" customHeight="false" outlineLevel="0" collapsed="false">
      <c r="A620" s="4" t="s">
        <v>1324</v>
      </c>
      <c r="B620" s="4" t="s">
        <v>1316</v>
      </c>
      <c r="C620" s="4" t="s">
        <v>1317</v>
      </c>
      <c r="D620" s="7" t="s">
        <v>1325</v>
      </c>
      <c r="E620" s="4" t="s">
        <v>1319</v>
      </c>
      <c r="F620" s="4" t="s">
        <v>5</v>
      </c>
      <c r="G620" s="8"/>
      <c r="H620" s="6" t="str">
        <f aca="false">IF(G620="","",G620/SUMIFS($G$2:$G$671,$F$2:$F$671,"Served"))</f>
        <v/>
      </c>
      <c r="I620" s="4" t="str">
        <f aca="false">IF(G620="","",RANK(G620,$G$2:$G$671,0))</f>
        <v/>
      </c>
      <c r="J620" s="4" t="s">
        <v>34</v>
      </c>
    </row>
    <row r="621" customFormat="false" ht="15" hidden="false" customHeight="false" outlineLevel="0" collapsed="false">
      <c r="A621" s="4" t="s">
        <v>1326</v>
      </c>
      <c r="B621" s="4" t="s">
        <v>1316</v>
      </c>
      <c r="C621" s="4" t="s">
        <v>1317</v>
      </c>
      <c r="D621" s="7" t="s">
        <v>1327</v>
      </c>
      <c r="E621" s="4" t="s">
        <v>1319</v>
      </c>
      <c r="F621" s="4" t="s">
        <v>5</v>
      </c>
      <c r="G621" s="8"/>
      <c r="H621" s="6" t="str">
        <f aca="false">IF(G621="","",G621/SUMIFS($G$2:$G$671,$F$2:$F$671,"Served"))</f>
        <v/>
      </c>
      <c r="I621" s="4" t="str">
        <f aca="false">IF(G621="","",RANK(G621,$G$2:$G$671,0))</f>
        <v/>
      </c>
      <c r="J621" s="4" t="s">
        <v>34</v>
      </c>
    </row>
    <row r="622" customFormat="false" ht="15" hidden="false" customHeight="false" outlineLevel="0" collapsed="false">
      <c r="A622" s="4" t="s">
        <v>1328</v>
      </c>
      <c r="B622" s="4" t="s">
        <v>1316</v>
      </c>
      <c r="C622" s="4" t="s">
        <v>1317</v>
      </c>
      <c r="D622" s="7" t="s">
        <v>1329</v>
      </c>
      <c r="E622" s="4" t="s">
        <v>1319</v>
      </c>
      <c r="F622" s="4" t="s">
        <v>5</v>
      </c>
      <c r="G622" s="8"/>
      <c r="H622" s="6" t="str">
        <f aca="false">IF(G622="","",G622/SUMIFS($G$2:$G$671,$F$2:$F$671,"Served"))</f>
        <v/>
      </c>
      <c r="I622" s="4" t="str">
        <f aca="false">IF(G622="","",RANK(G622,$G$2:$G$671,0))</f>
        <v/>
      </c>
      <c r="J622" s="4" t="s">
        <v>34</v>
      </c>
    </row>
    <row r="623" customFormat="false" ht="15" hidden="false" customHeight="false" outlineLevel="0" collapsed="false">
      <c r="A623" s="4" t="s">
        <v>1330</v>
      </c>
      <c r="B623" s="4" t="s">
        <v>1316</v>
      </c>
      <c r="C623" s="4" t="s">
        <v>1317</v>
      </c>
      <c r="D623" s="7" t="s">
        <v>1331</v>
      </c>
      <c r="E623" s="4" t="s">
        <v>1319</v>
      </c>
      <c r="F623" s="4" t="s">
        <v>5</v>
      </c>
      <c r="G623" s="8"/>
      <c r="H623" s="6" t="str">
        <f aca="false">IF(G623="","",G623/SUMIFS($G$2:$G$671,$F$2:$F$671,"Served"))</f>
        <v/>
      </c>
      <c r="I623" s="4" t="str">
        <f aca="false">IF(G623="","",RANK(G623,$G$2:$G$671,0))</f>
        <v/>
      </c>
      <c r="J623" s="4" t="s">
        <v>34</v>
      </c>
    </row>
    <row r="624" customFormat="false" ht="15" hidden="false" customHeight="false" outlineLevel="0" collapsed="false">
      <c r="A624" s="4" t="s">
        <v>1332</v>
      </c>
      <c r="B624" s="4" t="s">
        <v>1316</v>
      </c>
      <c r="C624" s="4" t="s">
        <v>1317</v>
      </c>
      <c r="D624" s="7" t="s">
        <v>1333</v>
      </c>
      <c r="E624" s="4" t="s">
        <v>1319</v>
      </c>
      <c r="F624" s="4" t="s">
        <v>5</v>
      </c>
      <c r="G624" s="8"/>
      <c r="H624" s="6" t="str">
        <f aca="false">IF(G624="","",G624/SUMIFS($G$2:$G$671,$F$2:$F$671,"Served"))</f>
        <v/>
      </c>
      <c r="I624" s="4" t="str">
        <f aca="false">IF(G624="","",RANK(G624,$G$2:$G$671,0))</f>
        <v/>
      </c>
      <c r="J624" s="4" t="s">
        <v>34</v>
      </c>
    </row>
    <row r="625" customFormat="false" ht="15" hidden="false" customHeight="false" outlineLevel="0" collapsed="false">
      <c r="A625" s="4" t="s">
        <v>1334</v>
      </c>
      <c r="B625" s="4" t="s">
        <v>1316</v>
      </c>
      <c r="C625" s="4" t="s">
        <v>1317</v>
      </c>
      <c r="D625" s="7" t="s">
        <v>1335</v>
      </c>
      <c r="E625" s="4" t="s">
        <v>1319</v>
      </c>
      <c r="F625" s="4" t="s">
        <v>5</v>
      </c>
      <c r="G625" s="8"/>
      <c r="H625" s="6" t="str">
        <f aca="false">IF(G625="","",G625/SUMIFS($G$2:$G$671,$F$2:$F$671,"Served"))</f>
        <v/>
      </c>
      <c r="I625" s="4" t="str">
        <f aca="false">IF(G625="","",RANK(G625,$G$2:$G$671,0))</f>
        <v/>
      </c>
      <c r="J625" s="4" t="s">
        <v>34</v>
      </c>
    </row>
    <row r="626" customFormat="false" ht="15" hidden="false" customHeight="false" outlineLevel="0" collapsed="false">
      <c r="A626" s="4" t="s">
        <v>1336</v>
      </c>
      <c r="B626" s="4" t="s">
        <v>1316</v>
      </c>
      <c r="C626" s="4" t="s">
        <v>1317</v>
      </c>
      <c r="D626" s="7" t="s">
        <v>1337</v>
      </c>
      <c r="E626" s="4" t="s">
        <v>1319</v>
      </c>
      <c r="F626" s="4" t="s">
        <v>5</v>
      </c>
      <c r="G626" s="8"/>
      <c r="H626" s="6" t="str">
        <f aca="false">IF(G626="","",G626/SUMIFS($G$2:$G$671,$F$2:$F$671,"Served"))</f>
        <v/>
      </c>
      <c r="I626" s="4" t="str">
        <f aca="false">IF(G626="","",RANK(G626,$G$2:$G$671,0))</f>
        <v/>
      </c>
      <c r="J626" s="4" t="s">
        <v>34</v>
      </c>
    </row>
    <row r="627" customFormat="false" ht="15" hidden="false" customHeight="false" outlineLevel="0" collapsed="false">
      <c r="A627" s="4" t="s">
        <v>1338</v>
      </c>
      <c r="B627" s="4" t="s">
        <v>1316</v>
      </c>
      <c r="C627" s="4" t="s">
        <v>1317</v>
      </c>
      <c r="D627" s="7" t="s">
        <v>1339</v>
      </c>
      <c r="E627" s="4" t="s">
        <v>1319</v>
      </c>
      <c r="F627" s="4" t="s">
        <v>5</v>
      </c>
      <c r="G627" s="8"/>
      <c r="H627" s="6" t="str">
        <f aca="false">IF(G627="","",G627/SUMIFS($G$2:$G$671,$F$2:$F$671,"Served"))</f>
        <v/>
      </c>
      <c r="I627" s="4" t="str">
        <f aca="false">IF(G627="","",RANK(G627,$G$2:$G$671,0))</f>
        <v/>
      </c>
      <c r="J627" s="4" t="s">
        <v>34</v>
      </c>
    </row>
    <row r="628" customFormat="false" ht="15" hidden="false" customHeight="false" outlineLevel="0" collapsed="false">
      <c r="A628" s="4" t="s">
        <v>1340</v>
      </c>
      <c r="B628" s="4" t="s">
        <v>1316</v>
      </c>
      <c r="C628" s="4" t="s">
        <v>1317</v>
      </c>
      <c r="D628" s="7" t="s">
        <v>1341</v>
      </c>
      <c r="E628" s="4" t="s">
        <v>1319</v>
      </c>
      <c r="F628" s="4" t="s">
        <v>5</v>
      </c>
      <c r="G628" s="8"/>
      <c r="H628" s="6" t="str">
        <f aca="false">IF(G628="","",G628/SUMIFS($G$2:$G$671,$F$2:$F$671,"Served"))</f>
        <v/>
      </c>
      <c r="I628" s="4" t="str">
        <f aca="false">IF(G628="","",RANK(G628,$G$2:$G$671,0))</f>
        <v/>
      </c>
      <c r="J628" s="4" t="s">
        <v>34</v>
      </c>
    </row>
    <row r="629" customFormat="false" ht="15" hidden="false" customHeight="false" outlineLevel="0" collapsed="false">
      <c r="A629" s="4" t="s">
        <v>1342</v>
      </c>
      <c r="B629" s="4" t="s">
        <v>1316</v>
      </c>
      <c r="C629" s="4" t="s">
        <v>1317</v>
      </c>
      <c r="D629" s="7" t="s">
        <v>1343</v>
      </c>
      <c r="E629" s="4" t="s">
        <v>1319</v>
      </c>
      <c r="F629" s="4" t="s">
        <v>5</v>
      </c>
      <c r="G629" s="8"/>
      <c r="H629" s="6" t="str">
        <f aca="false">IF(G629="","",G629/SUMIFS($G$2:$G$671,$F$2:$F$671,"Served"))</f>
        <v/>
      </c>
      <c r="I629" s="4" t="str">
        <f aca="false">IF(G629="","",RANK(G629,$G$2:$G$671,0))</f>
        <v/>
      </c>
      <c r="J629" s="4" t="s">
        <v>34</v>
      </c>
    </row>
    <row r="630" customFormat="false" ht="15" hidden="false" customHeight="false" outlineLevel="0" collapsed="false">
      <c r="A630" s="4" t="s">
        <v>1344</v>
      </c>
      <c r="B630" s="4" t="s">
        <v>1316</v>
      </c>
      <c r="C630" s="4" t="s">
        <v>1317</v>
      </c>
      <c r="D630" s="7" t="s">
        <v>1345</v>
      </c>
      <c r="E630" s="4" t="s">
        <v>1319</v>
      </c>
      <c r="F630" s="4" t="s">
        <v>5</v>
      </c>
      <c r="G630" s="8"/>
      <c r="H630" s="6" t="str">
        <f aca="false">IF(G630="","",G630/SUMIFS($G$2:$G$671,$F$2:$F$671,"Served"))</f>
        <v/>
      </c>
      <c r="I630" s="4" t="str">
        <f aca="false">IF(G630="","",RANK(G630,$G$2:$G$671,0))</f>
        <v/>
      </c>
      <c r="J630" s="4" t="s">
        <v>34</v>
      </c>
    </row>
    <row r="631" customFormat="false" ht="15" hidden="false" customHeight="false" outlineLevel="0" collapsed="false">
      <c r="A631" s="4" t="s">
        <v>1346</v>
      </c>
      <c r="B631" s="4" t="s">
        <v>1316</v>
      </c>
      <c r="C631" s="4" t="s">
        <v>1317</v>
      </c>
      <c r="D631" s="7" t="s">
        <v>1347</v>
      </c>
      <c r="E631" s="4" t="s">
        <v>1319</v>
      </c>
      <c r="F631" s="4" t="s">
        <v>5</v>
      </c>
      <c r="G631" s="8"/>
      <c r="H631" s="6" t="str">
        <f aca="false">IF(G631="","",G631/SUMIFS($G$2:$G$671,$F$2:$F$671,"Served"))</f>
        <v/>
      </c>
      <c r="I631" s="4" t="str">
        <f aca="false">IF(G631="","",RANK(G631,$G$2:$G$671,0))</f>
        <v/>
      </c>
      <c r="J631" s="4" t="s">
        <v>34</v>
      </c>
    </row>
    <row r="632" customFormat="false" ht="15" hidden="false" customHeight="false" outlineLevel="0" collapsed="false">
      <c r="A632" s="4" t="s">
        <v>1348</v>
      </c>
      <c r="B632" s="4" t="s">
        <v>1316</v>
      </c>
      <c r="C632" s="4" t="s">
        <v>1317</v>
      </c>
      <c r="D632" s="7" t="s">
        <v>1349</v>
      </c>
      <c r="E632" s="4" t="s">
        <v>1319</v>
      </c>
      <c r="F632" s="4" t="s">
        <v>5</v>
      </c>
      <c r="G632" s="8"/>
      <c r="H632" s="6" t="str">
        <f aca="false">IF(G632="","",G632/SUMIFS($G$2:$G$671,$F$2:$F$671,"Served"))</f>
        <v/>
      </c>
      <c r="I632" s="4" t="str">
        <f aca="false">IF(G632="","",RANK(G632,$G$2:$G$671,0))</f>
        <v/>
      </c>
      <c r="J632" s="4" t="s">
        <v>34</v>
      </c>
    </row>
    <row r="633" customFormat="false" ht="15" hidden="false" customHeight="false" outlineLevel="0" collapsed="false">
      <c r="A633" s="4" t="s">
        <v>1350</v>
      </c>
      <c r="B633" s="4" t="s">
        <v>1316</v>
      </c>
      <c r="C633" s="4" t="s">
        <v>1317</v>
      </c>
      <c r="D633" s="7" t="s">
        <v>1351</v>
      </c>
      <c r="E633" s="4" t="s">
        <v>1319</v>
      </c>
      <c r="F633" s="4" t="s">
        <v>5</v>
      </c>
      <c r="G633" s="8"/>
      <c r="H633" s="6" t="str">
        <f aca="false">IF(G633="","",G633/SUMIFS($G$2:$G$671,$F$2:$F$671,"Served"))</f>
        <v/>
      </c>
      <c r="I633" s="4" t="str">
        <f aca="false">IF(G633="","",RANK(G633,$G$2:$G$671,0))</f>
        <v/>
      </c>
      <c r="J633" s="4" t="s">
        <v>34</v>
      </c>
    </row>
    <row r="634" customFormat="false" ht="15" hidden="false" customHeight="false" outlineLevel="0" collapsed="false">
      <c r="A634" s="4" t="s">
        <v>1352</v>
      </c>
      <c r="B634" s="4" t="s">
        <v>1316</v>
      </c>
      <c r="C634" s="4" t="s">
        <v>1317</v>
      </c>
      <c r="D634" s="7" t="s">
        <v>1353</v>
      </c>
      <c r="E634" s="4" t="s">
        <v>1319</v>
      </c>
      <c r="F634" s="4" t="s">
        <v>5</v>
      </c>
      <c r="G634" s="8"/>
      <c r="H634" s="6" t="str">
        <f aca="false">IF(G634="","",G634/SUMIFS($G$2:$G$671,$F$2:$F$671,"Served"))</f>
        <v/>
      </c>
      <c r="I634" s="4" t="str">
        <f aca="false">IF(G634="","",RANK(G634,$G$2:$G$671,0))</f>
        <v/>
      </c>
      <c r="J634" s="4" t="s">
        <v>34</v>
      </c>
    </row>
    <row r="635" customFormat="false" ht="15" hidden="false" customHeight="false" outlineLevel="0" collapsed="false">
      <c r="A635" s="4" t="s">
        <v>1354</v>
      </c>
      <c r="B635" s="4" t="s">
        <v>1316</v>
      </c>
      <c r="C635" s="4" t="s">
        <v>1317</v>
      </c>
      <c r="D635" s="7" t="s">
        <v>1355</v>
      </c>
      <c r="E635" s="4" t="s">
        <v>1319</v>
      </c>
      <c r="F635" s="4" t="s">
        <v>5</v>
      </c>
      <c r="G635" s="8"/>
      <c r="H635" s="6" t="str">
        <f aca="false">IF(G635="","",G635/SUMIFS($G$2:$G$671,$F$2:$F$671,"Served"))</f>
        <v/>
      </c>
      <c r="I635" s="4" t="str">
        <f aca="false">IF(G635="","",RANK(G635,$G$2:$G$671,0))</f>
        <v/>
      </c>
      <c r="J635" s="4" t="s">
        <v>34</v>
      </c>
    </row>
    <row r="636" customFormat="false" ht="15" hidden="false" customHeight="false" outlineLevel="0" collapsed="false">
      <c r="A636" s="4" t="s">
        <v>1356</v>
      </c>
      <c r="B636" s="4" t="s">
        <v>1357</v>
      </c>
      <c r="C636" s="4" t="s">
        <v>1358</v>
      </c>
      <c r="D636" s="7" t="s">
        <v>1359</v>
      </c>
      <c r="E636" s="4" t="s">
        <v>1360</v>
      </c>
      <c r="F636" s="4" t="s">
        <v>6</v>
      </c>
      <c r="G636" s="8"/>
      <c r="H636" s="6" t="str">
        <f aca="false">IF(G636="","",G636/SUMIFS($G$2:$G$671,$F$2:$F$671,"Served"))</f>
        <v/>
      </c>
      <c r="I636" s="4" t="str">
        <f aca="false">IF(G636="","",RANK(G636,$G$2:$G$671,0))</f>
        <v/>
      </c>
      <c r="J636" s="4" t="s">
        <v>34</v>
      </c>
    </row>
    <row r="637" customFormat="false" ht="15" hidden="false" customHeight="false" outlineLevel="0" collapsed="false">
      <c r="A637" s="4" t="s">
        <v>1361</v>
      </c>
      <c r="B637" s="4" t="s">
        <v>1357</v>
      </c>
      <c r="C637" s="4" t="s">
        <v>1358</v>
      </c>
      <c r="D637" s="7" t="s">
        <v>1362</v>
      </c>
      <c r="E637" s="4" t="s">
        <v>1360</v>
      </c>
      <c r="F637" s="4" t="s">
        <v>6</v>
      </c>
      <c r="G637" s="8"/>
      <c r="H637" s="6" t="str">
        <f aca="false">IF(G637="","",G637/SUMIFS($G$2:$G$671,$F$2:$F$671,"Served"))</f>
        <v/>
      </c>
      <c r="I637" s="4" t="str">
        <f aca="false">IF(G637="","",RANK(G637,$G$2:$G$671,0))</f>
        <v/>
      </c>
      <c r="J637" s="4" t="s">
        <v>34</v>
      </c>
    </row>
    <row r="638" customFormat="false" ht="15" hidden="false" customHeight="false" outlineLevel="0" collapsed="false">
      <c r="A638" s="4" t="s">
        <v>1363</v>
      </c>
      <c r="B638" s="4" t="s">
        <v>1357</v>
      </c>
      <c r="C638" s="4" t="s">
        <v>1358</v>
      </c>
      <c r="D638" s="7" t="s">
        <v>1364</v>
      </c>
      <c r="E638" s="4" t="s">
        <v>1360</v>
      </c>
      <c r="F638" s="4" t="s">
        <v>6</v>
      </c>
      <c r="G638" s="8"/>
      <c r="H638" s="6" t="str">
        <f aca="false">IF(G638="","",G638/SUMIFS($G$2:$G$671,$F$2:$F$671,"Served"))</f>
        <v/>
      </c>
      <c r="I638" s="4" t="str">
        <f aca="false">IF(G638="","",RANK(G638,$G$2:$G$671,0))</f>
        <v/>
      </c>
      <c r="J638" s="4" t="s">
        <v>34</v>
      </c>
    </row>
    <row r="639" customFormat="false" ht="15" hidden="false" customHeight="false" outlineLevel="0" collapsed="false">
      <c r="A639" s="4" t="s">
        <v>1365</v>
      </c>
      <c r="B639" s="4" t="s">
        <v>1357</v>
      </c>
      <c r="C639" s="4" t="s">
        <v>1358</v>
      </c>
      <c r="D639" s="7" t="s">
        <v>1366</v>
      </c>
      <c r="E639" s="4" t="s">
        <v>1360</v>
      </c>
      <c r="F639" s="4" t="s">
        <v>6</v>
      </c>
      <c r="G639" s="8"/>
      <c r="H639" s="6" t="str">
        <f aca="false">IF(G639="","",G639/SUMIFS($G$2:$G$671,$F$2:$F$671,"Served"))</f>
        <v/>
      </c>
      <c r="I639" s="4" t="str">
        <f aca="false">IF(G639="","",RANK(G639,$G$2:$G$671,0))</f>
        <v/>
      </c>
      <c r="J639" s="4" t="s">
        <v>34</v>
      </c>
    </row>
    <row r="640" customFormat="false" ht="15" hidden="false" customHeight="false" outlineLevel="0" collapsed="false">
      <c r="A640" s="4" t="s">
        <v>1367</v>
      </c>
      <c r="B640" s="4" t="s">
        <v>1357</v>
      </c>
      <c r="C640" s="4" t="s">
        <v>1358</v>
      </c>
      <c r="D640" s="7" t="s">
        <v>1368</v>
      </c>
      <c r="E640" s="4" t="s">
        <v>1360</v>
      </c>
      <c r="F640" s="4" t="s">
        <v>6</v>
      </c>
      <c r="G640" s="8"/>
      <c r="H640" s="6" t="str">
        <f aca="false">IF(G640="","",G640/SUMIFS($G$2:$G$671,$F$2:$F$671,"Served"))</f>
        <v/>
      </c>
      <c r="I640" s="4" t="str">
        <f aca="false">IF(G640="","",RANK(G640,$G$2:$G$671,0))</f>
        <v/>
      </c>
      <c r="J640" s="4" t="s">
        <v>34</v>
      </c>
    </row>
    <row r="641" customFormat="false" ht="15" hidden="false" customHeight="false" outlineLevel="0" collapsed="false">
      <c r="A641" s="4" t="s">
        <v>1369</v>
      </c>
      <c r="B641" s="4" t="s">
        <v>1357</v>
      </c>
      <c r="C641" s="4" t="s">
        <v>1358</v>
      </c>
      <c r="D641" s="7" t="s">
        <v>1370</v>
      </c>
      <c r="E641" s="4" t="s">
        <v>1360</v>
      </c>
      <c r="F641" s="4" t="s">
        <v>6</v>
      </c>
      <c r="G641" s="8"/>
      <c r="H641" s="6" t="str">
        <f aca="false">IF(G641="","",G641/SUMIFS($G$2:$G$671,$F$2:$F$671,"Served"))</f>
        <v/>
      </c>
      <c r="I641" s="4" t="str">
        <f aca="false">IF(G641="","",RANK(G641,$G$2:$G$671,0))</f>
        <v/>
      </c>
      <c r="J641" s="4" t="s">
        <v>34</v>
      </c>
    </row>
    <row r="642" customFormat="false" ht="15" hidden="false" customHeight="false" outlineLevel="0" collapsed="false">
      <c r="A642" s="4" t="s">
        <v>1371</v>
      </c>
      <c r="B642" s="4" t="s">
        <v>1357</v>
      </c>
      <c r="C642" s="4" t="s">
        <v>1358</v>
      </c>
      <c r="D642" s="7" t="s">
        <v>1372</v>
      </c>
      <c r="E642" s="4" t="s">
        <v>1360</v>
      </c>
      <c r="F642" s="4" t="s">
        <v>6</v>
      </c>
      <c r="G642" s="8"/>
      <c r="H642" s="6" t="str">
        <f aca="false">IF(G642="","",G642/SUMIFS($G$2:$G$671,$F$2:$F$671,"Served"))</f>
        <v/>
      </c>
      <c r="I642" s="4" t="str">
        <f aca="false">IF(G642="","",RANK(G642,$G$2:$G$671,0))</f>
        <v/>
      </c>
      <c r="J642" s="4" t="s">
        <v>34</v>
      </c>
    </row>
    <row r="643" customFormat="false" ht="15" hidden="false" customHeight="false" outlineLevel="0" collapsed="false">
      <c r="A643" s="4" t="s">
        <v>1373</v>
      </c>
      <c r="B643" s="4" t="s">
        <v>1357</v>
      </c>
      <c r="C643" s="4" t="s">
        <v>1358</v>
      </c>
      <c r="D643" s="7" t="s">
        <v>1374</v>
      </c>
      <c r="E643" s="4" t="s">
        <v>1360</v>
      </c>
      <c r="F643" s="4" t="s">
        <v>6</v>
      </c>
      <c r="G643" s="8"/>
      <c r="H643" s="6" t="str">
        <f aca="false">IF(G643="","",G643/SUMIFS($G$2:$G$671,$F$2:$F$671,"Served"))</f>
        <v/>
      </c>
      <c r="I643" s="4" t="str">
        <f aca="false">IF(G643="","",RANK(G643,$G$2:$G$671,0))</f>
        <v/>
      </c>
      <c r="J643" s="4" t="s">
        <v>34</v>
      </c>
    </row>
    <row r="644" customFormat="false" ht="15" hidden="false" customHeight="false" outlineLevel="0" collapsed="false">
      <c r="A644" s="4" t="s">
        <v>1375</v>
      </c>
      <c r="B644" s="4" t="s">
        <v>1357</v>
      </c>
      <c r="C644" s="4" t="s">
        <v>1358</v>
      </c>
      <c r="D644" s="7" t="s">
        <v>1376</v>
      </c>
      <c r="E644" s="4" t="s">
        <v>1360</v>
      </c>
      <c r="F644" s="4" t="s">
        <v>6</v>
      </c>
      <c r="G644" s="8"/>
      <c r="H644" s="6" t="str">
        <f aca="false">IF(G644="","",G644/SUMIFS($G$2:$G$671,$F$2:$F$671,"Served"))</f>
        <v/>
      </c>
      <c r="I644" s="4" t="str">
        <f aca="false">IF(G644="","",RANK(G644,$G$2:$G$671,0))</f>
        <v/>
      </c>
      <c r="J644" s="4" t="s">
        <v>34</v>
      </c>
    </row>
    <row r="645" customFormat="false" ht="15" hidden="false" customHeight="false" outlineLevel="0" collapsed="false">
      <c r="A645" s="4" t="s">
        <v>1377</v>
      </c>
      <c r="B645" s="4" t="s">
        <v>1357</v>
      </c>
      <c r="C645" s="4" t="s">
        <v>1358</v>
      </c>
      <c r="D645" s="7" t="s">
        <v>1378</v>
      </c>
      <c r="E645" s="4" t="s">
        <v>1360</v>
      </c>
      <c r="F645" s="4" t="s">
        <v>6</v>
      </c>
      <c r="G645" s="8"/>
      <c r="H645" s="6" t="str">
        <f aca="false">IF(G645="","",G645/SUMIFS($G$2:$G$671,$F$2:$F$671,"Served"))</f>
        <v/>
      </c>
      <c r="I645" s="4" t="str">
        <f aca="false">IF(G645="","",RANK(G645,$G$2:$G$671,0))</f>
        <v/>
      </c>
      <c r="J645" s="4" t="s">
        <v>34</v>
      </c>
    </row>
    <row r="646" customFormat="false" ht="15" hidden="false" customHeight="false" outlineLevel="0" collapsed="false">
      <c r="A646" s="4" t="s">
        <v>1379</v>
      </c>
      <c r="B646" s="4" t="s">
        <v>1357</v>
      </c>
      <c r="C646" s="4" t="s">
        <v>1358</v>
      </c>
      <c r="D646" s="7" t="s">
        <v>1380</v>
      </c>
      <c r="E646" s="4" t="s">
        <v>1360</v>
      </c>
      <c r="F646" s="4" t="s">
        <v>6</v>
      </c>
      <c r="G646" s="8"/>
      <c r="H646" s="6" t="str">
        <f aca="false">IF(G646="","",G646/SUMIFS($G$2:$G$671,$F$2:$F$671,"Served"))</f>
        <v/>
      </c>
      <c r="I646" s="4" t="str">
        <f aca="false">IF(G646="","",RANK(G646,$G$2:$G$671,0))</f>
        <v/>
      </c>
      <c r="J646" s="4" t="s">
        <v>34</v>
      </c>
    </row>
    <row r="647" customFormat="false" ht="15" hidden="false" customHeight="false" outlineLevel="0" collapsed="false">
      <c r="A647" s="4" t="s">
        <v>1381</v>
      </c>
      <c r="B647" s="4" t="s">
        <v>1357</v>
      </c>
      <c r="C647" s="4" t="s">
        <v>1358</v>
      </c>
      <c r="D647" s="7" t="s">
        <v>1382</v>
      </c>
      <c r="E647" s="4" t="s">
        <v>1360</v>
      </c>
      <c r="F647" s="4" t="s">
        <v>6</v>
      </c>
      <c r="G647" s="8"/>
      <c r="H647" s="6" t="str">
        <f aca="false">IF(G647="","",G647/SUMIFS($G$2:$G$671,$F$2:$F$671,"Served"))</f>
        <v/>
      </c>
      <c r="I647" s="4" t="str">
        <f aca="false">IF(G647="","",RANK(G647,$G$2:$G$671,0))</f>
        <v/>
      </c>
      <c r="J647" s="4" t="s">
        <v>34</v>
      </c>
    </row>
    <row r="648" customFormat="false" ht="15" hidden="false" customHeight="false" outlineLevel="0" collapsed="false">
      <c r="A648" s="4" t="s">
        <v>1383</v>
      </c>
      <c r="B648" s="4" t="s">
        <v>1357</v>
      </c>
      <c r="C648" s="4" t="s">
        <v>1358</v>
      </c>
      <c r="D648" s="7" t="s">
        <v>1384</v>
      </c>
      <c r="E648" s="4" t="s">
        <v>1360</v>
      </c>
      <c r="F648" s="4" t="s">
        <v>6</v>
      </c>
      <c r="G648" s="8"/>
      <c r="H648" s="6" t="str">
        <f aca="false">IF(G648="","",G648/SUMIFS($G$2:$G$671,$F$2:$F$671,"Served"))</f>
        <v/>
      </c>
      <c r="I648" s="4" t="str">
        <f aca="false">IF(G648="","",RANK(G648,$G$2:$G$671,0))</f>
        <v/>
      </c>
      <c r="J648" s="4" t="s">
        <v>34</v>
      </c>
    </row>
    <row r="649" customFormat="false" ht="15" hidden="false" customHeight="false" outlineLevel="0" collapsed="false">
      <c r="A649" s="4" t="s">
        <v>1385</v>
      </c>
      <c r="B649" s="4" t="s">
        <v>1357</v>
      </c>
      <c r="C649" s="4" t="s">
        <v>1358</v>
      </c>
      <c r="D649" s="7" t="s">
        <v>1386</v>
      </c>
      <c r="E649" s="4" t="s">
        <v>1360</v>
      </c>
      <c r="F649" s="4" t="s">
        <v>6</v>
      </c>
      <c r="G649" s="8"/>
      <c r="H649" s="6" t="str">
        <f aca="false">IF(G649="","",G649/SUMIFS($G$2:$G$671,$F$2:$F$671,"Served"))</f>
        <v/>
      </c>
      <c r="I649" s="4" t="str">
        <f aca="false">IF(G649="","",RANK(G649,$G$2:$G$671,0))</f>
        <v/>
      </c>
      <c r="J649" s="4" t="s">
        <v>34</v>
      </c>
    </row>
    <row r="650" customFormat="false" ht="15" hidden="false" customHeight="false" outlineLevel="0" collapsed="false">
      <c r="A650" s="4" t="s">
        <v>1387</v>
      </c>
      <c r="B650" s="4" t="s">
        <v>1357</v>
      </c>
      <c r="C650" s="4" t="s">
        <v>1358</v>
      </c>
      <c r="D650" s="7" t="s">
        <v>1388</v>
      </c>
      <c r="E650" s="4" t="s">
        <v>1360</v>
      </c>
      <c r="F650" s="4" t="s">
        <v>6</v>
      </c>
      <c r="G650" s="8"/>
      <c r="H650" s="6" t="str">
        <f aca="false">IF(G650="","",G650/SUMIFS($G$2:$G$671,$F$2:$F$671,"Served"))</f>
        <v/>
      </c>
      <c r="I650" s="4" t="str">
        <f aca="false">IF(G650="","",RANK(G650,$G$2:$G$671,0))</f>
        <v/>
      </c>
      <c r="J650" s="4" t="s">
        <v>34</v>
      </c>
    </row>
    <row r="651" customFormat="false" ht="15" hidden="false" customHeight="false" outlineLevel="0" collapsed="false">
      <c r="A651" s="4" t="s">
        <v>1389</v>
      </c>
      <c r="B651" s="4" t="s">
        <v>1357</v>
      </c>
      <c r="C651" s="4" t="s">
        <v>1358</v>
      </c>
      <c r="D651" s="7" t="s">
        <v>1390</v>
      </c>
      <c r="E651" s="4" t="s">
        <v>1360</v>
      </c>
      <c r="F651" s="4" t="s">
        <v>6</v>
      </c>
      <c r="G651" s="8"/>
      <c r="H651" s="6" t="str">
        <f aca="false">IF(G651="","",G651/SUMIFS($G$2:$G$671,$F$2:$F$671,"Served"))</f>
        <v/>
      </c>
      <c r="I651" s="4" t="str">
        <f aca="false">IF(G651="","",RANK(G651,$G$2:$G$671,0))</f>
        <v/>
      </c>
      <c r="J651" s="4" t="s">
        <v>34</v>
      </c>
    </row>
    <row r="652" customFormat="false" ht="15" hidden="false" customHeight="false" outlineLevel="0" collapsed="false">
      <c r="A652" s="4" t="s">
        <v>1391</v>
      </c>
      <c r="B652" s="4" t="s">
        <v>1357</v>
      </c>
      <c r="C652" s="4" t="s">
        <v>1358</v>
      </c>
      <c r="D652" s="7" t="s">
        <v>1392</v>
      </c>
      <c r="E652" s="4" t="s">
        <v>1360</v>
      </c>
      <c r="F652" s="4" t="s">
        <v>6</v>
      </c>
      <c r="G652" s="8"/>
      <c r="H652" s="6" t="str">
        <f aca="false">IF(G652="","",G652/SUMIFS($G$2:$G$671,$F$2:$F$671,"Served"))</f>
        <v/>
      </c>
      <c r="I652" s="4" t="str">
        <f aca="false">IF(G652="","",RANK(G652,$G$2:$G$671,0))</f>
        <v/>
      </c>
      <c r="J652" s="4" t="s">
        <v>34</v>
      </c>
    </row>
    <row r="653" customFormat="false" ht="15" hidden="false" customHeight="false" outlineLevel="0" collapsed="false">
      <c r="A653" s="4" t="s">
        <v>1393</v>
      </c>
      <c r="B653" s="4" t="s">
        <v>1357</v>
      </c>
      <c r="C653" s="4" t="s">
        <v>1358</v>
      </c>
      <c r="D653" s="7" t="s">
        <v>1394</v>
      </c>
      <c r="E653" s="4" t="s">
        <v>1360</v>
      </c>
      <c r="F653" s="4" t="s">
        <v>6</v>
      </c>
      <c r="G653" s="8"/>
      <c r="H653" s="6" t="str">
        <f aca="false">IF(G653="","",G653/SUMIFS($G$2:$G$671,$F$2:$F$671,"Served"))</f>
        <v/>
      </c>
      <c r="I653" s="4" t="str">
        <f aca="false">IF(G653="","",RANK(G653,$G$2:$G$671,0))</f>
        <v/>
      </c>
      <c r="J653" s="4" t="s">
        <v>34</v>
      </c>
    </row>
    <row r="654" customFormat="false" ht="15" hidden="false" customHeight="false" outlineLevel="0" collapsed="false">
      <c r="A654" s="4" t="s">
        <v>1395</v>
      </c>
      <c r="B654" s="4" t="s">
        <v>1357</v>
      </c>
      <c r="C654" s="4" t="s">
        <v>1358</v>
      </c>
      <c r="D654" s="7" t="s">
        <v>1396</v>
      </c>
      <c r="E654" s="4" t="s">
        <v>1360</v>
      </c>
      <c r="F654" s="4" t="s">
        <v>6</v>
      </c>
      <c r="G654" s="8"/>
      <c r="H654" s="6" t="str">
        <f aca="false">IF(G654="","",G654/SUMIFS($G$2:$G$671,$F$2:$F$671,"Served"))</f>
        <v/>
      </c>
      <c r="I654" s="4" t="str">
        <f aca="false">IF(G654="","",RANK(G654,$G$2:$G$671,0))</f>
        <v/>
      </c>
      <c r="J654" s="4" t="s">
        <v>34</v>
      </c>
    </row>
    <row r="655" customFormat="false" ht="15" hidden="false" customHeight="false" outlineLevel="0" collapsed="false">
      <c r="A655" s="4" t="s">
        <v>1397</v>
      </c>
      <c r="B655" s="4" t="s">
        <v>1357</v>
      </c>
      <c r="C655" s="4" t="s">
        <v>1358</v>
      </c>
      <c r="D655" s="7" t="s">
        <v>1398</v>
      </c>
      <c r="E655" s="4" t="s">
        <v>1360</v>
      </c>
      <c r="F655" s="4" t="s">
        <v>6</v>
      </c>
      <c r="G655" s="8"/>
      <c r="H655" s="6" t="str">
        <f aca="false">IF(G655="","",G655/SUMIFS($G$2:$G$671,$F$2:$F$671,"Served"))</f>
        <v/>
      </c>
      <c r="I655" s="4" t="str">
        <f aca="false">IF(G655="","",RANK(G655,$G$2:$G$671,0))</f>
        <v/>
      </c>
      <c r="J655" s="4" t="s">
        <v>34</v>
      </c>
    </row>
    <row r="656" customFormat="false" ht="15" hidden="false" customHeight="false" outlineLevel="0" collapsed="false">
      <c r="A656" s="4" t="s">
        <v>1399</v>
      </c>
      <c r="B656" s="4" t="s">
        <v>1357</v>
      </c>
      <c r="C656" s="4" t="s">
        <v>1358</v>
      </c>
      <c r="D656" s="7" t="s">
        <v>1400</v>
      </c>
      <c r="E656" s="4" t="s">
        <v>1360</v>
      </c>
      <c r="F656" s="4" t="s">
        <v>6</v>
      </c>
      <c r="G656" s="8"/>
      <c r="H656" s="6" t="str">
        <f aca="false">IF(G656="","",G656/SUMIFS($G$2:$G$671,$F$2:$F$671,"Served"))</f>
        <v/>
      </c>
      <c r="I656" s="4" t="str">
        <f aca="false">IF(G656="","",RANK(G656,$G$2:$G$671,0))</f>
        <v/>
      </c>
      <c r="J656" s="4" t="s">
        <v>34</v>
      </c>
    </row>
    <row r="657" customFormat="false" ht="15" hidden="false" customHeight="false" outlineLevel="0" collapsed="false">
      <c r="A657" s="4" t="s">
        <v>1401</v>
      </c>
      <c r="B657" s="4" t="s">
        <v>1357</v>
      </c>
      <c r="C657" s="4" t="s">
        <v>1358</v>
      </c>
      <c r="D657" s="7" t="s">
        <v>1402</v>
      </c>
      <c r="E657" s="4" t="s">
        <v>1360</v>
      </c>
      <c r="F657" s="4" t="s">
        <v>6</v>
      </c>
      <c r="G657" s="8"/>
      <c r="H657" s="6" t="str">
        <f aca="false">IF(G657="","",G657/SUMIFS($G$2:$G$671,$F$2:$F$671,"Served"))</f>
        <v/>
      </c>
      <c r="I657" s="4" t="str">
        <f aca="false">IF(G657="","",RANK(G657,$G$2:$G$671,0))</f>
        <v/>
      </c>
      <c r="J657" s="4" t="s">
        <v>34</v>
      </c>
    </row>
    <row r="658" customFormat="false" ht="15" hidden="false" customHeight="false" outlineLevel="0" collapsed="false">
      <c r="A658" s="4" t="s">
        <v>1403</v>
      </c>
      <c r="B658" s="4" t="s">
        <v>1357</v>
      </c>
      <c r="C658" s="4" t="s">
        <v>1358</v>
      </c>
      <c r="D658" s="7" t="s">
        <v>1404</v>
      </c>
      <c r="E658" s="4" t="s">
        <v>1360</v>
      </c>
      <c r="F658" s="4" t="s">
        <v>6</v>
      </c>
      <c r="G658" s="8"/>
      <c r="H658" s="6" t="str">
        <f aca="false">IF(G658="","",G658/SUMIFS($G$2:$G$671,$F$2:$F$671,"Served"))</f>
        <v/>
      </c>
      <c r="I658" s="4" t="str">
        <f aca="false">IF(G658="","",RANK(G658,$G$2:$G$671,0))</f>
        <v/>
      </c>
      <c r="J658" s="4" t="s">
        <v>34</v>
      </c>
    </row>
    <row r="659" customFormat="false" ht="15" hidden="false" customHeight="false" outlineLevel="0" collapsed="false">
      <c r="A659" s="4" t="s">
        <v>1405</v>
      </c>
      <c r="B659" s="4" t="s">
        <v>1357</v>
      </c>
      <c r="C659" s="4" t="s">
        <v>1358</v>
      </c>
      <c r="D659" s="7" t="s">
        <v>1406</v>
      </c>
      <c r="E659" s="4" t="s">
        <v>1360</v>
      </c>
      <c r="F659" s="4" t="s">
        <v>6</v>
      </c>
      <c r="G659" s="8"/>
      <c r="H659" s="6" t="str">
        <f aca="false">IF(G659="","",G659/SUMIFS($G$2:$G$671,$F$2:$F$671,"Served"))</f>
        <v/>
      </c>
      <c r="I659" s="4" t="str">
        <f aca="false">IF(G659="","",RANK(G659,$G$2:$G$671,0))</f>
        <v/>
      </c>
      <c r="J659" s="4" t="s">
        <v>34</v>
      </c>
    </row>
    <row r="660" customFormat="false" ht="15" hidden="false" customHeight="false" outlineLevel="0" collapsed="false">
      <c r="A660" s="4" t="s">
        <v>1407</v>
      </c>
      <c r="B660" s="4" t="s">
        <v>1357</v>
      </c>
      <c r="C660" s="4" t="s">
        <v>1358</v>
      </c>
      <c r="D660" s="7" t="s">
        <v>1408</v>
      </c>
      <c r="E660" s="4" t="s">
        <v>1360</v>
      </c>
      <c r="F660" s="4" t="s">
        <v>6</v>
      </c>
      <c r="G660" s="8"/>
      <c r="H660" s="6" t="str">
        <f aca="false">IF(G660="","",G660/SUMIFS($G$2:$G$671,$F$2:$F$671,"Served"))</f>
        <v/>
      </c>
      <c r="I660" s="4" t="str">
        <f aca="false">IF(G660="","",RANK(G660,$G$2:$G$671,0))</f>
        <v/>
      </c>
      <c r="J660" s="4" t="s">
        <v>34</v>
      </c>
    </row>
    <row r="661" customFormat="false" ht="15" hidden="false" customHeight="false" outlineLevel="0" collapsed="false">
      <c r="A661" s="4" t="s">
        <v>1409</v>
      </c>
      <c r="B661" s="4" t="s">
        <v>1357</v>
      </c>
      <c r="C661" s="4" t="s">
        <v>1358</v>
      </c>
      <c r="D661" s="7" t="s">
        <v>1410</v>
      </c>
      <c r="E661" s="4" t="s">
        <v>1360</v>
      </c>
      <c r="F661" s="4" t="s">
        <v>6</v>
      </c>
      <c r="G661" s="8"/>
      <c r="H661" s="6" t="str">
        <f aca="false">IF(G661="","",G661/SUMIFS($G$2:$G$671,$F$2:$F$671,"Served"))</f>
        <v/>
      </c>
      <c r="I661" s="4" t="str">
        <f aca="false">IF(G661="","",RANK(G661,$G$2:$G$671,0))</f>
        <v/>
      </c>
      <c r="J661" s="4" t="s">
        <v>34</v>
      </c>
    </row>
    <row r="662" customFormat="false" ht="15" hidden="false" customHeight="false" outlineLevel="0" collapsed="false">
      <c r="A662" s="4" t="s">
        <v>1411</v>
      </c>
      <c r="B662" s="4" t="s">
        <v>1357</v>
      </c>
      <c r="C662" s="4" t="s">
        <v>1358</v>
      </c>
      <c r="D662" s="7" t="s">
        <v>1412</v>
      </c>
      <c r="E662" s="4" t="s">
        <v>1360</v>
      </c>
      <c r="F662" s="4" t="s">
        <v>6</v>
      </c>
      <c r="G662" s="8"/>
      <c r="H662" s="6" t="str">
        <f aca="false">IF(G662="","",G662/SUMIFS($G$2:$G$671,$F$2:$F$671,"Served"))</f>
        <v/>
      </c>
      <c r="I662" s="4" t="str">
        <f aca="false">IF(G662="","",RANK(G662,$G$2:$G$671,0))</f>
        <v/>
      </c>
      <c r="J662" s="4" t="s">
        <v>34</v>
      </c>
    </row>
    <row r="663" customFormat="false" ht="15" hidden="false" customHeight="false" outlineLevel="0" collapsed="false">
      <c r="A663" s="4" t="s">
        <v>1413</v>
      </c>
      <c r="B663" s="4" t="s">
        <v>1357</v>
      </c>
      <c r="C663" s="4" t="s">
        <v>1358</v>
      </c>
      <c r="D663" s="7" t="s">
        <v>1414</v>
      </c>
      <c r="E663" s="4" t="s">
        <v>1360</v>
      </c>
      <c r="F663" s="4" t="s">
        <v>6</v>
      </c>
      <c r="G663" s="8"/>
      <c r="H663" s="6" t="str">
        <f aca="false">IF(G663="","",G663/SUMIFS($G$2:$G$671,$F$2:$F$671,"Served"))</f>
        <v/>
      </c>
      <c r="I663" s="4" t="str">
        <f aca="false">IF(G663="","",RANK(G663,$G$2:$G$671,0))</f>
        <v/>
      </c>
      <c r="J663" s="4" t="s">
        <v>34</v>
      </c>
    </row>
    <row r="664" customFormat="false" ht="15" hidden="false" customHeight="false" outlineLevel="0" collapsed="false">
      <c r="A664" s="4" t="s">
        <v>1415</v>
      </c>
      <c r="B664" s="4" t="s">
        <v>1357</v>
      </c>
      <c r="C664" s="4" t="s">
        <v>1358</v>
      </c>
      <c r="D664" s="7" t="s">
        <v>1416</v>
      </c>
      <c r="E664" s="4" t="s">
        <v>1360</v>
      </c>
      <c r="F664" s="4" t="s">
        <v>6</v>
      </c>
      <c r="G664" s="8"/>
      <c r="H664" s="6" t="str">
        <f aca="false">IF(G664="","",G664/SUMIFS($G$2:$G$671,$F$2:$F$671,"Served"))</f>
        <v/>
      </c>
      <c r="I664" s="4" t="str">
        <f aca="false">IF(G664="","",RANK(G664,$G$2:$G$671,0))</f>
        <v/>
      </c>
      <c r="J664" s="4" t="s">
        <v>34</v>
      </c>
    </row>
    <row r="665" customFormat="false" ht="15" hidden="false" customHeight="false" outlineLevel="0" collapsed="false">
      <c r="A665" s="4" t="s">
        <v>1417</v>
      </c>
      <c r="B665" s="4" t="s">
        <v>1357</v>
      </c>
      <c r="C665" s="4" t="s">
        <v>1358</v>
      </c>
      <c r="D665" s="7" t="s">
        <v>1418</v>
      </c>
      <c r="E665" s="4" t="s">
        <v>1360</v>
      </c>
      <c r="F665" s="4" t="s">
        <v>6</v>
      </c>
      <c r="G665" s="8"/>
      <c r="H665" s="6" t="str">
        <f aca="false">IF(G665="","",G665/SUMIFS($G$2:$G$671,$F$2:$F$671,"Served"))</f>
        <v/>
      </c>
      <c r="I665" s="4" t="str">
        <f aca="false">IF(G665="","",RANK(G665,$G$2:$G$671,0))</f>
        <v/>
      </c>
      <c r="J665" s="4" t="s">
        <v>34</v>
      </c>
    </row>
    <row r="666" customFormat="false" ht="15" hidden="false" customHeight="false" outlineLevel="0" collapsed="false">
      <c r="A666" s="4" t="s">
        <v>1419</v>
      </c>
      <c r="B666" s="4" t="s">
        <v>1357</v>
      </c>
      <c r="C666" s="4" t="s">
        <v>1358</v>
      </c>
      <c r="D666" s="7" t="s">
        <v>1420</v>
      </c>
      <c r="E666" s="4" t="s">
        <v>1360</v>
      </c>
      <c r="F666" s="4" t="s">
        <v>6</v>
      </c>
      <c r="G666" s="8"/>
      <c r="H666" s="6" t="str">
        <f aca="false">IF(G666="","",G666/SUMIFS($G$2:$G$671,$F$2:$F$671,"Served"))</f>
        <v/>
      </c>
      <c r="I666" s="4" t="str">
        <f aca="false">IF(G666="","",RANK(G666,$G$2:$G$671,0))</f>
        <v/>
      </c>
      <c r="J666" s="4" t="s">
        <v>34</v>
      </c>
    </row>
    <row r="667" customFormat="false" ht="15" hidden="false" customHeight="false" outlineLevel="0" collapsed="false">
      <c r="A667" s="4" t="s">
        <v>1421</v>
      </c>
      <c r="B667" s="4" t="s">
        <v>1357</v>
      </c>
      <c r="C667" s="4" t="s">
        <v>1358</v>
      </c>
      <c r="D667" s="7" t="s">
        <v>1422</v>
      </c>
      <c r="E667" s="4" t="s">
        <v>1360</v>
      </c>
      <c r="F667" s="4" t="s">
        <v>6</v>
      </c>
      <c r="G667" s="8"/>
      <c r="H667" s="6" t="str">
        <f aca="false">IF(G667="","",G667/SUMIFS($G$2:$G$671,$F$2:$F$671,"Served"))</f>
        <v/>
      </c>
      <c r="I667" s="4" t="str">
        <f aca="false">IF(G667="","",RANK(G667,$G$2:$G$671,0))</f>
        <v/>
      </c>
      <c r="J667" s="4" t="s">
        <v>34</v>
      </c>
    </row>
    <row r="668" customFormat="false" ht="15" hidden="false" customHeight="false" outlineLevel="0" collapsed="false">
      <c r="A668" s="4" t="s">
        <v>1423</v>
      </c>
      <c r="B668" s="4" t="s">
        <v>1424</v>
      </c>
      <c r="C668" s="4" t="s">
        <v>1425</v>
      </c>
      <c r="D668" s="7" t="s">
        <v>1426</v>
      </c>
      <c r="E668" s="4" t="s">
        <v>128</v>
      </c>
      <c r="F668" s="4" t="s">
        <v>7</v>
      </c>
      <c r="G668" s="8"/>
      <c r="H668" s="6" t="str">
        <f aca="false">IF(G668="","",G668/SUMIFS($G$2:$G$671,$F$2:$F$671,"Served"))</f>
        <v/>
      </c>
      <c r="I668" s="4" t="str">
        <f aca="false">IF(G668="","",RANK(G668,$G$2:$G$671,0))</f>
        <v/>
      </c>
      <c r="J668" s="4" t="s">
        <v>1427</v>
      </c>
    </row>
    <row r="669" customFormat="false" ht="15" hidden="false" customHeight="false" outlineLevel="0" collapsed="false">
      <c r="A669" s="4" t="s">
        <v>1428</v>
      </c>
      <c r="B669" s="4" t="s">
        <v>1424</v>
      </c>
      <c r="C669" s="4" t="s">
        <v>1425</v>
      </c>
      <c r="D669" s="7" t="s">
        <v>1429</v>
      </c>
      <c r="E669" s="4" t="s">
        <v>128</v>
      </c>
      <c r="F669" s="4" t="s">
        <v>7</v>
      </c>
      <c r="G669" s="8"/>
      <c r="H669" s="6" t="str">
        <f aca="false">IF(G669="","",G669/SUMIFS($G$2:$G$671,$F$2:$F$671,"Served"))</f>
        <v/>
      </c>
      <c r="I669" s="4" t="str">
        <f aca="false">IF(G669="","",RANK(G669,$G$2:$G$671,0))</f>
        <v/>
      </c>
      <c r="J669" s="4" t="s">
        <v>1427</v>
      </c>
    </row>
    <row r="670" customFormat="false" ht="15" hidden="false" customHeight="false" outlineLevel="0" collapsed="false">
      <c r="A670" s="4" t="s">
        <v>1430</v>
      </c>
      <c r="B670" s="4" t="s">
        <v>1424</v>
      </c>
      <c r="C670" s="4" t="s">
        <v>1425</v>
      </c>
      <c r="D670" s="7" t="s">
        <v>1431</v>
      </c>
      <c r="E670" s="4" t="s">
        <v>128</v>
      </c>
      <c r="F670" s="4" t="s">
        <v>7</v>
      </c>
      <c r="G670" s="8"/>
      <c r="H670" s="6" t="str">
        <f aca="false">IF(G670="","",G670/SUMIFS($G$2:$G$671,$F$2:$F$671,"Served"))</f>
        <v/>
      </c>
      <c r="I670" s="4" t="str">
        <f aca="false">IF(G670="","",RANK(G670,$G$2:$G$671,0))</f>
        <v/>
      </c>
      <c r="J670" s="4" t="s">
        <v>1427</v>
      </c>
    </row>
    <row r="671" customFormat="false" ht="15" hidden="false" customHeight="false" outlineLevel="0" collapsed="false">
      <c r="A671" s="4" t="s">
        <v>1432</v>
      </c>
      <c r="B671" s="4" t="s">
        <v>1424</v>
      </c>
      <c r="C671" s="4" t="s">
        <v>1425</v>
      </c>
      <c r="D671" s="7" t="s">
        <v>1433</v>
      </c>
      <c r="E671" s="4" t="s">
        <v>128</v>
      </c>
      <c r="F671" s="4" t="s">
        <v>7</v>
      </c>
      <c r="G671" s="8"/>
      <c r="H671" s="6" t="str">
        <f aca="false">IF(G671="","",G671/SUMIFS($G$2:$G$671,$F$2:$F$671,"Served"))</f>
        <v/>
      </c>
      <c r="I671" s="4" t="str">
        <f aca="false">IF(G671="","",RANK(G671,$G$2:$G$671,0))</f>
        <v/>
      </c>
      <c r="J671" s="4" t="s">
        <v>1427</v>
      </c>
    </row>
  </sheetData>
  <autoFilter ref="A1:J6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40"/>
    <col collapsed="false" customWidth="true" hidden="false" outlineLevel="0" max="7" min="7" style="0" width="110"/>
  </cols>
  <sheetData>
    <row r="1" customFormat="false" ht="23.85" hidden="false" customHeight="false" outlineLevel="0" collapsed="false">
      <c r="A1" s="3" t="s">
        <v>19</v>
      </c>
      <c r="B1" s="3" t="s">
        <v>24</v>
      </c>
      <c r="C1" s="3" t="s">
        <v>1434</v>
      </c>
      <c r="D1" s="3" t="s">
        <v>4</v>
      </c>
      <c r="E1" s="3" t="s">
        <v>26</v>
      </c>
      <c r="F1" s="3" t="s">
        <v>23</v>
      </c>
      <c r="G1" s="3" t="s">
        <v>1435</v>
      </c>
    </row>
    <row r="2" customFormat="false" ht="15" hidden="false" customHeight="false" outlineLevel="0" collapsed="false">
      <c r="A2" s="4" t="s">
        <v>30</v>
      </c>
      <c r="B2" s="4" t="s">
        <v>4</v>
      </c>
      <c r="C2" s="4" t="n">
        <f aca="false">COUNTIFS(Features!$B$2:$B$671,A2)</f>
        <v>188</v>
      </c>
      <c r="D2" s="4" t="n">
        <f aca="false">COUNTIFS(Features!$B$2:$B$671,A2,Features!$F$2:$F$671,"Served")</f>
        <v>188</v>
      </c>
      <c r="E2" s="6" t="n">
        <f aca="false">SUMIFS(Features!$H$2:$H$671,Features!$B$2:$B$671,A2)</f>
        <v>0.686781815418102</v>
      </c>
      <c r="F2" s="4" t="s">
        <v>33</v>
      </c>
      <c r="G2" s="4" t="s">
        <v>1436</v>
      </c>
    </row>
    <row r="3" customFormat="false" ht="15" hidden="false" customHeight="false" outlineLevel="0" collapsed="false">
      <c r="A3" s="4" t="s">
        <v>43</v>
      </c>
      <c r="B3" s="4" t="s">
        <v>4</v>
      </c>
      <c r="C3" s="4" t="n">
        <f aca="false">COUNTIFS(Features!$B$2:$B$671,A3)</f>
        <v>20</v>
      </c>
      <c r="D3" s="4" t="n">
        <f aca="false">COUNTIFS(Features!$B$2:$B$671,A3,Features!$F$2:$F$671,"Served")</f>
        <v>20</v>
      </c>
      <c r="E3" s="6" t="n">
        <f aca="false">SUMIFS(Features!$H$2:$H$671,Features!$B$2:$B$671,A3)</f>
        <v>0.122847066985958</v>
      </c>
      <c r="F3" s="4" t="s">
        <v>46</v>
      </c>
      <c r="G3" s="4" t="s">
        <v>1437</v>
      </c>
    </row>
    <row r="4" customFormat="false" ht="15" hidden="false" customHeight="false" outlineLevel="0" collapsed="false">
      <c r="A4" s="4" t="s">
        <v>52</v>
      </c>
      <c r="B4" s="4" t="s">
        <v>4</v>
      </c>
      <c r="C4" s="4" t="n">
        <f aca="false">COUNTIFS(Features!$B$2:$B$671,A4)</f>
        <v>114</v>
      </c>
      <c r="D4" s="4" t="n">
        <f aca="false">COUNTIFS(Features!$B$2:$B$671,A4,Features!$F$2:$F$671,"Served")</f>
        <v>114</v>
      </c>
      <c r="E4" s="6" t="n">
        <f aca="false">SUMIFS(Features!$H$2:$H$671,Features!$B$2:$B$671,A4)</f>
        <v>0.0992958227873606</v>
      </c>
      <c r="F4" s="4" t="s">
        <v>33</v>
      </c>
      <c r="G4" s="4" t="s">
        <v>1438</v>
      </c>
    </row>
    <row r="5" customFormat="false" ht="15" hidden="false" customHeight="false" outlineLevel="0" collapsed="false">
      <c r="A5" s="4" t="s">
        <v>71</v>
      </c>
      <c r="B5" s="4" t="s">
        <v>4</v>
      </c>
      <c r="C5" s="4" t="n">
        <f aca="false">COUNTIFS(Features!$B$2:$B$671,A5)</f>
        <v>14</v>
      </c>
      <c r="D5" s="4" t="n">
        <f aca="false">COUNTIFS(Features!$B$2:$B$671,A5,Features!$F$2:$F$671,"Served")</f>
        <v>14</v>
      </c>
      <c r="E5" s="6" t="n">
        <f aca="false">SUMIFS(Features!$H$2:$H$671,Features!$B$2:$B$671,A5)</f>
        <v>0.0276849678499965</v>
      </c>
      <c r="F5" s="4" t="s">
        <v>74</v>
      </c>
      <c r="G5" s="4" t="s">
        <v>1439</v>
      </c>
    </row>
    <row r="6" customFormat="false" ht="15" hidden="false" customHeight="false" outlineLevel="0" collapsed="false">
      <c r="A6" s="4" t="s">
        <v>116</v>
      </c>
      <c r="B6" s="4" t="s">
        <v>4</v>
      </c>
      <c r="C6" s="4" t="n">
        <f aca="false">COUNTIFS(Features!$B$2:$B$671,A6)</f>
        <v>28</v>
      </c>
      <c r="D6" s="4" t="n">
        <f aca="false">COUNTIFS(Features!$B$2:$B$671,A6,Features!$F$2:$F$671,"Served")</f>
        <v>28</v>
      </c>
      <c r="E6" s="6" t="n">
        <f aca="false">SUMIFS(Features!$H$2:$H$671,Features!$B$2:$B$671,A6)</f>
        <v>0.0137614326884033</v>
      </c>
      <c r="F6" s="4" t="s">
        <v>119</v>
      </c>
      <c r="G6" s="4" t="s">
        <v>1440</v>
      </c>
    </row>
    <row r="7" customFormat="false" ht="15" hidden="false" customHeight="false" outlineLevel="0" collapsed="false">
      <c r="A7" s="4" t="s">
        <v>125</v>
      </c>
      <c r="B7" s="4" t="s">
        <v>4</v>
      </c>
      <c r="C7" s="4" t="n">
        <f aca="false">COUNTIFS(Features!$B$2:$B$671,A7)</f>
        <v>20</v>
      </c>
      <c r="D7" s="4" t="n">
        <f aca="false">COUNTIFS(Features!$B$2:$B$671,A7,Features!$F$2:$F$671,"Served")</f>
        <v>20</v>
      </c>
      <c r="E7" s="6" t="n">
        <f aca="false">SUMIFS(Features!$H$2:$H$671,Features!$B$2:$B$671,A7)</f>
        <v>0.00955350555557639</v>
      </c>
      <c r="F7" s="4" t="s">
        <v>128</v>
      </c>
      <c r="G7" s="4" t="s">
        <v>1441</v>
      </c>
    </row>
    <row r="8" customFormat="false" ht="15" hidden="false" customHeight="false" outlineLevel="0" collapsed="false">
      <c r="A8" s="4" t="s">
        <v>172</v>
      </c>
      <c r="B8" s="4" t="s">
        <v>4</v>
      </c>
      <c r="C8" s="4" t="n">
        <f aca="false">COUNTIFS(Features!$B$2:$B$671,A8)</f>
        <v>91</v>
      </c>
      <c r="D8" s="4" t="n">
        <f aca="false">COUNTIFS(Features!$B$2:$B$671,A8,Features!$F$2:$F$671,"Served")</f>
        <v>91</v>
      </c>
      <c r="E8" s="6" t="n">
        <f aca="false">SUMIFS(Features!$H$2:$H$671,Features!$B$2:$B$671,A8)</f>
        <v>0.0241750951951975</v>
      </c>
      <c r="F8" s="4" t="s">
        <v>175</v>
      </c>
      <c r="G8" s="4" t="s">
        <v>1442</v>
      </c>
    </row>
    <row r="9" customFormat="false" ht="15" hidden="false" customHeight="false" outlineLevel="0" collapsed="false">
      <c r="A9" s="4" t="s">
        <v>213</v>
      </c>
      <c r="B9" s="4" t="s">
        <v>4</v>
      </c>
      <c r="C9" s="4" t="n">
        <f aca="false">COUNTIFS(Features!$B$2:$B$671,A9)</f>
        <v>60</v>
      </c>
      <c r="D9" s="4" t="n">
        <f aca="false">COUNTIFS(Features!$B$2:$B$671,A9,Features!$F$2:$F$671,"Served")</f>
        <v>60</v>
      </c>
      <c r="E9" s="6" t="n">
        <f aca="false">SUMIFS(Features!$H$2:$H$671,Features!$B$2:$B$671,A9)</f>
        <v>0.0159002935194066</v>
      </c>
      <c r="F9" s="4" t="s">
        <v>216</v>
      </c>
      <c r="G9" s="4" t="s">
        <v>1443</v>
      </c>
    </row>
    <row r="10" customFormat="false" ht="15" hidden="false" customHeight="false" outlineLevel="0" collapsed="false">
      <c r="A10" s="4" t="s">
        <v>1153</v>
      </c>
      <c r="B10" s="4" t="s">
        <v>5</v>
      </c>
      <c r="C10" s="4" t="n">
        <f aca="false">COUNTIFS(Features!$B$2:$B$671,A10)</f>
        <v>80</v>
      </c>
      <c r="D10" s="4" t="n">
        <f aca="false">COUNTIFS(Features!$B$2:$B$671,A10,Features!$F$2:$F$671,"Served")</f>
        <v>0</v>
      </c>
      <c r="E10" s="6" t="n">
        <f aca="false">SUMIFS(Features!$H$2:$H$671,Features!$B$2:$B$671,A10)</f>
        <v>0</v>
      </c>
      <c r="F10" s="4" t="s">
        <v>1156</v>
      </c>
      <c r="G10" s="4" t="s">
        <v>1444</v>
      </c>
    </row>
    <row r="11" customFormat="false" ht="15" hidden="false" customHeight="false" outlineLevel="0" collapsed="false">
      <c r="A11" s="4" t="s">
        <v>1316</v>
      </c>
      <c r="B11" s="4" t="s">
        <v>5</v>
      </c>
      <c r="C11" s="4" t="n">
        <f aca="false">COUNTIFS(Features!$B$2:$B$671,A11)</f>
        <v>19</v>
      </c>
      <c r="D11" s="4" t="n">
        <f aca="false">COUNTIFS(Features!$B$2:$B$671,A11,Features!$F$2:$F$671,"Served")</f>
        <v>0</v>
      </c>
      <c r="E11" s="6" t="n">
        <f aca="false">SUMIFS(Features!$H$2:$H$671,Features!$B$2:$B$671,A11)</f>
        <v>0</v>
      </c>
      <c r="F11" s="4" t="s">
        <v>1319</v>
      </c>
      <c r="G11" s="4" t="s">
        <v>1445</v>
      </c>
    </row>
    <row r="12" customFormat="false" ht="15" hidden="false" customHeight="false" outlineLevel="0" collapsed="false">
      <c r="A12" s="4" t="s">
        <v>1357</v>
      </c>
      <c r="B12" s="4" t="s">
        <v>6</v>
      </c>
      <c r="C12" s="4" t="n">
        <f aca="false">COUNTIFS(Features!$B$2:$B$671,A12)</f>
        <v>32</v>
      </c>
      <c r="D12" s="4" t="n">
        <f aca="false">COUNTIFS(Features!$B$2:$B$671,A12,Features!$F$2:$F$671,"Served")</f>
        <v>0</v>
      </c>
      <c r="E12" s="6" t="n">
        <f aca="false">SUMIFS(Features!$H$2:$H$671,Features!$B$2:$B$671,A12)</f>
        <v>0</v>
      </c>
      <c r="F12" s="4" t="s">
        <v>1360</v>
      </c>
      <c r="G12" s="4" t="s">
        <v>1446</v>
      </c>
    </row>
    <row r="13" customFormat="false" ht="15" hidden="false" customHeight="false" outlineLevel="0" collapsed="false">
      <c r="A13" s="4" t="s">
        <v>1424</v>
      </c>
      <c r="B13" s="4" t="s">
        <v>7</v>
      </c>
      <c r="C13" s="4" t="n">
        <f aca="false">COUNTIFS(Features!$B$2:$B$671,A13)</f>
        <v>4</v>
      </c>
      <c r="D13" s="4" t="n">
        <f aca="false">COUNTIFS(Features!$B$2:$B$671,A13,Features!$F$2:$F$671,"Served")</f>
        <v>0</v>
      </c>
      <c r="E13" s="6" t="n">
        <f aca="false">SUMIFS(Features!$H$2:$H$671,Features!$B$2:$B$671,A13)</f>
        <v>0</v>
      </c>
      <c r="F13" s="4" t="s">
        <v>128</v>
      </c>
      <c r="G13" s="4" t="s">
        <v>1447</v>
      </c>
    </row>
    <row r="14" customFormat="false" ht="15" hidden="false" customHeight="false" outlineLevel="0" collapsed="false">
      <c r="A14" s="5" t="s">
        <v>1448</v>
      </c>
      <c r="B14" s="5"/>
      <c r="C14" s="5" t="n">
        <f aca="false">SUM(C2:C13)</f>
        <v>670</v>
      </c>
      <c r="D14" s="5" t="n">
        <f aca="false">SUM(D2:D13)</f>
        <v>535</v>
      </c>
      <c r="E14" s="9" t="n">
        <f aca="false">SUM(E2:E13)</f>
        <v>1</v>
      </c>
      <c r="F14" s="5"/>
      <c r="G14" s="5"/>
    </row>
    <row r="15" customFormat="false" ht="15" hidden="false" customHeight="false" outlineLevel="0" collapsed="false">
      <c r="A15" s="4"/>
      <c r="B15" s="4"/>
      <c r="C15" s="4"/>
      <c r="D15" s="4"/>
      <c r="E15" s="6"/>
      <c r="F15" s="4"/>
      <c r="G15" s="4"/>
    </row>
    <row r="16" customFormat="false" ht="15" hidden="false" customHeight="false" outlineLevel="0" collapsed="false">
      <c r="A16" s="10" t="s">
        <v>1449</v>
      </c>
      <c r="B16" s="10"/>
      <c r="C16" s="10" t="s">
        <v>1434</v>
      </c>
      <c r="D16" s="10"/>
      <c r="E16" s="11"/>
      <c r="F16" s="10" t="s">
        <v>23</v>
      </c>
      <c r="G16" s="10" t="s">
        <v>1435</v>
      </c>
    </row>
    <row r="17" customFormat="false" ht="15" hidden="false" customHeight="false" outlineLevel="0" collapsed="false">
      <c r="A17" s="4" t="s">
        <v>1450</v>
      </c>
      <c r="B17" s="4" t="s">
        <v>1451</v>
      </c>
      <c r="C17" s="12" t="n">
        <v>7</v>
      </c>
      <c r="D17" s="4" t="n">
        <v>0</v>
      </c>
      <c r="E17" s="6"/>
      <c r="F17" s="4" t="s">
        <v>1452</v>
      </c>
      <c r="G17" s="4" t="s">
        <v>1453</v>
      </c>
    </row>
    <row r="18" customFormat="false" ht="15" hidden="false" customHeight="false" outlineLevel="0" collapsed="false">
      <c r="A18" s="4" t="s">
        <v>1454</v>
      </c>
      <c r="B18" s="4" t="s">
        <v>1451</v>
      </c>
      <c r="C18" s="12" t="n">
        <v>6</v>
      </c>
      <c r="D18" s="4" t="n">
        <v>0</v>
      </c>
      <c r="E18" s="6"/>
      <c r="F18" s="4" t="s">
        <v>1455</v>
      </c>
      <c r="G18" s="4" t="s">
        <v>1456</v>
      </c>
    </row>
    <row r="19" customFormat="false" ht="15" hidden="false" customHeight="false" outlineLevel="0" collapsed="false">
      <c r="A19" s="4" t="s">
        <v>1457</v>
      </c>
      <c r="B19" s="4" t="s">
        <v>1451</v>
      </c>
      <c r="C19" s="12" t="n">
        <v>10</v>
      </c>
      <c r="D19" s="4" t="n">
        <v>0</v>
      </c>
      <c r="E19" s="6"/>
      <c r="F19" s="4" t="s">
        <v>1458</v>
      </c>
      <c r="G19" s="4" t="s">
        <v>1456</v>
      </c>
    </row>
    <row r="20" customFormat="false" ht="15" hidden="false" customHeight="false" outlineLevel="0" collapsed="false">
      <c r="A20" s="4" t="s">
        <v>1459</v>
      </c>
      <c r="B20" s="4" t="s">
        <v>1451</v>
      </c>
      <c r="C20" s="12" t="n">
        <v>16</v>
      </c>
      <c r="D20" s="4" t="n">
        <v>0</v>
      </c>
      <c r="E20" s="6"/>
      <c r="F20" s="4" t="s">
        <v>1460</v>
      </c>
      <c r="G20" s="4" t="s">
        <v>1461</v>
      </c>
    </row>
    <row r="21" customFormat="false" ht="15" hidden="false" customHeight="false" outlineLevel="0" collapsed="false">
      <c r="A21" s="4" t="s">
        <v>1462</v>
      </c>
      <c r="B21" s="4" t="s">
        <v>1451</v>
      </c>
      <c r="C21" s="12" t="n">
        <v>7</v>
      </c>
      <c r="D21" s="4" t="n">
        <v>0</v>
      </c>
      <c r="E21" s="6"/>
      <c r="F21" s="4" t="s">
        <v>1463</v>
      </c>
      <c r="G21" s="4" t="s">
        <v>1464</v>
      </c>
    </row>
    <row r="22" customFormat="false" ht="15" hidden="false" customHeight="false" outlineLevel="0" collapsed="false">
      <c r="A22" s="4" t="s">
        <v>1465</v>
      </c>
      <c r="B22" s="4" t="s">
        <v>1451</v>
      </c>
      <c r="C22" s="12" t="n">
        <v>21</v>
      </c>
      <c r="D22" s="4" t="n">
        <v>0</v>
      </c>
      <c r="E22" s="6"/>
      <c r="F22" s="4" t="s">
        <v>1466</v>
      </c>
      <c r="G22" s="4" t="s">
        <v>1467</v>
      </c>
    </row>
    <row r="23" customFormat="false" ht="15" hidden="false" customHeight="false" outlineLevel="0" collapsed="false">
      <c r="A23" s="4" t="s">
        <v>1468</v>
      </c>
      <c r="B23" s="4" t="s">
        <v>1451</v>
      </c>
      <c r="C23" s="12" t="n">
        <v>30</v>
      </c>
      <c r="D23" s="4" t="n">
        <v>0</v>
      </c>
      <c r="E23" s="6"/>
      <c r="F23" s="4" t="s">
        <v>1469</v>
      </c>
      <c r="G23" s="4" t="s">
        <v>1470</v>
      </c>
    </row>
    <row r="24" customFormat="false" ht="15" hidden="false" customHeight="false" outlineLevel="0" collapsed="false">
      <c r="A24" s="4" t="s">
        <v>1471</v>
      </c>
      <c r="B24" s="4" t="s">
        <v>1451</v>
      </c>
      <c r="C24" s="12" t="n">
        <v>18</v>
      </c>
      <c r="D24" s="4" t="n">
        <v>0</v>
      </c>
      <c r="E24" s="6"/>
      <c r="F24" s="4" t="s">
        <v>1472</v>
      </c>
      <c r="G24" s="4" t="s">
        <v>1473</v>
      </c>
    </row>
    <row r="25" customFormat="false" ht="15" hidden="false" customHeight="false" outlineLevel="0" collapsed="false">
      <c r="A25" s="4" t="s">
        <v>1474</v>
      </c>
      <c r="B25" s="4" t="s">
        <v>1451</v>
      </c>
      <c r="C25" s="12" t="n">
        <v>16</v>
      </c>
      <c r="D25" s="4" t="n">
        <v>0</v>
      </c>
      <c r="E25" s="6"/>
      <c r="F25" s="4" t="s">
        <v>1475</v>
      </c>
      <c r="G25" s="4" t="s">
        <v>1476</v>
      </c>
    </row>
    <row r="26" customFormat="false" ht="15" hidden="false" customHeight="false" outlineLevel="0" collapsed="false">
      <c r="A26" s="4" t="s">
        <v>1477</v>
      </c>
      <c r="B26" s="4" t="s">
        <v>1451</v>
      </c>
      <c r="C26" s="12" t="n">
        <v>16</v>
      </c>
      <c r="D26" s="4" t="n">
        <v>0</v>
      </c>
      <c r="E26" s="6"/>
      <c r="F26" s="4" t="s">
        <v>1478</v>
      </c>
      <c r="G26" s="4" t="s">
        <v>1479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3" t="s">
        <v>1480</v>
      </c>
      <c r="B1" s="3" t="s">
        <v>1481</v>
      </c>
      <c r="C1" s="3" t="s">
        <v>1482</v>
      </c>
      <c r="D1" s="3" t="s">
        <v>1483</v>
      </c>
      <c r="E1" s="3" t="s">
        <v>1484</v>
      </c>
      <c r="F1" s="3" t="s">
        <v>1485</v>
      </c>
      <c r="G1" s="3" t="s">
        <v>1486</v>
      </c>
    </row>
    <row r="2" customFormat="false" ht="15" hidden="false" customHeight="false" outlineLevel="0" collapsed="false">
      <c r="A2" s="13" t="s">
        <v>1487</v>
      </c>
      <c r="B2" s="13" t="s">
        <v>1488</v>
      </c>
      <c r="C2" s="13" t="s">
        <v>1489</v>
      </c>
      <c r="D2" s="13" t="s">
        <v>1490</v>
      </c>
      <c r="E2" s="13" t="s">
        <v>1491</v>
      </c>
      <c r="F2" s="13" t="s">
        <v>1492</v>
      </c>
      <c r="G2" s="13" t="s">
        <v>14</v>
      </c>
    </row>
    <row r="3" customFormat="false" ht="15" hidden="false" customHeight="false" outlineLevel="0" collapsed="false">
      <c r="A3" s="13" t="s">
        <v>1493</v>
      </c>
      <c r="B3" s="13" t="s">
        <v>1494</v>
      </c>
      <c r="C3" s="13" t="s">
        <v>1489</v>
      </c>
      <c r="D3" s="13" t="s">
        <v>1495</v>
      </c>
      <c r="E3" s="13" t="s">
        <v>1491</v>
      </c>
      <c r="F3" s="13" t="s">
        <v>1496</v>
      </c>
      <c r="G3" s="13" t="s">
        <v>13</v>
      </c>
    </row>
    <row r="4" customFormat="false" ht="15" hidden="false" customHeight="false" outlineLevel="0" collapsed="false">
      <c r="A4" s="13" t="s">
        <v>1497</v>
      </c>
      <c r="B4" s="13" t="s">
        <v>1498</v>
      </c>
      <c r="C4" s="13" t="s">
        <v>1489</v>
      </c>
      <c r="D4" s="13" t="s">
        <v>1499</v>
      </c>
      <c r="E4" s="13" t="s">
        <v>1500</v>
      </c>
      <c r="F4" s="13" t="s">
        <v>1501</v>
      </c>
      <c r="G4" s="13" t="s">
        <v>15</v>
      </c>
    </row>
    <row r="5" customFormat="false" ht="23.85" hidden="false" customHeight="false" outlineLevel="0" collapsed="false">
      <c r="A5" s="13" t="s">
        <v>1502</v>
      </c>
      <c r="B5" s="13" t="s">
        <v>1503</v>
      </c>
      <c r="C5" s="13" t="s">
        <v>1504</v>
      </c>
      <c r="D5" s="13" t="s">
        <v>1505</v>
      </c>
      <c r="E5" s="13" t="s">
        <v>1500</v>
      </c>
      <c r="F5" s="13" t="s">
        <v>1506</v>
      </c>
      <c r="G5" s="13" t="s">
        <v>12</v>
      </c>
    </row>
    <row r="6" customFormat="false" ht="15" hidden="false" customHeight="false" outlineLevel="0" collapsed="false">
      <c r="A6" s="13" t="s">
        <v>1507</v>
      </c>
      <c r="B6" s="13" t="s">
        <v>1508</v>
      </c>
      <c r="C6" s="13" t="s">
        <v>1509</v>
      </c>
      <c r="D6" s="13" t="s">
        <v>1510</v>
      </c>
      <c r="E6" s="13" t="s">
        <v>1491</v>
      </c>
      <c r="F6" s="13" t="s">
        <v>1511</v>
      </c>
      <c r="G6" s="13" t="s">
        <v>14</v>
      </c>
    </row>
    <row r="7" customFormat="false" ht="15" hidden="false" customHeight="false" outlineLevel="0" collapsed="false">
      <c r="A7" s="13" t="s">
        <v>1512</v>
      </c>
      <c r="B7" s="13" t="s">
        <v>1513</v>
      </c>
      <c r="C7" s="13" t="s">
        <v>1509</v>
      </c>
      <c r="D7" s="13" t="s">
        <v>1514</v>
      </c>
      <c r="E7" s="13" t="s">
        <v>1491</v>
      </c>
      <c r="F7" s="13" t="s">
        <v>1496</v>
      </c>
      <c r="G7" s="13" t="s">
        <v>13</v>
      </c>
    </row>
    <row r="8" customFormat="false" ht="15" hidden="false" customHeight="false" outlineLevel="0" collapsed="false">
      <c r="A8" s="13" t="s">
        <v>1515</v>
      </c>
      <c r="B8" s="13" t="s">
        <v>1516</v>
      </c>
      <c r="C8" s="13" t="s">
        <v>1517</v>
      </c>
      <c r="D8" s="13" t="s">
        <v>1518</v>
      </c>
      <c r="E8" s="13" t="s">
        <v>1491</v>
      </c>
      <c r="F8" s="13" t="s">
        <v>1519</v>
      </c>
      <c r="G8" s="13" t="s">
        <v>14</v>
      </c>
    </row>
    <row r="9" customFormat="false" ht="23.85" hidden="false" customHeight="false" outlineLevel="0" collapsed="false">
      <c r="A9" s="13" t="s">
        <v>1520</v>
      </c>
      <c r="B9" s="13" t="s">
        <v>1521</v>
      </c>
      <c r="C9" s="13" t="s">
        <v>1517</v>
      </c>
      <c r="D9" s="13" t="s">
        <v>1522</v>
      </c>
      <c r="E9" s="13" t="s">
        <v>1523</v>
      </c>
      <c r="F9" s="13" t="s">
        <v>1524</v>
      </c>
      <c r="G9" s="13" t="s">
        <v>13</v>
      </c>
    </row>
    <row r="10" customFormat="false" ht="15" hidden="false" customHeight="false" outlineLevel="0" collapsed="false">
      <c r="A10" s="13" t="s">
        <v>1525</v>
      </c>
      <c r="B10" s="13" t="s">
        <v>1526</v>
      </c>
      <c r="C10" s="13" t="s">
        <v>1489</v>
      </c>
      <c r="D10" s="13" t="s">
        <v>1527</v>
      </c>
      <c r="E10" s="13" t="s">
        <v>1491</v>
      </c>
      <c r="F10" s="13" t="s">
        <v>1528</v>
      </c>
      <c r="G10" s="13" t="s">
        <v>13</v>
      </c>
    </row>
    <row r="11" customFormat="false" ht="15" hidden="false" customHeight="false" outlineLevel="0" collapsed="false">
      <c r="A11" s="13" t="s">
        <v>1529</v>
      </c>
      <c r="B11" s="13" t="s">
        <v>1530</v>
      </c>
      <c r="C11" s="13" t="s">
        <v>1531</v>
      </c>
      <c r="D11" s="13" t="s">
        <v>1532</v>
      </c>
      <c r="E11" s="13" t="s">
        <v>1491</v>
      </c>
      <c r="F11" s="13" t="s">
        <v>1533</v>
      </c>
      <c r="G11" s="13" t="s">
        <v>14</v>
      </c>
    </row>
    <row r="12" customFormat="false" ht="15" hidden="false" customHeight="false" outlineLevel="0" collapsed="false">
      <c r="A12" s="13" t="s">
        <v>1534</v>
      </c>
      <c r="B12" s="13" t="s">
        <v>1535</v>
      </c>
      <c r="C12" s="13" t="s">
        <v>1536</v>
      </c>
      <c r="D12" s="13" t="s">
        <v>1537</v>
      </c>
      <c r="E12" s="13" t="s">
        <v>1491</v>
      </c>
      <c r="F12" s="13" t="s">
        <v>1538</v>
      </c>
      <c r="G12" s="13" t="s">
        <v>14</v>
      </c>
    </row>
    <row r="13" customFormat="false" ht="15" hidden="false" customHeight="false" outlineLevel="0" collapsed="false">
      <c r="A13" s="13" t="s">
        <v>1539</v>
      </c>
      <c r="B13" s="13" t="s">
        <v>1540</v>
      </c>
      <c r="C13" s="13" t="s">
        <v>1541</v>
      </c>
      <c r="D13" s="13" t="s">
        <v>1542</v>
      </c>
      <c r="E13" s="13" t="s">
        <v>1491</v>
      </c>
      <c r="F13" s="13" t="s">
        <v>1543</v>
      </c>
      <c r="G13" s="13" t="s">
        <v>14</v>
      </c>
    </row>
    <row r="14" customFormat="false" ht="15" hidden="false" customHeight="false" outlineLevel="0" collapsed="false">
      <c r="A14" s="13" t="s">
        <v>1544</v>
      </c>
      <c r="B14" s="13" t="s">
        <v>1545</v>
      </c>
      <c r="C14" s="13" t="s">
        <v>1541</v>
      </c>
      <c r="D14" s="13" t="s">
        <v>1546</v>
      </c>
      <c r="E14" s="13" t="s">
        <v>1491</v>
      </c>
      <c r="F14" s="13" t="s">
        <v>1547</v>
      </c>
      <c r="G14" s="13" t="s">
        <v>14</v>
      </c>
    </row>
    <row r="15" customFormat="false" ht="15" hidden="false" customHeight="false" outlineLevel="0" collapsed="false">
      <c r="A15" s="13" t="s">
        <v>1548</v>
      </c>
      <c r="B15" s="13" t="s">
        <v>1549</v>
      </c>
      <c r="C15" s="13" t="s">
        <v>1550</v>
      </c>
      <c r="D15" s="13" t="s">
        <v>1551</v>
      </c>
      <c r="E15" s="13" t="s">
        <v>1491</v>
      </c>
      <c r="F15" s="13" t="s">
        <v>1552</v>
      </c>
      <c r="G15" s="13" t="s">
        <v>14</v>
      </c>
    </row>
    <row r="16" customFormat="false" ht="15" hidden="false" customHeight="false" outlineLevel="0" collapsed="false">
      <c r="A16" s="13" t="s">
        <v>1553</v>
      </c>
      <c r="B16" s="13" t="s">
        <v>1554</v>
      </c>
      <c r="C16" s="13" t="s">
        <v>1550</v>
      </c>
      <c r="D16" s="13" t="s">
        <v>1555</v>
      </c>
      <c r="E16" s="13" t="s">
        <v>1491</v>
      </c>
      <c r="F16" s="13" t="s">
        <v>1556</v>
      </c>
      <c r="G16" s="13" t="s">
        <v>14</v>
      </c>
    </row>
    <row r="17" customFormat="false" ht="15" hidden="false" customHeight="false" outlineLevel="0" collapsed="false">
      <c r="A17" s="13" t="s">
        <v>1557</v>
      </c>
      <c r="B17" s="13" t="s">
        <v>1558</v>
      </c>
      <c r="C17" s="13" t="s">
        <v>1489</v>
      </c>
      <c r="D17" s="13" t="s">
        <v>1559</v>
      </c>
      <c r="E17" s="13" t="s">
        <v>1491</v>
      </c>
      <c r="F17" s="13" t="s">
        <v>1556</v>
      </c>
      <c r="G17" s="13" t="s">
        <v>14</v>
      </c>
    </row>
    <row r="18" customFormat="false" ht="15" hidden="false" customHeight="false" outlineLevel="0" collapsed="false">
      <c r="A18" s="13" t="s">
        <v>1560</v>
      </c>
      <c r="B18" s="13" t="s">
        <v>1561</v>
      </c>
      <c r="C18" s="13" t="s">
        <v>1489</v>
      </c>
      <c r="D18" s="13" t="s">
        <v>1562</v>
      </c>
      <c r="E18" s="13" t="s">
        <v>1491</v>
      </c>
      <c r="F18" s="13" t="s">
        <v>1563</v>
      </c>
      <c r="G18" s="13" t="s">
        <v>14</v>
      </c>
    </row>
    <row r="19" customFormat="false" ht="15" hidden="false" customHeight="false" outlineLevel="0" collapsed="false">
      <c r="A19" s="13" t="s">
        <v>1564</v>
      </c>
      <c r="B19" s="13" t="s">
        <v>1565</v>
      </c>
      <c r="C19" s="13" t="s">
        <v>1566</v>
      </c>
      <c r="D19" s="13" t="s">
        <v>1567</v>
      </c>
      <c r="E19" s="13" t="s">
        <v>1491</v>
      </c>
      <c r="F19" s="13" t="s">
        <v>1568</v>
      </c>
      <c r="G19" s="13" t="s">
        <v>13</v>
      </c>
    </row>
    <row r="20" customFormat="false" ht="15" hidden="false" customHeight="false" outlineLevel="0" collapsed="false">
      <c r="A20" s="13" t="s">
        <v>1569</v>
      </c>
      <c r="B20" s="13" t="s">
        <v>1570</v>
      </c>
      <c r="C20" s="13" t="s">
        <v>1566</v>
      </c>
      <c r="D20" s="13" t="s">
        <v>1571</v>
      </c>
      <c r="E20" s="13" t="s">
        <v>1491</v>
      </c>
      <c r="F20" s="13" t="s">
        <v>1572</v>
      </c>
      <c r="G20" s="13" t="s">
        <v>14</v>
      </c>
    </row>
    <row r="21" customFormat="false" ht="15" hidden="false" customHeight="false" outlineLevel="0" collapsed="false">
      <c r="A21" s="13" t="s">
        <v>1573</v>
      </c>
      <c r="B21" s="13" t="s">
        <v>1574</v>
      </c>
      <c r="C21" s="13" t="s">
        <v>1504</v>
      </c>
      <c r="D21" s="13" t="s">
        <v>1575</v>
      </c>
      <c r="E21" s="13" t="s">
        <v>1491</v>
      </c>
      <c r="F21" s="13" t="s">
        <v>1496</v>
      </c>
      <c r="G21" s="13" t="s">
        <v>13</v>
      </c>
    </row>
    <row r="22" customFormat="false" ht="15" hidden="false" customHeight="false" outlineLevel="0" collapsed="false">
      <c r="A22" s="13" t="s">
        <v>1576</v>
      </c>
      <c r="B22" s="13" t="s">
        <v>1577</v>
      </c>
      <c r="C22" s="13" t="s">
        <v>1578</v>
      </c>
      <c r="D22" s="13" t="s">
        <v>1579</v>
      </c>
      <c r="E22" s="13" t="s">
        <v>1491</v>
      </c>
      <c r="F22" s="13" t="s">
        <v>1580</v>
      </c>
      <c r="G22" s="13" t="s">
        <v>13</v>
      </c>
    </row>
    <row r="23" customFormat="false" ht="23.85" hidden="false" customHeight="false" outlineLevel="0" collapsed="false">
      <c r="A23" s="13" t="s">
        <v>1581</v>
      </c>
      <c r="B23" s="13" t="s">
        <v>1582</v>
      </c>
      <c r="C23" s="13" t="s">
        <v>1536</v>
      </c>
      <c r="D23" s="13" t="s">
        <v>1583</v>
      </c>
      <c r="E23" s="13" t="s">
        <v>1491</v>
      </c>
      <c r="F23" s="13" t="s">
        <v>1584</v>
      </c>
      <c r="G23" s="13" t="s">
        <v>13</v>
      </c>
    </row>
    <row r="24" customFormat="false" ht="23.85" hidden="false" customHeight="false" outlineLevel="0" collapsed="false">
      <c r="A24" s="13" t="s">
        <v>1585</v>
      </c>
      <c r="B24" s="13" t="s">
        <v>1586</v>
      </c>
      <c r="C24" s="13" t="s">
        <v>1536</v>
      </c>
      <c r="D24" s="13" t="s">
        <v>1587</v>
      </c>
      <c r="E24" s="13" t="s">
        <v>1491</v>
      </c>
      <c r="F24" s="13" t="s">
        <v>1588</v>
      </c>
      <c r="G24" s="13" t="s">
        <v>12</v>
      </c>
    </row>
    <row r="25" customFormat="false" ht="15" hidden="false" customHeight="false" outlineLevel="0" collapsed="false">
      <c r="A25" s="13" t="s">
        <v>1589</v>
      </c>
      <c r="B25" s="13" t="s">
        <v>1590</v>
      </c>
      <c r="C25" s="13" t="s">
        <v>1489</v>
      </c>
      <c r="D25" s="13" t="s">
        <v>1591</v>
      </c>
      <c r="E25" s="13" t="s">
        <v>1491</v>
      </c>
      <c r="F25" s="13" t="s">
        <v>1592</v>
      </c>
      <c r="G25" s="13" t="s">
        <v>12</v>
      </c>
    </row>
    <row r="26" customFormat="false" ht="23.85" hidden="false" customHeight="false" outlineLevel="0" collapsed="false">
      <c r="A26" s="13" t="s">
        <v>1593</v>
      </c>
      <c r="B26" s="13" t="s">
        <v>1594</v>
      </c>
      <c r="C26" s="13" t="s">
        <v>1595</v>
      </c>
      <c r="D26" s="13" t="s">
        <v>1596</v>
      </c>
      <c r="E26" s="13" t="s">
        <v>1491</v>
      </c>
      <c r="F26" s="13" t="s">
        <v>1597</v>
      </c>
      <c r="G26" s="13" t="s">
        <v>12</v>
      </c>
    </row>
    <row r="27" customFormat="false" ht="15" hidden="false" customHeight="false" outlineLevel="0" collapsed="false">
      <c r="A27" s="13" t="s">
        <v>1598</v>
      </c>
      <c r="B27" s="13" t="s">
        <v>1599</v>
      </c>
      <c r="C27" s="13" t="s">
        <v>1489</v>
      </c>
      <c r="D27" s="13" t="s">
        <v>1600</v>
      </c>
      <c r="E27" s="13" t="s">
        <v>1601</v>
      </c>
      <c r="F27" s="13" t="s">
        <v>1602</v>
      </c>
      <c r="G27" s="13" t="s">
        <v>13</v>
      </c>
    </row>
    <row r="28" customFormat="false" ht="15" hidden="false" customHeight="false" outlineLevel="0" collapsed="false">
      <c r="A28" s="13" t="s">
        <v>1603</v>
      </c>
      <c r="B28" s="13" t="s">
        <v>1604</v>
      </c>
      <c r="C28" s="13" t="s">
        <v>1536</v>
      </c>
      <c r="D28" s="13" t="s">
        <v>1605</v>
      </c>
      <c r="E28" s="13" t="s">
        <v>1491</v>
      </c>
      <c r="F28" s="13" t="s">
        <v>1606</v>
      </c>
      <c r="G28" s="13" t="s">
        <v>13</v>
      </c>
    </row>
    <row r="29" customFormat="false" ht="23.85" hidden="false" customHeight="false" outlineLevel="0" collapsed="false">
      <c r="A29" s="13" t="s">
        <v>1607</v>
      </c>
      <c r="B29" s="13" t="s">
        <v>1608</v>
      </c>
      <c r="C29" s="13" t="s">
        <v>1517</v>
      </c>
      <c r="D29" s="13" t="s">
        <v>1609</v>
      </c>
      <c r="E29" s="13" t="s">
        <v>1523</v>
      </c>
      <c r="F29" s="13" t="s">
        <v>1610</v>
      </c>
      <c r="G29" s="13" t="s">
        <v>14</v>
      </c>
    </row>
    <row r="30" customFormat="false" ht="15" hidden="false" customHeight="false" outlineLevel="0" collapsed="false">
      <c r="A30" s="13" t="s">
        <v>1611</v>
      </c>
      <c r="B30" s="13" t="s">
        <v>1612</v>
      </c>
      <c r="C30" s="13" t="s">
        <v>1613</v>
      </c>
      <c r="D30" s="13" t="s">
        <v>1614</v>
      </c>
      <c r="E30" s="13" t="s">
        <v>1491</v>
      </c>
      <c r="F30" s="13" t="s">
        <v>1615</v>
      </c>
      <c r="G30" s="13" t="s">
        <v>13</v>
      </c>
    </row>
    <row r="31" customFormat="false" ht="15" hidden="false" customHeight="false" outlineLevel="0" collapsed="false">
      <c r="A31" s="13" t="s">
        <v>1616</v>
      </c>
      <c r="B31" s="13" t="s">
        <v>1617</v>
      </c>
      <c r="C31" s="13" t="s">
        <v>1618</v>
      </c>
      <c r="D31" s="13" t="s">
        <v>1619</v>
      </c>
      <c r="E31" s="13" t="s">
        <v>1620</v>
      </c>
      <c r="F31" s="13" t="s">
        <v>1621</v>
      </c>
      <c r="G31" s="13" t="s">
        <v>12</v>
      </c>
    </row>
    <row r="32" customFormat="false" ht="15" hidden="false" customHeight="false" outlineLevel="0" collapsed="false">
      <c r="A32" s="13" t="s">
        <v>1622</v>
      </c>
      <c r="B32" s="13" t="s">
        <v>1623</v>
      </c>
      <c r="C32" s="13" t="s">
        <v>1624</v>
      </c>
      <c r="D32" s="13" t="s">
        <v>1625</v>
      </c>
      <c r="E32" s="13" t="s">
        <v>1620</v>
      </c>
      <c r="F32" s="13" t="s">
        <v>1626</v>
      </c>
      <c r="G32" s="13" t="s">
        <v>14</v>
      </c>
    </row>
    <row r="33" customFormat="false" ht="15" hidden="false" customHeight="false" outlineLevel="0" collapsed="false">
      <c r="A33" s="13" t="s">
        <v>1627</v>
      </c>
      <c r="B33" s="13" t="s">
        <v>1628</v>
      </c>
      <c r="C33" s="13" t="s">
        <v>1624</v>
      </c>
      <c r="D33" s="13" t="s">
        <v>1629</v>
      </c>
      <c r="E33" s="13" t="s">
        <v>1620</v>
      </c>
      <c r="F33" s="13" t="s">
        <v>1630</v>
      </c>
      <c r="G33" s="13" t="s">
        <v>14</v>
      </c>
    </row>
    <row r="34" customFormat="false" ht="15" hidden="false" customHeight="false" outlineLevel="0" collapsed="false">
      <c r="A34" s="13" t="s">
        <v>1631</v>
      </c>
      <c r="B34" s="13" t="s">
        <v>1632</v>
      </c>
      <c r="C34" s="13" t="s">
        <v>1624</v>
      </c>
      <c r="D34" s="13" t="s">
        <v>1633</v>
      </c>
      <c r="E34" s="13" t="s">
        <v>1620</v>
      </c>
      <c r="F34" s="13" t="s">
        <v>1634</v>
      </c>
      <c r="G34" s="13" t="s">
        <v>14</v>
      </c>
    </row>
    <row r="35" customFormat="false" ht="23.85" hidden="false" customHeight="false" outlineLevel="0" collapsed="false">
      <c r="A35" s="13" t="s">
        <v>1635</v>
      </c>
      <c r="B35" s="13" t="s">
        <v>1636</v>
      </c>
      <c r="C35" s="13" t="s">
        <v>1595</v>
      </c>
      <c r="D35" s="13" t="s">
        <v>1637</v>
      </c>
      <c r="E35" s="13" t="s">
        <v>1638</v>
      </c>
      <c r="F35" s="13" t="s">
        <v>1639</v>
      </c>
      <c r="G35" s="13" t="s">
        <v>16</v>
      </c>
    </row>
  </sheetData>
  <autoFilter ref="A1:G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2026-09-25T08:21:36Z</dcterms:created>
  <dc:creator>openpyxl</dc:creator>
  <dc:description/>
  <dc:language>en-US</dc:language>
  <cp:lastModifiedBy/>
  <dcterms:modified xsi:type="dcterms:W3CDTF">2026-09-25T08:21:36Z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