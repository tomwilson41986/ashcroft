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Features!$A$1:$J$1122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(615 features, trained through 2026-09-22, feature hash f879b10c8369467a).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1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<sst xmlns="http://schemas.openxmlformats.org/spreadsheetml/2006/main" count="8287" uniqueCount="2602">
  <si>
    <t xml:space="preserve">Ashcroft price model: feature inventory</t>
  </si>
  <si>
    <t xml:space="preserve">Gain from the served model (615 features, trained through 2026-09-22, feature hash f879b10c8369467a).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</si>
  <si>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</si>
  <si>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</si>
  <si>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</si>
  <si>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</si>
  <si>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</si>
  <si>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</si>
  <si>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</si>
  <si>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</si>
  <si>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</si>
  <si>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</si>
  <si>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</si>
  <si>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</si>
  <si>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</si>
  <si>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</si>
  <si>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</si>
  <si>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</si>
  <si>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</si>
  <si>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</si>
  <si>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</si>
  <si>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</si>
  <si>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</si>
  <si>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</si>
  <si>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</si>
  <si>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</si>
  <si>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</si>
  <si>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</si>
  <si>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</si>
  <si>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</si>
  <si>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</si>
  <si>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</si>
  <si>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</si>
  <si>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</si>
  <si>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</si>
  <si>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</si>
  <si>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</si>
  <si>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</si>
  <si>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</si>
  <si>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</si>
  <si>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</si>
  <si>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</si>
  <si>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</si>
  <si>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</si>
  <si>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</si>
  <si>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</si>
  <si>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</si>
  <si>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fw_mkt_w3</t>
  </si>
  <si>
    <t xml:space="preserve">Form windows</t>
  </si>
  <si>
    <t xml:space="preserve">Every measure over seven windows</t>
  </si>
  <si>
    <t xml:space="preserve">The market's view, log(N x BSP chance): last 3 runs weighted 3-2-1 by recency (earlier days only)</t>
  </si>
  <si>
    <t xml:space="preserve">model/form_windows.py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</si>
  <si>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</si>
  <si>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</si>
  <si>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</si>
  <si>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</si>
  <si>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</si>
  <si>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</si>
  <si>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fw_lbs_w3</t>
  </si>
  <si>
    <t xml:space="preserve">Pounds beaten at the trip (capped 20): last 3 runs weighted 3-2-1 by recency (earlier days only)</t>
  </si>
  <si>
    <t xml:space="preserve">or_vs_max</t>
  </si>
  <si>
    <t xml:space="preserve">Official rating less the race's highest</t>
  </si>
  <si>
    <t xml:space="preserve">median_or_num</t>
  </si>
  <si>
    <t xml:space="preserve">Median official rating in the race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</si>
  <si>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</si>
  <si>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</si>
  <si>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</si>
  <si>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fw_lbs_l1</t>
  </si>
  <si>
    <t xml:space="preserve">Pounds beaten at the trip (capped 20): last run (earlier days only)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</si>
  <si>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</si>
  <si>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</si>
  <si>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</si>
  <si>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</si>
  <si>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</si>
  <si>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</si>
  <si>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</si>
  <si>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</si>
  <si>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LR5_RWO</t>
  </si>
  <si>
    <t xml:space="preserve">Harmonic-weighted mean ORR2 over the last 5 runs</t>
  </si>
  <si>
    <t xml:space="preserve">rORR2LR</t>
  </si>
  <si>
    <t xml:space="preserve">Within-race rank (1 = highest in the field) of LR_ORR2: market rating (runners / BSP) in the last run</t>
  </si>
  <si>
    <t xml:space="preserve">LR3_RWO</t>
  </si>
  <si>
    <t xml:space="preserve">Harmonic-weighted mean ORR2 over the last 3 runs</t>
  </si>
  <si>
    <t xml:space="preserve">LR10_RWO</t>
  </si>
  <si>
    <t xml:space="preserve">Harmonic-weighted mean ORR2 over the last 10 runs</t>
  </si>
  <si>
    <t xml:space="preserve">fw_lbs_w5</t>
  </si>
  <si>
    <t xml:space="preserve">Pounds beaten at the trip (capped 20): last 5 runs weighted 5..1 by recency (earlier days only)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</si>
  <si>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</si>
  <si>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</si>
  <si>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fw_mkt_l1</t>
  </si>
  <si>
    <t xml:space="preserve">The market's view, log(N x BSP chance): last run (earlier days only)</t>
  </si>
  <si>
    <t xml:space="preserve">rRWOLR10</t>
  </si>
  <si>
    <t xml:space="preserve">Within-race rank (1 = highest in the field) of LR10_RWO: harmonic-weighted mean ORR2 over the last 10 runs</t>
  </si>
  <si>
    <t xml:space="preserve">rPFD10</t>
  </si>
  <si>
    <t xml:space="preserve">Within-race rank (1 = highest in the field) of PFD10: recency-weighted (BSP probability - 1/runners) over the last 10 runs</t>
  </si>
  <si>
    <t xml:space="preserve">rRWOLR3</t>
  </si>
  <si>
    <t xml:space="preserve">Within-race rank (1 = highest in the field) of LR3_RWO: harmonic-weighted mean ORR2 over the last 3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</si>
  <si>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</si>
  <si>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</si>
  <si>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</si>
  <si>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</si>
  <si>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</si>
  <si>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</si>
  <si>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</si>
  <si>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</si>
  <si>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</si>
  <si>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</si>
  <si>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Race strength</t>
  </si>
  <si>
    <t xml:space="preserve">Field's mean career RB (race strength)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</si>
  <si>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</si>
  <si>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</si>
  <si>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</si>
  <si>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rTrainerSR14d</t>
  </si>
  <si>
    <t xml:space="preserve">Within-race rank (1 = highest in the field) of trainer_sr_14d: trainer's strike rate, last 14 days</t>
  </si>
  <si>
    <t xml:space="preserve">LR_RACE_RB</t>
  </si>
  <si>
    <t xml:space="preserve">Strength (mean career RB) of the field in the last run</t>
  </si>
  <si>
    <t xml:space="preserve">jockeyLRIrank</t>
  </si>
  <si>
    <t xml:space="preserve">Within-race rank (1 = highest in the field) of totalLRPjockeyindex: jockey's last-run placing index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</si>
  <si>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</si>
  <si>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</si>
  <si>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</si>
  <si>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</si>
  <si>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fr_gap_rel_race</t>
  </si>
  <si>
    <t xml:space="preserve">Today's log gap less the field's mean</t>
  </si>
  <si>
    <t xml:space="preserve">rRWOLR5</t>
  </si>
  <si>
    <t xml:space="preserve">Within-race rank (1 = highest in the field) of LR5_RWO: harmonic-weighted mean ORR2 over the last 5 runs</t>
  </si>
  <si>
    <t xml:space="preserve">rOFS3</t>
  </si>
  <si>
    <t xml:space="preserve">Within-race rank (1 = highest in the field) of OFS3: recency-weighted odds x field size, last 3 runs</t>
  </si>
  <si>
    <t xml:space="preserve">PMW3</t>
  </si>
  <si>
    <t xml:space="preserve">Performance-adjusted prize money (prize x RB^2), recency-weighted, last 3 runs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</si>
  <si>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</si>
  <si>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</si>
  <si>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</si>
  <si>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</si>
  <si>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</si>
  <si>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</si>
  <si>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</si>
  <si>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</si>
  <si>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fr_days_since_placed</t>
  </si>
  <si>
    <t xml:space="preserve">Days since the last top-three finish</t>
  </si>
  <si>
    <t xml:space="preserve">career_runs_num</t>
  </si>
  <si>
    <t xml:space="preserve">Career runs before today</t>
  </si>
  <si>
    <t xml:space="preserve">days_since_lr_num</t>
  </si>
  <si>
    <t xml:space="preserve">HRB's days since the last run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</si>
  <si>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</si>
  <si>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</si>
  <si>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</si>
  <si>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</si>
  <si>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</si>
  <si>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RACE_WOA</t>
  </si>
  <si>
    <t xml:space="preserve">Field's mean career WOA</t>
  </si>
  <si>
    <t xml:space="preserve">fr_gap_vs_usual</t>
  </si>
  <si>
    <t xml:space="preserve">Today's log gap less the usual (+ longer break than usual)</t>
  </si>
  <si>
    <t xml:space="preserve">horse_age_num</t>
  </si>
  <si>
    <t xml:space="preserve">Age</t>
  </si>
  <si>
    <t xml:space="preserve">weight_vs_avg</t>
  </si>
  <si>
    <t xml:space="preserve">Weight carried</t>
  </si>
  <si>
    <t xml:space="preserve">Weight carried less the field's mean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</si>
  <si>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</si>
  <si>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</si>
  <si>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or_vs_median</t>
  </si>
  <si>
    <t xml:space="preserve">Official rating less the race's median</t>
  </si>
  <si>
    <t xml:space="preserve">trainer_track_win_rate</t>
  </si>
  <si>
    <t xml:space="preserve">Course form</t>
  </si>
  <si>
    <t xml:space="preserve">Trainer's strike rate at the course</t>
  </si>
  <si>
    <t xml:space="preserve">trainer_sr_30d</t>
  </si>
  <si>
    <t xml:space="preserve">Trainer and jockey recent form</t>
  </si>
  <si>
    <t xml:space="preserve">Trainer's strike rate, last 30 days</t>
  </si>
  <si>
    <t xml:space="preserve">debut_x_trainer_wiv</t>
  </si>
  <si>
    <t xml:space="preserve">Pedigree (sire, damsire)</t>
  </si>
  <si>
    <t xml:space="preserve">Debutant x trainer's WIV</t>
  </si>
  <si>
    <t xml:space="preserve">max_or_race</t>
  </si>
  <si>
    <t xml:space="preserve">Highest official rating in the race</t>
  </si>
  <si>
    <t xml:space="preserve">preracetrainercareerWIV</t>
  </si>
  <si>
    <t xml:space="preserve">Trainer career</t>
  </si>
  <si>
    <t xml:space="preserve">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</si>
  <si>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</si>
  <si>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</si>
  <si>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RACE_WPMRF</t>
  </si>
  <si>
    <t xml:space="preserve">Today's race's total prize money</t>
  </si>
  <si>
    <t xml:space="preserve">RACE_WIV</t>
  </si>
  <si>
    <t xml:space="preserve">Field's mean career WIV</t>
  </si>
  <si>
    <t xml:space="preserve">fw_perf_l1_vs_or</t>
  </si>
  <si>
    <t xml:space="preserve">Performance figure (last run) less today's official rating (+ = well in)</t>
  </si>
  <si>
    <t xml:space="preserve">preracetrainercareerCWO</t>
  </si>
  <si>
    <t xml:space="preserve">Trainer's career cumulative wins above chance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</si>
  <si>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</si>
  <si>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</si>
  <si>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</si>
  <si>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</si>
  <si>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</si>
  <si>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fr_gap_vs_trainer</t>
  </si>
  <si>
    <t xml:space="preserve">Today's log gap less the yard's usual gap</t>
  </si>
  <si>
    <t xml:space="preserve">rOFS10</t>
  </si>
  <si>
    <t xml:space="preserve">Within-race rank (1 = highest in the field) of OFS10: recency-weighted odds x field size, last 10 runs</t>
  </si>
  <si>
    <t xml:space="preserve">course_avg_nfp</t>
  </si>
  <si>
    <t xml:space="preserve">Unexposure (new conditions)</t>
  </si>
  <si>
    <t xml:space="preserve">Mean NFP at the course</t>
  </si>
  <si>
    <t xml:space="preserve">preracetrainercareerWAX</t>
  </si>
  <si>
    <t xml:space="preserve">Trainer's career wins above chance per run (won - 1/runners) over earlier days</t>
  </si>
  <si>
    <t xml:space="preserve">OFS3</t>
  </si>
  <si>
    <t xml:space="preserve">Recency-weighted odds x field size, last 3 runs</t>
  </si>
  <si>
    <t xml:space="preserve">rLB</t>
  </si>
  <si>
    <t xml:space="preserve">Within-race rank (1 = highest in the field) of preracehorsecareerLB: horse's career lengths beaten over earlier runs</t>
  </si>
  <si>
    <t xml:space="preserve">fw_perf_car_vs_or</t>
  </si>
  <si>
    <t xml:space="preserve">Performance figure (career mean) less today's official rating (+ = well in)</t>
  </si>
  <si>
    <t xml:space="preserve">LRNFP</t>
  </si>
  <si>
    <t xml:space="preserve">NFP in the last run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</si>
  <si>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</si>
  <si>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</si>
  <si>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rSireGoingNFP</t>
  </si>
  <si>
    <t xml:space="preserve">Within-race rank (1 = highest in the field) of sire_going_nfp: sire's progeny mean NFP on today's going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</si>
  <si>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</si>
  <si>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</si>
  <si>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</si>
  <si>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class_vs_avg</t>
  </si>
  <si>
    <t xml:space="preserve">Class movement</t>
  </si>
  <si>
    <t xml:space="preserve">Today's class against the recent mean</t>
  </si>
  <si>
    <t xml:space="preserve">rSireWIV</t>
  </si>
  <si>
    <t xml:space="preserve">Within-race rank (1 = highest in the field) of sire_wiv: sire's progeny WIV</t>
  </si>
  <si>
    <t xml:space="preserve">rWeightVsAvg</t>
  </si>
  <si>
    <t xml:space="preserve">Within-race rank (1 = highest in the field) of weight_vs_avg: weight carried less the field's mean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</si>
  <si>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</si>
  <si>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</si>
  <si>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</si>
  <si>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</si>
  <si>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</si>
  <si>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or_change</t>
  </si>
  <si>
    <t xml:space="preserve">Official-rating trajectory</t>
  </si>
  <si>
    <t xml:space="preserve">Official rating change from the last run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</si>
  <si>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</si>
  <si>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</si>
  <si>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</si>
  <si>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fw_lbs_w10</t>
  </si>
  <si>
    <t xml:space="preserve">Pounds beaten at the trip (capped 20): last 10 runs weighted 10..1 by recency (earlier days only)</t>
  </si>
  <si>
    <t xml:space="preserve">dist_change_signed</t>
  </si>
  <si>
    <t xml:space="preserve">Distance aptitude</t>
  </si>
  <si>
    <t xml:space="preserve">Trip change from the last run (signed)</t>
  </si>
  <si>
    <t xml:space="preserve">horseRunsrank</t>
  </si>
  <si>
    <t xml:space="preserve">Within-race rank (1 = highest in the field) of preracehorsecareerRuns: horse's career runs over earlier runs</t>
  </si>
  <si>
    <t xml:space="preserve">rJockeySR14d</t>
  </si>
  <si>
    <t xml:space="preserve">Within-race rank (1 = highest in the field) of jockey_sr_14d: jockey's strike rate, last 14 days</t>
  </si>
  <si>
    <t xml:space="preserve">rSireDistNFP</t>
  </si>
  <si>
    <t xml:space="preserve">Within-race rank (1 = highest in the field) of sire_dist_nfp: sire's progeny mean NFP at the trip</t>
  </si>
  <si>
    <t xml:space="preserve">rSireNFP</t>
  </si>
  <si>
    <t xml:space="preserve">Within-race rank (1 = highest in the field) of sire_avg_nfp: sire's progeny mean NFP</t>
  </si>
  <si>
    <t xml:space="preserve">draw_bias_ev_n_eff</t>
  </si>
  <si>
    <t xml:space="preserve">Effective runners behind the draw bias</t>
  </si>
  <si>
    <t xml:space="preserve">rWPMRF10</t>
  </si>
  <si>
    <t xml:space="preserve">Within-race rank (1 = highest in the field) of WPMRF10: recency-weighted prize money raced for, last 10 runs</t>
  </si>
  <si>
    <t xml:space="preserve">trainer_holdup_rate</t>
  </si>
  <si>
    <t xml:space="preserve">Trainer's share of runners held up</t>
  </si>
  <si>
    <t xml:space="preserve">trainer_sr_14d</t>
  </si>
  <si>
    <t xml:space="preserve">Trainer's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</si>
  <si>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</si>
  <si>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</si>
  <si>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</si>
  <si>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</si>
  <si>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</si>
  <si>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PMW5</t>
  </si>
  <si>
    <t xml:space="preserve">Performance-adjusted prize money (prize x RB^2), recency-weighted, last 5 runs</t>
  </si>
  <si>
    <t xml:space="preserve">dist_furlongs</t>
  </si>
  <si>
    <t xml:space="preserve">Race distance (furlongs)</t>
  </si>
  <si>
    <t xml:space="preserve">rDrawdownPeakNFP</t>
  </si>
  <si>
    <t xml:space="preserve">Within-race rank (1 = highest in the field) of drawdown_from_peak_nfp: recent NFP less the career-best NFP</t>
  </si>
  <si>
    <t xml:space="preserve">dist_change_lr</t>
  </si>
  <si>
    <t xml:space="preserve">Absolute trip change from the last run</t>
  </si>
  <si>
    <t xml:space="preserve">class_change</t>
  </si>
  <si>
    <t xml:space="preserve">Class change from the last run</t>
  </si>
  <si>
    <t xml:space="preserve">trainer_runs_14d</t>
  </si>
  <si>
    <t xml:space="preserve">Trainer's runners, last 14 days</t>
  </si>
  <si>
    <t xml:space="preserve">going_avg_nfp</t>
  </si>
  <si>
    <t xml:space="preserve">Mean NFP on the going</t>
  </si>
  <si>
    <t xml:space="preserve">rSurfaceNFP</t>
  </si>
  <si>
    <t xml:space="preserve">Within-race rank (1 = highest in the field) of surface_nfp: mean NFP on today's surface</t>
  </si>
  <si>
    <t xml:space="preserve">rHorseTrackNFP</t>
  </si>
  <si>
    <t xml:space="preserve">Within-race rank (1 = highest in the field) of horse_track_nfp: mean NFP at the course</t>
  </si>
  <si>
    <t xml:space="preserve">debut_x_sire_nfp</t>
  </si>
  <si>
    <t xml:space="preserve">Debutant x sire's mean NFP</t>
  </si>
  <si>
    <t xml:space="preserve">trainer_career_early_pos</t>
  </si>
  <si>
    <t xml:space="preserve">Trainer's mean early position of runners</t>
  </si>
  <si>
    <t xml:space="preserve">weight_vs_min</t>
  </si>
  <si>
    <t xml:space="preserve">Weight carried less the field's lowest</t>
  </si>
  <si>
    <t xml:space="preserve">pounds_num</t>
  </si>
  <si>
    <t xml:space="preserve">Weight carried (lbs)</t>
  </si>
  <si>
    <t xml:space="preserve">preferred_going</t>
  </si>
  <si>
    <t xml:space="preserve">Going preference</t>
  </si>
  <si>
    <t xml:space="preserve">Going of the horse's best runs</t>
  </si>
  <si>
    <t xml:space="preserve">preferred_distance</t>
  </si>
  <si>
    <t xml:space="preserve">Trip of the horse's best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</si>
  <si>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</si>
  <si>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</si>
  <si>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</si>
  <si>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</si>
  <si>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jockey_career_late_move</t>
  </si>
  <si>
    <t xml:space="preserve">Jockey's mean late move of mounts</t>
  </si>
  <si>
    <t xml:space="preserve">it_ae_debut</t>
  </si>
  <si>
    <t xml:space="preserve">Trainer's shrunk A-E (won - BSP chance) with a debut, earlier days</t>
  </si>
  <si>
    <t xml:space="preserve">fr_break_len</t>
  </si>
  <si>
    <t xml:space="preserve">log(1 + days) of that break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</si>
  <si>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</si>
  <si>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</si>
  <si>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trainer_front_rate</t>
  </si>
  <si>
    <t xml:space="preserve">Trainer's share of runners prominent</t>
  </si>
  <si>
    <t xml:space="preserve">trainerjockeyCWO</t>
  </si>
  <si>
    <t xml:space="preserve">Trainer-jockey combination's career cumulative wins above chance</t>
  </si>
  <si>
    <t xml:space="preserve">RACE_NFP</t>
  </si>
  <si>
    <t xml:space="preserve">Field's mean career NFP</t>
  </si>
  <si>
    <t xml:space="preserve">trainer_form_delta</t>
  </si>
  <si>
    <t xml:space="preserve">Trainer's 14-day less 30-day strike rate</t>
  </si>
  <si>
    <t xml:space="preserve">preracetrainercareerPlaces</t>
  </si>
  <si>
    <t xml:space="preserve">Trainer's career first-three finishes over earlier days</t>
  </si>
  <si>
    <t xml:space="preserve">fw_perf_car</t>
  </si>
  <si>
    <t xml:space="preserve">Rating-scale performance figure (lbs): career mean (earlier days only)</t>
  </si>
  <si>
    <t xml:space="preserve">weight_range</t>
  </si>
  <si>
    <t xml:space="preserve">The field's weight range</t>
  </si>
  <si>
    <t xml:space="preserve">LR_RACE_WOA</t>
  </si>
  <si>
    <t xml:space="preserve">Mean career WOA of the last run's field</t>
  </si>
  <si>
    <t xml:space="preserve">jockey_track_win_rate</t>
  </si>
  <si>
    <t xml:space="preserve">Jockey's strike rate at the course</t>
  </si>
  <si>
    <t xml:space="preserve">LR_RACE_NFP</t>
  </si>
  <si>
    <t xml:space="preserve">Mean career NFP of the last run's field</t>
  </si>
  <si>
    <t xml:space="preserve">LR3_LB</t>
  </si>
  <si>
    <t xml:space="preserve">Lengths beaten: mean of the last 3 runs</t>
  </si>
  <si>
    <t xml:space="preserve">or_change_3</t>
  </si>
  <si>
    <t xml:space="preserve">OR change over the last 3 runs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</si>
  <si>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</si>
  <si>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</si>
  <si>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</si>
  <si>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</si>
  <si>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fw_perf_w5_vs_or</t>
  </si>
  <si>
    <t xml:space="preserve">Performance figure (last 5 runs weighted 5..1 by recency) less today's official rating (+ = well in)</t>
  </si>
  <si>
    <t xml:space="preserve">LR5_LB</t>
  </si>
  <si>
    <t xml:space="preserve">Lengths beaten: mean of the last 5 runs</t>
  </si>
  <si>
    <t xml:space="preserve">or_vs_best</t>
  </si>
  <si>
    <t xml:space="preserve">Official rating less the career best</t>
  </si>
  <si>
    <t xml:space="preserve">damsire_going_nfp</t>
  </si>
  <si>
    <t xml:space="preserve">Damsire's mean NFP on the going</t>
  </si>
  <si>
    <t xml:space="preserve">track_front_win_share</t>
  </si>
  <si>
    <t xml:space="preserve">Course: share of winners that raced prominently</t>
  </si>
  <si>
    <t xml:space="preserve">trainerpaceindex</t>
  </si>
  <si>
    <t xml:space="preserve">Race pace indices</t>
  </si>
  <si>
    <t xml:space="preserve">Trainer's pace index (runners' early positions)</t>
  </si>
  <si>
    <t xml:space="preserve">fw_lbsc_car</t>
  </si>
  <si>
    <t xml:space="preserve">Pounds better than the race's average runner: career mean (earlier days only)</t>
  </si>
  <si>
    <t xml:space="preserve">weight_change_lr</t>
  </si>
  <si>
    <t xml:space="preserve">Weight change from the last run</t>
  </si>
  <si>
    <t xml:space="preserve">it_new_yard</t>
  </si>
  <si>
    <t xml:space="preserve">First run for a new trainer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</si>
  <si>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</si>
  <si>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</si>
  <si>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</si>
  <si>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sire_dist_nfp</t>
  </si>
  <si>
    <t xml:space="preserve">Sire's progeny mean NFP at the trip</t>
  </si>
  <si>
    <t xml:space="preserve">draw_bias_ev_stall</t>
  </si>
  <si>
    <t xml:space="preserve">Per-stall draw surface, shrunk toward coarser cells</t>
  </si>
  <si>
    <t xml:space="preserve">number_of_runners</t>
  </si>
  <si>
    <t xml:space="preserve">Declared runners</t>
  </si>
  <si>
    <t xml:space="preserve">track_pcs_mean</t>
  </si>
  <si>
    <t xml:space="preserve">Course mean pace-change score</t>
  </si>
  <si>
    <t xml:space="preserve">sire_going_nfp</t>
  </si>
  <si>
    <t xml:space="preserve">Sire's progeny mean NFP on today's going</t>
  </si>
  <si>
    <t xml:space="preserve">LR_RACE_WIV</t>
  </si>
  <si>
    <t xml:space="preserve">Mean career WIV of the last run's field</t>
  </si>
  <si>
    <t xml:space="preserve">preracetrainercareerRuns</t>
  </si>
  <si>
    <t xml:space="preserve">Trainer's career runs over earlier days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</si>
  <si>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</si>
  <si>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</si>
  <si>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</si>
  <si>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</si>
  <si>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surface_nfp</t>
  </si>
  <si>
    <t xml:space="preserve">Surface form</t>
  </si>
  <si>
    <t xml:space="preserve">Mean NFP on today's surface</t>
  </si>
  <si>
    <t xml:space="preserve">totalLRPjockeyindex</t>
  </si>
  <si>
    <t xml:space="preserve">Last-run placing index (LRP)</t>
  </si>
  <si>
    <t xml:space="preserve">Jockey's last-run placing index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</si>
  <si>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</si>
  <si>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</si>
  <si>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</si>
  <si>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</si>
  <si>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jockey_front_rate</t>
  </si>
  <si>
    <t xml:space="preserve">Jockey's share of mounts ridden prominently</t>
  </si>
  <si>
    <t xml:space="preserve">damsire_win_rate</t>
  </si>
  <si>
    <t xml:space="preserve">Damsire's progeny win rate</t>
  </si>
  <si>
    <t xml:space="preserve">preracejockeycareerPlaces</t>
  </si>
  <si>
    <t xml:space="preserve">Jockey's career first-three finishes over earlier days</t>
  </si>
  <si>
    <t xml:space="preserve">sire_dist_win_rate</t>
  </si>
  <si>
    <t xml:space="preserve">Sire's win rate at the trip</t>
  </si>
  <si>
    <t xml:space="preserve">LR_EPF3</t>
  </si>
  <si>
    <t xml:space="preserve">Early position figure weighted by the finishing position in the last run</t>
  </si>
  <si>
    <t xml:space="preserve">draw_bias_stall_n_eff</t>
  </si>
  <si>
    <t xml:space="preserve">Effective runners behind the per-stall surface</t>
  </si>
  <si>
    <t xml:space="preserve">sire_runners</t>
  </si>
  <si>
    <t xml:space="preserve">Sire's progeny runs</t>
  </si>
  <si>
    <t xml:space="preserve">sire_going_win_rate</t>
  </si>
  <si>
    <t xml:space="preserve">Sire's win rate on the going</t>
  </si>
  <si>
    <t xml:space="preserve">trainer_Career_EPF</t>
  </si>
  <si>
    <t xml:space="preserve">Trainer's career mean EPF2 of runners</t>
  </si>
  <si>
    <t xml:space="preserve">td_pcs_mean</t>
  </si>
  <si>
    <t xml:space="preserve">Course x distance mean pace-change score</t>
  </si>
  <si>
    <t xml:space="preserve">fw_nfp_w3</t>
  </si>
  <si>
    <t xml:space="preserve">Normalised finishing position: last 3 runs weighted 3-2-1 by recency (earlier days only)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</si>
  <si>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</si>
  <si>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</si>
  <si>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</si>
  <si>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</si>
  <si>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sire_place_rate</t>
  </si>
  <si>
    <t xml:space="preserve">Sire's progeny place rate</t>
  </si>
  <si>
    <t xml:space="preserve">sire_avg_nfp</t>
  </si>
  <si>
    <t xml:space="preserve">Sire's progeny mean NFP</t>
  </si>
  <si>
    <t xml:space="preserve">preracetrainercareerWins</t>
  </si>
  <si>
    <t xml:space="preserve">Trainer's career wins over earlier days</t>
  </si>
  <si>
    <t xml:space="preserve">rDistApt</t>
  </si>
  <si>
    <t xml:space="preserve">Within-race rank (1 = highest in the field) of dist_from_preferred: today's trip less the preferred</t>
  </si>
  <si>
    <t xml:space="preserve">draw_change</t>
  </si>
  <si>
    <t xml:space="preserve">Change in relative draw from the last run</t>
  </si>
  <si>
    <t xml:space="preserve">debut_x_sire_wiv</t>
  </si>
  <si>
    <t xml:space="preserve">Debutant x sire's WIV</t>
  </si>
  <si>
    <t xml:space="preserve">fw_perf_l1</t>
  </si>
  <si>
    <t xml:space="preserve">Rating-scale performance figure (lbs): last run (earlier days only)</t>
  </si>
  <si>
    <t xml:space="preserve">damsire_runners</t>
  </si>
  <si>
    <t xml:space="preserve">Damsire's progeny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</si>
  <si>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</si>
  <si>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</si>
  <si>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jockey_form_delta</t>
  </si>
  <si>
    <t xml:space="preserve">Jockey's 14-day less 30-day strike rate</t>
  </si>
  <si>
    <t xml:space="preserve">RACE_Wins</t>
  </si>
  <si>
    <t xml:space="preserve">Field's mean career wins</t>
  </si>
  <si>
    <t xml:space="preserve">fw_mkt_w5</t>
  </si>
  <si>
    <t xml:space="preserve">The market's view, log(N x BSP chance): last 5 runs weighted 5..1 by recency (earlier days only)</t>
  </si>
  <si>
    <t xml:space="preserve">trainerjockeyWAX</t>
  </si>
  <si>
    <t xml:space="preserve">Trainer-jockey combination's career wins above chance per run (won - 1/runners)</t>
  </si>
  <si>
    <t xml:space="preserve">damsire_avg_nfp</t>
  </si>
  <si>
    <t xml:space="preserve">Damsire's progeny mean NFP</t>
  </si>
  <si>
    <t xml:space="preserve">draw_bias_alignment</t>
  </si>
  <si>
    <t xml:space="preserve">Stall on the favoured side of the course x distance bias</t>
  </si>
  <si>
    <t xml:space="preserve">preracehorsecareerLB</t>
  </si>
  <si>
    <t xml:space="preserve">Horse's career lengths beaten over earlier runs</t>
  </si>
  <si>
    <t xml:space="preserve">headgear_cat</t>
  </si>
  <si>
    <t xml:space="preserve">Headgear worn today, category code</t>
  </si>
  <si>
    <t xml:space="preserve">OFS10</t>
  </si>
  <si>
    <t xml:space="preserve">Recency-weighted odds x field size, last 10 runs</t>
  </si>
  <si>
    <t xml:space="preserve">draw_relative</t>
  </si>
  <si>
    <t xml:space="preserve">Draw position</t>
  </si>
  <si>
    <t xml:space="preserve">Stall relative to the field</t>
  </si>
  <si>
    <t xml:space="preserve">jockeypaceindex</t>
  </si>
  <si>
    <t xml:space="preserve">Jockey's pace index (mounts' early positions)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</si>
  <si>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</si>
  <si>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</si>
  <si>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</si>
  <si>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</si>
  <si>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</si>
  <si>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</si>
  <si>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</si>
  <si>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</si>
  <si>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</si>
  <si>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</si>
  <si>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</si>
  <si>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Jockey_Career_EPF</t>
  </si>
  <si>
    <t xml:space="preserve">Jockey's career mean EPF2 of mounts</t>
  </si>
  <si>
    <t xml:space="preserve">jockey_holdup_rate</t>
  </si>
  <si>
    <t xml:space="preserve">Jockey's share of mounts held up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</si>
  <si>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</si>
  <si>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</si>
  <si>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</si>
  <si>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</si>
  <si>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course_front_edge</t>
  </si>
  <si>
    <t xml:space="preserve">Course edge for front-runners</t>
  </si>
  <si>
    <t xml:space="preserve">td_avg_winner_pos</t>
  </si>
  <si>
    <t xml:space="preserve">Course x distance: winners' mean early position</t>
  </si>
  <si>
    <t xml:space="preserve">it_ae_best</t>
  </si>
  <si>
    <t xml:space="preserve">Best of the trainer's A-E records for today's angles</t>
  </si>
  <si>
    <t xml:space="preserve">fr_usual_gap</t>
  </si>
  <si>
    <t xml:space="preserve">The horse's usual spacing: recency-weighted mean of log(1 + gap) before earlier runs</t>
  </si>
  <si>
    <t xml:space="preserve">career_best_or</t>
  </si>
  <si>
    <t xml:space="preserve">Highest official rating held</t>
  </si>
  <si>
    <t xml:space="preserve">WPMRF10</t>
  </si>
  <si>
    <t xml:space="preserve">Recency-weighted prize money raced for, last 10 runs</t>
  </si>
  <si>
    <t xml:space="preserve">td_holdup_win_share</t>
  </si>
  <si>
    <t xml:space="preserve">Course x distance: share of winners that were held up</t>
  </si>
  <si>
    <t xml:space="preserve">trainer_jockey_style_gap</t>
  </si>
  <si>
    <t xml:space="preserve">Trainer's usual style less the jockey's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</si>
  <si>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</si>
  <si>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</si>
  <si>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trainerjockeycareerWIV</t>
  </si>
  <si>
    <t xml:space="preserve">Trainer-jockey combination's career win index: wins / wins expected by chance (sum of 1/runners)</t>
  </si>
  <si>
    <t xml:space="preserve">horse_track_nfp</t>
  </si>
  <si>
    <t xml:space="preserve">it_ae_new_yard</t>
  </si>
  <si>
    <t xml:space="preserve">Trainer's shrunk A-E (won - BSP chance) with a new yard, earlier days</t>
  </si>
  <si>
    <t xml:space="preserve">LR_draw_relative</t>
  </si>
  <si>
    <t xml:space="preserve">Relative draw in the last run</t>
  </si>
  <si>
    <t xml:space="preserve">LR_RACE_Wins</t>
  </si>
  <si>
    <t xml:space="preserve">Mean career wins of the last run's field</t>
  </si>
  <si>
    <t xml:space="preserve">fw_nfp_l1</t>
  </si>
  <si>
    <t xml:space="preserve">Normalised finishing position: last run (earlier days only)</t>
  </si>
  <si>
    <t xml:space="preserve">fw_mkt_car</t>
  </si>
  <si>
    <t xml:space="preserve">The market's view, log(N x BSP chance): career mean (earlier days only)</t>
  </si>
  <si>
    <t xml:space="preserve">jockey_track_runs</t>
  </si>
  <si>
    <t xml:space="preserve">Jockey's rides at the course</t>
  </si>
  <si>
    <t xml:space="preserve">totaljockeyLRPscore</t>
  </si>
  <si>
    <t xml:space="preserve">Jockey's cumulative last-run placing score</t>
  </si>
  <si>
    <t xml:space="preserve">it_n_angles</t>
  </si>
  <si>
    <t xml:space="preserve">Number of intent angles today</t>
  </si>
  <si>
    <t xml:space="preserve">sire_win_rate</t>
  </si>
  <si>
    <t xml:space="preserve">Sire's progeny win rate (shrunk)</t>
  </si>
  <si>
    <t xml:space="preserve">track_cat</t>
  </si>
  <si>
    <t xml:space="preserve">Course, category code</t>
  </si>
  <si>
    <t xml:space="preserve">horse_track_win_rate</t>
  </si>
  <si>
    <t xml:space="preserve">Win rate at the course</t>
  </si>
  <si>
    <t xml:space="preserve">jockey_career_early_pos</t>
  </si>
  <si>
    <t xml:space="preserve">Jockey's mean early position of mounts</t>
  </si>
  <si>
    <t xml:space="preserve">fw_ae_l1</t>
  </si>
  <si>
    <t xml:space="preserve">Wins above the market (won - BSP chance): last run (earlier days only)</t>
  </si>
  <si>
    <t xml:space="preserve">fw_perf_w10</t>
  </si>
  <si>
    <t xml:space="preserve">Rating-scale performance figure (lbs): last 10 runs weighted 10..1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</si>
  <si>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</si>
  <si>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</si>
  <si>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fw_lbs_m3</t>
  </si>
  <si>
    <t xml:space="preserve">Pounds beaten at the trip (capped 20): mean of the last 3 runs (earlier days only)</t>
  </si>
  <si>
    <t xml:space="preserve">sire_wiv</t>
  </si>
  <si>
    <t xml:space="preserve">Sire's progeny WIV</t>
  </si>
  <si>
    <t xml:space="preserve">lead_prob_top</t>
  </si>
  <si>
    <t xml:space="preserve">Most likely leader</t>
  </si>
  <si>
    <t xml:space="preserve">it_ae_sum</t>
  </si>
  <si>
    <t xml:space="preserve">Sum of the trainer's A-E records for today's angles</t>
  </si>
  <si>
    <t xml:space="preserve">race_class_num</t>
  </si>
  <si>
    <t xml:space="preserve">Race class (1 = highest)</t>
  </si>
  <si>
    <t xml:space="preserve">fw_perf_w3</t>
  </si>
  <si>
    <t xml:space="preserve">Rating-scale performance figure (lbs): last 3 runs weighted 3-2-1 by recency (earlier days only)</t>
  </si>
  <si>
    <t xml:space="preserve">preracejockeycareerWins</t>
  </si>
  <si>
    <t xml:space="preserve">Jockey's career wins over earlier days</t>
  </si>
  <si>
    <t xml:space="preserve">pred_pace_contested</t>
  </si>
  <si>
    <t xml:space="preserve">Projected contested lead</t>
  </si>
  <si>
    <t xml:space="preserve">lead_prob_entropy</t>
  </si>
  <si>
    <t xml:space="preserve">How open the lead is (entropy of lead chances)</t>
  </si>
  <si>
    <t xml:space="preserve">going_from_preferred</t>
  </si>
  <si>
    <t xml:space="preserve">Today's going less the preferred</t>
  </si>
  <si>
    <t xml:space="preserve">draw_bias_gradient</t>
  </si>
  <si>
    <t xml:space="preserve">Slope of the bias from low to high stalls</t>
  </si>
  <si>
    <t xml:space="preserve">jockey_sr_14d</t>
  </si>
  <si>
    <t xml:space="preserve">Jockey's strike rate, last 14 days</t>
  </si>
  <si>
    <t xml:space="preserve">WPMRF3</t>
  </si>
  <si>
    <t xml:space="preserve">Recency-weighted prize money raced for, last 3 runs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</si>
  <si>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</si>
  <si>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</si>
  <si>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</si>
  <si>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going_change_lr</t>
  </si>
  <si>
    <t xml:space="preserve">Going change from the last run</t>
  </si>
  <si>
    <t xml:space="preserve">fw_lbsc_w10</t>
  </si>
  <si>
    <t xml:space="preserve">Pounds better than the race's average runner: last 10 runs weighted 10..1 by recency (earlier days only)</t>
  </si>
  <si>
    <t xml:space="preserve">totaljockeyrides</t>
  </si>
  <si>
    <t xml:space="preserve">Jockey's cumulative rides</t>
  </si>
  <si>
    <t xml:space="preserve">draw_advantage_field_adj</t>
  </si>
  <si>
    <t xml:space="preserve">Draw advantage scaled by field size</t>
  </si>
  <si>
    <t xml:space="preserve">racepaceindex</t>
  </si>
  <si>
    <t xml:space="preserve">Race pace index from the field's expected pace</t>
  </si>
  <si>
    <t xml:space="preserve">fr_days_since_win</t>
  </si>
  <si>
    <t xml:space="preserve">Days since the last win held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</si>
  <si>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</si>
  <si>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</si>
  <si>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</si>
  <si>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</si>
  <si>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rWinDensity30d</t>
  </si>
  <si>
    <t xml:space="preserve">Within-race rank (1 = highest in the field) of win_density_30d: wins in the last 30 days</t>
  </si>
  <si>
    <t xml:space="preserve">fw_lbs_m5</t>
  </si>
  <si>
    <t xml:space="preserve">Pounds beaten at the trip (capped 20): mean of the last 5 runs (earlier days only)</t>
  </si>
  <si>
    <t xml:space="preserve">predicted_lead_prob</t>
  </si>
  <si>
    <t xml:space="preserve">Projected chance of leading</t>
  </si>
  <si>
    <t xml:space="preserve">avg_class_3</t>
  </si>
  <si>
    <t xml:space="preserve">Mean class of the last 3 runs</t>
  </si>
  <si>
    <t xml:space="preserve">WPMRF5</t>
  </si>
  <si>
    <t xml:space="preserve">Recency-weighted prize money raced for, last 5 runs</t>
  </si>
  <si>
    <t xml:space="preserve">going_draw_shift</t>
  </si>
  <si>
    <t xml:space="preserve">How today's going shifts the draw bias</t>
  </si>
  <si>
    <t xml:space="preserve">it_hcap_debut</t>
  </si>
  <si>
    <t xml:space="preserve">Handicap debut</t>
  </si>
  <si>
    <t xml:space="preserve">td_draw_screen</t>
  </si>
  <si>
    <t xml:space="preserve">Split-half stability of the course x distance draw bias</t>
  </si>
  <si>
    <t xml:space="preserve">rGoingPref</t>
  </si>
  <si>
    <t xml:space="preserve">Within-race rank (1 = highest in the field) of going_from_preferred: today's going less the preferred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</si>
  <si>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</si>
  <si>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</si>
  <si>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fr_runs_since_break</t>
  </si>
  <si>
    <t xml:space="preserve">0 = first run back from 60+ days (or debut), 1 = second run back, ... (capped at 8)</t>
  </si>
  <si>
    <t xml:space="preserve">pred_race_pace</t>
  </si>
  <si>
    <t xml:space="preserve">Projected pace of today's race</t>
  </si>
  <si>
    <t xml:space="preserve">fw_lbs_car</t>
  </si>
  <si>
    <t xml:space="preserve">Pounds beaten at the trip (capped 20): career mean (earlier days only)</t>
  </si>
  <si>
    <t xml:space="preserve">nfp_macd</t>
  </si>
  <si>
    <t xml:space="preserve">MACD of the NFP series</t>
  </si>
  <si>
    <t xml:space="preserve">going_numeric</t>
  </si>
  <si>
    <t xml:space="preserve">Going on the card, as a number</t>
  </si>
  <si>
    <t xml:space="preserve">best_RSR</t>
  </si>
  <si>
    <t xml:space="preserve">Best career speed rating</t>
  </si>
  <si>
    <t xml:space="preserve">lead_prob_edge</t>
  </si>
  <si>
    <t xml:space="preserve">Lead chance less the next best</t>
  </si>
  <si>
    <t xml:space="preserve">draw_bias_spread</t>
  </si>
  <si>
    <t xml:space="preserve">Best less worst stall bias in the race</t>
  </si>
  <si>
    <t xml:space="preserve">td_dsh_level</t>
  </si>
  <si>
    <t xml:space="preserve">Draw bias level from the split-half screen</t>
  </si>
  <si>
    <t xml:space="preserve">or_momentum</t>
  </si>
  <si>
    <t xml:space="preserve">Trend in official rating</t>
  </si>
  <si>
    <t xml:space="preserve">fw_rsr_w3</t>
  </si>
  <si>
    <t xml:space="preserve">Speed rating (RSR): last 3 runs weighted 3-2-1 by recency (earlier days only)</t>
  </si>
  <si>
    <t xml:space="preserve">tdg_draw_bias</t>
  </si>
  <si>
    <t xml:space="preserve">Course x distance x going draw bias</t>
  </si>
  <si>
    <t xml:space="preserve">SFI</t>
  </si>
  <si>
    <t xml:space="preserve">Speed-figure improvement (last run less the one before)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</si>
  <si>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</si>
  <si>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</si>
  <si>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LR3_ORR2</t>
  </si>
  <si>
    <t xml:space="preserve">Harmonic-weighted sum of ORR2 over the last 3 runs</t>
  </si>
  <si>
    <t xml:space="preserve">draw_x_pace</t>
  </si>
  <si>
    <t xml:space="preserve">Stall x race pace</t>
  </si>
  <si>
    <t xml:space="preserve">pace_suit</t>
  </si>
  <si>
    <t xml:space="preserve">How well the projected pace suits the style</t>
  </si>
  <si>
    <t xml:space="preserve">jockey_horse_style_gap</t>
  </si>
  <si>
    <t xml:space="preserve">Jockey's usual style less the horse's</t>
  </si>
  <si>
    <t xml:space="preserve">fw_perf_m5</t>
  </si>
  <si>
    <t xml:space="preserve">Rating-scale performance figure (lbs): mean of the last 5 runs (earlier days only)</t>
  </si>
  <si>
    <t xml:space="preserve">draw_pct_adj</t>
  </si>
  <si>
    <t xml:space="preserve">Adjusted stall as a share of the field (0 = lowest)</t>
  </si>
  <si>
    <t xml:space="preserve">fw_lbsc_w5</t>
  </si>
  <si>
    <t xml:space="preserve">Pounds better than the race's average runner: last 5 runs weighted 5..1 by recency (earlier days only)</t>
  </si>
  <si>
    <t xml:space="preserve">rMeanReversion</t>
  </si>
  <si>
    <t xml:space="preserve">Within-race rank (1 = highest in the field) of mean_reversion_score: distance of recent form from the long-run mean</t>
  </si>
  <si>
    <t xml:space="preserve">pred_max_front</t>
  </si>
  <si>
    <t xml:space="preserve">Strongest front-runner's projected position</t>
  </si>
  <si>
    <t xml:space="preserve">preracehorsecareerFSARB2</t>
  </si>
  <si>
    <t xml:space="preserve">Horse career</t>
  </si>
  <si>
    <t xml:space="preserve">Horse's career mean squared field-size-adjusted RB over earlier runs</t>
  </si>
  <si>
    <t xml:space="preserve">rFCS</t>
  </si>
  <si>
    <t xml:space="preserve">Within-race rank (1 = highest in the field) of FCS: field-class stability: RMS change in the race's mean OR over the last 10 runs</t>
  </si>
  <si>
    <t xml:space="preserve">prize_momentum</t>
  </si>
  <si>
    <t xml:space="preserve">Trend in prize money raced for</t>
  </si>
  <si>
    <t xml:space="preserve">rPFD5</t>
  </si>
  <si>
    <t xml:space="preserve">Within-race rank (1 = highest in the field) of PFD5: recency-weighted (BSP probability - 1/runners) over the last 5 runs</t>
  </si>
  <si>
    <t xml:space="preserve">fw_ae_w5</t>
  </si>
  <si>
    <t xml:space="preserve">Wins above the market (won - BSP chance): last 5 runs weighted 5..1 by recency (earlier days only)</t>
  </si>
  <si>
    <t xml:space="preserve">mean_reversion_score</t>
  </si>
  <si>
    <t xml:space="preserve">Distance of recent form from the long-run mean</t>
  </si>
  <si>
    <t xml:space="preserve">RSR_gap</t>
  </si>
  <si>
    <t xml:space="preserve">Best speed rating less the mean of the last 3</t>
  </si>
  <si>
    <t xml:space="preserve">fw_perf_w5</t>
  </si>
  <si>
    <t xml:space="preserve">Rating-scale performance figure (lbs): last 5 runs weighted 5..1 by recency (earlier days only)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</si>
  <si>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</si>
  <si>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</si>
  <si>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</si>
  <si>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fw_nres_l1</t>
  </si>
  <si>
    <t xml:space="preserve">Finishing position against the market's order: last run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</si>
  <si>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</si>
  <si>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</si>
  <si>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</si>
  <si>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</si>
  <si>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</si>
  <si>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rFormSlope3</t>
  </si>
  <si>
    <t xml:space="preserve">Within-race rank (1 = highest in the field) of form_slope_3: slope of NFP over the last 3 runs (+ improving)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</si>
  <si>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</si>
  <si>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</si>
  <si>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</si>
  <si>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</si>
  <si>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draw_prominent_effect</t>
  </si>
  <si>
    <t xml:space="preserve">Draw effect for prominent racers</t>
  </si>
  <si>
    <t xml:space="preserve">EXP_ORR23</t>
  </si>
  <si>
    <t xml:space="preserve">Exponentially decayed (0.85) mean market rating: runners / BSP (the market's chance against a random runner's), last 3 runs</t>
  </si>
  <si>
    <t xml:space="preserve">preracejockeycareerRuns</t>
  </si>
  <si>
    <t xml:space="preserve">Jockey's career runs over earlier days</t>
  </si>
  <si>
    <t xml:space="preserve">fw_ae_w3</t>
  </si>
  <si>
    <t xml:space="preserve">Wins above the market (won - BSP chance): last 3 runs weighted 3-2-1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</si>
  <si>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</si>
  <si>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</si>
  <si>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fw_nfp_w5</t>
  </si>
  <si>
    <t xml:space="preserve">Normalised finishing position: last 5 runs weighted 5..1 by recency (earlier days only)</t>
  </si>
  <si>
    <t xml:space="preserve">fw_mkt_m3</t>
  </si>
  <si>
    <t xml:space="preserve">The market's view, log(N x BSP chance): mean of the last 3 runs (earlier days only)</t>
  </si>
  <si>
    <t xml:space="preserve">PFD5</t>
  </si>
  <si>
    <t xml:space="preserve">Recency-weighted (BSP probability - 1/runners) over the last 5 runs</t>
  </si>
  <si>
    <t xml:space="preserve">preracehorsecareerNFP</t>
  </si>
  <si>
    <t xml:space="preserve">Horse's career normalised finishing position (1 = won, 0 = last) over earlier runs</t>
  </si>
  <si>
    <t xml:space="preserve">fw_perf_m3</t>
  </si>
  <si>
    <t xml:space="preserve">Rating-scale performance figure (lbs): mean of the last 3 runs (earlier days only)</t>
  </si>
  <si>
    <t xml:space="preserve">LR10_ORR2</t>
  </si>
  <si>
    <t xml:space="preserve">Harmonic-weighted sum of ORR2 over the last 10 runs</t>
  </si>
  <si>
    <t xml:space="preserve">draw_pos_fit</t>
  </si>
  <si>
    <t xml:space="preserve">Fit of the stall to the projected position</t>
  </si>
  <si>
    <t xml:space="preserve">draw_x_style</t>
  </si>
  <si>
    <t xml:space="preserve">Stall x projected running style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</si>
  <si>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</si>
  <si>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</si>
  <si>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</si>
  <si>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fw_ae_m5</t>
  </si>
  <si>
    <t xml:space="preserve">Wins above the market (won - BSP chance): mean of the last 5 runs (earlier days only)</t>
  </si>
  <si>
    <t xml:space="preserve">pred_pace_share</t>
  </si>
  <si>
    <t xml:space="preserve">Share of the projected pace</t>
  </si>
  <si>
    <t xml:space="preserve">fw_ae_car</t>
  </si>
  <si>
    <t xml:space="preserve">Wins above the market (won - BSP chance): career mean (earlier days only)</t>
  </si>
  <si>
    <t xml:space="preserve">rDamsireNFP</t>
  </si>
  <si>
    <t xml:space="preserve">Within-race rank (1 = highest in the field) of damsire_avg_nfp: damsire's progeny mean NFP</t>
  </si>
  <si>
    <t xml:space="preserve">or_vs_last_win</t>
  </si>
  <si>
    <t xml:space="preserve">Official rating less the rating at the last win</t>
  </si>
  <si>
    <t xml:space="preserve">pred_epf_norm</t>
  </si>
  <si>
    <t xml:space="preserve">Projected normalised early position</t>
  </si>
  <si>
    <t xml:space="preserve">horse_high_stall_nfp</t>
  </si>
  <si>
    <t xml:space="preserve">Horse's mean NFP from high stalls</t>
  </si>
  <si>
    <t xml:space="preserve">racepacescore</t>
  </si>
  <si>
    <t xml:space="preserve">Race pace score (equals RPS)</t>
  </si>
  <si>
    <t xml:space="preserve">fw_nres_car</t>
  </si>
  <si>
    <t xml:space="preserve">Finishing position against the market's order: career mean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</si>
  <si>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</si>
  <si>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</si>
  <si>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fw_lbsc_m3</t>
  </si>
  <si>
    <t xml:space="preserve">Pounds better than the race's average runner: mean of the last 3 runs (earlier days only)</t>
  </si>
  <si>
    <t xml:space="preserve">pace_position_delta</t>
  </si>
  <si>
    <t xml:space="preserve">Projected position less the course's winning position</t>
  </si>
  <si>
    <t xml:space="preserve">LR2_EPF3</t>
  </si>
  <si>
    <t xml:space="preserve">Early position figure weighted by the finishing position in the 2-back run</t>
  </si>
  <si>
    <t xml:space="preserve">rHorseLateMoveCareer</t>
  </si>
  <si>
    <t xml:space="preserve">Within-race rank (1 = highest in the field) of horse_career_late_move: career mean places gained late</t>
  </si>
  <si>
    <t xml:space="preserve">horse_low_stall_nfp</t>
  </si>
  <si>
    <t xml:space="preserve">Horse's mean NFP from low stalls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</si>
  <si>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</si>
  <si>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</si>
  <si>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</si>
  <si>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</si>
  <si>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draw_lead_fit</t>
  </si>
  <si>
    <t xml:space="preserve">Fit of the stall to leading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</si>
  <si>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</si>
  <si>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</si>
  <si>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Horse_Career_EPF</t>
  </si>
  <si>
    <t xml:space="preserve">Horse's career mean EPF2 (early position figure) over earlier runs</t>
  </si>
  <si>
    <t xml:space="preserve">win_density_30d</t>
  </si>
  <si>
    <t xml:space="preserve">Wins in the last 30 days</t>
  </si>
  <si>
    <t xml:space="preserve">LR_had_trouble</t>
  </si>
  <si>
    <t xml:space="preserve">Trouble in running last time</t>
  </si>
  <si>
    <t xml:space="preserve">CIL3</t>
  </si>
  <si>
    <t xml:space="preserve">Recency weights and data counts</t>
  </si>
  <si>
    <t xml:space="preserve">Data count index (last 3)</t>
  </si>
  <si>
    <t xml:space="preserve">form_rsi_10</t>
  </si>
  <si>
    <t xml:space="preserve">RSI of NFP over 10 runs</t>
  </si>
  <si>
    <t xml:space="preserve">fw_wax_l1</t>
  </si>
  <si>
    <t xml:space="preserve">Wins above chance (won - 1/N): last run (earlier days only)</t>
  </si>
  <si>
    <t xml:space="preserve">draw_x_fieldsize</t>
  </si>
  <si>
    <t xml:space="preserve">Stall x field size</t>
  </si>
  <si>
    <t xml:space="preserve">pred_front_pct</t>
  </si>
  <si>
    <t xml:space="preserve">Projected share of the field on the pace</t>
  </si>
  <si>
    <t xml:space="preserve">fw_lbsc_m5</t>
  </si>
  <si>
    <t xml:space="preserve">Pounds better than the race's average runner: mean of the last 5 runs (earlier days only)</t>
  </si>
  <si>
    <t xml:space="preserve">fw_rsr_w5</t>
  </si>
  <si>
    <t xml:space="preserve">Speed rating (RSR):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</si>
  <si>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</si>
  <si>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</si>
  <si>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td_low_stall_nfp</t>
  </si>
  <si>
    <t xml:space="preserve">Mean NFP from low stalls at course x distance</t>
  </si>
  <si>
    <t xml:space="preserve">td_high_stall_nfp</t>
  </si>
  <si>
    <t xml:space="preserve">Mean NFP from high stalls at course x distance</t>
  </si>
  <si>
    <t xml:space="preserve">fw_mkt_m5</t>
  </si>
  <si>
    <t xml:space="preserve">The market's view, log(N x BSP chance): mean of the last 5 runs (earlier days only)</t>
  </si>
  <si>
    <t xml:space="preserve">pred_back_pct</t>
  </si>
  <si>
    <t xml:space="preserve">Projected share held up</t>
  </si>
  <si>
    <t xml:space="preserve">front_sustainability</t>
  </si>
  <si>
    <t xml:space="preserve">Ability to sustain a lead</t>
  </si>
  <si>
    <t xml:space="preserve">drawdown_from_peak_nfp</t>
  </si>
  <si>
    <t xml:space="preserve">Recent NFP less the career-best NFP</t>
  </si>
  <si>
    <t xml:space="preserve">form_slope_3</t>
  </si>
  <si>
    <t xml:space="preserve">Form trajectory</t>
  </si>
  <si>
    <t xml:space="preserve">Slope of NFP over the last 3 runs (+ improving)</t>
  </si>
  <si>
    <t xml:space="preserve">nfp_acceleration</t>
  </si>
  <si>
    <t xml:space="preserve">Change in the NFP slope</t>
  </si>
  <si>
    <t xml:space="preserve">recent_nfp_std</t>
  </si>
  <si>
    <t xml:space="preserve">Standard deviation of NFP, last 5 runs</t>
  </si>
  <si>
    <t xml:space="preserve">preracehorsecareerCWO</t>
  </si>
  <si>
    <t xml:space="preserve">Horse's career cumulative wins above chance over earlier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</si>
  <si>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</si>
  <si>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</si>
  <si>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fw_mkt_w10</t>
  </si>
  <si>
    <t xml:space="preserve">The market's view, log(N x BSP chance): last 10 runs weighted 10..1 by recency (earlier days only)</t>
  </si>
  <si>
    <t xml:space="preserve">horse_pos_drop</t>
  </si>
  <si>
    <t xml:space="preserve">Positions usually lost late</t>
  </si>
  <si>
    <t xml:space="preserve">form_rsi_5</t>
  </si>
  <si>
    <t xml:space="preserve">RSI of NFP over 5 runs</t>
  </si>
  <si>
    <t xml:space="preserve">PFD10</t>
  </si>
  <si>
    <t xml:space="preserve">Recency-weighted (BSP probability - 1/runners) over the last 10 runs</t>
  </si>
  <si>
    <t xml:space="preserve">jockeys_claim_num</t>
  </si>
  <si>
    <t xml:space="preserve">Jockey's claim (lbs)</t>
  </si>
  <si>
    <t xml:space="preserve">draw_bias_ev</t>
  </si>
  <si>
    <t xml:space="preserve">Draw bias for the stall band here: NFP beyond what ratings expected</t>
  </si>
  <si>
    <t xml:space="preserve">draw_bias_ev_adj</t>
  </si>
  <si>
    <t xml:space="preserve">The same on the adjusted stall</t>
  </si>
  <si>
    <t xml:space="preserve">nfp_macd_signal</t>
  </si>
  <si>
    <t xml:space="preserve">MACD signal line</t>
  </si>
  <si>
    <t xml:space="preserve">pace_pressure</t>
  </si>
  <si>
    <t xml:space="preserve">Share of the field expected to race prominently (expected EPF &gt; 4)</t>
  </si>
  <si>
    <t xml:space="preserve">rTrainerEPF</t>
  </si>
  <si>
    <t xml:space="preserve">Within-race rank (1 = highest in the field) of trainer_Career_EPF: trainer's career mean EPF2 of runners</t>
  </si>
  <si>
    <t xml:space="preserve">fw_wax_w3</t>
  </si>
  <si>
    <t xml:space="preserve">Wins above chance (won - 1/N): last 3 runs weighted 3-2-1 by recency (earlier days only)</t>
  </si>
  <si>
    <t xml:space="preserve">fw_nres_m5</t>
  </si>
  <si>
    <t xml:space="preserve">Finishing position against the market's order: mean of the last 5 runs (earlier days only)</t>
  </si>
  <si>
    <t xml:space="preserve">horsepaceindex</t>
  </si>
  <si>
    <t xml:space="preserve">Horse's pace index from its earlier early-position figures</t>
  </si>
  <si>
    <t xml:space="preserve">fw_win_w10</t>
  </si>
  <si>
    <t xml:space="preserve">Wins: last 10 runs weighted 10..1 by recency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</si>
  <si>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</si>
  <si>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</si>
  <si>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horse_pos_gain_mean</t>
  </si>
  <si>
    <t xml:space="preserve">Mean positions gained from early to finish</t>
  </si>
  <si>
    <t xml:space="preserve">horse_style_inflexible</t>
  </si>
  <si>
    <t xml:space="preserve">Always races the same way</t>
  </si>
  <si>
    <t xml:space="preserve">fw_rsr_w10</t>
  </si>
  <si>
    <t xml:space="preserve">Speed rating (RSR): last 10 runs weighted 10..1 by recency (earlier days only)</t>
  </si>
  <si>
    <t xml:space="preserve">fw_plc_w10</t>
  </si>
  <si>
    <t xml:space="preserve">Places (first three): last 10 runs weighted 10..1 by recency (earlier days only)</t>
  </si>
  <si>
    <t xml:space="preserve">LR_EPF2</t>
  </si>
  <si>
    <t xml:space="preserve">Early position figure adjusted for field size in the last run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</si>
  <si>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</si>
  <si>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</si>
  <si>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it_ae_layoff</t>
  </si>
  <si>
    <t xml:space="preserve">Trainer's shrunk A-E (won - BSP chance) with a return from a break, earlier days</t>
  </si>
  <si>
    <t xml:space="preserve">form_var_3</t>
  </si>
  <si>
    <t xml:space="preserve">Variance of NFP over the last 3 runs</t>
  </si>
  <si>
    <t xml:space="preserve">horse_style_consistency</t>
  </si>
  <si>
    <t xml:space="preserve">How consistent the horse's early position is</t>
  </si>
  <si>
    <t xml:space="preserve">LR5_RSR</t>
  </si>
  <si>
    <t xml:space="preserve">Speed rating against the standard time (from the race's winning time): mean of the last 5 runs</t>
  </si>
  <si>
    <t xml:space="preserve">surface_type_cat</t>
  </si>
  <si>
    <t xml:space="preserve">Surface (turf / all-weather), category code</t>
  </si>
  <si>
    <t xml:space="preserve">horse_epf_norm_sd</t>
  </si>
  <si>
    <t xml:space="preserve">Spread of normalised early position</t>
  </si>
  <si>
    <t xml:space="preserve">draw_x_direction</t>
  </si>
  <si>
    <t xml:space="preserve">Stall x course direction</t>
  </si>
  <si>
    <t xml:space="preserve">LR3_RSR</t>
  </si>
  <si>
    <t xml:space="preserve">Speed rating against the standard time (from the race's winning time): mean of the last 3 runs</t>
  </si>
  <si>
    <t xml:space="preserve">SFI_3</t>
  </si>
  <si>
    <t xml:space="preserve">Mean speed-figure improvement, last 3</t>
  </si>
  <si>
    <t xml:space="preserve">fw_ae_m3</t>
  </si>
  <si>
    <t xml:space="preserve">Wins above the market (won - BSP chance): mean of the last 3 runs (earlier days only)</t>
  </si>
  <si>
    <t xml:space="preserve">form_z_score</t>
  </si>
  <si>
    <t xml:space="preserve">Last NFP against the career mean, in standard deviations</t>
  </si>
  <si>
    <t xml:space="preserve">rOFS5</t>
  </si>
  <si>
    <t xml:space="preserve">Within-race rank (1 = highest in the field) of OFS5: recency-weighted odds x field size, last 5 runs</t>
  </si>
  <si>
    <t xml:space="preserve">horse_early_pos_5r</t>
  </si>
  <si>
    <t xml:space="preserve">Mean early position, last 5 runs</t>
  </si>
  <si>
    <t xml:space="preserve">class_momentum</t>
  </si>
  <si>
    <t xml:space="preserve">Trend in class</t>
  </si>
  <si>
    <t xml:space="preserve">fw_wax_m3</t>
  </si>
  <si>
    <t xml:space="preserve">Wins above chance (won - 1/N): mean of the last 3 runs (earlier days only)</t>
  </si>
  <si>
    <t xml:space="preserve">td_draw_bias</t>
  </si>
  <si>
    <t xml:space="preserve">Course x distance: low-stall less high-stall NFP</t>
  </si>
  <si>
    <t xml:space="preserve">form_sharpe_3</t>
  </si>
  <si>
    <t xml:space="preserve">Mean / sd of NFP over 3 runs</t>
  </si>
  <si>
    <t xml:space="preserve">horseNFPrank</t>
  </si>
  <si>
    <t xml:space="preserve">rPrizeMomentum</t>
  </si>
  <si>
    <t xml:space="preserve">Within-race rank (1 = highest in the field) of prize_momentum: trend in prize money raced for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</si>
  <si>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</si>
  <si>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</si>
  <si>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horse_career_late_move</t>
  </si>
  <si>
    <t xml:space="preserve">Career mean places gained late</t>
  </si>
  <si>
    <t xml:space="preserve">rNFPLR10</t>
  </si>
  <si>
    <t xml:space="preserve">Within-race rank (1 = highest in the field) of LR10NFPtotal: mean NFP over the last 10 runs</t>
  </si>
  <si>
    <t xml:space="preserve">draw_advantage_composite</t>
  </si>
  <si>
    <t xml:space="preserve">Composite draw advantage (course, trip, going, field size)</t>
  </si>
  <si>
    <t xml:space="preserve">horse_draw_pref</t>
  </si>
  <si>
    <t xml:space="preserve">Horse's low-less-high stall NFP</t>
  </si>
  <si>
    <t xml:space="preserve">rORChange</t>
  </si>
  <si>
    <t xml:space="preserve">Within-race rank (1 = highest in the field) of or_change: official rating change from the last run</t>
  </si>
  <si>
    <t xml:space="preserve">rFormZScore</t>
  </si>
  <si>
    <t xml:space="preserve">Within-race rank (1 = highest in the field) of form_z_score: last NFP against the career mean, in standard deviations</t>
  </si>
  <si>
    <t xml:space="preserve">rail_move_yards</t>
  </si>
  <si>
    <t xml:space="preserve">Rail movement today (yards)</t>
  </si>
  <si>
    <t xml:space="preserve">horseWinsrank</t>
  </si>
  <si>
    <t xml:space="preserve">Within-race rank (1 = highest in the field) of preracehorsecareerWins: horse's career wins over earlier runs</t>
  </si>
  <si>
    <t xml:space="preserve">LR5_ORR2</t>
  </si>
  <si>
    <t xml:space="preserve">Harmonic-weighted sum of ORR2 over the last 5 runs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</si>
  <si>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</si>
  <si>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</si>
  <si>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</si>
  <si>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</si>
  <si>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EXP_ORR25</t>
  </si>
  <si>
    <t xml:space="preserve">Exponentially decayed (0.85) mean market rating: runners / BSP (the market's chance against a random runner's), last 5 runs</t>
  </si>
  <si>
    <t xml:space="preserve">LR2_EPF2</t>
  </si>
  <si>
    <t xml:space="preserve">Early position figure adjusted for field size in the 2-back run</t>
  </si>
  <si>
    <t xml:space="preserve">LR3_EPF3</t>
  </si>
  <si>
    <t xml:space="preserve">Early position figure weighted by the finishing position in the 3-back run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</si>
  <si>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</si>
  <si>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</si>
  <si>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</si>
  <si>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</si>
  <si>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CIL5</t>
  </si>
  <si>
    <t xml:space="preserve">Data count index (last 5)</t>
  </si>
  <si>
    <t xml:space="preserve">horse_late_move_5r</t>
  </si>
  <si>
    <t xml:space="preserve">Mean late move, last 5 runs</t>
  </si>
  <si>
    <t xml:space="preserve">preracehorsecareerRuns</t>
  </si>
  <si>
    <t xml:space="preserve">Horse's career runs over earlier runs</t>
  </si>
  <si>
    <t xml:space="preserve">residual_exp3</t>
  </si>
  <si>
    <t xml:space="preserve">Exponentially decayed NFP residual vs the market, last 3 runs</t>
  </si>
  <si>
    <t xml:space="preserve">rFormSharpe3</t>
  </si>
  <si>
    <t xml:space="preserve">Within-race rank (1 = highest in the field) of form_sharpe_3: mean / sd of NFP over 3 runs</t>
  </si>
  <si>
    <t xml:space="preserve">EXP_NFP5</t>
  </si>
  <si>
    <t xml:space="preserve">Exponentially decayed (0.85) mean normalised finishing position (1 = won, 0 = last), last 5 runs</t>
  </si>
  <si>
    <t xml:space="preserve">residual_exp5</t>
  </si>
  <si>
    <t xml:space="preserve">Exponentially decayed NFP residual vs the market, last 5 runs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</si>
  <si>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</si>
  <si>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</si>
  <si>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</si>
  <si>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</si>
  <si>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it_ae_code_switch</t>
  </si>
  <si>
    <t xml:space="preserve">Trainer's shrunk A-E (won - BSP chance) with a code switch, earlier days</t>
  </si>
  <si>
    <t xml:space="preserve">fw_wax_m5</t>
  </si>
  <si>
    <t xml:space="preserve">Wins above chance (won - 1/N): mean of the last 5 runs (earlier days only)</t>
  </si>
  <si>
    <t xml:space="preserve">holdup_finish_ability</t>
  </si>
  <si>
    <t xml:space="preserve">Ability to finish from off the pace</t>
  </si>
  <si>
    <t xml:space="preserve">fw_wax_w10</t>
  </si>
  <si>
    <t xml:space="preserve">Wins above chance (won - 1/N): last 10 runs weighted 10..1 by recency (earlier days only)</t>
  </si>
  <si>
    <t xml:space="preserve">cd_experience</t>
  </si>
  <si>
    <t xml:space="preserve">Earlier runs at the course and distance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</si>
  <si>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</si>
  <si>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</si>
  <si>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form_slope_5</t>
  </si>
  <si>
    <t xml:space="preserve">Slope of NFP over the last 5 runs</t>
  </si>
  <si>
    <t xml:space="preserve">is_class_drop</t>
  </si>
  <si>
    <t xml:space="preserve">Dropping in class</t>
  </si>
  <si>
    <t xml:space="preserve">fw_plc_w5</t>
  </si>
  <si>
    <t xml:space="preserve">Places (first three): last 5 runs weighted 5..1 by recency (earlier days only)</t>
  </si>
  <si>
    <t xml:space="preserve">LR4_EPF3</t>
  </si>
  <si>
    <t xml:space="preserve">Early position figure weighted by the finishing position in the 4-back run</t>
  </si>
  <si>
    <t xml:space="preserve">rNFPAccel</t>
  </si>
  <si>
    <t xml:space="preserve">Within-race rank (1 = highest in the field) of nfp_acceleration: change in the NFP slope</t>
  </si>
  <si>
    <t xml:space="preserve">preracehorsecareerWAX</t>
  </si>
  <si>
    <t xml:space="preserve">Horse's career wins above chance per run (won - 1/runners) over earlier runs</t>
  </si>
  <si>
    <t xml:space="preserve">LR3_EPF2</t>
  </si>
  <si>
    <t xml:space="preserve">Early position figure adjusted for field size in the 3-back run</t>
  </si>
  <si>
    <t xml:space="preserve">rDSLR</t>
  </si>
  <si>
    <t xml:space="preserve">Within-race rank (1 = highest in the field) of FinalDSLR: days since the last run adjusted by the spacing trend</t>
  </si>
  <si>
    <t xml:space="preserve">fw_nres_w5</t>
  </si>
  <si>
    <t xml:space="preserve">Finishing position against the market's order: last 5 runs weighted 5..1 by recency (earlier days only)</t>
  </si>
  <si>
    <t xml:space="preserve">pred_pace_pressure</t>
  </si>
  <si>
    <t xml:space="preserve">Projected pace pressure</t>
  </si>
  <si>
    <t xml:space="preserve">fw_wax_w5</t>
  </si>
  <si>
    <t xml:space="preserve">Wins above chance (won - 1/N): last 5 runs weighted 5..1 by recency (earlier days only)</t>
  </si>
  <si>
    <t xml:space="preserve">LR3NFPtotal</t>
  </si>
  <si>
    <t xml:space="preserve">Mean NFP over the last 3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</si>
  <si>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</si>
  <si>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</si>
  <si>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preracejockeycareerWOA</t>
  </si>
  <si>
    <t xml:space="preserve">Jockey's career wins over average (equal to WAX in this build) over earlier days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</si>
  <si>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</si>
  <si>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</si>
  <si>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</si>
  <si>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</si>
  <si>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style_shift</t>
  </si>
  <si>
    <t xml:space="preserve">Recent early position less the career mean (style change)</t>
  </si>
  <si>
    <t xml:space="preserve">rConsistency</t>
  </si>
  <si>
    <t xml:space="preserve">Within-race rank (1 = highest in the field) of career_nfp_std: career standard deviation of NFP</t>
  </si>
  <si>
    <t xml:space="preserve">LR5_EPF2</t>
  </si>
  <si>
    <t xml:space="preserve">Early position figure adjusted for field size in the 5-back run</t>
  </si>
  <si>
    <t xml:space="preserve">draw_adj</t>
  </si>
  <si>
    <t xml:space="preserve">Stall renumbered after non-runners are taken out</t>
  </si>
  <si>
    <t xml:space="preserve">fw_nfp_w10</t>
  </si>
  <si>
    <t xml:space="preserve">Normalised finishing position: last 10 runs weighted 10..1 by recency (earlier days only)</t>
  </si>
  <si>
    <t xml:space="preserve">nfp_skew_5</t>
  </si>
  <si>
    <t xml:space="preserve">Skew of NFP over 5 runs</t>
  </si>
  <si>
    <t xml:space="preserve">it_code_switch</t>
  </si>
  <si>
    <t xml:space="preserve">First run in a code (hurdles, fences, AW)</t>
  </si>
  <si>
    <t xml:space="preserve">LR10NFPtotal</t>
  </si>
  <si>
    <t xml:space="preserve">Mean NFP over the last 10 runs</t>
  </si>
  <si>
    <t xml:space="preserve">rFSS</t>
  </si>
  <si>
    <t xml:space="preserve">Within-race rank (1 = highest in the field) of FSS: field-size stability: RMS change in field size over the last 10 runs</t>
  </si>
  <si>
    <t xml:space="preserve">trainerjockeyWOA</t>
  </si>
  <si>
    <t xml:space="preserve">Trainer-jockey combination's career wins over average (equal to WAX in this build)</t>
  </si>
  <si>
    <t xml:space="preserve">rORMomentum</t>
  </si>
  <si>
    <t xml:space="preserve">Within-race rank (1 = highest in the field) of or_momentum: trend in official rating</t>
  </si>
  <si>
    <t xml:space="preserve">LR4_EPF2</t>
  </si>
  <si>
    <t xml:space="preserve">Early position figure adjusted for field size in the 4-back run</t>
  </si>
  <si>
    <t xml:space="preserve">LR5_EPF3</t>
  </si>
  <si>
    <t xml:space="preserve">Early position figure weighted by the finishing position in the 5-back run</t>
  </si>
  <si>
    <t xml:space="preserve">surface_win_rate</t>
  </si>
  <si>
    <t xml:space="preserve">Win rate on the surface</t>
  </si>
  <si>
    <t xml:space="preserve">CIL10</t>
  </si>
  <si>
    <t xml:space="preserve">Data count index (last 10)</t>
  </si>
  <si>
    <t xml:space="preserve">horse_keen_rate</t>
  </si>
  <si>
    <t xml:space="preserve">Share of runs described as keen</t>
  </si>
  <si>
    <t xml:space="preserve">rUnexposure</t>
  </si>
  <si>
    <t xml:space="preserve">Within-race rank (1 = highest in the field) of unexposure_score: combined novelty of today's conditions</t>
  </si>
  <si>
    <t xml:space="preserve">fw_rsr_l1</t>
  </si>
  <si>
    <t xml:space="preserve">Speed rating (RSR): last run (earlier days only)</t>
  </si>
  <si>
    <t xml:space="preserve">rHorseDrawPref</t>
  </si>
  <si>
    <t xml:space="preserve">Within-race rank (1 = highest in the field) of horse_draw_pref: horse's low-less-high stall NFP</t>
  </si>
  <si>
    <t xml:space="preserve">draw_field_weight</t>
  </si>
  <si>
    <t xml:space="preserve">Field-size weight on the draw effect</t>
  </si>
  <si>
    <t xml:space="preserve">fw_wax_car</t>
  </si>
  <si>
    <t xml:space="preserve">Wins above chance (won - 1/N): career mean (earlier days only)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</si>
  <si>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</si>
  <si>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</si>
  <si>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rFormRSI5</t>
  </si>
  <si>
    <t xml:space="preserve">Within-race rank (1 = highest in the field) of form_rsi_5: RSI of NFP over 5 runs</t>
  </si>
  <si>
    <t xml:space="preserve">rPosGain</t>
  </si>
  <si>
    <t xml:space="preserve">Within-race rank (1 = highest in the field) of horse_pos_gain_mean: mean positions gained from early to finish</t>
  </si>
  <si>
    <t xml:space="preserve">horse_trouble_rate</t>
  </si>
  <si>
    <t xml:space="preserve">Share of runs with trouble in running</t>
  </si>
  <si>
    <t xml:space="preserve">horse_style_mode_share</t>
  </si>
  <si>
    <t xml:space="preserve">Share of runs in the most frequent style</t>
  </si>
  <si>
    <t xml:space="preserve">it_class_change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</si>
  <si>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</si>
  <si>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</si>
  <si>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is_class_rise</t>
  </si>
  <si>
    <t xml:space="preserve">Rising in class</t>
  </si>
  <si>
    <t xml:space="preserve">it_class_drop</t>
  </si>
  <si>
    <t xml:space="preserve">pace_advantage</t>
  </si>
  <si>
    <t xml:space="preserve">Advantage of the projected position in the projected pace</t>
  </si>
  <si>
    <t xml:space="preserve">track_style_fit</t>
  </si>
  <si>
    <t xml:space="preserve">Fit of the style to the course's winners</t>
  </si>
  <si>
    <t xml:space="preserve">rStyleConsistency</t>
  </si>
  <si>
    <t xml:space="preserve">Within-race rank (1 = highest in the field) of horse_style_consistency: how consistent the horse's early position is</t>
  </si>
  <si>
    <t xml:space="preserve">rEPF2_LR</t>
  </si>
  <si>
    <t xml:space="preserve">Within-race rank (1 = highest in the field) of LR_EPF2: early position figure adjusted for field size in the last run</t>
  </si>
  <si>
    <t xml:space="preserve">it_ae_class_drop</t>
  </si>
  <si>
    <t xml:space="preserve">Trainer's shrunk A-E (won - BSP chance) with a class drop, earlier days</t>
  </si>
  <si>
    <t xml:space="preserve">fw_plc_l1</t>
  </si>
  <si>
    <t xml:space="preserve">Places (first three): last run (earlier days only)</t>
  </si>
  <si>
    <t xml:space="preserve">has_headgear</t>
  </si>
  <si>
    <t xml:space="preserve">Headgear</t>
  </si>
  <si>
    <t xml:space="preserve">Wears headgear today</t>
  </si>
  <si>
    <t xml:space="preserve">rFrontSustain</t>
  </si>
  <si>
    <t xml:space="preserve">Within-race rank (1 = highest in the field) of front_sustainability: ability to sustain a lead</t>
  </si>
  <si>
    <t xml:space="preserve">fr_runs_90d</t>
  </si>
  <si>
    <t xml:space="preserve">Runs in the last 90 days</t>
  </si>
  <si>
    <t xml:space="preserve">horse_late_move_3r</t>
  </si>
  <si>
    <t xml:space="preserve">Mean late move, last 3 runs</t>
  </si>
  <si>
    <t xml:space="preserve">fr_runs_60d</t>
  </si>
  <si>
    <t xml:space="preserve">Runs in the last 60 days</t>
  </si>
  <si>
    <t xml:space="preserve">rNFPLR3</t>
  </si>
  <si>
    <t xml:space="preserve">Within-race rank (1 = highest in the field) of LR3NFPtotal: mean NFP over the last 3 runs</t>
  </si>
  <si>
    <t xml:space="preserve">horse_career_early_pos</t>
  </si>
  <si>
    <t xml:space="preserve">Horse's career mean early position</t>
  </si>
  <si>
    <t xml:space="preserve">horse_epf_norm_recent</t>
  </si>
  <si>
    <t xml:space="preserve">Recent normalised early position</t>
  </si>
  <si>
    <t xml:space="preserve">horse_epf_norm_mean</t>
  </si>
  <si>
    <t xml:space="preserve">Mean normalised early position</t>
  </si>
  <si>
    <t xml:space="preserve">stall_num</t>
  </si>
  <si>
    <t xml:space="preserve">Stall (draw)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</si>
  <si>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</si>
  <si>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</si>
  <si>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preracehorsecareerPlaces</t>
  </si>
  <si>
    <t xml:space="preserve">Horse's career first-three finishes over earlier runs</t>
  </si>
  <si>
    <t xml:space="preserve">rHoldupFinish</t>
  </si>
  <si>
    <t xml:space="preserve">Within-race rank (1 = highest in the field) of holdup_finish_ability: ability to finish from off the pace</t>
  </si>
  <si>
    <t xml:space="preserve">career_win_surprise</t>
  </si>
  <si>
    <t xml:space="preserve">Career mean of wins at long prices (won x log BSP)</t>
  </si>
  <si>
    <t xml:space="preserve">rDrawPctAdj</t>
  </si>
  <si>
    <t xml:space="preserve">Within-race rank (1 = highest in the field) of draw_pct_adj: adjusted stall as a share of the field (0 = lowest)</t>
  </si>
  <si>
    <t xml:space="preserve">lead_prob_rank</t>
  </si>
  <si>
    <t xml:space="preserve">Rank of the chance of leading in the field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</si>
  <si>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</si>
  <si>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</si>
  <si>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fw_plc_car</t>
  </si>
  <si>
    <t xml:space="preserve">Places (first three): career mean (earlier days only)</t>
  </si>
  <si>
    <t xml:space="preserve">horse_early_pos_3r</t>
  </si>
  <si>
    <t xml:space="preserve">Mean early position, last 3 runs</t>
  </si>
  <si>
    <t xml:space="preserve">career_place_rate</t>
  </si>
  <si>
    <t xml:space="preserve">Horse's career place (top-three) rate over earlier runs</t>
  </si>
  <si>
    <t xml:space="preserve">LR_total_move</t>
  </si>
  <si>
    <t xml:space="preserve">Places gained through the last run</t>
  </si>
  <si>
    <t xml:space="preserve">draw_pref_match</t>
  </si>
  <si>
    <t xml:space="preserve">Today's stall matches the horse's preference</t>
  </si>
  <si>
    <t xml:space="preserve">course_experience</t>
  </si>
  <si>
    <t xml:space="preserve">Earlier runs at the course</t>
  </si>
  <si>
    <t xml:space="preserve">fr_runs_since_win</t>
  </si>
  <si>
    <t xml:space="preserve">Runs since the last win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</si>
  <si>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</si>
  <si>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</si>
  <si>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it_ft_headgear</t>
  </si>
  <si>
    <t xml:space="preserve">First-time headgear item</t>
  </si>
  <si>
    <t xml:space="preserve">rPaceAdvantage</t>
  </si>
  <si>
    <t xml:space="preserve">Within-race rank (1 = highest in the field) of pace_advantage: advantage of the projected position in the projected pace</t>
  </si>
  <si>
    <t xml:space="preserve">it_ae_hcap_debut</t>
  </si>
  <si>
    <t xml:space="preserve">Trainer's shrunk A-E (won - BSP chance) with a handicap debut, earlier days</t>
  </si>
  <si>
    <t xml:space="preserve">fw_plc_m5</t>
  </si>
  <si>
    <t xml:space="preserve">Places (first three): mean of the last 5 runs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</si>
  <si>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</si>
  <si>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</si>
  <si>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</si>
  <si>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</si>
  <si>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recent_place_rate</t>
  </si>
  <si>
    <t xml:space="preserve">Place rate over the last 10 runs</t>
  </si>
  <si>
    <t xml:space="preserve">going_experience</t>
  </si>
  <si>
    <t xml:space="preserve">Earlier runs on today's going</t>
  </si>
  <si>
    <t xml:space="preserve">rail_trust</t>
  </si>
  <si>
    <t xml:space="preserve">Trust in the draw bias given the rail movement</t>
  </si>
  <si>
    <t xml:space="preserve">OFS5</t>
  </si>
  <si>
    <t xml:space="preserve">Recency-weighted odds x field size, last 5 runs</t>
  </si>
  <si>
    <t xml:space="preserve">draw_nr_shift</t>
  </si>
  <si>
    <t xml:space="preserve">Places the non-runners moved the stall in</t>
  </si>
  <si>
    <t xml:space="preserve">dist_experience</t>
  </si>
  <si>
    <t xml:space="preserve">Earlier runs at today's trip</t>
  </si>
  <si>
    <t xml:space="preserve">recent_win_rate</t>
  </si>
  <si>
    <t xml:space="preserve">Win rate over the last 10 runs</t>
  </si>
  <si>
    <t xml:space="preserve">LR_epf_norm</t>
  </si>
  <si>
    <t xml:space="preserve">Normalised early position in the last run</t>
  </si>
  <si>
    <t xml:space="preserve">rPredEarlyPos</t>
  </si>
  <si>
    <t xml:space="preserve">Within-race rank (1 = highest in the field) of pred_early_pos: projected early position today</t>
  </si>
  <si>
    <t xml:space="preserve">fw_plc_w3</t>
  </si>
  <si>
    <t xml:space="preserve">Places (first three): last 3 runs weighted 3-2-1 by recency (earlier days only)</t>
  </si>
  <si>
    <t xml:space="preserve">rNFPLR5</t>
  </si>
  <si>
    <t xml:space="preserve">Within-race rank (1 = highest in the field) of LR5NFPtotal: mean NFP over the last 5 runs</t>
  </si>
  <si>
    <t xml:space="preserve">EXP_RB5</t>
  </si>
  <si>
    <t xml:space="preserve">Exponentially decayed (0.85) mean races-beaten score (identical to NFP in this data), last 5 runs</t>
  </si>
  <si>
    <t xml:space="preserve">rHorseCareerEarlyPos</t>
  </si>
  <si>
    <t xml:space="preserve">Within-race rank (1 = highest in the field) of horse_career_early_pos: horse's career mean early position</t>
  </si>
  <si>
    <t xml:space="preserve">win_density_60d</t>
  </si>
  <si>
    <t xml:space="preserve">Wins in the last 60 days</t>
  </si>
  <si>
    <t xml:space="preserve">fw_rsr_car</t>
  </si>
  <si>
    <t xml:space="preserve">Speed rating (RSR): career mean (earlier days only)</t>
  </si>
  <si>
    <t xml:space="preserve">draw_quartile</t>
  </si>
  <si>
    <t xml:space="preserve">Stall quartile</t>
  </si>
  <si>
    <t xml:space="preserve">surface_runs</t>
  </si>
  <si>
    <t xml:space="preserve">Runs on the surface</t>
  </si>
  <si>
    <t xml:space="preserve">rDrawBiasEV</t>
  </si>
  <si>
    <t xml:space="preserve">Within-race rank (1 = highest in the field) of draw_bias_ev_adj: the same on the adjusted stall</t>
  </si>
  <si>
    <t xml:space="preserve">rDrawPosFit</t>
  </si>
  <si>
    <t xml:space="preserve">Within-race rank (1 = highest in the field) of draw_pos_fit: fit of the stall to the projected position</t>
  </si>
  <si>
    <t xml:space="preserve">preracehorsecareerRB</t>
  </si>
  <si>
    <t xml:space="preserve">Horse's career races-beaten score (identical to NFP in this data) over earlier runs</t>
  </si>
  <si>
    <t xml:space="preserve">EXP_RB10</t>
  </si>
  <si>
    <t xml:space="preserve">Exponentially decayed (0.85) mean races-beaten score (identical to NFP in this data), last 10 runs</t>
  </si>
  <si>
    <t xml:space="preserve">LR_late_move</t>
  </si>
  <si>
    <t xml:space="preserve">Places gained late in the last run</t>
  </si>
  <si>
    <t xml:space="preserve">draw_front_enable</t>
  </si>
  <si>
    <t xml:space="preserve">Stall that makes front-running easy</t>
  </si>
  <si>
    <t xml:space="preserve">rTrackStyleFit</t>
  </si>
  <si>
    <t xml:space="preserve">Within-race rank (1 = highest in the field) of track_style_fit: fit of the style to the course's winners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</si>
  <si>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</si>
  <si>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</si>
  <si>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</si>
  <si>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</si>
  <si>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</si>
  <si>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LR2_total_move</t>
  </si>
  <si>
    <t xml:space="preserve">Total move two runs back</t>
  </si>
  <si>
    <t xml:space="preserve">draw_front_advantage</t>
  </si>
  <si>
    <t xml:space="preserve">Draw advantage for front-runners here</t>
  </si>
  <si>
    <t xml:space="preserve">pred_n_front</t>
  </si>
  <si>
    <t xml:space="preserve">Projected number of front-runners</t>
  </si>
  <si>
    <t xml:space="preserve">LR2_late_move</t>
  </si>
  <si>
    <t xml:space="preserve">Late move two runs back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</si>
  <si>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</si>
  <si>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</si>
  <si>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fr_runs_30d</t>
  </si>
  <si>
    <t xml:space="preserve">Runs in the last 30 days</t>
  </si>
  <si>
    <t xml:space="preserve">fw_rsr_m3</t>
  </si>
  <si>
    <t xml:space="preserve">Speed rating (RSR): mean of the last 3 runs (earlier days only)</t>
  </si>
  <si>
    <t xml:space="preserve">fw_win_w5</t>
  </si>
  <si>
    <t xml:space="preserve">Wins: last 5 runs weighted 5..1 by recency (earlier days only)</t>
  </si>
  <si>
    <t xml:space="preserve">LR2_early_pos</t>
  </si>
  <si>
    <t xml:space="preserve">Early position two runs back</t>
  </si>
  <si>
    <t xml:space="preserve">preracehorsecareerWIV</t>
  </si>
  <si>
    <t xml:space="preserve">Horse's career win index: wins / wins expected by chance (sum of 1/runners) over earlier runs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</si>
  <si>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</si>
  <si>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</si>
  <si>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</si>
  <si>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</si>
  <si>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fw_rsr_m5</t>
  </si>
  <si>
    <t xml:space="preserve">Speed rating (RSR): mean of the last 5 runs (earlier days only)</t>
  </si>
  <si>
    <t xml:space="preserve">preracehorsecareerWOA</t>
  </si>
  <si>
    <t xml:space="preserve">Horse's career wins over average (equal to WAX in this build) over earlier runs</t>
  </si>
  <si>
    <t xml:space="preserve">unexposure_score</t>
  </si>
  <si>
    <t xml:space="preserve">Combined novelty of today's conditions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</si>
  <si>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</si>
  <si>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</si>
  <si>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</si>
  <si>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</si>
  <si>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</si>
  <si>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</si>
  <si>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</si>
  <si>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</si>
  <si>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LR3_early_pos</t>
  </si>
  <si>
    <t xml:space="preserve">Early position three runs back</t>
  </si>
  <si>
    <t xml:space="preserve">it_ae_ft_headgear</t>
  </si>
  <si>
    <t xml:space="preserve">Trainer's shrunk A-E (won - BSP chance) with first-time headgear, earlier days</t>
  </si>
  <si>
    <t xml:space="preserve">fw_nfp_m3</t>
  </si>
  <si>
    <t xml:space="preserve">Normalised finishing position: mean of the last 3 runs (earlier days only)</t>
  </si>
  <si>
    <t xml:space="preserve">draw_vacancy_inside</t>
  </si>
  <si>
    <t xml:space="preserve">Empty stalls inside this runner</t>
  </si>
  <si>
    <t xml:space="preserve">career_win_rate</t>
  </si>
  <si>
    <t xml:space="preserve">Horse's career win rate over earlier runs</t>
  </si>
  <si>
    <t xml:space="preserve">is_stall_1</t>
  </si>
  <si>
    <t xml:space="preserve">Drawn in stall 1</t>
  </si>
  <si>
    <t xml:space="preserve">fw_win_car</t>
  </si>
  <si>
    <t xml:space="preserve">Wins: career mean (earlier days only)</t>
  </si>
  <si>
    <t xml:space="preserve">fw_nfp_m5</t>
  </si>
  <si>
    <t xml:space="preserve">Normalised finishing position: mean of the last 5 runs (earlier days only)</t>
  </si>
  <si>
    <t xml:space="preserve">WgtDSLR</t>
  </si>
  <si>
    <t xml:space="preserve">Weighted acceleration of run spacing</t>
  </si>
  <si>
    <t xml:space="preserve">EXP_RB3</t>
  </si>
  <si>
    <t xml:space="preserve">Exponentially decayed (0.85) mean races-beaten score (identical to NFP in this data), last 3 runs</t>
  </si>
  <si>
    <t xml:space="preserve">horse_modal_style</t>
  </si>
  <si>
    <t xml:space="preserve">Most frequent running style</t>
  </si>
  <si>
    <t xml:space="preserve">LR3_late_move</t>
  </si>
  <si>
    <t xml:space="preserve">Late move three runs back</t>
  </si>
  <si>
    <t xml:space="preserve">DSLR4</t>
  </si>
  <si>
    <t xml:space="preserve">Days since the 4th-last run</t>
  </si>
  <si>
    <t xml:space="preserve">rLeadProb</t>
  </si>
  <si>
    <t xml:space="preserve">Within-race rank (1 = highest in the field) of predicted_lead_prob: projected chance of leading</t>
  </si>
  <si>
    <t xml:space="preserve">LRPTotalScore</t>
  </si>
  <si>
    <t xml:space="preserve">Last-run placing index (placed = first three)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</si>
  <si>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</si>
  <si>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</si>
  <si>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preracehorsecareerWins</t>
  </si>
  <si>
    <t xml:space="preserve">Horse's career wins over earlier runs</t>
  </si>
  <si>
    <t xml:space="preserve">LR10COUNT</t>
  </si>
  <si>
    <t xml:space="preserve">Runs held in the last 10 slots</t>
  </si>
  <si>
    <t xml:space="preserve">headgear_change</t>
  </si>
  <si>
    <t xml:space="preserve">Headgear changed from the last run</t>
  </si>
  <si>
    <t xml:space="preserve">LR2_EPF</t>
  </si>
  <si>
    <t xml:space="preserve">Early position figure from the in-running comment (1 rear .. 6 led) in the 2-back run</t>
  </si>
  <si>
    <t xml:space="preserve">first_time_headgear</t>
  </si>
  <si>
    <t xml:space="preserve">First-time headgear</t>
  </si>
  <si>
    <t xml:space="preserve">first_at_cd</t>
  </si>
  <si>
    <t xml:space="preserve">First run at the course and distance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</si>
  <si>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</si>
  <si>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</si>
  <si>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</si>
  <si>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</si>
  <si>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it_layoff</t>
  </si>
  <si>
    <t xml:space="preserve">Return from a 90+ day break</t>
  </si>
  <si>
    <t xml:space="preserve">LR5_EPF</t>
  </si>
  <si>
    <t xml:space="preserve">Early position figure from the in-running comment (1 rear .. 6 led) in the 5-back run</t>
  </si>
  <si>
    <t xml:space="preserve">keen_rate_3r</t>
  </si>
  <si>
    <t xml:space="preserve">Keen rate, last 3 runs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</si>
  <si>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</si>
  <si>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</si>
  <si>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</si>
  <si>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</si>
  <si>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FinalDSLR</t>
  </si>
  <si>
    <t xml:space="preserve">Days since the last run adjusted by the spacing trend</t>
  </si>
  <si>
    <t xml:space="preserve">LR3_EPF</t>
  </si>
  <si>
    <t xml:space="preserve">Early position figure from the in-running comment (1 rear .. 6 led) in the 3-back run</t>
  </si>
  <si>
    <t xml:space="preserve">rDrawFieldAdj</t>
  </si>
  <si>
    <t xml:space="preserve">Within-race rank (1 = highest in the field) of draw_advantage_field_adj: draw advantage scaled by field size</t>
  </si>
  <si>
    <t xml:space="preserve">horse_track_runs</t>
  </si>
  <si>
    <t xml:space="preserve">Runs at the course</t>
  </si>
  <si>
    <t xml:space="preserve">fw_win_w3</t>
  </si>
  <si>
    <t xml:space="preserve">Wins: last 3 runs weighted 3-2-1 by recency (earlier days only)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</si>
  <si>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</si>
  <si>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</si>
  <si>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</si>
  <si>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</si>
  <si>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</si>
  <si>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</si>
  <si>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</si>
  <si>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</si>
  <si>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LR_was_keen</t>
  </si>
  <si>
    <t xml:space="preserve">Keen in the last run</t>
  </si>
  <si>
    <t xml:space="preserve">is_left_handed</t>
  </si>
  <si>
    <t xml:space="preserve">Left-handed course</t>
  </si>
  <si>
    <t xml:space="preserve">draw_bias_confident</t>
  </si>
  <si>
    <t xml:space="preserve">Draw bias is confident (enough races, rail not moved)</t>
  </si>
  <si>
    <t xml:space="preserve">or_off_peak</t>
  </si>
  <si>
    <t xml:space="preserve">Points below the peak rating</t>
  </si>
  <si>
    <t xml:space="preserve">fw_nfp_car</t>
  </si>
  <si>
    <t xml:space="preserve">Normalised finishing position: career mean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</si>
  <si>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</si>
  <si>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</si>
  <si>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</si>
  <si>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</si>
  <si>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</si>
  <si>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</si>
  <si>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</si>
  <si>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</si>
  <si>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</si>
  <si>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</si>
  <si>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DSLR34diff</t>
  </si>
  <si>
    <t xml:space="preserve">Change in spacing (gaps 3-4), third weight</t>
  </si>
  <si>
    <t xml:space="preserve">fw_win_m5</t>
  </si>
  <si>
    <t xml:space="preserve">Wins: mean of the last 5 runs (earlier days only)</t>
  </si>
  <si>
    <t xml:space="preserve">fw_win_m3</t>
  </si>
  <si>
    <t xml:space="preserve">Wins: mean of the last 3 runs (earlier days only)</t>
  </si>
  <si>
    <t xml:space="preserve">rail_moved</t>
  </si>
  <si>
    <t xml:space="preserve">Rail moved today</t>
  </si>
  <si>
    <t xml:space="preserve">is_widest_stall</t>
  </si>
  <si>
    <t xml:space="preserve">Drawn widest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</si>
  <si>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</si>
  <si>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</si>
  <si>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</si>
  <si>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</si>
  <si>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fr_quick_after_win</t>
  </si>
  <si>
    <t xml:space="preserve">Back within 14 days of a win</t>
  </si>
  <si>
    <t xml:space="preserve">is_declining</t>
  </si>
  <si>
    <t xml:space="preserve">Form slope over 3 runs &lt; -0.05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</si>
  <si>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</si>
  <si>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</si>
  <si>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</si>
  <si>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</si>
  <si>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</si>
  <si>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</si>
  <si>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first_at_going</t>
  </si>
  <si>
    <t xml:space="preserve">First run on the going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</si>
  <si>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</si>
  <si>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</si>
  <si>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</si>
  <si>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</si>
  <si>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</si>
  <si>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</si>
  <si>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</si>
  <si>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</si>
  <si>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</si>
  <si>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</si>
  <si>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</si>
  <si>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</si>
  <si>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</si>
  <si>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</si>
  <si>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</si>
  <si>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</si>
  <si>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</si>
  <si>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</si>
  <si>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</si>
  <si>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</si>
  <si>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</si>
  <si>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</si>
  <si>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</si>
  <si>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</si>
  <si>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</si>
  <si>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</si>
  <si>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</si>
  <si>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</si>
  <si>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</si>
  <si>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</si>
  <si>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</si>
  <si>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</si>
  <si>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</si>
  <si>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</si>
  <si>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</si>
  <si>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</si>
  <si>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</si>
  <si>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</si>
  <si>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</si>
  <si>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</si>
  <si>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</si>
  <si>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</si>
  <si>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</si>
  <si>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</si>
  <si>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</si>
  <si>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</si>
  <si>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</si>
  <si>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</si>
  <si>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</si>
  <si>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</si>
  <si>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</si>
  <si>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</si>
  <si>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</si>
  <si>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</si>
  <si>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</si>
  <si>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</si>
  <si>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</si>
  <si>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</si>
  <si>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</si>
  <si>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</si>
  <si>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</si>
  <si>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</si>
  <si>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</si>
  <si>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</si>
  <si>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</si>
  <si>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</si>
  <si>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</si>
  <si>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</si>
  <si>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</si>
  <si>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</si>
  <si>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</si>
  <si>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</si>
  <si>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</si>
  <si>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</si>
  <si>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</si>
  <si>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</si>
  <si>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</si>
  <si>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</si>
  <si>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</si>
  <si>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</si>
  <si>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</si>
  <si>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</si>
  <si>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</si>
  <si>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</si>
  <si>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</si>
  <si>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</si>
  <si>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</si>
  <si>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</si>
  <si>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</si>
  <si>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</si>
  <si>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</si>
  <si>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</si>
  <si>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</si>
  <si>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</si>
  <si>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</si>
  <si>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</si>
  <si>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</si>
  <si>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</si>
  <si>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</si>
  <si>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</si>
  <si>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</si>
  <si>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</si>
  <si>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</si>
  <si>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</si>
  <si>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</si>
  <si>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</si>
  <si>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</si>
  <si>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</si>
  <si>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</si>
  <si>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</si>
  <si>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</si>
  <si>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</si>
  <si>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</si>
  <si>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</si>
  <si>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</si>
  <si>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</si>
  <si>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</si>
  <si>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</si>
  <si>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</si>
  <si>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</si>
  <si>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</si>
  <si>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</si>
  <si>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</si>
  <si>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</si>
  <si>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</si>
  <si>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</si>
  <si>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</si>
  <si>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</si>
  <si>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</si>
  <si>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</si>
  <si>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</si>
  <si>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</si>
  <si>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</si>
  <si>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</si>
  <si>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</si>
  <si>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</si>
  <si>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</si>
  <si>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</si>
  <si>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</si>
  <si>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</si>
  <si>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</si>
  <si>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</si>
  <si>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</si>
  <si>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</si>
  <si>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</si>
  <si>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</si>
  <si>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</si>
  <si>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</si>
  <si>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</si>
  <si>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</si>
  <si>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</si>
  <si>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</si>
  <si>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</si>
  <si>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</si>
  <si>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</si>
  <si>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</si>
  <si>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</si>
  <si>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</si>
  <si>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</si>
  <si>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</si>
  <si>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</si>
  <si>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</si>
  <si>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</si>
  <si>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</si>
  <si>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</si>
  <si>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</si>
  <si>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</si>
  <si>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</si>
  <si>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</si>
  <si>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</si>
  <si>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</si>
  <si>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</si>
  <si>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</si>
  <si>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</si>
  <si>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</si>
  <si>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</si>
  <si>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</si>
  <si>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</si>
  <si>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</si>
  <si>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</si>
  <si>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</si>
  <si>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</si>
  <si>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</si>
  <si>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</si>
  <si>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</si>
  <si>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</si>
  <si>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</si>
  <si>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</si>
  <si>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</si>
  <si>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</si>
  <si>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</si>
  <si>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</si>
  <si>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</si>
  <si>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</si>
  <si>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</si>
  <si>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</si>
  <si>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</si>
  <si>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</si>
  <si>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</si>
  <si>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</si>
  <si>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</si>
  <si>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</si>
  <si>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</si>
  <si>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</si>
  <si>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</si>
  <si>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</si>
  <si>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</si>
  <si>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</si>
  <si>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</si>
  <si>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</si>
  <si>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</si>
  <si>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</si>
  <si>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</si>
  <si>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</si>
  <si>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</si>
  <si>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</si>
  <si>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</si>
  <si>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</si>
  <si>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</si>
  <si>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</si>
  <si>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</si>
  <si>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</si>
  <si>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</si>
  <si>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</si>
  <si>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</si>
  <si>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</si>
  <si>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</si>
  <si>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</si>
  <si>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</si>
  <si>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</si>
  <si>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</si>
  <si>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</si>
  <si>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</si>
  <si>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</si>
  <si>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</si>
  <si>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</si>
  <si>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</si>
  <si>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</si>
  <si>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</si>
  <si>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</si>
  <si>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</si>
  <si>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</si>
  <si>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</si>
  <si>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</si>
  <si>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</si>
  <si>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</si>
  <si>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</si>
  <si>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</si>
  <si>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</si>
  <si>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</si>
  <si>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</si>
  <si>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</si>
  <si>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</si>
  <si>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</si>
  <si>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</si>
  <si>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</si>
  <si>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</si>
  <si>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</si>
  <si>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</si>
  <si>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</si>
  <si>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</si>
  <si>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</si>
  <si>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</si>
  <si>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</si>
  <si>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</si>
  <si>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</si>
  <si>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</si>
  <si>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</si>
  <si>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</si>
  <si>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</si>
  <si>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</si>
  <si>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</si>
  <si>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</si>
  <si>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</si>
  <si>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</si>
  <si>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</si>
  <si>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</si>
  <si>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</si>
  <si>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</si>
  <si>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</si>
  <si>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</si>
  <si>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</si>
  <si>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</si>
  <si>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</si>
  <si>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</si>
  <si>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</si>
  <si>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</si>
  <si>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</si>
  <si>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</si>
  <si>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</si>
  <si>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</si>
  <si>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</si>
  <si>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</si>
  <si>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</si>
  <si>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</si>
  <si>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</si>
  <si>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</si>
  <si>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</si>
  <si>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</si>
  <si>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</si>
  <si>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</si>
  <si>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</si>
  <si>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</si>
  <si>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</si>
  <si>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</si>
  <si>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</si>
  <si>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</si>
  <si>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</si>
  <si>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</si>
  <si>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</si>
  <si>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</si>
  <si>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</si>
  <si>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</si>
  <si>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</si>
  <si>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</si>
  <si>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</si>
  <si>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</si>
  <si>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</si>
  <si>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</si>
  <si>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</si>
  <si>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</si>
  <si>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</si>
  <si>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</si>
  <si>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</si>
  <si>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</si>
  <si>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</si>
  <si>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</si>
  <si>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</si>
  <si>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</si>
  <si>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</si>
  <si>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</si>
  <si>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</si>
  <si>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</si>
  <si>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</si>
  <si>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</si>
  <si>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</si>
  <si>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</si>
  <si>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</si>
  <si>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</si>
  <si>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</si>
  <si>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</si>
  <si>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</si>
  <si>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</si>
  <si>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</si>
  <si>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</si>
  <si>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</si>
  <si>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</si>
  <si>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</si>
  <si>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</si>
  <si>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</si>
  <si>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</si>
  <si>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</si>
  <si>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</si>
  <si>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</si>
  <si>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</si>
  <si>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</si>
  <si>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</si>
  <si>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</si>
  <si>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</si>
  <si>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</si>
  <si>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</si>
  <si>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</si>
  <si>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</si>
  <si>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</si>
  <si>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</si>
  <si>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</si>
  <si>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</si>
  <si>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</si>
  <si>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</si>
  <si>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</si>
  <si>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</si>
  <si>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</si>
  <si>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</si>
  <si>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</si>
  <si>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</si>
  <si>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</si>
  <si>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</si>
  <si>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</si>
  <si>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</si>
  <si>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</si>
  <si>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</si>
  <si>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</si>
  <si>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</si>
  <si>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</si>
  <si>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</si>
  <si>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</si>
  <si>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</si>
  <si>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</si>
  <si>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</si>
  <si>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</si>
  <si>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</si>
  <si>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</si>
  <si>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</si>
  <si>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</si>
  <si>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</si>
  <si>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</si>
  <si>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</si>
  <si>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</si>
  <si>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</si>
  <si>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</si>
  <si>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</si>
  <si>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</si>
  <si>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</si>
  <si>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</si>
  <si>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</si>
  <si>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</si>
  <si>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</si>
  <si>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</si>
  <si>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</si>
  <si>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</si>
  <si>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</si>
  <si>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</si>
  <si>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</si>
  <si>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</si>
  <si>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</si>
  <si>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</si>
  <si>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</si>
  <si>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</si>
  <si>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</si>
  <si>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</si>
  <si>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</si>
  <si>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</si>
  <si>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</si>
  <si>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</si>
  <si>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</si>
  <si>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</si>
  <si>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</si>
  <si>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</si>
  <si>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</si>
  <si>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</si>
  <si>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</si>
  <si>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</si>
  <si>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</si>
  <si>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</si>
  <si>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</si>
  <si>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</si>
  <si>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</si>
  <si>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</si>
  <si>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</si>
  <si>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</si>
  <si>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</si>
  <si>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</si>
  <si>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</si>
  <si>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</si>
  <si>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</si>
  <si>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</si>
  <si>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</si>
  <si>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</si>
  <si>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</si>
  <si>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</si>
  <si>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</si>
  <si>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</si>
  <si>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</si>
  <si>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</si>
  <si>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</si>
  <si>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</si>
  <si>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</si>
  <si>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</si>
  <si>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</si>
  <si>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</si>
  <si>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</si>
  <si>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</si>
  <si>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</si>
  <si>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</si>
  <si>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</si>
  <si>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</si>
  <si>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</si>
  <si>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</si>
  <si>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</si>
  <si>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</si>
  <si>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</si>
  <si>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</si>
  <si>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</si>
  <si>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</si>
  <si>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</si>
  <si>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</si>
  <si>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</si>
  <si>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</si>
  <si>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</si>
  <si>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</si>
  <si>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</si>
  <si>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</si>
  <si>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</si>
  <si>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</si>
  <si>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</si>
  <si>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</si>
  <si>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</si>
  <si>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</si>
  <si>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</si>
  <si>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</si>
  <si>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</si>
  <si>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</si>
  <si>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</si>
  <si>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</si>
  <si>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</si>
  <si>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</si>
  <si>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</si>
  <si>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</si>
  <si>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</si>
  <si>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</si>
  <si>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</si>
  <si>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</si>
  <si>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</si>
  <si>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</si>
  <si>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</si>
  <si>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</si>
  <si>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</si>
  <si>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</si>
  <si>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</si>
  <si>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</si>
  <si>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</si>
  <si>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</si>
  <si>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</si>
  <si>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</si>
  <si>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</si>
  <si>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</si>
  <si>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</si>
  <si>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</si>
  <si>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</si>
  <si>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</si>
  <si>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</si>
  <si>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</si>
  <si>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</si>
  <si>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</si>
  <si>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</si>
  <si>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</si>
  <si>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</si>
  <si>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</si>
  <si>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</si>
  <si>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</si>
  <si>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</si>
  <si>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</si>
  <si>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</si>
  <si>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</si>
  <si>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</si>
  <si>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</si>
  <si>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</si>
  <si>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</si>
  <si>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</si>
  <si>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</si>
  <si>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</si>
  <si>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</si>
  <si>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</si>
  <si>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</si>
  <si>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</si>
  <si>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</si>
  <si>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</si>
  <si>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</si>
  <si>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</si>
  <si>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</si>
  <si>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</si>
  <si>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</si>
  <si>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</si>
  <si>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</si>
  <si>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</si>
  <si>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</si>
  <si>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</si>
  <si>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</si>
  <si>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</si>
  <si>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</si>
  <si>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</si>
  <si>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</si>
  <si>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</si>
  <si>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</si>
  <si>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</si>
  <si>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</si>
  <si>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</si>
  <si>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</si>
  <si>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</si>
  <si>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</si>
  <si>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</si>
  <si>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</si>
  <si>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</si>
  <si>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</si>
  <si>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</si>
  <si>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</si>
  <si>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</si>
  <si>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</si>
  <si>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</si>
  <si>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</si>
  <si>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</si>
  <si>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</si>
  <si>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</si>
  <si>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</si>
  <si>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</si>
  <si>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</si>
  <si>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</si>
  <si>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</si>
  <si>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</si>
  <si>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</si>
  <si>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</si>
  <si>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</si>
  <si>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</si>
  <si>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</si>
  <si>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</si>
  <si>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</si>
  <si>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</si>
  <si>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</si>
  <si>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</si>
  <si>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</si>
  <si>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</si>
  <si>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</si>
  <si>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</si>
  <si>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</si>
  <si>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</si>
  <si>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</si>
  <si>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</si>
  <si>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</si>
  <si>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</si>
  <si>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</si>
  <si>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</si>
  <si>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</si>
  <si>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</si>
  <si>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</si>
  <si>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</si>
  <si>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</si>
  <si>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</si>
  <si>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</si>
  <si>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</si>
  <si>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</si>
  <si>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</si>
  <si>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</si>
  <si>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</si>
  <si>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</si>
  <si>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</si>
  <si>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</si>
  <si>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</si>
  <si>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</si>
  <si>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</si>
  <si>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</si>
  <si>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</si>
  <si>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</si>
  <si>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</si>
  <si>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</si>
  <si>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</si>
  <si>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</si>
  <si>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</si>
  <si>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</si>
  <si>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</si>
  <si>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</si>
  <si>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</si>
  <si>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</si>
  <si>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</si>
  <si>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</si>
  <si>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</si>
  <si>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</si>
  <si>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</si>
  <si>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</si>
  <si>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</si>
  <si>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</si>
  <si>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</si>
  <si>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</si>
  <si>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</si>
  <si>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</si>
  <si>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</si>
  <si>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</si>
  <si>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</si>
  <si>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</si>
  <si>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</si>
  <si>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</si>
  <si>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</si>
  <si>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</si>
  <si>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</si>
  <si>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</si>
  <si>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</si>
  <si>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</si>
  <si>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</si>
  <si>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</si>
  <si>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</si>
  <si>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</si>
  <si>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</si>
  <si>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</si>
  <si>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</si>
  <si>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</si>
  <si>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</si>
  <si>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</si>
  <si>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</si>
  <si>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</si>
  <si>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</si>
  <si>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</si>
  <si>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</si>
  <si>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</si>
  <si>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</si>
  <si>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</si>
  <si>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</si>
  <si>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</si>
  <si>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</si>
  <si>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</si>
  <si>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</si>
  <si>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</si>
  <si>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</si>
  <si>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</si>
  <si>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</si>
  <si>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</si>
  <si>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</si>
  <si>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</si>
  <si>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</si>
  <si>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</si>
  <si>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</si>
  <si>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</si>
  <si>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</si>
  <si>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</si>
  <si>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</si>
  <si>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</si>
  <si>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</si>
  <si>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</si>
  <si>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</si>
  <si>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</si>
  <si>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</si>
  <si>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</si>
  <si>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</si>
  <si>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</si>
  <si>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</si>
  <si>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</si>
  <si>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</si>
  <si>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</si>
  <si>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</si>
  <si>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</si>
  <si>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</si>
  <si>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</si>
  <si>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</si>
  <si>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</si>
  <si>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</si>
  <si>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</si>
  <si>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</si>
  <si>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</si>
  <si>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</si>
  <si>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</si>
  <si>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</si>
  <si>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</si>
  <si>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</si>
  <si>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</si>
  <si>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</si>
  <si>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</si>
  <si>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</si>
  <si>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</si>
  <si>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</si>
  <si>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</si>
  <si>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</si>
  <si>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</si>
  <si>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</si>
  <si>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</si>
  <si>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</si>
  <si>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</si>
  <si>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</si>
  <si>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</si>
  <si>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</si>
  <si>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</si>
  <si>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</si>
  <si>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</si>
  <si>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</si>
  <si>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</si>
  <si>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</si>
  <si>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</si>
  <si>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</si>
  <si>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</si>
  <si>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</si>
  <si>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</si>
  <si>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</si>
  <si>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</si>
  <si>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</si>
  <si>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</si>
  <si>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</si>
  <si>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</si>
  <si>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</si>
  <si>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</si>
  <si>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</si>
  <si>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</si>
  <si>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</si>
  <si>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</si>
  <si>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</si>
  <si>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</si>
  <si>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</si>
  <si>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</si>
  <si>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</si>
  <si>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</si>
  <si>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</si>
  <si>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</si>
  <si>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</si>
  <si>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</si>
  <si>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</si>
  <si>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</si>
  <si>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</si>
  <si>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</si>
  <si>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</si>
  <si>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</si>
  <si>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</si>
  <si>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</si>
  <si>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</si>
  <si>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</si>
  <si>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</si>
  <si>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</si>
  <si>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</si>
  <si>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</si>
  <si>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</si>
  <si>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</si>
  <si>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</si>
  <si>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</si>
  <si>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</si>
  <si>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</si>
  <si>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</si>
  <si>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</si>
  <si>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</si>
  <si>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</si>
  <si>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</si>
  <si>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</si>
  <si>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</si>
  <si>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</si>
  <si>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</si>
  <si>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</si>
  <si>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</si>
  <si>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</si>
  <si>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</si>
  <si>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</si>
  <si>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</si>
  <si>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</si>
  <si>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</si>
  <si>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</si>
  <si>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</si>
  <si>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</si>
  <si>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</si>
  <si>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</si>
  <si>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</si>
  <si>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</si>
  <si>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</si>
  <si>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</si>
  <si>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</si>
  <si>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</si>
  <si>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</si>
  <si>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</si>
  <si>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</si>
  <si>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</si>
  <si>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</si>
  <si>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</si>
  <si>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</si>
  <si>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</si>
  <si>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</si>
  <si>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</si>
  <si>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</si>
  <si>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</si>
  <si>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</si>
  <si>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</si>
  <si>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</si>
  <si>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</si>
  <si>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</si>
  <si>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</si>
  <si>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</si>
  <si>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</si>
  <si>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</si>
  <si>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</si>
  <si>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</si>
  <si>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</si>
  <si>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</si>
  <si>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</si>
  <si>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</si>
  <si>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</si>
  <si>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</si>
  <si>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</si>
  <si>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</si>
  <si>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</si>
  <si>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</si>
  <si>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</si>
  <si>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</si>
  <si>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</si>
  <si>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</si>
  <si>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</si>
  <si>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</si>
  <si>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</si>
  <si>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</si>
  <si>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</si>
  <si>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</si>
  <si>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</si>
  <si>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</si>
  <si>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</si>
  <si>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</si>
  <si>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</si>
  <si>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</si>
  <si>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</si>
  <si>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</si>
  <si>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</si>
  <si>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</si>
  <si>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</si>
  <si>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</si>
  <si>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</si>
  <si>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</si>
  <si>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</si>
  <si>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</si>
  <si>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</si>
  <si>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</si>
  <si>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</si>
  <si>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</si>
  <si>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</si>
  <si>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</si>
  <si>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</si>
  <si>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</si>
  <si>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</si>
  <si>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</si>
  <si>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</si>
  <si>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</si>
  <si>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</si>
  <si>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</si>
  <si>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</si>
  <si>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</si>
  <si>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</si>
  <si>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</si>
  <si>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</si>
  <si>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</si>
  <si>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</si>
  <si>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</si>
  <si>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</si>
  <si>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</si>
  <si>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</si>
  <si>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</si>
  <si>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</si>
  <si>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</si>
  <si>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</si>
  <si>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</si>
  <si>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</si>
  <si>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</si>
  <si>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</si>
  <si>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</si>
  <si>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</si>
  <si>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</si>
  <si>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</si>
  <si>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</si>
  <si>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</si>
  <si>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</si>
  <si>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</si>
  <si>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</si>
  <si>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</si>
  <si>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</si>
  <si>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</si>
  <si>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</si>
  <si>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</si>
  <si>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</si>
  <si>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</si>
  <si>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</si>
  <si>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</si>
  <si>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</si>
  <si>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</si>
  <si>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</si>
  <si>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</si>
  <si>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</si>
  <si>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</si>
  <si>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</si>
  <si>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</si>
  <si>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</si>
  <si>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</si>
  <si>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</si>
  <si>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</si>
  <si>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</si>
  <si>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</si>
  <si>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</si>
  <si>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</si>
  <si>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</si>
  <si>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</si>
  <si>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</si>
  <si>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</si>
  <si>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</si>
  <si>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</si>
  <si>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</si>
  <si>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</si>
  <si>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</si>
  <si>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</si>
  <si>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</si>
  <si>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</si>
  <si>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</si>
  <si>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</si>
  <si>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</si>
  <si>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</si>
  <si>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</si>
  <si>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</si>
  <si>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</si>
  <si>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</si>
  <si>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</si>
  <si>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</si>
  <si>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</si>
  <si>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</si>
  <si>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</si>
  <si>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</si>
  <si>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</si>
  <si>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</si>
  <si>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</si>
  <si>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</si>
  <si>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</si>
  <si>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</si>
  <si>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</si>
  <si>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</si>
  <si>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</si>
  <si>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</si>
  <si>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</si>
  <si>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</si>
  <si>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</si>
  <si>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</si>
  <si>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</si>
  <si>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</si>
  <si>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</si>
  <si>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</si>
  <si>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</si>
  <si>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</si>
  <si>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</si>
  <si>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</si>
  <si>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</si>
  <si>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</si>
  <si>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</si>
  <si>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</si>
  <si>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</si>
  <si>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</si>
  <si>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</si>
  <si>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</si>
  <si>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</si>
  <si>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</si>
  <si>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</si>
  <si>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</si>
  <si>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</si>
  <si>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</si>
  <si>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</si>
  <si>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</si>
  <si>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</si>
  <si>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</si>
  <si>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</si>
  <si>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</si>
  <si>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</si>
  <si>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</si>
  <si>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</si>
  <si>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</si>
  <si>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</si>
  <si>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</si>
  <si>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</si>
  <si>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</si>
  <si>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</si>
  <si>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</si>
  <si>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</si>
  <si>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</si>
  <si>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</si>
  <si>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</si>
  <si>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</si>
  <si>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</si>
  <si>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</si>
  <si>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</si>
  <si>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</si>
  <si>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</si>
  <si>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</si>
  <si>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</si>
  <si>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</si>
  <si>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</si>
  <si>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</si>
  <si>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</si>
  <si>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</si>
  <si>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</si>
  <si>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</si>
  <si>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</si>
  <si>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</si>
  <si>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</si>
  <si>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</si>
  <si>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</si>
  <si>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</si>
  <si>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</si>
  <si>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</si>
  <si>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</si>
  <si>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</si>
  <si>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</si>
  <si>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</si>
  <si>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</si>
  <si>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</si>
  <si>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</si>
  <si>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</si>
  <si>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</si>
  <si>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</si>
  <si>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</si>
  <si>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</si>
  <si>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</si>
  <si>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</si>
  <si>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</si>
  <si>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</si>
  <si>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</si>
  <si>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</si>
  <si>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</si>
  <si>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</si>
  <si>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</si>
  <si>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</si>
  <si>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</si>
  <si>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</si>
  <si>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</si>
  <si>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</si>
  <si>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</si>
  <si>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</si>
  <si>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</si>
  <si>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</si>
  <si>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Benter/Woods/Ziemba-style additions to the engine (served since the first retrain).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</si>
  <si>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</si>
  <si>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</si>
  <si>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</si>
  <si>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</si>
  <si>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34: -0.0021 (-0.0037 to -0.0006) beyond the form windows, rank 1 -0.0046. Iteration 36 confirms on the served recipe at 6000 rounds.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</si>
  <si>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</si>
  <si>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</si>
  <si>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</si>
  <si>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</si>
  <si>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-0.0041); the next served candidate, in training.</t>
  </si>
  <si>
    <t xml:space="preserve">Iteration 38: -0.00002 on the price; the trainer and jockey cells move Brier skill vs market +0.0025 (resolved).</t>
  </si>
  <si>
    <t xml:space="preserve">Iteration 41: -0.0000 with the four originals withheld: the trees had worked round the defect. Hygiene for the next engine rebuild.</t>
  </si>
  <si>
    <t xml:space="preserve">Iteration 43: -0.0027 (-0.0044 to -0.0011), neither half resolves, no Brier gain; iteration 44 (with the newer within-race readings): -0.0028. Weak: one served-recipe arm at most.</t>
  </si>
  <si>
    <t xml:space="preserve">Iteration 45: +0.0019 (+0.0004 to +0.0035), Brier skill vs market -0.0020 (resolved worse): the market and the engine's pace features already read the comments. Retired.</t>
  </si>
  <si>
    <t xml:space="preserve">Iteration 47 screens it (quick recipe): a yard's runners in the race, at the meeting and today, their order by rating, and which one gets the yard's first-choice jockey.</t>
  </si>
  <si>
    <t xml:space="preserve">Iteration 44: +0.0007 (-0.0009 to +0.0022), the outsiders worse: the trees already read these measures against the field. Retired.</t>
  </si>
  <si>
    <t xml:space="preserve">Iteration 35: -0.0004 (-0.0021 to +0.0010): nothing, alone or on top of the within-race readings.</t>
  </si>
  <si>
    <t xml:space="preserve">Iteration 35: +0.0009 (-0.0004 to +0.0026): nothing; the outsiders' error worse.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</si>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</sst>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COUNTIF(Features!$F$2:$F$1122,A5)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COUNTIF(Features!$F$2:$F$1122,A6)</f>
        <v>334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COUNTIF(Features!$F$2:$F$1122,A7)</f>
        <v>168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COUNTIF(Features!$F$2:$F$1122,A8)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1121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COUNTIFS(Features!$F$2:$F$1122,"Served",Features!$G$2:$G$1122,0)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SUM(Features!$H$2:$H$1122)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INDEX(Features!$A$2:$A$1122,MATCH(1,Features!$I$2:$I$1122,0))</f>
        <v>rPMW3</v>
      </c>
      <c r="B21" s="6" t="n">
        <f aca="false">INDEX(Features!$H$2:$H$1122,MATCH(1,Features!$I$2:$I$1122,0))</f>
        <v>0.112984774669746</v>
      </c>
      <c r="C21" s="4" t="str">
        <f aca="false">INDEX(Features!$B$2:$B$1122,MATCH(1,Features!$I$2:$I$1122,0))</f>
        <v>Custom metrics</v>
      </c>
      <c r="D21" s="4" t="str">
        <f aca="false">INDEX(Features!$D$2:$D$1122,MATCH(1,Features!$I$2:$I$1122,0))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INDEX(Features!$A$2:$A$1122,MATCH(2,Features!$I$2:$I$1122,0))</f>
        <v>rPMW5</v>
      </c>
      <c r="B22" s="6" t="n">
        <f aca="false">INDEX(Features!$H$2:$H$1122,MATCH(2,Features!$I$2:$I$1122,0))</f>
        <v>0.0640067165695983</v>
      </c>
      <c r="C22" s="4" t="str">
        <f aca="false">INDEX(Features!$B$2:$B$1122,MATCH(2,Features!$I$2:$I$1122,0))</f>
        <v>Custom metrics</v>
      </c>
      <c r="D22" s="4" t="str">
        <f aca="false">INDEX(Features!$D$2:$D$1122,MATCH(2,Features!$I$2:$I$1122,0))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INDEX(Features!$A$2:$A$1122,MATCH(3,Features!$I$2:$I$1122,0))</f>
        <v>LR_ORR2</v>
      </c>
      <c r="B23" s="6" t="n">
        <f aca="false">INDEX(Features!$H$2:$H$1122,MATCH(3,Features!$I$2:$I$1122,0))</f>
        <v>0.0486558406734368</v>
      </c>
      <c r="C23" s="4" t="str">
        <f aca="false">INDEX(Features!$B$2:$B$1122,MATCH(3,Features!$I$2:$I$1122,0))</f>
        <v>Custom metrics</v>
      </c>
      <c r="D23" s="4" t="str">
        <f aca="false">INDEX(Features!$D$2:$D$1122,MATCH(3,Features!$I$2:$I$1122,0))</f>
        <v>Market rating (runners / BSP) in the last run</v>
      </c>
    </row>
    <row r="24" customFormat="false" ht="15" hidden="false" customHeight="false" outlineLevel="0" collapsed="false">
      <c r="A24" s="4" t="str">
        <f aca="false">INDEX(Features!$A$2:$A$1122,MATCH(4,Features!$I$2:$I$1122,0))</f>
        <v>or_num</v>
      </c>
      <c r="B24" s="6" t="n">
        <f aca="false">INDEX(Features!$H$2:$H$1122,MATCH(4,Features!$I$2:$I$1122,0))</f>
        <v>0.0485208920112</v>
      </c>
      <c r="C24" s="4" t="str">
        <f aca="false">INDEX(Features!$B$2:$B$1122,MATCH(4,Features!$I$2:$I$1122,0))</f>
        <v>Card fields</v>
      </c>
      <c r="D24" s="4" t="str">
        <f aca="false">INDEX(Features!$D$2:$D$1122,MATCH(4,Features!$I$2:$I$1122,0))</f>
        <v>Official rating</v>
      </c>
    </row>
    <row r="25" customFormat="false" ht="15" hidden="false" customHeight="false" outlineLevel="0" collapsed="false">
      <c r="A25" s="4" t="str">
        <f aca="false">INDEX(Features!$A$2:$A$1122,MATCH(5,Features!$I$2:$I$1122,0))</f>
        <v>rPMW10</v>
      </c>
      <c r="B25" s="6" t="n">
        <f aca="false">INDEX(Features!$H$2:$H$1122,MATCH(5,Features!$I$2:$I$1122,0))</f>
        <v>0.0478849865352579</v>
      </c>
      <c r="C25" s="4" t="str">
        <f aca="false">INDEX(Features!$B$2:$B$1122,MATCH(5,Features!$I$2:$I$1122,0))</f>
        <v>Custom metrics</v>
      </c>
      <c r="D25" s="4" t="str">
        <f aca="false">INDEX(Features!$D$2:$D$1122,MATCH(5,Features!$I$2:$I$1122,0))</f>
        <v>Within-race rank (1 = highest in the field) of PMW10: performance-adjusted prize money (prize x RB^2), recency-weighted, last 10 runs</v>
      </c>
    </row>
    <row r="26" customFormat="false" ht="15" hidden="false" customHeight="false" outlineLevel="0" collapsed="false">
      <c r="A26" s="4" t="str">
        <f aca="false">INDEX(Features!$A$2:$A$1122,MATCH(6,Features!$I$2:$I$1122,0))</f>
        <v>fw_mkt_w3</v>
      </c>
      <c r="B26" s="6" t="n">
        <f aca="false">INDEX(Features!$H$2:$H$1122,MATCH(6,Features!$I$2:$I$1122,0))</f>
        <v>0.0332975073952866</v>
      </c>
      <c r="C26" s="4" t="str">
        <f aca="false">INDEX(Features!$B$2:$B$1122,MATCH(6,Features!$I$2:$I$1122,0))</f>
        <v>Form windows</v>
      </c>
      <c r="D26" s="4" t="str">
        <f aca="false">INDEX(Features!$D$2:$D$1122,MATCH(6,Features!$I$2:$I$1122,0))</f>
        <v>The market's view, log(N x BSP chance):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INDEX(Features!$A$2:$A$1122,MATCH(7,Features!$I$2:$I$1122,0))</f>
        <v>fw_lbsc_w3</v>
      </c>
      <c r="B27" s="6" t="n">
        <f aca="false">INDEX(Features!$H$2:$H$1122,MATCH(7,Features!$I$2:$I$1122,0))</f>
        <v>0.0313316712438129</v>
      </c>
      <c r="C27" s="4" t="str">
        <f aca="false">INDEX(Features!$B$2:$B$1122,MATCH(7,Features!$I$2:$I$1122,0))</f>
        <v>Form windows</v>
      </c>
      <c r="D27" s="4" t="str">
        <f aca="false">INDEX(Features!$D$2:$D$1122,MATCH(7,Features!$I$2:$I$1122,0))</f>
        <v>Pounds better than the race's average runner: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INDEX(Features!$A$2:$A$1122,MATCH(8,Features!$I$2:$I$1122,0))</f>
        <v>trainerWAXrank</v>
      </c>
      <c r="B28" s="6" t="n">
        <f aca="false">INDEX(Features!$H$2:$H$1122,MATCH(8,Features!$I$2:$I$1122,0))</f>
        <v>0.025939223784837</v>
      </c>
      <c r="C28" s="4" t="str">
        <f aca="false">INDEX(Features!$B$2:$B$1122,MATCH(8,Features!$I$2:$I$1122,0))</f>
        <v>Custom metrics</v>
      </c>
      <c r="D28" s="4" t="str">
        <f aca="false">INDEX(Features!$D$2:$D$1122,MATCH(8,Features!$I$2:$I$1122,0))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INDEX(Features!$A$2:$A$1122,MATCH(9,Features!$I$2:$I$1122,0))</f>
        <v>rTJNFP</v>
      </c>
      <c r="B29" s="6" t="n">
        <f aca="false">INDEX(Features!$H$2:$H$1122,MATCH(9,Features!$I$2:$I$1122,0))</f>
        <v>0.0222305819491794</v>
      </c>
      <c r="C29" s="4" t="str">
        <f aca="false">INDEX(Features!$B$2:$B$1122,MATCH(9,Features!$I$2:$I$1122,0))</f>
        <v>Custom metrics</v>
      </c>
      <c r="D29" s="4" t="str">
        <f aca="false">INDEX(Features!$D$2:$D$1122,MATCH(9,Features!$I$2:$I$1122,0))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INDEX(Features!$A$2:$A$1122,MATCH(10,Features!$I$2:$I$1122,0))</f>
        <v>fw_lbs_w3</v>
      </c>
      <c r="B30" s="6" t="n">
        <f aca="false">INDEX(Features!$H$2:$H$1122,MATCH(10,Features!$I$2:$I$1122,0))</f>
        <v>0.020753193002201</v>
      </c>
      <c r="C30" s="4" t="str">
        <f aca="false">INDEX(Features!$B$2:$B$1122,MATCH(10,Features!$I$2:$I$1122,0))</f>
        <v>Form windows</v>
      </c>
      <c r="D30" s="4" t="str">
        <f aca="false">INDEX(Features!$D$2:$D$1122,MATCH(10,Features!$I$2:$I$1122,0))</f>
        <v>Pounds beaten at the trip (capped 20): last 3 runs weighted 3-2-1 by recency (earlier days only)</v>
      </c>
    </row>
    <row r="31" customFormat="false" ht="15" hidden="false" customHeight="false" outlineLevel="0" collapsed="false">
      <c r="A31" s="4" t="str">
        <f aca="false">INDEX(Features!$A$2:$A$1122,MATCH(11,Features!$I$2:$I$1122,0))</f>
        <v>or_vs_max</v>
      </c>
      <c r="B31" s="6" t="n">
        <f aca="false">INDEX(Features!$H$2:$H$1122,MATCH(11,Features!$I$2:$I$1122,0))</f>
        <v>0.0143083424786789</v>
      </c>
      <c r="C31" s="4" t="str">
        <f aca="false">INDEX(Features!$B$2:$B$1122,MATCH(11,Features!$I$2:$I$1122,0))</f>
        <v>Card fields</v>
      </c>
      <c r="D31" s="4" t="str">
        <f aca="false">INDEX(Features!$D$2:$D$1122,MATCH(11,Features!$I$2:$I$1122,0))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INDEX(Features!$A$2:$A$1122,MATCH(12,Features!$I$2:$I$1122,0))</f>
        <v>median_or_num</v>
      </c>
      <c r="B32" s="6" t="n">
        <f aca="false">INDEX(Features!$H$2:$H$1122,MATCH(12,Features!$I$2:$I$1122,0))</f>
        <v>0.0139683688613639</v>
      </c>
      <c r="C32" s="4" t="str">
        <f aca="false">INDEX(Features!$B$2:$B$1122,MATCH(12,Features!$I$2:$I$1122,0))</f>
        <v>Card fields</v>
      </c>
      <c r="D32" s="4" t="str">
        <f aca="false">INDEX(Features!$D$2:$D$1122,MATCH(12,Features!$I$2:$I$1122,0))</f>
        <v>Median official rating in the race</v>
      </c>
    </row>
    <row r="33" customFormat="false" ht="15" hidden="false" customHeight="false" outlineLevel="0" collapsed="false">
      <c r="A33" s="4" t="str">
        <f aca="false">INDEX(Features!$A$2:$A$1122,MATCH(13,Features!$I$2:$I$1122,0))</f>
        <v>OFS1</v>
      </c>
      <c r="B33" s="6" t="n">
        <f aca="false">INDEX(Features!$H$2:$H$1122,MATCH(13,Features!$I$2:$I$1122,0))</f>
        <v>0.0132512583680595</v>
      </c>
      <c r="C33" s="4" t="str">
        <f aca="false">INDEX(Features!$B$2:$B$1122,MATCH(13,Features!$I$2:$I$1122,0))</f>
        <v>Custom metrics</v>
      </c>
      <c r="D33" s="4" t="str">
        <f aca="false">INDEX(Features!$D$2:$D$1122,MATCH(13,Features!$I$2:$I$1122,0))</f>
        <v>Odds x field size in the last run (runners / BSP; equals LR_ORR2)</v>
      </c>
    </row>
    <row r="34" customFormat="false" ht="15" hidden="false" customHeight="false" outlineLevel="0" collapsed="false">
      <c r="A34" s="4" t="str">
        <f aca="false">INDEX(Features!$A$2:$A$1122,MATCH(14,Features!$I$2:$I$1122,0))</f>
        <v>fw_lbs_l1</v>
      </c>
      <c r="B34" s="6" t="n">
        <f aca="false">INDEX(Features!$H$2:$H$1122,MATCH(14,Features!$I$2:$I$1122,0))</f>
        <v>0.0132235315123739</v>
      </c>
      <c r="C34" s="4" t="str">
        <f aca="false">INDEX(Features!$B$2:$B$1122,MATCH(14,Features!$I$2:$I$1122,0))</f>
        <v>Form windows</v>
      </c>
      <c r="D34" s="4" t="str">
        <f aca="false">INDEX(Features!$D$2:$D$1122,MATCH(14,Features!$I$2:$I$1122,0))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INDEX(Features!$A$2:$A$1122,MATCH(15,Features!$I$2:$I$1122,0))</f>
        <v>race_type_cat</v>
      </c>
      <c r="B35" s="6" t="n">
        <f aca="false">INDEX(Features!$H$2:$H$1122,MATCH(15,Features!$I$2:$I$1122,0))</f>
        <v>0.0131770769347495</v>
      </c>
      <c r="C35" s="4" t="str">
        <f aca="false">INDEX(Features!$B$2:$B$1122,MATCH(15,Features!$I$2:$I$1122,0))</f>
        <v>Card fields</v>
      </c>
      <c r="D35" s="4" t="str">
        <f aca="false">INDEX(Features!$D$2:$D$1122,MATCH(15,Features!$I$2:$I$1122,0))</f>
        <v>Race type, category code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2353561.91070253</v>
      </c>
      <c r="H2" s="6" t="n">
        <f aca="false">IF(G2="","",G2/SUMIFS($G$2:$G$1122,$F$2:$F$1122,"Served"))</f>
        <v>0.112984774669746</v>
      </c>
      <c r="I2" s="4" t="n">
        <f aca="false">IF(G2="","",RANK(G2,$G$2:$G$1122,0))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1333310.35608709</v>
      </c>
      <c r="H3" s="6" t="n">
        <f aca="false">IF(G3="","",G3/SUMIFS($G$2:$G$1122,$F$2:$F$1122,"Served"))</f>
        <v>0.0640067165695983</v>
      </c>
      <c r="I3" s="4" t="n">
        <f aca="false">IF(G3="","",RANK(G3,$G$2:$G$1122,0))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38</v>
      </c>
      <c r="D4" s="7" t="s">
        <v>39</v>
      </c>
      <c r="E4" s="4" t="s">
        <v>33</v>
      </c>
      <c r="F4" s="4" t="s">
        <v>4</v>
      </c>
      <c r="G4" s="8" t="n">
        <v>1013539.51164603</v>
      </c>
      <c r="H4" s="6" t="n">
        <f aca="false">IF(G4="","",G4/SUMIFS($G$2:$G$1122,$F$2:$F$1122,"Served"))</f>
        <v>0.0486558406734368</v>
      </c>
      <c r="I4" s="4" t="n">
        <f aca="false">IF(G4="","",RANK(G4,$G$2:$G$1122,0))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7" t="s">
        <v>43</v>
      </c>
      <c r="E5" s="4" t="s">
        <v>44</v>
      </c>
      <c r="F5" s="4" t="s">
        <v>4</v>
      </c>
      <c r="G5" s="8" t="n">
        <v>1010728.42464542</v>
      </c>
      <c r="H5" s="6" t="n">
        <f aca="false">IF(G5="","",G5/SUMIFS($G$2:$G$1122,$F$2:$F$1122,"Served"))</f>
        <v>0.0485208920112</v>
      </c>
      <c r="I5" s="4" t="n">
        <f aca="false">IF(G5="","",RANK(G5,$G$2:$G$1122,0))</f>
        <v>4</v>
      </c>
      <c r="J5" s="4" t="s">
        <v>34</v>
      </c>
    </row>
    <row r="6" customFormat="false" ht="15" hidden="false" customHeight="false" outlineLevel="0" collapsed="false">
      <c r="A6" s="4" t="s">
        <v>45</v>
      </c>
      <c r="B6" s="4" t="s">
        <v>30</v>
      </c>
      <c r="C6" s="4" t="s">
        <v>31</v>
      </c>
      <c r="D6" s="7" t="s">
        <v>46</v>
      </c>
      <c r="E6" s="4" t="s">
        <v>33</v>
      </c>
      <c r="F6" s="4" t="s">
        <v>4</v>
      </c>
      <c r="G6" s="8" t="n">
        <v>997482.012362361</v>
      </c>
      <c r="H6" s="6" t="n">
        <f aca="false">IF(G6="","",G6/SUMIFS($G$2:$G$1122,$F$2:$F$1122,"Served"))</f>
        <v>0.0478849865352579</v>
      </c>
      <c r="I6" s="4" t="n">
        <f aca="false">IF(G6="","",RANK(G6,$G$2:$G$1122,0))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693613.324060261</v>
      </c>
      <c r="H7" s="6" t="n">
        <f aca="false">IF(G7="","",G7/SUMIFS($G$2:$G$1122,$F$2:$F$1122,"Served"))</f>
        <v>0.0332975073952866</v>
      </c>
      <c r="I7" s="4" t="n">
        <f aca="false">IF(G7="","",RANK(G7,$G$2:$G$1122,0))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48</v>
      </c>
      <c r="C8" s="4" t="s">
        <v>49</v>
      </c>
      <c r="D8" s="7" t="s">
        <v>53</v>
      </c>
      <c r="E8" s="4" t="s">
        <v>51</v>
      </c>
      <c r="F8" s="4" t="s">
        <v>4</v>
      </c>
      <c r="G8" s="8" t="n">
        <v>652663.407557666</v>
      </c>
      <c r="H8" s="6" t="n">
        <f aca="false">IF(G8="","",G8/SUMIFS($G$2:$G$1122,$F$2:$F$1122,"Served"))</f>
        <v>0.0313316712438129</v>
      </c>
      <c r="I8" s="4" t="n">
        <f aca="false">IF(G8="","",RANK(G8,$G$2:$G$1122,0))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540334.476672888</v>
      </c>
      <c r="H9" s="6" t="n">
        <f aca="false">IF(G9="","",G9/SUMIFS($G$2:$G$1122,$F$2:$F$1122,"Served"))</f>
        <v>0.025939223784837</v>
      </c>
      <c r="I9" s="4" t="n">
        <f aca="false">IF(G9="","",RANK(G9,$G$2:$G$1122,0))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463080.54409343</v>
      </c>
      <c r="H10" s="6" t="n">
        <f aca="false">IF(G10="","",G10/SUMIFS($G$2:$G$1122,$F$2:$F$1122,"Served"))</f>
        <v>0.0222305819491794</v>
      </c>
      <c r="I10" s="4" t="n">
        <f aca="false">IF(G10="","",RANK(G10,$G$2:$G$1122,0))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48</v>
      </c>
      <c r="C11" s="4" t="s">
        <v>49</v>
      </c>
      <c r="D11" s="7" t="s">
        <v>59</v>
      </c>
      <c r="E11" s="4" t="s">
        <v>51</v>
      </c>
      <c r="F11" s="4" t="s">
        <v>4</v>
      </c>
      <c r="G11" s="8" t="n">
        <v>432305.367853403</v>
      </c>
      <c r="H11" s="6" t="n">
        <f aca="false">IF(G11="","",G11/SUMIFS($G$2:$G$1122,$F$2:$F$1122,"Served"))</f>
        <v>0.020753193002201</v>
      </c>
      <c r="I11" s="4" t="n">
        <f aca="false">IF(G11="","",RANK(G11,$G$2:$G$1122,0))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41</v>
      </c>
      <c r="C12" s="4" t="s">
        <v>42</v>
      </c>
      <c r="D12" s="7" t="s">
        <v>61</v>
      </c>
      <c r="E12" s="4" t="s">
        <v>44</v>
      </c>
      <c r="F12" s="4" t="s">
        <v>4</v>
      </c>
      <c r="G12" s="8" t="n">
        <v>298054.051632524</v>
      </c>
      <c r="H12" s="6" t="n">
        <f aca="false">IF(G12="","",G12/SUMIFS($G$2:$G$1122,$F$2:$F$1122,"Served"))</f>
        <v>0.0143083424786789</v>
      </c>
      <c r="I12" s="4" t="n">
        <f aca="false">IF(G12="","",RANK(G12,$G$2:$G$1122,0))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41</v>
      </c>
      <c r="C13" s="4" t="s">
        <v>42</v>
      </c>
      <c r="D13" s="7" t="s">
        <v>63</v>
      </c>
      <c r="E13" s="4" t="s">
        <v>44</v>
      </c>
      <c r="F13" s="4" t="s">
        <v>4</v>
      </c>
      <c r="G13" s="8" t="n">
        <v>290972.133217454</v>
      </c>
      <c r="H13" s="6" t="n">
        <f aca="false">IF(G13="","",G13/SUMIFS($G$2:$G$1122,$F$2:$F$1122,"Served"))</f>
        <v>0.0139683688613639</v>
      </c>
      <c r="I13" s="4" t="n">
        <f aca="false">IF(G13="","",RANK(G13,$G$2:$G$1122,0))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65</v>
      </c>
      <c r="D14" s="7" t="s">
        <v>66</v>
      </c>
      <c r="E14" s="4" t="s">
        <v>33</v>
      </c>
      <c r="F14" s="4" t="s">
        <v>4</v>
      </c>
      <c r="G14" s="8" t="n">
        <v>276034.156417131</v>
      </c>
      <c r="H14" s="6" t="n">
        <f aca="false">IF(G14="","",G14/SUMIFS($G$2:$G$1122,$F$2:$F$1122,"Served"))</f>
        <v>0.0132512583680595</v>
      </c>
      <c r="I14" s="4" t="n">
        <f aca="false">IF(G14="","",RANK(G14,$G$2:$G$1122,0))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48</v>
      </c>
      <c r="C15" s="4" t="s">
        <v>49</v>
      </c>
      <c r="D15" s="7" t="s">
        <v>68</v>
      </c>
      <c r="E15" s="4" t="s">
        <v>51</v>
      </c>
      <c r="F15" s="4" t="s">
        <v>4</v>
      </c>
      <c r="G15" s="8" t="n">
        <v>275456.584158957</v>
      </c>
      <c r="H15" s="6" t="n">
        <f aca="false">IF(G15="","",G15/SUMIFS($G$2:$G$1122,$F$2:$F$1122,"Served"))</f>
        <v>0.0132235315123739</v>
      </c>
      <c r="I15" s="4" t="n">
        <f aca="false">IF(G15="","",RANK(G15,$G$2:$G$1122,0))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41</v>
      </c>
      <c r="C16" s="4" t="s">
        <v>42</v>
      </c>
      <c r="D16" s="7" t="s">
        <v>70</v>
      </c>
      <c r="E16" s="4" t="s">
        <v>44</v>
      </c>
      <c r="F16" s="4" t="s">
        <v>4</v>
      </c>
      <c r="G16" s="8" t="n">
        <v>274488.898691654</v>
      </c>
      <c r="H16" s="6" t="n">
        <f aca="false">IF(G16="","",G16/SUMIFS($G$2:$G$1122,$F$2:$F$1122,"Served"))</f>
        <v>0.0131770769347495</v>
      </c>
      <c r="I16" s="4" t="n">
        <f aca="false">IF(G16="","",RANK(G16,$G$2:$G$1122,0))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30</v>
      </c>
      <c r="C17" s="4" t="s">
        <v>31</v>
      </c>
      <c r="D17" s="7" t="s">
        <v>72</v>
      </c>
      <c r="E17" s="4" t="s">
        <v>33</v>
      </c>
      <c r="F17" s="4" t="s">
        <v>4</v>
      </c>
      <c r="G17" s="8" t="n">
        <v>265655.768277705</v>
      </c>
      <c r="H17" s="6" t="n">
        <f aca="false">IF(G17="","",G17/SUMIFS($G$2:$G$1122,$F$2:$F$1122,"Served"))</f>
        <v>0.0127530348711394</v>
      </c>
      <c r="I17" s="4" t="n">
        <f aca="false">IF(G17="","",RANK(G17,$G$2:$G$1122,0))</f>
        <v>16</v>
      </c>
      <c r="J17" s="4" t="s">
        <v>34</v>
      </c>
    </row>
    <row r="18" customFormat="false" ht="15" hidden="false" customHeight="false" outlineLevel="0" collapsed="false">
      <c r="A18" s="4" t="s">
        <v>73</v>
      </c>
      <c r="B18" s="4" t="s">
        <v>48</v>
      </c>
      <c r="C18" s="4" t="s">
        <v>49</v>
      </c>
      <c r="D18" s="7" t="s">
        <v>74</v>
      </c>
      <c r="E18" s="4" t="s">
        <v>51</v>
      </c>
      <c r="F18" s="4" t="s">
        <v>4</v>
      </c>
      <c r="G18" s="8" t="n">
        <v>243934.587002754</v>
      </c>
      <c r="H18" s="6" t="n">
        <f aca="false">IF(G18="","",G18/SUMIFS($G$2:$G$1122,$F$2:$F$1122,"Served"))</f>
        <v>0.0117102907815316</v>
      </c>
      <c r="I18" s="4" t="n">
        <f aca="false">IF(G18="","",RANK(G18,$G$2:$G$1122,0))</f>
        <v>17</v>
      </c>
      <c r="J18" s="4" t="s">
        <v>34</v>
      </c>
    </row>
    <row r="19" customFormat="false" ht="15" hidden="false" customHeight="false" outlineLevel="0" collapsed="false">
      <c r="A19" s="4" t="s">
        <v>75</v>
      </c>
      <c r="B19" s="4" t="s">
        <v>30</v>
      </c>
      <c r="C19" s="4" t="s">
        <v>31</v>
      </c>
      <c r="D19" s="7" t="s">
        <v>76</v>
      </c>
      <c r="E19" s="4" t="s">
        <v>33</v>
      </c>
      <c r="F19" s="4" t="s">
        <v>4</v>
      </c>
      <c r="G19" s="8" t="n">
        <v>226723.01761508</v>
      </c>
      <c r="H19" s="6" t="n">
        <f aca="false">IF(G19="","",G19/SUMIFS($G$2:$G$1122,$F$2:$F$1122,"Served"))</f>
        <v>0.0108840345100751</v>
      </c>
      <c r="I19" s="4" t="n">
        <f aca="false">IF(G19="","",RANK(G19,$G$2:$G$1122,0))</f>
        <v>18</v>
      </c>
      <c r="J19" s="4" t="s">
        <v>34</v>
      </c>
    </row>
    <row r="20" customFormat="false" ht="15" hidden="false" customHeight="false" outlineLevel="0" collapsed="false">
      <c r="A20" s="4" t="s">
        <v>77</v>
      </c>
      <c r="B20" s="4" t="s">
        <v>30</v>
      </c>
      <c r="C20" s="4" t="s">
        <v>38</v>
      </c>
      <c r="D20" s="7" t="s">
        <v>78</v>
      </c>
      <c r="E20" s="4" t="s">
        <v>33</v>
      </c>
      <c r="F20" s="4" t="s">
        <v>4</v>
      </c>
      <c r="G20" s="8" t="n">
        <v>201173.665260911</v>
      </c>
      <c r="H20" s="6" t="n">
        <f aca="false">IF(G20="","",G20/SUMIFS($G$2:$G$1122,$F$2:$F$1122,"Served"))</f>
        <v>0.00965751575755503</v>
      </c>
      <c r="I20" s="4" t="n">
        <f aca="false">IF(G20="","",RANK(G20,$G$2:$G$1122,0))</f>
        <v>19</v>
      </c>
      <c r="J20" s="4" t="s">
        <v>34</v>
      </c>
    </row>
    <row r="21" customFormat="false" ht="15" hidden="false" customHeight="false" outlineLevel="0" collapsed="false">
      <c r="A21" s="4" t="s">
        <v>79</v>
      </c>
      <c r="B21" s="4" t="s">
        <v>30</v>
      </c>
      <c r="C21" s="4" t="s">
        <v>31</v>
      </c>
      <c r="D21" s="7" t="s">
        <v>80</v>
      </c>
      <c r="E21" s="4" t="s">
        <v>33</v>
      </c>
      <c r="F21" s="4" t="s">
        <v>4</v>
      </c>
      <c r="G21" s="8" t="n">
        <v>199688.055667639</v>
      </c>
      <c r="H21" s="6" t="n">
        <f aca="false">IF(G21="","",G21/SUMIFS($G$2:$G$1122,$F$2:$F$1122,"Served"))</f>
        <v>0.00958619778440982</v>
      </c>
      <c r="I21" s="4" t="n">
        <f aca="false">IF(G21="","",RANK(G21,$G$2:$G$1122,0))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38</v>
      </c>
      <c r="D22" s="7" t="s">
        <v>82</v>
      </c>
      <c r="E22" s="4" t="s">
        <v>33</v>
      </c>
      <c r="F22" s="4" t="s">
        <v>4</v>
      </c>
      <c r="G22" s="8" t="n">
        <v>185456.76212585</v>
      </c>
      <c r="H22" s="6" t="n">
        <f aca="false">IF(G22="","",G22/SUMIFS($G$2:$G$1122,$F$2:$F$1122,"Served"))</f>
        <v>0.00890301223200678</v>
      </c>
      <c r="I22" s="4" t="n">
        <f aca="false">IF(G22="","",RANK(G22,$G$2:$G$1122,0))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30</v>
      </c>
      <c r="C23" s="4" t="s">
        <v>38</v>
      </c>
      <c r="D23" s="7" t="s">
        <v>84</v>
      </c>
      <c r="E23" s="4" t="s">
        <v>33</v>
      </c>
      <c r="F23" s="4" t="s">
        <v>4</v>
      </c>
      <c r="G23" s="8" t="n">
        <v>183274.000809312</v>
      </c>
      <c r="H23" s="6" t="n">
        <f aca="false">IF(G23="","",G23/SUMIFS($G$2:$G$1122,$F$2:$F$1122,"Served"))</f>
        <v>0.00879822688755275</v>
      </c>
      <c r="I23" s="4" t="n">
        <f aca="false">IF(G23="","",RANK(G23,$G$2:$G$1122,0))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48</v>
      </c>
      <c r="C24" s="4" t="s">
        <v>49</v>
      </c>
      <c r="D24" s="7" t="s">
        <v>86</v>
      </c>
      <c r="E24" s="4" t="s">
        <v>51</v>
      </c>
      <c r="F24" s="4" t="s">
        <v>4</v>
      </c>
      <c r="G24" s="8" t="n">
        <v>160155.754193902</v>
      </c>
      <c r="H24" s="6" t="n">
        <f aca="false">IF(G24="","",G24/SUMIFS($G$2:$G$1122,$F$2:$F$1122,"Served"))</f>
        <v>0.00768841546822108</v>
      </c>
      <c r="I24" s="4" t="n">
        <f aca="false">IF(G24="","",RANK(G24,$G$2:$G$1122,0))</f>
        <v>23</v>
      </c>
      <c r="J24" s="4" t="s">
        <v>34</v>
      </c>
    </row>
    <row r="25" customFormat="false" ht="15" hidden="false" customHeight="false" outlineLevel="0" collapsed="false">
      <c r="A25" s="4" t="s">
        <v>87</v>
      </c>
      <c r="B25" s="4" t="s">
        <v>30</v>
      </c>
      <c r="C25" s="4" t="s">
        <v>31</v>
      </c>
      <c r="D25" s="7" t="s">
        <v>88</v>
      </c>
      <c r="E25" s="4" t="s">
        <v>33</v>
      </c>
      <c r="F25" s="4" t="s">
        <v>4</v>
      </c>
      <c r="G25" s="8" t="n">
        <v>158391.613228798</v>
      </c>
      <c r="H25" s="6" t="n">
        <f aca="false">IF(G25="","",G25/SUMIFS($G$2:$G$1122,$F$2:$F$1122,"Served"))</f>
        <v>0.00760372635572246</v>
      </c>
      <c r="I25" s="4" t="n">
        <f aca="false">IF(G25="","",RANK(G25,$G$2:$G$1122,0))</f>
        <v>24</v>
      </c>
      <c r="J25" s="4" t="s">
        <v>34</v>
      </c>
    </row>
    <row r="26" customFormat="false" ht="15" hidden="false" customHeight="false" outlineLevel="0" collapsed="false">
      <c r="A26" s="4" t="s">
        <v>89</v>
      </c>
      <c r="B26" s="4" t="s">
        <v>48</v>
      </c>
      <c r="C26" s="4" t="s">
        <v>49</v>
      </c>
      <c r="D26" s="7" t="s">
        <v>90</v>
      </c>
      <c r="E26" s="4" t="s">
        <v>51</v>
      </c>
      <c r="F26" s="4" t="s">
        <v>4</v>
      </c>
      <c r="G26" s="8" t="n">
        <v>136659.940792859</v>
      </c>
      <c r="H26" s="6" t="n">
        <f aca="false">IF(G26="","",G26/SUMIFS($G$2:$G$1122,$F$2:$F$1122,"Served"))</f>
        <v>0.00656047862885964</v>
      </c>
      <c r="I26" s="4" t="n">
        <f aca="false">IF(G26="","",RANK(G26,$G$2:$G$1122,0))</f>
        <v>25</v>
      </c>
      <c r="J26" s="4" t="s">
        <v>34</v>
      </c>
    </row>
    <row r="27" customFormat="false" ht="15" hidden="false" customHeight="false" outlineLevel="0" collapsed="false">
      <c r="A27" s="4" t="s">
        <v>91</v>
      </c>
      <c r="B27" s="4" t="s">
        <v>30</v>
      </c>
      <c r="C27" s="4" t="s">
        <v>31</v>
      </c>
      <c r="D27" s="7" t="s">
        <v>92</v>
      </c>
      <c r="E27" s="4" t="s">
        <v>33</v>
      </c>
      <c r="F27" s="4" t="s">
        <v>4</v>
      </c>
      <c r="G27" s="8" t="n">
        <v>126255.901897073</v>
      </c>
      <c r="H27" s="6" t="n">
        <f aca="false">IF(G27="","",G27/SUMIFS($G$2:$G$1122,$F$2:$F$1122,"Served"))</f>
        <v>0.00606102374520002</v>
      </c>
      <c r="I27" s="4" t="n">
        <f aca="false">IF(G27="","",RANK(G27,$G$2:$G$1122,0))</f>
        <v>26</v>
      </c>
      <c r="J27" s="4" t="s">
        <v>34</v>
      </c>
    </row>
    <row r="28" customFormat="false" ht="15" hidden="false" customHeight="false" outlineLevel="0" collapsed="false">
      <c r="A28" s="4" t="s">
        <v>93</v>
      </c>
      <c r="B28" s="4" t="s">
        <v>30</v>
      </c>
      <c r="C28" s="4" t="s">
        <v>31</v>
      </c>
      <c r="D28" s="7" t="s">
        <v>94</v>
      </c>
      <c r="E28" s="4" t="s">
        <v>33</v>
      </c>
      <c r="F28" s="4" t="s">
        <v>4</v>
      </c>
      <c r="G28" s="8" t="n">
        <v>118238.616394877</v>
      </c>
      <c r="H28" s="6" t="n">
        <f aca="false">IF(G28="","",G28/SUMIFS($G$2:$G$1122,$F$2:$F$1122,"Served"))</f>
        <v>0.00567614702204716</v>
      </c>
      <c r="I28" s="4" t="n">
        <f aca="false">IF(G28="","",RANK(G28,$G$2:$G$1122,0))</f>
        <v>27</v>
      </c>
      <c r="J28" s="4" t="s">
        <v>34</v>
      </c>
    </row>
    <row r="29" customFormat="false" ht="15" hidden="false" customHeight="false" outlineLevel="0" collapsed="false">
      <c r="A29" s="4" t="s">
        <v>95</v>
      </c>
      <c r="B29" s="4" t="s">
        <v>30</v>
      </c>
      <c r="C29" s="4" t="s">
        <v>31</v>
      </c>
      <c r="D29" s="7" t="s">
        <v>96</v>
      </c>
      <c r="E29" s="4" t="s">
        <v>33</v>
      </c>
      <c r="F29" s="4" t="s">
        <v>4</v>
      </c>
      <c r="G29" s="8" t="n">
        <v>113861.275300443</v>
      </c>
      <c r="H29" s="6" t="n">
        <f aca="false">IF(G29="","",G29/SUMIFS($G$2:$G$1122,$F$2:$F$1122,"Served"))</f>
        <v>0.00546600897768204</v>
      </c>
      <c r="I29" s="4" t="n">
        <f aca="false">IF(G29="","",RANK(G29,$G$2:$G$1122,0))</f>
        <v>28</v>
      </c>
      <c r="J29" s="4" t="s">
        <v>34</v>
      </c>
    </row>
    <row r="30" customFormat="false" ht="15" hidden="false" customHeight="false" outlineLevel="0" collapsed="false">
      <c r="A30" s="4" t="s">
        <v>97</v>
      </c>
      <c r="B30" s="4" t="s">
        <v>30</v>
      </c>
      <c r="C30" s="4" t="s">
        <v>31</v>
      </c>
      <c r="D30" s="7" t="s">
        <v>98</v>
      </c>
      <c r="E30" s="4" t="s">
        <v>33</v>
      </c>
      <c r="F30" s="4" t="s">
        <v>4</v>
      </c>
      <c r="G30" s="8" t="n">
        <v>104950.335507751</v>
      </c>
      <c r="H30" s="6" t="n">
        <f aca="false">IF(G30="","",G30/SUMIFS($G$2:$G$1122,$F$2:$F$1122,"Served"))</f>
        <v>0.00503823160756284</v>
      </c>
      <c r="I30" s="4" t="n">
        <f aca="false">IF(G30="","",RANK(G30,$G$2:$G$1122,0))</f>
        <v>29</v>
      </c>
      <c r="J30" s="4" t="s">
        <v>34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4" t="s">
        <v>101</v>
      </c>
      <c r="D31" s="7" t="s">
        <v>102</v>
      </c>
      <c r="E31" s="4" t="s">
        <v>103</v>
      </c>
      <c r="F31" s="4" t="s">
        <v>4</v>
      </c>
      <c r="G31" s="8" t="n">
        <v>104210.319215417</v>
      </c>
      <c r="H31" s="6" t="n">
        <f aca="false">IF(G31="","",G31/SUMIFS($G$2:$G$1122,$F$2:$F$1122,"Served"))</f>
        <v>0.00500270648555052</v>
      </c>
      <c r="I31" s="4" t="n">
        <f aca="false">IF(G31="","",RANK(G31,$G$2:$G$1122,0))</f>
        <v>30</v>
      </c>
      <c r="J31" s="4" t="s">
        <v>34</v>
      </c>
    </row>
    <row r="32" customFormat="false" ht="15" hidden="false" customHeight="false" outlineLevel="0" collapsed="false">
      <c r="A32" s="4" t="s">
        <v>104</v>
      </c>
      <c r="B32" s="4" t="s">
        <v>30</v>
      </c>
      <c r="C32" s="4" t="s">
        <v>31</v>
      </c>
      <c r="D32" s="7" t="s">
        <v>105</v>
      </c>
      <c r="E32" s="4" t="s">
        <v>33</v>
      </c>
      <c r="F32" s="4" t="s">
        <v>4</v>
      </c>
      <c r="G32" s="8" t="n">
        <v>100557.149914861</v>
      </c>
      <c r="H32" s="6" t="n">
        <f aca="false">IF(G32="","",G32/SUMIFS($G$2:$G$1122,$F$2:$F$1122,"Served"))</f>
        <v>0.00482733293434847</v>
      </c>
      <c r="I32" s="4" t="n">
        <f aca="false">IF(G32="","",RANK(G32,$G$2:$G$1122,0))</f>
        <v>31</v>
      </c>
      <c r="J32" s="4" t="s">
        <v>34</v>
      </c>
    </row>
    <row r="33" customFormat="false" ht="15" hidden="false" customHeight="false" outlineLevel="0" collapsed="false">
      <c r="A33" s="4" t="s">
        <v>106</v>
      </c>
      <c r="B33" s="4" t="s">
        <v>30</v>
      </c>
      <c r="C33" s="4" t="s">
        <v>107</v>
      </c>
      <c r="D33" s="7" t="s">
        <v>108</v>
      </c>
      <c r="E33" s="4" t="s">
        <v>33</v>
      </c>
      <c r="F33" s="4" t="s">
        <v>4</v>
      </c>
      <c r="G33" s="8" t="n">
        <v>97510.2812505364</v>
      </c>
      <c r="H33" s="6" t="n">
        <f aca="false">IF(G33="","",G33/SUMIFS($G$2:$G$1122,$F$2:$F$1122,"Served"))</f>
        <v>0.00468106536946243</v>
      </c>
      <c r="I33" s="4" t="n">
        <f aca="false">IF(G33="","",RANK(G33,$G$2:$G$1122,0))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110</v>
      </c>
      <c r="D34" s="7" t="s">
        <v>111</v>
      </c>
      <c r="E34" s="4" t="s">
        <v>33</v>
      </c>
      <c r="F34" s="4" t="s">
        <v>4</v>
      </c>
      <c r="G34" s="8" t="n">
        <v>95643.187889576</v>
      </c>
      <c r="H34" s="6" t="n">
        <f aca="false">IF(G34="","",G34/SUMIFS($G$2:$G$1122,$F$2:$F$1122,"Served"))</f>
        <v>0.00459143393817685</v>
      </c>
      <c r="I34" s="4" t="n">
        <f aca="false">IF(G34="","",RANK(G34,$G$2:$G$1122,0))</f>
        <v>33</v>
      </c>
      <c r="J34" s="4" t="s">
        <v>34</v>
      </c>
    </row>
    <row r="35" customFormat="false" ht="15" hidden="false" customHeight="false" outlineLevel="0" collapsed="false">
      <c r="A35" s="4" t="s">
        <v>112</v>
      </c>
      <c r="B35" s="4" t="s">
        <v>30</v>
      </c>
      <c r="C35" s="4" t="s">
        <v>31</v>
      </c>
      <c r="D35" s="7" t="s">
        <v>113</v>
      </c>
      <c r="E35" s="4" t="s">
        <v>33</v>
      </c>
      <c r="F35" s="4" t="s">
        <v>4</v>
      </c>
      <c r="G35" s="8" t="n">
        <v>95267.0391363502</v>
      </c>
      <c r="H35" s="6" t="n">
        <f aca="false">IF(G35="","",G35/SUMIFS($G$2:$G$1122,$F$2:$F$1122,"Served"))</f>
        <v>0.00457337659201899</v>
      </c>
      <c r="I35" s="4" t="n">
        <f aca="false">IF(G35="","",RANK(G35,$G$2:$G$1122,0))</f>
        <v>34</v>
      </c>
      <c r="J35" s="4" t="s">
        <v>34</v>
      </c>
    </row>
    <row r="36" customFormat="false" ht="15" hidden="false" customHeight="false" outlineLevel="0" collapsed="false">
      <c r="A36" s="4" t="s">
        <v>114</v>
      </c>
      <c r="B36" s="4" t="s">
        <v>30</v>
      </c>
      <c r="C36" s="4" t="s">
        <v>107</v>
      </c>
      <c r="D36" s="7" t="s">
        <v>115</v>
      </c>
      <c r="E36" s="4" t="s">
        <v>33</v>
      </c>
      <c r="F36" s="4" t="s">
        <v>4</v>
      </c>
      <c r="G36" s="8" t="n">
        <v>94021.6169643998</v>
      </c>
      <c r="H36" s="6" t="n">
        <f aca="false">IF(G36="","",G36/SUMIFS($G$2:$G$1122,$F$2:$F$1122,"Served"))</f>
        <v>0.00451358902372659</v>
      </c>
      <c r="I36" s="4" t="n">
        <f aca="false">IF(G36="","",RANK(G36,$G$2:$G$1122,0))</f>
        <v>35</v>
      </c>
      <c r="J36" s="4" t="s">
        <v>34</v>
      </c>
    </row>
    <row r="37" customFormat="false" ht="15" hidden="false" customHeight="false" outlineLevel="0" collapsed="false">
      <c r="A37" s="4" t="s">
        <v>116</v>
      </c>
      <c r="B37" s="4" t="s">
        <v>30</v>
      </c>
      <c r="C37" s="4" t="s">
        <v>31</v>
      </c>
      <c r="D37" s="7" t="s">
        <v>117</v>
      </c>
      <c r="E37" s="4" t="s">
        <v>33</v>
      </c>
      <c r="F37" s="4" t="s">
        <v>4</v>
      </c>
      <c r="G37" s="8" t="n">
        <v>82554.041796267</v>
      </c>
      <c r="H37" s="6" t="n">
        <f aca="false">IF(G37="","",G37/SUMIFS($G$2:$G$1122,$F$2:$F$1122,"Served"))</f>
        <v>0.00396307816166343</v>
      </c>
      <c r="I37" s="4" t="n">
        <f aca="false">IF(G37="","",RANK(G37,$G$2:$G$1122,0))</f>
        <v>36</v>
      </c>
      <c r="J37" s="4" t="s">
        <v>34</v>
      </c>
    </row>
    <row r="38" customFormat="false" ht="15" hidden="false" customHeight="false" outlineLevel="0" collapsed="false">
      <c r="A38" s="4" t="s">
        <v>118</v>
      </c>
      <c r="B38" s="4" t="s">
        <v>119</v>
      </c>
      <c r="C38" s="4" t="s">
        <v>120</v>
      </c>
      <c r="D38" s="7" t="s">
        <v>121</v>
      </c>
      <c r="E38" s="4" t="s">
        <v>33</v>
      </c>
      <c r="F38" s="4" t="s">
        <v>4</v>
      </c>
      <c r="G38" s="8" t="n">
        <v>81799.4628739357</v>
      </c>
      <c r="H38" s="6" t="n">
        <f aca="false">IF(G38="","",G38/SUMIFS($G$2:$G$1122,$F$2:$F$1122,"Served"))</f>
        <v>0.00392685394800563</v>
      </c>
      <c r="I38" s="4" t="n">
        <f aca="false">IF(G38="","",RANK(G38,$G$2:$G$1122,0))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100</v>
      </c>
      <c r="C39" s="4" t="s">
        <v>101</v>
      </c>
      <c r="D39" s="7" t="s">
        <v>123</v>
      </c>
      <c r="E39" s="4" t="s">
        <v>103</v>
      </c>
      <c r="F39" s="4" t="s">
        <v>4</v>
      </c>
      <c r="G39" s="8" t="n">
        <v>79351.2244868279</v>
      </c>
      <c r="H39" s="6" t="n">
        <f aca="false">IF(G39="","",G39/SUMIFS($G$2:$G$1122,$F$2:$F$1122,"Served"))</f>
        <v>0.00380932414721843</v>
      </c>
      <c r="I39" s="4" t="n">
        <f aca="false">IF(G39="","",RANK(G39,$G$2:$G$1122,0))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30</v>
      </c>
      <c r="C40" s="4" t="s">
        <v>31</v>
      </c>
      <c r="D40" s="7" t="s">
        <v>125</v>
      </c>
      <c r="E40" s="4" t="s">
        <v>33</v>
      </c>
      <c r="F40" s="4" t="s">
        <v>4</v>
      </c>
      <c r="G40" s="8" t="n">
        <v>78807.9810986519</v>
      </c>
      <c r="H40" s="6" t="n">
        <f aca="false">IF(G40="","",G40/SUMIFS($G$2:$G$1122,$F$2:$F$1122,"Served"))</f>
        <v>0.00378324527862153</v>
      </c>
      <c r="I40" s="4" t="n">
        <f aca="false">IF(G40="","",RANK(G40,$G$2:$G$1122,0))</f>
        <v>39</v>
      </c>
      <c r="J40" s="4" t="s">
        <v>34</v>
      </c>
    </row>
    <row r="41" customFormat="false" ht="15" hidden="false" customHeight="false" outlineLevel="0" collapsed="false">
      <c r="A41" s="4" t="s">
        <v>126</v>
      </c>
      <c r="B41" s="4" t="s">
        <v>30</v>
      </c>
      <c r="C41" s="4" t="s">
        <v>31</v>
      </c>
      <c r="D41" s="7" t="s">
        <v>127</v>
      </c>
      <c r="E41" s="4" t="s">
        <v>33</v>
      </c>
      <c r="F41" s="4" t="s">
        <v>4</v>
      </c>
      <c r="G41" s="8" t="n">
        <v>74642.5154367685</v>
      </c>
      <c r="H41" s="6" t="n">
        <f aca="false">IF(G41="","",G41/SUMIFS($G$2:$G$1122,$F$2:$F$1122,"Served"))</f>
        <v>0.00358327849760663</v>
      </c>
      <c r="I41" s="4" t="n">
        <f aca="false">IF(G41="","",RANK(G41,$G$2:$G$1122,0))</f>
        <v>40</v>
      </c>
      <c r="J41" s="4" t="s">
        <v>34</v>
      </c>
    </row>
    <row r="42" customFormat="false" ht="15" hidden="false" customHeight="false" outlineLevel="0" collapsed="false">
      <c r="A42" s="4" t="s">
        <v>128</v>
      </c>
      <c r="B42" s="4" t="s">
        <v>30</v>
      </c>
      <c r="C42" s="4" t="s">
        <v>110</v>
      </c>
      <c r="D42" s="7" t="s">
        <v>129</v>
      </c>
      <c r="E42" s="4" t="s">
        <v>33</v>
      </c>
      <c r="F42" s="4" t="s">
        <v>4</v>
      </c>
      <c r="G42" s="8" t="n">
        <v>73773.2345188856</v>
      </c>
      <c r="H42" s="6" t="n">
        <f aca="false">IF(G42="","",G42/SUMIFS($G$2:$G$1122,$F$2:$F$1122,"Served"))</f>
        <v>0.00354154791546852</v>
      </c>
      <c r="I42" s="4" t="n">
        <f aca="false">IF(G42="","",RANK(G42,$G$2:$G$1122,0))</f>
        <v>41</v>
      </c>
      <c r="J42" s="4" t="s">
        <v>34</v>
      </c>
    </row>
    <row r="43" customFormat="false" ht="15" hidden="false" customHeight="false" outlineLevel="0" collapsed="false">
      <c r="A43" s="4" t="s">
        <v>130</v>
      </c>
      <c r="B43" s="4" t="s">
        <v>131</v>
      </c>
      <c r="C43" s="4" t="s">
        <v>132</v>
      </c>
      <c r="D43" s="7" t="s">
        <v>133</v>
      </c>
      <c r="E43" s="4" t="s">
        <v>134</v>
      </c>
      <c r="F43" s="4" t="s">
        <v>4</v>
      </c>
      <c r="G43" s="8" t="n">
        <v>73351.2074459791</v>
      </c>
      <c r="H43" s="6" t="n">
        <f aca="false">IF(G43="","",G43/SUMIFS($G$2:$G$1122,$F$2:$F$1122,"Served"))</f>
        <v>0.00352128814090298</v>
      </c>
      <c r="I43" s="4" t="n">
        <f aca="false">IF(G43="","",RANK(G43,$G$2:$G$1122,0))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136</v>
      </c>
      <c r="D44" s="7" t="s">
        <v>137</v>
      </c>
      <c r="E44" s="4" t="s">
        <v>33</v>
      </c>
      <c r="F44" s="4" t="s">
        <v>4</v>
      </c>
      <c r="G44" s="8" t="n">
        <v>72807.0917056203</v>
      </c>
      <c r="H44" s="6" t="n">
        <f aca="false">IF(G44="","",G44/SUMIFS($G$2:$G$1122,$F$2:$F$1122,"Served"))</f>
        <v>0.0034951673942852</v>
      </c>
      <c r="I44" s="4" t="n">
        <f aca="false">IF(G44="","",RANK(G44,$G$2:$G$1122,0))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100</v>
      </c>
      <c r="C45" s="4" t="s">
        <v>101</v>
      </c>
      <c r="D45" s="7" t="s">
        <v>139</v>
      </c>
      <c r="E45" s="4" t="s">
        <v>103</v>
      </c>
      <c r="F45" s="4" t="s">
        <v>4</v>
      </c>
      <c r="G45" s="8" t="n">
        <v>72338.0403111577</v>
      </c>
      <c r="H45" s="6" t="n">
        <f aca="false">IF(G45="","",G45/SUMIFS($G$2:$G$1122,$F$2:$F$1122,"Served"))</f>
        <v>0.003472650176501</v>
      </c>
      <c r="I45" s="4" t="n">
        <f aca="false">IF(G45="","",RANK(G45,$G$2:$G$1122,0))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42</v>
      </c>
      <c r="D46" s="7" t="s">
        <v>141</v>
      </c>
      <c r="E46" s="4" t="s">
        <v>44</v>
      </c>
      <c r="F46" s="4" t="s">
        <v>4</v>
      </c>
      <c r="G46" s="8" t="n">
        <v>71968.5933608413</v>
      </c>
      <c r="H46" s="6" t="n">
        <f aca="false">IF(G46="","",G46/SUMIFS($G$2:$G$1122,$F$2:$F$1122,"Served"))</f>
        <v>0.00345491455618691</v>
      </c>
      <c r="I46" s="4" t="n">
        <f aca="false">IF(G46="","",RANK(G46,$G$2:$G$1122,0))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41</v>
      </c>
      <c r="C47" s="4" t="s">
        <v>42</v>
      </c>
      <c r="D47" s="7" t="s">
        <v>143</v>
      </c>
      <c r="E47" s="4" t="s">
        <v>44</v>
      </c>
      <c r="F47" s="4" t="s">
        <v>4</v>
      </c>
      <c r="G47" s="8" t="n">
        <v>71097.7163733244</v>
      </c>
      <c r="H47" s="6" t="n">
        <f aca="false">IF(G47="","",G47/SUMIFS($G$2:$G$1122,$F$2:$F$1122,"Served"))</f>
        <v>0.00341310735334588</v>
      </c>
      <c r="I47" s="4" t="n">
        <f aca="false">IF(G47="","",RANK(G47,$G$2:$G$1122,0))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145</v>
      </c>
      <c r="C48" s="4" t="s">
        <v>146</v>
      </c>
      <c r="D48" s="7" t="s">
        <v>147</v>
      </c>
      <c r="E48" s="4" t="s">
        <v>148</v>
      </c>
      <c r="F48" s="4" t="s">
        <v>4</v>
      </c>
      <c r="G48" s="8" t="n">
        <v>66023.1782132983</v>
      </c>
      <c r="H48" s="6" t="n">
        <f aca="false">IF(G48="","",G48/SUMIFS($G$2:$G$1122,$F$2:$F$1122,"Served"))</f>
        <v>0.00316949976097436</v>
      </c>
      <c r="I48" s="4" t="n">
        <f aca="false">IF(G48="","",RANK(G48,$G$2:$G$1122,0))</f>
        <v>47</v>
      </c>
      <c r="J48" s="4" t="s">
        <v>34</v>
      </c>
    </row>
    <row r="49" customFormat="false" ht="15" hidden="false" customHeight="false" outlineLevel="0" collapsed="false">
      <c r="A49" s="4" t="s">
        <v>149</v>
      </c>
      <c r="B49" s="4" t="s">
        <v>30</v>
      </c>
      <c r="C49" s="4" t="s">
        <v>107</v>
      </c>
      <c r="D49" s="7" t="s">
        <v>150</v>
      </c>
      <c r="E49" s="4" t="s">
        <v>33</v>
      </c>
      <c r="F49" s="4" t="s">
        <v>4</v>
      </c>
      <c r="G49" s="8" t="n">
        <v>60207.9876304865</v>
      </c>
      <c r="H49" s="6" t="n">
        <f aca="false">IF(G49="","",G49/SUMIFS($G$2:$G$1122,$F$2:$F$1122,"Served"))</f>
        <v>0.00289033650859809</v>
      </c>
      <c r="I49" s="4" t="n">
        <f aca="false">IF(G49="","",RANK(G49,$G$2:$G$1122,0))</f>
        <v>48</v>
      </c>
      <c r="J49" s="4" t="s">
        <v>34</v>
      </c>
    </row>
    <row r="50" customFormat="false" ht="15" hidden="false" customHeight="false" outlineLevel="0" collapsed="false">
      <c r="A50" s="4" t="s">
        <v>151</v>
      </c>
      <c r="B50" s="4" t="s">
        <v>100</v>
      </c>
      <c r="C50" s="4" t="s">
        <v>101</v>
      </c>
      <c r="D50" s="7" t="s">
        <v>152</v>
      </c>
      <c r="E50" s="4" t="s">
        <v>103</v>
      </c>
      <c r="F50" s="4" t="s">
        <v>4</v>
      </c>
      <c r="G50" s="8" t="n">
        <v>60032.4307483435</v>
      </c>
      <c r="H50" s="6" t="n">
        <f aca="false">IF(G50="","",G50/SUMIFS($G$2:$G$1122,$F$2:$F$1122,"Served"))</f>
        <v>0.00288190874866517</v>
      </c>
      <c r="I50" s="4" t="n">
        <f aca="false">IF(G50="","",RANK(G50,$G$2:$G$1122,0))</f>
        <v>49</v>
      </c>
      <c r="J50" s="4" t="s">
        <v>34</v>
      </c>
    </row>
    <row r="51" customFormat="false" ht="15" hidden="false" customHeight="false" outlineLevel="0" collapsed="false">
      <c r="A51" s="4" t="s">
        <v>153</v>
      </c>
      <c r="B51" s="4" t="s">
        <v>41</v>
      </c>
      <c r="C51" s="4" t="s">
        <v>42</v>
      </c>
      <c r="D51" s="7" t="s">
        <v>154</v>
      </c>
      <c r="E51" s="4" t="s">
        <v>44</v>
      </c>
      <c r="F51" s="4" t="s">
        <v>4</v>
      </c>
      <c r="G51" s="8" t="n">
        <v>59643.7367739677</v>
      </c>
      <c r="H51" s="6" t="n">
        <f aca="false">IF(G51="","",G51/SUMIFS($G$2:$G$1122,$F$2:$F$1122,"Served"))</f>
        <v>0.00286324915831804</v>
      </c>
      <c r="I51" s="4" t="n">
        <f aca="false">IF(G51="","",RANK(G51,$G$2:$G$1122,0))</f>
        <v>50</v>
      </c>
      <c r="J51" s="4" t="s">
        <v>34</v>
      </c>
    </row>
    <row r="52" customFormat="false" ht="15" hidden="false" customHeight="false" outlineLevel="0" collapsed="false">
      <c r="A52" s="4" t="s">
        <v>155</v>
      </c>
      <c r="B52" s="4" t="s">
        <v>119</v>
      </c>
      <c r="C52" s="4" t="s">
        <v>156</v>
      </c>
      <c r="D52" s="7" t="s">
        <v>157</v>
      </c>
      <c r="E52" s="4" t="s">
        <v>33</v>
      </c>
      <c r="F52" s="4" t="s">
        <v>4</v>
      </c>
      <c r="G52" s="8" t="n">
        <v>59606.8476063609</v>
      </c>
      <c r="H52" s="6" t="n">
        <f aca="false">IF(G52="","",G52/SUMIFS($G$2:$G$1122,$F$2:$F$1122,"Served"))</f>
        <v>0.00286147826192867</v>
      </c>
      <c r="I52" s="4" t="n">
        <f aca="false">IF(G52="","",RANK(G52,$G$2:$G$1122,0))</f>
        <v>51</v>
      </c>
      <c r="J52" s="4" t="s">
        <v>34</v>
      </c>
    </row>
    <row r="53" customFormat="false" ht="15" hidden="false" customHeight="false" outlineLevel="0" collapsed="false">
      <c r="A53" s="4" t="s">
        <v>158</v>
      </c>
      <c r="B53" s="4" t="s">
        <v>30</v>
      </c>
      <c r="C53" s="4" t="s">
        <v>31</v>
      </c>
      <c r="D53" s="7" t="s">
        <v>159</v>
      </c>
      <c r="E53" s="4" t="s">
        <v>33</v>
      </c>
      <c r="F53" s="4" t="s">
        <v>4</v>
      </c>
      <c r="G53" s="8" t="n">
        <v>59486.3627158403</v>
      </c>
      <c r="H53" s="6" t="n">
        <f aca="false">IF(G53="","",G53/SUMIFS($G$2:$G$1122,$F$2:$F$1122,"Served"))</f>
        <v>0.00285569428057485</v>
      </c>
      <c r="I53" s="4" t="n">
        <f aca="false">IF(G53="","",RANK(G53,$G$2:$G$1122,0))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41</v>
      </c>
      <c r="C54" s="4" t="s">
        <v>42</v>
      </c>
      <c r="D54" s="7" t="s">
        <v>161</v>
      </c>
      <c r="E54" s="4" t="s">
        <v>44</v>
      </c>
      <c r="F54" s="4" t="s">
        <v>4</v>
      </c>
      <c r="G54" s="8" t="n">
        <v>58241.7323850393</v>
      </c>
      <c r="H54" s="6" t="n">
        <f aca="false">IF(G54="","",G54/SUMIFS($G$2:$G$1122,$F$2:$F$1122,"Served"))</f>
        <v>0.00279594472530153</v>
      </c>
      <c r="I54" s="4" t="n">
        <f aca="false">IF(G54="","",RANK(G54,$G$2:$G$1122,0))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119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58114.5001865625</v>
      </c>
      <c r="H55" s="6" t="n">
        <f aca="false">IF(G55="","",G55/SUMIFS($G$2:$G$1122,$F$2:$F$1122,"Served"))</f>
        <v>0.00278983683359481</v>
      </c>
      <c r="I55" s="4" t="n">
        <f aca="false">IF(G55="","",RANK(G55,$G$2:$G$1122,0))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119</v>
      </c>
      <c r="C56" s="4" t="s">
        <v>166</v>
      </c>
      <c r="D56" s="7" t="s">
        <v>167</v>
      </c>
      <c r="E56" s="4" t="s">
        <v>33</v>
      </c>
      <c r="F56" s="4" t="s">
        <v>4</v>
      </c>
      <c r="G56" s="8" t="n">
        <v>57583.4935284853</v>
      </c>
      <c r="H56" s="6" t="n">
        <f aca="false">IF(G56="","",G56/SUMIFS($G$2:$G$1122,$F$2:$F$1122,"Served"))</f>
        <v>0.00276434539980751</v>
      </c>
      <c r="I56" s="4" t="n">
        <f aca="false">IF(G56="","",RANK(G56,$G$2:$G$1122,0))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119</v>
      </c>
      <c r="C57" s="4" t="s">
        <v>169</v>
      </c>
      <c r="D57" s="7" t="s">
        <v>170</v>
      </c>
      <c r="E57" s="4" t="s">
        <v>33</v>
      </c>
      <c r="F57" s="4" t="s">
        <v>4</v>
      </c>
      <c r="G57" s="8" t="n">
        <v>57420.2893226743</v>
      </c>
      <c r="H57" s="6" t="n">
        <f aca="false">IF(G57="","",G57/SUMIFS($G$2:$G$1122,$F$2:$F$1122,"Served"))</f>
        <v>0.00275651064078338</v>
      </c>
      <c r="I57" s="4" t="n">
        <f aca="false">IF(G57="","",RANK(G57,$G$2:$G$1122,0))</f>
        <v>56</v>
      </c>
      <c r="J57" s="4" t="s">
        <v>34</v>
      </c>
    </row>
    <row r="58" customFormat="false" ht="15" hidden="false" customHeight="false" outlineLevel="0" collapsed="false">
      <c r="A58" s="4" t="s">
        <v>171</v>
      </c>
      <c r="B58" s="4" t="s">
        <v>41</v>
      </c>
      <c r="C58" s="4" t="s">
        <v>42</v>
      </c>
      <c r="D58" s="7" t="s">
        <v>172</v>
      </c>
      <c r="E58" s="4" t="s">
        <v>44</v>
      </c>
      <c r="F58" s="4" t="s">
        <v>4</v>
      </c>
      <c r="G58" s="8" t="n">
        <v>56203.1684516072</v>
      </c>
      <c r="H58" s="6" t="n">
        <f aca="false">IF(G58="","",G58/SUMIFS($G$2:$G$1122,$F$2:$F$1122,"Served"))</f>
        <v>0.00269808170091228</v>
      </c>
      <c r="I58" s="4" t="n">
        <f aca="false">IF(G58="","",RANK(G58,$G$2:$G$1122,0))</f>
        <v>57</v>
      </c>
      <c r="J58" s="4" t="s">
        <v>34</v>
      </c>
    </row>
    <row r="59" customFormat="false" ht="15" hidden="false" customHeight="false" outlineLevel="0" collapsed="false">
      <c r="A59" s="4" t="s">
        <v>173</v>
      </c>
      <c r="B59" s="4" t="s">
        <v>30</v>
      </c>
      <c r="C59" s="4" t="s">
        <v>174</v>
      </c>
      <c r="D59" s="7" t="s">
        <v>175</v>
      </c>
      <c r="E59" s="4" t="s">
        <v>33</v>
      </c>
      <c r="F59" s="4" t="s">
        <v>4</v>
      </c>
      <c r="G59" s="8" t="n">
        <v>55159.6969136</v>
      </c>
      <c r="H59" s="6" t="n">
        <f aca="false">IF(G59="","",G59/SUMIFS($G$2:$G$1122,$F$2:$F$1122,"Served"))</f>
        <v>0.00264798894743088</v>
      </c>
      <c r="I59" s="4" t="n">
        <f aca="false">IF(G59="","",RANK(G59,$G$2:$G$1122,0))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41</v>
      </c>
      <c r="C60" s="4" t="s">
        <v>42</v>
      </c>
      <c r="D60" s="7" t="s">
        <v>177</v>
      </c>
      <c r="E60" s="4" t="s">
        <v>44</v>
      </c>
      <c r="F60" s="4" t="s">
        <v>4</v>
      </c>
      <c r="G60" s="8" t="n">
        <v>53656.367239058</v>
      </c>
      <c r="H60" s="6" t="n">
        <f aca="false">IF(G60="","",G60/SUMIFS($G$2:$G$1122,$F$2:$F$1122,"Served"))</f>
        <v>0.0025758203064616</v>
      </c>
      <c r="I60" s="4" t="n">
        <f aca="false">IF(G60="","",RANK(G60,$G$2:$G$1122,0))</f>
        <v>59</v>
      </c>
      <c r="J60" s="4" t="s">
        <v>34</v>
      </c>
    </row>
    <row r="61" customFormat="false" ht="15" hidden="false" customHeight="false" outlineLevel="0" collapsed="false">
      <c r="A61" s="4" t="s">
        <v>178</v>
      </c>
      <c r="B61" s="4" t="s">
        <v>30</v>
      </c>
      <c r="C61" s="4" t="s">
        <v>110</v>
      </c>
      <c r="D61" s="7" t="s">
        <v>179</v>
      </c>
      <c r="E61" s="4" t="s">
        <v>33</v>
      </c>
      <c r="F61" s="4" t="s">
        <v>4</v>
      </c>
      <c r="G61" s="8" t="n">
        <v>53421.0869197846</v>
      </c>
      <c r="H61" s="6" t="n">
        <f aca="false">IF(G61="","",G61/SUMIFS($G$2:$G$1122,$F$2:$F$1122,"Served"))</f>
        <v>0.00256452547128583</v>
      </c>
      <c r="I61" s="4" t="n">
        <f aca="false">IF(G61="","",RANK(G61,$G$2:$G$1122,0))</f>
        <v>60</v>
      </c>
      <c r="J61" s="4" t="s">
        <v>34</v>
      </c>
    </row>
    <row r="62" customFormat="false" ht="15" hidden="false" customHeight="false" outlineLevel="0" collapsed="false">
      <c r="A62" s="4" t="s">
        <v>180</v>
      </c>
      <c r="B62" s="4" t="s">
        <v>30</v>
      </c>
      <c r="C62" s="4" t="s">
        <v>107</v>
      </c>
      <c r="D62" s="7" t="s">
        <v>181</v>
      </c>
      <c r="E62" s="4" t="s">
        <v>33</v>
      </c>
      <c r="F62" s="4" t="s">
        <v>4</v>
      </c>
      <c r="G62" s="8" t="n">
        <v>53311.4099555612</v>
      </c>
      <c r="H62" s="6" t="n">
        <f aca="false">IF(G62="","",G62/SUMIFS($G$2:$G$1122,$F$2:$F$1122,"Served"))</f>
        <v>0.00255926033377962</v>
      </c>
      <c r="I62" s="4" t="n">
        <f aca="false">IF(G62="","",RANK(G62,$G$2:$G$1122,0))</f>
        <v>61</v>
      </c>
      <c r="J62" s="4" t="s">
        <v>34</v>
      </c>
    </row>
    <row r="63" customFormat="false" ht="15" hidden="false" customHeight="false" outlineLevel="0" collapsed="false">
      <c r="A63" s="4" t="s">
        <v>182</v>
      </c>
      <c r="B63" s="4" t="s">
        <v>48</v>
      </c>
      <c r="C63" s="4" t="s">
        <v>49</v>
      </c>
      <c r="D63" s="7" t="s">
        <v>183</v>
      </c>
      <c r="E63" s="4" t="s">
        <v>51</v>
      </c>
      <c r="F63" s="4" t="s">
        <v>4</v>
      </c>
      <c r="G63" s="8" t="n">
        <v>52265.7266326547</v>
      </c>
      <c r="H63" s="6" t="n">
        <f aca="false">IF(G63="","",G63/SUMIFS($G$2:$G$1122,$F$2:$F$1122,"Served"))</f>
        <v>0.00250906140165157</v>
      </c>
      <c r="I63" s="4" t="n">
        <f aca="false">IF(G63="","",RANK(G63,$G$2:$G$1122,0))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30</v>
      </c>
      <c r="C64" s="4" t="s">
        <v>174</v>
      </c>
      <c r="D64" s="7" t="s">
        <v>185</v>
      </c>
      <c r="E64" s="4" t="s">
        <v>33</v>
      </c>
      <c r="F64" s="4" t="s">
        <v>4</v>
      </c>
      <c r="G64" s="8" t="n">
        <v>51116.7148485184</v>
      </c>
      <c r="H64" s="6" t="n">
        <f aca="false">IF(G64="","",G64/SUMIFS($G$2:$G$1122,$F$2:$F$1122,"Served"))</f>
        <v>0.00245390209739313</v>
      </c>
      <c r="I64" s="4" t="n">
        <f aca="false">IF(G64="","",RANK(G64,$G$2:$G$1122,0))</f>
        <v>63</v>
      </c>
      <c r="J64" s="4" t="s">
        <v>34</v>
      </c>
    </row>
    <row r="65" customFormat="false" ht="15" hidden="false" customHeight="false" outlineLevel="0" collapsed="false">
      <c r="A65" s="4" t="s">
        <v>186</v>
      </c>
      <c r="B65" s="4" t="s">
        <v>187</v>
      </c>
      <c r="C65" s="4" t="s">
        <v>188</v>
      </c>
      <c r="D65" s="7" t="s">
        <v>189</v>
      </c>
      <c r="E65" s="4" t="s">
        <v>190</v>
      </c>
      <c r="F65" s="4" t="s">
        <v>4</v>
      </c>
      <c r="G65" s="8" t="n">
        <v>50775.7820999026</v>
      </c>
      <c r="H65" s="6" t="n">
        <f aca="false">IF(G65="","",G65/SUMIFS($G$2:$G$1122,$F$2:$F$1122,"Served"))</f>
        <v>0.00243753532598817</v>
      </c>
      <c r="I65" s="4" t="n">
        <f aca="false">IF(G65="","",RANK(G65,$G$2:$G$1122,0))</f>
        <v>64</v>
      </c>
      <c r="J65" s="4" t="s">
        <v>34</v>
      </c>
    </row>
    <row r="66" customFormat="false" ht="15" hidden="false" customHeight="false" outlineLevel="0" collapsed="false">
      <c r="A66" s="4" t="s">
        <v>191</v>
      </c>
      <c r="B66" s="4" t="s">
        <v>100</v>
      </c>
      <c r="C66" s="4" t="s">
        <v>101</v>
      </c>
      <c r="D66" s="7" t="s">
        <v>192</v>
      </c>
      <c r="E66" s="4" t="s">
        <v>103</v>
      </c>
      <c r="F66" s="4" t="s">
        <v>4</v>
      </c>
      <c r="G66" s="8" t="n">
        <v>50635.5740573406</v>
      </c>
      <c r="H66" s="6" t="n">
        <f aca="false">IF(G66="","",G66/SUMIFS($G$2:$G$1122,$F$2:$F$1122,"Served"))</f>
        <v>0.00243080451766581</v>
      </c>
      <c r="I66" s="4" t="n">
        <f aca="false">IF(G66="","",RANK(G66,$G$2:$G$1122,0))</f>
        <v>65</v>
      </c>
      <c r="J66" s="4" t="s">
        <v>34</v>
      </c>
    </row>
    <row r="67" customFormat="false" ht="15" hidden="false" customHeight="false" outlineLevel="0" collapsed="false">
      <c r="A67" s="4" t="s">
        <v>193</v>
      </c>
      <c r="B67" s="4" t="s">
        <v>30</v>
      </c>
      <c r="C67" s="4" t="s">
        <v>31</v>
      </c>
      <c r="D67" s="7" t="s">
        <v>194</v>
      </c>
      <c r="E67" s="4" t="s">
        <v>33</v>
      </c>
      <c r="F67" s="4" t="s">
        <v>4</v>
      </c>
      <c r="G67" s="8" t="n">
        <v>50351.2184711695</v>
      </c>
      <c r="H67" s="6" t="n">
        <f aca="false">IF(G67="","",G67/SUMIFS($G$2:$G$1122,$F$2:$F$1122,"Served"))</f>
        <v>0.00241715378186679</v>
      </c>
      <c r="I67" s="4" t="n">
        <f aca="false">IF(G67="","",RANK(G67,$G$2:$G$1122,0))</f>
        <v>66</v>
      </c>
      <c r="J67" s="4" t="s">
        <v>34</v>
      </c>
    </row>
    <row r="68" customFormat="false" ht="15" hidden="false" customHeight="false" outlineLevel="0" collapsed="false">
      <c r="A68" s="4" t="s">
        <v>195</v>
      </c>
      <c r="B68" s="4" t="s">
        <v>119</v>
      </c>
      <c r="C68" s="4" t="s">
        <v>196</v>
      </c>
      <c r="D68" s="7" t="s">
        <v>197</v>
      </c>
      <c r="E68" s="4" t="s">
        <v>33</v>
      </c>
      <c r="F68" s="4" t="s">
        <v>4</v>
      </c>
      <c r="G68" s="8" t="n">
        <v>50009.7030091882</v>
      </c>
      <c r="H68" s="6" t="n">
        <f aca="false">IF(G68="","",G68/SUMIFS($G$2:$G$1122,$F$2:$F$1122,"Served"))</f>
        <v>0.00240075903680284</v>
      </c>
      <c r="I68" s="4" t="n">
        <f aca="false">IF(G68="","",RANK(G68,$G$2:$G$1122,0))</f>
        <v>67</v>
      </c>
      <c r="J68" s="4" t="s">
        <v>34</v>
      </c>
    </row>
    <row r="69" customFormat="false" ht="15" hidden="false" customHeight="false" outlineLevel="0" collapsed="false">
      <c r="A69" s="4" t="s">
        <v>198</v>
      </c>
      <c r="B69" s="4" t="s">
        <v>30</v>
      </c>
      <c r="C69" s="4" t="s">
        <v>174</v>
      </c>
      <c r="D69" s="7" t="s">
        <v>199</v>
      </c>
      <c r="E69" s="4" t="s">
        <v>33</v>
      </c>
      <c r="F69" s="4" t="s">
        <v>4</v>
      </c>
      <c r="G69" s="8" t="n">
        <v>49104.0792989731</v>
      </c>
      <c r="H69" s="6" t="n">
        <f aca="false">IF(G69="","",G69/SUMIFS($G$2:$G$1122,$F$2:$F$1122,"Served"))</f>
        <v>0.00235728378749288</v>
      </c>
      <c r="I69" s="4" t="n">
        <f aca="false">IF(G69="","",RANK(G69,$G$2:$G$1122,0))</f>
        <v>68</v>
      </c>
      <c r="J69" s="4" t="s">
        <v>34</v>
      </c>
    </row>
    <row r="70" customFormat="false" ht="15" hidden="false" customHeight="false" outlineLevel="0" collapsed="false">
      <c r="A70" s="4" t="s">
        <v>200</v>
      </c>
      <c r="B70" s="4" t="s">
        <v>30</v>
      </c>
      <c r="C70" s="4" t="s">
        <v>65</v>
      </c>
      <c r="D70" s="7" t="s">
        <v>201</v>
      </c>
      <c r="E70" s="4" t="s">
        <v>33</v>
      </c>
      <c r="F70" s="4" t="s">
        <v>4</v>
      </c>
      <c r="G70" s="8" t="n">
        <v>48020.5965704918</v>
      </c>
      <c r="H70" s="6" t="n">
        <f aca="false">IF(G70="","",G70/SUMIFS($G$2:$G$1122,$F$2:$F$1122,"Served"))</f>
        <v>0.00230527026221472</v>
      </c>
      <c r="I70" s="4" t="n">
        <f aca="false">IF(G70="","",RANK(G70,$G$2:$G$1122,0))</f>
        <v>69</v>
      </c>
      <c r="J70" s="4" t="s">
        <v>34</v>
      </c>
    </row>
    <row r="71" customFormat="false" ht="15" hidden="false" customHeight="false" outlineLevel="0" collapsed="false">
      <c r="A71" s="4" t="s">
        <v>202</v>
      </c>
      <c r="B71" s="4" t="s">
        <v>30</v>
      </c>
      <c r="C71" s="4" t="s">
        <v>31</v>
      </c>
      <c r="D71" s="7" t="s">
        <v>203</v>
      </c>
      <c r="E71" s="4" t="s">
        <v>33</v>
      </c>
      <c r="F71" s="4" t="s">
        <v>4</v>
      </c>
      <c r="G71" s="8" t="n">
        <v>46473.9209076762</v>
      </c>
      <c r="H71" s="6" t="n">
        <f aca="false">IF(G71="","",G71/SUMIFS($G$2:$G$1122,$F$2:$F$1122,"Served"))</f>
        <v>0.0022310207595967</v>
      </c>
      <c r="I71" s="4" t="n">
        <f aca="false">IF(G71="","",RANK(G71,$G$2:$G$1122,0))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48</v>
      </c>
      <c r="C72" s="4" t="s">
        <v>49</v>
      </c>
      <c r="D72" s="7" t="s">
        <v>205</v>
      </c>
      <c r="E72" s="4" t="s">
        <v>51</v>
      </c>
      <c r="F72" s="4" t="s">
        <v>4</v>
      </c>
      <c r="G72" s="8" t="n">
        <v>46044.9118638635</v>
      </c>
      <c r="H72" s="6" t="n">
        <f aca="false">IF(G72="","",G72/SUMIFS($G$2:$G$1122,$F$2:$F$1122,"Served"))</f>
        <v>0.00221042580948043</v>
      </c>
      <c r="I72" s="4" t="n">
        <f aca="false">IF(G72="","",RANK(G72,$G$2:$G$1122,0))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30</v>
      </c>
      <c r="C73" s="4" t="s">
        <v>38</v>
      </c>
      <c r="D73" s="7" t="s">
        <v>207</v>
      </c>
      <c r="E73" s="4" t="s">
        <v>33</v>
      </c>
      <c r="F73" s="4" t="s">
        <v>4</v>
      </c>
      <c r="G73" s="8" t="n">
        <v>45410.0160455704</v>
      </c>
      <c r="H73" s="6" t="n">
        <f aca="false">IF(G73="","",G73/SUMIFS($G$2:$G$1122,$F$2:$F$1122,"Served"))</f>
        <v>0.00217994708672306</v>
      </c>
      <c r="I73" s="4" t="n">
        <f aca="false">IF(G73="","",RANK(G73,$G$2:$G$1122,0))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44625.1118576527</v>
      </c>
      <c r="H74" s="6" t="n">
        <f aca="false">IF(G74="","",G74/SUMIFS($G$2:$G$1122,$F$2:$F$1122,"Served"))</f>
        <v>0.00214226708246825</v>
      </c>
      <c r="I74" s="4" t="n">
        <f aca="false">IF(G74="","",RANK(G74,$G$2:$G$1122,0))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43914.7706580162</v>
      </c>
      <c r="H75" s="6" t="n">
        <f aca="false">IF(G75="","",G75/SUMIFS($G$2:$G$1122,$F$2:$F$1122,"Served"))</f>
        <v>0.00210816653894118</v>
      </c>
      <c r="I75" s="4" t="n">
        <f aca="false">IF(G75="","",RANK(G75,$G$2:$G$1122,0))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213</v>
      </c>
      <c r="D76" s="7" t="s">
        <v>214</v>
      </c>
      <c r="E76" s="4" t="s">
        <v>33</v>
      </c>
      <c r="F76" s="4" t="s">
        <v>4</v>
      </c>
      <c r="G76" s="8" t="n">
        <v>42065.7789516449</v>
      </c>
      <c r="H76" s="6" t="n">
        <f aca="false">IF(G76="","",G76/SUMIFS($G$2:$G$1122,$F$2:$F$1122,"Served"))</f>
        <v>0.00201940409323682</v>
      </c>
      <c r="I76" s="4" t="n">
        <f aca="false">IF(G76="","",RANK(G76,$G$2:$G$1122,0))</f>
        <v>75</v>
      </c>
      <c r="J76" s="4" t="s">
        <v>34</v>
      </c>
    </row>
    <row r="77" customFormat="false" ht="15" hidden="false" customHeight="false" outlineLevel="0" collapsed="false">
      <c r="A77" s="4" t="s">
        <v>215</v>
      </c>
      <c r="B77" s="4" t="s">
        <v>119</v>
      </c>
      <c r="C77" s="4" t="s">
        <v>216</v>
      </c>
      <c r="D77" s="7" t="s">
        <v>217</v>
      </c>
      <c r="E77" s="4" t="s">
        <v>33</v>
      </c>
      <c r="F77" s="4" t="s">
        <v>4</v>
      </c>
      <c r="G77" s="8" t="n">
        <v>41320.8431988955</v>
      </c>
      <c r="H77" s="6" t="n">
        <f aca="false">IF(G77="","",G77/SUMIFS($G$2:$G$1122,$F$2:$F$1122,"Served"))</f>
        <v>0.00198364280827334</v>
      </c>
      <c r="I77" s="4" t="n">
        <f aca="false">IF(G77="","",RANK(G77,$G$2:$G$1122,0))</f>
        <v>76</v>
      </c>
      <c r="J77" s="4" t="s">
        <v>34</v>
      </c>
    </row>
    <row r="78" customFormat="false" ht="15" hidden="false" customHeight="false" outlineLevel="0" collapsed="false">
      <c r="A78" s="4" t="s">
        <v>218</v>
      </c>
      <c r="B78" s="4" t="s">
        <v>30</v>
      </c>
      <c r="C78" s="4" t="s">
        <v>31</v>
      </c>
      <c r="D78" s="7" t="s">
        <v>219</v>
      </c>
      <c r="E78" s="4" t="s">
        <v>33</v>
      </c>
      <c r="F78" s="4" t="s">
        <v>4</v>
      </c>
      <c r="G78" s="8" t="n">
        <v>40711.2512918711</v>
      </c>
      <c r="H78" s="6" t="n">
        <f aca="false">IF(G78="","",G78/SUMIFS($G$2:$G$1122,$F$2:$F$1122,"Served"))</f>
        <v>0.00195437882165694</v>
      </c>
      <c r="I78" s="4" t="n">
        <f aca="false">IF(G78="","",RANK(G78,$G$2:$G$1122,0))</f>
        <v>77</v>
      </c>
      <c r="J78" s="4" t="s">
        <v>34</v>
      </c>
    </row>
    <row r="79" customFormat="false" ht="15" hidden="false" customHeight="false" outlineLevel="0" collapsed="false">
      <c r="A79" s="4" t="s">
        <v>220</v>
      </c>
      <c r="B79" s="4" t="s">
        <v>30</v>
      </c>
      <c r="C79" s="4" t="s">
        <v>31</v>
      </c>
      <c r="D79" s="7" t="s">
        <v>221</v>
      </c>
      <c r="E79" s="4" t="s">
        <v>33</v>
      </c>
      <c r="F79" s="4" t="s">
        <v>4</v>
      </c>
      <c r="G79" s="8" t="n">
        <v>39273.9688258171</v>
      </c>
      <c r="H79" s="6" t="n">
        <f aca="false">IF(G79="","",G79/SUMIFS($G$2:$G$1122,$F$2:$F$1122,"Served"))</f>
        <v>0.00188538083404275</v>
      </c>
      <c r="I79" s="4" t="n">
        <f aca="false">IF(G79="","",RANK(G79,$G$2:$G$1122,0))</f>
        <v>78</v>
      </c>
      <c r="J79" s="4" t="s">
        <v>34</v>
      </c>
    </row>
    <row r="80" customFormat="false" ht="15" hidden="false" customHeight="false" outlineLevel="0" collapsed="false">
      <c r="A80" s="4" t="s">
        <v>222</v>
      </c>
      <c r="B80" s="4" t="s">
        <v>223</v>
      </c>
      <c r="C80" s="4" t="s">
        <v>224</v>
      </c>
      <c r="D80" s="7" t="s">
        <v>225</v>
      </c>
      <c r="E80" s="4" t="s">
        <v>226</v>
      </c>
      <c r="F80" s="4" t="s">
        <v>4</v>
      </c>
      <c r="G80" s="8" t="n">
        <v>38954.447916925</v>
      </c>
      <c r="H80" s="6" t="n">
        <f aca="false">IF(G80="","",G80/SUMIFS($G$2:$G$1122,$F$2:$F$1122,"Served"))</f>
        <v>0.00187004195651874</v>
      </c>
      <c r="I80" s="4" t="n">
        <f aca="false">IF(G80="","",RANK(G80,$G$2:$G$1122,0))</f>
        <v>79</v>
      </c>
      <c r="J80" s="4" t="s">
        <v>34</v>
      </c>
    </row>
    <row r="81" customFormat="false" ht="15" hidden="false" customHeight="false" outlineLevel="0" collapsed="false">
      <c r="A81" s="4" t="s">
        <v>227</v>
      </c>
      <c r="B81" s="4" t="s">
        <v>119</v>
      </c>
      <c r="C81" s="4" t="s">
        <v>228</v>
      </c>
      <c r="D81" s="7" t="s">
        <v>229</v>
      </c>
      <c r="E81" s="4" t="s">
        <v>33</v>
      </c>
      <c r="F81" s="4" t="s">
        <v>4</v>
      </c>
      <c r="G81" s="8" t="n">
        <v>38765.7313107848</v>
      </c>
      <c r="H81" s="6" t="n">
        <f aca="false">IF(G81="","",G81/SUMIFS($G$2:$G$1122,$F$2:$F$1122,"Served"))</f>
        <v>0.00186098245265601</v>
      </c>
      <c r="I81" s="4" t="n">
        <f aca="false">IF(G81="","",RANK(G81,$G$2:$G$1122,0))</f>
        <v>80</v>
      </c>
      <c r="J81" s="4" t="s">
        <v>34</v>
      </c>
    </row>
    <row r="82" customFormat="false" ht="15" hidden="false" customHeight="false" outlineLevel="0" collapsed="false">
      <c r="A82" s="4" t="s">
        <v>230</v>
      </c>
      <c r="B82" s="4" t="s">
        <v>30</v>
      </c>
      <c r="C82" s="4" t="s">
        <v>231</v>
      </c>
      <c r="D82" s="7" t="s">
        <v>232</v>
      </c>
      <c r="E82" s="4" t="s">
        <v>33</v>
      </c>
      <c r="F82" s="4" t="s">
        <v>4</v>
      </c>
      <c r="G82" s="8" t="n">
        <v>37765.5953601599</v>
      </c>
      <c r="H82" s="6" t="n">
        <f aca="false">IF(G82="","",G82/SUMIFS($G$2:$G$1122,$F$2:$F$1122,"Served"))</f>
        <v>0.00181297006151957</v>
      </c>
      <c r="I82" s="4" t="n">
        <f aca="false">IF(G82="","",RANK(G82,$G$2:$G$1122,0))</f>
        <v>81</v>
      </c>
      <c r="J82" s="4" t="s">
        <v>34</v>
      </c>
    </row>
    <row r="83" customFormat="false" ht="15" hidden="false" customHeight="false" outlineLevel="0" collapsed="false">
      <c r="A83" s="4" t="s">
        <v>233</v>
      </c>
      <c r="B83" s="4" t="s">
        <v>48</v>
      </c>
      <c r="C83" s="4" t="s">
        <v>49</v>
      </c>
      <c r="D83" s="7" t="s">
        <v>234</v>
      </c>
      <c r="E83" s="4" t="s">
        <v>51</v>
      </c>
      <c r="F83" s="4" t="s">
        <v>4</v>
      </c>
      <c r="G83" s="8" t="n">
        <v>36665.2686568499</v>
      </c>
      <c r="H83" s="6" t="n">
        <f aca="false">IF(G83="","",G83/SUMIFS($G$2:$G$1122,$F$2:$F$1122,"Served"))</f>
        <v>0.00176014792666463</v>
      </c>
      <c r="I83" s="4" t="n">
        <f aca="false">IF(G83="","",RANK(G83,$G$2:$G$1122,0))</f>
        <v>82</v>
      </c>
      <c r="J83" s="4" t="s">
        <v>34</v>
      </c>
    </row>
    <row r="84" customFormat="false" ht="15" hidden="false" customHeight="false" outlineLevel="0" collapsed="false">
      <c r="A84" s="4" t="s">
        <v>235</v>
      </c>
      <c r="B84" s="4" t="s">
        <v>119</v>
      </c>
      <c r="C84" s="4" t="s">
        <v>236</v>
      </c>
      <c r="D84" s="7" t="s">
        <v>237</v>
      </c>
      <c r="E84" s="4" t="s">
        <v>33</v>
      </c>
      <c r="F84" s="4" t="s">
        <v>4</v>
      </c>
      <c r="G84" s="8" t="n">
        <v>36647.6678789854</v>
      </c>
      <c r="H84" s="6" t="n">
        <f aca="false">IF(G84="","",G84/SUMIFS($G$2:$G$1122,$F$2:$F$1122,"Served"))</f>
        <v>0.00175930298610369</v>
      </c>
      <c r="I84" s="4" t="n">
        <f aca="false">IF(G84="","",RANK(G84,$G$2:$G$1122,0))</f>
        <v>83</v>
      </c>
      <c r="J84" s="4" t="s">
        <v>34</v>
      </c>
    </row>
    <row r="85" customFormat="false" ht="15" hidden="false" customHeight="false" outlineLevel="0" collapsed="false">
      <c r="A85" s="4" t="s">
        <v>238</v>
      </c>
      <c r="B85" s="4" t="s">
        <v>30</v>
      </c>
      <c r="C85" s="4" t="s">
        <v>31</v>
      </c>
      <c r="D85" s="7" t="s">
        <v>239</v>
      </c>
      <c r="E85" s="4" t="s">
        <v>33</v>
      </c>
      <c r="F85" s="4" t="s">
        <v>4</v>
      </c>
      <c r="G85" s="8" t="n">
        <v>36265.4297283888</v>
      </c>
      <c r="H85" s="6" t="n">
        <f aca="false">IF(G85="","",G85/SUMIFS($G$2:$G$1122,$F$2:$F$1122,"Served"))</f>
        <v>0.00174095331315948</v>
      </c>
      <c r="I85" s="4" t="n">
        <f aca="false">IF(G85="","",RANK(G85,$G$2:$G$1122,0))</f>
        <v>84</v>
      </c>
      <c r="J85" s="4" t="s">
        <v>34</v>
      </c>
    </row>
    <row r="86" customFormat="false" ht="15" hidden="false" customHeight="false" outlineLevel="0" collapsed="false">
      <c r="A86" s="4" t="s">
        <v>240</v>
      </c>
      <c r="B86" s="4" t="s">
        <v>30</v>
      </c>
      <c r="C86" s="4" t="s">
        <v>31</v>
      </c>
      <c r="D86" s="7" t="s">
        <v>241</v>
      </c>
      <c r="E86" s="4" t="s">
        <v>33</v>
      </c>
      <c r="F86" s="4" t="s">
        <v>4</v>
      </c>
      <c r="G86" s="8" t="n">
        <v>35661.1749280691</v>
      </c>
      <c r="H86" s="6" t="n">
        <f aca="false">IF(G86="","",G86/SUMIFS($G$2:$G$1122,$F$2:$F$1122,"Served"))</f>
        <v>0.00171194553896549</v>
      </c>
      <c r="I86" s="4" t="n">
        <f aca="false">IF(G86="","",RANK(G86,$G$2:$G$1122,0))</f>
        <v>85</v>
      </c>
      <c r="J86" s="4" t="s">
        <v>34</v>
      </c>
    </row>
    <row r="87" customFormat="false" ht="15" hidden="false" customHeight="false" outlineLevel="0" collapsed="false">
      <c r="A87" s="4" t="s">
        <v>242</v>
      </c>
      <c r="B87" s="4" t="s">
        <v>30</v>
      </c>
      <c r="C87" s="4" t="s">
        <v>31</v>
      </c>
      <c r="D87" s="7" t="s">
        <v>243</v>
      </c>
      <c r="E87" s="4" t="s">
        <v>33</v>
      </c>
      <c r="F87" s="4" t="s">
        <v>4</v>
      </c>
      <c r="G87" s="8" t="n">
        <v>35053.4355182648</v>
      </c>
      <c r="H87" s="6" t="n">
        <f aca="false">IF(G87="","",G87/SUMIFS($G$2:$G$1122,$F$2:$F$1122,"Served"))</f>
        <v>0.00168277048308002</v>
      </c>
      <c r="I87" s="4" t="n">
        <f aca="false">IF(G87="","",RANK(G87,$G$2:$G$1122,0))</f>
        <v>86</v>
      </c>
      <c r="J87" s="4" t="s">
        <v>34</v>
      </c>
    </row>
    <row r="88" customFormat="false" ht="15" hidden="false" customHeight="false" outlineLevel="0" collapsed="false">
      <c r="A88" s="4" t="s">
        <v>244</v>
      </c>
      <c r="B88" s="4" t="s">
        <v>30</v>
      </c>
      <c r="C88" s="4" t="s">
        <v>31</v>
      </c>
      <c r="D88" s="7" t="s">
        <v>245</v>
      </c>
      <c r="E88" s="4" t="s">
        <v>33</v>
      </c>
      <c r="F88" s="4" t="s">
        <v>4</v>
      </c>
      <c r="G88" s="8" t="n">
        <v>34596.31219697</v>
      </c>
      <c r="H88" s="6" t="n">
        <f aca="false">IF(G88="","",G88/SUMIFS($G$2:$G$1122,$F$2:$F$1122,"Served"))</f>
        <v>0.00166082588276255</v>
      </c>
      <c r="I88" s="4" t="n">
        <f aca="false">IF(G88="","",RANK(G88,$G$2:$G$1122,0))</f>
        <v>87</v>
      </c>
      <c r="J88" s="4" t="s">
        <v>34</v>
      </c>
    </row>
    <row r="89" customFormat="false" ht="15" hidden="false" customHeight="false" outlineLevel="0" collapsed="false">
      <c r="A89" s="4" t="s">
        <v>246</v>
      </c>
      <c r="B89" s="4" t="s">
        <v>223</v>
      </c>
      <c r="C89" s="4" t="s">
        <v>224</v>
      </c>
      <c r="D89" s="7" t="s">
        <v>247</v>
      </c>
      <c r="E89" s="4" t="s">
        <v>226</v>
      </c>
      <c r="F89" s="4" t="s">
        <v>4</v>
      </c>
      <c r="G89" s="8" t="n">
        <v>33783.5865768194</v>
      </c>
      <c r="H89" s="6" t="n">
        <f aca="false">IF(G89="","",G89/SUMIFS($G$2:$G$1122,$F$2:$F$1122,"Served"))</f>
        <v>0.00162181028659596</v>
      </c>
      <c r="I89" s="4" t="n">
        <f aca="false">IF(G89="","",RANK(G89,$G$2:$G$1122,0))</f>
        <v>88</v>
      </c>
      <c r="J89" s="4" t="s">
        <v>34</v>
      </c>
    </row>
    <row r="90" customFormat="false" ht="15" hidden="false" customHeight="false" outlineLevel="0" collapsed="false">
      <c r="A90" s="4" t="s">
        <v>248</v>
      </c>
      <c r="B90" s="4" t="s">
        <v>30</v>
      </c>
      <c r="C90" s="4" t="s">
        <v>31</v>
      </c>
      <c r="D90" s="7" t="s">
        <v>249</v>
      </c>
      <c r="E90" s="4" t="s">
        <v>33</v>
      </c>
      <c r="F90" s="4" t="s">
        <v>4</v>
      </c>
      <c r="G90" s="8" t="n">
        <v>33655.40069139</v>
      </c>
      <c r="H90" s="6" t="n">
        <f aca="false">IF(G90="","",G90/SUMIFS($G$2:$G$1122,$F$2:$F$1122,"Served"))</f>
        <v>0.00161565661232242</v>
      </c>
      <c r="I90" s="4" t="n">
        <f aca="false">IF(G90="","",RANK(G90,$G$2:$G$1122,0))</f>
        <v>89</v>
      </c>
      <c r="J90" s="4" t="s">
        <v>34</v>
      </c>
    </row>
    <row r="91" customFormat="false" ht="15" hidden="false" customHeight="false" outlineLevel="0" collapsed="false">
      <c r="A91" s="4" t="s">
        <v>250</v>
      </c>
      <c r="B91" s="4" t="s">
        <v>187</v>
      </c>
      <c r="C91" s="4" t="s">
        <v>188</v>
      </c>
      <c r="D91" s="7" t="s">
        <v>251</v>
      </c>
      <c r="E91" s="4" t="s">
        <v>190</v>
      </c>
      <c r="F91" s="4" t="s">
        <v>4</v>
      </c>
      <c r="G91" s="8" t="n">
        <v>33477.9853693247</v>
      </c>
      <c r="H91" s="6" t="n">
        <f aca="false">IF(G91="","",G91/SUMIFS($G$2:$G$1122,$F$2:$F$1122,"Served"))</f>
        <v>0.00160713963637402</v>
      </c>
      <c r="I91" s="4" t="n">
        <f aca="false">IF(G91="","",RANK(G91,$G$2:$G$1122,0))</f>
        <v>90</v>
      </c>
      <c r="J91" s="4" t="s">
        <v>34</v>
      </c>
    </row>
    <row r="92" customFormat="false" ht="15" hidden="false" customHeight="false" outlineLevel="0" collapsed="false">
      <c r="A92" s="4" t="s">
        <v>252</v>
      </c>
      <c r="B92" s="4" t="s">
        <v>119</v>
      </c>
      <c r="C92" s="4" t="s">
        <v>166</v>
      </c>
      <c r="D92" s="7" t="s">
        <v>253</v>
      </c>
      <c r="E92" s="4" t="s">
        <v>33</v>
      </c>
      <c r="F92" s="4" t="s">
        <v>4</v>
      </c>
      <c r="G92" s="8" t="n">
        <v>32982.6043758988</v>
      </c>
      <c r="H92" s="6" t="n">
        <f aca="false">IF(G92="","",G92/SUMIFS($G$2:$G$1122,$F$2:$F$1122,"Served"))</f>
        <v>0.00158335844342415</v>
      </c>
      <c r="I92" s="4" t="n">
        <f aca="false">IF(G92="","",RANK(G92,$G$2:$G$1122,0))</f>
        <v>91</v>
      </c>
      <c r="J92" s="4" t="s">
        <v>34</v>
      </c>
    </row>
    <row r="93" customFormat="false" ht="15" hidden="false" customHeight="false" outlineLevel="0" collapsed="false">
      <c r="A93" s="4" t="s">
        <v>254</v>
      </c>
      <c r="B93" s="4" t="s">
        <v>30</v>
      </c>
      <c r="C93" s="4" t="s">
        <v>31</v>
      </c>
      <c r="D93" s="7" t="s">
        <v>255</v>
      </c>
      <c r="E93" s="4" t="s">
        <v>33</v>
      </c>
      <c r="F93" s="4" t="s">
        <v>4</v>
      </c>
      <c r="G93" s="8" t="n">
        <v>32905.1272004843</v>
      </c>
      <c r="H93" s="6" t="n">
        <f aca="false">IF(G93="","",G93/SUMIFS($G$2:$G$1122,$F$2:$F$1122,"Served"))</f>
        <v>0.00157963908462315</v>
      </c>
      <c r="I93" s="4" t="n">
        <f aca="false">IF(G93="","",RANK(G93,$G$2:$G$1122,0))</f>
        <v>92</v>
      </c>
      <c r="J93" s="4" t="s">
        <v>34</v>
      </c>
    </row>
    <row r="94" customFormat="false" ht="15" hidden="false" customHeight="false" outlineLevel="0" collapsed="false">
      <c r="A94" s="4" t="s">
        <v>256</v>
      </c>
      <c r="B94" s="4" t="s">
        <v>145</v>
      </c>
      <c r="C94" s="4" t="s">
        <v>257</v>
      </c>
      <c r="D94" s="7" t="s">
        <v>258</v>
      </c>
      <c r="E94" s="4" t="s">
        <v>148</v>
      </c>
      <c r="F94" s="4" t="s">
        <v>4</v>
      </c>
      <c r="G94" s="8" t="n">
        <v>32661.4156998396</v>
      </c>
      <c r="H94" s="6" t="n">
        <f aca="false">IF(G94="","",G94/SUMIFS($G$2:$G$1122,$F$2:$F$1122,"Served"))</f>
        <v>0.00156793950329514</v>
      </c>
      <c r="I94" s="4" t="n">
        <f aca="false">IF(G94="","",RANK(G94,$G$2:$G$1122,0))</f>
        <v>93</v>
      </c>
      <c r="J94" s="4" t="s">
        <v>34</v>
      </c>
    </row>
    <row r="95" customFormat="false" ht="15" hidden="false" customHeight="false" outlineLevel="0" collapsed="false">
      <c r="A95" s="4" t="s">
        <v>259</v>
      </c>
      <c r="B95" s="4" t="s">
        <v>30</v>
      </c>
      <c r="C95" s="4" t="s">
        <v>110</v>
      </c>
      <c r="D95" s="7" t="s">
        <v>260</v>
      </c>
      <c r="E95" s="4" t="s">
        <v>33</v>
      </c>
      <c r="F95" s="4" t="s">
        <v>4</v>
      </c>
      <c r="G95" s="8" t="n">
        <v>32512.8219958544</v>
      </c>
      <c r="H95" s="6" t="n">
        <f aca="false">IF(G95="","",G95/SUMIFS($G$2:$G$1122,$F$2:$F$1122,"Served"))</f>
        <v>0.001560806134045</v>
      </c>
      <c r="I95" s="4" t="n">
        <f aca="false">IF(G95="","",RANK(G95,$G$2:$G$1122,0))</f>
        <v>94</v>
      </c>
      <c r="J95" s="4" t="s">
        <v>34</v>
      </c>
    </row>
    <row r="96" customFormat="false" ht="15" hidden="false" customHeight="false" outlineLevel="0" collapsed="false">
      <c r="A96" s="4" t="s">
        <v>261</v>
      </c>
      <c r="B96" s="4" t="s">
        <v>41</v>
      </c>
      <c r="C96" s="4" t="s">
        <v>42</v>
      </c>
      <c r="D96" s="7" t="s">
        <v>262</v>
      </c>
      <c r="E96" s="4" t="s">
        <v>44</v>
      </c>
      <c r="F96" s="4" t="s">
        <v>4</v>
      </c>
      <c r="G96" s="8" t="n">
        <v>32222.7944521308</v>
      </c>
      <c r="H96" s="6" t="n">
        <f aca="false">IF(G96="","",G96/SUMIFS($G$2:$G$1122,$F$2:$F$1122,"Served"))</f>
        <v>0.00154688311101908</v>
      </c>
      <c r="I96" s="4" t="n">
        <f aca="false">IF(G96="","",RANK(G96,$G$2:$G$1122,0))</f>
        <v>95</v>
      </c>
      <c r="J96" s="4" t="s">
        <v>34</v>
      </c>
    </row>
    <row r="97" customFormat="false" ht="15" hidden="false" customHeight="false" outlineLevel="0" collapsed="false">
      <c r="A97" s="4" t="s">
        <v>263</v>
      </c>
      <c r="B97" s="4" t="s">
        <v>145</v>
      </c>
      <c r="C97" s="4" t="s">
        <v>146</v>
      </c>
      <c r="D97" s="7" t="s">
        <v>264</v>
      </c>
      <c r="E97" s="4" t="s">
        <v>148</v>
      </c>
      <c r="F97" s="4" t="s">
        <v>4</v>
      </c>
      <c r="G97" s="8" t="n">
        <v>31247.3470055461</v>
      </c>
      <c r="H97" s="6" t="n">
        <f aca="false">IF(G97="","",G97/SUMIFS($G$2:$G$1122,$F$2:$F$1122,"Served"))</f>
        <v>0.00150005591286747</v>
      </c>
      <c r="I97" s="4" t="n">
        <f aca="false">IF(G97="","",RANK(G97,$G$2:$G$1122,0))</f>
        <v>96</v>
      </c>
      <c r="J97" s="4" t="s">
        <v>34</v>
      </c>
    </row>
    <row r="98" customFormat="false" ht="15" hidden="false" customHeight="false" outlineLevel="0" collapsed="false">
      <c r="A98" s="4" t="s">
        <v>265</v>
      </c>
      <c r="B98" s="4" t="s">
        <v>119</v>
      </c>
      <c r="C98" s="4" t="s">
        <v>236</v>
      </c>
      <c r="D98" s="7" t="s">
        <v>266</v>
      </c>
      <c r="E98" s="4" t="s">
        <v>33</v>
      </c>
      <c r="F98" s="4" t="s">
        <v>4</v>
      </c>
      <c r="G98" s="8" t="n">
        <v>31129.5858337879</v>
      </c>
      <c r="H98" s="6" t="n">
        <f aca="false">IF(G98="","",G98/SUMIFS($G$2:$G$1122,$F$2:$F$1122,"Served"))</f>
        <v>0.00149440268598806</v>
      </c>
      <c r="I98" s="4" t="n">
        <f aca="false">IF(G98="","",RANK(G98,$G$2:$G$1122,0))</f>
        <v>97</v>
      </c>
      <c r="J98" s="4" t="s">
        <v>34</v>
      </c>
    </row>
    <row r="99" customFormat="false" ht="15" hidden="false" customHeight="false" outlineLevel="0" collapsed="false">
      <c r="A99" s="4" t="s">
        <v>267</v>
      </c>
      <c r="B99" s="4" t="s">
        <v>119</v>
      </c>
      <c r="C99" s="4" t="s">
        <v>216</v>
      </c>
      <c r="D99" s="7" t="s">
        <v>268</v>
      </c>
      <c r="E99" s="4" t="s">
        <v>33</v>
      </c>
      <c r="F99" s="4" t="s">
        <v>4</v>
      </c>
      <c r="G99" s="8" t="n">
        <v>30881.748906374</v>
      </c>
      <c r="H99" s="6" t="n">
        <f aca="false">IF(G99="","",G99/SUMIFS($G$2:$G$1122,$F$2:$F$1122,"Served"))</f>
        <v>0.0014825050599807</v>
      </c>
      <c r="I99" s="4" t="n">
        <f aca="false">IF(G99="","",RANK(G99,$G$2:$G$1122,0))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119</v>
      </c>
      <c r="C100" s="4" t="s">
        <v>166</v>
      </c>
      <c r="D100" s="7" t="s">
        <v>270</v>
      </c>
      <c r="E100" s="4" t="s">
        <v>33</v>
      </c>
      <c r="F100" s="4" t="s">
        <v>4</v>
      </c>
      <c r="G100" s="8" t="n">
        <v>30057.9132011533</v>
      </c>
      <c r="H100" s="6" t="n">
        <f aca="false">IF(G100="","",G100/SUMIFS($G$2:$G$1122,$F$2:$F$1122,"Served"))</f>
        <v>0.00144295611457333</v>
      </c>
      <c r="I100" s="4" t="n">
        <f aca="false">IF(G100="","",RANK(G100,$G$2:$G$1122,0))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119</v>
      </c>
      <c r="C101" s="4" t="s">
        <v>196</v>
      </c>
      <c r="D101" s="7" t="s">
        <v>272</v>
      </c>
      <c r="E101" s="4" t="s">
        <v>33</v>
      </c>
      <c r="F101" s="4" t="s">
        <v>4</v>
      </c>
      <c r="G101" s="8" t="n">
        <v>28309.6649736762</v>
      </c>
      <c r="H101" s="6" t="n">
        <f aca="false">IF(G101="","",G101/SUMIFS($G$2:$G$1122,$F$2:$F$1122,"Served"))</f>
        <v>0.00135902994668709</v>
      </c>
      <c r="I101" s="4" t="n">
        <f aca="false">IF(G101="","",RANK(G101,$G$2:$G$1122,0))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31</v>
      </c>
      <c r="D102" s="7" t="s">
        <v>274</v>
      </c>
      <c r="E102" s="4" t="s">
        <v>33</v>
      </c>
      <c r="F102" s="4" t="s">
        <v>4</v>
      </c>
      <c r="G102" s="8" t="n">
        <v>28244.9527306557</v>
      </c>
      <c r="H102" s="6" t="n">
        <f aca="false">IF(G102="","",G102/SUMIFS($G$2:$G$1122,$F$2:$F$1122,"Served"))</f>
        <v>0.00135592337950362</v>
      </c>
      <c r="I102" s="4" t="n">
        <f aca="false">IF(G102="","",RANK(G102,$G$2:$G$1122,0))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31</v>
      </c>
      <c r="D103" s="7" t="s">
        <v>276</v>
      </c>
      <c r="E103" s="4" t="s">
        <v>33</v>
      </c>
      <c r="F103" s="4" t="s">
        <v>4</v>
      </c>
      <c r="G103" s="8" t="n">
        <v>28233.6991199851</v>
      </c>
      <c r="H103" s="6" t="n">
        <f aca="false">IF(G103="","",G103/SUMIFS($G$2:$G$1122,$F$2:$F$1122,"Served"))</f>
        <v>0.00135538314019228</v>
      </c>
      <c r="I103" s="4" t="n">
        <f aca="false">IF(G103="","",RANK(G103,$G$2:$G$1122,0))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119</v>
      </c>
      <c r="C104" s="4" t="s">
        <v>169</v>
      </c>
      <c r="D104" s="7" t="s">
        <v>278</v>
      </c>
      <c r="E104" s="4" t="s">
        <v>33</v>
      </c>
      <c r="F104" s="4" t="s">
        <v>4</v>
      </c>
      <c r="G104" s="8" t="n">
        <v>27918.0977235436</v>
      </c>
      <c r="H104" s="6" t="n">
        <f aca="false">IF(G104="","",G104/SUMIFS($G$2:$G$1122,$F$2:$F$1122,"Served"))</f>
        <v>0.0013402324222527</v>
      </c>
      <c r="I104" s="4" t="n">
        <f aca="false">IF(G104="","",RANK(G104,$G$2:$G$1122,0))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187</v>
      </c>
      <c r="C105" s="4" t="s">
        <v>188</v>
      </c>
      <c r="D105" s="7" t="s">
        <v>280</v>
      </c>
      <c r="E105" s="4" t="s">
        <v>190</v>
      </c>
      <c r="F105" s="4" t="s">
        <v>4</v>
      </c>
      <c r="G105" s="8" t="n">
        <v>26860.9775128365</v>
      </c>
      <c r="H105" s="6" t="n">
        <f aca="false">IF(G105="","",G105/SUMIFS($G$2:$G$1122,$F$2:$F$1122,"Served"))</f>
        <v>0.0012894844524362</v>
      </c>
      <c r="I105" s="4" t="n">
        <f aca="false">IF(G105="","",RANK(G105,$G$2:$G$1122,0))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119</v>
      </c>
      <c r="C106" s="4" t="s">
        <v>156</v>
      </c>
      <c r="D106" s="7" t="s">
        <v>282</v>
      </c>
      <c r="E106" s="4" t="s">
        <v>33</v>
      </c>
      <c r="F106" s="4" t="s">
        <v>4</v>
      </c>
      <c r="G106" s="8" t="n">
        <v>26729.8458023071</v>
      </c>
      <c r="H106" s="6" t="n">
        <f aca="false">IF(G106="","",G106/SUMIFS($G$2:$G$1122,$F$2:$F$1122,"Served"))</f>
        <v>0.00128318936128145</v>
      </c>
      <c r="I106" s="4" t="n">
        <f aca="false">IF(G106="","",RANK(G106,$G$2:$G$1122,0))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41</v>
      </c>
      <c r="C107" s="4" t="s">
        <v>42</v>
      </c>
      <c r="D107" s="7" t="s">
        <v>284</v>
      </c>
      <c r="E107" s="4" t="s">
        <v>44</v>
      </c>
      <c r="F107" s="4" t="s">
        <v>4</v>
      </c>
      <c r="G107" s="8" t="n">
        <v>26504.7744790912</v>
      </c>
      <c r="H107" s="6" t="n">
        <f aca="false">IF(G107="","",G107/SUMIFS($G$2:$G$1122,$F$2:$F$1122,"Served"))</f>
        <v>0.00127238461778924</v>
      </c>
      <c r="I107" s="4" t="n">
        <f aca="false">IF(G107="","",RANK(G107,$G$2:$G$1122,0))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119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26354.8592966199</v>
      </c>
      <c r="H108" s="6" t="n">
        <f aca="false">IF(G108="","",G108/SUMIFS($G$2:$G$1122,$F$2:$F$1122,"Served"))</f>
        <v>0.00126518780982168</v>
      </c>
      <c r="I108" s="4" t="n">
        <f aca="false">IF(G108="","",RANK(G108,$G$2:$G$1122,0))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119</v>
      </c>
      <c r="C109" s="4" t="s">
        <v>236</v>
      </c>
      <c r="D109" s="7" t="s">
        <v>289</v>
      </c>
      <c r="E109" s="4" t="s">
        <v>33</v>
      </c>
      <c r="F109" s="4" t="s">
        <v>4</v>
      </c>
      <c r="G109" s="8" t="n">
        <v>26247.6896828413</v>
      </c>
      <c r="H109" s="6" t="n">
        <f aca="false">IF(G109="","",G109/SUMIFS($G$2:$G$1122,$F$2:$F$1122,"Served"))</f>
        <v>0.0012600430398417</v>
      </c>
      <c r="I109" s="4" t="n">
        <f aca="false">IF(G109="","",RANK(G109,$G$2:$G$1122,0))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187</v>
      </c>
      <c r="C110" s="4" t="s">
        <v>188</v>
      </c>
      <c r="D110" s="7" t="s">
        <v>291</v>
      </c>
      <c r="E110" s="4" t="s">
        <v>190</v>
      </c>
      <c r="F110" s="4" t="s">
        <v>4</v>
      </c>
      <c r="G110" s="8" t="n">
        <v>25701.4630659223</v>
      </c>
      <c r="H110" s="6" t="n">
        <f aca="false">IF(G110="","",G110/SUMIFS($G$2:$G$1122,$F$2:$F$1122,"Served"))</f>
        <v>0.00123382095876936</v>
      </c>
      <c r="I110" s="4" t="n">
        <f aca="false">IF(G110="","",RANK(G110,$G$2:$G$1122,0))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119</v>
      </c>
      <c r="C111" s="4" t="s">
        <v>166</v>
      </c>
      <c r="D111" s="7" t="s">
        <v>293</v>
      </c>
      <c r="E111" s="4" t="s">
        <v>33</v>
      </c>
      <c r="F111" s="4" t="s">
        <v>4</v>
      </c>
      <c r="G111" s="8" t="n">
        <v>25670.3736096025</v>
      </c>
      <c r="H111" s="6" t="n">
        <f aca="false">IF(G111="","",G111/SUMIFS($G$2:$G$1122,$F$2:$F$1122,"Served"))</f>
        <v>0.00123232848253539</v>
      </c>
      <c r="I111" s="4" t="n">
        <f aca="false">IF(G111="","",RANK(G111,$G$2:$G$1122,0))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187</v>
      </c>
      <c r="C112" s="4" t="s">
        <v>188</v>
      </c>
      <c r="D112" s="7" t="s">
        <v>295</v>
      </c>
      <c r="E112" s="4" t="s">
        <v>190</v>
      </c>
      <c r="F112" s="4" t="s">
        <v>4</v>
      </c>
      <c r="G112" s="8" t="n">
        <v>24933.7202322483</v>
      </c>
      <c r="H112" s="6" t="n">
        <f aca="false">IF(G112="","",G112/SUMIFS($G$2:$G$1122,$F$2:$F$1122,"Served"))</f>
        <v>0.0011969648001646</v>
      </c>
      <c r="I112" s="4" t="n">
        <f aca="false">IF(G112="","",RANK(G112,$G$2:$G$1122,0))</f>
        <v>111</v>
      </c>
      <c r="J112" s="4" t="s">
        <v>34</v>
      </c>
    </row>
    <row r="113" customFormat="false" ht="15" hidden="false" customHeight="false" outlineLevel="0" collapsed="false">
      <c r="A113" s="4" t="s">
        <v>296</v>
      </c>
      <c r="B113" s="4" t="s">
        <v>131</v>
      </c>
      <c r="C113" s="4" t="s">
        <v>132</v>
      </c>
      <c r="D113" s="7" t="s">
        <v>297</v>
      </c>
      <c r="E113" s="4" t="s">
        <v>134</v>
      </c>
      <c r="F113" s="4" t="s">
        <v>4</v>
      </c>
      <c r="G113" s="8" t="n">
        <v>24141.3514298797</v>
      </c>
      <c r="H113" s="6" t="n">
        <f aca="false">IF(G113="","",G113/SUMIFS($G$2:$G$1122,$F$2:$F$1122,"Served"))</f>
        <v>0.00115892645063836</v>
      </c>
      <c r="I113" s="4" t="n">
        <f aca="false">IF(G113="","",RANK(G113,$G$2:$G$1122,0))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100</v>
      </c>
      <c r="C114" s="4" t="s">
        <v>101</v>
      </c>
      <c r="D114" s="7" t="s">
        <v>299</v>
      </c>
      <c r="E114" s="4" t="s">
        <v>103</v>
      </c>
      <c r="F114" s="4" t="s">
        <v>4</v>
      </c>
      <c r="G114" s="8" t="n">
        <v>23951.2978031039</v>
      </c>
      <c r="H114" s="6" t="n">
        <f aca="false">IF(G114="","",G114/SUMIFS($G$2:$G$1122,$F$2:$F$1122,"Served"))</f>
        <v>0.00114980276194388</v>
      </c>
      <c r="I114" s="4" t="n">
        <f aca="false">IF(G114="","",RANK(G114,$G$2:$G$1122,0))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30</v>
      </c>
      <c r="C115" s="4" t="s">
        <v>31</v>
      </c>
      <c r="D115" s="7" t="s">
        <v>301</v>
      </c>
      <c r="E115" s="4" t="s">
        <v>33</v>
      </c>
      <c r="F115" s="4" t="s">
        <v>4</v>
      </c>
      <c r="G115" s="8" t="n">
        <v>23744.0174620152</v>
      </c>
      <c r="H115" s="6" t="n">
        <f aca="false">IF(G115="","",G115/SUMIFS($G$2:$G$1122,$F$2:$F$1122,"Served"))</f>
        <v>0.00113985208993271</v>
      </c>
      <c r="I115" s="4" t="n">
        <f aca="false">IF(G115="","",RANK(G115,$G$2:$G$1122,0))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187</v>
      </c>
      <c r="C116" s="4" t="s">
        <v>188</v>
      </c>
      <c r="D116" s="7" t="s">
        <v>303</v>
      </c>
      <c r="E116" s="4" t="s">
        <v>190</v>
      </c>
      <c r="F116" s="4" t="s">
        <v>4</v>
      </c>
      <c r="G116" s="8" t="n">
        <v>23290.4621714354</v>
      </c>
      <c r="H116" s="6" t="n">
        <f aca="false">IF(G116="","",G116/SUMIFS($G$2:$G$1122,$F$2:$F$1122,"Served"))</f>
        <v>0.00111807877601503</v>
      </c>
      <c r="I116" s="4" t="n">
        <f aca="false">IF(G116="","",RANK(G116,$G$2:$G$1122,0))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136</v>
      </c>
      <c r="D117" s="7" t="s">
        <v>305</v>
      </c>
      <c r="E117" s="4" t="s">
        <v>33</v>
      </c>
      <c r="F117" s="4" t="s">
        <v>4</v>
      </c>
      <c r="G117" s="8" t="n">
        <v>23260.8445121646</v>
      </c>
      <c r="H117" s="6" t="n">
        <f aca="false">IF(G117="","",G117/SUMIFS($G$2:$G$1122,$F$2:$F$1122,"Served"))</f>
        <v>0.00111665695467107</v>
      </c>
      <c r="I117" s="4" t="n">
        <f aca="false">IF(G117="","",RANK(G117,$G$2:$G$1122,0))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107</v>
      </c>
      <c r="D118" s="7" t="s">
        <v>307</v>
      </c>
      <c r="E118" s="4" t="s">
        <v>33</v>
      </c>
      <c r="F118" s="4" t="s">
        <v>4</v>
      </c>
      <c r="G118" s="8" t="n">
        <v>23179.700602293</v>
      </c>
      <c r="H118" s="6" t="n">
        <f aca="false">IF(G118="","",G118/SUMIFS($G$2:$G$1122,$F$2:$F$1122,"Served"))</f>
        <v>0.00111276157111181</v>
      </c>
      <c r="I118" s="4" t="n">
        <f aca="false">IF(G118="","",RANK(G118,$G$2:$G$1122,0))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119</v>
      </c>
      <c r="C119" s="4" t="s">
        <v>166</v>
      </c>
      <c r="D119" s="7" t="s">
        <v>309</v>
      </c>
      <c r="E119" s="4" t="s">
        <v>33</v>
      </c>
      <c r="F119" s="4" t="s">
        <v>4</v>
      </c>
      <c r="G119" s="8" t="n">
        <v>22879.5029206872</v>
      </c>
      <c r="H119" s="6" t="n">
        <f aca="false">IF(G119="","",G119/SUMIFS($G$2:$G$1122,$F$2:$F$1122,"Served"))</f>
        <v>0.00109835032182265</v>
      </c>
      <c r="I119" s="4" t="n">
        <f aca="false">IF(G119="","",RANK(G119,$G$2:$G$1122,0))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174</v>
      </c>
      <c r="D120" s="7" t="s">
        <v>311</v>
      </c>
      <c r="E120" s="4" t="s">
        <v>33</v>
      </c>
      <c r="F120" s="4" t="s">
        <v>4</v>
      </c>
      <c r="G120" s="8" t="n">
        <v>22828.1483006477</v>
      </c>
      <c r="H120" s="6" t="n">
        <f aca="false">IF(G120="","",G120/SUMIFS($G$2:$G$1122,$F$2:$F$1122,"Served"))</f>
        <v>0.00109588499888084</v>
      </c>
      <c r="I120" s="4" t="n">
        <f aca="false">IF(G120="","",RANK(G120,$G$2:$G$1122,0))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48</v>
      </c>
      <c r="C121" s="4" t="s">
        <v>49</v>
      </c>
      <c r="D121" s="7" t="s">
        <v>313</v>
      </c>
      <c r="E121" s="4" t="s">
        <v>51</v>
      </c>
      <c r="F121" s="4" t="s">
        <v>4</v>
      </c>
      <c r="G121" s="8" t="n">
        <v>22718.2493299246</v>
      </c>
      <c r="H121" s="6" t="n">
        <f aca="false">IF(G121="","",G121/SUMIFS($G$2:$G$1122,$F$2:$F$1122,"Served"))</f>
        <v>0.00109060920376063</v>
      </c>
      <c r="I121" s="4" t="n">
        <f aca="false">IF(G121="","",RANK(G121,$G$2:$G$1122,0))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119</v>
      </c>
      <c r="C122" s="4" t="s">
        <v>156</v>
      </c>
      <c r="D122" s="7" t="s">
        <v>315</v>
      </c>
      <c r="E122" s="4" t="s">
        <v>33</v>
      </c>
      <c r="F122" s="4" t="s">
        <v>4</v>
      </c>
      <c r="G122" s="8" t="n">
        <v>22457.9442794323</v>
      </c>
      <c r="H122" s="6" t="n">
        <f aca="false">IF(G122="","",G122/SUMIFS($G$2:$G$1122,$F$2:$F$1122,"Served"))</f>
        <v>0.0010781130347236</v>
      </c>
      <c r="I122" s="4" t="n">
        <f aca="false">IF(G122="","",RANK(G122,$G$2:$G$1122,0))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30</v>
      </c>
      <c r="C123" s="4" t="s">
        <v>107</v>
      </c>
      <c r="D123" s="7" t="s">
        <v>317</v>
      </c>
      <c r="E123" s="4" t="s">
        <v>33</v>
      </c>
      <c r="F123" s="4" t="s">
        <v>4</v>
      </c>
      <c r="G123" s="8" t="n">
        <v>22420.154369235</v>
      </c>
      <c r="H123" s="6" t="n">
        <f aca="false">IF(G123="","",G123/SUMIFS($G$2:$G$1122,$F$2:$F$1122,"Served"))</f>
        <v>0.0010762988974073</v>
      </c>
      <c r="I123" s="4" t="n">
        <f aca="false">IF(G123="","",RANK(G123,$G$2:$G$1122,0))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119</v>
      </c>
      <c r="C124" s="4" t="s">
        <v>163</v>
      </c>
      <c r="D124" s="7" t="s">
        <v>319</v>
      </c>
      <c r="E124" s="4" t="s">
        <v>33</v>
      </c>
      <c r="F124" s="4" t="s">
        <v>4</v>
      </c>
      <c r="G124" s="8" t="n">
        <v>22354.7625079155</v>
      </c>
      <c r="H124" s="6" t="n">
        <f aca="false">IF(G124="","",G124/SUMIFS($G$2:$G$1122,$F$2:$F$1122,"Served"))</f>
        <v>0.00107315970455972</v>
      </c>
      <c r="I124" s="4" t="n">
        <f aca="false">IF(G124="","",RANK(G124,$G$2:$G$1122,0))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30</v>
      </c>
      <c r="C125" s="4" t="s">
        <v>107</v>
      </c>
      <c r="D125" s="7" t="s">
        <v>321</v>
      </c>
      <c r="E125" s="4" t="s">
        <v>33</v>
      </c>
      <c r="F125" s="4" t="s">
        <v>4</v>
      </c>
      <c r="G125" s="8" t="n">
        <v>22342.0960365534</v>
      </c>
      <c r="H125" s="6" t="n">
        <f aca="false">IF(G125="","",G125/SUMIFS($G$2:$G$1122,$F$2:$F$1122,"Served"))</f>
        <v>0.00107255163964916</v>
      </c>
      <c r="I125" s="4" t="n">
        <f aca="false">IF(G125="","",RANK(G125,$G$2:$G$1122,0))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119</v>
      </c>
      <c r="C126" s="4" t="s">
        <v>120</v>
      </c>
      <c r="D126" s="7" t="s">
        <v>323</v>
      </c>
      <c r="E126" s="4" t="s">
        <v>33</v>
      </c>
      <c r="F126" s="4" t="s">
        <v>4</v>
      </c>
      <c r="G126" s="8" t="n">
        <v>22316.3730810285</v>
      </c>
      <c r="H126" s="6" t="n">
        <f aca="false">IF(G126="","",G126/SUMIFS($G$2:$G$1122,$F$2:$F$1122,"Served"))</f>
        <v>0.00107131678692632</v>
      </c>
      <c r="I126" s="4" t="n">
        <f aca="false">IF(G126="","",RANK(G126,$G$2:$G$1122,0))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119</v>
      </c>
      <c r="C127" s="4" t="s">
        <v>228</v>
      </c>
      <c r="D127" s="7" t="s">
        <v>325</v>
      </c>
      <c r="E127" s="4" t="s">
        <v>33</v>
      </c>
      <c r="F127" s="4" t="s">
        <v>4</v>
      </c>
      <c r="G127" s="8" t="n">
        <v>22134.7181870937</v>
      </c>
      <c r="H127" s="6" t="n">
        <f aca="false">IF(G127="","",G127/SUMIFS($G$2:$G$1122,$F$2:$F$1122,"Served"))</f>
        <v>0.00106259628666433</v>
      </c>
      <c r="I127" s="4" t="n">
        <f aca="false">IF(G127="","",RANK(G127,$G$2:$G$1122,0))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119</v>
      </c>
      <c r="C128" s="4" t="s">
        <v>166</v>
      </c>
      <c r="D128" s="7" t="s">
        <v>327</v>
      </c>
      <c r="E128" s="4" t="s">
        <v>33</v>
      </c>
      <c r="F128" s="4" t="s">
        <v>4</v>
      </c>
      <c r="G128" s="8" t="n">
        <v>22110.1044603586</v>
      </c>
      <c r="H128" s="6" t="n">
        <f aca="false">IF(G128="","",G128/SUMIFS($G$2:$G$1122,$F$2:$F$1122,"Served"))</f>
        <v>0.0010614146834287</v>
      </c>
      <c r="I128" s="4" t="n">
        <f aca="false">IF(G128="","",RANK(G128,$G$2:$G$1122,0))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223</v>
      </c>
      <c r="C129" s="4" t="s">
        <v>224</v>
      </c>
      <c r="D129" s="7" t="s">
        <v>329</v>
      </c>
      <c r="E129" s="4" t="s">
        <v>226</v>
      </c>
      <c r="F129" s="4" t="s">
        <v>4</v>
      </c>
      <c r="G129" s="8" t="n">
        <v>22070.7350168228</v>
      </c>
      <c r="H129" s="6" t="n">
        <f aca="false">IF(G129="","",G129/SUMIFS($G$2:$G$1122,$F$2:$F$1122,"Served"))</f>
        <v>0.00105952471924865</v>
      </c>
      <c r="I129" s="4" t="n">
        <f aca="false">IF(G129="","",RANK(G129,$G$2:$G$1122,0))</f>
        <v>128</v>
      </c>
      <c r="J129" s="4" t="s">
        <v>34</v>
      </c>
    </row>
    <row r="130" customFormat="false" ht="15" hidden="false" customHeight="false" outlineLevel="0" collapsed="false">
      <c r="A130" s="4" t="s">
        <v>330</v>
      </c>
      <c r="B130" s="4" t="s">
        <v>48</v>
      </c>
      <c r="C130" s="4" t="s">
        <v>49</v>
      </c>
      <c r="D130" s="7" t="s">
        <v>331</v>
      </c>
      <c r="E130" s="4" t="s">
        <v>51</v>
      </c>
      <c r="F130" s="4" t="s">
        <v>4</v>
      </c>
      <c r="G130" s="8" t="n">
        <v>21676.3651868105</v>
      </c>
      <c r="H130" s="6" t="n">
        <f aca="false">IF(G130="","",G130/SUMIFS($G$2:$G$1122,$F$2:$F$1122,"Served"))</f>
        <v>0.00104059265454371</v>
      </c>
      <c r="I130" s="4" t="n">
        <f aca="false">IF(G130="","",RANK(G130,$G$2:$G$1122,0))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119</v>
      </c>
      <c r="C131" s="4" t="s">
        <v>120</v>
      </c>
      <c r="D131" s="7" t="s">
        <v>333</v>
      </c>
      <c r="E131" s="4" t="s">
        <v>33</v>
      </c>
      <c r="F131" s="4" t="s">
        <v>4</v>
      </c>
      <c r="G131" s="8" t="n">
        <v>21414.0369708538</v>
      </c>
      <c r="H131" s="6" t="n">
        <f aca="false">IF(G131="","",G131/SUMIFS($G$2:$G$1122,$F$2:$F$1122,"Served"))</f>
        <v>0.00102799936169911</v>
      </c>
      <c r="I131" s="4" t="n">
        <f aca="false">IF(G131="","",RANK(G131,$G$2:$G$1122,0))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119</v>
      </c>
      <c r="C132" s="4" t="s">
        <v>228</v>
      </c>
      <c r="D132" s="7" t="s">
        <v>335</v>
      </c>
      <c r="E132" s="4" t="s">
        <v>33</v>
      </c>
      <c r="F132" s="4" t="s">
        <v>4</v>
      </c>
      <c r="G132" s="8" t="n">
        <v>21208.9009582996</v>
      </c>
      <c r="H132" s="6" t="n">
        <f aca="false">IF(G132="","",G132/SUMIFS($G$2:$G$1122,$F$2:$F$1122,"Served"))</f>
        <v>0.00101815163003346</v>
      </c>
      <c r="I132" s="4" t="n">
        <f aca="false">IF(G132="","",RANK(G132,$G$2:$G$1122,0))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119</v>
      </c>
      <c r="C133" s="4" t="s">
        <v>169</v>
      </c>
      <c r="D133" s="7" t="s">
        <v>337</v>
      </c>
      <c r="E133" s="4" t="s">
        <v>33</v>
      </c>
      <c r="F133" s="4" t="s">
        <v>4</v>
      </c>
      <c r="G133" s="8" t="n">
        <v>21152.5631173253</v>
      </c>
      <c r="H133" s="6" t="n">
        <f aca="false">IF(G133="","",G133/SUMIFS($G$2:$G$1122,$F$2:$F$1122,"Served"))</f>
        <v>0.00101544708326164</v>
      </c>
      <c r="I133" s="4" t="n">
        <f aca="false">IF(G133="","",RANK(G133,$G$2:$G$1122,0))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187</v>
      </c>
      <c r="C134" s="4" t="s">
        <v>188</v>
      </c>
      <c r="D134" s="7" t="s">
        <v>339</v>
      </c>
      <c r="E134" s="4" t="s">
        <v>190</v>
      </c>
      <c r="F134" s="4" t="s">
        <v>4</v>
      </c>
      <c r="G134" s="8" t="n">
        <v>20982.2235514522</v>
      </c>
      <c r="H134" s="6" t="n">
        <f aca="false">IF(G134="","",G134/SUMIFS($G$2:$G$1122,$F$2:$F$1122,"Served"))</f>
        <v>0.00100726978510773</v>
      </c>
      <c r="I134" s="4" t="n">
        <f aca="false">IF(G134="","",RANK(G134,$G$2:$G$1122,0))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30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20974.1583604813</v>
      </c>
      <c r="H135" s="6" t="n">
        <f aca="false">IF(G135="","",G135/SUMIFS($G$2:$G$1122,$F$2:$F$1122,"Served"))</f>
        <v>0.00100688260864112</v>
      </c>
      <c r="I135" s="4" t="n">
        <f aca="false">IF(G135="","",RANK(G135,$G$2:$G$1122,0))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48</v>
      </c>
      <c r="C136" s="4" t="s">
        <v>49</v>
      </c>
      <c r="D136" s="7" t="s">
        <v>344</v>
      </c>
      <c r="E136" s="4" t="s">
        <v>51</v>
      </c>
      <c r="F136" s="4" t="s">
        <v>4</v>
      </c>
      <c r="G136" s="8" t="n">
        <v>20731.811571002</v>
      </c>
      <c r="H136" s="6" t="n">
        <f aca="false">IF(G136="","",G136/SUMIFS($G$2:$G$1122,$F$2:$F$1122,"Served"))</f>
        <v>0.000995248541452691</v>
      </c>
      <c r="I136" s="4" t="n">
        <f aca="false">IF(G136="","",RANK(G136,$G$2:$G$1122,0))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119</v>
      </c>
      <c r="C137" s="4" t="s">
        <v>156</v>
      </c>
      <c r="D137" s="7" t="s">
        <v>346</v>
      </c>
      <c r="E137" s="4" t="s">
        <v>33</v>
      </c>
      <c r="F137" s="4" t="s">
        <v>4</v>
      </c>
      <c r="G137" s="8" t="n">
        <v>20558.8696157932</v>
      </c>
      <c r="H137" s="6" t="n">
        <f aca="false">IF(G137="","",G137/SUMIFS($G$2:$G$1122,$F$2:$F$1122,"Served"))</f>
        <v>0.000986946313348406</v>
      </c>
      <c r="I137" s="4" t="n">
        <f aca="false">IF(G137="","",RANK(G137,$G$2:$G$1122,0))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131</v>
      </c>
      <c r="C138" s="4" t="s">
        <v>132</v>
      </c>
      <c r="D138" s="7" t="s">
        <v>348</v>
      </c>
      <c r="E138" s="4" t="s">
        <v>134</v>
      </c>
      <c r="F138" s="4" t="s">
        <v>4</v>
      </c>
      <c r="G138" s="8" t="n">
        <v>20502.7601362467</v>
      </c>
      <c r="H138" s="6" t="n">
        <f aca="false">IF(G138="","",G138/SUMIFS($G$2:$G$1122,$F$2:$F$1122,"Served"))</f>
        <v>0.000984252729264395</v>
      </c>
      <c r="I138" s="4" t="n">
        <f aca="false">IF(G138="","",RANK(G138,$G$2:$G$1122,0))</f>
        <v>137</v>
      </c>
      <c r="J138" s="4" t="s">
        <v>34</v>
      </c>
    </row>
    <row r="139" customFormat="false" ht="15" hidden="false" customHeight="false" outlineLevel="0" collapsed="false">
      <c r="A139" s="4" t="s">
        <v>349</v>
      </c>
      <c r="B139" s="4" t="s">
        <v>30</v>
      </c>
      <c r="C139" s="4" t="s">
        <v>350</v>
      </c>
      <c r="D139" s="7" t="s">
        <v>351</v>
      </c>
      <c r="E139" s="4" t="s">
        <v>33</v>
      </c>
      <c r="F139" s="4" t="s">
        <v>4</v>
      </c>
      <c r="G139" s="8" t="n">
        <v>20461.438120544</v>
      </c>
      <c r="H139" s="6" t="n">
        <f aca="false">IF(G139="","",G139/SUMIFS($G$2:$G$1122,$F$2:$F$1122,"Served"))</f>
        <v>0.000982269030169062</v>
      </c>
      <c r="I139" s="4" t="n">
        <f aca="false">IF(G139="","",RANK(G139,$G$2:$G$1122,0))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119</v>
      </c>
      <c r="C140" s="4" t="s">
        <v>169</v>
      </c>
      <c r="D140" s="7" t="s">
        <v>353</v>
      </c>
      <c r="E140" s="4" t="s">
        <v>33</v>
      </c>
      <c r="F140" s="4" t="s">
        <v>4</v>
      </c>
      <c r="G140" s="8" t="n">
        <v>20289.1994196773</v>
      </c>
      <c r="H140" s="6" t="n">
        <f aca="false">IF(G140="","",G140/SUMIFS($G$2:$G$1122,$F$2:$F$1122,"Served"))</f>
        <v>0.000974000562397578</v>
      </c>
      <c r="I140" s="4" t="n">
        <f aca="false">IF(G140="","",RANK(G140,$G$2:$G$1122,0))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223</v>
      </c>
      <c r="C141" s="4" t="s">
        <v>224</v>
      </c>
      <c r="D141" s="7" t="s">
        <v>355</v>
      </c>
      <c r="E141" s="4" t="s">
        <v>226</v>
      </c>
      <c r="F141" s="4" t="s">
        <v>4</v>
      </c>
      <c r="G141" s="8" t="n">
        <v>20032.4642822743</v>
      </c>
      <c r="H141" s="6" t="n">
        <f aca="false">IF(G141="","",G141/SUMIFS($G$2:$G$1122,$F$2:$F$1122,"Served"))</f>
        <v>0.00096167577012533</v>
      </c>
      <c r="I141" s="4" t="n">
        <f aca="false">IF(G141="","",RANK(G141,$G$2:$G$1122,0))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41</v>
      </c>
      <c r="C142" s="4" t="s">
        <v>42</v>
      </c>
      <c r="D142" s="7" t="s">
        <v>357</v>
      </c>
      <c r="E142" s="4" t="s">
        <v>44</v>
      </c>
      <c r="F142" s="4" t="s">
        <v>4</v>
      </c>
      <c r="G142" s="8" t="n">
        <v>19912.0078532696</v>
      </c>
      <c r="H142" s="6" t="n">
        <f aca="false">IF(G142="","",G142/SUMIFS($G$2:$G$1122,$F$2:$F$1122,"Served"))</f>
        <v>0.000955893155091187</v>
      </c>
      <c r="I142" s="4" t="n">
        <f aca="false">IF(G142="","",RANK(G142,$G$2:$G$1122,0))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187</v>
      </c>
      <c r="C143" s="4" t="s">
        <v>188</v>
      </c>
      <c r="D143" s="7" t="s">
        <v>359</v>
      </c>
      <c r="E143" s="4" t="s">
        <v>190</v>
      </c>
      <c r="F143" s="4" t="s">
        <v>4</v>
      </c>
      <c r="G143" s="8" t="n">
        <v>19822.8997024894</v>
      </c>
      <c r="H143" s="6" t="n">
        <f aca="false">IF(G143="","",G143/SUMIFS($G$2:$G$1122,$F$2:$F$1122,"Served"))</f>
        <v>0.000951615441260352</v>
      </c>
      <c r="I143" s="4" t="n">
        <f aca="false">IF(G143="","",RANK(G143,$G$2:$G$1122,0))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119</v>
      </c>
      <c r="C144" s="4" t="s">
        <v>169</v>
      </c>
      <c r="D144" s="7" t="s">
        <v>361</v>
      </c>
      <c r="E144" s="4" t="s">
        <v>33</v>
      </c>
      <c r="F144" s="4" t="s">
        <v>4</v>
      </c>
      <c r="G144" s="8" t="n">
        <v>19766.9487072229</v>
      </c>
      <c r="H144" s="6" t="n">
        <f aca="false">IF(G144="","",G144/SUMIFS($G$2:$G$1122,$F$2:$F$1122,"Served"))</f>
        <v>0.00094892946535125</v>
      </c>
      <c r="I144" s="4" t="n">
        <f aca="false">IF(G144="","",RANK(G144,$G$2:$G$1122,0))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107</v>
      </c>
      <c r="D145" s="7" t="s">
        <v>363</v>
      </c>
      <c r="E145" s="4" t="s">
        <v>33</v>
      </c>
      <c r="F145" s="4" t="s">
        <v>4</v>
      </c>
      <c r="G145" s="8" t="n">
        <v>19425.3961786032</v>
      </c>
      <c r="H145" s="6" t="n">
        <f aca="false">IF(G145="","",G145/SUMIFS($G$2:$G$1122,$F$2:$F$1122,"Served"))</f>
        <v>0.000932532940871268</v>
      </c>
      <c r="I145" s="4" t="n">
        <f aca="false">IF(G145="","",RANK(G145,$G$2:$G$1122,0))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174</v>
      </c>
      <c r="D146" s="7" t="s">
        <v>365</v>
      </c>
      <c r="E146" s="4" t="s">
        <v>33</v>
      </c>
      <c r="F146" s="4" t="s">
        <v>4</v>
      </c>
      <c r="G146" s="8" t="n">
        <v>19279.7211638093</v>
      </c>
      <c r="H146" s="6" t="n">
        <f aca="false">IF(G146="","",G146/SUMIFS($G$2:$G$1122,$F$2:$F$1122,"Served"))</f>
        <v>0.000925539685819573</v>
      </c>
      <c r="I146" s="4" t="n">
        <f aca="false">IF(G146="","",RANK(G146,$G$2:$G$1122,0))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119</v>
      </c>
      <c r="C147" s="4" t="s">
        <v>169</v>
      </c>
      <c r="D147" s="7" t="s">
        <v>367</v>
      </c>
      <c r="E147" s="4" t="s">
        <v>33</v>
      </c>
      <c r="F147" s="4" t="s">
        <v>4</v>
      </c>
      <c r="G147" s="8" t="n">
        <v>18999.3413287401</v>
      </c>
      <c r="H147" s="6" t="n">
        <f aca="false">IF(G147="","",G147/SUMIFS($G$2:$G$1122,$F$2:$F$1122,"Served"))</f>
        <v>0.000912079809390074</v>
      </c>
      <c r="I147" s="4" t="n">
        <f aca="false">IF(G147="","",RANK(G147,$G$2:$G$1122,0))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187</v>
      </c>
      <c r="C148" s="4" t="s">
        <v>188</v>
      </c>
      <c r="D148" s="7" t="s">
        <v>369</v>
      </c>
      <c r="E148" s="4" t="s">
        <v>190</v>
      </c>
      <c r="F148" s="4" t="s">
        <v>4</v>
      </c>
      <c r="G148" s="8" t="n">
        <v>18857.8076082468</v>
      </c>
      <c r="H148" s="6" t="n">
        <f aca="false">IF(G148="","",G148/SUMIFS($G$2:$G$1122,$F$2:$F$1122,"Served"))</f>
        <v>0.000905285360752292</v>
      </c>
      <c r="I148" s="4" t="n">
        <f aca="false">IF(G148="","",RANK(G148,$G$2:$G$1122,0))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119</v>
      </c>
      <c r="C149" s="4" t="s">
        <v>371</v>
      </c>
      <c r="D149" s="7" t="s">
        <v>372</v>
      </c>
      <c r="E149" s="4" t="s">
        <v>33</v>
      </c>
      <c r="F149" s="4" t="s">
        <v>4</v>
      </c>
      <c r="G149" s="8" t="n">
        <v>18853.030246377</v>
      </c>
      <c r="H149" s="6" t="n">
        <f aca="false">IF(G149="","",G149/SUMIFS($G$2:$G$1122,$F$2:$F$1122,"Served"))</f>
        <v>0.000905056019364703</v>
      </c>
      <c r="I149" s="4" t="n">
        <f aca="false">IF(G149="","",RANK(G149,$G$2:$G$1122,0))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374</v>
      </c>
      <c r="D150" s="7" t="s">
        <v>375</v>
      </c>
      <c r="E150" s="4" t="s">
        <v>33</v>
      </c>
      <c r="F150" s="4" t="s">
        <v>4</v>
      </c>
      <c r="G150" s="8" t="n">
        <v>18386.088352263</v>
      </c>
      <c r="H150" s="6" t="n">
        <f aca="false">IF(G150="","",G150/SUMIFS($G$2:$G$1122,$F$2:$F$1122,"Served"))</f>
        <v>0.000882640069968841</v>
      </c>
      <c r="I150" s="4" t="n">
        <f aca="false">IF(G150="","",RANK(G150,$G$2:$G$1122,0))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119</v>
      </c>
      <c r="C151" s="4" t="s">
        <v>196</v>
      </c>
      <c r="D151" s="7" t="s">
        <v>377</v>
      </c>
      <c r="E151" s="4" t="s">
        <v>33</v>
      </c>
      <c r="F151" s="4" t="s">
        <v>4</v>
      </c>
      <c r="G151" s="8" t="n">
        <v>18265.2147586346</v>
      </c>
      <c r="H151" s="6" t="n">
        <f aca="false">IF(G151="","",G151/SUMIFS($G$2:$G$1122,$F$2:$F$1122,"Served"))</f>
        <v>0.00087683742858621</v>
      </c>
      <c r="I151" s="4" t="n">
        <f aca="false">IF(G151="","",RANK(G151,$G$2:$G$1122,0))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119</v>
      </c>
      <c r="C152" s="4" t="s">
        <v>236</v>
      </c>
      <c r="D152" s="7" t="s">
        <v>379</v>
      </c>
      <c r="E152" s="4" t="s">
        <v>33</v>
      </c>
      <c r="F152" s="4" t="s">
        <v>4</v>
      </c>
      <c r="G152" s="8" t="n">
        <v>18155.5641682148</v>
      </c>
      <c r="H152" s="6" t="n">
        <f aca="false">IF(G152="","",G152/SUMIFS($G$2:$G$1122,$F$2:$F$1122,"Served"))</f>
        <v>0.000871573557177242</v>
      </c>
      <c r="I152" s="4" t="n">
        <f aca="false">IF(G152="","",RANK(G152,$G$2:$G$1122,0))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187</v>
      </c>
      <c r="C153" s="4" t="s">
        <v>188</v>
      </c>
      <c r="D153" s="7" t="s">
        <v>381</v>
      </c>
      <c r="E153" s="4" t="s">
        <v>190</v>
      </c>
      <c r="F153" s="4" t="s">
        <v>4</v>
      </c>
      <c r="G153" s="8" t="n">
        <v>17915.6717466116</v>
      </c>
      <c r="H153" s="6" t="n">
        <f aca="false">IF(G153="","",G153/SUMIFS($G$2:$G$1122,$F$2:$F$1122,"Served"))</f>
        <v>0.000860057314041013</v>
      </c>
      <c r="I153" s="4" t="n">
        <f aca="false">IF(G153="","",RANK(G153,$G$2:$G$1122,0))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119</v>
      </c>
      <c r="C154" s="4" t="s">
        <v>169</v>
      </c>
      <c r="D154" s="7" t="s">
        <v>383</v>
      </c>
      <c r="E154" s="4" t="s">
        <v>33</v>
      </c>
      <c r="F154" s="4" t="s">
        <v>4</v>
      </c>
      <c r="G154" s="8" t="n">
        <v>17774.9024105072</v>
      </c>
      <c r="H154" s="6" t="n">
        <f aca="false">IF(G154="","",G154/SUMIFS($G$2:$G$1122,$F$2:$F$1122,"Served"))</f>
        <v>0.000853299560336791</v>
      </c>
      <c r="I154" s="4" t="n">
        <f aca="false">IF(G154="","",RANK(G154,$G$2:$G$1122,0))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30</v>
      </c>
      <c r="C155" s="4" t="s">
        <v>231</v>
      </c>
      <c r="D155" s="7" t="s">
        <v>385</v>
      </c>
      <c r="E155" s="4" t="s">
        <v>33</v>
      </c>
      <c r="F155" s="4" t="s">
        <v>4</v>
      </c>
      <c r="G155" s="8" t="n">
        <v>17682.8913629651</v>
      </c>
      <c r="H155" s="6" t="n">
        <f aca="false">IF(G155="","",G155/SUMIFS($G$2:$G$1122,$F$2:$F$1122,"Served"))</f>
        <v>0.00084888249043674</v>
      </c>
      <c r="I155" s="4" t="n">
        <f aca="false">IF(G155="","",RANK(G155,$G$2:$G$1122,0))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119</v>
      </c>
      <c r="C156" s="4" t="s">
        <v>169</v>
      </c>
      <c r="D156" s="7" t="s">
        <v>387</v>
      </c>
      <c r="E156" s="4" t="s">
        <v>33</v>
      </c>
      <c r="F156" s="4" t="s">
        <v>4</v>
      </c>
      <c r="G156" s="8" t="n">
        <v>17635.6299368739</v>
      </c>
      <c r="H156" s="6" t="n">
        <f aca="false">IF(G156="","",G156/SUMIFS($G$2:$G$1122,$F$2:$F$1122,"Served"))</f>
        <v>0.000846613664809846</v>
      </c>
      <c r="I156" s="4" t="n">
        <f aca="false">IF(G156="","",RANK(G156,$G$2:$G$1122,0))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30</v>
      </c>
      <c r="C157" s="4" t="s">
        <v>213</v>
      </c>
      <c r="D157" s="7" t="s">
        <v>389</v>
      </c>
      <c r="E157" s="4" t="s">
        <v>33</v>
      </c>
      <c r="F157" s="4" t="s">
        <v>4</v>
      </c>
      <c r="G157" s="8" t="n">
        <v>17424.4435895681</v>
      </c>
      <c r="H157" s="6" t="n">
        <f aca="false">IF(G157="","",G157/SUMIFS($G$2:$G$1122,$F$2:$F$1122,"Served"))</f>
        <v>0.00083647548159267</v>
      </c>
      <c r="I157" s="4" t="n">
        <f aca="false">IF(G157="","",RANK(G157,$G$2:$G$1122,0))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223</v>
      </c>
      <c r="C158" s="4" t="s">
        <v>224</v>
      </c>
      <c r="D158" s="7" t="s">
        <v>391</v>
      </c>
      <c r="E158" s="4" t="s">
        <v>226</v>
      </c>
      <c r="F158" s="4" t="s">
        <v>4</v>
      </c>
      <c r="G158" s="8" t="n">
        <v>17177.6742141843</v>
      </c>
      <c r="H158" s="6" t="n">
        <f aca="false">IF(G158="","",G158/SUMIFS($G$2:$G$1122,$F$2:$F$1122,"Served"))</f>
        <v>0.000824629104343636</v>
      </c>
      <c r="I158" s="4" t="n">
        <f aca="false">IF(G158="","",RANK(G158,$G$2:$G$1122,0))</f>
        <v>157</v>
      </c>
      <c r="J158" s="4" t="s">
        <v>34</v>
      </c>
    </row>
    <row r="159" customFormat="false" ht="15" hidden="false" customHeight="false" outlineLevel="0" collapsed="false">
      <c r="A159" s="4" t="s">
        <v>392</v>
      </c>
      <c r="B159" s="4" t="s">
        <v>119</v>
      </c>
      <c r="C159" s="4" t="s">
        <v>169</v>
      </c>
      <c r="D159" s="7" t="s">
        <v>393</v>
      </c>
      <c r="E159" s="4" t="s">
        <v>33</v>
      </c>
      <c r="F159" s="4" t="s">
        <v>4</v>
      </c>
      <c r="G159" s="8" t="n">
        <v>17123.4214092493</v>
      </c>
      <c r="H159" s="6" t="n">
        <f aca="false">IF(G159="","",G159/SUMIFS($G$2:$G$1122,$F$2:$F$1122,"Served"))</f>
        <v>0.000822024651529837</v>
      </c>
      <c r="I159" s="4" t="n">
        <f aca="false">IF(G159="","",RANK(G159,$G$2:$G$1122,0))</f>
        <v>158</v>
      </c>
      <c r="J159" s="4" t="s">
        <v>34</v>
      </c>
    </row>
    <row r="160" customFormat="false" ht="15" hidden="false" customHeight="false" outlineLevel="0" collapsed="false">
      <c r="A160" s="4" t="s">
        <v>394</v>
      </c>
      <c r="B160" s="4" t="s">
        <v>119</v>
      </c>
      <c r="C160" s="4" t="s">
        <v>169</v>
      </c>
      <c r="D160" s="7" t="s">
        <v>395</v>
      </c>
      <c r="E160" s="4" t="s">
        <v>33</v>
      </c>
      <c r="F160" s="4" t="s">
        <v>4</v>
      </c>
      <c r="G160" s="8" t="n">
        <v>17112.885055244</v>
      </c>
      <c r="H160" s="6" t="n">
        <f aca="false">IF(G160="","",G160/SUMIFS($G$2:$G$1122,$F$2:$F$1122,"Served"))</f>
        <v>0.000821518844744929</v>
      </c>
      <c r="I160" s="4" t="n">
        <f aca="false">IF(G160="","",RANK(G160,$G$2:$G$1122,0))</f>
        <v>159</v>
      </c>
      <c r="J160" s="4" t="s">
        <v>34</v>
      </c>
    </row>
    <row r="161" customFormat="false" ht="15" hidden="false" customHeight="false" outlineLevel="0" collapsed="false">
      <c r="A161" s="4" t="s">
        <v>396</v>
      </c>
      <c r="B161" s="4" t="s">
        <v>30</v>
      </c>
      <c r="C161" s="4" t="s">
        <v>174</v>
      </c>
      <c r="D161" s="7" t="s">
        <v>397</v>
      </c>
      <c r="E161" s="4" t="s">
        <v>33</v>
      </c>
      <c r="F161" s="4" t="s">
        <v>4</v>
      </c>
      <c r="G161" s="8" t="n">
        <v>16970.8127969503</v>
      </c>
      <c r="H161" s="6" t="n">
        <f aca="false">IF(G161="","",G161/SUMIFS($G$2:$G$1122,$F$2:$F$1122,"Served"))</f>
        <v>0.000814698543134364</v>
      </c>
      <c r="I161" s="4" t="n">
        <f aca="false">IF(G161="","",RANK(G161,$G$2:$G$1122,0))</f>
        <v>160</v>
      </c>
      <c r="J161" s="4" t="s">
        <v>34</v>
      </c>
    </row>
    <row r="162" customFormat="false" ht="15" hidden="false" customHeight="false" outlineLevel="0" collapsed="false">
      <c r="A162" s="4" t="s">
        <v>398</v>
      </c>
      <c r="B162" s="4" t="s">
        <v>187</v>
      </c>
      <c r="C162" s="4" t="s">
        <v>188</v>
      </c>
      <c r="D162" s="7" t="s">
        <v>399</v>
      </c>
      <c r="E162" s="4" t="s">
        <v>190</v>
      </c>
      <c r="F162" s="4" t="s">
        <v>4</v>
      </c>
      <c r="G162" s="8" t="n">
        <v>16946.3000231981</v>
      </c>
      <c r="H162" s="6" t="n">
        <f aca="false">IF(G162="","",G162/SUMIFS($G$2:$G$1122,$F$2:$F$1122,"Served"))</f>
        <v>0.00081352178623397</v>
      </c>
      <c r="I162" s="4" t="n">
        <f aca="false">IF(G162="","",RANK(G162,$G$2:$G$1122,0))</f>
        <v>161</v>
      </c>
      <c r="J162" s="4" t="s">
        <v>34</v>
      </c>
    </row>
    <row r="163" customFormat="false" ht="15" hidden="false" customHeight="false" outlineLevel="0" collapsed="false">
      <c r="A163" s="4" t="s">
        <v>400</v>
      </c>
      <c r="B163" s="4" t="s">
        <v>48</v>
      </c>
      <c r="C163" s="4" t="s">
        <v>49</v>
      </c>
      <c r="D163" s="7" t="s">
        <v>401</v>
      </c>
      <c r="E163" s="4" t="s">
        <v>51</v>
      </c>
      <c r="F163" s="4" t="s">
        <v>4</v>
      </c>
      <c r="G163" s="8" t="n">
        <v>16942.5519956946</v>
      </c>
      <c r="H163" s="6" t="n">
        <f aca="false">IF(G163="","",G163/SUMIFS($G$2:$G$1122,$F$2:$F$1122,"Served"))</f>
        <v>0.000813341858932712</v>
      </c>
      <c r="I163" s="4" t="n">
        <f aca="false">IF(G163="","",RANK(G163,$G$2:$G$1122,0))</f>
        <v>162</v>
      </c>
      <c r="J163" s="4" t="s">
        <v>34</v>
      </c>
    </row>
    <row r="164" customFormat="false" ht="15" hidden="false" customHeight="false" outlineLevel="0" collapsed="false">
      <c r="A164" s="4" t="s">
        <v>402</v>
      </c>
      <c r="B164" s="4" t="s">
        <v>30</v>
      </c>
      <c r="C164" s="4" t="s">
        <v>231</v>
      </c>
      <c r="D164" s="7" t="s">
        <v>403</v>
      </c>
      <c r="E164" s="4" t="s">
        <v>33</v>
      </c>
      <c r="F164" s="4" t="s">
        <v>4</v>
      </c>
      <c r="G164" s="8" t="n">
        <v>16566.9249142408</v>
      </c>
      <c r="H164" s="6" t="n">
        <f aca="false">IF(G164="","",G164/SUMIFS($G$2:$G$1122,$F$2:$F$1122,"Served"))</f>
        <v>0.000795309556079355</v>
      </c>
      <c r="I164" s="4" t="n">
        <f aca="false">IF(G164="","",RANK(G164,$G$2:$G$1122,0))</f>
        <v>163</v>
      </c>
      <c r="J164" s="4" t="s">
        <v>34</v>
      </c>
    </row>
    <row r="165" customFormat="false" ht="15" hidden="false" customHeight="false" outlineLevel="0" collapsed="false">
      <c r="A165" s="4" t="s">
        <v>404</v>
      </c>
      <c r="B165" s="4" t="s">
        <v>30</v>
      </c>
      <c r="C165" s="4" t="s">
        <v>231</v>
      </c>
      <c r="D165" s="7" t="s">
        <v>405</v>
      </c>
      <c r="E165" s="4" t="s">
        <v>33</v>
      </c>
      <c r="F165" s="4" t="s">
        <v>4</v>
      </c>
      <c r="G165" s="8" t="n">
        <v>16163.9638841152</v>
      </c>
      <c r="H165" s="6" t="n">
        <f aca="false">IF(G165="","",G165/SUMIFS($G$2:$G$1122,$F$2:$F$1122,"Served"))</f>
        <v>0.000775965063384093</v>
      </c>
      <c r="I165" s="4" t="n">
        <f aca="false">IF(G165="","",RANK(G165,$G$2:$G$1122,0))</f>
        <v>164</v>
      </c>
      <c r="J165" s="4" t="s">
        <v>34</v>
      </c>
    </row>
    <row r="166" customFormat="false" ht="15" hidden="false" customHeight="false" outlineLevel="0" collapsed="false">
      <c r="A166" s="4" t="s">
        <v>406</v>
      </c>
      <c r="B166" s="4" t="s">
        <v>119</v>
      </c>
      <c r="C166" s="4" t="s">
        <v>169</v>
      </c>
      <c r="D166" s="7" t="s">
        <v>407</v>
      </c>
      <c r="E166" s="4" t="s">
        <v>33</v>
      </c>
      <c r="F166" s="4" t="s">
        <v>4</v>
      </c>
      <c r="G166" s="8" t="n">
        <v>16128.1280620098</v>
      </c>
      <c r="H166" s="6" t="n">
        <f aca="false">IF(G166="","",G166/SUMIFS($G$2:$G$1122,$F$2:$F$1122,"Served"))</f>
        <v>0.00077424473375636</v>
      </c>
      <c r="I166" s="4" t="n">
        <f aca="false">IF(G166="","",RANK(G166,$G$2:$G$1122,0))</f>
        <v>165</v>
      </c>
      <c r="J166" s="4" t="s">
        <v>34</v>
      </c>
    </row>
    <row r="167" customFormat="false" ht="15" hidden="false" customHeight="false" outlineLevel="0" collapsed="false">
      <c r="A167" s="4" t="s">
        <v>408</v>
      </c>
      <c r="B167" s="4" t="s">
        <v>119</v>
      </c>
      <c r="C167" s="4" t="s">
        <v>169</v>
      </c>
      <c r="D167" s="7" t="s">
        <v>409</v>
      </c>
      <c r="E167" s="4" t="s">
        <v>33</v>
      </c>
      <c r="F167" s="4" t="s">
        <v>4</v>
      </c>
      <c r="G167" s="8" t="n">
        <v>15916.9545211196</v>
      </c>
      <c r="H167" s="6" t="n">
        <f aca="false">IF(G167="","",G167/SUMIFS($G$2:$G$1122,$F$2:$F$1122,"Served"))</f>
        <v>0.000764107165322237</v>
      </c>
      <c r="I167" s="4" t="n">
        <f aca="false">IF(G167="","",RANK(G167,$G$2:$G$1122,0))</f>
        <v>166</v>
      </c>
      <c r="J167" s="4" t="s">
        <v>34</v>
      </c>
    </row>
    <row r="168" customFormat="false" ht="15" hidden="false" customHeight="false" outlineLevel="0" collapsed="false">
      <c r="A168" s="4" t="s">
        <v>410</v>
      </c>
      <c r="B168" s="4" t="s">
        <v>30</v>
      </c>
      <c r="C168" s="4" t="s">
        <v>174</v>
      </c>
      <c r="D168" s="7" t="s">
        <v>411</v>
      </c>
      <c r="E168" s="4" t="s">
        <v>33</v>
      </c>
      <c r="F168" s="4" t="s">
        <v>4</v>
      </c>
      <c r="G168" s="8" t="n">
        <v>15912.3432838917</v>
      </c>
      <c r="H168" s="6" t="n">
        <f aca="false">IF(G168="","",G168/SUMIFS($G$2:$G$1122,$F$2:$F$1122,"Served"))</f>
        <v>0.000763885798891732</v>
      </c>
      <c r="I168" s="4" t="n">
        <f aca="false">IF(G168="","",RANK(G168,$G$2:$G$1122,0))</f>
        <v>167</v>
      </c>
      <c r="J168" s="4" t="s">
        <v>34</v>
      </c>
    </row>
    <row r="169" customFormat="false" ht="15" hidden="false" customHeight="false" outlineLevel="0" collapsed="false">
      <c r="A169" s="4" t="s">
        <v>412</v>
      </c>
      <c r="B169" s="4" t="s">
        <v>30</v>
      </c>
      <c r="C169" s="4" t="s">
        <v>31</v>
      </c>
      <c r="D169" s="7" t="s">
        <v>413</v>
      </c>
      <c r="E169" s="4" t="s">
        <v>33</v>
      </c>
      <c r="F169" s="4" t="s">
        <v>4</v>
      </c>
      <c r="G169" s="8" t="n">
        <v>15688.3514580131</v>
      </c>
      <c r="H169" s="6" t="n">
        <f aca="false">IF(G169="","",G169/SUMIFS($G$2:$G$1122,$F$2:$F$1122,"Served"))</f>
        <v>0.000753132877602652</v>
      </c>
      <c r="I169" s="4" t="n">
        <f aca="false">IF(G169="","",RANK(G169,$G$2:$G$1122,0))</f>
        <v>168</v>
      </c>
      <c r="J169" s="4" t="s">
        <v>34</v>
      </c>
    </row>
    <row r="170" customFormat="false" ht="15" hidden="false" customHeight="false" outlineLevel="0" collapsed="false">
      <c r="A170" s="4" t="s">
        <v>414</v>
      </c>
      <c r="B170" s="4" t="s">
        <v>223</v>
      </c>
      <c r="C170" s="4" t="s">
        <v>224</v>
      </c>
      <c r="D170" s="7" t="s">
        <v>415</v>
      </c>
      <c r="E170" s="4" t="s">
        <v>226</v>
      </c>
      <c r="F170" s="4" t="s">
        <v>4</v>
      </c>
      <c r="G170" s="8" t="n">
        <v>15616.8465104699</v>
      </c>
      <c r="H170" s="6" t="n">
        <f aca="false">IF(G170="","",G170/SUMIFS($G$2:$G$1122,$F$2:$F$1122,"Served"))</f>
        <v>0.000749700220764862</v>
      </c>
      <c r="I170" s="4" t="n">
        <f aca="false">IF(G170="","",RANK(G170,$G$2:$G$1122,0))</f>
        <v>169</v>
      </c>
      <c r="J170" s="4" t="s">
        <v>34</v>
      </c>
    </row>
    <row r="171" customFormat="false" ht="15" hidden="false" customHeight="false" outlineLevel="0" collapsed="false">
      <c r="A171" s="4" t="s">
        <v>416</v>
      </c>
      <c r="B171" s="4" t="s">
        <v>119</v>
      </c>
      <c r="C171" s="4" t="s">
        <v>169</v>
      </c>
      <c r="D171" s="7" t="s">
        <v>417</v>
      </c>
      <c r="E171" s="4" t="s">
        <v>33</v>
      </c>
      <c r="F171" s="4" t="s">
        <v>4</v>
      </c>
      <c r="G171" s="8" t="n">
        <v>15577.5545121431</v>
      </c>
      <c r="H171" s="6" t="n">
        <f aca="false">IF(G171="","",G171/SUMIFS($G$2:$G$1122,$F$2:$F$1122,"Served"))</f>
        <v>0.000747813974409036</v>
      </c>
      <c r="I171" s="4" t="n">
        <f aca="false">IF(G171="","",RANK(G171,$G$2:$G$1122,0))</f>
        <v>170</v>
      </c>
      <c r="J171" s="4" t="s">
        <v>34</v>
      </c>
    </row>
    <row r="172" customFormat="false" ht="15" hidden="false" customHeight="false" outlineLevel="0" collapsed="false">
      <c r="A172" s="4" t="s">
        <v>418</v>
      </c>
      <c r="B172" s="4" t="s">
        <v>48</v>
      </c>
      <c r="C172" s="4" t="s">
        <v>49</v>
      </c>
      <c r="D172" s="7" t="s">
        <v>419</v>
      </c>
      <c r="E172" s="4" t="s">
        <v>51</v>
      </c>
      <c r="F172" s="4" t="s">
        <v>4</v>
      </c>
      <c r="G172" s="8" t="n">
        <v>15536.075802803</v>
      </c>
      <c r="H172" s="6" t="n">
        <f aca="false">IF(G172="","",G172/SUMIFS($G$2:$G$1122,$F$2:$F$1122,"Served"))</f>
        <v>0.000745822753100146</v>
      </c>
      <c r="I172" s="4" t="n">
        <f aca="false">IF(G172="","",RANK(G172,$G$2:$G$1122,0))</f>
        <v>171</v>
      </c>
      <c r="J172" s="4" t="s">
        <v>34</v>
      </c>
    </row>
    <row r="173" customFormat="false" ht="15" hidden="false" customHeight="false" outlineLevel="0" collapsed="false">
      <c r="A173" s="4" t="s">
        <v>420</v>
      </c>
      <c r="B173" s="4" t="s">
        <v>119</v>
      </c>
      <c r="C173" s="4" t="s">
        <v>169</v>
      </c>
      <c r="D173" s="7" t="s">
        <v>421</v>
      </c>
      <c r="E173" s="4" t="s">
        <v>33</v>
      </c>
      <c r="F173" s="4" t="s">
        <v>4</v>
      </c>
      <c r="G173" s="8" t="n">
        <v>15508.6358082295</v>
      </c>
      <c r="H173" s="6" t="n">
        <f aca="false">IF(G173="","",G173/SUMIFS($G$2:$G$1122,$F$2:$F$1122,"Served"))</f>
        <v>0.000744505472433027</v>
      </c>
      <c r="I173" s="4" t="n">
        <f aca="false">IF(G173="","",RANK(G173,$G$2:$G$1122,0))</f>
        <v>172</v>
      </c>
      <c r="J173" s="4" t="s">
        <v>34</v>
      </c>
    </row>
    <row r="174" customFormat="false" ht="15" hidden="false" customHeight="false" outlineLevel="0" collapsed="false">
      <c r="A174" s="4" t="s">
        <v>422</v>
      </c>
      <c r="B174" s="4" t="s">
        <v>30</v>
      </c>
      <c r="C174" s="4" t="s">
        <v>31</v>
      </c>
      <c r="D174" s="7" t="s">
        <v>423</v>
      </c>
      <c r="E174" s="4" t="s">
        <v>33</v>
      </c>
      <c r="F174" s="4" t="s">
        <v>4</v>
      </c>
      <c r="G174" s="8" t="n">
        <v>15466.8077421188</v>
      </c>
      <c r="H174" s="6" t="n">
        <f aca="false">IF(G174="","",G174/SUMIFS($G$2:$G$1122,$F$2:$F$1122,"Served"))</f>
        <v>0.000742497479950276</v>
      </c>
      <c r="I174" s="4" t="n">
        <f aca="false">IF(G174="","",RANK(G174,$G$2:$G$1122,0))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119</v>
      </c>
      <c r="C175" s="4" t="s">
        <v>166</v>
      </c>
      <c r="D175" s="7" t="s">
        <v>425</v>
      </c>
      <c r="E175" s="4" t="s">
        <v>33</v>
      </c>
      <c r="F175" s="4" t="s">
        <v>4</v>
      </c>
      <c r="G175" s="8" t="n">
        <v>15466.4824217558</v>
      </c>
      <c r="H175" s="6" t="n">
        <f aca="false">IF(G175="","",G175/SUMIFS($G$2:$G$1122,$F$2:$F$1122,"Served"))</f>
        <v>0.000742481862664941</v>
      </c>
      <c r="I175" s="4" t="n">
        <f aca="false">IF(G175="","",RANK(G175,$G$2:$G$1122,0))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30</v>
      </c>
      <c r="C176" s="4" t="s">
        <v>107</v>
      </c>
      <c r="D176" s="7" t="s">
        <v>427</v>
      </c>
      <c r="E176" s="4" t="s">
        <v>33</v>
      </c>
      <c r="F176" s="4" t="s">
        <v>4</v>
      </c>
      <c r="G176" s="8" t="n">
        <v>15269.1956911683</v>
      </c>
      <c r="H176" s="6" t="n">
        <f aca="false">IF(G176="","",G176/SUMIFS($G$2:$G$1122,$F$2:$F$1122,"Served"))</f>
        <v>0.000733010942567451</v>
      </c>
      <c r="I176" s="4" t="n">
        <f aca="false">IF(G176="","",RANK(G176,$G$2:$G$1122,0))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48</v>
      </c>
      <c r="C177" s="4" t="s">
        <v>49</v>
      </c>
      <c r="D177" s="7" t="s">
        <v>429</v>
      </c>
      <c r="E177" s="4" t="s">
        <v>51</v>
      </c>
      <c r="F177" s="4" t="s">
        <v>4</v>
      </c>
      <c r="G177" s="8" t="n">
        <v>15239.0018640757</v>
      </c>
      <c r="H177" s="6" t="n">
        <f aca="false">IF(G177="","",G177/SUMIFS($G$2:$G$1122,$F$2:$F$1122,"Served"))</f>
        <v>0.000731561461788991</v>
      </c>
      <c r="I177" s="4" t="n">
        <f aca="false">IF(G177="","",RANK(G177,$G$2:$G$1122,0))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30</v>
      </c>
      <c r="C178" s="4" t="s">
        <v>136</v>
      </c>
      <c r="D178" s="7" t="s">
        <v>431</v>
      </c>
      <c r="E178" s="4" t="s">
        <v>33</v>
      </c>
      <c r="F178" s="4" t="s">
        <v>4</v>
      </c>
      <c r="G178" s="8" t="n">
        <v>15189.6389753819</v>
      </c>
      <c r="H178" s="6" t="n">
        <f aca="false">IF(G178="","",G178/SUMIFS($G$2:$G$1122,$F$2:$F$1122,"Served"))</f>
        <v>0.000729191753632704</v>
      </c>
      <c r="I178" s="4" t="n">
        <f aca="false">IF(G178="","",RANK(G178,$G$2:$G$1122,0))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119</v>
      </c>
      <c r="C179" s="4" t="s">
        <v>169</v>
      </c>
      <c r="D179" s="7" t="s">
        <v>433</v>
      </c>
      <c r="E179" s="4" t="s">
        <v>33</v>
      </c>
      <c r="F179" s="4" t="s">
        <v>4</v>
      </c>
      <c r="G179" s="8" t="n">
        <v>15148.6945518255</v>
      </c>
      <c r="H179" s="6" t="n">
        <f aca="false">IF(G179="","",G179/SUMIFS($G$2:$G$1122,$F$2:$F$1122,"Served"))</f>
        <v>0.000727226181174865</v>
      </c>
      <c r="I179" s="4" t="n">
        <f aca="false">IF(G179="","",RANK(G179,$G$2:$G$1122,0))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223</v>
      </c>
      <c r="C180" s="4" t="s">
        <v>224</v>
      </c>
      <c r="D180" s="7" t="s">
        <v>435</v>
      </c>
      <c r="E180" s="4" t="s">
        <v>226</v>
      </c>
      <c r="F180" s="4" t="s">
        <v>4</v>
      </c>
      <c r="G180" s="8" t="n">
        <v>15124.9668170214</v>
      </c>
      <c r="H180" s="6" t="n">
        <f aca="false">IF(G180="","",G180/SUMIFS($G$2:$G$1122,$F$2:$F$1122,"Served"))</f>
        <v>0.000726087110748003</v>
      </c>
      <c r="I180" s="4" t="n">
        <f aca="false">IF(G180="","",RANK(G180,$G$2:$G$1122,0))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119</v>
      </c>
      <c r="C181" s="4" t="s">
        <v>120</v>
      </c>
      <c r="D181" s="7" t="s">
        <v>437</v>
      </c>
      <c r="E181" s="4" t="s">
        <v>33</v>
      </c>
      <c r="F181" s="4" t="s">
        <v>4</v>
      </c>
      <c r="G181" s="8" t="n">
        <v>15005.6820734739</v>
      </c>
      <c r="H181" s="6" t="n">
        <f aca="false">IF(G181="","",G181/SUMIFS($G$2:$G$1122,$F$2:$F$1122,"Served"))</f>
        <v>0.000720360743487402</v>
      </c>
      <c r="I181" s="4" t="n">
        <f aca="false">IF(G181="","",RANK(G181,$G$2:$G$1122,0))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41</v>
      </c>
      <c r="C182" s="4" t="s">
        <v>42</v>
      </c>
      <c r="D182" s="7" t="s">
        <v>439</v>
      </c>
      <c r="E182" s="4" t="s">
        <v>44</v>
      </c>
      <c r="F182" s="4" t="s">
        <v>4</v>
      </c>
      <c r="G182" s="8" t="n">
        <v>14857.7148543596</v>
      </c>
      <c r="H182" s="6" t="n">
        <f aca="false">IF(G182="","",G182/SUMIFS($G$2:$G$1122,$F$2:$F$1122,"Served"))</f>
        <v>0.000713257449185214</v>
      </c>
      <c r="I182" s="4" t="n">
        <f aca="false">IF(G182="","",RANK(G182,$G$2:$G$1122,0))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65</v>
      </c>
      <c r="D183" s="7" t="s">
        <v>441</v>
      </c>
      <c r="E183" s="4" t="s">
        <v>33</v>
      </c>
      <c r="F183" s="4" t="s">
        <v>4</v>
      </c>
      <c r="G183" s="8" t="n">
        <v>14710.6858891249</v>
      </c>
      <c r="H183" s="6" t="n">
        <f aca="false">IF(G183="","",G183/SUMIFS($G$2:$G$1122,$F$2:$F$1122,"Served"))</f>
        <v>0.000706199196571831</v>
      </c>
      <c r="I183" s="4" t="n">
        <f aca="false">IF(G183="","",RANK(G183,$G$2:$G$1122,0))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119</v>
      </c>
      <c r="C184" s="4" t="s">
        <v>443</v>
      </c>
      <c r="D184" s="7" t="s">
        <v>444</v>
      </c>
      <c r="E184" s="4" t="s">
        <v>33</v>
      </c>
      <c r="F184" s="4" t="s">
        <v>4</v>
      </c>
      <c r="G184" s="8" t="n">
        <v>14677.7977894545</v>
      </c>
      <c r="H184" s="6" t="n">
        <f aca="false">IF(G184="","",G184/SUMIFS($G$2:$G$1122,$F$2:$F$1122,"Served"))</f>
        <v>0.000704620374908513</v>
      </c>
      <c r="I184" s="4" t="n">
        <f aca="false">IF(G184="","",RANK(G184,$G$2:$G$1122,0))</f>
        <v>183</v>
      </c>
      <c r="J184" s="4" t="s">
        <v>34</v>
      </c>
    </row>
    <row r="185" customFormat="false" ht="15" hidden="false" customHeight="false" outlineLevel="0" collapsed="false">
      <c r="A185" s="4" t="s">
        <v>445</v>
      </c>
      <c r="B185" s="4" t="s">
        <v>30</v>
      </c>
      <c r="C185" s="4" t="s">
        <v>341</v>
      </c>
      <c r="D185" s="7" t="s">
        <v>446</v>
      </c>
      <c r="E185" s="4" t="s">
        <v>33</v>
      </c>
      <c r="F185" s="4" t="s">
        <v>4</v>
      </c>
      <c r="G185" s="8" t="n">
        <v>14572.7072933316</v>
      </c>
      <c r="H185" s="6" t="n">
        <f aca="false">IF(G185="","",G185/SUMIFS($G$2:$G$1122,$F$2:$F$1122,"Served"))</f>
        <v>0.000699575414769425</v>
      </c>
      <c r="I185" s="4" t="n">
        <f aca="false">IF(G185="","",RANK(G185,$G$2:$G$1122,0))</f>
        <v>184</v>
      </c>
      <c r="J185" s="4" t="s">
        <v>34</v>
      </c>
    </row>
    <row r="186" customFormat="false" ht="15" hidden="false" customHeight="false" outlineLevel="0" collapsed="false">
      <c r="A186" s="4" t="s">
        <v>447</v>
      </c>
      <c r="B186" s="4" t="s">
        <v>119</v>
      </c>
      <c r="C186" s="4" t="s">
        <v>163</v>
      </c>
      <c r="D186" s="7" t="s">
        <v>448</v>
      </c>
      <c r="E186" s="4" t="s">
        <v>33</v>
      </c>
      <c r="F186" s="4" t="s">
        <v>4</v>
      </c>
      <c r="G186" s="8" t="n">
        <v>14073.5092826486</v>
      </c>
      <c r="H186" s="6" t="n">
        <f aca="false">IF(G186="","",G186/SUMIFS($G$2:$G$1122,$F$2:$F$1122,"Served"))</f>
        <v>0.000675610982605507</v>
      </c>
      <c r="I186" s="4" t="n">
        <f aca="false">IF(G186="","",RANK(G186,$G$2:$G$1122,0))</f>
        <v>185</v>
      </c>
      <c r="J186" s="4" t="s">
        <v>34</v>
      </c>
    </row>
    <row r="187" customFormat="false" ht="15" hidden="false" customHeight="false" outlineLevel="0" collapsed="false">
      <c r="A187" s="4" t="s">
        <v>449</v>
      </c>
      <c r="B187" s="4" t="s">
        <v>187</v>
      </c>
      <c r="C187" s="4" t="s">
        <v>188</v>
      </c>
      <c r="D187" s="7" t="s">
        <v>450</v>
      </c>
      <c r="E187" s="4" t="s">
        <v>190</v>
      </c>
      <c r="F187" s="4" t="s">
        <v>4</v>
      </c>
      <c r="G187" s="8" t="n">
        <v>13989.7223026753</v>
      </c>
      <c r="H187" s="6" t="n">
        <f aca="false">IF(G187="","",G187/SUMIFS($G$2:$G$1122,$F$2:$F$1122,"Served"))</f>
        <v>0.000671588716180522</v>
      </c>
      <c r="I187" s="4" t="n">
        <f aca="false">IF(G187="","",RANK(G187,$G$2:$G$1122,0))</f>
        <v>186</v>
      </c>
      <c r="J187" s="4" t="s">
        <v>34</v>
      </c>
    </row>
    <row r="188" customFormat="false" ht="15" hidden="false" customHeight="false" outlineLevel="0" collapsed="false">
      <c r="A188" s="4" t="s">
        <v>451</v>
      </c>
      <c r="B188" s="4" t="s">
        <v>223</v>
      </c>
      <c r="C188" s="4" t="s">
        <v>224</v>
      </c>
      <c r="D188" s="7" t="s">
        <v>452</v>
      </c>
      <c r="E188" s="4" t="s">
        <v>226</v>
      </c>
      <c r="F188" s="4" t="s">
        <v>4</v>
      </c>
      <c r="G188" s="8" t="n">
        <v>13985.022765398</v>
      </c>
      <c r="H188" s="6" t="n">
        <f aca="false">IF(G188="","",G188/SUMIFS($G$2:$G$1122,$F$2:$F$1122,"Served"))</f>
        <v>0.000671363110829796</v>
      </c>
      <c r="I188" s="4" t="n">
        <f aca="false">IF(G188="","",RANK(G188,$G$2:$G$1122,0))</f>
        <v>187</v>
      </c>
      <c r="J188" s="4" t="s">
        <v>34</v>
      </c>
    </row>
    <row r="189" customFormat="false" ht="15" hidden="false" customHeight="false" outlineLevel="0" collapsed="false">
      <c r="A189" s="4" t="s">
        <v>453</v>
      </c>
      <c r="B189" s="4" t="s">
        <v>30</v>
      </c>
      <c r="C189" s="4" t="s">
        <v>31</v>
      </c>
      <c r="D189" s="7" t="s">
        <v>454</v>
      </c>
      <c r="E189" s="4" t="s">
        <v>33</v>
      </c>
      <c r="F189" s="4" t="s">
        <v>4</v>
      </c>
      <c r="G189" s="8" t="n">
        <v>13969.8391669989</v>
      </c>
      <c r="H189" s="6" t="n">
        <f aca="false">IF(G189="","",G189/SUMIFS($G$2:$G$1122,$F$2:$F$1122,"Served"))</f>
        <v>0.000670634209059248</v>
      </c>
      <c r="I189" s="4" t="n">
        <f aca="false">IF(G189="","",RANK(G189,$G$2:$G$1122,0))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119</v>
      </c>
      <c r="C190" s="4" t="s">
        <v>456</v>
      </c>
      <c r="D190" s="7" t="s">
        <v>457</v>
      </c>
      <c r="E190" s="4" t="s">
        <v>33</v>
      </c>
      <c r="F190" s="4" t="s">
        <v>4</v>
      </c>
      <c r="G190" s="8" t="n">
        <v>13903.9940626621</v>
      </c>
      <c r="H190" s="6" t="n">
        <f aca="false">IF(G190="","",G190/SUMIFS($G$2:$G$1122,$F$2:$F$1122,"Served"))</f>
        <v>0.0006674732578887</v>
      </c>
      <c r="I190" s="4" t="n">
        <f aca="false">IF(G190="","",RANK(G190,$G$2:$G$1122,0))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30</v>
      </c>
      <c r="C191" s="4" t="s">
        <v>231</v>
      </c>
      <c r="D191" s="7" t="s">
        <v>459</v>
      </c>
      <c r="E191" s="4" t="s">
        <v>33</v>
      </c>
      <c r="F191" s="4" t="s">
        <v>4</v>
      </c>
      <c r="G191" s="8" t="n">
        <v>13875.0445016027</v>
      </c>
      <c r="H191" s="6" t="n">
        <f aca="false">IF(G191="","",G191/SUMIFS($G$2:$G$1122,$F$2:$F$1122,"Served"))</f>
        <v>0.00066608350917709</v>
      </c>
      <c r="I191" s="4" t="n">
        <f aca="false">IF(G191="","",RANK(G191,$G$2:$G$1122,0))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187</v>
      </c>
      <c r="C192" s="4" t="s">
        <v>188</v>
      </c>
      <c r="D192" s="7" t="s">
        <v>461</v>
      </c>
      <c r="E192" s="4" t="s">
        <v>190</v>
      </c>
      <c r="F192" s="4" t="s">
        <v>4</v>
      </c>
      <c r="G192" s="8" t="n">
        <v>13862.9575483799</v>
      </c>
      <c r="H192" s="6" t="n">
        <f aca="false">IF(G192="","",G192/SUMIFS($G$2:$G$1122,$F$2:$F$1122,"Served"))</f>
        <v>0.000665503264535933</v>
      </c>
      <c r="I192" s="4" t="n">
        <f aca="false">IF(G192="","",RANK(G192,$G$2:$G$1122,0))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30</v>
      </c>
      <c r="C193" s="4" t="s">
        <v>31</v>
      </c>
      <c r="D193" s="7" t="s">
        <v>463</v>
      </c>
      <c r="E193" s="4" t="s">
        <v>33</v>
      </c>
      <c r="F193" s="4" t="s">
        <v>4</v>
      </c>
      <c r="G193" s="8" t="n">
        <v>13803.9147083163</v>
      </c>
      <c r="H193" s="6" t="n">
        <f aca="false">IF(G193="","",G193/SUMIFS($G$2:$G$1122,$F$2:$F$1122,"Served"))</f>
        <v>0.000662668861943799</v>
      </c>
      <c r="I193" s="4" t="n">
        <f aca="false">IF(G193="","",RANK(G193,$G$2:$G$1122,0))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30</v>
      </c>
      <c r="C194" s="4" t="s">
        <v>31</v>
      </c>
      <c r="D194" s="7" t="s">
        <v>465</v>
      </c>
      <c r="E194" s="4" t="s">
        <v>33</v>
      </c>
      <c r="F194" s="4" t="s">
        <v>4</v>
      </c>
      <c r="G194" s="8" t="n">
        <v>13699.1550129056</v>
      </c>
      <c r="H194" s="6" t="n">
        <f aca="false">IF(G194="","",G194/SUMIFS($G$2:$G$1122,$F$2:$F$1122,"Served"))</f>
        <v>0.000657639782178942</v>
      </c>
      <c r="I194" s="4" t="n">
        <f aca="false">IF(G194="","",RANK(G194,$G$2:$G$1122,0))</f>
        <v>193</v>
      </c>
      <c r="J194" s="4" t="s">
        <v>34</v>
      </c>
    </row>
    <row r="195" customFormat="false" ht="15" hidden="false" customHeight="false" outlineLevel="0" collapsed="false">
      <c r="A195" s="4" t="s">
        <v>466</v>
      </c>
      <c r="B195" s="4" t="s">
        <v>187</v>
      </c>
      <c r="C195" s="4" t="s">
        <v>188</v>
      </c>
      <c r="D195" s="7" t="s">
        <v>467</v>
      </c>
      <c r="E195" s="4" t="s">
        <v>190</v>
      </c>
      <c r="F195" s="4" t="s">
        <v>4</v>
      </c>
      <c r="G195" s="8" t="n">
        <v>13657.0454338789</v>
      </c>
      <c r="H195" s="6" t="n">
        <f aca="false">IF(G195="","",G195/SUMIFS($G$2:$G$1122,$F$2:$F$1122,"Served"))</f>
        <v>0.000655618275425227</v>
      </c>
      <c r="I195" s="4" t="n">
        <f aca="false">IF(G195="","",RANK(G195,$G$2:$G$1122,0))</f>
        <v>194</v>
      </c>
      <c r="J195" s="4" t="s">
        <v>34</v>
      </c>
    </row>
    <row r="196" customFormat="false" ht="15" hidden="false" customHeight="false" outlineLevel="0" collapsed="false">
      <c r="A196" s="4" t="s">
        <v>468</v>
      </c>
      <c r="B196" s="4" t="s">
        <v>187</v>
      </c>
      <c r="C196" s="4" t="s">
        <v>188</v>
      </c>
      <c r="D196" s="7" t="s">
        <v>469</v>
      </c>
      <c r="E196" s="4" t="s">
        <v>190</v>
      </c>
      <c r="F196" s="4" t="s">
        <v>4</v>
      </c>
      <c r="G196" s="8" t="n">
        <v>13615.7262532711</v>
      </c>
      <c r="H196" s="6" t="n">
        <f aca="false">IF(G196="","",G196/SUMIFS($G$2:$G$1122,$F$2:$F$1122,"Served"))</f>
        <v>0.000653634712431077</v>
      </c>
      <c r="I196" s="4" t="n">
        <f aca="false">IF(G196="","",RANK(G196,$G$2:$G$1122,0))</f>
        <v>195</v>
      </c>
      <c r="J196" s="4" t="s">
        <v>34</v>
      </c>
    </row>
    <row r="197" customFormat="false" ht="15" hidden="false" customHeight="false" outlineLevel="0" collapsed="false">
      <c r="A197" s="4" t="s">
        <v>470</v>
      </c>
      <c r="B197" s="4" t="s">
        <v>131</v>
      </c>
      <c r="C197" s="4" t="s">
        <v>132</v>
      </c>
      <c r="D197" s="7" t="s">
        <v>471</v>
      </c>
      <c r="E197" s="4" t="s">
        <v>134</v>
      </c>
      <c r="F197" s="4" t="s">
        <v>4</v>
      </c>
      <c r="G197" s="8" t="n">
        <v>13561.9296829104</v>
      </c>
      <c r="H197" s="6" t="n">
        <f aca="false">IF(G197="","",G197/SUMIFS($G$2:$G$1122,$F$2:$F$1122,"Served"))</f>
        <v>0.000651052161552528</v>
      </c>
      <c r="I197" s="4" t="n">
        <f aca="false">IF(G197="","",RANK(G197,$G$2:$G$1122,0))</f>
        <v>196</v>
      </c>
      <c r="J197" s="4" t="s">
        <v>34</v>
      </c>
    </row>
    <row r="198" customFormat="false" ht="15" hidden="false" customHeight="false" outlineLevel="0" collapsed="false">
      <c r="A198" s="4" t="s">
        <v>472</v>
      </c>
      <c r="B198" s="4" t="s">
        <v>100</v>
      </c>
      <c r="C198" s="4" t="s">
        <v>101</v>
      </c>
      <c r="D198" s="7" t="s">
        <v>473</v>
      </c>
      <c r="E198" s="4" t="s">
        <v>103</v>
      </c>
      <c r="F198" s="4" t="s">
        <v>4</v>
      </c>
      <c r="G198" s="8" t="n">
        <v>13411.2538790703</v>
      </c>
      <c r="H198" s="6" t="n">
        <f aca="false">IF(G198="","",G198/SUMIFS($G$2:$G$1122,$F$2:$F$1122,"Served"))</f>
        <v>0.000643818839298438</v>
      </c>
      <c r="I198" s="4" t="n">
        <f aca="false">IF(G198="","",RANK(G198,$G$2:$G$1122,0))</f>
        <v>197</v>
      </c>
      <c r="J198" s="4" t="s">
        <v>34</v>
      </c>
    </row>
    <row r="199" customFormat="false" ht="15" hidden="false" customHeight="false" outlineLevel="0" collapsed="false">
      <c r="A199" s="4" t="s">
        <v>474</v>
      </c>
      <c r="B199" s="4" t="s">
        <v>119</v>
      </c>
      <c r="C199" s="4" t="s">
        <v>228</v>
      </c>
      <c r="D199" s="7" t="s">
        <v>475</v>
      </c>
      <c r="E199" s="4" t="s">
        <v>33</v>
      </c>
      <c r="F199" s="4" t="s">
        <v>4</v>
      </c>
      <c r="G199" s="8" t="n">
        <v>13378.1457843781</v>
      </c>
      <c r="H199" s="6" t="n">
        <f aca="false">IF(G199="","",G199/SUMIFS($G$2:$G$1122,$F$2:$F$1122,"Served"))</f>
        <v>0.000642229456583866</v>
      </c>
      <c r="I199" s="4" t="n">
        <f aca="false">IF(G199="","",RANK(G199,$G$2:$G$1122,0))</f>
        <v>198</v>
      </c>
      <c r="J199" s="4" t="s">
        <v>34</v>
      </c>
    </row>
    <row r="200" customFormat="false" ht="15" hidden="false" customHeight="false" outlineLevel="0" collapsed="false">
      <c r="A200" s="4" t="s">
        <v>476</v>
      </c>
      <c r="B200" s="4" t="s">
        <v>30</v>
      </c>
      <c r="C200" s="4" t="s">
        <v>110</v>
      </c>
      <c r="D200" s="7" t="s">
        <v>477</v>
      </c>
      <c r="E200" s="4" t="s">
        <v>33</v>
      </c>
      <c r="F200" s="4" t="s">
        <v>4</v>
      </c>
      <c r="G200" s="8" t="n">
        <v>13331.1441231966</v>
      </c>
      <c r="H200" s="6" t="n">
        <f aca="false">IF(G200="","",G200/SUMIFS($G$2:$G$1122,$F$2:$F$1122,"Served"))</f>
        <v>0.000639973101196085</v>
      </c>
      <c r="I200" s="4" t="n">
        <f aca="false">IF(G200="","",RANK(G200,$G$2:$G$1122,0))</f>
        <v>199</v>
      </c>
      <c r="J200" s="4" t="s">
        <v>34</v>
      </c>
    </row>
    <row r="201" customFormat="false" ht="15" hidden="false" customHeight="false" outlineLevel="0" collapsed="false">
      <c r="A201" s="4" t="s">
        <v>478</v>
      </c>
      <c r="B201" s="4" t="s">
        <v>187</v>
      </c>
      <c r="C201" s="4" t="s">
        <v>188</v>
      </c>
      <c r="D201" s="7" t="s">
        <v>479</v>
      </c>
      <c r="E201" s="4" t="s">
        <v>190</v>
      </c>
      <c r="F201" s="4" t="s">
        <v>4</v>
      </c>
      <c r="G201" s="8" t="n">
        <v>12952.0077494979</v>
      </c>
      <c r="H201" s="6" t="n">
        <f aca="false">IF(G201="","",G201/SUMIFS($G$2:$G$1122,$F$2:$F$1122,"Served"))</f>
        <v>0.000621772331733995</v>
      </c>
      <c r="I201" s="4" t="n">
        <f aca="false">IF(G201="","",RANK(G201,$G$2:$G$1122,0))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187</v>
      </c>
      <c r="C202" s="4" t="s">
        <v>188</v>
      </c>
      <c r="D202" s="7" t="s">
        <v>481</v>
      </c>
      <c r="E202" s="4" t="s">
        <v>190</v>
      </c>
      <c r="F202" s="4" t="s">
        <v>4</v>
      </c>
      <c r="G202" s="8" t="n">
        <v>12917.7958683372</v>
      </c>
      <c r="H202" s="6" t="n">
        <f aca="false">IF(G202="","",G202/SUMIFS($G$2:$G$1122,$F$2:$F$1122,"Served"))</f>
        <v>0.000620129960795547</v>
      </c>
      <c r="I202" s="4" t="n">
        <f aca="false">IF(G202="","",RANK(G202,$G$2:$G$1122,0))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30</v>
      </c>
      <c r="C203" s="4" t="s">
        <v>31</v>
      </c>
      <c r="D203" s="7" t="s">
        <v>483</v>
      </c>
      <c r="E203" s="4" t="s">
        <v>33</v>
      </c>
      <c r="F203" s="4" t="s">
        <v>4</v>
      </c>
      <c r="G203" s="8" t="n">
        <v>12824.7033730745</v>
      </c>
      <c r="H203" s="6" t="n">
        <f aca="false">IF(G203="","",G203/SUMIFS($G$2:$G$1122,$F$2:$F$1122,"Served"))</f>
        <v>0.000615660975062535</v>
      </c>
      <c r="I203" s="4" t="n">
        <f aca="false">IF(G203="","",RANK(G203,$G$2:$G$1122,0))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136</v>
      </c>
      <c r="D204" s="7" t="s">
        <v>485</v>
      </c>
      <c r="E204" s="4" t="s">
        <v>33</v>
      </c>
      <c r="F204" s="4" t="s">
        <v>4</v>
      </c>
      <c r="G204" s="8" t="n">
        <v>12635.1411020756</v>
      </c>
      <c r="H204" s="6" t="n">
        <f aca="false">IF(G204="","",G204/SUMIFS($G$2:$G$1122,$F$2:$F$1122,"Served"))</f>
        <v>0.000606560874327004</v>
      </c>
      <c r="I204" s="4" t="n">
        <f aca="false">IF(G204="","",RANK(G204,$G$2:$G$1122,0))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119</v>
      </c>
      <c r="C205" s="4" t="s">
        <v>163</v>
      </c>
      <c r="D205" s="7" t="s">
        <v>197</v>
      </c>
      <c r="E205" s="4" t="s">
        <v>33</v>
      </c>
      <c r="F205" s="4" t="s">
        <v>4</v>
      </c>
      <c r="G205" s="8" t="n">
        <v>12633.6243900061</v>
      </c>
      <c r="H205" s="6" t="n">
        <f aca="false">IF(G205="","",G205/SUMIFS($G$2:$G$1122,$F$2:$F$1122,"Served"))</f>
        <v>0.000606488063252592</v>
      </c>
      <c r="I205" s="4" t="n">
        <f aca="false">IF(G205="","",RANK(G205,$G$2:$G$1122,0))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131</v>
      </c>
      <c r="C206" s="4" t="s">
        <v>132</v>
      </c>
      <c r="D206" s="7" t="s">
        <v>488</v>
      </c>
      <c r="E206" s="4" t="s">
        <v>134</v>
      </c>
      <c r="F206" s="4" t="s">
        <v>4</v>
      </c>
      <c r="G206" s="8" t="n">
        <v>12606.628639698</v>
      </c>
      <c r="H206" s="6" t="n">
        <f aca="false">IF(G206="","",G206/SUMIFS($G$2:$G$1122,$F$2:$F$1122,"Served"))</f>
        <v>0.000605192108915583</v>
      </c>
      <c r="I206" s="4" t="n">
        <f aca="false">IF(G206="","",RANK(G206,$G$2:$G$1122,0))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223</v>
      </c>
      <c r="C207" s="4" t="s">
        <v>224</v>
      </c>
      <c r="D207" s="7" t="s">
        <v>490</v>
      </c>
      <c r="E207" s="4" t="s">
        <v>226</v>
      </c>
      <c r="F207" s="4" t="s">
        <v>4</v>
      </c>
      <c r="G207" s="8" t="n">
        <v>12546.6974820495</v>
      </c>
      <c r="H207" s="6" t="n">
        <f aca="false">IF(G207="","",G207/SUMIFS($G$2:$G$1122,$F$2:$F$1122,"Served"))</f>
        <v>0.000602315061869644</v>
      </c>
      <c r="I207" s="4" t="n">
        <f aca="false">IF(G207="","",RANK(G207,$G$2:$G$1122,0))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107</v>
      </c>
      <c r="D208" s="7" t="s">
        <v>492</v>
      </c>
      <c r="E208" s="4" t="s">
        <v>33</v>
      </c>
      <c r="F208" s="4" t="s">
        <v>4</v>
      </c>
      <c r="G208" s="8" t="n">
        <v>12509.8529360294</v>
      </c>
      <c r="H208" s="6" t="n">
        <f aca="false">IF(G208="","",G208/SUMIFS($G$2:$G$1122,$F$2:$F$1122,"Served"))</f>
        <v>0.000600546307578137</v>
      </c>
      <c r="I208" s="4" t="n">
        <f aca="false">IF(G208="","",RANK(G208,$G$2:$G$1122,0))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48</v>
      </c>
      <c r="C209" s="4" t="s">
        <v>49</v>
      </c>
      <c r="D209" s="7" t="s">
        <v>494</v>
      </c>
      <c r="E209" s="4" t="s">
        <v>51</v>
      </c>
      <c r="F209" s="4" t="s">
        <v>4</v>
      </c>
      <c r="G209" s="8" t="n">
        <v>12347.8200157881</v>
      </c>
      <c r="H209" s="6" t="n">
        <f aca="false">IF(G209="","",G209/SUMIFS($G$2:$G$1122,$F$2:$F$1122,"Served"))</f>
        <v>0.000592767777130606</v>
      </c>
      <c r="I209" s="4" t="n">
        <f aca="false">IF(G209="","",RANK(G209,$G$2:$G$1122,0))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48</v>
      </c>
      <c r="C210" s="4" t="s">
        <v>49</v>
      </c>
      <c r="D210" s="7" t="s">
        <v>496</v>
      </c>
      <c r="E210" s="4" t="s">
        <v>51</v>
      </c>
      <c r="F210" s="4" t="s">
        <v>4</v>
      </c>
      <c r="G210" s="8" t="n">
        <v>12252.3310045004</v>
      </c>
      <c r="H210" s="6" t="n">
        <f aca="false">IF(G210="","",G210/SUMIFS($G$2:$G$1122,$F$2:$F$1122,"Served"))</f>
        <v>0.00058818374457352</v>
      </c>
      <c r="I210" s="4" t="n">
        <f aca="false">IF(G210="","",RANK(G210,$G$2:$G$1122,0))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119</v>
      </c>
      <c r="C211" s="4" t="s">
        <v>163</v>
      </c>
      <c r="D211" s="7" t="s">
        <v>498</v>
      </c>
      <c r="E211" s="4" t="s">
        <v>33</v>
      </c>
      <c r="F211" s="4" t="s">
        <v>4</v>
      </c>
      <c r="G211" s="8" t="n">
        <v>12149.4253743887</v>
      </c>
      <c r="H211" s="6" t="n">
        <f aca="false">IF(G211="","",G211/SUMIFS($G$2:$G$1122,$F$2:$F$1122,"Served"))</f>
        <v>0.000583243670816571</v>
      </c>
      <c r="I211" s="4" t="n">
        <f aca="false">IF(G211="","",RANK(G211,$G$2:$G$1122,0))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374</v>
      </c>
      <c r="D212" s="7" t="s">
        <v>500</v>
      </c>
      <c r="E212" s="4" t="s">
        <v>33</v>
      </c>
      <c r="F212" s="4" t="s">
        <v>4</v>
      </c>
      <c r="G212" s="8" t="n">
        <v>12054.016028285</v>
      </c>
      <c r="H212" s="6" t="n">
        <f aca="false">IF(G212="","",G212/SUMIFS($G$2:$G$1122,$F$2:$F$1122,"Served"))</f>
        <v>0.000578663462655532</v>
      </c>
      <c r="I212" s="4" t="n">
        <f aca="false">IF(G212="","",RANK(G212,$G$2:$G$1122,0))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131</v>
      </c>
      <c r="C213" s="4" t="s">
        <v>132</v>
      </c>
      <c r="D213" s="7" t="s">
        <v>502</v>
      </c>
      <c r="E213" s="4" t="s">
        <v>134</v>
      </c>
      <c r="F213" s="4" t="s">
        <v>4</v>
      </c>
      <c r="G213" s="8" t="n">
        <v>11921.4993364811</v>
      </c>
      <c r="H213" s="6" t="n">
        <f aca="false">IF(G213="","",G213/SUMIFS($G$2:$G$1122,$F$2:$F$1122,"Served"))</f>
        <v>0.00057230188427709</v>
      </c>
      <c r="I213" s="4" t="n">
        <f aca="false">IF(G213="","",RANK(G213,$G$2:$G$1122,0))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119</v>
      </c>
      <c r="C214" s="4" t="s">
        <v>169</v>
      </c>
      <c r="D214" s="7" t="s">
        <v>504</v>
      </c>
      <c r="E214" s="4" t="s">
        <v>33</v>
      </c>
      <c r="F214" s="4" t="s">
        <v>4</v>
      </c>
      <c r="G214" s="8" t="n">
        <v>11892.6282551885</v>
      </c>
      <c r="H214" s="6" t="n">
        <f aca="false">IF(G214="","",G214/SUMIFS($G$2:$G$1122,$F$2:$F$1122,"Served"))</f>
        <v>0.00057091590305455</v>
      </c>
      <c r="I214" s="4" t="n">
        <f aca="false">IF(G214="","",RANK(G214,$G$2:$G$1122,0))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41</v>
      </c>
      <c r="C215" s="4" t="s">
        <v>42</v>
      </c>
      <c r="D215" s="7" t="s">
        <v>506</v>
      </c>
      <c r="E215" s="4" t="s">
        <v>44</v>
      </c>
      <c r="F215" s="4" t="s">
        <v>4</v>
      </c>
      <c r="G215" s="8" t="n">
        <v>11878.6549962759</v>
      </c>
      <c r="H215" s="6" t="n">
        <f aca="false">IF(G215="","",G215/SUMIFS($G$2:$G$1122,$F$2:$F$1122,"Served"))</f>
        <v>0.000570245104677648</v>
      </c>
      <c r="I215" s="4" t="n">
        <f aca="false">IF(G215="","",RANK(G215,$G$2:$G$1122,0))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119</v>
      </c>
      <c r="C216" s="4" t="s">
        <v>163</v>
      </c>
      <c r="D216" s="7" t="s">
        <v>508</v>
      </c>
      <c r="E216" s="4" t="s">
        <v>33</v>
      </c>
      <c r="F216" s="4" t="s">
        <v>4</v>
      </c>
      <c r="G216" s="8" t="n">
        <v>11851.9956160784</v>
      </c>
      <c r="H216" s="6" t="n">
        <f aca="false">IF(G216="","",G216/SUMIFS($G$2:$G$1122,$F$2:$F$1122,"Served"))</f>
        <v>0.000568965298078656</v>
      </c>
      <c r="I216" s="4" t="n">
        <f aca="false">IF(G216="","",RANK(G216,$G$2:$G$1122,0))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187</v>
      </c>
      <c r="C217" s="4" t="s">
        <v>188</v>
      </c>
      <c r="D217" s="7" t="s">
        <v>510</v>
      </c>
      <c r="E217" s="4" t="s">
        <v>190</v>
      </c>
      <c r="F217" s="4" t="s">
        <v>4</v>
      </c>
      <c r="G217" s="8" t="n">
        <v>11719.9348180294</v>
      </c>
      <c r="H217" s="6" t="n">
        <f aca="false">IF(G217="","",G217/SUMIFS($G$2:$G$1122,$F$2:$F$1122,"Served"))</f>
        <v>0.000562625605274137</v>
      </c>
      <c r="I217" s="4" t="n">
        <f aca="false">IF(G217="","",RANK(G217,$G$2:$G$1122,0))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11565.2602488995</v>
      </c>
      <c r="H218" s="6" t="n">
        <f aca="false">IF(G218="","",G218/SUMIFS($G$2:$G$1122,$F$2:$F$1122,"Served"))</f>
        <v>0.000555200318834543</v>
      </c>
      <c r="I218" s="4" t="n">
        <f aca="false">IF(G218="","",RANK(G218,$G$2:$G$1122,0))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48</v>
      </c>
      <c r="C219" s="4" t="s">
        <v>49</v>
      </c>
      <c r="D219" s="7" t="s">
        <v>514</v>
      </c>
      <c r="E219" s="4" t="s">
        <v>51</v>
      </c>
      <c r="F219" s="4" t="s">
        <v>4</v>
      </c>
      <c r="G219" s="8" t="n">
        <v>11562.1897364855</v>
      </c>
      <c r="H219" s="6" t="n">
        <f aca="false">IF(G219="","",G219/SUMIFS($G$2:$G$1122,$F$2:$F$1122,"Served"))</f>
        <v>0.000555052916231009</v>
      </c>
      <c r="I219" s="4" t="n">
        <f aca="false">IF(G219="","",RANK(G219,$G$2:$G$1122,0))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174</v>
      </c>
      <c r="D220" s="7" t="s">
        <v>516</v>
      </c>
      <c r="E220" s="4" t="s">
        <v>33</v>
      </c>
      <c r="F220" s="4" t="s">
        <v>4</v>
      </c>
      <c r="G220" s="8" t="n">
        <v>11555.3982657194</v>
      </c>
      <c r="H220" s="6" t="n">
        <f aca="false">IF(G220="","",G220/SUMIFS($G$2:$G$1122,$F$2:$F$1122,"Served"))</f>
        <v>0.000554726885804237</v>
      </c>
      <c r="I220" s="4" t="n">
        <f aca="false">IF(G220="","",RANK(G220,$G$2:$G$1122,0))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48</v>
      </c>
      <c r="C221" s="4" t="s">
        <v>49</v>
      </c>
      <c r="D221" s="7" t="s">
        <v>518</v>
      </c>
      <c r="E221" s="4" t="s">
        <v>51</v>
      </c>
      <c r="F221" s="4" t="s">
        <v>4</v>
      </c>
      <c r="G221" s="8" t="n">
        <v>11490.6738964319</v>
      </c>
      <c r="H221" s="6" t="n">
        <f aca="false">IF(G221="","",G221/SUMIFS($G$2:$G$1122,$F$2:$F$1122,"Served"))</f>
        <v>0.000551619736488838</v>
      </c>
      <c r="I221" s="4" t="n">
        <f aca="false">IF(G221="","",RANK(G221,$G$2:$G$1122,0))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119</v>
      </c>
      <c r="C222" s="4" t="s">
        <v>169</v>
      </c>
      <c r="D222" s="7" t="s">
        <v>520</v>
      </c>
      <c r="E222" s="4" t="s">
        <v>33</v>
      </c>
      <c r="F222" s="4" t="s">
        <v>4</v>
      </c>
      <c r="G222" s="8" t="n">
        <v>11436.8793066144</v>
      </c>
      <c r="H222" s="6" t="n">
        <f aca="false">IF(G222="","",G222/SUMIFS($G$2:$G$1122,$F$2:$F$1122,"Served"))</f>
        <v>0.000549037280687976</v>
      </c>
      <c r="I222" s="4" t="n">
        <f aca="false">IF(G222="","",RANK(G222,$G$2:$G$1122,0))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187</v>
      </c>
      <c r="C223" s="4" t="s">
        <v>188</v>
      </c>
      <c r="D223" s="7" t="s">
        <v>522</v>
      </c>
      <c r="E223" s="4" t="s">
        <v>190</v>
      </c>
      <c r="F223" s="4" t="s">
        <v>4</v>
      </c>
      <c r="G223" s="8" t="n">
        <v>11435.2658883333</v>
      </c>
      <c r="H223" s="6" t="n">
        <f aca="false">IF(G223="","",G223/SUMIFS($G$2:$G$1122,$F$2:$F$1122,"Served"))</f>
        <v>0.000548959827148255</v>
      </c>
      <c r="I223" s="4" t="n">
        <f aca="false">IF(G223="","",RANK(G223,$G$2:$G$1122,0))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11225.0493034124</v>
      </c>
      <c r="H224" s="6" t="n">
        <f aca="false">IF(G224="","",G224/SUMIFS($G$2:$G$1122,$F$2:$F$1122,"Served"))</f>
        <v>0.000538868198212928</v>
      </c>
      <c r="I224" s="4" t="n">
        <f aca="false">IF(G224="","",RANK(G224,$G$2:$G$1122,0))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41</v>
      </c>
      <c r="C225" s="4" t="s">
        <v>42</v>
      </c>
      <c r="D225" s="7" t="s">
        <v>526</v>
      </c>
      <c r="E225" s="4" t="s">
        <v>44</v>
      </c>
      <c r="F225" s="4" t="s">
        <v>4</v>
      </c>
      <c r="G225" s="8" t="n">
        <v>11090.3053269386</v>
      </c>
      <c r="H225" s="6" t="n">
        <f aca="false">IF(G225="","",G225/SUMIFS($G$2:$G$1122,$F$2:$F$1122,"Served"))</f>
        <v>0.000532399697107956</v>
      </c>
      <c r="I225" s="4" t="n">
        <f aca="false">IF(G225="","",RANK(G225,$G$2:$G$1122,0))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48</v>
      </c>
      <c r="C226" s="4" t="s">
        <v>49</v>
      </c>
      <c r="D226" s="7" t="s">
        <v>528</v>
      </c>
      <c r="E226" s="4" t="s">
        <v>51</v>
      </c>
      <c r="F226" s="4" t="s">
        <v>4</v>
      </c>
      <c r="G226" s="8" t="n">
        <v>10930.6229117513</v>
      </c>
      <c r="H226" s="6" t="n">
        <f aca="false">IF(G226="","",G226/SUMIFS($G$2:$G$1122,$F$2:$F$1122,"Served"))</f>
        <v>0.000524734004688044</v>
      </c>
      <c r="I226" s="4" t="n">
        <f aca="false">IF(G226="","",RANK(G226,$G$2:$G$1122,0))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231</v>
      </c>
      <c r="D227" s="7" t="s">
        <v>530</v>
      </c>
      <c r="E227" s="4" t="s">
        <v>33</v>
      </c>
      <c r="F227" s="4" t="s">
        <v>4</v>
      </c>
      <c r="G227" s="8" t="n">
        <v>10929.0456445217</v>
      </c>
      <c r="H227" s="6" t="n">
        <f aca="false">IF(G227="","",G227/SUMIFS($G$2:$G$1122,$F$2:$F$1122,"Served"))</f>
        <v>0.000524658286610812</v>
      </c>
      <c r="I227" s="4" t="n">
        <f aca="false">IF(G227="","",RANK(G227,$G$2:$G$1122,0))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187</v>
      </c>
      <c r="C228" s="4" t="s">
        <v>188</v>
      </c>
      <c r="D228" s="7" t="s">
        <v>532</v>
      </c>
      <c r="E228" s="4" t="s">
        <v>190</v>
      </c>
      <c r="F228" s="4" t="s">
        <v>4</v>
      </c>
      <c r="G228" s="8" t="n">
        <v>10849.647792697</v>
      </c>
      <c r="H228" s="6" t="n">
        <f aca="false">IF(G228="","",G228/SUMIFS($G$2:$G$1122,$F$2:$F$1122,"Served"))</f>
        <v>0.000520846724077917</v>
      </c>
      <c r="I228" s="4" t="n">
        <f aca="false">IF(G228="","",RANK(G228,$G$2:$G$1122,0))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187</v>
      </c>
      <c r="C229" s="4" t="s">
        <v>188</v>
      </c>
      <c r="D229" s="7" t="s">
        <v>534</v>
      </c>
      <c r="E229" s="4" t="s">
        <v>190</v>
      </c>
      <c r="F229" s="4" t="s">
        <v>4</v>
      </c>
      <c r="G229" s="8" t="n">
        <v>10729.9729130864</v>
      </c>
      <c r="H229" s="6" t="n">
        <f aca="false">IF(G229="","",G229/SUMIFS($G$2:$G$1122,$F$2:$F$1122,"Served"))</f>
        <v>0.000515101627998252</v>
      </c>
      <c r="I229" s="4" t="n">
        <f aca="false">IF(G229="","",RANK(G229,$G$2:$G$1122,0))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119</v>
      </c>
      <c r="C230" s="4" t="s">
        <v>286</v>
      </c>
      <c r="D230" s="7" t="s">
        <v>536</v>
      </c>
      <c r="E230" s="4" t="s">
        <v>33</v>
      </c>
      <c r="F230" s="4" t="s">
        <v>4</v>
      </c>
      <c r="G230" s="8" t="n">
        <v>10654.2142131925</v>
      </c>
      <c r="H230" s="6" t="n">
        <f aca="false">IF(G230="","",G230/SUMIFS($G$2:$G$1122,$F$2:$F$1122,"Served"))</f>
        <v>0.000511464766100603</v>
      </c>
      <c r="I230" s="4" t="n">
        <f aca="false">IF(G230="","",RANK(G230,$G$2:$G$1122,0))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223</v>
      </c>
      <c r="C231" s="4" t="s">
        <v>224</v>
      </c>
      <c r="D231" s="7" t="s">
        <v>538</v>
      </c>
      <c r="E231" s="4" t="s">
        <v>226</v>
      </c>
      <c r="F231" s="4" t="s">
        <v>4</v>
      </c>
      <c r="G231" s="8" t="n">
        <v>10498.1071428657</v>
      </c>
      <c r="H231" s="6" t="n">
        <f aca="false">IF(G231="","",G231/SUMIFS($G$2:$G$1122,$F$2:$F$1122,"Served"))</f>
        <v>0.000503970711202357</v>
      </c>
      <c r="I231" s="4" t="n">
        <f aca="false">IF(G231="","",RANK(G231,$G$2:$G$1122,0))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119</v>
      </c>
      <c r="C232" s="4" t="s">
        <v>166</v>
      </c>
      <c r="D232" s="7" t="s">
        <v>540</v>
      </c>
      <c r="E232" s="4" t="s">
        <v>33</v>
      </c>
      <c r="F232" s="4" t="s">
        <v>4</v>
      </c>
      <c r="G232" s="8" t="n">
        <v>10456.9697505832</v>
      </c>
      <c r="H232" s="6" t="n">
        <f aca="false">IF(G232="","",G232/SUMIFS($G$2:$G$1122,$F$2:$F$1122,"Served"))</f>
        <v>0.000501995875113957</v>
      </c>
      <c r="I232" s="4" t="n">
        <f aca="false">IF(G232="","",RANK(G232,$G$2:$G$1122,0))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110</v>
      </c>
      <c r="D233" s="7" t="s">
        <v>542</v>
      </c>
      <c r="E233" s="4" t="s">
        <v>33</v>
      </c>
      <c r="F233" s="4" t="s">
        <v>4</v>
      </c>
      <c r="G233" s="8" t="n">
        <v>10320.3438482285</v>
      </c>
      <c r="H233" s="6" t="n">
        <f aca="false">IF(G233="","",G233/SUMIFS($G$2:$G$1122,$F$2:$F$1122,"Served"))</f>
        <v>0.000495437030529754</v>
      </c>
      <c r="I233" s="4" t="n">
        <f aca="false">IF(G233="","",RANK(G233,$G$2:$G$1122,0))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544</v>
      </c>
      <c r="D234" s="7" t="s">
        <v>545</v>
      </c>
      <c r="E234" s="4" t="s">
        <v>33</v>
      </c>
      <c r="F234" s="4" t="s">
        <v>4</v>
      </c>
      <c r="G234" s="8" t="n">
        <v>10284.9094617963</v>
      </c>
      <c r="H234" s="6" t="n">
        <f aca="false">IF(G234="","",G234/SUMIFS($G$2:$G$1122,$F$2:$F$1122,"Served"))</f>
        <v>0.00049373597216864</v>
      </c>
      <c r="I234" s="4" t="n">
        <f aca="false">IF(G234="","",RANK(G234,$G$2:$G$1122,0))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119</v>
      </c>
      <c r="C235" s="4" t="s">
        <v>286</v>
      </c>
      <c r="D235" s="7" t="s">
        <v>547</v>
      </c>
      <c r="E235" s="4" t="s">
        <v>33</v>
      </c>
      <c r="F235" s="4" t="s">
        <v>4</v>
      </c>
      <c r="G235" s="8" t="n">
        <v>10242.5192711353</v>
      </c>
      <c r="H235" s="6" t="n">
        <f aca="false">IF(G235="","",G235/SUMIFS($G$2:$G$1122,$F$2:$F$1122,"Served"))</f>
        <v>0.000491700994410776</v>
      </c>
      <c r="I235" s="4" t="n">
        <f aca="false">IF(G235="","",RANK(G235,$G$2:$G$1122,0))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48</v>
      </c>
      <c r="C236" s="4" t="s">
        <v>49</v>
      </c>
      <c r="D236" s="7" t="s">
        <v>549</v>
      </c>
      <c r="E236" s="4" t="s">
        <v>51</v>
      </c>
      <c r="F236" s="4" t="s">
        <v>4</v>
      </c>
      <c r="G236" s="8" t="n">
        <v>10129.5151253343</v>
      </c>
      <c r="H236" s="6" t="n">
        <f aca="false">IF(G236="","",G236/SUMIFS($G$2:$G$1122,$F$2:$F$1122,"Served"))</f>
        <v>0.000486276132675879</v>
      </c>
      <c r="I236" s="4" t="n">
        <f aca="false">IF(G236="","",RANK(G236,$G$2:$G$1122,0))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30</v>
      </c>
      <c r="C237" s="4" t="s">
        <v>374</v>
      </c>
      <c r="D237" s="7" t="s">
        <v>551</v>
      </c>
      <c r="E237" s="4" t="s">
        <v>33</v>
      </c>
      <c r="F237" s="4" t="s">
        <v>4</v>
      </c>
      <c r="G237" s="8" t="n">
        <v>10086.5281604528</v>
      </c>
      <c r="H237" s="6" t="n">
        <f aca="false">IF(G237="","",G237/SUMIFS($G$2:$G$1122,$F$2:$F$1122,"Served"))</f>
        <v>0.000484212506255526</v>
      </c>
      <c r="I237" s="4" t="n">
        <f aca="false">IF(G237="","",RANK(G237,$G$2:$G$1122,0))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223</v>
      </c>
      <c r="C238" s="4" t="s">
        <v>224</v>
      </c>
      <c r="D238" s="7" t="s">
        <v>553</v>
      </c>
      <c r="E238" s="4" t="s">
        <v>226</v>
      </c>
      <c r="F238" s="4" t="s">
        <v>4</v>
      </c>
      <c r="G238" s="8" t="n">
        <v>10081.9748191237</v>
      </c>
      <c r="H238" s="6" t="n">
        <f aca="false">IF(G238="","",G238/SUMIFS($G$2:$G$1122,$F$2:$F$1122,"Served"))</f>
        <v>0.000483993919167706</v>
      </c>
      <c r="I238" s="4" t="n">
        <f aca="false">IF(G238="","",RANK(G238,$G$2:$G$1122,0))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341</v>
      </c>
      <c r="D239" s="7" t="s">
        <v>555</v>
      </c>
      <c r="E239" s="4" t="s">
        <v>33</v>
      </c>
      <c r="F239" s="4" t="s">
        <v>4</v>
      </c>
      <c r="G239" s="8" t="n">
        <v>10073.8061892986</v>
      </c>
      <c r="H239" s="6" t="n">
        <f aca="false">IF(G239="","",G239/SUMIFS($G$2:$G$1122,$F$2:$F$1122,"Served"))</f>
        <v>0.000483601777029463</v>
      </c>
      <c r="I239" s="4" t="n">
        <f aca="false">IF(G239="","",RANK(G239,$G$2:$G$1122,0))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100</v>
      </c>
      <c r="C240" s="4" t="s">
        <v>101</v>
      </c>
      <c r="D240" s="7" t="s">
        <v>557</v>
      </c>
      <c r="E240" s="4" t="s">
        <v>103</v>
      </c>
      <c r="F240" s="4" t="s">
        <v>4</v>
      </c>
      <c r="G240" s="8" t="n">
        <v>10064.5297916532</v>
      </c>
      <c r="H240" s="6" t="n">
        <f aca="false">IF(G240="","",G240/SUMIFS($G$2:$G$1122,$F$2:$F$1122,"Served"))</f>
        <v>0.000483156455539106</v>
      </c>
      <c r="I240" s="4" t="n">
        <f aca="false">IF(G240="","",RANK(G240,$G$2:$G$1122,0))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30</v>
      </c>
      <c r="C241" s="4" t="s">
        <v>31</v>
      </c>
      <c r="D241" s="7" t="s">
        <v>559</v>
      </c>
      <c r="E241" s="4" t="s">
        <v>33</v>
      </c>
      <c r="F241" s="4" t="s">
        <v>4</v>
      </c>
      <c r="G241" s="8" t="n">
        <v>9811.84012746811</v>
      </c>
      <c r="H241" s="6" t="n">
        <f aca="false">IF(G241="","",G241/SUMIFS($G$2:$G$1122,$F$2:$F$1122,"Served"))</f>
        <v>0.000471025869706844</v>
      </c>
      <c r="I241" s="4" t="n">
        <f aca="false">IF(G241="","",RANK(G241,$G$2:$G$1122,0))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187</v>
      </c>
      <c r="C242" s="4" t="s">
        <v>188</v>
      </c>
      <c r="D242" s="7" t="s">
        <v>561</v>
      </c>
      <c r="E242" s="4" t="s">
        <v>190</v>
      </c>
      <c r="F242" s="4" t="s">
        <v>4</v>
      </c>
      <c r="G242" s="8" t="n">
        <v>9808.95548003912</v>
      </c>
      <c r="H242" s="6" t="n">
        <f aca="false">IF(G242="","",G242/SUMIFS($G$2:$G$1122,$F$2:$F$1122,"Served"))</f>
        <v>0.000470887389712634</v>
      </c>
      <c r="I242" s="4" t="n">
        <f aca="false">IF(G242="","",RANK(G242,$G$2:$G$1122,0))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145</v>
      </c>
      <c r="C243" s="4" t="s">
        <v>146</v>
      </c>
      <c r="D243" s="7" t="s">
        <v>563</v>
      </c>
      <c r="E243" s="4" t="s">
        <v>148</v>
      </c>
      <c r="F243" s="4" t="s">
        <v>4</v>
      </c>
      <c r="G243" s="8" t="n">
        <v>9762.00110399723</v>
      </c>
      <c r="H243" s="6" t="n">
        <f aca="false">IF(G243="","",G243/SUMIFS($G$2:$G$1122,$F$2:$F$1122,"Served"))</f>
        <v>0.000468633304288865</v>
      </c>
      <c r="I243" s="4" t="n">
        <f aca="false">IF(G243="","",RANK(G243,$G$2:$G$1122,0))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48</v>
      </c>
      <c r="C244" s="4" t="s">
        <v>49</v>
      </c>
      <c r="D244" s="7" t="s">
        <v>565</v>
      </c>
      <c r="E244" s="4" t="s">
        <v>51</v>
      </c>
      <c r="F244" s="4" t="s">
        <v>4</v>
      </c>
      <c r="G244" s="8" t="n">
        <v>9712.53822010756</v>
      </c>
      <c r="H244" s="6" t="n">
        <f aca="false">IF(G244="","",G244/SUMIFS($G$2:$G$1122,$F$2:$F$1122,"Served"))</f>
        <v>0.000466258795776734</v>
      </c>
      <c r="I244" s="4" t="n">
        <f aca="false">IF(G244="","",RANK(G244,$G$2:$G$1122,0))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187</v>
      </c>
      <c r="C245" s="4" t="s">
        <v>188</v>
      </c>
      <c r="D245" s="7" t="s">
        <v>567</v>
      </c>
      <c r="E245" s="4" t="s">
        <v>190</v>
      </c>
      <c r="F245" s="4" t="s">
        <v>4</v>
      </c>
      <c r="G245" s="8" t="n">
        <v>9694.51009243727</v>
      </c>
      <c r="H245" s="6" t="n">
        <f aca="false">IF(G245="","",G245/SUMIFS($G$2:$G$1122,$F$2:$F$1122,"Served"))</f>
        <v>0.000465393339918835</v>
      </c>
      <c r="I245" s="4" t="n">
        <f aca="false">IF(G245="","",RANK(G245,$G$2:$G$1122,0))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119</v>
      </c>
      <c r="C246" s="4" t="s">
        <v>216</v>
      </c>
      <c r="D246" s="7" t="s">
        <v>569</v>
      </c>
      <c r="E246" s="4" t="s">
        <v>33</v>
      </c>
      <c r="F246" s="4" t="s">
        <v>4</v>
      </c>
      <c r="G246" s="8" t="n">
        <v>9576.35227030516</v>
      </c>
      <c r="H246" s="6" t="n">
        <f aca="false">IF(G246="","",G246/SUMIFS($G$2:$G$1122,$F$2:$F$1122,"Served"))</f>
        <v>0.000459721071495236</v>
      </c>
      <c r="I246" s="4" t="n">
        <f aca="false">IF(G246="","",RANK(G246,$G$2:$G$1122,0))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30</v>
      </c>
      <c r="C247" s="4" t="s">
        <v>110</v>
      </c>
      <c r="D247" s="7" t="s">
        <v>571</v>
      </c>
      <c r="E247" s="4" t="s">
        <v>33</v>
      </c>
      <c r="F247" s="4" t="s">
        <v>4</v>
      </c>
      <c r="G247" s="8" t="n">
        <v>9537.31646060944</v>
      </c>
      <c r="H247" s="6" t="n">
        <f aca="false">IF(G247="","",G247/SUMIFS($G$2:$G$1122,$F$2:$F$1122,"Served"))</f>
        <v>0.000457847123696172</v>
      </c>
      <c r="I247" s="4" t="n">
        <f aca="false">IF(G247="","",RANK(G247,$G$2:$G$1122,0))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223</v>
      </c>
      <c r="C248" s="4" t="s">
        <v>224</v>
      </c>
      <c r="D248" s="7" t="s">
        <v>573</v>
      </c>
      <c r="E248" s="4" t="s">
        <v>226</v>
      </c>
      <c r="F248" s="4" t="s">
        <v>4</v>
      </c>
      <c r="G248" s="8" t="n">
        <v>9473.10171109438</v>
      </c>
      <c r="H248" s="6" t="n">
        <f aca="false">IF(G248="","",G248/SUMIFS($G$2:$G$1122,$F$2:$F$1122,"Served"))</f>
        <v>0.000454764439118621</v>
      </c>
      <c r="I248" s="4" t="n">
        <f aca="false">IF(G248="","",RANK(G248,$G$2:$G$1122,0))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131</v>
      </c>
      <c r="C249" s="4" t="s">
        <v>132</v>
      </c>
      <c r="D249" s="7" t="s">
        <v>575</v>
      </c>
      <c r="E249" s="4" t="s">
        <v>134</v>
      </c>
      <c r="F249" s="4" t="s">
        <v>4</v>
      </c>
      <c r="G249" s="8" t="n">
        <v>9465.46067595482</v>
      </c>
      <c r="H249" s="6" t="n">
        <f aca="false">IF(G249="","",G249/SUMIFS($G$2:$G$1122,$F$2:$F$1122,"Served"))</f>
        <v>0.000454397624619474</v>
      </c>
      <c r="I249" s="4" t="n">
        <f aca="false">IF(G249="","",RANK(G249,$G$2:$G$1122,0))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223</v>
      </c>
      <c r="C250" s="4" t="s">
        <v>224</v>
      </c>
      <c r="D250" s="7" t="s">
        <v>577</v>
      </c>
      <c r="E250" s="4" t="s">
        <v>226</v>
      </c>
      <c r="F250" s="4" t="s">
        <v>4</v>
      </c>
      <c r="G250" s="8" t="n">
        <v>9448.54155415297</v>
      </c>
      <c r="H250" s="6" t="n">
        <f aca="false">IF(G250="","",G250/SUMIFS($G$2:$G$1122,$F$2:$F$1122,"Served"))</f>
        <v>0.000453585407547257</v>
      </c>
      <c r="I250" s="4" t="n">
        <f aca="false">IF(G250="","",RANK(G250,$G$2:$G$1122,0))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9429.77218925953</v>
      </c>
      <c r="H251" s="6" t="n">
        <f aca="false">IF(G251="","",G251/SUMIFS($G$2:$G$1122,$F$2:$F$1122,"Served"))</f>
        <v>0.000452684367955506</v>
      </c>
      <c r="I251" s="4" t="n">
        <f aca="false">IF(G251="","",RANK(G251,$G$2:$G$1122,0))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30</v>
      </c>
      <c r="C252" s="4" t="s">
        <v>31</v>
      </c>
      <c r="D252" s="7" t="s">
        <v>581</v>
      </c>
      <c r="E252" s="4" t="s">
        <v>33</v>
      </c>
      <c r="F252" s="4" t="s">
        <v>4</v>
      </c>
      <c r="G252" s="8" t="n">
        <v>9307.40060055256</v>
      </c>
      <c r="H252" s="6" t="n">
        <f aca="false">IF(G252="","",G252/SUMIFS($G$2:$G$1122,$F$2:$F$1122,"Served"))</f>
        <v>0.000446809814023798</v>
      </c>
      <c r="I252" s="4" t="n">
        <f aca="false">IF(G252="","",RANK(G252,$G$2:$G$1122,0))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100</v>
      </c>
      <c r="C253" s="4" t="s">
        <v>101</v>
      </c>
      <c r="D253" s="7" t="s">
        <v>583</v>
      </c>
      <c r="E253" s="4" t="s">
        <v>103</v>
      </c>
      <c r="F253" s="4" t="s">
        <v>4</v>
      </c>
      <c r="G253" s="8" t="n">
        <v>9287.51392054558</v>
      </c>
      <c r="H253" s="6" t="n">
        <f aca="false">IF(G253="","",G253/SUMIFS($G$2:$G$1122,$F$2:$F$1122,"Served"))</f>
        <v>0.000445855136753869</v>
      </c>
      <c r="I253" s="4" t="n">
        <f aca="false">IF(G253="","",RANK(G253,$G$2:$G$1122,0))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187</v>
      </c>
      <c r="C254" s="4" t="s">
        <v>188</v>
      </c>
      <c r="D254" s="7" t="s">
        <v>585</v>
      </c>
      <c r="E254" s="4" t="s">
        <v>190</v>
      </c>
      <c r="F254" s="4" t="s">
        <v>4</v>
      </c>
      <c r="G254" s="8" t="n">
        <v>9284.17713809013</v>
      </c>
      <c r="H254" s="6" t="n">
        <f aca="false">IF(G254="","",G254/SUMIFS($G$2:$G$1122,$F$2:$F$1122,"Served"))</f>
        <v>0.000445694951626749</v>
      </c>
      <c r="I254" s="4" t="n">
        <f aca="false">IF(G254="","",RANK(G254,$G$2:$G$1122,0))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48</v>
      </c>
      <c r="C255" s="4" t="s">
        <v>49</v>
      </c>
      <c r="D255" s="7" t="s">
        <v>587</v>
      </c>
      <c r="E255" s="4" t="s">
        <v>51</v>
      </c>
      <c r="F255" s="4" t="s">
        <v>4</v>
      </c>
      <c r="G255" s="8" t="n">
        <v>9280.47976100445</v>
      </c>
      <c r="H255" s="6" t="n">
        <f aca="false">IF(G255="","",G255/SUMIFS($G$2:$G$1122,$F$2:$F$1122,"Served"))</f>
        <v>0.000445517455842595</v>
      </c>
      <c r="I255" s="4" t="n">
        <f aca="false">IF(G255="","",RANK(G255,$G$2:$G$1122,0))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145</v>
      </c>
      <c r="C256" s="4" t="s">
        <v>257</v>
      </c>
      <c r="D256" s="7" t="s">
        <v>589</v>
      </c>
      <c r="E256" s="4" t="s">
        <v>148</v>
      </c>
      <c r="F256" s="4" t="s">
        <v>4</v>
      </c>
      <c r="G256" s="8" t="n">
        <v>9199.05249541998</v>
      </c>
      <c r="H256" s="6" t="n">
        <f aca="false">IF(G256="","",G256/SUMIFS($G$2:$G$1122,$F$2:$F$1122,"Served"))</f>
        <v>0.000441608469547313</v>
      </c>
      <c r="I256" s="4" t="n">
        <f aca="false">IF(G256="","",RANK(G256,$G$2:$G$1122,0))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41</v>
      </c>
      <c r="C257" s="4" t="s">
        <v>42</v>
      </c>
      <c r="D257" s="7" t="s">
        <v>591</v>
      </c>
      <c r="E257" s="4" t="s">
        <v>44</v>
      </c>
      <c r="F257" s="4" t="s">
        <v>4</v>
      </c>
      <c r="G257" s="8" t="n">
        <v>8995.66879200935</v>
      </c>
      <c r="H257" s="6" t="n">
        <f aca="false">IF(G257="","",G257/SUMIFS($G$2:$G$1122,$F$2:$F$1122,"Served"))</f>
        <v>0.000431844858997341</v>
      </c>
      <c r="I257" s="4" t="n">
        <f aca="false">IF(G257="","",RANK(G257,$G$2:$G$1122,0))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119</v>
      </c>
      <c r="C258" s="4" t="s">
        <v>456</v>
      </c>
      <c r="D258" s="7" t="s">
        <v>593</v>
      </c>
      <c r="E258" s="4" t="s">
        <v>33</v>
      </c>
      <c r="F258" s="4" t="s">
        <v>4</v>
      </c>
      <c r="G258" s="8" t="n">
        <v>8973.92990982533</v>
      </c>
      <c r="H258" s="6" t="n">
        <f aca="false">IF(G258="","",G258/SUMIFS($G$2:$G$1122,$F$2:$F$1122,"Served"))</f>
        <v>0.000430801265160287</v>
      </c>
      <c r="I258" s="4" t="n">
        <f aca="false">IF(G258="","",RANK(G258,$G$2:$G$1122,0))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187</v>
      </c>
      <c r="C259" s="4" t="s">
        <v>188</v>
      </c>
      <c r="D259" s="7" t="s">
        <v>595</v>
      </c>
      <c r="E259" s="4" t="s">
        <v>190</v>
      </c>
      <c r="F259" s="4" t="s">
        <v>4</v>
      </c>
      <c r="G259" s="8" t="n">
        <v>8754.97626411915</v>
      </c>
      <c r="H259" s="6" t="n">
        <f aca="false">IF(G259="","",G259/SUMIFS($G$2:$G$1122,$F$2:$F$1122,"Served"))</f>
        <v>0.000420290206066945</v>
      </c>
      <c r="I259" s="4" t="n">
        <f aca="false">IF(G259="","",RANK(G259,$G$2:$G$1122,0))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223</v>
      </c>
      <c r="C260" s="4" t="s">
        <v>224</v>
      </c>
      <c r="D260" s="7" t="s">
        <v>597</v>
      </c>
      <c r="E260" s="4" t="s">
        <v>226</v>
      </c>
      <c r="F260" s="4" t="s">
        <v>4</v>
      </c>
      <c r="G260" s="8" t="n">
        <v>8722.13529658318</v>
      </c>
      <c r="H260" s="6" t="n">
        <f aca="false">IF(G260="","",G260/SUMIFS($G$2:$G$1122,$F$2:$F$1122,"Served"))</f>
        <v>0.000418713647022496</v>
      </c>
      <c r="I260" s="4" t="n">
        <f aca="false">IF(G260="","",RANK(G260,$G$2:$G$1122,0))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223</v>
      </c>
      <c r="C261" s="4" t="s">
        <v>224</v>
      </c>
      <c r="D261" s="7" t="s">
        <v>599</v>
      </c>
      <c r="E261" s="4" t="s">
        <v>226</v>
      </c>
      <c r="F261" s="4" t="s">
        <v>4</v>
      </c>
      <c r="G261" s="8" t="n">
        <v>8548.18805396557</v>
      </c>
      <c r="H261" s="6" t="n">
        <f aca="false">IF(G261="","",G261/SUMIFS($G$2:$G$1122,$F$2:$F$1122,"Served"))</f>
        <v>0.000410363159226869</v>
      </c>
      <c r="I261" s="4" t="n">
        <f aca="false">IF(G261="","",RANK(G261,$G$2:$G$1122,0))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145</v>
      </c>
      <c r="C262" s="4" t="s">
        <v>257</v>
      </c>
      <c r="D262" s="7" t="s">
        <v>601</v>
      </c>
      <c r="E262" s="4" t="s">
        <v>148</v>
      </c>
      <c r="F262" s="4" t="s">
        <v>4</v>
      </c>
      <c r="G262" s="8" t="n">
        <v>8462.31629568338</v>
      </c>
      <c r="H262" s="6" t="n">
        <f aca="false">IF(G262="","",G262/SUMIFS($G$2:$G$1122,$F$2:$F$1122,"Served"))</f>
        <v>0.00040624081121644</v>
      </c>
      <c r="I262" s="4" t="n">
        <f aca="false">IF(G262="","",RANK(G262,$G$2:$G$1122,0))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48</v>
      </c>
      <c r="C263" s="4" t="s">
        <v>49</v>
      </c>
      <c r="D263" s="7" t="s">
        <v>603</v>
      </c>
      <c r="E263" s="4" t="s">
        <v>51</v>
      </c>
      <c r="F263" s="4" t="s">
        <v>4</v>
      </c>
      <c r="G263" s="8" t="n">
        <v>8417.90258359909</v>
      </c>
      <c r="H263" s="6" t="n">
        <f aca="false">IF(G263="","",G263/SUMIFS($G$2:$G$1122,$F$2:$F$1122,"Served"))</f>
        <v>0.000404108692562891</v>
      </c>
      <c r="I263" s="4" t="n">
        <f aca="false">IF(G263="","",RANK(G263,$G$2:$G$1122,0))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223</v>
      </c>
      <c r="C264" s="4" t="s">
        <v>224</v>
      </c>
      <c r="D264" s="7" t="s">
        <v>605</v>
      </c>
      <c r="E264" s="4" t="s">
        <v>226</v>
      </c>
      <c r="F264" s="4" t="s">
        <v>4</v>
      </c>
      <c r="G264" s="8" t="n">
        <v>8396.16976153851</v>
      </c>
      <c r="H264" s="6" t="n">
        <f aca="false">IF(G264="","",G264/SUMIFS($G$2:$G$1122,$F$2:$F$1122,"Served"))</f>
        <v>0.000403065389647303</v>
      </c>
      <c r="I264" s="4" t="n">
        <f aca="false">IF(G264="","",RANK(G264,$G$2:$G$1122,0))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119</v>
      </c>
      <c r="C265" s="4" t="s">
        <v>456</v>
      </c>
      <c r="D265" s="7" t="s">
        <v>607</v>
      </c>
      <c r="E265" s="4" t="s">
        <v>33</v>
      </c>
      <c r="F265" s="4" t="s">
        <v>4</v>
      </c>
      <c r="G265" s="8" t="n">
        <v>8322.62143909931</v>
      </c>
      <c r="H265" s="6" t="n">
        <f aca="false">IF(G265="","",G265/SUMIFS($G$2:$G$1122,$F$2:$F$1122,"Served"))</f>
        <v>0.000399534638830704</v>
      </c>
      <c r="I265" s="4" t="n">
        <f aca="false">IF(G265="","",RANK(G265,$G$2:$G$1122,0))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30</v>
      </c>
      <c r="C266" s="4" t="s">
        <v>31</v>
      </c>
      <c r="D266" s="7" t="s">
        <v>609</v>
      </c>
      <c r="E266" s="4" t="s">
        <v>33</v>
      </c>
      <c r="F266" s="4" t="s">
        <v>4</v>
      </c>
      <c r="G266" s="8" t="n">
        <v>8308.95231580734</v>
      </c>
      <c r="H266" s="6" t="n">
        <f aca="false">IF(G266="","",G266/SUMIFS($G$2:$G$1122,$F$2:$F$1122,"Served"))</f>
        <v>0.000398878440747257</v>
      </c>
      <c r="I266" s="4" t="n">
        <f aca="false">IF(G266="","",RANK(G266,$G$2:$G$1122,0))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30</v>
      </c>
      <c r="C267" s="4" t="s">
        <v>38</v>
      </c>
      <c r="D267" s="7" t="s">
        <v>611</v>
      </c>
      <c r="E267" s="4" t="s">
        <v>33</v>
      </c>
      <c r="F267" s="4" t="s">
        <v>4</v>
      </c>
      <c r="G267" s="8" t="n">
        <v>8274.45711612701</v>
      </c>
      <c r="H267" s="6" t="n">
        <f aca="false">IF(G267="","",G267/SUMIFS($G$2:$G$1122,$F$2:$F$1122,"Served"))</f>
        <v>0.000397222468858289</v>
      </c>
      <c r="I267" s="4" t="n">
        <f aca="false">IF(G267="","",RANK(G267,$G$2:$G$1122,0))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223</v>
      </c>
      <c r="C268" s="4" t="s">
        <v>224</v>
      </c>
      <c r="D268" s="7" t="s">
        <v>613</v>
      </c>
      <c r="E268" s="4" t="s">
        <v>226</v>
      </c>
      <c r="F268" s="4" t="s">
        <v>4</v>
      </c>
      <c r="G268" s="8" t="n">
        <v>8266.40120822191</v>
      </c>
      <c r="H268" s="6" t="n">
        <f aca="false">IF(G268="","",G268/SUMIFS($G$2:$G$1122,$F$2:$F$1122,"Served"))</f>
        <v>0.000396835738033287</v>
      </c>
      <c r="I268" s="4" t="n">
        <f aca="false">IF(G268="","",RANK(G268,$G$2:$G$1122,0))</f>
        <v>267</v>
      </c>
      <c r="J268" s="4" t="s">
        <v>34</v>
      </c>
    </row>
    <row r="269" customFormat="false" ht="15" hidden="false" customHeight="false" outlineLevel="0" collapsed="false">
      <c r="A269" s="4" t="s">
        <v>614</v>
      </c>
      <c r="B269" s="4" t="s">
        <v>187</v>
      </c>
      <c r="C269" s="4" t="s">
        <v>188</v>
      </c>
      <c r="D269" s="7" t="s">
        <v>615</v>
      </c>
      <c r="E269" s="4" t="s">
        <v>190</v>
      </c>
      <c r="F269" s="4" t="s">
        <v>4</v>
      </c>
      <c r="G269" s="8" t="n">
        <v>8228.23882961273</v>
      </c>
      <c r="H269" s="6" t="n">
        <f aca="false">IF(G269="","",G269/SUMIFS($G$2:$G$1122,$F$2:$F$1122,"Served"))</f>
        <v>0.000395003720048796</v>
      </c>
      <c r="I269" s="4" t="n">
        <f aca="false">IF(G269="","",RANK(G269,$G$2:$G$1122,0))</f>
        <v>268</v>
      </c>
      <c r="J269" s="4" t="s">
        <v>34</v>
      </c>
    </row>
    <row r="270" customFormat="false" ht="15" hidden="false" customHeight="false" outlineLevel="0" collapsed="false">
      <c r="A270" s="4" t="s">
        <v>616</v>
      </c>
      <c r="B270" s="4" t="s">
        <v>187</v>
      </c>
      <c r="C270" s="4" t="s">
        <v>188</v>
      </c>
      <c r="D270" s="7" t="s">
        <v>617</v>
      </c>
      <c r="E270" s="4" t="s">
        <v>190</v>
      </c>
      <c r="F270" s="4" t="s">
        <v>4</v>
      </c>
      <c r="G270" s="8" t="n">
        <v>8188.42408561707</v>
      </c>
      <c r="H270" s="6" t="n">
        <f aca="false">IF(G270="","",G270/SUMIFS($G$2:$G$1122,$F$2:$F$1122,"Served"))</f>
        <v>0.000393092378835112</v>
      </c>
      <c r="I270" s="4" t="n">
        <f aca="false">IF(G270="","",RANK(G270,$G$2:$G$1122,0))</f>
        <v>269</v>
      </c>
      <c r="J270" s="4" t="s">
        <v>34</v>
      </c>
    </row>
    <row r="271" customFormat="false" ht="15" hidden="false" customHeight="false" outlineLevel="0" collapsed="false">
      <c r="A271" s="4" t="s">
        <v>618</v>
      </c>
      <c r="B271" s="4" t="s">
        <v>48</v>
      </c>
      <c r="C271" s="4" t="s">
        <v>49</v>
      </c>
      <c r="D271" s="7" t="s">
        <v>619</v>
      </c>
      <c r="E271" s="4" t="s">
        <v>51</v>
      </c>
      <c r="F271" s="4" t="s">
        <v>4</v>
      </c>
      <c r="G271" s="8" t="n">
        <v>8105.64529490471</v>
      </c>
      <c r="H271" s="6" t="n">
        <f aca="false">IF(G271="","",G271/SUMIFS($G$2:$G$1122,$F$2:$F$1122,"Served"))</f>
        <v>0.000389118511407389</v>
      </c>
      <c r="I271" s="4" t="n">
        <f aca="false">IF(G271="","",RANK(G271,$G$2:$G$1122,0))</f>
        <v>270</v>
      </c>
      <c r="J271" s="4" t="s">
        <v>34</v>
      </c>
    </row>
    <row r="272" customFormat="false" ht="15" hidden="false" customHeight="false" outlineLevel="0" collapsed="false">
      <c r="A272" s="4" t="s">
        <v>620</v>
      </c>
      <c r="B272" s="4" t="s">
        <v>223</v>
      </c>
      <c r="C272" s="4" t="s">
        <v>224</v>
      </c>
      <c r="D272" s="7" t="s">
        <v>621</v>
      </c>
      <c r="E272" s="4" t="s">
        <v>226</v>
      </c>
      <c r="F272" s="4" t="s">
        <v>4</v>
      </c>
      <c r="G272" s="8" t="n">
        <v>8079.26967942715</v>
      </c>
      <c r="H272" s="6" t="n">
        <f aca="false">IF(G272="","",G272/SUMIFS($G$2:$G$1122,$F$2:$F$1122,"Served"))</f>
        <v>0.000387852327179153</v>
      </c>
      <c r="I272" s="4" t="n">
        <f aca="false">IF(G272="","",RANK(G272,$G$2:$G$1122,0))</f>
        <v>271</v>
      </c>
      <c r="J272" s="4" t="s">
        <v>34</v>
      </c>
    </row>
    <row r="273" customFormat="false" ht="15" hidden="false" customHeight="false" outlineLevel="0" collapsed="false">
      <c r="A273" s="4" t="s">
        <v>622</v>
      </c>
      <c r="B273" s="4" t="s">
        <v>48</v>
      </c>
      <c r="C273" s="4" t="s">
        <v>49</v>
      </c>
      <c r="D273" s="7" t="s">
        <v>623</v>
      </c>
      <c r="E273" s="4" t="s">
        <v>51</v>
      </c>
      <c r="F273" s="4" t="s">
        <v>4</v>
      </c>
      <c r="G273" s="8" t="n">
        <v>7831.11369979382</v>
      </c>
      <c r="H273" s="6" t="n">
        <f aca="false">IF(G273="","",G273/SUMIFS($G$2:$G$1122,$F$2:$F$1122,"Served"))</f>
        <v>0.000375939384794114</v>
      </c>
      <c r="I273" s="4" t="n">
        <f aca="false">IF(G273="","",RANK(G273,$G$2:$G$1122,0))</f>
        <v>272</v>
      </c>
      <c r="J273" s="4" t="s">
        <v>34</v>
      </c>
    </row>
    <row r="274" customFormat="false" ht="15" hidden="false" customHeight="false" outlineLevel="0" collapsed="false">
      <c r="A274" s="4" t="s">
        <v>624</v>
      </c>
      <c r="B274" s="4" t="s">
        <v>145</v>
      </c>
      <c r="C274" s="4" t="s">
        <v>146</v>
      </c>
      <c r="D274" s="7" t="s">
        <v>625</v>
      </c>
      <c r="E274" s="4" t="s">
        <v>148</v>
      </c>
      <c r="F274" s="4" t="s">
        <v>4</v>
      </c>
      <c r="G274" s="8" t="n">
        <v>7819.90046095848</v>
      </c>
      <c r="H274" s="6" t="n">
        <f aca="false">IF(G274="","",G274/SUMIFS($G$2:$G$1122,$F$2:$F$1122,"Served"))</f>
        <v>0.000375401083567633</v>
      </c>
      <c r="I274" s="4" t="n">
        <f aca="false">IF(G274="","",RANK(G274,$G$2:$G$1122,0))</f>
        <v>273</v>
      </c>
      <c r="J274" s="4" t="s">
        <v>34</v>
      </c>
    </row>
    <row r="275" customFormat="false" ht="15" hidden="false" customHeight="false" outlineLevel="0" collapsed="false">
      <c r="A275" s="4" t="s">
        <v>626</v>
      </c>
      <c r="B275" s="4" t="s">
        <v>187</v>
      </c>
      <c r="C275" s="4" t="s">
        <v>188</v>
      </c>
      <c r="D275" s="7" t="s">
        <v>627</v>
      </c>
      <c r="E275" s="4" t="s">
        <v>190</v>
      </c>
      <c r="F275" s="4" t="s">
        <v>4</v>
      </c>
      <c r="G275" s="8" t="n">
        <v>7814.45465809107</v>
      </c>
      <c r="H275" s="6" t="n">
        <f aca="false">IF(G275="","",G275/SUMIFS($G$2:$G$1122,$F$2:$F$1122,"Served"))</f>
        <v>0.000375139653091948</v>
      </c>
      <c r="I275" s="4" t="n">
        <f aca="false">IF(G275="","",RANK(G275,$G$2:$G$1122,0))</f>
        <v>274</v>
      </c>
      <c r="J275" s="4" t="s">
        <v>34</v>
      </c>
    </row>
    <row r="276" customFormat="false" ht="15" hidden="false" customHeight="false" outlineLevel="0" collapsed="false">
      <c r="A276" s="4" t="s">
        <v>628</v>
      </c>
      <c r="B276" s="4" t="s">
        <v>30</v>
      </c>
      <c r="C276" s="4" t="s">
        <v>629</v>
      </c>
      <c r="D276" s="7" t="s">
        <v>630</v>
      </c>
      <c r="E276" s="4" t="s">
        <v>33</v>
      </c>
      <c r="F276" s="4" t="s">
        <v>4</v>
      </c>
      <c r="G276" s="8" t="n">
        <v>7799.46307229996</v>
      </c>
      <c r="H276" s="6" t="n">
        <f aca="false">IF(G276="","",G276/SUMIFS($G$2:$G$1122,$F$2:$F$1122,"Served"))</f>
        <v>0.000374419969052684</v>
      </c>
      <c r="I276" s="4" t="n">
        <f aca="false">IF(G276="","",RANK(G276,$G$2:$G$1122,0))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31</v>
      </c>
      <c r="D277" s="7" t="s">
        <v>632</v>
      </c>
      <c r="E277" s="4" t="s">
        <v>33</v>
      </c>
      <c r="F277" s="4" t="s">
        <v>4</v>
      </c>
      <c r="G277" s="8" t="n">
        <v>7661.46233725548</v>
      </c>
      <c r="H277" s="6" t="n">
        <f aca="false">IF(G277="","",G277/SUMIFS($G$2:$G$1122,$F$2:$F$1122,"Served"))</f>
        <v>0.000367795124436379</v>
      </c>
      <c r="I277" s="4" t="n">
        <f aca="false">IF(G277="","",RANK(G277,$G$2:$G$1122,0))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145</v>
      </c>
      <c r="C278" s="4" t="s">
        <v>257</v>
      </c>
      <c r="D278" s="7" t="s">
        <v>634</v>
      </c>
      <c r="E278" s="4" t="s">
        <v>148</v>
      </c>
      <c r="F278" s="4" t="s">
        <v>4</v>
      </c>
      <c r="G278" s="8" t="n">
        <v>7644.68867731094</v>
      </c>
      <c r="H278" s="6" t="n">
        <f aca="false">IF(G278="","",G278/SUMIFS($G$2:$G$1122,$F$2:$F$1122,"Served"))</f>
        <v>0.000366989890386405</v>
      </c>
      <c r="I278" s="4" t="n">
        <f aca="false">IF(G278="","",RANK(G278,$G$2:$G$1122,0))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30</v>
      </c>
      <c r="C279" s="4" t="s">
        <v>31</v>
      </c>
      <c r="D279" s="7" t="s">
        <v>636</v>
      </c>
      <c r="E279" s="4" t="s">
        <v>33</v>
      </c>
      <c r="F279" s="4" t="s">
        <v>4</v>
      </c>
      <c r="G279" s="8" t="n">
        <v>7558.81005525589</v>
      </c>
      <c r="H279" s="6" t="n">
        <f aca="false">IF(G279="","",G279/SUMIFS($G$2:$G$1122,$F$2:$F$1122,"Served"))</f>
        <v>0.000362867212874623</v>
      </c>
      <c r="I279" s="4" t="n">
        <f aca="false">IF(G279="","",RANK(G279,$G$2:$G$1122,0))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48</v>
      </c>
      <c r="C280" s="4" t="s">
        <v>49</v>
      </c>
      <c r="D280" s="7" t="s">
        <v>638</v>
      </c>
      <c r="E280" s="4" t="s">
        <v>51</v>
      </c>
      <c r="F280" s="4" t="s">
        <v>4</v>
      </c>
      <c r="G280" s="8" t="n">
        <v>7544.60016024113</v>
      </c>
      <c r="H280" s="6" t="n">
        <f aca="false">IF(G280="","",G280/SUMIFS($G$2:$G$1122,$F$2:$F$1122,"Served"))</f>
        <v>0.000362185054577013</v>
      </c>
      <c r="I280" s="4" t="n">
        <f aca="false">IF(G280="","",RANK(G280,$G$2:$G$1122,0))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145</v>
      </c>
      <c r="C281" s="4" t="s">
        <v>257</v>
      </c>
      <c r="D281" s="7" t="s">
        <v>640</v>
      </c>
      <c r="E281" s="4" t="s">
        <v>148</v>
      </c>
      <c r="F281" s="4" t="s">
        <v>4</v>
      </c>
      <c r="G281" s="8" t="n">
        <v>7516.93990790844</v>
      </c>
      <c r="H281" s="6" t="n">
        <f aca="false">IF(G281="","",G281/SUMIFS($G$2:$G$1122,$F$2:$F$1122,"Served"))</f>
        <v>0.00036085720024571</v>
      </c>
      <c r="I281" s="4" t="n">
        <f aca="false">IF(G281="","",RANK(G281,$G$2:$G$1122,0))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119</v>
      </c>
      <c r="C282" s="4" t="s">
        <v>456</v>
      </c>
      <c r="D282" s="7" t="s">
        <v>642</v>
      </c>
      <c r="E282" s="4" t="s">
        <v>33</v>
      </c>
      <c r="F282" s="4" t="s">
        <v>4</v>
      </c>
      <c r="G282" s="8" t="n">
        <v>7471.07979762554</v>
      </c>
      <c r="H282" s="6" t="n">
        <f aca="false">IF(G282="","",G282/SUMIFS($G$2:$G$1122,$F$2:$F$1122,"Served"))</f>
        <v>0.000358655645995924</v>
      </c>
      <c r="I282" s="4" t="n">
        <f aca="false">IF(G282="","",RANK(G282,$G$2:$G$1122,0))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48</v>
      </c>
      <c r="C283" s="4" t="s">
        <v>49</v>
      </c>
      <c r="D283" s="7" t="s">
        <v>644</v>
      </c>
      <c r="E283" s="4" t="s">
        <v>51</v>
      </c>
      <c r="F283" s="4" t="s">
        <v>4</v>
      </c>
      <c r="G283" s="8" t="n">
        <v>7453.65315687656</v>
      </c>
      <c r="H283" s="6" t="n">
        <f aca="false">IF(G283="","",G283/SUMIFS($G$2:$G$1122,$F$2:$F$1122,"Served"))</f>
        <v>0.000357819065037793</v>
      </c>
      <c r="I283" s="4" t="n">
        <f aca="false">IF(G283="","",RANK(G283,$G$2:$G$1122,0))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119</v>
      </c>
      <c r="C284" s="4" t="s">
        <v>646</v>
      </c>
      <c r="D284" s="7" t="s">
        <v>647</v>
      </c>
      <c r="E284" s="4" t="s">
        <v>33</v>
      </c>
      <c r="F284" s="4" t="s">
        <v>4</v>
      </c>
      <c r="G284" s="8" t="n">
        <v>7453.39709293842</v>
      </c>
      <c r="H284" s="6" t="n">
        <f aca="false">IF(G284="","",G284/SUMIFS($G$2:$G$1122,$F$2:$F$1122,"Served"))</f>
        <v>0.000357806772467022</v>
      </c>
      <c r="I284" s="4" t="n">
        <f aca="false">IF(G284="","",RANK(G284,$G$2:$G$1122,0))</f>
        <v>283</v>
      </c>
      <c r="J284" s="4" t="s">
        <v>34</v>
      </c>
    </row>
    <row r="285" customFormat="false" ht="15" hidden="false" customHeight="false" outlineLevel="0" collapsed="false">
      <c r="A285" s="4" t="s">
        <v>648</v>
      </c>
      <c r="B285" s="4" t="s">
        <v>48</v>
      </c>
      <c r="C285" s="4" t="s">
        <v>49</v>
      </c>
      <c r="D285" s="7" t="s">
        <v>649</v>
      </c>
      <c r="E285" s="4" t="s">
        <v>51</v>
      </c>
      <c r="F285" s="4" t="s">
        <v>4</v>
      </c>
      <c r="G285" s="8" t="n">
        <v>7383.02518588305</v>
      </c>
      <c r="H285" s="6" t="n">
        <f aca="false">IF(G285="","",G285/SUMIFS($G$2:$G$1122,$F$2:$F$1122,"Served"))</f>
        <v>0.000354428508217598</v>
      </c>
      <c r="I285" s="4" t="n">
        <f aca="false">IF(G285="","",RANK(G285,$G$2:$G$1122,0))</f>
        <v>284</v>
      </c>
      <c r="J285" s="4" t="s">
        <v>34</v>
      </c>
    </row>
    <row r="286" customFormat="false" ht="15" hidden="false" customHeight="false" outlineLevel="0" collapsed="false">
      <c r="A286" s="4" t="s">
        <v>650</v>
      </c>
      <c r="B286" s="4" t="s">
        <v>223</v>
      </c>
      <c r="C286" s="4" t="s">
        <v>224</v>
      </c>
      <c r="D286" s="7" t="s">
        <v>651</v>
      </c>
      <c r="E286" s="4" t="s">
        <v>226</v>
      </c>
      <c r="F286" s="4" t="s">
        <v>4</v>
      </c>
      <c r="G286" s="8" t="n">
        <v>7216.65417540073</v>
      </c>
      <c r="H286" s="6" t="n">
        <f aca="false">IF(G286="","",G286/SUMIFS($G$2:$G$1122,$F$2:$F$1122,"Served"))</f>
        <v>0.000346441723996863</v>
      </c>
      <c r="I286" s="4" t="n">
        <f aca="false">IF(G286="","",RANK(G286,$G$2:$G$1122,0))</f>
        <v>285</v>
      </c>
      <c r="J286" s="4" t="s">
        <v>34</v>
      </c>
    </row>
    <row r="287" customFormat="false" ht="15" hidden="false" customHeight="false" outlineLevel="0" collapsed="false">
      <c r="A287" s="4" t="s">
        <v>652</v>
      </c>
      <c r="B287" s="4" t="s">
        <v>119</v>
      </c>
      <c r="C287" s="4" t="s">
        <v>653</v>
      </c>
      <c r="D287" s="7" t="s">
        <v>654</v>
      </c>
      <c r="E287" s="4" t="s">
        <v>33</v>
      </c>
      <c r="F287" s="4" t="s">
        <v>4</v>
      </c>
      <c r="G287" s="8" t="n">
        <v>7152.83705019951</v>
      </c>
      <c r="H287" s="6" t="n">
        <f aca="false">IF(G287="","",G287/SUMIFS($G$2:$G$1122,$F$2:$F$1122,"Served"))</f>
        <v>0.000343378127718328</v>
      </c>
      <c r="I287" s="4" t="n">
        <f aca="false">IF(G287="","",RANK(G287,$G$2:$G$1122,0))</f>
        <v>286</v>
      </c>
      <c r="J287" s="4" t="s">
        <v>34</v>
      </c>
    </row>
    <row r="288" customFormat="false" ht="15" hidden="false" customHeight="false" outlineLevel="0" collapsed="false">
      <c r="A288" s="4" t="s">
        <v>655</v>
      </c>
      <c r="B288" s="4" t="s">
        <v>30</v>
      </c>
      <c r="C288" s="4" t="s">
        <v>31</v>
      </c>
      <c r="D288" s="7" t="s">
        <v>656</v>
      </c>
      <c r="E288" s="4" t="s">
        <v>33</v>
      </c>
      <c r="F288" s="4" t="s">
        <v>4</v>
      </c>
      <c r="G288" s="8" t="n">
        <v>7145.46570420265</v>
      </c>
      <c r="H288" s="6" t="n">
        <f aca="false">IF(G288="","",G288/SUMIFS($G$2:$G$1122,$F$2:$F$1122,"Served"))</f>
        <v>0.000343024259879678</v>
      </c>
      <c r="I288" s="4" t="n">
        <f aca="false">IF(G288="","",RANK(G288,$G$2:$G$1122,0))</f>
        <v>287</v>
      </c>
      <c r="J288" s="4" t="s">
        <v>34</v>
      </c>
    </row>
    <row r="289" customFormat="false" ht="15" hidden="false" customHeight="false" outlineLevel="0" collapsed="false">
      <c r="A289" s="4" t="s">
        <v>657</v>
      </c>
      <c r="B289" s="4" t="s">
        <v>30</v>
      </c>
      <c r="C289" s="4" t="s">
        <v>350</v>
      </c>
      <c r="D289" s="7" t="s">
        <v>658</v>
      </c>
      <c r="E289" s="4" t="s">
        <v>33</v>
      </c>
      <c r="F289" s="4" t="s">
        <v>4</v>
      </c>
      <c r="G289" s="8" t="n">
        <v>7130.23844981194</v>
      </c>
      <c r="H289" s="6" t="n">
        <f aca="false">IF(G289="","",G289/SUMIFS($G$2:$G$1122,$F$2:$F$1122,"Served"))</f>
        <v>0.000342293262365506</v>
      </c>
      <c r="I289" s="4" t="n">
        <f aca="false">IF(G289="","",RANK(G289,$G$2:$G$1122,0))</f>
        <v>288</v>
      </c>
      <c r="J289" s="4" t="s">
        <v>34</v>
      </c>
    </row>
    <row r="290" customFormat="false" ht="15" hidden="false" customHeight="false" outlineLevel="0" collapsed="false">
      <c r="A290" s="4" t="s">
        <v>659</v>
      </c>
      <c r="B290" s="4" t="s">
        <v>187</v>
      </c>
      <c r="C290" s="4" t="s">
        <v>188</v>
      </c>
      <c r="D290" s="7" t="s">
        <v>660</v>
      </c>
      <c r="E290" s="4" t="s">
        <v>190</v>
      </c>
      <c r="F290" s="4" t="s">
        <v>4</v>
      </c>
      <c r="G290" s="8" t="n">
        <v>7123.41842162609</v>
      </c>
      <c r="H290" s="6" t="n">
        <f aca="false">IF(G290="","",G290/SUMIFS($G$2:$G$1122,$F$2:$F$1122,"Served"))</f>
        <v>0.000341965861015104</v>
      </c>
      <c r="I290" s="4" t="n">
        <f aca="false">IF(G290="","",RANK(G290,$G$2:$G$1122,0))</f>
        <v>289</v>
      </c>
      <c r="J290" s="4" t="s">
        <v>34</v>
      </c>
    </row>
    <row r="291" customFormat="false" ht="15" hidden="false" customHeight="false" outlineLevel="0" collapsed="false">
      <c r="A291" s="4" t="s">
        <v>661</v>
      </c>
      <c r="B291" s="4" t="s">
        <v>223</v>
      </c>
      <c r="C291" s="4" t="s">
        <v>224</v>
      </c>
      <c r="D291" s="7" t="s">
        <v>662</v>
      </c>
      <c r="E291" s="4" t="s">
        <v>226</v>
      </c>
      <c r="F291" s="4" t="s">
        <v>4</v>
      </c>
      <c r="G291" s="8" t="n">
        <v>7111.32566708326</v>
      </c>
      <c r="H291" s="6" t="n">
        <f aca="false">IF(G291="","",G291/SUMIFS($G$2:$G$1122,$F$2:$F$1122,"Served"))</f>
        <v>0.00034138533787656</v>
      </c>
      <c r="I291" s="4" t="n">
        <f aca="false">IF(G291="","",RANK(G291,$G$2:$G$1122,0))</f>
        <v>290</v>
      </c>
      <c r="J291" s="4" t="s">
        <v>34</v>
      </c>
    </row>
    <row r="292" customFormat="false" ht="15" hidden="false" customHeight="false" outlineLevel="0" collapsed="false">
      <c r="A292" s="4" t="s">
        <v>663</v>
      </c>
      <c r="B292" s="4" t="s">
        <v>119</v>
      </c>
      <c r="C292" s="4" t="s">
        <v>646</v>
      </c>
      <c r="D292" s="7" t="s">
        <v>664</v>
      </c>
      <c r="E292" s="4" t="s">
        <v>33</v>
      </c>
      <c r="F292" s="4" t="s">
        <v>4</v>
      </c>
      <c r="G292" s="8" t="n">
        <v>7094.77685695887</v>
      </c>
      <c r="H292" s="6" t="n">
        <f aca="false">IF(G292="","",G292/SUMIFS($G$2:$G$1122,$F$2:$F$1122,"Served"))</f>
        <v>0.000340590897936631</v>
      </c>
      <c r="I292" s="4" t="n">
        <f aca="false">IF(G292="","",RANK(G292,$G$2:$G$1122,0))</f>
        <v>291</v>
      </c>
      <c r="J292" s="4" t="s">
        <v>34</v>
      </c>
    </row>
    <row r="293" customFormat="false" ht="15" hidden="false" customHeight="false" outlineLevel="0" collapsed="false">
      <c r="A293" s="4" t="s">
        <v>665</v>
      </c>
      <c r="B293" s="4" t="s">
        <v>30</v>
      </c>
      <c r="C293" s="4" t="s">
        <v>231</v>
      </c>
      <c r="D293" s="7" t="s">
        <v>666</v>
      </c>
      <c r="E293" s="4" t="s">
        <v>33</v>
      </c>
      <c r="F293" s="4" t="s">
        <v>4</v>
      </c>
      <c r="G293" s="8" t="n">
        <v>7049.17663711309</v>
      </c>
      <c r="H293" s="6" t="n">
        <f aca="false">IF(G293="","",G293/SUMIFS($G$2:$G$1122,$F$2:$F$1122,"Served"))</f>
        <v>0.000338401819952009</v>
      </c>
      <c r="I293" s="4" t="n">
        <f aca="false">IF(G293="","",RANK(G293,$G$2:$G$1122,0))</f>
        <v>292</v>
      </c>
      <c r="J293" s="4" t="s">
        <v>34</v>
      </c>
    </row>
    <row r="294" customFormat="false" ht="15" hidden="false" customHeight="false" outlineLevel="0" collapsed="false">
      <c r="A294" s="4" t="s">
        <v>667</v>
      </c>
      <c r="B294" s="4" t="s">
        <v>48</v>
      </c>
      <c r="C294" s="4" t="s">
        <v>49</v>
      </c>
      <c r="D294" s="7" t="s">
        <v>668</v>
      </c>
      <c r="E294" s="4" t="s">
        <v>51</v>
      </c>
      <c r="F294" s="4" t="s">
        <v>4</v>
      </c>
      <c r="G294" s="8" t="n">
        <v>6984.2419154644</v>
      </c>
      <c r="H294" s="6" t="n">
        <f aca="false">IF(G294="","",G294/SUMIFS($G$2:$G$1122,$F$2:$F$1122,"Served"))</f>
        <v>0.000335284572489617</v>
      </c>
      <c r="I294" s="4" t="n">
        <f aca="false">IF(G294="","",RANK(G294,$G$2:$G$1122,0))</f>
        <v>293</v>
      </c>
      <c r="J294" s="4" t="s">
        <v>34</v>
      </c>
    </row>
    <row r="295" customFormat="false" ht="15" hidden="false" customHeight="false" outlineLevel="0" collapsed="false">
      <c r="A295" s="4" t="s">
        <v>669</v>
      </c>
      <c r="B295" s="4" t="s">
        <v>119</v>
      </c>
      <c r="C295" s="4" t="s">
        <v>646</v>
      </c>
      <c r="D295" s="7" t="s">
        <v>670</v>
      </c>
      <c r="E295" s="4" t="s">
        <v>33</v>
      </c>
      <c r="F295" s="4" t="s">
        <v>4</v>
      </c>
      <c r="G295" s="8" t="n">
        <v>6938.51013863087</v>
      </c>
      <c r="H295" s="6" t="n">
        <f aca="false">IF(G295="","",G295/SUMIFS($G$2:$G$1122,$F$2:$F$1122,"Served"))</f>
        <v>0.000333089178998038</v>
      </c>
      <c r="I295" s="4" t="n">
        <f aca="false">IF(G295="","",RANK(G295,$G$2:$G$1122,0))</f>
        <v>294</v>
      </c>
      <c r="J295" s="4" t="s">
        <v>34</v>
      </c>
    </row>
    <row r="296" customFormat="false" ht="15" hidden="false" customHeight="false" outlineLevel="0" collapsed="false">
      <c r="A296" s="4" t="s">
        <v>671</v>
      </c>
      <c r="B296" s="4" t="s">
        <v>48</v>
      </c>
      <c r="C296" s="4" t="s">
        <v>49</v>
      </c>
      <c r="D296" s="7" t="s">
        <v>672</v>
      </c>
      <c r="E296" s="4" t="s">
        <v>51</v>
      </c>
      <c r="F296" s="4" t="s">
        <v>4</v>
      </c>
      <c r="G296" s="8" t="n">
        <v>6922.26448345184</v>
      </c>
      <c r="H296" s="6" t="n">
        <f aca="false">IF(G296="","",G296/SUMIFS($G$2:$G$1122,$F$2:$F$1122,"Served"))</f>
        <v>0.000332309292273402</v>
      </c>
      <c r="I296" s="4" t="n">
        <f aca="false">IF(G296="","",RANK(G296,$G$2:$G$1122,0))</f>
        <v>295</v>
      </c>
      <c r="J296" s="4" t="s">
        <v>34</v>
      </c>
    </row>
    <row r="297" customFormat="false" ht="15" hidden="false" customHeight="false" outlineLevel="0" collapsed="false">
      <c r="A297" s="4" t="s">
        <v>673</v>
      </c>
      <c r="B297" s="4" t="s">
        <v>48</v>
      </c>
      <c r="C297" s="4" t="s">
        <v>49</v>
      </c>
      <c r="D297" s="7" t="s">
        <v>674</v>
      </c>
      <c r="E297" s="4" t="s">
        <v>51</v>
      </c>
      <c r="F297" s="4" t="s">
        <v>4</v>
      </c>
      <c r="G297" s="8" t="n">
        <v>6883.18981170654</v>
      </c>
      <c r="H297" s="6" t="n">
        <f aca="false">IF(G297="","",G297/SUMIFS($G$2:$G$1122,$F$2:$F$1122,"Served"))</f>
        <v>0.000330433478868044</v>
      </c>
      <c r="I297" s="4" t="n">
        <f aca="false">IF(G297="","",RANK(G297,$G$2:$G$1122,0))</f>
        <v>296</v>
      </c>
      <c r="J297" s="4" t="s">
        <v>34</v>
      </c>
    </row>
    <row r="298" customFormat="false" ht="15" hidden="false" customHeight="false" outlineLevel="0" collapsed="false">
      <c r="A298" s="4" t="s">
        <v>675</v>
      </c>
      <c r="B298" s="4" t="s">
        <v>30</v>
      </c>
      <c r="C298" s="4" t="s">
        <v>544</v>
      </c>
      <c r="D298" s="7" t="s">
        <v>676</v>
      </c>
      <c r="E298" s="4" t="s">
        <v>33</v>
      </c>
      <c r="F298" s="4" t="s">
        <v>4</v>
      </c>
      <c r="G298" s="8" t="n">
        <v>6854.92540955544</v>
      </c>
      <c r="H298" s="6" t="n">
        <f aca="false">IF(G298="","",G298/SUMIFS($G$2:$G$1122,$F$2:$F$1122,"Served"))</f>
        <v>0.000329076621802293</v>
      </c>
      <c r="I298" s="4" t="n">
        <f aca="false">IF(G298="","",RANK(G298,$G$2:$G$1122,0))</f>
        <v>297</v>
      </c>
      <c r="J298" s="4" t="s">
        <v>34</v>
      </c>
    </row>
    <row r="299" customFormat="false" ht="15" hidden="false" customHeight="false" outlineLevel="0" collapsed="false">
      <c r="A299" s="4" t="s">
        <v>677</v>
      </c>
      <c r="B299" s="4" t="s">
        <v>30</v>
      </c>
      <c r="C299" s="4" t="s">
        <v>629</v>
      </c>
      <c r="D299" s="7" t="s">
        <v>678</v>
      </c>
      <c r="E299" s="4" t="s">
        <v>33</v>
      </c>
      <c r="F299" s="4" t="s">
        <v>4</v>
      </c>
      <c r="G299" s="8" t="n">
        <v>6827.7696865201</v>
      </c>
      <c r="H299" s="6" t="n">
        <f aca="false">IF(G299="","",G299/SUMIFS($G$2:$G$1122,$F$2:$F$1122,"Served"))</f>
        <v>0.00032777298783618</v>
      </c>
      <c r="I299" s="4" t="n">
        <f aca="false">IF(G299="","",RANK(G299,$G$2:$G$1122,0))</f>
        <v>298</v>
      </c>
      <c r="J299" s="4" t="s">
        <v>34</v>
      </c>
    </row>
    <row r="300" customFormat="false" ht="15" hidden="false" customHeight="false" outlineLevel="0" collapsed="false">
      <c r="A300" s="4" t="s">
        <v>679</v>
      </c>
      <c r="B300" s="4" t="s">
        <v>48</v>
      </c>
      <c r="C300" s="4" t="s">
        <v>49</v>
      </c>
      <c r="D300" s="7" t="s">
        <v>680</v>
      </c>
      <c r="E300" s="4" t="s">
        <v>51</v>
      </c>
      <c r="F300" s="4" t="s">
        <v>4</v>
      </c>
      <c r="G300" s="8" t="n">
        <v>6812.20144474506</v>
      </c>
      <c r="H300" s="6" t="n">
        <f aca="false">IF(G300="","",G300/SUMIFS($G$2:$G$1122,$F$2:$F$1122,"Served"))</f>
        <v>0.000327025620927769</v>
      </c>
      <c r="I300" s="4" t="n">
        <f aca="false">IF(G300="","",RANK(G300,$G$2:$G$1122,0))</f>
        <v>299</v>
      </c>
      <c r="J300" s="4" t="s">
        <v>34</v>
      </c>
    </row>
    <row r="301" customFormat="false" ht="15" hidden="false" customHeight="false" outlineLevel="0" collapsed="false">
      <c r="A301" s="4" t="s">
        <v>681</v>
      </c>
      <c r="B301" s="4" t="s">
        <v>30</v>
      </c>
      <c r="C301" s="4" t="s">
        <v>38</v>
      </c>
      <c r="D301" s="7" t="s">
        <v>682</v>
      </c>
      <c r="E301" s="4" t="s">
        <v>33</v>
      </c>
      <c r="F301" s="4" t="s">
        <v>4</v>
      </c>
      <c r="G301" s="8" t="n">
        <v>6765.68367385864</v>
      </c>
      <c r="H301" s="6" t="n">
        <f aca="false">IF(G301="","",G301/SUMIFS($G$2:$G$1122,$F$2:$F$1122,"Served"))</f>
        <v>0.000324792495112025</v>
      </c>
      <c r="I301" s="4" t="n">
        <f aca="false">IF(G301="","",RANK(G301,$G$2:$G$1122,0))</f>
        <v>300</v>
      </c>
      <c r="J301" s="4" t="s">
        <v>34</v>
      </c>
    </row>
    <row r="302" customFormat="false" ht="15" hidden="false" customHeight="false" outlineLevel="0" collapsed="false">
      <c r="A302" s="4" t="s">
        <v>683</v>
      </c>
      <c r="B302" s="4" t="s">
        <v>223</v>
      </c>
      <c r="C302" s="4" t="s">
        <v>224</v>
      </c>
      <c r="D302" s="7" t="s">
        <v>684</v>
      </c>
      <c r="E302" s="4" t="s">
        <v>226</v>
      </c>
      <c r="F302" s="4" t="s">
        <v>4</v>
      </c>
      <c r="G302" s="8" t="n">
        <v>6751.35389113426</v>
      </c>
      <c r="H302" s="6" t="n">
        <f aca="false">IF(G302="","",G302/SUMIFS($G$2:$G$1122,$F$2:$F$1122,"Served"))</f>
        <v>0.000324104581501247</v>
      </c>
      <c r="I302" s="4" t="n">
        <f aca="false">IF(G302="","",RANK(G302,$G$2:$G$1122,0))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223</v>
      </c>
      <c r="C303" s="4" t="s">
        <v>224</v>
      </c>
      <c r="D303" s="7" t="s">
        <v>686</v>
      </c>
      <c r="E303" s="4" t="s">
        <v>226</v>
      </c>
      <c r="F303" s="4" t="s">
        <v>4</v>
      </c>
      <c r="G303" s="8" t="n">
        <v>6682.57008612156</v>
      </c>
      <c r="H303" s="6" t="n">
        <f aca="false">IF(G303="","",G303/SUMIFS($G$2:$G$1122,$F$2:$F$1122,"Served"))</f>
        <v>0.000320802555463628</v>
      </c>
      <c r="I303" s="4" t="n">
        <f aca="false">IF(G303="","",RANK(G303,$G$2:$G$1122,0))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119</v>
      </c>
      <c r="C304" s="4" t="s">
        <v>688</v>
      </c>
      <c r="D304" s="7" t="s">
        <v>689</v>
      </c>
      <c r="E304" s="4" t="s">
        <v>33</v>
      </c>
      <c r="F304" s="4" t="s">
        <v>4</v>
      </c>
      <c r="G304" s="8" t="n">
        <v>6681.5931327343</v>
      </c>
      <c r="H304" s="6" t="n">
        <f aca="false">IF(G304="","",G304/SUMIFS($G$2:$G$1122,$F$2:$F$1122,"Served"))</f>
        <v>0.000320755655971493</v>
      </c>
      <c r="I304" s="4" t="n">
        <f aca="false">IF(G304="","",RANK(G304,$G$2:$G$1122,0))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48</v>
      </c>
      <c r="C305" s="4" t="s">
        <v>49</v>
      </c>
      <c r="D305" s="7" t="s">
        <v>691</v>
      </c>
      <c r="E305" s="4" t="s">
        <v>51</v>
      </c>
      <c r="F305" s="4" t="s">
        <v>4</v>
      </c>
      <c r="G305" s="8" t="n">
        <v>6622.8521925211</v>
      </c>
      <c r="H305" s="6" t="n">
        <f aca="false">IF(G305="","",G305/SUMIFS($G$2:$G$1122,$F$2:$F$1122,"Served"))</f>
        <v>0.00031793574634273</v>
      </c>
      <c r="I305" s="4" t="n">
        <f aca="false">IF(G305="","",RANK(G305,$G$2:$G$1122,0))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187</v>
      </c>
      <c r="C306" s="4" t="s">
        <v>188</v>
      </c>
      <c r="D306" s="7" t="s">
        <v>693</v>
      </c>
      <c r="E306" s="4" t="s">
        <v>190</v>
      </c>
      <c r="F306" s="4" t="s">
        <v>4</v>
      </c>
      <c r="G306" s="8" t="n">
        <v>6599.97129058838</v>
      </c>
      <c r="H306" s="6" t="n">
        <f aca="false">IF(G306="","",G306/SUMIFS($G$2:$G$1122,$F$2:$F$1122,"Served"))</f>
        <v>0.000316837328860126</v>
      </c>
      <c r="I306" s="4" t="n">
        <f aca="false">IF(G306="","",RANK(G306,$G$2:$G$1122,0))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48</v>
      </c>
      <c r="C307" s="4" t="s">
        <v>49</v>
      </c>
      <c r="D307" s="7" t="s">
        <v>695</v>
      </c>
      <c r="E307" s="4" t="s">
        <v>51</v>
      </c>
      <c r="F307" s="4" t="s">
        <v>4</v>
      </c>
      <c r="G307" s="8" t="n">
        <v>6510.41712367535</v>
      </c>
      <c r="H307" s="6" t="n">
        <f aca="false">IF(G307="","",G307/SUMIFS($G$2:$G$1122,$F$2:$F$1122,"Served"))</f>
        <v>0.00031253820363916</v>
      </c>
      <c r="I307" s="4" t="n">
        <f aca="false">IF(G307="","",RANK(G307,$G$2:$G$1122,0))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30</v>
      </c>
      <c r="C308" s="4" t="s">
        <v>31</v>
      </c>
      <c r="D308" s="7" t="s">
        <v>697</v>
      </c>
      <c r="E308" s="4" t="s">
        <v>33</v>
      </c>
      <c r="F308" s="4" t="s">
        <v>4</v>
      </c>
      <c r="G308" s="8" t="n">
        <v>6508.7015119195</v>
      </c>
      <c r="H308" s="6" t="n">
        <f aca="false">IF(G308="","",G308/SUMIFS($G$2:$G$1122,$F$2:$F$1122,"Served"))</f>
        <v>0.000312455844213315</v>
      </c>
      <c r="I308" s="4" t="n">
        <f aca="false">IF(G308="","",RANK(G308,$G$2:$G$1122,0))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119</v>
      </c>
      <c r="C309" s="4" t="s">
        <v>228</v>
      </c>
      <c r="D309" s="7" t="s">
        <v>699</v>
      </c>
      <c r="E309" s="4" t="s">
        <v>33</v>
      </c>
      <c r="F309" s="4" t="s">
        <v>4</v>
      </c>
      <c r="G309" s="8" t="n">
        <v>6379.26566421986</v>
      </c>
      <c r="H309" s="6" t="n">
        <f aca="false">IF(G309="","",G309/SUMIFS($G$2:$G$1122,$F$2:$F$1122,"Served"))</f>
        <v>0.000306242164420135</v>
      </c>
      <c r="I309" s="4" t="n">
        <f aca="false">IF(G309="","",RANK(G309,$G$2:$G$1122,0))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187</v>
      </c>
      <c r="C310" s="4" t="s">
        <v>188</v>
      </c>
      <c r="D310" s="7" t="s">
        <v>701</v>
      </c>
      <c r="E310" s="4" t="s">
        <v>190</v>
      </c>
      <c r="F310" s="4" t="s">
        <v>4</v>
      </c>
      <c r="G310" s="8" t="n">
        <v>6319.13749301434</v>
      </c>
      <c r="H310" s="6" t="n">
        <f aca="false">IF(G310="","",G310/SUMIFS($G$2:$G$1122,$F$2:$F$1122,"Served"))</f>
        <v>0.000303355659568035</v>
      </c>
      <c r="I310" s="4" t="n">
        <f aca="false">IF(G310="","",RANK(G310,$G$2:$G$1122,0))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223</v>
      </c>
      <c r="C311" s="4" t="s">
        <v>224</v>
      </c>
      <c r="D311" s="7" t="s">
        <v>703</v>
      </c>
      <c r="E311" s="4" t="s">
        <v>226</v>
      </c>
      <c r="F311" s="4" t="s">
        <v>4</v>
      </c>
      <c r="G311" s="8" t="n">
        <v>6315.35733950138</v>
      </c>
      <c r="H311" s="6" t="n">
        <f aca="false">IF(G311="","",G311/SUMIFS($G$2:$G$1122,$F$2:$F$1122,"Served"))</f>
        <v>0.000303174190029912</v>
      </c>
      <c r="I311" s="4" t="n">
        <f aca="false">IF(G311="","",RANK(G311,$G$2:$G$1122,0))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30</v>
      </c>
      <c r="C312" s="4" t="s">
        <v>341</v>
      </c>
      <c r="D312" s="7" t="s">
        <v>705</v>
      </c>
      <c r="E312" s="4" t="s">
        <v>33</v>
      </c>
      <c r="F312" s="4" t="s">
        <v>4</v>
      </c>
      <c r="G312" s="8" t="n">
        <v>6270.27260971069</v>
      </c>
      <c r="H312" s="6" t="n">
        <f aca="false">IF(G312="","",G312/SUMIFS($G$2:$G$1122,$F$2:$F$1122,"Served"))</f>
        <v>0.000301009858591133</v>
      </c>
      <c r="I312" s="4" t="n">
        <f aca="false">IF(G312="","",RANK(G312,$G$2:$G$1122,0))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6242.16222590208</v>
      </c>
      <c r="H313" s="6" t="n">
        <f aca="false">IF(G313="","",G313/SUMIFS($G$2:$G$1122,$F$2:$F$1122,"Served"))</f>
        <v>0.000299660395309095</v>
      </c>
      <c r="I313" s="4" t="n">
        <f aca="false">IF(G313="","",RANK(G313,$G$2:$G$1122,0))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119</v>
      </c>
      <c r="C314" s="4" t="s">
        <v>456</v>
      </c>
      <c r="D314" s="7" t="s">
        <v>709</v>
      </c>
      <c r="E314" s="4" t="s">
        <v>33</v>
      </c>
      <c r="F314" s="4" t="s">
        <v>4</v>
      </c>
      <c r="G314" s="8" t="n">
        <v>6220.81603640318</v>
      </c>
      <c r="H314" s="6" t="n">
        <f aca="false">IF(G314="","",G314/SUMIFS($G$2:$G$1122,$F$2:$F$1122,"Served"))</f>
        <v>0.000298635653023955</v>
      </c>
      <c r="I314" s="4" t="n">
        <f aca="false">IF(G314="","",RANK(G314,$G$2:$G$1122,0))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48</v>
      </c>
      <c r="C315" s="4" t="s">
        <v>49</v>
      </c>
      <c r="D315" s="7" t="s">
        <v>711</v>
      </c>
      <c r="E315" s="4" t="s">
        <v>51</v>
      </c>
      <c r="F315" s="4" t="s">
        <v>4</v>
      </c>
      <c r="G315" s="8" t="n">
        <v>6199.72505354881</v>
      </c>
      <c r="H315" s="6" t="n">
        <f aca="false">IF(G315="","",G315/SUMIFS($G$2:$G$1122,$F$2:$F$1122,"Served"))</f>
        <v>0.000297623162154466</v>
      </c>
      <c r="I315" s="4" t="n">
        <f aca="false">IF(G315="","",RANK(G315,$G$2:$G$1122,0))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187</v>
      </c>
      <c r="C316" s="4" t="s">
        <v>188</v>
      </c>
      <c r="D316" s="7" t="s">
        <v>713</v>
      </c>
      <c r="E316" s="4" t="s">
        <v>190</v>
      </c>
      <c r="F316" s="4" t="s">
        <v>4</v>
      </c>
      <c r="G316" s="8" t="n">
        <v>6136.00968563557</v>
      </c>
      <c r="H316" s="6" t="n">
        <f aca="false">IF(G316="","",G316/SUMIFS($G$2:$G$1122,$F$2:$F$1122,"Served"))</f>
        <v>0.00029456445082253</v>
      </c>
      <c r="I316" s="4" t="n">
        <f aca="false">IF(G316="","",RANK(G316,$G$2:$G$1122,0))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30</v>
      </c>
      <c r="C317" s="4" t="s">
        <v>213</v>
      </c>
      <c r="D317" s="7" t="s">
        <v>715</v>
      </c>
      <c r="E317" s="4" t="s">
        <v>33</v>
      </c>
      <c r="F317" s="4" t="s">
        <v>4</v>
      </c>
      <c r="G317" s="8" t="n">
        <v>6085.64745938778</v>
      </c>
      <c r="H317" s="6" t="n">
        <f aca="false">IF(G317="","",G317/SUMIFS($G$2:$G$1122,$F$2:$F$1122,"Served"))</f>
        <v>0.000292146768602828</v>
      </c>
      <c r="I317" s="4" t="n">
        <f aca="false">IF(G317="","",RANK(G317,$G$2:$G$1122,0))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187</v>
      </c>
      <c r="C318" s="4" t="s">
        <v>188</v>
      </c>
      <c r="D318" s="7" t="s">
        <v>717</v>
      </c>
      <c r="E318" s="4" t="s">
        <v>190</v>
      </c>
      <c r="F318" s="4" t="s">
        <v>4</v>
      </c>
      <c r="G318" s="8" t="n">
        <v>6074.97243714333</v>
      </c>
      <c r="H318" s="6" t="n">
        <f aca="false">IF(G318="","",G318/SUMIFS($G$2:$G$1122,$F$2:$F$1122,"Served"))</f>
        <v>0.000291634304929194</v>
      </c>
      <c r="I318" s="4" t="n">
        <f aca="false">IF(G318="","",RANK(G318,$G$2:$G$1122,0))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223</v>
      </c>
      <c r="C319" s="4" t="s">
        <v>224</v>
      </c>
      <c r="D319" s="7" t="s">
        <v>719</v>
      </c>
      <c r="E319" s="4" t="s">
        <v>226</v>
      </c>
      <c r="F319" s="4" t="s">
        <v>4</v>
      </c>
      <c r="G319" s="8" t="n">
        <v>6065.66477549076</v>
      </c>
      <c r="H319" s="6" t="n">
        <f aca="false">IF(G319="","",G319/SUMIFS($G$2:$G$1122,$F$2:$F$1122,"Served"))</f>
        <v>0.000291187482583143</v>
      </c>
      <c r="I319" s="4" t="n">
        <f aca="false">IF(G319="","",RANK(G319,$G$2:$G$1122,0))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30</v>
      </c>
      <c r="C320" s="4" t="s">
        <v>629</v>
      </c>
      <c r="D320" s="7" t="s">
        <v>721</v>
      </c>
      <c r="E320" s="4" t="s">
        <v>33</v>
      </c>
      <c r="F320" s="4" t="s">
        <v>4</v>
      </c>
      <c r="G320" s="8" t="n">
        <v>6040.55081444979</v>
      </c>
      <c r="H320" s="6" t="n">
        <f aca="false">IF(G320="","",G320/SUMIFS($G$2:$G$1122,$F$2:$F$1122,"Served"))</f>
        <v>0.000289981865167099</v>
      </c>
      <c r="I320" s="4" t="n">
        <f aca="false">IF(G320="","",RANK(G320,$G$2:$G$1122,0))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145</v>
      </c>
      <c r="C321" s="4" t="s">
        <v>146</v>
      </c>
      <c r="D321" s="7" t="s">
        <v>723</v>
      </c>
      <c r="E321" s="4" t="s">
        <v>148</v>
      </c>
      <c r="F321" s="4" t="s">
        <v>4</v>
      </c>
      <c r="G321" s="8" t="n">
        <v>6004.89997953177</v>
      </c>
      <c r="H321" s="6" t="n">
        <f aca="false">IF(G321="","",G321/SUMIFS($G$2:$G$1122,$F$2:$F$1122,"Served"))</f>
        <v>0.000288270416009257</v>
      </c>
      <c r="I321" s="4" t="n">
        <f aca="false">IF(G321="","",RANK(G321,$G$2:$G$1122,0))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223</v>
      </c>
      <c r="C322" s="4" t="s">
        <v>224</v>
      </c>
      <c r="D322" s="7" t="s">
        <v>725</v>
      </c>
      <c r="E322" s="4" t="s">
        <v>226</v>
      </c>
      <c r="F322" s="4" t="s">
        <v>4</v>
      </c>
      <c r="G322" s="8" t="n">
        <v>5920.52652573586</v>
      </c>
      <c r="H322" s="6" t="n">
        <f aca="false">IF(G322="","",G322/SUMIFS($G$2:$G$1122,$F$2:$F$1122,"Served"))</f>
        <v>0.000284219995401289</v>
      </c>
      <c r="I322" s="4" t="n">
        <f aca="false">IF(G322="","",RANK(G322,$G$2:$G$1122,0))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30</v>
      </c>
      <c r="C323" s="4" t="s">
        <v>31</v>
      </c>
      <c r="D323" s="7" t="s">
        <v>727</v>
      </c>
      <c r="E323" s="4" t="s">
        <v>33</v>
      </c>
      <c r="F323" s="4" t="s">
        <v>4</v>
      </c>
      <c r="G323" s="8" t="n">
        <v>5820.85017538071</v>
      </c>
      <c r="H323" s="6" t="n">
        <f aca="false">IF(G323="","",G323/SUMIFS($G$2:$G$1122,$F$2:$F$1122,"Served"))</f>
        <v>0.00027943494601144</v>
      </c>
      <c r="I323" s="4" t="n">
        <f aca="false">IF(G323="","",RANK(G323,$G$2:$G$1122,0))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629</v>
      </c>
      <c r="D324" s="7" t="s">
        <v>729</v>
      </c>
      <c r="E324" s="4" t="s">
        <v>33</v>
      </c>
      <c r="F324" s="4" t="s">
        <v>4</v>
      </c>
      <c r="G324" s="8" t="n">
        <v>5816.07223010063</v>
      </c>
      <c r="H324" s="6" t="n">
        <f aca="false">IF(G324="","",G324/SUMIFS($G$2:$G$1122,$F$2:$F$1122,"Served"))</f>
        <v>0.000279205576616737</v>
      </c>
      <c r="I324" s="4" t="n">
        <f aca="false">IF(G324="","",RANK(G324,$G$2:$G$1122,0))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145</v>
      </c>
      <c r="C325" s="4" t="s">
        <v>257</v>
      </c>
      <c r="D325" s="7" t="s">
        <v>731</v>
      </c>
      <c r="E325" s="4" t="s">
        <v>148</v>
      </c>
      <c r="F325" s="4" t="s">
        <v>4</v>
      </c>
      <c r="G325" s="8" t="n">
        <v>5665.24308049679</v>
      </c>
      <c r="H325" s="6" t="n">
        <f aca="false">IF(G325="","",G325/SUMIFS($G$2:$G$1122,$F$2:$F$1122,"Served"))</f>
        <v>0.000271964892866662</v>
      </c>
      <c r="I325" s="4" t="n">
        <f aca="false">IF(G325="","",RANK(G325,$G$2:$G$1122,0))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187</v>
      </c>
      <c r="C326" s="4" t="s">
        <v>188</v>
      </c>
      <c r="D326" s="7" t="s">
        <v>733</v>
      </c>
      <c r="E326" s="4" t="s">
        <v>190</v>
      </c>
      <c r="F326" s="4" t="s">
        <v>4</v>
      </c>
      <c r="G326" s="8" t="n">
        <v>5654.53371536732</v>
      </c>
      <c r="H326" s="6" t="n">
        <f aca="false">IF(G326="","",G326/SUMIFS($G$2:$G$1122,$F$2:$F$1122,"Served"))</f>
        <v>0.000271450780533136</v>
      </c>
      <c r="I326" s="4" t="n">
        <f aca="false">IF(G326="","",RANK(G326,$G$2:$G$1122,0))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735</v>
      </c>
      <c r="D327" s="7" t="s">
        <v>736</v>
      </c>
      <c r="E327" s="4" t="s">
        <v>33</v>
      </c>
      <c r="F327" s="4" t="s">
        <v>4</v>
      </c>
      <c r="G327" s="8" t="n">
        <v>5639.38163614273</v>
      </c>
      <c r="H327" s="6" t="n">
        <f aca="false">IF(G327="","",G327/SUMIFS($G$2:$G$1122,$F$2:$F$1122,"Served"))</f>
        <v>0.000270723391867818</v>
      </c>
      <c r="I327" s="4" t="n">
        <f aca="false">IF(G327="","",RANK(G327,$G$2:$G$1122,0))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145</v>
      </c>
      <c r="C328" s="4" t="s">
        <v>257</v>
      </c>
      <c r="D328" s="7" t="s">
        <v>738</v>
      </c>
      <c r="E328" s="4" t="s">
        <v>148</v>
      </c>
      <c r="F328" s="4" t="s">
        <v>4</v>
      </c>
      <c r="G328" s="8" t="n">
        <v>5596.64421284199</v>
      </c>
      <c r="H328" s="6" t="n">
        <f aca="false">IF(G328="","",G328/SUMIFS($G$2:$G$1122,$F$2:$F$1122,"Served"))</f>
        <v>0.000268671744906826</v>
      </c>
      <c r="I328" s="4" t="n">
        <f aca="false">IF(G328="","",RANK(G328,$G$2:$G$1122,0))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48</v>
      </c>
      <c r="C329" s="4" t="s">
        <v>49</v>
      </c>
      <c r="D329" s="7" t="s">
        <v>740</v>
      </c>
      <c r="E329" s="4" t="s">
        <v>51</v>
      </c>
      <c r="F329" s="4" t="s">
        <v>4</v>
      </c>
      <c r="G329" s="8" t="n">
        <v>5538.88589632511</v>
      </c>
      <c r="H329" s="6" t="n">
        <f aca="false">IF(G329="","",G329/SUMIFS($G$2:$G$1122,$F$2:$F$1122,"Served"))</f>
        <v>0.00026589900697829</v>
      </c>
      <c r="I329" s="4" t="n">
        <f aca="false">IF(G329="","",RANK(G329,$G$2:$G$1122,0))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223</v>
      </c>
      <c r="C330" s="4" t="s">
        <v>224</v>
      </c>
      <c r="D330" s="7" t="s">
        <v>742</v>
      </c>
      <c r="E330" s="4" t="s">
        <v>226</v>
      </c>
      <c r="F330" s="4" t="s">
        <v>4</v>
      </c>
      <c r="G330" s="8" t="n">
        <v>5511.66710090637</v>
      </c>
      <c r="H330" s="6" t="n">
        <f aca="false">IF(G330="","",G330/SUMIFS($G$2:$G$1122,$F$2:$F$1122,"Served"))</f>
        <v>0.000264592345167872</v>
      </c>
      <c r="I330" s="4" t="n">
        <f aca="false">IF(G330="","",RANK(G330,$G$2:$G$1122,0))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187</v>
      </c>
      <c r="C331" s="4" t="s">
        <v>188</v>
      </c>
      <c r="D331" s="7" t="s">
        <v>744</v>
      </c>
      <c r="E331" s="4" t="s">
        <v>190</v>
      </c>
      <c r="F331" s="4" t="s">
        <v>4</v>
      </c>
      <c r="G331" s="8" t="n">
        <v>5405.22479778528</v>
      </c>
      <c r="H331" s="6" t="n">
        <f aca="false">IF(G331="","",G331/SUMIFS($G$2:$G$1122,$F$2:$F$1122,"Served"))</f>
        <v>0.000259482490364913</v>
      </c>
      <c r="I331" s="4" t="n">
        <f aca="false">IF(G331="","",RANK(G331,$G$2:$G$1122,0))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48</v>
      </c>
      <c r="C332" s="4" t="s">
        <v>49</v>
      </c>
      <c r="D332" s="7" t="s">
        <v>746</v>
      </c>
      <c r="E332" s="4" t="s">
        <v>51</v>
      </c>
      <c r="F332" s="4" t="s">
        <v>4</v>
      </c>
      <c r="G332" s="8" t="n">
        <v>5390.24716234207</v>
      </c>
      <c r="H332" s="6" t="n">
        <f aca="false">IF(G332="","",G332/SUMIFS($G$2:$G$1122,$F$2:$F$1122,"Served"))</f>
        <v>0.000258763476024164</v>
      </c>
      <c r="I332" s="4" t="n">
        <f aca="false">IF(G332="","",RANK(G332,$G$2:$G$1122,0))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48</v>
      </c>
      <c r="C333" s="4" t="s">
        <v>49</v>
      </c>
      <c r="D333" s="7" t="s">
        <v>748</v>
      </c>
      <c r="E333" s="4" t="s">
        <v>51</v>
      </c>
      <c r="F333" s="4" t="s">
        <v>4</v>
      </c>
      <c r="G333" s="8" t="n">
        <v>5383.21358180046</v>
      </c>
      <c r="H333" s="6" t="n">
        <f aca="false">IF(G333="","",G333/SUMIFS($G$2:$G$1122,$F$2:$F$1122,"Served"))</f>
        <v>0.000258425822908262</v>
      </c>
      <c r="I333" s="4" t="n">
        <f aca="false">IF(G333="","",RANK(G333,$G$2:$G$1122,0))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5355.44740664959</v>
      </c>
      <c r="H334" s="6" t="n">
        <f aca="false">IF(G334="","",G334/SUMIFS($G$2:$G$1122,$F$2:$F$1122,"Served"))</f>
        <v>0.00025709288366048</v>
      </c>
      <c r="I334" s="4" t="n">
        <f aca="false">IF(G334="","",RANK(G334,$G$2:$G$1122,0))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223</v>
      </c>
      <c r="C335" s="4" t="s">
        <v>224</v>
      </c>
      <c r="D335" s="7" t="s">
        <v>752</v>
      </c>
      <c r="E335" s="4" t="s">
        <v>226</v>
      </c>
      <c r="F335" s="4" t="s">
        <v>4</v>
      </c>
      <c r="G335" s="8" t="n">
        <v>5330.26485049725</v>
      </c>
      <c r="H335" s="6" t="n">
        <f aca="false">IF(G335="","",G335/SUMIFS($G$2:$G$1122,$F$2:$F$1122,"Served"))</f>
        <v>0.0002558839732768</v>
      </c>
      <c r="I335" s="4" t="n">
        <f aca="false">IF(G335="","",RANK(G335,$G$2:$G$1122,0))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223</v>
      </c>
      <c r="C336" s="4" t="s">
        <v>224</v>
      </c>
      <c r="D336" s="7" t="s">
        <v>754</v>
      </c>
      <c r="E336" s="4" t="s">
        <v>226</v>
      </c>
      <c r="F336" s="4" t="s">
        <v>4</v>
      </c>
      <c r="G336" s="8" t="n">
        <v>5315.19853842259</v>
      </c>
      <c r="H336" s="6" t="n">
        <f aca="false">IF(G336="","",G336/SUMIFS($G$2:$G$1122,$F$2:$F$1122,"Served"))</f>
        <v>0.000255160701937678</v>
      </c>
      <c r="I336" s="4" t="n">
        <f aca="false">IF(G336="","",RANK(G336,$G$2:$G$1122,0))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48</v>
      </c>
      <c r="C337" s="4" t="s">
        <v>49</v>
      </c>
      <c r="D337" s="7" t="s">
        <v>756</v>
      </c>
      <c r="E337" s="4" t="s">
        <v>51</v>
      </c>
      <c r="F337" s="4" t="s">
        <v>4</v>
      </c>
      <c r="G337" s="8" t="n">
        <v>5288.05148851872</v>
      </c>
      <c r="H337" s="6" t="n">
        <f aca="false">IF(G337="","",G337/SUMIFS($G$2:$G$1122,$F$2:$F$1122,"Served"))</f>
        <v>0.000253857484332741</v>
      </c>
      <c r="I337" s="4" t="n">
        <f aca="false">IF(G337="","",RANK(G337,$G$2:$G$1122,0))</f>
        <v>336</v>
      </c>
      <c r="J337" s="4" t="s">
        <v>34</v>
      </c>
    </row>
    <row r="338" customFormat="false" ht="15" hidden="false" customHeight="false" outlineLevel="0" collapsed="false">
      <c r="A338" s="4" t="s">
        <v>757</v>
      </c>
      <c r="B338" s="4" t="s">
        <v>187</v>
      </c>
      <c r="C338" s="4" t="s">
        <v>188</v>
      </c>
      <c r="D338" s="7" t="s">
        <v>758</v>
      </c>
      <c r="E338" s="4" t="s">
        <v>190</v>
      </c>
      <c r="F338" s="4" t="s">
        <v>4</v>
      </c>
      <c r="G338" s="8" t="n">
        <v>5267.90783017874</v>
      </c>
      <c r="H338" s="6" t="n">
        <f aca="false">IF(G338="","",G338/SUMIFS($G$2:$G$1122,$F$2:$F$1122,"Served"))</f>
        <v>0.000252890470595725</v>
      </c>
      <c r="I338" s="4" t="n">
        <f aca="false">IF(G338="","",RANK(G338,$G$2:$G$1122,0))</f>
        <v>337</v>
      </c>
      <c r="J338" s="4" t="s">
        <v>34</v>
      </c>
    </row>
    <row r="339" customFormat="false" ht="15" hidden="false" customHeight="false" outlineLevel="0" collapsed="false">
      <c r="A339" s="4" t="s">
        <v>759</v>
      </c>
      <c r="B339" s="4" t="s">
        <v>187</v>
      </c>
      <c r="C339" s="4" t="s">
        <v>188</v>
      </c>
      <c r="D339" s="7" t="s">
        <v>760</v>
      </c>
      <c r="E339" s="4" t="s">
        <v>190</v>
      </c>
      <c r="F339" s="4" t="s">
        <v>4</v>
      </c>
      <c r="G339" s="8" t="n">
        <v>5257.16276907921</v>
      </c>
      <c r="H339" s="6" t="n">
        <f aca="false">IF(G339="","",G339/SUMIFS($G$2:$G$1122,$F$2:$F$1122,"Served"))</f>
        <v>0.00025237464464629</v>
      </c>
      <c r="I339" s="4" t="n">
        <f aca="false">IF(G339="","",RANK(G339,$G$2:$G$1122,0))</f>
        <v>338</v>
      </c>
      <c r="J339" s="4" t="s">
        <v>34</v>
      </c>
    </row>
    <row r="340" customFormat="false" ht="15" hidden="false" customHeight="false" outlineLevel="0" collapsed="false">
      <c r="A340" s="4" t="s">
        <v>761</v>
      </c>
      <c r="B340" s="4" t="s">
        <v>145</v>
      </c>
      <c r="C340" s="4" t="s">
        <v>257</v>
      </c>
      <c r="D340" s="7" t="s">
        <v>762</v>
      </c>
      <c r="E340" s="4" t="s">
        <v>148</v>
      </c>
      <c r="F340" s="4" t="s">
        <v>4</v>
      </c>
      <c r="G340" s="8" t="n">
        <v>5164.29476928711</v>
      </c>
      <c r="H340" s="6" t="n">
        <f aca="false">IF(G340="","",G340/SUMIFS($G$2:$G$1122,$F$2:$F$1122,"Served"))</f>
        <v>0.000247916436012463</v>
      </c>
      <c r="I340" s="4" t="n">
        <f aca="false">IF(G340="","",RANK(G340,$G$2:$G$1122,0))</f>
        <v>339</v>
      </c>
      <c r="J340" s="4" t="s">
        <v>34</v>
      </c>
    </row>
    <row r="341" customFormat="false" ht="15" hidden="false" customHeight="false" outlineLevel="0" collapsed="false">
      <c r="A341" s="4" t="s">
        <v>763</v>
      </c>
      <c r="B341" s="4" t="s">
        <v>119</v>
      </c>
      <c r="C341" s="4" t="s">
        <v>764</v>
      </c>
      <c r="D341" s="7" t="s">
        <v>765</v>
      </c>
      <c r="E341" s="4" t="s">
        <v>33</v>
      </c>
      <c r="F341" s="4" t="s">
        <v>4</v>
      </c>
      <c r="G341" s="8" t="n">
        <v>5158.61947929859</v>
      </c>
      <c r="H341" s="6" t="n">
        <f aca="false">IF(G341="","",G341/SUMIFS($G$2:$G$1122,$F$2:$F$1122,"Served"))</f>
        <v>0.000247643988809089</v>
      </c>
      <c r="I341" s="4" t="n">
        <f aca="false">IF(G341="","",RANK(G341,$G$2:$G$1122,0))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145</v>
      </c>
      <c r="C342" s="4" t="s">
        <v>257</v>
      </c>
      <c r="D342" s="7" t="s">
        <v>767</v>
      </c>
      <c r="E342" s="4" t="s">
        <v>148</v>
      </c>
      <c r="F342" s="4" t="s">
        <v>4</v>
      </c>
      <c r="G342" s="8" t="n">
        <v>5148.20754933357</v>
      </c>
      <c r="H342" s="6" t="n">
        <f aca="false">IF(G342="","",G342/SUMIFS($G$2:$G$1122,$F$2:$F$1122,"Served"))</f>
        <v>0.000247144155107827</v>
      </c>
      <c r="I342" s="4" t="n">
        <f aca="false">IF(G342="","",RANK(G342,$G$2:$G$1122,0))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119</v>
      </c>
      <c r="C343" s="4" t="s">
        <v>653</v>
      </c>
      <c r="D343" s="7" t="s">
        <v>769</v>
      </c>
      <c r="E343" s="4" t="s">
        <v>33</v>
      </c>
      <c r="F343" s="4" t="s">
        <v>4</v>
      </c>
      <c r="G343" s="8" t="n">
        <v>5053.05700898171</v>
      </c>
      <c r="H343" s="6" t="n">
        <f aca="false">IF(G343="","",G343/SUMIFS($G$2:$G$1122,$F$2:$F$1122,"Served"))</f>
        <v>0.000242576371140695</v>
      </c>
      <c r="I343" s="4" t="n">
        <f aca="false">IF(G343="","",RANK(G343,$G$2:$G$1122,0))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629</v>
      </c>
      <c r="D344" s="7" t="s">
        <v>771</v>
      </c>
      <c r="E344" s="4" t="s">
        <v>33</v>
      </c>
      <c r="F344" s="4" t="s">
        <v>4</v>
      </c>
      <c r="G344" s="8" t="n">
        <v>5044.44329297543</v>
      </c>
      <c r="H344" s="6" t="n">
        <f aca="false">IF(G344="","",G344/SUMIFS($G$2:$G$1122,$F$2:$F$1122,"Served"))</f>
        <v>0.000242162862255455</v>
      </c>
      <c r="I344" s="4" t="n">
        <f aca="false">IF(G344="","",RANK(G344,$G$2:$G$1122,0))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629</v>
      </c>
      <c r="D345" s="7" t="s">
        <v>773</v>
      </c>
      <c r="E345" s="4" t="s">
        <v>33</v>
      </c>
      <c r="F345" s="4" t="s">
        <v>4</v>
      </c>
      <c r="G345" s="8" t="n">
        <v>5041.21935641766</v>
      </c>
      <c r="H345" s="6" t="n">
        <f aca="false">IF(G345="","",G345/SUMIFS($G$2:$G$1122,$F$2:$F$1122,"Served"))</f>
        <v>0.000242008094393232</v>
      </c>
      <c r="I345" s="4" t="n">
        <f aca="false">IF(G345="","",RANK(G345,$G$2:$G$1122,0))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48</v>
      </c>
      <c r="C346" s="4" t="s">
        <v>49</v>
      </c>
      <c r="D346" s="7" t="s">
        <v>775</v>
      </c>
      <c r="E346" s="4" t="s">
        <v>51</v>
      </c>
      <c r="F346" s="4" t="s">
        <v>4</v>
      </c>
      <c r="G346" s="8" t="n">
        <v>5036.00079321861</v>
      </c>
      <c r="H346" s="6" t="n">
        <f aca="false">IF(G346="","",G346/SUMIFS($G$2:$G$1122,$F$2:$F$1122,"Served"))</f>
        <v>0.000241757572754322</v>
      </c>
      <c r="I346" s="4" t="n">
        <f aca="false">IF(G346="","",RANK(G346,$G$2:$G$1122,0))</f>
        <v>345</v>
      </c>
      <c r="J346" s="4" t="s">
        <v>34</v>
      </c>
    </row>
    <row r="347" customFormat="false" ht="15" hidden="false" customHeight="false" outlineLevel="0" collapsed="false">
      <c r="A347" s="4" t="s">
        <v>776</v>
      </c>
      <c r="B347" s="4" t="s">
        <v>187</v>
      </c>
      <c r="C347" s="4" t="s">
        <v>188</v>
      </c>
      <c r="D347" s="7" t="s">
        <v>777</v>
      </c>
      <c r="E347" s="4" t="s">
        <v>190</v>
      </c>
      <c r="F347" s="4" t="s">
        <v>4</v>
      </c>
      <c r="G347" s="8" t="n">
        <v>5005.72500944138</v>
      </c>
      <c r="H347" s="6" t="n">
        <f aca="false">IF(G347="","",G347/SUMIFS($G$2:$G$1122,$F$2:$F$1122,"Served"))</f>
        <v>0.000240304157574349</v>
      </c>
      <c r="I347" s="4" t="n">
        <f aca="false">IF(G347="","",RANK(G347,$G$2:$G$1122,0))</f>
        <v>346</v>
      </c>
      <c r="J347" s="4" t="s">
        <v>34</v>
      </c>
    </row>
    <row r="348" customFormat="false" ht="15" hidden="false" customHeight="false" outlineLevel="0" collapsed="false">
      <c r="A348" s="4" t="s">
        <v>778</v>
      </c>
      <c r="B348" s="4" t="s">
        <v>145</v>
      </c>
      <c r="C348" s="4" t="s">
        <v>257</v>
      </c>
      <c r="D348" s="7" t="s">
        <v>779</v>
      </c>
      <c r="E348" s="4" t="s">
        <v>148</v>
      </c>
      <c r="F348" s="4" t="s">
        <v>4</v>
      </c>
      <c r="G348" s="8" t="n">
        <v>4992.32552117109</v>
      </c>
      <c r="H348" s="6" t="n">
        <f aca="false">IF(G348="","",G348/SUMIFS($G$2:$G$1122,$F$2:$F$1122,"Served"))</f>
        <v>0.000239660903553275</v>
      </c>
      <c r="I348" s="4" t="n">
        <f aca="false">IF(G348="","",RANK(G348,$G$2:$G$1122,0))</f>
        <v>347</v>
      </c>
      <c r="J348" s="4" t="s">
        <v>34</v>
      </c>
    </row>
    <row r="349" customFormat="false" ht="15" hidden="false" customHeight="false" outlineLevel="0" collapsed="false">
      <c r="A349" s="4" t="s">
        <v>780</v>
      </c>
      <c r="B349" s="4" t="s">
        <v>30</v>
      </c>
      <c r="C349" s="4" t="s">
        <v>544</v>
      </c>
      <c r="D349" s="7" t="s">
        <v>781</v>
      </c>
      <c r="E349" s="4" t="s">
        <v>33</v>
      </c>
      <c r="F349" s="4" t="s">
        <v>4</v>
      </c>
      <c r="G349" s="8" t="n">
        <v>4943.92281162739</v>
      </c>
      <c r="H349" s="6" t="n">
        <f aca="false">IF(G349="","",G349/SUMIFS($G$2:$G$1122,$F$2:$F$1122,"Served"))</f>
        <v>0.000237337289627364</v>
      </c>
      <c r="I349" s="4" t="n">
        <f aca="false">IF(G349="","",RANK(G349,$G$2:$G$1122,0))</f>
        <v>348</v>
      </c>
      <c r="J349" s="4" t="s">
        <v>34</v>
      </c>
    </row>
    <row r="350" customFormat="false" ht="15" hidden="false" customHeight="false" outlineLevel="0" collapsed="false">
      <c r="A350" s="4" t="s">
        <v>782</v>
      </c>
      <c r="B350" s="4" t="s">
        <v>41</v>
      </c>
      <c r="C350" s="4" t="s">
        <v>42</v>
      </c>
      <c r="D350" s="7" t="s">
        <v>783</v>
      </c>
      <c r="E350" s="4" t="s">
        <v>44</v>
      </c>
      <c r="F350" s="4" t="s">
        <v>4</v>
      </c>
      <c r="G350" s="8" t="n">
        <v>4932.24618029594</v>
      </c>
      <c r="H350" s="6" t="n">
        <f aca="false">IF(G350="","",G350/SUMIFS($G$2:$G$1122,$F$2:$F$1122,"Served"))</f>
        <v>0.000236776742843409</v>
      </c>
      <c r="I350" s="4" t="n">
        <f aca="false">IF(G350="","",RANK(G350,$G$2:$G$1122,0))</f>
        <v>349</v>
      </c>
      <c r="J350" s="4" t="s">
        <v>34</v>
      </c>
    </row>
    <row r="351" customFormat="false" ht="15" hidden="false" customHeight="false" outlineLevel="0" collapsed="false">
      <c r="A351" s="4" t="s">
        <v>784</v>
      </c>
      <c r="B351" s="4" t="s">
        <v>223</v>
      </c>
      <c r="C351" s="4" t="s">
        <v>224</v>
      </c>
      <c r="D351" s="7" t="s">
        <v>785</v>
      </c>
      <c r="E351" s="4" t="s">
        <v>226</v>
      </c>
      <c r="F351" s="4" t="s">
        <v>4</v>
      </c>
      <c r="G351" s="8" t="n">
        <v>4914.66889333725</v>
      </c>
      <c r="H351" s="6" t="n">
        <f aca="false">IF(G351="","",G351/SUMIFS($G$2:$G$1122,$F$2:$F$1122,"Served"))</f>
        <v>0.000235932929983716</v>
      </c>
      <c r="I351" s="4" t="n">
        <f aca="false">IF(G351="","",RANK(G351,$G$2:$G$1122,0))</f>
        <v>350</v>
      </c>
      <c r="J351" s="4" t="s">
        <v>34</v>
      </c>
    </row>
    <row r="352" customFormat="false" ht="15" hidden="false" customHeight="false" outlineLevel="0" collapsed="false">
      <c r="A352" s="4" t="s">
        <v>786</v>
      </c>
      <c r="B352" s="4" t="s">
        <v>223</v>
      </c>
      <c r="C352" s="4" t="s">
        <v>224</v>
      </c>
      <c r="D352" s="7" t="s">
        <v>787</v>
      </c>
      <c r="E352" s="4" t="s">
        <v>226</v>
      </c>
      <c r="F352" s="4" t="s">
        <v>4</v>
      </c>
      <c r="G352" s="8" t="n">
        <v>4899.35753798485</v>
      </c>
      <c r="H352" s="6" t="n">
        <f aca="false">IF(G352="","",G352/SUMIFS($G$2:$G$1122,$F$2:$F$1122,"Served"))</f>
        <v>0.000235197895130155</v>
      </c>
      <c r="I352" s="4" t="n">
        <f aca="false">IF(G352="","",RANK(G352,$G$2:$G$1122,0))</f>
        <v>351</v>
      </c>
      <c r="J352" s="4" t="s">
        <v>34</v>
      </c>
    </row>
    <row r="353" customFormat="false" ht="15" hidden="false" customHeight="false" outlineLevel="0" collapsed="false">
      <c r="A353" s="4" t="s">
        <v>788</v>
      </c>
      <c r="B353" s="4" t="s">
        <v>145</v>
      </c>
      <c r="C353" s="4" t="s">
        <v>257</v>
      </c>
      <c r="D353" s="7" t="s">
        <v>789</v>
      </c>
      <c r="E353" s="4" t="s">
        <v>148</v>
      </c>
      <c r="F353" s="4" t="s">
        <v>4</v>
      </c>
      <c r="G353" s="8" t="n">
        <v>4883.09786301851</v>
      </c>
      <c r="H353" s="6" t="n">
        <f aca="false">IF(G353="","",G353/SUMIFS($G$2:$G$1122,$F$2:$F$1122,"Served"))</f>
        <v>0.000234417335373507</v>
      </c>
      <c r="I353" s="4" t="n">
        <f aca="false">IF(G353="","",RANK(G353,$G$2:$G$1122,0))</f>
        <v>352</v>
      </c>
      <c r="J353" s="4" t="s">
        <v>34</v>
      </c>
    </row>
    <row r="354" customFormat="false" ht="15" hidden="false" customHeight="false" outlineLevel="0" collapsed="false">
      <c r="A354" s="4" t="s">
        <v>790</v>
      </c>
      <c r="B354" s="4" t="s">
        <v>30</v>
      </c>
      <c r="C354" s="4" t="s">
        <v>213</v>
      </c>
      <c r="D354" s="7" t="s">
        <v>791</v>
      </c>
      <c r="E354" s="4" t="s">
        <v>33</v>
      </c>
      <c r="F354" s="4" t="s">
        <v>4</v>
      </c>
      <c r="G354" s="8" t="n">
        <v>4854.86235141754</v>
      </c>
      <c r="H354" s="6" t="n">
        <f aca="false">IF(G354="","",G354/SUMIFS($G$2:$G$1122,$F$2:$F$1122,"Served"))</f>
        <v>0.000233061865223598</v>
      </c>
      <c r="I354" s="4" t="n">
        <f aca="false">IF(G354="","",RANK(G354,$G$2:$G$1122,0))</f>
        <v>353</v>
      </c>
      <c r="J354" s="4" t="s">
        <v>34</v>
      </c>
    </row>
    <row r="355" customFormat="false" ht="15" hidden="false" customHeight="false" outlineLevel="0" collapsed="false">
      <c r="A355" s="4" t="s">
        <v>792</v>
      </c>
      <c r="B355" s="4" t="s">
        <v>30</v>
      </c>
      <c r="C355" s="4" t="s">
        <v>31</v>
      </c>
      <c r="D355" s="7" t="s">
        <v>793</v>
      </c>
      <c r="E355" s="4" t="s">
        <v>33</v>
      </c>
      <c r="F355" s="4" t="s">
        <v>4</v>
      </c>
      <c r="G355" s="8" t="n">
        <v>4843.64390563965</v>
      </c>
      <c r="H355" s="6" t="n">
        <f aca="false">IF(G355="","",G355/SUMIFS($G$2:$G$1122,$F$2:$F$1122,"Served"))</f>
        <v>0.000232523314033337</v>
      </c>
      <c r="I355" s="4" t="n">
        <f aca="false">IF(G355="","",RANK(G355,$G$2:$G$1122,0))</f>
        <v>354</v>
      </c>
      <c r="J355" s="4" t="s">
        <v>34</v>
      </c>
    </row>
    <row r="356" customFormat="false" ht="15" hidden="false" customHeight="false" outlineLevel="0" collapsed="false">
      <c r="A356" s="4" t="s">
        <v>794</v>
      </c>
      <c r="B356" s="4" t="s">
        <v>48</v>
      </c>
      <c r="C356" s="4" t="s">
        <v>49</v>
      </c>
      <c r="D356" s="7" t="s">
        <v>795</v>
      </c>
      <c r="E356" s="4" t="s">
        <v>51</v>
      </c>
      <c r="F356" s="4" t="s">
        <v>4</v>
      </c>
      <c r="G356" s="8" t="n">
        <v>4835.22429865599</v>
      </c>
      <c r="H356" s="6" t="n">
        <f aca="false">IF(G356="","",G356/SUMIFS($G$2:$G$1122,$F$2:$F$1122,"Served"))</f>
        <v>0.000232119123519576</v>
      </c>
      <c r="I356" s="4" t="n">
        <f aca="false">IF(G356="","",RANK(G356,$G$2:$G$1122,0))</f>
        <v>355</v>
      </c>
      <c r="J356" s="4" t="s">
        <v>34</v>
      </c>
    </row>
    <row r="357" customFormat="false" ht="15" hidden="false" customHeight="false" outlineLevel="0" collapsed="false">
      <c r="A357" s="4" t="s">
        <v>796</v>
      </c>
      <c r="B357" s="4" t="s">
        <v>48</v>
      </c>
      <c r="C357" s="4" t="s">
        <v>49</v>
      </c>
      <c r="D357" s="7" t="s">
        <v>797</v>
      </c>
      <c r="E357" s="4" t="s">
        <v>51</v>
      </c>
      <c r="F357" s="4" t="s">
        <v>4</v>
      </c>
      <c r="G357" s="8" t="n">
        <v>4830.15303725004</v>
      </c>
      <c r="H357" s="6" t="n">
        <f aca="false">IF(G357="","",G357/SUMIFS($G$2:$G$1122,$F$2:$F$1122,"Served"))</f>
        <v>0.000231875673230617</v>
      </c>
      <c r="I357" s="4" t="n">
        <f aca="false">IF(G357="","",RANK(G357,$G$2:$G$1122,0))</f>
        <v>356</v>
      </c>
      <c r="J357" s="4" t="s">
        <v>34</v>
      </c>
    </row>
    <row r="358" customFormat="false" ht="15" hidden="false" customHeight="false" outlineLevel="0" collapsed="false">
      <c r="A358" s="4" t="s">
        <v>798</v>
      </c>
      <c r="B358" s="4" t="s">
        <v>30</v>
      </c>
      <c r="C358" s="4" t="s">
        <v>629</v>
      </c>
      <c r="D358" s="7" t="s">
        <v>799</v>
      </c>
      <c r="E358" s="4" t="s">
        <v>33</v>
      </c>
      <c r="F358" s="4" t="s">
        <v>4</v>
      </c>
      <c r="G358" s="8" t="n">
        <v>4823.45941412449</v>
      </c>
      <c r="H358" s="6" t="n">
        <f aca="false">IF(G358="","",G358/SUMIFS($G$2:$G$1122,$F$2:$F$1122,"Served"))</f>
        <v>0.000231554340064438</v>
      </c>
      <c r="I358" s="4" t="n">
        <f aca="false">IF(G358="","",RANK(G358,$G$2:$G$1122,0))</f>
        <v>357</v>
      </c>
      <c r="J358" s="4" t="s">
        <v>34</v>
      </c>
    </row>
    <row r="359" customFormat="false" ht="15" hidden="false" customHeight="false" outlineLevel="0" collapsed="false">
      <c r="A359" s="4" t="s">
        <v>800</v>
      </c>
      <c r="B359" s="4" t="s">
        <v>48</v>
      </c>
      <c r="C359" s="4" t="s">
        <v>49</v>
      </c>
      <c r="D359" s="7" t="s">
        <v>801</v>
      </c>
      <c r="E359" s="4" t="s">
        <v>51</v>
      </c>
      <c r="F359" s="4" t="s">
        <v>4</v>
      </c>
      <c r="G359" s="8" t="n">
        <v>4762.79609310627</v>
      </c>
      <c r="H359" s="6" t="n">
        <f aca="false">IF(G359="","",G359/SUMIFS($G$2:$G$1122,$F$2:$F$1122,"Served"))</f>
        <v>0.000228642144882831</v>
      </c>
      <c r="I359" s="4" t="n">
        <f aca="false">IF(G359="","",RANK(G359,$G$2:$G$1122,0))</f>
        <v>358</v>
      </c>
      <c r="J359" s="4" t="s">
        <v>34</v>
      </c>
    </row>
    <row r="360" customFormat="false" ht="15" hidden="false" customHeight="false" outlineLevel="0" collapsed="false">
      <c r="A360" s="4" t="s">
        <v>802</v>
      </c>
      <c r="B360" s="4" t="s">
        <v>48</v>
      </c>
      <c r="C360" s="4" t="s">
        <v>49</v>
      </c>
      <c r="D360" s="7" t="s">
        <v>803</v>
      </c>
      <c r="E360" s="4" t="s">
        <v>51</v>
      </c>
      <c r="F360" s="4" t="s">
        <v>4</v>
      </c>
      <c r="G360" s="8" t="n">
        <v>4748.23651921749</v>
      </c>
      <c r="H360" s="6" t="n">
        <f aca="false">IF(G360="","",G360/SUMIFS($G$2:$G$1122,$F$2:$F$1122,"Served"))</f>
        <v>0.000227943199948504</v>
      </c>
      <c r="I360" s="4" t="n">
        <f aca="false">IF(G360="","",RANK(G360,$G$2:$G$1122,0))</f>
        <v>359</v>
      </c>
      <c r="J360" s="4" t="s">
        <v>34</v>
      </c>
    </row>
    <row r="361" customFormat="false" ht="15" hidden="false" customHeight="false" outlineLevel="0" collapsed="false">
      <c r="A361" s="4" t="s">
        <v>804</v>
      </c>
      <c r="B361" s="4" t="s">
        <v>187</v>
      </c>
      <c r="C361" s="4" t="s">
        <v>188</v>
      </c>
      <c r="D361" s="7" t="s">
        <v>805</v>
      </c>
      <c r="E361" s="4" t="s">
        <v>190</v>
      </c>
      <c r="F361" s="4" t="s">
        <v>4</v>
      </c>
      <c r="G361" s="8" t="n">
        <v>4736.16940498352</v>
      </c>
      <c r="H361" s="6" t="n">
        <f aca="false">IF(G361="","",G361/SUMIFS($G$2:$G$1122,$F$2:$F$1122,"Served"))</f>
        <v>0.000227363907695158</v>
      </c>
      <c r="I361" s="4" t="n">
        <f aca="false">IF(G361="","",RANK(G361,$G$2:$G$1122,0))</f>
        <v>360</v>
      </c>
      <c r="J361" s="4" t="s">
        <v>34</v>
      </c>
    </row>
    <row r="362" customFormat="false" ht="15" hidden="false" customHeight="false" outlineLevel="0" collapsed="false">
      <c r="A362" s="4" t="s">
        <v>806</v>
      </c>
      <c r="B362" s="4" t="s">
        <v>187</v>
      </c>
      <c r="C362" s="4" t="s">
        <v>188</v>
      </c>
      <c r="D362" s="7" t="s">
        <v>807</v>
      </c>
      <c r="E362" s="4" t="s">
        <v>190</v>
      </c>
      <c r="F362" s="4" t="s">
        <v>4</v>
      </c>
      <c r="G362" s="8" t="n">
        <v>4703.56615549326</v>
      </c>
      <c r="H362" s="6" t="n">
        <f aca="false">IF(G362="","",G362/SUMIFS($G$2:$G$1122,$F$2:$F$1122,"Served"))</f>
        <v>0.000225798760511051</v>
      </c>
      <c r="I362" s="4" t="n">
        <f aca="false">IF(G362="","",RANK(G362,$G$2:$G$1122,0))</f>
        <v>361</v>
      </c>
      <c r="J362" s="4" t="s">
        <v>34</v>
      </c>
    </row>
    <row r="363" customFormat="false" ht="15" hidden="false" customHeight="false" outlineLevel="0" collapsed="false">
      <c r="A363" s="4" t="s">
        <v>808</v>
      </c>
      <c r="B363" s="4" t="s">
        <v>48</v>
      </c>
      <c r="C363" s="4" t="s">
        <v>49</v>
      </c>
      <c r="D363" s="7" t="s">
        <v>809</v>
      </c>
      <c r="E363" s="4" t="s">
        <v>51</v>
      </c>
      <c r="F363" s="4" t="s">
        <v>4</v>
      </c>
      <c r="G363" s="8" t="n">
        <v>4673.54468333721</v>
      </c>
      <c r="H363" s="6" t="n">
        <f aca="false">IF(G363="","",G363/SUMIFS($G$2:$G$1122,$F$2:$F$1122,"Served"))</f>
        <v>0.000224357553780358</v>
      </c>
      <c r="I363" s="4" t="n">
        <f aca="false">IF(G363="","",RANK(G363,$G$2:$G$1122,0))</f>
        <v>362</v>
      </c>
      <c r="J363" s="4" t="s">
        <v>34</v>
      </c>
    </row>
    <row r="364" customFormat="false" ht="15" hidden="false" customHeight="false" outlineLevel="0" collapsed="false">
      <c r="A364" s="4" t="s">
        <v>810</v>
      </c>
      <c r="B364" s="4" t="s">
        <v>48</v>
      </c>
      <c r="C364" s="4" t="s">
        <v>49</v>
      </c>
      <c r="D364" s="7" t="s">
        <v>811</v>
      </c>
      <c r="E364" s="4" t="s">
        <v>51</v>
      </c>
      <c r="F364" s="4" t="s">
        <v>4</v>
      </c>
      <c r="G364" s="8" t="n">
        <v>4655.24094200134</v>
      </c>
      <c r="H364" s="6" t="n">
        <f aca="false">IF(G364="","",G364/SUMIFS($G$2:$G$1122,$F$2:$F$1122,"Served"))</f>
        <v>0.000223478866850118</v>
      </c>
      <c r="I364" s="4" t="n">
        <f aca="false">IF(G364="","",RANK(G364,$G$2:$G$1122,0))</f>
        <v>363</v>
      </c>
      <c r="J364" s="4" t="s">
        <v>34</v>
      </c>
    </row>
    <row r="365" customFormat="false" ht="15" hidden="false" customHeight="false" outlineLevel="0" collapsed="false">
      <c r="A365" s="4" t="s">
        <v>812</v>
      </c>
      <c r="B365" s="4" t="s">
        <v>30</v>
      </c>
      <c r="C365" s="4" t="s">
        <v>213</v>
      </c>
      <c r="D365" s="7" t="s">
        <v>813</v>
      </c>
      <c r="E365" s="4" t="s">
        <v>33</v>
      </c>
      <c r="F365" s="4" t="s">
        <v>4</v>
      </c>
      <c r="G365" s="8" t="n">
        <v>4638.83407241106</v>
      </c>
      <c r="H365" s="6" t="n">
        <f aca="false">IF(G365="","",G365/SUMIFS($G$2:$G$1122,$F$2:$F$1122,"Served"))</f>
        <v>0.000222691240888266</v>
      </c>
      <c r="I365" s="4" t="n">
        <f aca="false">IF(G365="","",RANK(G365,$G$2:$G$1122,0))</f>
        <v>364</v>
      </c>
      <c r="J365" s="4" t="s">
        <v>34</v>
      </c>
    </row>
    <row r="366" customFormat="false" ht="15" hidden="false" customHeight="false" outlineLevel="0" collapsed="false">
      <c r="A366" s="4" t="s">
        <v>814</v>
      </c>
      <c r="B366" s="4" t="s">
        <v>30</v>
      </c>
      <c r="C366" s="4" t="s">
        <v>31</v>
      </c>
      <c r="D366" s="7" t="s">
        <v>815</v>
      </c>
      <c r="E366" s="4" t="s">
        <v>33</v>
      </c>
      <c r="F366" s="4" t="s">
        <v>4</v>
      </c>
      <c r="G366" s="8" t="n">
        <v>4610.57940137386</v>
      </c>
      <c r="H366" s="6" t="n">
        <f aca="false">IF(G366="","",G366/SUMIFS($G$2:$G$1122,$F$2:$F$1122,"Served"))</f>
        <v>0.000221334850973054</v>
      </c>
      <c r="I366" s="4" t="n">
        <f aca="false">IF(G366="","",RANK(G366,$G$2:$G$1122,0))</f>
        <v>365</v>
      </c>
      <c r="J366" s="4" t="s">
        <v>34</v>
      </c>
    </row>
    <row r="367" customFormat="false" ht="15" hidden="false" customHeight="false" outlineLevel="0" collapsed="false">
      <c r="A367" s="4" t="s">
        <v>816</v>
      </c>
      <c r="B367" s="4" t="s">
        <v>131</v>
      </c>
      <c r="C367" s="4" t="s">
        <v>132</v>
      </c>
      <c r="D367" s="7" t="s">
        <v>817</v>
      </c>
      <c r="E367" s="4" t="s">
        <v>134</v>
      </c>
      <c r="F367" s="4" t="s">
        <v>4</v>
      </c>
      <c r="G367" s="8" t="n">
        <v>4606.97437846661</v>
      </c>
      <c r="H367" s="6" t="n">
        <f aca="false">IF(G367="","",G367/SUMIFS($G$2:$G$1122,$F$2:$F$1122,"Served"))</f>
        <v>0.000221161788731095</v>
      </c>
      <c r="I367" s="4" t="n">
        <f aca="false">IF(G367="","",RANK(G367,$G$2:$G$1122,0))</f>
        <v>366</v>
      </c>
      <c r="J367" s="4" t="s">
        <v>34</v>
      </c>
    </row>
    <row r="368" customFormat="false" ht="15" hidden="false" customHeight="false" outlineLevel="0" collapsed="false">
      <c r="A368" s="4" t="s">
        <v>818</v>
      </c>
      <c r="B368" s="4" t="s">
        <v>119</v>
      </c>
      <c r="C368" s="4" t="s">
        <v>764</v>
      </c>
      <c r="D368" s="7" t="s">
        <v>819</v>
      </c>
      <c r="E368" s="4" t="s">
        <v>33</v>
      </c>
      <c r="F368" s="4" t="s">
        <v>4</v>
      </c>
      <c r="G368" s="8" t="n">
        <v>4554.82906144857</v>
      </c>
      <c r="H368" s="6" t="n">
        <f aca="false">IF(G368="","",G368/SUMIFS($G$2:$G$1122,$F$2:$F$1122,"Served"))</f>
        <v>0.000218658507697112</v>
      </c>
      <c r="I368" s="4" t="n">
        <f aca="false">IF(G368="","",RANK(G368,$G$2:$G$1122,0))</f>
        <v>367</v>
      </c>
      <c r="J368" s="4" t="s">
        <v>34</v>
      </c>
    </row>
    <row r="369" customFormat="false" ht="15" hidden="false" customHeight="false" outlineLevel="0" collapsed="false">
      <c r="A369" s="4" t="s">
        <v>820</v>
      </c>
      <c r="B369" s="4" t="s">
        <v>187</v>
      </c>
      <c r="C369" s="4" t="s">
        <v>188</v>
      </c>
      <c r="D369" s="7" t="s">
        <v>821</v>
      </c>
      <c r="E369" s="4" t="s">
        <v>190</v>
      </c>
      <c r="F369" s="4" t="s">
        <v>4</v>
      </c>
      <c r="G369" s="8" t="n">
        <v>4528.46555352211</v>
      </c>
      <c r="H369" s="6" t="n">
        <f aca="false">IF(G369="","",G369/SUMIFS($G$2:$G$1122,$F$2:$F$1122,"Served"))</f>
        <v>0.000217392904702336</v>
      </c>
      <c r="I369" s="4" t="n">
        <f aca="false">IF(G369="","",RANK(G369,$G$2:$G$1122,0))</f>
        <v>368</v>
      </c>
      <c r="J369" s="4" t="s">
        <v>34</v>
      </c>
    </row>
    <row r="370" customFormat="false" ht="15" hidden="false" customHeight="false" outlineLevel="0" collapsed="false">
      <c r="A370" s="4" t="s">
        <v>822</v>
      </c>
      <c r="B370" s="4" t="s">
        <v>119</v>
      </c>
      <c r="C370" s="4" t="s">
        <v>456</v>
      </c>
      <c r="D370" s="7" t="s">
        <v>823</v>
      </c>
      <c r="E370" s="4" t="s">
        <v>33</v>
      </c>
      <c r="F370" s="4" t="s">
        <v>4</v>
      </c>
      <c r="G370" s="8" t="n">
        <v>4524.0577455163</v>
      </c>
      <c r="H370" s="6" t="n">
        <f aca="false">IF(G370="","",G370/SUMIFS($G$2:$G$1122,$F$2:$F$1122,"Served"))</f>
        <v>0.000217181304067546</v>
      </c>
      <c r="I370" s="4" t="n">
        <f aca="false">IF(G370="","",RANK(G370,$G$2:$G$1122,0))</f>
        <v>369</v>
      </c>
      <c r="J370" s="4" t="s">
        <v>34</v>
      </c>
    </row>
    <row r="371" customFormat="false" ht="15" hidden="false" customHeight="false" outlineLevel="0" collapsed="false">
      <c r="A371" s="4" t="s">
        <v>824</v>
      </c>
      <c r="B371" s="4" t="s">
        <v>41</v>
      </c>
      <c r="C371" s="4" t="s">
        <v>42</v>
      </c>
      <c r="D371" s="7" t="s">
        <v>825</v>
      </c>
      <c r="E371" s="4" t="s">
        <v>44</v>
      </c>
      <c r="F371" s="4" t="s">
        <v>4</v>
      </c>
      <c r="G371" s="8" t="n">
        <v>4492.62242758274</v>
      </c>
      <c r="H371" s="6" t="n">
        <f aca="false">IF(G371="","",G371/SUMIFS($G$2:$G$1122,$F$2:$F$1122,"Served"))</f>
        <v>0.000215672224447739</v>
      </c>
      <c r="I371" s="4" t="n">
        <f aca="false">IF(G371="","",RANK(G371,$G$2:$G$1122,0))</f>
        <v>370</v>
      </c>
      <c r="J371" s="4" t="s">
        <v>34</v>
      </c>
    </row>
    <row r="372" customFormat="false" ht="15" hidden="false" customHeight="false" outlineLevel="0" collapsed="false">
      <c r="A372" s="4" t="s">
        <v>826</v>
      </c>
      <c r="B372" s="4" t="s">
        <v>187</v>
      </c>
      <c r="C372" s="4" t="s">
        <v>188</v>
      </c>
      <c r="D372" s="7" t="s">
        <v>827</v>
      </c>
      <c r="E372" s="4" t="s">
        <v>190</v>
      </c>
      <c r="F372" s="4" t="s">
        <v>4</v>
      </c>
      <c r="G372" s="8" t="n">
        <v>4481.31209385395</v>
      </c>
      <c r="H372" s="6" t="n">
        <f aca="false">IF(G372="","",G372/SUMIFS($G$2:$G$1122,$F$2:$F$1122,"Served"))</f>
        <v>0.000215129262096939</v>
      </c>
      <c r="I372" s="4" t="n">
        <f aca="false">IF(G372="","",RANK(G372,$G$2:$G$1122,0))</f>
        <v>371</v>
      </c>
      <c r="J372" s="4" t="s">
        <v>34</v>
      </c>
    </row>
    <row r="373" customFormat="false" ht="15" hidden="false" customHeight="false" outlineLevel="0" collapsed="false">
      <c r="A373" s="4" t="s">
        <v>828</v>
      </c>
      <c r="B373" s="4" t="s">
        <v>223</v>
      </c>
      <c r="C373" s="4" t="s">
        <v>224</v>
      </c>
      <c r="D373" s="7" t="s">
        <v>829</v>
      </c>
      <c r="E373" s="4" t="s">
        <v>226</v>
      </c>
      <c r="F373" s="4" t="s">
        <v>4</v>
      </c>
      <c r="G373" s="8" t="n">
        <v>4469.5063303709</v>
      </c>
      <c r="H373" s="6" t="n">
        <f aca="false">IF(G373="","",G373/SUMIFS($G$2:$G$1122,$F$2:$F$1122,"Served"))</f>
        <v>0.000214562516212384</v>
      </c>
      <c r="I373" s="4" t="n">
        <f aca="false">IF(G373="","",RANK(G373,$G$2:$G$1122,0))</f>
        <v>372</v>
      </c>
      <c r="J373" s="4" t="s">
        <v>34</v>
      </c>
    </row>
    <row r="374" customFormat="false" ht="15" hidden="false" customHeight="false" outlineLevel="0" collapsed="false">
      <c r="A374" s="4" t="s">
        <v>830</v>
      </c>
      <c r="B374" s="4" t="s">
        <v>119</v>
      </c>
      <c r="C374" s="4" t="s">
        <v>456</v>
      </c>
      <c r="D374" s="7" t="s">
        <v>831</v>
      </c>
      <c r="E374" s="4" t="s">
        <v>33</v>
      </c>
      <c r="F374" s="4" t="s">
        <v>4</v>
      </c>
      <c r="G374" s="8" t="n">
        <v>4445.53390258551</v>
      </c>
      <c r="H374" s="6" t="n">
        <f aca="false">IF(G374="","",G374/SUMIFS($G$2:$G$1122,$F$2:$F$1122,"Served"))</f>
        <v>0.000213411699087369</v>
      </c>
      <c r="I374" s="4" t="n">
        <f aca="false">IF(G374="","",RANK(G374,$G$2:$G$1122,0))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119</v>
      </c>
      <c r="C375" s="4" t="s">
        <v>456</v>
      </c>
      <c r="D375" s="7" t="s">
        <v>833</v>
      </c>
      <c r="E375" s="4" t="s">
        <v>33</v>
      </c>
      <c r="F375" s="4" t="s">
        <v>4</v>
      </c>
      <c r="G375" s="8" t="n">
        <v>4414.05968809128</v>
      </c>
      <c r="H375" s="6" t="n">
        <f aca="false">IF(G375="","",G375/SUMIFS($G$2:$G$1122,$F$2:$F$1122,"Served"))</f>
        <v>0.000211900752204533</v>
      </c>
      <c r="I375" s="4" t="n">
        <f aca="false">IF(G375="","",RANK(G375,$G$2:$G$1122,0))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48</v>
      </c>
      <c r="C376" s="4" t="s">
        <v>49</v>
      </c>
      <c r="D376" s="7" t="s">
        <v>835</v>
      </c>
      <c r="E376" s="4" t="s">
        <v>51</v>
      </c>
      <c r="F376" s="4" t="s">
        <v>4</v>
      </c>
      <c r="G376" s="8" t="n">
        <v>4412.46030926704</v>
      </c>
      <c r="H376" s="6" t="n">
        <f aca="false">IF(G376="","",G376/SUMIFS($G$2:$G$1122,$F$2:$F$1122,"Served"))</f>
        <v>0.000211823972641078</v>
      </c>
      <c r="I376" s="4" t="n">
        <f aca="false">IF(G376="","",RANK(G376,$G$2:$G$1122,0))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145</v>
      </c>
      <c r="C377" s="4" t="s">
        <v>257</v>
      </c>
      <c r="D377" s="7" t="s">
        <v>837</v>
      </c>
      <c r="E377" s="4" t="s">
        <v>148</v>
      </c>
      <c r="F377" s="4" t="s">
        <v>4</v>
      </c>
      <c r="G377" s="8" t="n">
        <v>4352.86256426573</v>
      </c>
      <c r="H377" s="6" t="n">
        <f aca="false">IF(G377="","",G377/SUMIFS($G$2:$G$1122,$F$2:$F$1122,"Served"))</f>
        <v>0.000208962931357576</v>
      </c>
      <c r="I377" s="4" t="n">
        <f aca="false">IF(G377="","",RANK(G377,$G$2:$G$1122,0))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4342.51668047905</v>
      </c>
      <c r="H378" s="6" t="n">
        <f aca="false">IF(G378="","",G378/SUMIFS($G$2:$G$1122,$F$2:$F$1122,"Served"))</f>
        <v>0.000208466268260216</v>
      </c>
      <c r="I378" s="4" t="n">
        <f aca="false">IF(G378="","",RANK(G378,$G$2:$G$1122,0))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187</v>
      </c>
      <c r="C379" s="4" t="s">
        <v>188</v>
      </c>
      <c r="D379" s="7" t="s">
        <v>841</v>
      </c>
      <c r="E379" s="4" t="s">
        <v>190</v>
      </c>
      <c r="F379" s="4" t="s">
        <v>4</v>
      </c>
      <c r="G379" s="8" t="n">
        <v>4339.86762225628</v>
      </c>
      <c r="H379" s="6" t="n">
        <f aca="false">IF(G379="","",G379/SUMIFS($G$2:$G$1122,$F$2:$F$1122,"Served"))</f>
        <v>0.000208339097929567</v>
      </c>
      <c r="I379" s="4" t="n">
        <f aca="false">IF(G379="","",RANK(G379,$G$2:$G$1122,0))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145</v>
      </c>
      <c r="C380" s="4" t="s">
        <v>257</v>
      </c>
      <c r="D380" s="7" t="s">
        <v>843</v>
      </c>
      <c r="E380" s="4" t="s">
        <v>148</v>
      </c>
      <c r="F380" s="4" t="s">
        <v>4</v>
      </c>
      <c r="G380" s="8" t="n">
        <v>4324.80914402008</v>
      </c>
      <c r="H380" s="6" t="n">
        <f aca="false">IF(G380="","",G380/SUMIFS($G$2:$G$1122,$F$2:$F$1122,"Served"))</f>
        <v>0.000207616202660635</v>
      </c>
      <c r="I380" s="4" t="n">
        <f aca="false">IF(G380="","",RANK(G380,$G$2:$G$1122,0))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48</v>
      </c>
      <c r="C381" s="4" t="s">
        <v>49</v>
      </c>
      <c r="D381" s="7" t="s">
        <v>845</v>
      </c>
      <c r="E381" s="4" t="s">
        <v>51</v>
      </c>
      <c r="F381" s="4" t="s">
        <v>4</v>
      </c>
      <c r="G381" s="8" t="n">
        <v>4318.3517113924</v>
      </c>
      <c r="H381" s="6" t="n">
        <f aca="false">IF(G381="","",G381/SUMIFS($G$2:$G$1122,$F$2:$F$1122,"Served"))</f>
        <v>0.000207306208023542</v>
      </c>
      <c r="I381" s="4" t="n">
        <f aca="false">IF(G381="","",RANK(G381,$G$2:$G$1122,0))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223</v>
      </c>
      <c r="C382" s="4" t="s">
        <v>224</v>
      </c>
      <c r="D382" s="7" t="s">
        <v>847</v>
      </c>
      <c r="E382" s="4" t="s">
        <v>226</v>
      </c>
      <c r="F382" s="4" t="s">
        <v>4</v>
      </c>
      <c r="G382" s="8" t="n">
        <v>4309.42858833075</v>
      </c>
      <c r="H382" s="6" t="n">
        <f aca="false">IF(G382="","",G382/SUMIFS($G$2:$G$1122,$F$2:$F$1122,"Served"))</f>
        <v>0.000206877845785061</v>
      </c>
      <c r="I382" s="4" t="n">
        <f aca="false">IF(G382="","",RANK(G382,$G$2:$G$1122,0))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145</v>
      </c>
      <c r="C383" s="4" t="s">
        <v>257</v>
      </c>
      <c r="D383" s="7" t="s">
        <v>849</v>
      </c>
      <c r="E383" s="4" t="s">
        <v>148</v>
      </c>
      <c r="F383" s="4" t="s">
        <v>4</v>
      </c>
      <c r="G383" s="8" t="n">
        <v>4302.99229633808</v>
      </c>
      <c r="H383" s="6" t="n">
        <f aca="false">IF(G383="","",G383/SUMIFS($G$2:$G$1122,$F$2:$F$1122,"Served"))</f>
        <v>0.000206568866022433</v>
      </c>
      <c r="I383" s="4" t="n">
        <f aca="false">IF(G383="","",RANK(G383,$G$2:$G$1122,0))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30</v>
      </c>
      <c r="C384" s="4" t="s">
        <v>31</v>
      </c>
      <c r="D384" s="7" t="s">
        <v>209</v>
      </c>
      <c r="E384" s="4" t="s">
        <v>33</v>
      </c>
      <c r="F384" s="4" t="s">
        <v>4</v>
      </c>
      <c r="G384" s="8" t="n">
        <v>4285.50627315044</v>
      </c>
      <c r="H384" s="6" t="n">
        <f aca="false">IF(G384="","",G384/SUMIFS($G$2:$G$1122,$F$2:$F$1122,"Served"))</f>
        <v>0.000205729434358987</v>
      </c>
      <c r="I384" s="4" t="n">
        <f aca="false">IF(G384="","",RANK(G384,$G$2:$G$1122,0))</f>
        <v>383</v>
      </c>
      <c r="J384" s="4" t="s">
        <v>34</v>
      </c>
    </row>
    <row r="385" customFormat="false" ht="15" hidden="false" customHeight="false" outlineLevel="0" collapsed="false">
      <c r="A385" s="4" t="s">
        <v>851</v>
      </c>
      <c r="B385" s="4" t="s">
        <v>145</v>
      </c>
      <c r="C385" s="4" t="s">
        <v>146</v>
      </c>
      <c r="D385" s="7" t="s">
        <v>852</v>
      </c>
      <c r="E385" s="4" t="s">
        <v>148</v>
      </c>
      <c r="F385" s="4" t="s">
        <v>4</v>
      </c>
      <c r="G385" s="8" t="n">
        <v>4248.64799511433</v>
      </c>
      <c r="H385" s="6" t="n">
        <f aca="false">IF(G385="","",G385/SUMIFS($G$2:$G$1122,$F$2:$F$1122,"Served"))</f>
        <v>0.000203960020850173</v>
      </c>
      <c r="I385" s="4" t="n">
        <f aca="false">IF(G385="","",RANK(G385,$G$2:$G$1122,0))</f>
        <v>384</v>
      </c>
      <c r="J385" s="4" t="s">
        <v>34</v>
      </c>
    </row>
    <row r="386" customFormat="false" ht="15" hidden="false" customHeight="false" outlineLevel="0" collapsed="false">
      <c r="A386" s="4" t="s">
        <v>853</v>
      </c>
      <c r="B386" s="4" t="s">
        <v>30</v>
      </c>
      <c r="C386" s="4" t="s">
        <v>31</v>
      </c>
      <c r="D386" s="7" t="s">
        <v>854</v>
      </c>
      <c r="E386" s="4" t="s">
        <v>33</v>
      </c>
      <c r="F386" s="4" t="s">
        <v>4</v>
      </c>
      <c r="G386" s="8" t="n">
        <v>4228.23007965088</v>
      </c>
      <c r="H386" s="6" t="n">
        <f aca="false">IF(G386="","",G386/SUMIFS($G$2:$G$1122,$F$2:$F$1122,"Served"))</f>
        <v>0.000202979841162793</v>
      </c>
      <c r="I386" s="4" t="n">
        <f aca="false">IF(G386="","",RANK(G386,$G$2:$G$1122,0))</f>
        <v>385</v>
      </c>
      <c r="J386" s="4" t="s">
        <v>34</v>
      </c>
    </row>
    <row r="387" customFormat="false" ht="15" hidden="false" customHeight="false" outlineLevel="0" collapsed="false">
      <c r="A387" s="4" t="s">
        <v>855</v>
      </c>
      <c r="B387" s="4" t="s">
        <v>187</v>
      </c>
      <c r="C387" s="4" t="s">
        <v>188</v>
      </c>
      <c r="D387" s="7" t="s">
        <v>856</v>
      </c>
      <c r="E387" s="4" t="s">
        <v>190</v>
      </c>
      <c r="F387" s="4" t="s">
        <v>4</v>
      </c>
      <c r="G387" s="8" t="n">
        <v>4207.50123995543</v>
      </c>
      <c r="H387" s="6" t="n">
        <f aca="false">IF(G387="","",G387/SUMIFS($G$2:$G$1122,$F$2:$F$1122,"Served"))</f>
        <v>0.000201984735288795</v>
      </c>
      <c r="I387" s="4" t="n">
        <f aca="false">IF(G387="","",RANK(G387,$G$2:$G$1122,0))</f>
        <v>386</v>
      </c>
      <c r="J387" s="4" t="s">
        <v>34</v>
      </c>
    </row>
    <row r="388" customFormat="false" ht="15" hidden="false" customHeight="false" outlineLevel="0" collapsed="false">
      <c r="A388" s="4" t="s">
        <v>857</v>
      </c>
      <c r="B388" s="4" t="s">
        <v>30</v>
      </c>
      <c r="C388" s="4" t="s">
        <v>31</v>
      </c>
      <c r="D388" s="7" t="s">
        <v>858</v>
      </c>
      <c r="E388" s="4" t="s">
        <v>33</v>
      </c>
      <c r="F388" s="4" t="s">
        <v>4</v>
      </c>
      <c r="G388" s="8" t="n">
        <v>4205.67160952091</v>
      </c>
      <c r="H388" s="6" t="n">
        <f aca="false">IF(G388="","",G388/SUMIFS($G$2:$G$1122,$F$2:$F$1122,"Served"))</f>
        <v>0.000201896902297688</v>
      </c>
      <c r="I388" s="4" t="n">
        <f aca="false">IF(G388="","",RANK(G388,$G$2:$G$1122,0))</f>
        <v>387</v>
      </c>
      <c r="J388" s="4" t="s">
        <v>34</v>
      </c>
    </row>
    <row r="389" customFormat="false" ht="15" hidden="false" customHeight="false" outlineLevel="0" collapsed="false">
      <c r="A389" s="4" t="s">
        <v>859</v>
      </c>
      <c r="B389" s="4" t="s">
        <v>223</v>
      </c>
      <c r="C389" s="4" t="s">
        <v>224</v>
      </c>
      <c r="D389" s="7" t="s">
        <v>860</v>
      </c>
      <c r="E389" s="4" t="s">
        <v>226</v>
      </c>
      <c r="F389" s="4" t="s">
        <v>4</v>
      </c>
      <c r="G389" s="8" t="n">
        <v>4186.18929219246</v>
      </c>
      <c r="H389" s="6" t="n">
        <f aca="false">IF(G389="","",G389/SUMIFS($G$2:$G$1122,$F$2:$F$1122,"Served"))</f>
        <v>0.000200961636807798</v>
      </c>
      <c r="I389" s="4" t="n">
        <f aca="false">IF(G389="","",RANK(G389,$G$2:$G$1122,0))</f>
        <v>388</v>
      </c>
      <c r="J389" s="4" t="s">
        <v>34</v>
      </c>
    </row>
    <row r="390" customFormat="false" ht="15" hidden="false" customHeight="false" outlineLevel="0" collapsed="false">
      <c r="A390" s="4" t="s">
        <v>861</v>
      </c>
      <c r="B390" s="4" t="s">
        <v>223</v>
      </c>
      <c r="C390" s="4" t="s">
        <v>224</v>
      </c>
      <c r="D390" s="7" t="s">
        <v>862</v>
      </c>
      <c r="E390" s="4" t="s">
        <v>226</v>
      </c>
      <c r="F390" s="4" t="s">
        <v>4</v>
      </c>
      <c r="G390" s="8" t="n">
        <v>4167.29071807861</v>
      </c>
      <c r="H390" s="6" t="n">
        <f aca="false">IF(G390="","",G390/SUMIFS($G$2:$G$1122,$F$2:$F$1122,"Served"))</f>
        <v>0.000200054394415694</v>
      </c>
      <c r="I390" s="4" t="n">
        <f aca="false">IF(G390="","",RANK(G390,$G$2:$G$1122,0))</f>
        <v>389</v>
      </c>
      <c r="J390" s="4" t="s">
        <v>34</v>
      </c>
    </row>
    <row r="391" customFormat="false" ht="15" hidden="false" customHeight="false" outlineLevel="0" collapsed="false">
      <c r="A391" s="4" t="s">
        <v>863</v>
      </c>
      <c r="B391" s="4" t="s">
        <v>30</v>
      </c>
      <c r="C391" s="4" t="s">
        <v>31</v>
      </c>
      <c r="D391" s="7" t="s">
        <v>864</v>
      </c>
      <c r="E391" s="4" t="s">
        <v>33</v>
      </c>
      <c r="F391" s="4" t="s">
        <v>4</v>
      </c>
      <c r="G391" s="8" t="n">
        <v>4116.08432531357</v>
      </c>
      <c r="H391" s="6" t="n">
        <f aca="false">IF(G391="","",G391/SUMIFS($G$2:$G$1122,$F$2:$F$1122,"Served"))</f>
        <v>0.000197596187252372</v>
      </c>
      <c r="I391" s="4" t="n">
        <f aca="false">IF(G391="","",RANK(G391,$G$2:$G$1122,0))</f>
        <v>390</v>
      </c>
      <c r="J391" s="4" t="s">
        <v>34</v>
      </c>
    </row>
    <row r="392" customFormat="false" ht="15" hidden="false" customHeight="false" outlineLevel="0" collapsed="false">
      <c r="A392" s="4" t="s">
        <v>865</v>
      </c>
      <c r="B392" s="4" t="s">
        <v>145</v>
      </c>
      <c r="C392" s="4" t="s">
        <v>146</v>
      </c>
      <c r="D392" s="7" t="s">
        <v>866</v>
      </c>
      <c r="E392" s="4" t="s">
        <v>148</v>
      </c>
      <c r="F392" s="4" t="s">
        <v>4</v>
      </c>
      <c r="G392" s="8" t="n">
        <v>4113.25519037247</v>
      </c>
      <c r="H392" s="6" t="n">
        <f aca="false">IF(G392="","",G392/SUMIFS($G$2:$G$1122,$F$2:$F$1122,"Served"))</f>
        <v>0.000197460372183146</v>
      </c>
      <c r="I392" s="4" t="n">
        <f aca="false">IF(G392="","",RANK(G392,$G$2:$G$1122,0))</f>
        <v>391</v>
      </c>
      <c r="J392" s="4" t="s">
        <v>34</v>
      </c>
    </row>
    <row r="393" customFormat="false" ht="15" hidden="false" customHeight="false" outlineLevel="0" collapsed="false">
      <c r="A393" s="4" t="s">
        <v>867</v>
      </c>
      <c r="B393" s="4" t="s">
        <v>223</v>
      </c>
      <c r="C393" s="4" t="s">
        <v>224</v>
      </c>
      <c r="D393" s="7" t="s">
        <v>868</v>
      </c>
      <c r="E393" s="4" t="s">
        <v>226</v>
      </c>
      <c r="F393" s="4" t="s">
        <v>4</v>
      </c>
      <c r="G393" s="8" t="n">
        <v>4111.35079950094</v>
      </c>
      <c r="H393" s="6" t="n">
        <f aca="false">IF(G393="","",G393/SUMIFS($G$2:$G$1122,$F$2:$F$1122,"Served"))</f>
        <v>0.000197368950252614</v>
      </c>
      <c r="I393" s="4" t="n">
        <f aca="false">IF(G393="","",RANK(G393,$G$2:$G$1122,0))</f>
        <v>392</v>
      </c>
      <c r="J393" s="4" t="s">
        <v>34</v>
      </c>
    </row>
    <row r="394" customFormat="false" ht="15" hidden="false" customHeight="false" outlineLevel="0" collapsed="false">
      <c r="A394" s="4" t="s">
        <v>869</v>
      </c>
      <c r="B394" s="4" t="s">
        <v>30</v>
      </c>
      <c r="C394" s="4" t="s">
        <v>31</v>
      </c>
      <c r="D394" s="7" t="s">
        <v>870</v>
      </c>
      <c r="E394" s="4" t="s">
        <v>33</v>
      </c>
      <c r="F394" s="4" t="s">
        <v>4</v>
      </c>
      <c r="G394" s="8" t="n">
        <v>4103.50779205561</v>
      </c>
      <c r="H394" s="6" t="n">
        <f aca="false">IF(G394="","",G394/SUMIFS($G$2:$G$1122,$F$2:$F$1122,"Served"))</f>
        <v>0.000196992439898281</v>
      </c>
      <c r="I394" s="4" t="n">
        <f aca="false">IF(G394="","",RANK(G394,$G$2:$G$1122,0))</f>
        <v>393</v>
      </c>
      <c r="J394" s="4" t="s">
        <v>34</v>
      </c>
    </row>
    <row r="395" customFormat="false" ht="15" hidden="false" customHeight="false" outlineLevel="0" collapsed="false">
      <c r="A395" s="4" t="s">
        <v>871</v>
      </c>
      <c r="B395" s="4" t="s">
        <v>30</v>
      </c>
      <c r="C395" s="4" t="s">
        <v>38</v>
      </c>
      <c r="D395" s="7" t="s">
        <v>872</v>
      </c>
      <c r="E395" s="4" t="s">
        <v>33</v>
      </c>
      <c r="F395" s="4" t="s">
        <v>4</v>
      </c>
      <c r="G395" s="8" t="n">
        <v>4077.63238978386</v>
      </c>
      <c r="H395" s="6" t="n">
        <f aca="false">IF(G395="","",G395/SUMIFS($G$2:$G$1122,$F$2:$F$1122,"Served"))</f>
        <v>0.000195750268837529</v>
      </c>
      <c r="I395" s="4" t="n">
        <f aca="false">IF(G395="","",RANK(G395,$G$2:$G$1122,0))</f>
        <v>394</v>
      </c>
      <c r="J395" s="4" t="s">
        <v>34</v>
      </c>
    </row>
    <row r="396" customFormat="false" ht="15" hidden="false" customHeight="false" outlineLevel="0" collapsed="false">
      <c r="A396" s="4" t="s">
        <v>873</v>
      </c>
      <c r="B396" s="4" t="s">
        <v>48</v>
      </c>
      <c r="C396" s="4" t="s">
        <v>49</v>
      </c>
      <c r="D396" s="7" t="s">
        <v>874</v>
      </c>
      <c r="E396" s="4" t="s">
        <v>51</v>
      </c>
      <c r="F396" s="4" t="s">
        <v>4</v>
      </c>
      <c r="G396" s="8" t="n">
        <v>4039.2885850668</v>
      </c>
      <c r="H396" s="6" t="n">
        <f aca="false">IF(G396="","",G396/SUMIFS($G$2:$G$1122,$F$2:$F$1122,"Served"))</f>
        <v>0.000193909541335848</v>
      </c>
      <c r="I396" s="4" t="n">
        <f aca="false">IF(G396="","",RANK(G396,$G$2:$G$1122,0))</f>
        <v>395</v>
      </c>
      <c r="J396" s="4" t="s">
        <v>34</v>
      </c>
    </row>
    <row r="397" customFormat="false" ht="15" hidden="false" customHeight="false" outlineLevel="0" collapsed="false">
      <c r="A397" s="4" t="s">
        <v>875</v>
      </c>
      <c r="B397" s="4" t="s">
        <v>48</v>
      </c>
      <c r="C397" s="4" t="s">
        <v>49</v>
      </c>
      <c r="D397" s="7" t="s">
        <v>876</v>
      </c>
      <c r="E397" s="4" t="s">
        <v>51</v>
      </c>
      <c r="F397" s="4" t="s">
        <v>4</v>
      </c>
      <c r="G397" s="8" t="n">
        <v>3959.74818980694</v>
      </c>
      <c r="H397" s="6" t="n">
        <f aca="false">IF(G397="","",G397/SUMIFS($G$2:$G$1122,$F$2:$F$1122,"Served"))</f>
        <v>0.000190091135882093</v>
      </c>
      <c r="I397" s="4" t="n">
        <f aca="false">IF(G397="","",RANK(G397,$G$2:$G$1122,0))</f>
        <v>396</v>
      </c>
      <c r="J397" s="4" t="s">
        <v>34</v>
      </c>
    </row>
    <row r="398" customFormat="false" ht="15" hidden="false" customHeight="false" outlineLevel="0" collapsed="false">
      <c r="A398" s="4" t="s">
        <v>877</v>
      </c>
      <c r="B398" s="4" t="s">
        <v>119</v>
      </c>
      <c r="C398" s="4" t="s">
        <v>646</v>
      </c>
      <c r="D398" s="7" t="s">
        <v>878</v>
      </c>
      <c r="E398" s="4" t="s">
        <v>33</v>
      </c>
      <c r="F398" s="4" t="s">
        <v>4</v>
      </c>
      <c r="G398" s="8" t="n">
        <v>3955.80271410942</v>
      </c>
      <c r="H398" s="6" t="n">
        <f aca="false">IF(G398="","",G398/SUMIFS($G$2:$G$1122,$F$2:$F$1122,"Served"))</f>
        <v>0.000189901729909545</v>
      </c>
      <c r="I398" s="4" t="n">
        <f aca="false">IF(G398="","",RANK(G398,$G$2:$G$1122,0))</f>
        <v>397</v>
      </c>
      <c r="J398" s="4" t="s">
        <v>34</v>
      </c>
    </row>
    <row r="399" customFormat="false" ht="15" hidden="false" customHeight="false" outlineLevel="0" collapsed="false">
      <c r="A399" s="4" t="s">
        <v>879</v>
      </c>
      <c r="B399" s="4" t="s">
        <v>30</v>
      </c>
      <c r="C399" s="4" t="s">
        <v>213</v>
      </c>
      <c r="D399" s="7" t="s">
        <v>880</v>
      </c>
      <c r="E399" s="4" t="s">
        <v>33</v>
      </c>
      <c r="F399" s="4" t="s">
        <v>4</v>
      </c>
      <c r="G399" s="8" t="n">
        <v>3954.26199287176</v>
      </c>
      <c r="H399" s="6" t="n">
        <f aca="false">IF(G399="","",G399/SUMIFS($G$2:$G$1122,$F$2:$F$1122,"Served"))</f>
        <v>0.000189827766254255</v>
      </c>
      <c r="I399" s="4" t="n">
        <f aca="false">IF(G399="","",RANK(G399,$G$2:$G$1122,0))</f>
        <v>398</v>
      </c>
      <c r="J399" s="4" t="s">
        <v>34</v>
      </c>
    </row>
    <row r="400" customFormat="false" ht="15" hidden="false" customHeight="false" outlineLevel="0" collapsed="false">
      <c r="A400" s="4" t="s">
        <v>881</v>
      </c>
      <c r="B400" s="4" t="s">
        <v>30</v>
      </c>
      <c r="C400" s="4" t="s">
        <v>213</v>
      </c>
      <c r="D400" s="7" t="s">
        <v>882</v>
      </c>
      <c r="E400" s="4" t="s">
        <v>33</v>
      </c>
      <c r="F400" s="4" t="s">
        <v>4</v>
      </c>
      <c r="G400" s="8" t="n">
        <v>3944.91104102135</v>
      </c>
      <c r="H400" s="6" t="n">
        <f aca="false">IF(G400="","",G400/SUMIFS($G$2:$G$1122,$F$2:$F$1122,"Served"))</f>
        <v>0.000189378865724823</v>
      </c>
      <c r="I400" s="4" t="n">
        <f aca="false">IF(G400="","",RANK(G400,$G$2:$G$1122,0))</f>
        <v>399</v>
      </c>
      <c r="J400" s="4" t="s">
        <v>34</v>
      </c>
    </row>
    <row r="401" customFormat="false" ht="15" hidden="false" customHeight="false" outlineLevel="0" collapsed="false">
      <c r="A401" s="4" t="s">
        <v>883</v>
      </c>
      <c r="B401" s="4" t="s">
        <v>119</v>
      </c>
      <c r="C401" s="4" t="s">
        <v>764</v>
      </c>
      <c r="D401" s="7" t="s">
        <v>884</v>
      </c>
      <c r="E401" s="4" t="s">
        <v>33</v>
      </c>
      <c r="F401" s="4" t="s">
        <v>4</v>
      </c>
      <c r="G401" s="8" t="n">
        <v>3934.95881819725</v>
      </c>
      <c r="H401" s="6" t="n">
        <f aca="false">IF(G401="","",G401/SUMIFS($G$2:$G$1122,$F$2:$F$1122,"Served"))</f>
        <v>0.000188901100662374</v>
      </c>
      <c r="I401" s="4" t="n">
        <f aca="false">IF(G401="","",RANK(G401,$G$2:$G$1122,0))</f>
        <v>400</v>
      </c>
      <c r="J401" s="4" t="s">
        <v>34</v>
      </c>
    </row>
    <row r="402" customFormat="false" ht="15" hidden="false" customHeight="false" outlineLevel="0" collapsed="false">
      <c r="A402" s="4" t="s">
        <v>885</v>
      </c>
      <c r="B402" s="4" t="s">
        <v>187</v>
      </c>
      <c r="C402" s="4" t="s">
        <v>188</v>
      </c>
      <c r="D402" s="7" t="s">
        <v>886</v>
      </c>
      <c r="E402" s="4" t="s">
        <v>190</v>
      </c>
      <c r="F402" s="4" t="s">
        <v>4</v>
      </c>
      <c r="G402" s="8" t="n">
        <v>3851.22315865755</v>
      </c>
      <c r="H402" s="6" t="n">
        <f aca="false">IF(G402="","",G402/SUMIFS($G$2:$G$1122,$F$2:$F$1122,"Served"))</f>
        <v>0.000184881297919181</v>
      </c>
      <c r="I402" s="4" t="n">
        <f aca="false">IF(G402="","",RANK(G402,$G$2:$G$1122,0))</f>
        <v>401</v>
      </c>
      <c r="J402" s="4" t="s">
        <v>34</v>
      </c>
    </row>
    <row r="403" customFormat="false" ht="15" hidden="false" customHeight="false" outlineLevel="0" collapsed="false">
      <c r="A403" s="4" t="s">
        <v>887</v>
      </c>
      <c r="B403" s="4" t="s">
        <v>30</v>
      </c>
      <c r="C403" s="4" t="s">
        <v>735</v>
      </c>
      <c r="D403" s="7" t="s">
        <v>888</v>
      </c>
      <c r="E403" s="4" t="s">
        <v>33</v>
      </c>
      <c r="F403" s="4" t="s">
        <v>4</v>
      </c>
      <c r="G403" s="8" t="n">
        <v>3777.68723762035</v>
      </c>
      <c r="H403" s="6" t="n">
        <f aca="false">IF(G403="","",G403/SUMIFS($G$2:$G$1122,$F$2:$F$1122,"Served"))</f>
        <v>0.000181351142442608</v>
      </c>
      <c r="I403" s="4" t="n">
        <f aca="false">IF(G403="","",RANK(G403,$G$2:$G$1122,0))</f>
        <v>402</v>
      </c>
      <c r="J403" s="4" t="s">
        <v>34</v>
      </c>
    </row>
    <row r="404" customFormat="false" ht="15" hidden="false" customHeight="false" outlineLevel="0" collapsed="false">
      <c r="A404" s="4" t="s">
        <v>889</v>
      </c>
      <c r="B404" s="4" t="s">
        <v>187</v>
      </c>
      <c r="C404" s="4" t="s">
        <v>188</v>
      </c>
      <c r="D404" s="7" t="s">
        <v>890</v>
      </c>
      <c r="E404" s="4" t="s">
        <v>190</v>
      </c>
      <c r="F404" s="4" t="s">
        <v>4</v>
      </c>
      <c r="G404" s="8" t="n">
        <v>3776.37258732319</v>
      </c>
      <c r="H404" s="6" t="n">
        <f aca="false">IF(G404="","",G404/SUMIFS($G$2:$G$1122,$F$2:$F$1122,"Served"))</f>
        <v>0.000181288031518303</v>
      </c>
      <c r="I404" s="4" t="n">
        <f aca="false">IF(G404="","",RANK(G404,$G$2:$G$1122,0))</f>
        <v>403</v>
      </c>
      <c r="J404" s="4" t="s">
        <v>34</v>
      </c>
    </row>
    <row r="405" customFormat="false" ht="15" hidden="false" customHeight="false" outlineLevel="0" collapsed="false">
      <c r="A405" s="4" t="s">
        <v>891</v>
      </c>
      <c r="B405" s="4" t="s">
        <v>30</v>
      </c>
      <c r="C405" s="4" t="s">
        <v>629</v>
      </c>
      <c r="D405" s="7" t="s">
        <v>892</v>
      </c>
      <c r="E405" s="4" t="s">
        <v>33</v>
      </c>
      <c r="F405" s="4" t="s">
        <v>4</v>
      </c>
      <c r="G405" s="8" t="n">
        <v>3641.63801509142</v>
      </c>
      <c r="H405" s="6" t="n">
        <f aca="false">IF(G405="","",G405/SUMIFS($G$2:$G$1122,$F$2:$F$1122,"Served"))</f>
        <v>0.000174819981872102</v>
      </c>
      <c r="I405" s="4" t="n">
        <f aca="false">IF(G405="","",RANK(G405,$G$2:$G$1122,0))</f>
        <v>404</v>
      </c>
      <c r="J405" s="4" t="s">
        <v>34</v>
      </c>
    </row>
    <row r="406" customFormat="false" ht="15" hidden="false" customHeight="false" outlineLevel="0" collapsed="false">
      <c r="A406" s="4" t="s">
        <v>893</v>
      </c>
      <c r="B406" s="4" t="s">
        <v>119</v>
      </c>
      <c r="C406" s="4" t="s">
        <v>688</v>
      </c>
      <c r="D406" s="7" t="s">
        <v>894</v>
      </c>
      <c r="E406" s="4" t="s">
        <v>33</v>
      </c>
      <c r="F406" s="4" t="s">
        <v>4</v>
      </c>
      <c r="G406" s="8" t="n">
        <v>3636.29676985741</v>
      </c>
      <c r="H406" s="6" t="n">
        <f aca="false">IF(G406="","",G406/SUMIFS($G$2:$G$1122,$F$2:$F$1122,"Served"))</f>
        <v>0.00017456357077602</v>
      </c>
      <c r="I406" s="4" t="n">
        <f aca="false">IF(G406="","",RANK(G406,$G$2:$G$1122,0))</f>
        <v>405</v>
      </c>
      <c r="J406" s="4" t="s">
        <v>34</v>
      </c>
    </row>
    <row r="407" customFormat="false" ht="15" hidden="false" customHeight="false" outlineLevel="0" collapsed="false">
      <c r="A407" s="4" t="s">
        <v>895</v>
      </c>
      <c r="B407" s="4" t="s">
        <v>145</v>
      </c>
      <c r="C407" s="4" t="s">
        <v>146</v>
      </c>
      <c r="D407" s="7" t="s">
        <v>896</v>
      </c>
      <c r="E407" s="4" t="s">
        <v>148</v>
      </c>
      <c r="F407" s="4" t="s">
        <v>4</v>
      </c>
      <c r="G407" s="8" t="n">
        <v>3624.66370391846</v>
      </c>
      <c r="H407" s="6" t="n">
        <f aca="false">IF(G407="","",G407/SUMIFS($G$2:$G$1122,$F$2:$F$1122,"Served"))</f>
        <v>0.000174005115386402</v>
      </c>
      <c r="I407" s="4" t="n">
        <f aca="false">IF(G407="","",RANK(G407,$G$2:$G$1122,0))</f>
        <v>406</v>
      </c>
      <c r="J407" s="4" t="s">
        <v>34</v>
      </c>
    </row>
    <row r="408" customFormat="false" ht="15" hidden="false" customHeight="false" outlineLevel="0" collapsed="false">
      <c r="A408" s="4" t="s">
        <v>897</v>
      </c>
      <c r="B408" s="4" t="s">
        <v>119</v>
      </c>
      <c r="C408" s="4" t="s">
        <v>646</v>
      </c>
      <c r="D408" s="7" t="s">
        <v>898</v>
      </c>
      <c r="E408" s="4" t="s">
        <v>33</v>
      </c>
      <c r="F408" s="4" t="s">
        <v>4</v>
      </c>
      <c r="G408" s="8" t="n">
        <v>3612.44920194149</v>
      </c>
      <c r="H408" s="6" t="n">
        <f aca="false">IF(G408="","",G408/SUMIFS($G$2:$G$1122,$F$2:$F$1122,"Served"))</f>
        <v>0.000173418747657007</v>
      </c>
      <c r="I408" s="4" t="n">
        <f aca="false">IF(G408="","",RANK(G408,$G$2:$G$1122,0))</f>
        <v>407</v>
      </c>
      <c r="J408" s="4" t="s">
        <v>34</v>
      </c>
    </row>
    <row r="409" customFormat="false" ht="15" hidden="false" customHeight="false" outlineLevel="0" collapsed="false">
      <c r="A409" s="4" t="s">
        <v>899</v>
      </c>
      <c r="B409" s="4" t="s">
        <v>119</v>
      </c>
      <c r="C409" s="4" t="s">
        <v>688</v>
      </c>
      <c r="D409" s="7" t="s">
        <v>900</v>
      </c>
      <c r="E409" s="4" t="s">
        <v>33</v>
      </c>
      <c r="F409" s="4" t="s">
        <v>4</v>
      </c>
      <c r="G409" s="8" t="n">
        <v>3604.23281848431</v>
      </c>
      <c r="H409" s="6" t="n">
        <f aca="false">IF(G409="","",G409/SUMIFS($G$2:$G$1122,$F$2:$F$1122,"Served"))</f>
        <v>0.000173024313064363</v>
      </c>
      <c r="I409" s="4" t="n">
        <f aca="false">IF(G409="","",RANK(G409,$G$2:$G$1122,0))</f>
        <v>408</v>
      </c>
      <c r="J409" s="4" t="s">
        <v>34</v>
      </c>
    </row>
    <row r="410" customFormat="false" ht="15" hidden="false" customHeight="false" outlineLevel="0" collapsed="false">
      <c r="A410" s="4" t="s">
        <v>901</v>
      </c>
      <c r="B410" s="4" t="s">
        <v>30</v>
      </c>
      <c r="C410" s="4" t="s">
        <v>31</v>
      </c>
      <c r="D410" s="7" t="s">
        <v>902</v>
      </c>
      <c r="E410" s="4" t="s">
        <v>33</v>
      </c>
      <c r="F410" s="4" t="s">
        <v>4</v>
      </c>
      <c r="G410" s="8" t="n">
        <v>3550.68187093735</v>
      </c>
      <c r="H410" s="6" t="n">
        <f aca="false">IF(G410="","",G410/SUMIFS($G$2:$G$1122,$F$2:$F$1122,"Served"))</f>
        <v>0.000170453553521378</v>
      </c>
      <c r="I410" s="4" t="n">
        <f aca="false">IF(G410="","",RANK(G410,$G$2:$G$1122,0))</f>
        <v>409</v>
      </c>
      <c r="J410" s="4" t="s">
        <v>34</v>
      </c>
    </row>
    <row r="411" customFormat="false" ht="15" hidden="false" customHeight="false" outlineLevel="0" collapsed="false">
      <c r="A411" s="4" t="s">
        <v>903</v>
      </c>
      <c r="B411" s="4" t="s">
        <v>30</v>
      </c>
      <c r="C411" s="4" t="s">
        <v>31</v>
      </c>
      <c r="D411" s="7" t="s">
        <v>904</v>
      </c>
      <c r="E411" s="4" t="s">
        <v>33</v>
      </c>
      <c r="F411" s="4" t="s">
        <v>4</v>
      </c>
      <c r="G411" s="8" t="n">
        <v>3532.84470707178</v>
      </c>
      <c r="H411" s="6" t="n">
        <f aca="false">IF(G411="","",G411/SUMIFS($G$2:$G$1122,$F$2:$F$1122,"Served"))</f>
        <v>0.000169597265046053</v>
      </c>
      <c r="I411" s="4" t="n">
        <f aca="false">IF(G411="","",RANK(G411,$G$2:$G$1122,0))</f>
        <v>410</v>
      </c>
      <c r="J411" s="4" t="s">
        <v>34</v>
      </c>
    </row>
    <row r="412" customFormat="false" ht="15" hidden="false" customHeight="false" outlineLevel="0" collapsed="false">
      <c r="A412" s="4" t="s">
        <v>905</v>
      </c>
      <c r="B412" s="4" t="s">
        <v>131</v>
      </c>
      <c r="C412" s="4" t="s">
        <v>132</v>
      </c>
      <c r="D412" s="7" t="s">
        <v>906</v>
      </c>
      <c r="E412" s="4" t="s">
        <v>134</v>
      </c>
      <c r="F412" s="4" t="s">
        <v>4</v>
      </c>
      <c r="G412" s="8" t="n">
        <v>3489.54566347599</v>
      </c>
      <c r="H412" s="6" t="n">
        <f aca="false">IF(G412="","",G412/SUMIFS($G$2:$G$1122,$F$2:$F$1122,"Served"))</f>
        <v>0.000167518657017158</v>
      </c>
      <c r="I412" s="4" t="n">
        <f aca="false">IF(G412="","",RANK(G412,$G$2:$G$1122,0))</f>
        <v>411</v>
      </c>
      <c r="J412" s="4" t="s">
        <v>34</v>
      </c>
    </row>
    <row r="413" customFormat="false" ht="15" hidden="false" customHeight="false" outlineLevel="0" collapsed="false">
      <c r="A413" s="4" t="s">
        <v>907</v>
      </c>
      <c r="B413" s="4" t="s">
        <v>48</v>
      </c>
      <c r="C413" s="4" t="s">
        <v>49</v>
      </c>
      <c r="D413" s="7" t="s">
        <v>908</v>
      </c>
      <c r="E413" s="4" t="s">
        <v>51</v>
      </c>
      <c r="F413" s="4" t="s">
        <v>4</v>
      </c>
      <c r="G413" s="8" t="n">
        <v>3473.79813802242</v>
      </c>
      <c r="H413" s="6" t="n">
        <f aca="false">IF(G413="","",G413/SUMIFS($G$2:$G$1122,$F$2:$F$1122,"Served"))</f>
        <v>0.000166762683440731</v>
      </c>
      <c r="I413" s="4" t="n">
        <f aca="false">IF(G413="","",RANK(G413,$G$2:$G$1122,0))</f>
        <v>412</v>
      </c>
      <c r="J413" s="4" t="s">
        <v>34</v>
      </c>
    </row>
    <row r="414" customFormat="false" ht="15" hidden="false" customHeight="false" outlineLevel="0" collapsed="false">
      <c r="A414" s="4" t="s">
        <v>909</v>
      </c>
      <c r="B414" s="4" t="s">
        <v>187</v>
      </c>
      <c r="C414" s="4" t="s">
        <v>188</v>
      </c>
      <c r="D414" s="7" t="s">
        <v>910</v>
      </c>
      <c r="E414" s="4" t="s">
        <v>190</v>
      </c>
      <c r="F414" s="4" t="s">
        <v>4</v>
      </c>
      <c r="G414" s="8" t="n">
        <v>3454.30456018448</v>
      </c>
      <c r="H414" s="6" t="n">
        <f aca="false">IF(G414="","",G414/SUMIFS($G$2:$G$1122,$F$2:$F$1122,"Served"))</f>
        <v>0.000165826877380346</v>
      </c>
      <c r="I414" s="4" t="n">
        <f aca="false">IF(G414="","",RANK(G414,$G$2:$G$1122,0))</f>
        <v>413</v>
      </c>
      <c r="J414" s="4" t="s">
        <v>34</v>
      </c>
    </row>
    <row r="415" customFormat="false" ht="15" hidden="false" customHeight="false" outlineLevel="0" collapsed="false">
      <c r="A415" s="4" t="s">
        <v>911</v>
      </c>
      <c r="B415" s="4" t="s">
        <v>48</v>
      </c>
      <c r="C415" s="4" t="s">
        <v>49</v>
      </c>
      <c r="D415" s="7" t="s">
        <v>912</v>
      </c>
      <c r="E415" s="4" t="s">
        <v>51</v>
      </c>
      <c r="F415" s="4" t="s">
        <v>4</v>
      </c>
      <c r="G415" s="8" t="n">
        <v>3362.34252429009</v>
      </c>
      <c r="H415" s="6" t="n">
        <f aca="false">IF(G415="","",G415/SUMIFS($G$2:$G$1122,$F$2:$F$1122,"Served"))</f>
        <v>0.000161412160326823</v>
      </c>
      <c r="I415" s="4" t="n">
        <f aca="false">IF(G415="","",RANK(G415,$G$2:$G$1122,0))</f>
        <v>414</v>
      </c>
      <c r="J415" s="4" t="s">
        <v>34</v>
      </c>
    </row>
    <row r="416" customFormat="false" ht="15" hidden="false" customHeight="false" outlineLevel="0" collapsed="false">
      <c r="A416" s="4" t="s">
        <v>913</v>
      </c>
      <c r="B416" s="4" t="s">
        <v>119</v>
      </c>
      <c r="C416" s="4" t="s">
        <v>196</v>
      </c>
      <c r="D416" s="7" t="s">
        <v>914</v>
      </c>
      <c r="E416" s="4" t="s">
        <v>33</v>
      </c>
      <c r="F416" s="4" t="s">
        <v>4</v>
      </c>
      <c r="G416" s="8" t="n">
        <v>3359.12619614601</v>
      </c>
      <c r="H416" s="6" t="n">
        <f aca="false">IF(G416="","",G416/SUMIFS($G$2:$G$1122,$F$2:$F$1122,"Served"))</f>
        <v>0.000161257757713079</v>
      </c>
      <c r="I416" s="4" t="n">
        <f aca="false">IF(G416="","",RANK(G416,$G$2:$G$1122,0))</f>
        <v>415</v>
      </c>
      <c r="J416" s="4" t="s">
        <v>34</v>
      </c>
    </row>
    <row r="417" customFormat="false" ht="15" hidden="false" customHeight="false" outlineLevel="0" collapsed="false">
      <c r="A417" s="4" t="s">
        <v>915</v>
      </c>
      <c r="B417" s="4" t="s">
        <v>30</v>
      </c>
      <c r="C417" s="4" t="s">
        <v>31</v>
      </c>
      <c r="D417" s="7" t="s">
        <v>916</v>
      </c>
      <c r="E417" s="4" t="s">
        <v>33</v>
      </c>
      <c r="F417" s="4" t="s">
        <v>4</v>
      </c>
      <c r="G417" s="8" t="n">
        <v>3330.51743984222</v>
      </c>
      <c r="H417" s="6" t="n">
        <f aca="false">IF(G417="","",G417/SUMIFS($G$2:$G$1122,$F$2:$F$1122,"Served"))</f>
        <v>0.000159884369628463</v>
      </c>
      <c r="I417" s="4" t="n">
        <f aca="false">IF(G417="","",RANK(G417,$G$2:$G$1122,0))</f>
        <v>416</v>
      </c>
      <c r="J417" s="4" t="s">
        <v>34</v>
      </c>
    </row>
    <row r="418" customFormat="false" ht="15" hidden="false" customHeight="false" outlineLevel="0" collapsed="false">
      <c r="A418" s="4" t="s">
        <v>917</v>
      </c>
      <c r="B418" s="4" t="s">
        <v>119</v>
      </c>
      <c r="C418" s="4" t="s">
        <v>764</v>
      </c>
      <c r="D418" s="7" t="s">
        <v>918</v>
      </c>
      <c r="E418" s="4" t="s">
        <v>33</v>
      </c>
      <c r="F418" s="4" t="s">
        <v>4</v>
      </c>
      <c r="G418" s="8" t="n">
        <v>3312.53070539236</v>
      </c>
      <c r="H418" s="6" t="n">
        <f aca="false">IF(G418="","",G418/SUMIFS($G$2:$G$1122,$F$2:$F$1122,"Served"))</f>
        <v>0.000159020900887904</v>
      </c>
      <c r="I418" s="4" t="n">
        <f aca="false">IF(G418="","",RANK(G418,$G$2:$G$1122,0))</f>
        <v>417</v>
      </c>
      <c r="J418" s="4" t="s">
        <v>34</v>
      </c>
    </row>
    <row r="419" customFormat="false" ht="15" hidden="false" customHeight="false" outlineLevel="0" collapsed="false">
      <c r="A419" s="4" t="s">
        <v>919</v>
      </c>
      <c r="B419" s="4" t="s">
        <v>119</v>
      </c>
      <c r="C419" s="4" t="s">
        <v>216</v>
      </c>
      <c r="D419" s="7" t="s">
        <v>920</v>
      </c>
      <c r="E419" s="4" t="s">
        <v>33</v>
      </c>
      <c r="F419" s="4" t="s">
        <v>4</v>
      </c>
      <c r="G419" s="8" t="n">
        <v>3281.54277133942</v>
      </c>
      <c r="H419" s="6" t="n">
        <f aca="false">IF(G419="","",G419/SUMIFS($G$2:$G$1122,$F$2:$F$1122,"Served"))</f>
        <v>0.000157533298318142</v>
      </c>
      <c r="I419" s="4" t="n">
        <f aca="false">IF(G419="","",RANK(G419,$G$2:$G$1122,0))</f>
        <v>418</v>
      </c>
      <c r="J419" s="4" t="s">
        <v>34</v>
      </c>
    </row>
    <row r="420" customFormat="false" ht="15" hidden="false" customHeight="false" outlineLevel="0" collapsed="false">
      <c r="A420" s="4" t="s">
        <v>921</v>
      </c>
      <c r="B420" s="4" t="s">
        <v>48</v>
      </c>
      <c r="C420" s="4" t="s">
        <v>49</v>
      </c>
      <c r="D420" s="7" t="s">
        <v>922</v>
      </c>
      <c r="E420" s="4" t="s">
        <v>51</v>
      </c>
      <c r="F420" s="4" t="s">
        <v>4</v>
      </c>
      <c r="G420" s="8" t="n">
        <v>3245.07793676853</v>
      </c>
      <c r="H420" s="6" t="n">
        <f aca="false">IF(G420="","",G420/SUMIFS($G$2:$G$1122,$F$2:$F$1122,"Served"))</f>
        <v>0.000155782772403092</v>
      </c>
      <c r="I420" s="4" t="n">
        <f aca="false">IF(G420="","",RANK(G420,$G$2:$G$1122,0))</f>
        <v>419</v>
      </c>
      <c r="J420" s="4" t="s">
        <v>34</v>
      </c>
    </row>
    <row r="421" customFormat="false" ht="15" hidden="false" customHeight="false" outlineLevel="0" collapsed="false">
      <c r="A421" s="4" t="s">
        <v>923</v>
      </c>
      <c r="B421" s="4" t="s">
        <v>30</v>
      </c>
      <c r="C421" s="4" t="s">
        <v>213</v>
      </c>
      <c r="D421" s="7" t="s">
        <v>924</v>
      </c>
      <c r="E421" s="4" t="s">
        <v>33</v>
      </c>
      <c r="F421" s="4" t="s">
        <v>4</v>
      </c>
      <c r="G421" s="8" t="n">
        <v>3228.43446332216</v>
      </c>
      <c r="H421" s="6" t="n">
        <f aca="false">IF(G421="","",G421/SUMIFS($G$2:$G$1122,$F$2:$F$1122,"Served"))</f>
        <v>0.000154983788068535</v>
      </c>
      <c r="I421" s="4" t="n">
        <f aca="false">IF(G421="","",RANK(G421,$G$2:$G$1122,0))</f>
        <v>420</v>
      </c>
      <c r="J421" s="4" t="s">
        <v>34</v>
      </c>
    </row>
    <row r="422" customFormat="false" ht="15" hidden="false" customHeight="false" outlineLevel="0" collapsed="false">
      <c r="A422" s="4" t="s">
        <v>925</v>
      </c>
      <c r="B422" s="4" t="s">
        <v>145</v>
      </c>
      <c r="C422" s="4" t="s">
        <v>146</v>
      </c>
      <c r="D422" s="7" t="s">
        <v>926</v>
      </c>
      <c r="E422" s="4" t="s">
        <v>148</v>
      </c>
      <c r="F422" s="4" t="s">
        <v>4</v>
      </c>
      <c r="G422" s="8" t="n">
        <v>3213.98037195206</v>
      </c>
      <c r="H422" s="6" t="n">
        <f aca="false">IF(G422="","",G422/SUMIFS($G$2:$G$1122,$F$2:$F$1122,"Served"))</f>
        <v>0.000154289906913729</v>
      </c>
      <c r="I422" s="4" t="n">
        <f aca="false">IF(G422="","",RANK(G422,$G$2:$G$1122,0))</f>
        <v>421</v>
      </c>
      <c r="J422" s="4" t="s">
        <v>34</v>
      </c>
    </row>
    <row r="423" customFormat="false" ht="15" hidden="false" customHeight="false" outlineLevel="0" collapsed="false">
      <c r="A423" s="4" t="s">
        <v>927</v>
      </c>
      <c r="B423" s="4" t="s">
        <v>30</v>
      </c>
      <c r="C423" s="4" t="s">
        <v>629</v>
      </c>
      <c r="D423" s="7" t="s">
        <v>928</v>
      </c>
      <c r="E423" s="4" t="s">
        <v>33</v>
      </c>
      <c r="F423" s="4" t="s">
        <v>4</v>
      </c>
      <c r="G423" s="8" t="n">
        <v>3202.62398123741</v>
      </c>
      <c r="H423" s="6" t="n">
        <f aca="false">IF(G423="","",G423/SUMIFS($G$2:$G$1122,$F$2:$F$1122,"Served"))</f>
        <v>0.000153744733557497</v>
      </c>
      <c r="I423" s="4" t="n">
        <f aca="false">IF(G423="","",RANK(G423,$G$2:$G$1122,0))</f>
        <v>422</v>
      </c>
      <c r="J423" s="4" t="s">
        <v>34</v>
      </c>
    </row>
    <row r="424" customFormat="false" ht="15" hidden="false" customHeight="false" outlineLevel="0" collapsed="false">
      <c r="A424" s="4" t="s">
        <v>929</v>
      </c>
      <c r="B424" s="4" t="s">
        <v>30</v>
      </c>
      <c r="C424" s="4" t="s">
        <v>213</v>
      </c>
      <c r="D424" s="7" t="s">
        <v>930</v>
      </c>
      <c r="E424" s="4" t="s">
        <v>33</v>
      </c>
      <c r="F424" s="4" t="s">
        <v>4</v>
      </c>
      <c r="G424" s="8" t="n">
        <v>3180.58515024185</v>
      </c>
      <c r="H424" s="6" t="n">
        <f aca="false">IF(G424="","",G424/SUMIFS($G$2:$G$1122,$F$2:$F$1122,"Served"))</f>
        <v>0.000152686740418377</v>
      </c>
      <c r="I424" s="4" t="n">
        <f aca="false">IF(G424="","",RANK(G424,$G$2:$G$1122,0))</f>
        <v>423</v>
      </c>
      <c r="J424" s="4" t="s">
        <v>34</v>
      </c>
    </row>
    <row r="425" customFormat="false" ht="15" hidden="false" customHeight="false" outlineLevel="0" collapsed="false">
      <c r="A425" s="4" t="s">
        <v>931</v>
      </c>
      <c r="B425" s="4" t="s">
        <v>30</v>
      </c>
      <c r="C425" s="4" t="s">
        <v>31</v>
      </c>
      <c r="D425" s="7" t="s">
        <v>932</v>
      </c>
      <c r="E425" s="4" t="s">
        <v>33</v>
      </c>
      <c r="F425" s="4" t="s">
        <v>4</v>
      </c>
      <c r="G425" s="8" t="n">
        <v>3168.65526252985</v>
      </c>
      <c r="H425" s="6" t="n">
        <f aca="false">IF(G425="","",G425/SUMIFS($G$2:$G$1122,$F$2:$F$1122,"Served"))</f>
        <v>0.00015211403584288</v>
      </c>
      <c r="I425" s="4" t="n">
        <f aca="false">IF(G425="","",RANK(G425,$G$2:$G$1122,0))</f>
        <v>424</v>
      </c>
      <c r="J425" s="4" t="s">
        <v>34</v>
      </c>
    </row>
    <row r="426" customFormat="false" ht="15" hidden="false" customHeight="false" outlineLevel="0" collapsed="false">
      <c r="A426" s="4" t="s">
        <v>933</v>
      </c>
      <c r="B426" s="4" t="s">
        <v>48</v>
      </c>
      <c r="C426" s="4" t="s">
        <v>49</v>
      </c>
      <c r="D426" s="7" t="s">
        <v>934</v>
      </c>
      <c r="E426" s="4" t="s">
        <v>51</v>
      </c>
      <c r="F426" s="4" t="s">
        <v>4</v>
      </c>
      <c r="G426" s="8" t="n">
        <v>3168.23847830296</v>
      </c>
      <c r="H426" s="6" t="n">
        <f aca="false">IF(G426="","",G426/SUMIFS($G$2:$G$1122,$F$2:$F$1122,"Served"))</f>
        <v>0.000152094027755671</v>
      </c>
      <c r="I426" s="4" t="n">
        <f aca="false">IF(G426="","",RANK(G426,$G$2:$G$1122,0))</f>
        <v>425</v>
      </c>
      <c r="J426" s="4" t="s">
        <v>34</v>
      </c>
    </row>
    <row r="427" customFormat="false" ht="15" hidden="false" customHeight="false" outlineLevel="0" collapsed="false">
      <c r="A427" s="4" t="s">
        <v>935</v>
      </c>
      <c r="B427" s="4" t="s">
        <v>187</v>
      </c>
      <c r="C427" s="4" t="s">
        <v>188</v>
      </c>
      <c r="D427" s="7" t="s">
        <v>936</v>
      </c>
      <c r="E427" s="4" t="s">
        <v>190</v>
      </c>
      <c r="F427" s="4" t="s">
        <v>4</v>
      </c>
      <c r="G427" s="8" t="n">
        <v>3154.99550008774</v>
      </c>
      <c r="H427" s="6" t="n">
        <f aca="false">IF(G427="","",G427/SUMIFS($G$2:$G$1122,$F$2:$F$1122,"Served"))</f>
        <v>0.000151458287135125</v>
      </c>
      <c r="I427" s="4" t="n">
        <f aca="false">IF(G427="","",RANK(G427,$G$2:$G$1122,0))</f>
        <v>426</v>
      </c>
      <c r="J427" s="4" t="s">
        <v>34</v>
      </c>
    </row>
    <row r="428" customFormat="false" ht="15" hidden="false" customHeight="false" outlineLevel="0" collapsed="false">
      <c r="A428" s="4" t="s">
        <v>937</v>
      </c>
      <c r="B428" s="4" t="s">
        <v>48</v>
      </c>
      <c r="C428" s="4" t="s">
        <v>49</v>
      </c>
      <c r="D428" s="7" t="s">
        <v>938</v>
      </c>
      <c r="E428" s="4" t="s">
        <v>51</v>
      </c>
      <c r="F428" s="4" t="s">
        <v>4</v>
      </c>
      <c r="G428" s="8" t="n">
        <v>3140.6584455967</v>
      </c>
      <c r="H428" s="6" t="n">
        <f aca="false">IF(G428="","",G428/SUMIFS($G$2:$G$1122,$F$2:$F$1122,"Served"))</f>
        <v>0.0001507700244369</v>
      </c>
      <c r="I428" s="4" t="n">
        <f aca="false">IF(G428="","",RANK(G428,$G$2:$G$1122,0))</f>
        <v>427</v>
      </c>
      <c r="J428" s="4" t="s">
        <v>34</v>
      </c>
    </row>
    <row r="429" customFormat="false" ht="15" hidden="false" customHeight="false" outlineLevel="0" collapsed="false">
      <c r="A429" s="4" t="s">
        <v>939</v>
      </c>
      <c r="B429" s="4" t="s">
        <v>30</v>
      </c>
      <c r="C429" s="4" t="s">
        <v>38</v>
      </c>
      <c r="D429" s="7" t="s">
        <v>940</v>
      </c>
      <c r="E429" s="4" t="s">
        <v>33</v>
      </c>
      <c r="F429" s="4" t="s">
        <v>4</v>
      </c>
      <c r="G429" s="8" t="n">
        <v>3123.57680785656</v>
      </c>
      <c r="H429" s="6" t="n">
        <f aca="false">IF(G429="","",G429/SUMIFS($G$2:$G$1122,$F$2:$F$1122,"Served"))</f>
        <v>0.000149950005646537</v>
      </c>
      <c r="I429" s="4" t="n">
        <f aca="false">IF(G429="","",RANK(G429,$G$2:$G$1122,0))</f>
        <v>428</v>
      </c>
      <c r="J429" s="4" t="s">
        <v>34</v>
      </c>
    </row>
    <row r="430" customFormat="false" ht="15" hidden="false" customHeight="false" outlineLevel="0" collapsed="false">
      <c r="A430" s="4" t="s">
        <v>941</v>
      </c>
      <c r="B430" s="4" t="s">
        <v>119</v>
      </c>
      <c r="C430" s="4" t="s">
        <v>646</v>
      </c>
      <c r="D430" s="7" t="s">
        <v>942</v>
      </c>
      <c r="E430" s="4" t="s">
        <v>33</v>
      </c>
      <c r="F430" s="4" t="s">
        <v>4</v>
      </c>
      <c r="G430" s="8" t="n">
        <v>3106.58096039295</v>
      </c>
      <c r="H430" s="6" t="n">
        <f aca="false">IF(G430="","",G430/SUMIFS($G$2:$G$1122,$F$2:$F$1122,"Served"))</f>
        <v>0.000149134105292582</v>
      </c>
      <c r="I430" s="4" t="n">
        <f aca="false">IF(G430="","",RANK(G430,$G$2:$G$1122,0))</f>
        <v>429</v>
      </c>
      <c r="J430" s="4" t="s">
        <v>34</v>
      </c>
    </row>
    <row r="431" customFormat="false" ht="15" hidden="false" customHeight="false" outlineLevel="0" collapsed="false">
      <c r="A431" s="4" t="s">
        <v>943</v>
      </c>
      <c r="B431" s="4" t="s">
        <v>30</v>
      </c>
      <c r="C431" s="4" t="s">
        <v>231</v>
      </c>
      <c r="D431" s="7" t="s">
        <v>944</v>
      </c>
      <c r="E431" s="4" t="s">
        <v>33</v>
      </c>
      <c r="F431" s="4" t="s">
        <v>4</v>
      </c>
      <c r="G431" s="8" t="n">
        <v>3045.01903545857</v>
      </c>
      <c r="H431" s="6" t="n">
        <f aca="false">IF(G431="","",G431/SUMIFS($G$2:$G$1122,$F$2:$F$1122,"Served"))</f>
        <v>0.000146178771852948</v>
      </c>
      <c r="I431" s="4" t="n">
        <f aca="false">IF(G431="","",RANK(G431,$G$2:$G$1122,0))</f>
        <v>430</v>
      </c>
      <c r="J431" s="4" t="s">
        <v>34</v>
      </c>
    </row>
    <row r="432" customFormat="false" ht="15" hidden="false" customHeight="false" outlineLevel="0" collapsed="false">
      <c r="A432" s="4" t="s">
        <v>945</v>
      </c>
      <c r="B432" s="4" t="s">
        <v>30</v>
      </c>
      <c r="C432" s="4" t="s">
        <v>38</v>
      </c>
      <c r="D432" s="7" t="s">
        <v>946</v>
      </c>
      <c r="E432" s="4" t="s">
        <v>33</v>
      </c>
      <c r="F432" s="4" t="s">
        <v>4</v>
      </c>
      <c r="G432" s="8" t="n">
        <v>3044.1198631525</v>
      </c>
      <c r="H432" s="6" t="n">
        <f aca="false">IF(G432="","",G432/SUMIFS($G$2:$G$1122,$F$2:$F$1122,"Served"))</f>
        <v>0.000146135606308873</v>
      </c>
      <c r="I432" s="4" t="n">
        <f aca="false">IF(G432="","",RANK(G432,$G$2:$G$1122,0))</f>
        <v>431</v>
      </c>
      <c r="J432" s="4" t="s">
        <v>34</v>
      </c>
    </row>
    <row r="433" customFormat="false" ht="15" hidden="false" customHeight="false" outlineLevel="0" collapsed="false">
      <c r="A433" s="4" t="s">
        <v>947</v>
      </c>
      <c r="B433" s="4" t="s">
        <v>145</v>
      </c>
      <c r="C433" s="4" t="s">
        <v>257</v>
      </c>
      <c r="D433" s="7" t="s">
        <v>948</v>
      </c>
      <c r="E433" s="4" t="s">
        <v>148</v>
      </c>
      <c r="F433" s="4" t="s">
        <v>4</v>
      </c>
      <c r="G433" s="8" t="n">
        <v>3023.29616075754</v>
      </c>
      <c r="H433" s="6" t="n">
        <f aca="false">IF(G433="","",G433/SUMIFS($G$2:$G$1122,$F$2:$F$1122,"Served"))</f>
        <v>0.000145135946468958</v>
      </c>
      <c r="I433" s="4" t="n">
        <f aca="false">IF(G433="","",RANK(G433,$G$2:$G$1122,0))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187</v>
      </c>
      <c r="C434" s="4" t="s">
        <v>188</v>
      </c>
      <c r="D434" s="7" t="s">
        <v>950</v>
      </c>
      <c r="E434" s="4" t="s">
        <v>190</v>
      </c>
      <c r="F434" s="4" t="s">
        <v>4</v>
      </c>
      <c r="G434" s="8" t="n">
        <v>3000.92445337772</v>
      </c>
      <c r="H434" s="6" t="n">
        <f aca="false">IF(G434="","",G434/SUMIFS($G$2:$G$1122,$F$2:$F$1122,"Served"))</f>
        <v>0.00014406197331117</v>
      </c>
      <c r="I434" s="4" t="n">
        <f aca="false">IF(G434="","",RANK(G434,$G$2:$G$1122,0))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2978.13766348362</v>
      </c>
      <c r="H435" s="6" t="n">
        <f aca="false">IF(G435="","",G435/SUMIFS($G$2:$G$1122,$F$2:$F$1122,"Served"))</f>
        <v>0.000142968073758358</v>
      </c>
      <c r="I435" s="4" t="n">
        <f aca="false">IF(G435="","",RANK(G435,$G$2:$G$1122,0))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213</v>
      </c>
      <c r="D436" s="7" t="s">
        <v>954</v>
      </c>
      <c r="E436" s="4" t="s">
        <v>33</v>
      </c>
      <c r="F436" s="4" t="s">
        <v>4</v>
      </c>
      <c r="G436" s="8" t="n">
        <v>2969.23208737373</v>
      </c>
      <c r="H436" s="6" t="n">
        <f aca="false">IF(G436="","",G436/SUMIFS($G$2:$G$1122,$F$2:$F$1122,"Served"))</f>
        <v>0.00014254055387647</v>
      </c>
      <c r="I436" s="4" t="n">
        <f aca="false">IF(G436="","",RANK(G436,$G$2:$G$1122,0))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223</v>
      </c>
      <c r="C437" s="4" t="s">
        <v>224</v>
      </c>
      <c r="D437" s="7" t="s">
        <v>956</v>
      </c>
      <c r="E437" s="4" t="s">
        <v>226</v>
      </c>
      <c r="F437" s="4" t="s">
        <v>4</v>
      </c>
      <c r="G437" s="8" t="n">
        <v>2967.40130382776</v>
      </c>
      <c r="H437" s="6" t="n">
        <f aca="false">IF(G437="","",G437/SUMIFS($G$2:$G$1122,$F$2:$F$1122,"Served"))</f>
        <v>0.000142452665529251</v>
      </c>
      <c r="I437" s="4" t="n">
        <f aca="false">IF(G437="","",RANK(G437,$G$2:$G$1122,0))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48</v>
      </c>
      <c r="C438" s="4" t="s">
        <v>49</v>
      </c>
      <c r="D438" s="7" t="s">
        <v>958</v>
      </c>
      <c r="E438" s="4" t="s">
        <v>51</v>
      </c>
      <c r="F438" s="4" t="s">
        <v>4</v>
      </c>
      <c r="G438" s="8" t="n">
        <v>2934.47028672695</v>
      </c>
      <c r="H438" s="6" t="n">
        <f aca="false">IF(G438="","",G438/SUMIFS($G$2:$G$1122,$F$2:$F$1122,"Served"))</f>
        <v>0.000140871783577575</v>
      </c>
      <c r="I438" s="4" t="n">
        <f aca="false">IF(G438="","",RANK(G438,$G$2:$G$1122,0))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145</v>
      </c>
      <c r="C439" s="4" t="s">
        <v>257</v>
      </c>
      <c r="D439" s="7" t="s">
        <v>960</v>
      </c>
      <c r="E439" s="4" t="s">
        <v>148</v>
      </c>
      <c r="F439" s="4" t="s">
        <v>4</v>
      </c>
      <c r="G439" s="8" t="n">
        <v>2925.67304670811</v>
      </c>
      <c r="H439" s="6" t="n">
        <f aca="false">IF(G439="","",G439/SUMIFS($G$2:$G$1122,$F$2:$F$1122,"Served"))</f>
        <v>0.000140449464463417</v>
      </c>
      <c r="I439" s="4" t="n">
        <f aca="false">IF(G439="","",RANK(G439,$G$2:$G$1122,0))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131</v>
      </c>
      <c r="C440" s="4" t="s">
        <v>132</v>
      </c>
      <c r="D440" s="7" t="s">
        <v>962</v>
      </c>
      <c r="E440" s="4" t="s">
        <v>134</v>
      </c>
      <c r="F440" s="4" t="s">
        <v>4</v>
      </c>
      <c r="G440" s="8" t="n">
        <v>2906.21490466595</v>
      </c>
      <c r="H440" s="6" t="n">
        <f aca="false">IF(G440="","",G440/SUMIFS($G$2:$G$1122,$F$2:$F$1122,"Served"))</f>
        <v>0.00013951535952905</v>
      </c>
      <c r="I440" s="4" t="n">
        <f aca="false">IF(G440="","",RANK(G440,$G$2:$G$1122,0))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30</v>
      </c>
      <c r="C441" s="4" t="s">
        <v>38</v>
      </c>
      <c r="D441" s="7" t="s">
        <v>964</v>
      </c>
      <c r="E441" s="4" t="s">
        <v>33</v>
      </c>
      <c r="F441" s="4" t="s">
        <v>4</v>
      </c>
      <c r="G441" s="8" t="n">
        <v>2881.7309293747</v>
      </c>
      <c r="H441" s="6" t="n">
        <f aca="false">IF(G441="","",G441/SUMIFS($G$2:$G$1122,$F$2:$F$1122,"Served"))</f>
        <v>0.000138339985123676</v>
      </c>
      <c r="I441" s="4" t="n">
        <f aca="false">IF(G441="","",RANK(G441,$G$2:$G$1122,0))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31</v>
      </c>
      <c r="D442" s="7" t="s">
        <v>966</v>
      </c>
      <c r="E442" s="4" t="s">
        <v>33</v>
      </c>
      <c r="F442" s="4" t="s">
        <v>4</v>
      </c>
      <c r="G442" s="8" t="n">
        <v>2877.01534718275</v>
      </c>
      <c r="H442" s="6" t="n">
        <f aca="false">IF(G442="","",G442/SUMIFS($G$2:$G$1122,$F$2:$F$1122,"Served"))</f>
        <v>0.000138113609522945</v>
      </c>
      <c r="I442" s="4" t="n">
        <f aca="false">IF(G442="","",RANK(G442,$G$2:$G$1122,0))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30</v>
      </c>
      <c r="C443" s="4" t="s">
        <v>136</v>
      </c>
      <c r="D443" s="7" t="s">
        <v>968</v>
      </c>
      <c r="E443" s="4" t="s">
        <v>33</v>
      </c>
      <c r="F443" s="4" t="s">
        <v>4</v>
      </c>
      <c r="G443" s="8" t="n">
        <v>2871.63728535175</v>
      </c>
      <c r="H443" s="6" t="n">
        <f aca="false">IF(G443="","",G443/SUMIFS($G$2:$G$1122,$F$2:$F$1122,"Served"))</f>
        <v>0.000137855431014289</v>
      </c>
      <c r="I443" s="4" t="n">
        <f aca="false">IF(G443="","",RANK(G443,$G$2:$G$1122,0))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145</v>
      </c>
      <c r="C444" s="4" t="s">
        <v>146</v>
      </c>
      <c r="D444" s="7" t="s">
        <v>970</v>
      </c>
      <c r="E444" s="4" t="s">
        <v>148</v>
      </c>
      <c r="F444" s="4" t="s">
        <v>4</v>
      </c>
      <c r="G444" s="8" t="n">
        <v>2842.21315324307</v>
      </c>
      <c r="H444" s="6" t="n">
        <f aca="false">IF(G444="","",G444/SUMIFS($G$2:$G$1122,$F$2:$F$1122,"Served"))</f>
        <v>0.000136442900109095</v>
      </c>
      <c r="I444" s="4" t="n">
        <f aca="false">IF(G444="","",RANK(G444,$G$2:$G$1122,0))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30</v>
      </c>
      <c r="C445" s="4" t="s">
        <v>213</v>
      </c>
      <c r="D445" s="7" t="s">
        <v>972</v>
      </c>
      <c r="E445" s="4" t="s">
        <v>33</v>
      </c>
      <c r="F445" s="4" t="s">
        <v>4</v>
      </c>
      <c r="G445" s="8" t="n">
        <v>2836.09954118729</v>
      </c>
      <c r="H445" s="6" t="n">
        <f aca="false">IF(G445="","",G445/SUMIFS($G$2:$G$1122,$F$2:$F$1122,"Served"))</f>
        <v>0.000136149410875862</v>
      </c>
      <c r="I445" s="4" t="n">
        <f aca="false">IF(G445="","",RANK(G445,$G$2:$G$1122,0))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213</v>
      </c>
      <c r="D446" s="7" t="s">
        <v>974</v>
      </c>
      <c r="E446" s="4" t="s">
        <v>33</v>
      </c>
      <c r="F446" s="4" t="s">
        <v>4</v>
      </c>
      <c r="G446" s="8" t="n">
        <v>2828.46683478355</v>
      </c>
      <c r="H446" s="6" t="n">
        <f aca="false">IF(G446="","",G446/SUMIFS($G$2:$G$1122,$F$2:$F$1122,"Served"))</f>
        <v>0.000135782996204879</v>
      </c>
      <c r="I446" s="4" t="n">
        <f aca="false">IF(G446="","",RANK(G446,$G$2:$G$1122,0))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119</v>
      </c>
      <c r="C447" s="4" t="s">
        <v>371</v>
      </c>
      <c r="D447" s="7" t="s">
        <v>976</v>
      </c>
      <c r="E447" s="4" t="s">
        <v>33</v>
      </c>
      <c r="F447" s="4" t="s">
        <v>4</v>
      </c>
      <c r="G447" s="8" t="n">
        <v>2789.29972624779</v>
      </c>
      <c r="H447" s="6" t="n">
        <f aca="false">IF(G447="","",G447/SUMIFS($G$2:$G$1122,$F$2:$F$1122,"Served"))</f>
        <v>0.000133902745291464</v>
      </c>
      <c r="I447" s="4" t="n">
        <f aca="false">IF(G447="","",RANK(G447,$G$2:$G$1122,0))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735</v>
      </c>
      <c r="D448" s="7" t="s">
        <v>978</v>
      </c>
      <c r="E448" s="4" t="s">
        <v>33</v>
      </c>
      <c r="F448" s="4" t="s">
        <v>4</v>
      </c>
      <c r="G448" s="8" t="n">
        <v>2773.96467888355</v>
      </c>
      <c r="H448" s="6" t="n">
        <f aca="false">IF(G448="","",G448/SUMIFS($G$2:$G$1122,$F$2:$F$1122,"Served"))</f>
        <v>0.000133166573082388</v>
      </c>
      <c r="I448" s="4" t="n">
        <f aca="false">IF(G448="","",RANK(G448,$G$2:$G$1122,0))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187</v>
      </c>
      <c r="C449" s="4" t="s">
        <v>188</v>
      </c>
      <c r="D449" s="7" t="s">
        <v>980</v>
      </c>
      <c r="E449" s="4" t="s">
        <v>190</v>
      </c>
      <c r="F449" s="4" t="s">
        <v>4</v>
      </c>
      <c r="G449" s="8" t="n">
        <v>2731.9601893425</v>
      </c>
      <c r="H449" s="6" t="n">
        <f aca="false">IF(G449="","",G449/SUMIFS($G$2:$G$1122,$F$2:$F$1122,"Served"))</f>
        <v>0.000131150111240304</v>
      </c>
      <c r="I449" s="4" t="n">
        <f aca="false">IF(G449="","",RANK(G449,$G$2:$G$1122,0))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2713.11401808262</v>
      </c>
      <c r="H450" s="6" t="n">
        <f aca="false">IF(G450="","",G450/SUMIFS($G$2:$G$1122,$F$2:$F$1122,"Served"))</f>
        <v>0.000130245384492517</v>
      </c>
      <c r="I450" s="4" t="n">
        <f aca="false">IF(G450="","",RANK(G450,$G$2:$G$1122,0))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48</v>
      </c>
      <c r="C451" s="4" t="s">
        <v>49</v>
      </c>
      <c r="D451" s="7" t="s">
        <v>984</v>
      </c>
      <c r="E451" s="4" t="s">
        <v>51</v>
      </c>
      <c r="F451" s="4" t="s">
        <v>4</v>
      </c>
      <c r="G451" s="8" t="n">
        <v>2702.3422460556</v>
      </c>
      <c r="H451" s="6" t="n">
        <f aca="false">IF(G451="","",G451/SUMIFS($G$2:$G$1122,$F$2:$F$1122,"Served"))</f>
        <v>0.000129728276261911</v>
      </c>
      <c r="I451" s="4" t="n">
        <f aca="false">IF(G451="","",RANK(G451,$G$2:$G$1122,0))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223</v>
      </c>
      <c r="C452" s="4" t="s">
        <v>224</v>
      </c>
      <c r="D452" s="7" t="s">
        <v>986</v>
      </c>
      <c r="E452" s="4" t="s">
        <v>226</v>
      </c>
      <c r="F452" s="4" t="s">
        <v>4</v>
      </c>
      <c r="G452" s="8" t="n">
        <v>2685.77909308672</v>
      </c>
      <c r="H452" s="6" t="n">
        <f aca="false">IF(G452="","",G452/SUMIFS($G$2:$G$1122,$F$2:$F$1122,"Served"))</f>
        <v>0.00012893314778133</v>
      </c>
      <c r="I452" s="4" t="n">
        <f aca="false">IF(G452="","",RANK(G452,$G$2:$G$1122,0))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223</v>
      </c>
      <c r="C453" s="4" t="s">
        <v>224</v>
      </c>
      <c r="D453" s="7" t="s">
        <v>988</v>
      </c>
      <c r="E453" s="4" t="s">
        <v>226</v>
      </c>
      <c r="F453" s="4" t="s">
        <v>4</v>
      </c>
      <c r="G453" s="8" t="n">
        <v>2671.02757024765</v>
      </c>
      <c r="H453" s="6" t="n">
        <f aca="false">IF(G453="","",G453/SUMIFS($G$2:$G$1122,$F$2:$F$1122,"Served"))</f>
        <v>0.000128224988171664</v>
      </c>
      <c r="I453" s="4" t="n">
        <f aca="false">IF(G453="","",RANK(G453,$G$2:$G$1122,0))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48</v>
      </c>
      <c r="C454" s="4" t="s">
        <v>49</v>
      </c>
      <c r="D454" s="7" t="s">
        <v>990</v>
      </c>
      <c r="E454" s="4" t="s">
        <v>51</v>
      </c>
      <c r="F454" s="4" t="s">
        <v>4</v>
      </c>
      <c r="G454" s="8" t="n">
        <v>2650.97077214718</v>
      </c>
      <c r="H454" s="6" t="n">
        <f aca="false">IF(G454="","",G454/SUMIFS($G$2:$G$1122,$F$2:$F$1122,"Served"))</f>
        <v>0.000127262144235554</v>
      </c>
      <c r="I454" s="4" t="n">
        <f aca="false">IF(G454="","",RANK(G454,$G$2:$G$1122,0))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30</v>
      </c>
      <c r="C455" s="4" t="s">
        <v>31</v>
      </c>
      <c r="D455" s="7" t="s">
        <v>992</v>
      </c>
      <c r="E455" s="4" t="s">
        <v>33</v>
      </c>
      <c r="F455" s="4" t="s">
        <v>4</v>
      </c>
      <c r="G455" s="8" t="n">
        <v>2590.70616579056</v>
      </c>
      <c r="H455" s="6" t="n">
        <f aca="false">IF(G455="","",G455/SUMIFS($G$2:$G$1122,$F$2:$F$1122,"Served"))</f>
        <v>0.00012436908969605</v>
      </c>
      <c r="I455" s="4" t="n">
        <f aca="false">IF(G455="","",RANK(G455,$G$2:$G$1122,0))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145</v>
      </c>
      <c r="C456" s="4" t="s">
        <v>146</v>
      </c>
      <c r="D456" s="7" t="s">
        <v>994</v>
      </c>
      <c r="E456" s="4" t="s">
        <v>148</v>
      </c>
      <c r="F456" s="4" t="s">
        <v>4</v>
      </c>
      <c r="G456" s="8" t="n">
        <v>2588.4009321332</v>
      </c>
      <c r="H456" s="6" t="n">
        <f aca="false">IF(G456="","",G456/SUMIFS($G$2:$G$1122,$F$2:$F$1122,"Served"))</f>
        <v>0.000124258424960971</v>
      </c>
      <c r="I456" s="4" t="n">
        <f aca="false">IF(G456="","",RANK(G456,$G$2:$G$1122,0))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187</v>
      </c>
      <c r="C457" s="4" t="s">
        <v>188</v>
      </c>
      <c r="D457" s="7" t="s">
        <v>996</v>
      </c>
      <c r="E457" s="4" t="s">
        <v>190</v>
      </c>
      <c r="F457" s="4" t="s">
        <v>4</v>
      </c>
      <c r="G457" s="8" t="n">
        <v>2557.23460382223</v>
      </c>
      <c r="H457" s="6" t="n">
        <f aca="false">IF(G457="","",G457/SUMIFS($G$2:$G$1122,$F$2:$F$1122,"Served"))</f>
        <v>0.000122762258420595</v>
      </c>
      <c r="I457" s="4" t="n">
        <f aca="false">IF(G457="","",RANK(G457,$G$2:$G$1122,0))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187</v>
      </c>
      <c r="C458" s="4" t="s">
        <v>188</v>
      </c>
      <c r="D458" s="7" t="s">
        <v>998</v>
      </c>
      <c r="E458" s="4" t="s">
        <v>190</v>
      </c>
      <c r="F458" s="4" t="s">
        <v>4</v>
      </c>
      <c r="G458" s="8" t="n">
        <v>2552.79224157333</v>
      </c>
      <c r="H458" s="6" t="n">
        <f aca="false">IF(G458="","",G458/SUMIFS($G$2:$G$1122,$F$2:$F$1122,"Served"))</f>
        <v>0.000122548998979485</v>
      </c>
      <c r="I458" s="4" t="n">
        <f aca="false">IF(G458="","",RANK(G458,$G$2:$G$1122,0))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187</v>
      </c>
      <c r="C459" s="4" t="s">
        <v>188</v>
      </c>
      <c r="D459" s="7" t="s">
        <v>1000</v>
      </c>
      <c r="E459" s="4" t="s">
        <v>190</v>
      </c>
      <c r="F459" s="4" t="s">
        <v>4</v>
      </c>
      <c r="G459" s="8" t="n">
        <v>2481.5422475338</v>
      </c>
      <c r="H459" s="6" t="n">
        <f aca="false">IF(G459="","",G459/SUMIFS($G$2:$G$1122,$F$2:$F$1122,"Served"))</f>
        <v>0.000119128581405097</v>
      </c>
      <c r="I459" s="4" t="n">
        <f aca="false">IF(G459="","",RANK(G459,$G$2:$G$1122,0))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131</v>
      </c>
      <c r="C460" s="4" t="s">
        <v>132</v>
      </c>
      <c r="D460" s="7" t="s">
        <v>268</v>
      </c>
      <c r="E460" s="4" t="s">
        <v>134</v>
      </c>
      <c r="F460" s="4" t="s">
        <v>4</v>
      </c>
      <c r="G460" s="8" t="n">
        <v>2471.43871080875</v>
      </c>
      <c r="H460" s="6" t="n">
        <f aca="false">IF(G460="","",G460/SUMIFS($G$2:$G$1122,$F$2:$F$1122,"Served"))</f>
        <v>0.000118643552387991</v>
      </c>
      <c r="I460" s="4" t="n">
        <f aca="false">IF(G460="","",RANK(G460,$G$2:$G$1122,0))</f>
        <v>459</v>
      </c>
      <c r="J460" s="4" t="s">
        <v>34</v>
      </c>
    </row>
    <row r="461" customFormat="false" ht="15" hidden="false" customHeight="false" outlineLevel="0" collapsed="false">
      <c r="A461" s="4" t="s">
        <v>1002</v>
      </c>
      <c r="B461" s="4" t="s">
        <v>223</v>
      </c>
      <c r="C461" s="4" t="s">
        <v>224</v>
      </c>
      <c r="D461" s="7" t="s">
        <v>1003</v>
      </c>
      <c r="E461" s="4" t="s">
        <v>226</v>
      </c>
      <c r="F461" s="4" t="s">
        <v>4</v>
      </c>
      <c r="G461" s="8" t="n">
        <v>2447.08673655987</v>
      </c>
      <c r="H461" s="6" t="n">
        <f aca="false">IF(G461="","",G461/SUMIFS($G$2:$G$1122,$F$2:$F$1122,"Served"))</f>
        <v>0.000117474514806799</v>
      </c>
      <c r="I461" s="4" t="n">
        <f aca="false">IF(G461="","",RANK(G461,$G$2:$G$1122,0))</f>
        <v>460</v>
      </c>
      <c r="J461" s="4" t="s">
        <v>34</v>
      </c>
    </row>
    <row r="462" customFormat="false" ht="15" hidden="false" customHeight="false" outlineLevel="0" collapsed="false">
      <c r="A462" s="4" t="s">
        <v>1004</v>
      </c>
      <c r="B462" s="4" t="s">
        <v>119</v>
      </c>
      <c r="C462" s="4" t="s">
        <v>216</v>
      </c>
      <c r="D462" s="7" t="s">
        <v>1005</v>
      </c>
      <c r="E462" s="4" t="s">
        <v>33</v>
      </c>
      <c r="F462" s="4" t="s">
        <v>4</v>
      </c>
      <c r="G462" s="8" t="n">
        <v>2429.56399106979</v>
      </c>
      <c r="H462" s="6" t="n">
        <f aca="false">IF(G462="","",G462/SUMIFS($G$2:$G$1122,$F$2:$F$1122,"Served"))</f>
        <v>0.00011663332025747</v>
      </c>
      <c r="I462" s="4" t="n">
        <f aca="false">IF(G462="","",RANK(G462,$G$2:$G$1122,0))</f>
        <v>461</v>
      </c>
      <c r="J462" s="4" t="s">
        <v>34</v>
      </c>
    </row>
    <row r="463" customFormat="false" ht="15" hidden="false" customHeight="false" outlineLevel="0" collapsed="false">
      <c r="A463" s="4" t="s">
        <v>1006</v>
      </c>
      <c r="B463" s="4" t="s">
        <v>131</v>
      </c>
      <c r="C463" s="4" t="s">
        <v>132</v>
      </c>
      <c r="D463" s="7" t="s">
        <v>920</v>
      </c>
      <c r="E463" s="4" t="s">
        <v>134</v>
      </c>
      <c r="F463" s="4" t="s">
        <v>4</v>
      </c>
      <c r="G463" s="8" t="n">
        <v>2399.32215034962</v>
      </c>
      <c r="H463" s="6" t="n">
        <f aca="false">IF(G463="","",G463/SUMIFS($G$2:$G$1122,$F$2:$F$1122,"Served"))</f>
        <v>0.000115181534543302</v>
      </c>
      <c r="I463" s="4" t="n">
        <f aca="false">IF(G463="","",RANK(G463,$G$2:$G$1122,0))</f>
        <v>462</v>
      </c>
      <c r="J463" s="4" t="s">
        <v>34</v>
      </c>
    </row>
    <row r="464" customFormat="false" ht="15" hidden="false" customHeight="false" outlineLevel="0" collapsed="false">
      <c r="A464" s="4" t="s">
        <v>1007</v>
      </c>
      <c r="B464" s="4" t="s">
        <v>187</v>
      </c>
      <c r="C464" s="4" t="s">
        <v>188</v>
      </c>
      <c r="D464" s="7" t="s">
        <v>1008</v>
      </c>
      <c r="E464" s="4" t="s">
        <v>190</v>
      </c>
      <c r="F464" s="4" t="s">
        <v>4</v>
      </c>
      <c r="G464" s="8" t="n">
        <v>2393.97604942322</v>
      </c>
      <c r="H464" s="6" t="n">
        <f aca="false">IF(G464="","",G464/SUMIFS($G$2:$G$1122,$F$2:$F$1122,"Served"))</f>
        <v>0.000114924890345508</v>
      </c>
      <c r="I464" s="4" t="n">
        <f aca="false">IF(G464="","",RANK(G464,$G$2:$G$1122,0))</f>
        <v>463</v>
      </c>
      <c r="J464" s="4" t="s">
        <v>34</v>
      </c>
    </row>
    <row r="465" customFormat="false" ht="15" hidden="false" customHeight="false" outlineLevel="0" collapsed="false">
      <c r="A465" s="4" t="s">
        <v>1009</v>
      </c>
      <c r="B465" s="4" t="s">
        <v>187</v>
      </c>
      <c r="C465" s="4" t="s">
        <v>188</v>
      </c>
      <c r="D465" s="7" t="s">
        <v>1010</v>
      </c>
      <c r="E465" s="4" t="s">
        <v>190</v>
      </c>
      <c r="F465" s="4" t="s">
        <v>4</v>
      </c>
      <c r="G465" s="8" t="n">
        <v>2367.5987957716</v>
      </c>
      <c r="H465" s="6" t="n">
        <f aca="false">IF(G465="","",G465/SUMIFS($G$2:$G$1122,$F$2:$F$1122,"Served"))</f>
        <v>0.00011365862747531</v>
      </c>
      <c r="I465" s="4" t="n">
        <f aca="false">IF(G465="","",RANK(G465,$G$2:$G$1122,0))</f>
        <v>464</v>
      </c>
      <c r="J465" s="4" t="s">
        <v>34</v>
      </c>
    </row>
    <row r="466" customFormat="false" ht="15" hidden="false" customHeight="false" outlineLevel="0" collapsed="false">
      <c r="A466" s="4" t="s">
        <v>1011</v>
      </c>
      <c r="B466" s="4" t="s">
        <v>187</v>
      </c>
      <c r="C466" s="4" t="s">
        <v>188</v>
      </c>
      <c r="D466" s="7" t="s">
        <v>1012</v>
      </c>
      <c r="E466" s="4" t="s">
        <v>190</v>
      </c>
      <c r="F466" s="4" t="s">
        <v>4</v>
      </c>
      <c r="G466" s="8" t="n">
        <v>2337.79310643673</v>
      </c>
      <c r="H466" s="6" t="n">
        <f aca="false">IF(G466="","",G466/SUMIFS($G$2:$G$1122,$F$2:$F$1122,"Served"))</f>
        <v>0.000112227779585538</v>
      </c>
      <c r="I466" s="4" t="n">
        <f aca="false">IF(G466="","",RANK(G466,$G$2:$G$1122,0))</f>
        <v>465</v>
      </c>
      <c r="J466" s="4" t="s">
        <v>34</v>
      </c>
    </row>
    <row r="467" customFormat="false" ht="15" hidden="false" customHeight="false" outlineLevel="0" collapsed="false">
      <c r="A467" s="4" t="s">
        <v>1013</v>
      </c>
      <c r="B467" s="4" t="s">
        <v>30</v>
      </c>
      <c r="C467" s="4" t="s">
        <v>31</v>
      </c>
      <c r="D467" s="7" t="s">
        <v>1014</v>
      </c>
      <c r="E467" s="4" t="s">
        <v>33</v>
      </c>
      <c r="F467" s="4" t="s">
        <v>4</v>
      </c>
      <c r="G467" s="8" t="n">
        <v>2337.61916208267</v>
      </c>
      <c r="H467" s="6" t="n">
        <f aca="false">IF(G467="","",G467/SUMIFS($G$2:$G$1122,$F$2:$F$1122,"Served"))</f>
        <v>0.00011221942923641</v>
      </c>
      <c r="I467" s="4" t="n">
        <f aca="false">IF(G467="","",RANK(G467,$G$2:$G$1122,0))</f>
        <v>466</v>
      </c>
      <c r="J467" s="4" t="s">
        <v>34</v>
      </c>
    </row>
    <row r="468" customFormat="false" ht="15" hidden="false" customHeight="false" outlineLevel="0" collapsed="false">
      <c r="A468" s="4" t="s">
        <v>1015</v>
      </c>
      <c r="B468" s="4" t="s">
        <v>131</v>
      </c>
      <c r="C468" s="4" t="s">
        <v>132</v>
      </c>
      <c r="D468" s="7" t="s">
        <v>1016</v>
      </c>
      <c r="E468" s="4" t="s">
        <v>134</v>
      </c>
      <c r="F468" s="4" t="s">
        <v>4</v>
      </c>
      <c r="G468" s="8" t="n">
        <v>2316.70015227795</v>
      </c>
      <c r="H468" s="6" t="n">
        <f aca="false">IF(G468="","",G468/SUMIFS($G$2:$G$1122,$F$2:$F$1122,"Served"))</f>
        <v>0.000111215194081875</v>
      </c>
      <c r="I468" s="4" t="n">
        <f aca="false">IF(G468="","",RANK(G468,$G$2:$G$1122,0))</f>
        <v>467</v>
      </c>
      <c r="J468" s="4" t="s">
        <v>34</v>
      </c>
    </row>
    <row r="469" customFormat="false" ht="15" hidden="false" customHeight="false" outlineLevel="0" collapsed="false">
      <c r="A469" s="4" t="s">
        <v>1017</v>
      </c>
      <c r="B469" s="4" t="s">
        <v>48</v>
      </c>
      <c r="C469" s="4" t="s">
        <v>49</v>
      </c>
      <c r="D469" s="7" t="s">
        <v>1018</v>
      </c>
      <c r="E469" s="4" t="s">
        <v>51</v>
      </c>
      <c r="F469" s="4" t="s">
        <v>4</v>
      </c>
      <c r="G469" s="8" t="n">
        <v>2292.17035984993</v>
      </c>
      <c r="H469" s="6" t="n">
        <f aca="false">IF(G469="","",G469/SUMIFS($G$2:$G$1122,$F$2:$F$1122,"Served"))</f>
        <v>0.000110037620185233</v>
      </c>
      <c r="I469" s="4" t="n">
        <f aca="false">IF(G469="","",RANK(G469,$G$2:$G$1122,0))</f>
        <v>468</v>
      </c>
      <c r="J469" s="4" t="s">
        <v>34</v>
      </c>
    </row>
    <row r="470" customFormat="false" ht="15" hidden="false" customHeight="false" outlineLevel="0" collapsed="false">
      <c r="A470" s="4" t="s">
        <v>1019</v>
      </c>
      <c r="B470" s="4" t="s">
        <v>119</v>
      </c>
      <c r="C470" s="4" t="s">
        <v>1020</v>
      </c>
      <c r="D470" s="7" t="s">
        <v>1021</v>
      </c>
      <c r="E470" s="4" t="s">
        <v>33</v>
      </c>
      <c r="F470" s="4" t="s">
        <v>4</v>
      </c>
      <c r="G470" s="8" t="n">
        <v>2264.44762313366</v>
      </c>
      <c r="H470" s="6" t="n">
        <f aca="false">IF(G470="","",G470/SUMIFS($G$2:$G$1122,$F$2:$F$1122,"Served"))</f>
        <v>0.000108706766237065</v>
      </c>
      <c r="I470" s="4" t="n">
        <f aca="false">IF(G470="","",RANK(G470,$G$2:$G$1122,0))</f>
        <v>469</v>
      </c>
      <c r="J470" s="4" t="s">
        <v>34</v>
      </c>
    </row>
    <row r="471" customFormat="false" ht="15" hidden="false" customHeight="false" outlineLevel="0" collapsed="false">
      <c r="A471" s="4" t="s">
        <v>1022</v>
      </c>
      <c r="B471" s="4" t="s">
        <v>187</v>
      </c>
      <c r="C471" s="4" t="s">
        <v>188</v>
      </c>
      <c r="D471" s="7" t="s">
        <v>1023</v>
      </c>
      <c r="E471" s="4" t="s">
        <v>190</v>
      </c>
      <c r="F471" s="4" t="s">
        <v>4</v>
      </c>
      <c r="G471" s="8" t="n">
        <v>2246.07490968704</v>
      </c>
      <c r="H471" s="6" t="n">
        <f aca="false">IF(G471="","",G471/SUMIFS($G$2:$G$1122,$F$2:$F$1122,"Served"))</f>
        <v>0.000107824768241007</v>
      </c>
      <c r="I471" s="4" t="n">
        <f aca="false">IF(G471="","",RANK(G471,$G$2:$G$1122,0))</f>
        <v>470</v>
      </c>
      <c r="J471" s="4" t="s">
        <v>34</v>
      </c>
    </row>
    <row r="472" customFormat="false" ht="15" hidden="false" customHeight="false" outlineLevel="0" collapsed="false">
      <c r="A472" s="4" t="s">
        <v>1024</v>
      </c>
      <c r="B472" s="4" t="s">
        <v>100</v>
      </c>
      <c r="C472" s="4" t="s">
        <v>101</v>
      </c>
      <c r="D472" s="7" t="s">
        <v>1025</v>
      </c>
      <c r="E472" s="4" t="s">
        <v>103</v>
      </c>
      <c r="F472" s="4" t="s">
        <v>4</v>
      </c>
      <c r="G472" s="8" t="n">
        <v>2236.51505565643</v>
      </c>
      <c r="H472" s="6" t="n">
        <f aca="false">IF(G472="","",G472/SUMIFS($G$2:$G$1122,$F$2:$F$1122,"Served"))</f>
        <v>0.000107365839181774</v>
      </c>
      <c r="I472" s="4" t="n">
        <f aca="false">IF(G472="","",RANK(G472,$G$2:$G$1122,0))</f>
        <v>471</v>
      </c>
      <c r="J472" s="4" t="s">
        <v>34</v>
      </c>
    </row>
    <row r="473" customFormat="false" ht="15" hidden="false" customHeight="false" outlineLevel="0" collapsed="false">
      <c r="A473" s="4" t="s">
        <v>1026</v>
      </c>
      <c r="B473" s="4" t="s">
        <v>187</v>
      </c>
      <c r="C473" s="4" t="s">
        <v>188</v>
      </c>
      <c r="D473" s="7" t="s">
        <v>1027</v>
      </c>
      <c r="E473" s="4" t="s">
        <v>190</v>
      </c>
      <c r="F473" s="4" t="s">
        <v>4</v>
      </c>
      <c r="G473" s="8" t="n">
        <v>2202.85972046852</v>
      </c>
      <c r="H473" s="6" t="n">
        <f aca="false">IF(G473="","",G473/SUMIFS($G$2:$G$1122,$F$2:$F$1122,"Served"))</f>
        <v>0.000105750185714003</v>
      </c>
      <c r="I473" s="4" t="n">
        <f aca="false">IF(G473="","",RANK(G473,$G$2:$G$1122,0))</f>
        <v>472</v>
      </c>
      <c r="J473" s="4" t="s">
        <v>34</v>
      </c>
    </row>
    <row r="474" customFormat="false" ht="15" hidden="false" customHeight="false" outlineLevel="0" collapsed="false">
      <c r="A474" s="4" t="s">
        <v>1028</v>
      </c>
      <c r="B474" s="4" t="s">
        <v>100</v>
      </c>
      <c r="C474" s="4" t="s">
        <v>101</v>
      </c>
      <c r="D474" s="7" t="s">
        <v>1029</v>
      </c>
      <c r="E474" s="4" t="s">
        <v>103</v>
      </c>
      <c r="F474" s="4" t="s">
        <v>4</v>
      </c>
      <c r="G474" s="8" t="n">
        <v>2195.24751317501</v>
      </c>
      <c r="H474" s="6" t="n">
        <f aca="false">IF(G474="","",G474/SUMIFS($G$2:$G$1122,$F$2:$F$1122,"Served"))</f>
        <v>0.000105384755120533</v>
      </c>
      <c r="I474" s="4" t="n">
        <f aca="false">IF(G474="","",RANK(G474,$G$2:$G$1122,0))</f>
        <v>473</v>
      </c>
      <c r="J474" s="4" t="s">
        <v>34</v>
      </c>
    </row>
    <row r="475" customFormat="false" ht="15" hidden="false" customHeight="false" outlineLevel="0" collapsed="false">
      <c r="A475" s="4" t="s">
        <v>1030</v>
      </c>
      <c r="B475" s="4" t="s">
        <v>30</v>
      </c>
      <c r="C475" s="4" t="s">
        <v>31</v>
      </c>
      <c r="D475" s="7" t="s">
        <v>1031</v>
      </c>
      <c r="E475" s="4" t="s">
        <v>33</v>
      </c>
      <c r="F475" s="4" t="s">
        <v>4</v>
      </c>
      <c r="G475" s="8" t="n">
        <v>2163.82244360447</v>
      </c>
      <c r="H475" s="6" t="n">
        <f aca="false">IF(G475="","",G475/SUMIFS($G$2:$G$1122,$F$2:$F$1122,"Served"))</f>
        <v>0.000103876167482254</v>
      </c>
      <c r="I475" s="4" t="n">
        <f aca="false">IF(G475="","",RANK(G475,$G$2:$G$1122,0))</f>
        <v>474</v>
      </c>
      <c r="J475" s="4" t="s">
        <v>34</v>
      </c>
    </row>
    <row r="476" customFormat="false" ht="15" hidden="false" customHeight="false" outlineLevel="0" collapsed="false">
      <c r="A476" s="4" t="s">
        <v>1032</v>
      </c>
      <c r="B476" s="4" t="s">
        <v>187</v>
      </c>
      <c r="C476" s="4" t="s">
        <v>188</v>
      </c>
      <c r="D476" s="7" t="s">
        <v>1033</v>
      </c>
      <c r="E476" s="4" t="s">
        <v>190</v>
      </c>
      <c r="F476" s="4" t="s">
        <v>4</v>
      </c>
      <c r="G476" s="8" t="n">
        <v>2151.3983014822</v>
      </c>
      <c r="H476" s="6" t="n">
        <f aca="false">IF(G476="","",G476/SUMIFS($G$2:$G$1122,$F$2:$F$1122,"Served"))</f>
        <v>0.000103279735796406</v>
      </c>
      <c r="I476" s="4" t="n">
        <f aca="false">IF(G476="","",RANK(G476,$G$2:$G$1122,0))</f>
        <v>475</v>
      </c>
      <c r="J476" s="4" t="s">
        <v>34</v>
      </c>
    </row>
    <row r="477" customFormat="false" ht="15" hidden="false" customHeight="false" outlineLevel="0" collapsed="false">
      <c r="A477" s="4" t="s">
        <v>1034</v>
      </c>
      <c r="B477" s="4" t="s">
        <v>187</v>
      </c>
      <c r="C477" s="4" t="s">
        <v>188</v>
      </c>
      <c r="D477" s="7" t="s">
        <v>1035</v>
      </c>
      <c r="E477" s="4" t="s">
        <v>190</v>
      </c>
      <c r="F477" s="4" t="s">
        <v>4</v>
      </c>
      <c r="G477" s="8" t="n">
        <v>2139.74795866013</v>
      </c>
      <c r="H477" s="6" t="n">
        <f aca="false">IF(G477="","",G477/SUMIFS($G$2:$G$1122,$F$2:$F$1122,"Served"))</f>
        <v>0.000102720451015074</v>
      </c>
      <c r="I477" s="4" t="n">
        <f aca="false">IF(G477="","",RANK(G477,$G$2:$G$1122,0))</f>
        <v>476</v>
      </c>
      <c r="J477" s="4" t="s">
        <v>34</v>
      </c>
    </row>
    <row r="478" customFormat="false" ht="15" hidden="false" customHeight="false" outlineLevel="0" collapsed="false">
      <c r="A478" s="4" t="s">
        <v>1036</v>
      </c>
      <c r="B478" s="4" t="s">
        <v>187</v>
      </c>
      <c r="C478" s="4" t="s">
        <v>188</v>
      </c>
      <c r="D478" s="7" t="s">
        <v>1037</v>
      </c>
      <c r="E478" s="4" t="s">
        <v>190</v>
      </c>
      <c r="F478" s="4" t="s">
        <v>4</v>
      </c>
      <c r="G478" s="8" t="n">
        <v>2114.89648067951</v>
      </c>
      <c r="H478" s="6" t="n">
        <f aca="false">IF(G478="","",G478/SUMIFS($G$2:$G$1122,$F$2:$F$1122,"Served"))</f>
        <v>0.000101527434325315</v>
      </c>
      <c r="I478" s="4" t="n">
        <f aca="false">IF(G478="","",RANK(G478,$G$2:$G$1122,0))</f>
        <v>477</v>
      </c>
      <c r="J478" s="4" t="s">
        <v>34</v>
      </c>
    </row>
    <row r="479" customFormat="false" ht="15" hidden="false" customHeight="false" outlineLevel="0" collapsed="false">
      <c r="A479" s="4" t="s">
        <v>1038</v>
      </c>
      <c r="B479" s="4" t="s">
        <v>41</v>
      </c>
      <c r="C479" s="4" t="s">
        <v>42</v>
      </c>
      <c r="D479" s="7" t="s">
        <v>1039</v>
      </c>
      <c r="E479" s="4" t="s">
        <v>44</v>
      </c>
      <c r="F479" s="4" t="s">
        <v>4</v>
      </c>
      <c r="G479" s="8" t="n">
        <v>2113.50022393465</v>
      </c>
      <c r="H479" s="6" t="n">
        <f aca="false">IF(G479="","",G479/SUMIFS($G$2:$G$1122,$F$2:$F$1122,"Served"))</f>
        <v>0.000101460405812922</v>
      </c>
      <c r="I479" s="4" t="n">
        <f aca="false">IF(G479="","",RANK(G479,$G$2:$G$1122,0))</f>
        <v>478</v>
      </c>
      <c r="J479" s="4" t="s">
        <v>34</v>
      </c>
    </row>
    <row r="480" customFormat="false" ht="15" hidden="false" customHeight="false" outlineLevel="0" collapsed="false">
      <c r="A480" s="4" t="s">
        <v>1040</v>
      </c>
      <c r="B480" s="4" t="s">
        <v>223</v>
      </c>
      <c r="C480" s="4" t="s">
        <v>224</v>
      </c>
      <c r="D480" s="7" t="s">
        <v>1041</v>
      </c>
      <c r="E480" s="4" t="s">
        <v>226</v>
      </c>
      <c r="F480" s="4" t="s">
        <v>4</v>
      </c>
      <c r="G480" s="8" t="n">
        <v>2086.08759593964</v>
      </c>
      <c r="H480" s="6" t="n">
        <f aca="false">IF(G480="","",G480/SUMIFS($G$2:$G$1122,$F$2:$F$1122,"Served"))</f>
        <v>0.000100144438902072</v>
      </c>
      <c r="I480" s="4" t="n">
        <f aca="false">IF(G480="","",RANK(G480,$G$2:$G$1122,0))</f>
        <v>479</v>
      </c>
      <c r="J480" s="4" t="s">
        <v>34</v>
      </c>
    </row>
    <row r="481" customFormat="false" ht="15" hidden="false" customHeight="false" outlineLevel="0" collapsed="false">
      <c r="A481" s="4" t="s">
        <v>1042</v>
      </c>
      <c r="B481" s="4" t="s">
        <v>30</v>
      </c>
      <c r="C481" s="4" t="s">
        <v>629</v>
      </c>
      <c r="D481" s="7" t="s">
        <v>1043</v>
      </c>
      <c r="E481" s="4" t="s">
        <v>33</v>
      </c>
      <c r="F481" s="4" t="s">
        <v>4</v>
      </c>
      <c r="G481" s="8" t="n">
        <v>2058.2765789032</v>
      </c>
      <c r="H481" s="6" t="n">
        <f aca="false">IF(G481="","",G481/SUMIFS($G$2:$G$1122,$F$2:$F$1122,"Served"))</f>
        <v>9.88093469807971E-005</v>
      </c>
      <c r="I481" s="4" t="n">
        <f aca="false">IF(G481="","",RANK(G481,$G$2:$G$1122,0))</f>
        <v>480</v>
      </c>
      <c r="J481" s="4" t="s">
        <v>34</v>
      </c>
    </row>
    <row r="482" customFormat="false" ht="15" hidden="false" customHeight="false" outlineLevel="0" collapsed="false">
      <c r="A482" s="4" t="s">
        <v>1044</v>
      </c>
      <c r="B482" s="4" t="s">
        <v>187</v>
      </c>
      <c r="C482" s="4" t="s">
        <v>188</v>
      </c>
      <c r="D482" s="7" t="s">
        <v>1045</v>
      </c>
      <c r="E482" s="4" t="s">
        <v>190</v>
      </c>
      <c r="F482" s="4" t="s">
        <v>4</v>
      </c>
      <c r="G482" s="8" t="n">
        <v>2017.98846054077</v>
      </c>
      <c r="H482" s="6" t="n">
        <f aca="false">IF(G482="","",G482/SUMIFS($G$2:$G$1122,$F$2:$F$1122,"Served"))</f>
        <v>9.68752810213051E-005</v>
      </c>
      <c r="I482" s="4" t="n">
        <f aca="false">IF(G482="","",RANK(G482,$G$2:$G$1122,0))</f>
        <v>481</v>
      </c>
      <c r="J482" s="4" t="s">
        <v>34</v>
      </c>
    </row>
    <row r="483" customFormat="false" ht="15" hidden="false" customHeight="false" outlineLevel="0" collapsed="false">
      <c r="A483" s="4" t="s">
        <v>1046</v>
      </c>
      <c r="B483" s="4" t="s">
        <v>119</v>
      </c>
      <c r="C483" s="4" t="s">
        <v>688</v>
      </c>
      <c r="D483" s="7" t="s">
        <v>1047</v>
      </c>
      <c r="E483" s="4" t="s">
        <v>33</v>
      </c>
      <c r="F483" s="4" t="s">
        <v>4</v>
      </c>
      <c r="G483" s="8" t="n">
        <v>2013.92379188538</v>
      </c>
      <c r="H483" s="6" t="n">
        <f aca="false">IF(G483="","",G483/SUMIFS($G$2:$G$1122,$F$2:$F$1122,"Served"))</f>
        <v>9.66801530877468E-005</v>
      </c>
      <c r="I483" s="4" t="n">
        <f aca="false">IF(G483="","",RANK(G483,$G$2:$G$1122,0))</f>
        <v>482</v>
      </c>
      <c r="J483" s="4" t="s">
        <v>34</v>
      </c>
    </row>
    <row r="484" customFormat="false" ht="15" hidden="false" customHeight="false" outlineLevel="0" collapsed="false">
      <c r="A484" s="4" t="s">
        <v>1048</v>
      </c>
      <c r="B484" s="4" t="s">
        <v>223</v>
      </c>
      <c r="C484" s="4" t="s">
        <v>224</v>
      </c>
      <c r="D484" s="7" t="s">
        <v>1049</v>
      </c>
      <c r="E484" s="4" t="s">
        <v>226</v>
      </c>
      <c r="F484" s="4" t="s">
        <v>4</v>
      </c>
      <c r="G484" s="8" t="n">
        <v>2012.69981992245</v>
      </c>
      <c r="H484" s="6" t="n">
        <f aca="false">IF(G484="","",G484/SUMIFS($G$2:$G$1122,$F$2:$F$1122,"Served"))</f>
        <v>9.66213952552866E-005</v>
      </c>
      <c r="I484" s="4" t="n">
        <f aca="false">IF(G484="","",RANK(G484,$G$2:$G$1122,0))</f>
        <v>483</v>
      </c>
      <c r="J484" s="4" t="s">
        <v>34</v>
      </c>
    </row>
    <row r="485" customFormat="false" ht="15" hidden="false" customHeight="false" outlineLevel="0" collapsed="false">
      <c r="A485" s="4" t="s">
        <v>1050</v>
      </c>
      <c r="B485" s="4" t="s">
        <v>187</v>
      </c>
      <c r="C485" s="4" t="s">
        <v>188</v>
      </c>
      <c r="D485" s="7" t="s">
        <v>1051</v>
      </c>
      <c r="E485" s="4" t="s">
        <v>190</v>
      </c>
      <c r="F485" s="4" t="s">
        <v>4</v>
      </c>
      <c r="G485" s="8" t="n">
        <v>1996.58241558075</v>
      </c>
      <c r="H485" s="6" t="n">
        <f aca="false">IF(G485="","",G485/SUMIFS($G$2:$G$1122,$F$2:$F$1122,"Served"))</f>
        <v>9.58476653229967E-005</v>
      </c>
      <c r="I485" s="4" t="n">
        <f aca="false">IF(G485="","",RANK(G485,$G$2:$G$1122,0))</f>
        <v>484</v>
      </c>
      <c r="J485" s="4" t="s">
        <v>34</v>
      </c>
    </row>
    <row r="486" customFormat="false" ht="15" hidden="false" customHeight="false" outlineLevel="0" collapsed="false">
      <c r="A486" s="4" t="s">
        <v>1052</v>
      </c>
      <c r="B486" s="4" t="s">
        <v>30</v>
      </c>
      <c r="C486" s="4" t="s">
        <v>31</v>
      </c>
      <c r="D486" s="7" t="s">
        <v>1053</v>
      </c>
      <c r="E486" s="4" t="s">
        <v>33</v>
      </c>
      <c r="F486" s="4" t="s">
        <v>4</v>
      </c>
      <c r="G486" s="8" t="n">
        <v>1995.47993195057</v>
      </c>
      <c r="H486" s="6" t="n">
        <f aca="false">IF(G486="","",G486/SUMIFS($G$2:$G$1122,$F$2:$F$1122,"Served"))</f>
        <v>9.57947396430023E-005</v>
      </c>
      <c r="I486" s="4" t="n">
        <f aca="false">IF(G486="","",RANK(G486,$G$2:$G$1122,0))</f>
        <v>485</v>
      </c>
      <c r="J486" s="4" t="s">
        <v>34</v>
      </c>
    </row>
    <row r="487" customFormat="false" ht="15" hidden="false" customHeight="false" outlineLevel="0" collapsed="false">
      <c r="A487" s="4" t="s">
        <v>1054</v>
      </c>
      <c r="B487" s="4" t="s">
        <v>48</v>
      </c>
      <c r="C487" s="4" t="s">
        <v>49</v>
      </c>
      <c r="D487" s="7" t="s">
        <v>1055</v>
      </c>
      <c r="E487" s="4" t="s">
        <v>51</v>
      </c>
      <c r="F487" s="4" t="s">
        <v>4</v>
      </c>
      <c r="G487" s="8" t="n">
        <v>1987.03938782215</v>
      </c>
      <c r="H487" s="6" t="n">
        <f aca="false">IF(G487="","",G487/SUMIFS($G$2:$G$1122,$F$2:$F$1122,"Served"))</f>
        <v>9.5389544023502E-005</v>
      </c>
      <c r="I487" s="4" t="n">
        <f aca="false">IF(G487="","",RANK(G487,$G$2:$G$1122,0))</f>
        <v>486</v>
      </c>
      <c r="J487" s="4" t="s">
        <v>34</v>
      </c>
    </row>
    <row r="488" customFormat="false" ht="15" hidden="false" customHeight="false" outlineLevel="0" collapsed="false">
      <c r="A488" s="4" t="s">
        <v>1056</v>
      </c>
      <c r="B488" s="4" t="s">
        <v>187</v>
      </c>
      <c r="C488" s="4" t="s">
        <v>188</v>
      </c>
      <c r="D488" s="7" t="s">
        <v>1057</v>
      </c>
      <c r="E488" s="4" t="s">
        <v>190</v>
      </c>
      <c r="F488" s="4" t="s">
        <v>4</v>
      </c>
      <c r="G488" s="8" t="n">
        <v>1966.85966384411</v>
      </c>
      <c r="H488" s="6" t="n">
        <f aca="false">IF(G488="","",G488/SUMIFS($G$2:$G$1122,$F$2:$F$1122,"Served"))</f>
        <v>9.44207989243445E-005</v>
      </c>
      <c r="I488" s="4" t="n">
        <f aca="false">IF(G488="","",RANK(G488,$G$2:$G$1122,0))</f>
        <v>487</v>
      </c>
      <c r="J488" s="4" t="s">
        <v>34</v>
      </c>
    </row>
    <row r="489" customFormat="false" ht="15" hidden="false" customHeight="false" outlineLevel="0" collapsed="false">
      <c r="A489" s="4" t="s">
        <v>1058</v>
      </c>
      <c r="B489" s="4" t="s">
        <v>119</v>
      </c>
      <c r="C489" s="4" t="s">
        <v>653</v>
      </c>
      <c r="D489" s="7" t="s">
        <v>1059</v>
      </c>
      <c r="E489" s="4" t="s">
        <v>33</v>
      </c>
      <c r="F489" s="4" t="s">
        <v>4</v>
      </c>
      <c r="G489" s="8" t="n">
        <v>1936.44094955921</v>
      </c>
      <c r="H489" s="6" t="n">
        <f aca="false">IF(G489="","",G489/SUMIFS($G$2:$G$1122,$F$2:$F$1122,"Served"))</f>
        <v>9.29605222417581E-005</v>
      </c>
      <c r="I489" s="4" t="n">
        <f aca="false">IF(G489="","",RANK(G489,$G$2:$G$1122,0))</f>
        <v>488</v>
      </c>
      <c r="J489" s="4" t="s">
        <v>34</v>
      </c>
    </row>
    <row r="490" customFormat="false" ht="15" hidden="false" customHeight="false" outlineLevel="0" collapsed="false">
      <c r="A490" s="4" t="s">
        <v>1060</v>
      </c>
      <c r="B490" s="4" t="s">
        <v>187</v>
      </c>
      <c r="C490" s="4" t="s">
        <v>188</v>
      </c>
      <c r="D490" s="7" t="s">
        <v>1061</v>
      </c>
      <c r="E490" s="4" t="s">
        <v>190</v>
      </c>
      <c r="F490" s="4" t="s">
        <v>4</v>
      </c>
      <c r="G490" s="8" t="n">
        <v>1934.12757134438</v>
      </c>
      <c r="H490" s="6" t="n">
        <f aca="false">IF(G490="","",G490/SUMIFS($G$2:$G$1122,$F$2:$F$1122,"Served"))</f>
        <v>9.28494665201556E-005</v>
      </c>
      <c r="I490" s="4" t="n">
        <f aca="false">IF(G490="","",RANK(G490,$G$2:$G$1122,0))</f>
        <v>489</v>
      </c>
      <c r="J490" s="4" t="s">
        <v>34</v>
      </c>
    </row>
    <row r="491" customFormat="false" ht="15" hidden="false" customHeight="false" outlineLevel="0" collapsed="false">
      <c r="A491" s="4" t="s">
        <v>1062</v>
      </c>
      <c r="B491" s="4" t="s">
        <v>223</v>
      </c>
      <c r="C491" s="4" t="s">
        <v>224</v>
      </c>
      <c r="D491" s="7" t="s">
        <v>1063</v>
      </c>
      <c r="E491" s="4" t="s">
        <v>226</v>
      </c>
      <c r="F491" s="4" t="s">
        <v>4</v>
      </c>
      <c r="G491" s="8" t="n">
        <v>1895.12593221664</v>
      </c>
      <c r="H491" s="6" t="n">
        <f aca="false">IF(G491="","",G491/SUMIFS($G$2:$G$1122,$F$2:$F$1122,"Served"))</f>
        <v>9.09771591087554E-005</v>
      </c>
      <c r="I491" s="4" t="n">
        <f aca="false">IF(G491="","",RANK(G491,$G$2:$G$1122,0))</f>
        <v>490</v>
      </c>
      <c r="J491" s="4" t="s">
        <v>34</v>
      </c>
    </row>
    <row r="492" customFormat="false" ht="15" hidden="false" customHeight="false" outlineLevel="0" collapsed="false">
      <c r="A492" s="4" t="s">
        <v>1064</v>
      </c>
      <c r="B492" s="4" t="s">
        <v>119</v>
      </c>
      <c r="C492" s="4" t="s">
        <v>196</v>
      </c>
      <c r="D492" s="7" t="s">
        <v>1065</v>
      </c>
      <c r="E492" s="4" t="s">
        <v>33</v>
      </c>
      <c r="F492" s="4" t="s">
        <v>4</v>
      </c>
      <c r="G492" s="8" t="n">
        <v>1790.03554165363</v>
      </c>
      <c r="H492" s="6" t="n">
        <f aca="false">IF(G492="","",G492/SUMIFS($G$2:$G$1122,$F$2:$F$1122,"Served"))</f>
        <v>8.59322040371579E-005</v>
      </c>
      <c r="I492" s="4" t="n">
        <f aca="false">IF(G492="","",RANK(G492,$G$2:$G$1122,0))</f>
        <v>491</v>
      </c>
      <c r="J492" s="4" t="s">
        <v>34</v>
      </c>
    </row>
    <row r="493" customFormat="false" ht="15" hidden="false" customHeight="false" outlineLevel="0" collapsed="false">
      <c r="A493" s="4" t="s">
        <v>1066</v>
      </c>
      <c r="B493" s="4" t="s">
        <v>100</v>
      </c>
      <c r="C493" s="4" t="s">
        <v>101</v>
      </c>
      <c r="D493" s="7" t="s">
        <v>1067</v>
      </c>
      <c r="E493" s="4" t="s">
        <v>103</v>
      </c>
      <c r="F493" s="4" t="s">
        <v>4</v>
      </c>
      <c r="G493" s="8" t="n">
        <v>1772.99455869198</v>
      </c>
      <c r="H493" s="6" t="n">
        <f aca="false">IF(G493="","",G493/SUMIFS($G$2:$G$1122,$F$2:$F$1122,"Served"))</f>
        <v>8.51141369145901E-005</v>
      </c>
      <c r="I493" s="4" t="n">
        <f aca="false">IF(G493="","",RANK(G493,$G$2:$G$1122,0))</f>
        <v>492</v>
      </c>
      <c r="J493" s="4" t="s">
        <v>34</v>
      </c>
    </row>
    <row r="494" customFormat="false" ht="15" hidden="false" customHeight="false" outlineLevel="0" collapsed="false">
      <c r="A494" s="4" t="s">
        <v>1068</v>
      </c>
      <c r="B494" s="4" t="s">
        <v>30</v>
      </c>
      <c r="C494" s="4" t="s">
        <v>31</v>
      </c>
      <c r="D494" s="7" t="s">
        <v>1069</v>
      </c>
      <c r="E494" s="4" t="s">
        <v>33</v>
      </c>
      <c r="F494" s="4" t="s">
        <v>4</v>
      </c>
      <c r="G494" s="8" t="n">
        <v>1751.22455227375</v>
      </c>
      <c r="H494" s="6" t="n">
        <f aca="false">IF(G494="","",G494/SUMIFS($G$2:$G$1122,$F$2:$F$1122,"Served"))</f>
        <v>8.40690489317598E-005</v>
      </c>
      <c r="I494" s="4" t="n">
        <f aca="false">IF(G494="","",RANK(G494,$G$2:$G$1122,0))</f>
        <v>493</v>
      </c>
      <c r="J494" s="4" t="s">
        <v>34</v>
      </c>
    </row>
    <row r="495" customFormat="false" ht="15" hidden="false" customHeight="false" outlineLevel="0" collapsed="false">
      <c r="A495" s="4" t="s">
        <v>1070</v>
      </c>
      <c r="B495" s="4" t="s">
        <v>131</v>
      </c>
      <c r="C495" s="4" t="s">
        <v>132</v>
      </c>
      <c r="D495" s="7" t="s">
        <v>1071</v>
      </c>
      <c r="E495" s="4" t="s">
        <v>134</v>
      </c>
      <c r="F495" s="4" t="s">
        <v>4</v>
      </c>
      <c r="G495" s="8" t="n">
        <v>1730.53404045105</v>
      </c>
      <c r="H495" s="6" t="n">
        <f aca="false">IF(G495="","",G495/SUMIFS($G$2:$G$1122,$F$2:$F$1122,"Served"))</f>
        <v>8.30757830204366E-005</v>
      </c>
      <c r="I495" s="4" t="n">
        <f aca="false">IF(G495="","",RANK(G495,$G$2:$G$1122,0))</f>
        <v>494</v>
      </c>
      <c r="J495" s="4" t="s">
        <v>34</v>
      </c>
    </row>
    <row r="496" customFormat="false" ht="15" hidden="false" customHeight="false" outlineLevel="0" collapsed="false">
      <c r="A496" s="4" t="s">
        <v>1072</v>
      </c>
      <c r="B496" s="4" t="s">
        <v>187</v>
      </c>
      <c r="C496" s="4" t="s">
        <v>188</v>
      </c>
      <c r="D496" s="7" t="s">
        <v>1073</v>
      </c>
      <c r="E496" s="4" t="s">
        <v>190</v>
      </c>
      <c r="F496" s="4" t="s">
        <v>4</v>
      </c>
      <c r="G496" s="8" t="n">
        <v>1714.48056346178</v>
      </c>
      <c r="H496" s="6" t="n">
        <f aca="false">IF(G496="","",G496/SUMIFS($G$2:$G$1122,$F$2:$F$1122,"Served"))</f>
        <v>8.23051219759786E-005</v>
      </c>
      <c r="I496" s="4" t="n">
        <f aca="false">IF(G496="","",RANK(G496,$G$2:$G$1122,0))</f>
        <v>495</v>
      </c>
      <c r="J496" s="4" t="s">
        <v>34</v>
      </c>
    </row>
    <row r="497" customFormat="false" ht="15" hidden="false" customHeight="false" outlineLevel="0" collapsed="false">
      <c r="A497" s="4" t="s">
        <v>1074</v>
      </c>
      <c r="B497" s="4" t="s">
        <v>131</v>
      </c>
      <c r="C497" s="4" t="s">
        <v>132</v>
      </c>
      <c r="D497" s="7" t="s">
        <v>1075</v>
      </c>
      <c r="E497" s="4" t="s">
        <v>134</v>
      </c>
      <c r="F497" s="4" t="s">
        <v>4</v>
      </c>
      <c r="G497" s="8" t="n">
        <v>1683.06466448307</v>
      </c>
      <c r="H497" s="6" t="n">
        <f aca="false">IF(G497="","",G497/SUMIFS($G$2:$G$1122,$F$2:$F$1122,"Served"))</f>
        <v>8.07969745798909E-005</v>
      </c>
      <c r="I497" s="4" t="n">
        <f aca="false">IF(G497="","",RANK(G497,$G$2:$G$1122,0))</f>
        <v>496</v>
      </c>
      <c r="J497" s="4" t="s">
        <v>34</v>
      </c>
    </row>
    <row r="498" customFormat="false" ht="15" hidden="false" customHeight="false" outlineLevel="0" collapsed="false">
      <c r="A498" s="4" t="s">
        <v>1076</v>
      </c>
      <c r="B498" s="4" t="s">
        <v>48</v>
      </c>
      <c r="C498" s="4" t="s">
        <v>49</v>
      </c>
      <c r="D498" s="7" t="s">
        <v>1077</v>
      </c>
      <c r="E498" s="4" t="s">
        <v>51</v>
      </c>
      <c r="F498" s="4" t="s">
        <v>4</v>
      </c>
      <c r="G498" s="8" t="n">
        <v>1668.24716997147</v>
      </c>
      <c r="H498" s="6" t="n">
        <f aca="false">IF(G498="","",G498/SUMIFS($G$2:$G$1122,$F$2:$F$1122,"Served"))</f>
        <v>8.00856479430386E-005</v>
      </c>
      <c r="I498" s="4" t="n">
        <f aca="false">IF(G498="","",RANK(G498,$G$2:$G$1122,0))</f>
        <v>497</v>
      </c>
      <c r="J498" s="4" t="s">
        <v>34</v>
      </c>
    </row>
    <row r="499" customFormat="false" ht="15" hidden="false" customHeight="false" outlineLevel="0" collapsed="false">
      <c r="A499" s="4" t="s">
        <v>1078</v>
      </c>
      <c r="B499" s="4" t="s">
        <v>187</v>
      </c>
      <c r="C499" s="4" t="s">
        <v>188</v>
      </c>
      <c r="D499" s="7" t="s">
        <v>1079</v>
      </c>
      <c r="E499" s="4" t="s">
        <v>190</v>
      </c>
      <c r="F499" s="4" t="s">
        <v>4</v>
      </c>
      <c r="G499" s="8" t="n">
        <v>1643.68886172771</v>
      </c>
      <c r="H499" s="6" t="n">
        <f aca="false">IF(G499="","",G499/SUMIFS($G$2:$G$1122,$F$2:$F$1122,"Served"))</f>
        <v>7.8906705120004E-005</v>
      </c>
      <c r="I499" s="4" t="n">
        <f aca="false">IF(G499="","",RANK(G499,$G$2:$G$1122,0))</f>
        <v>498</v>
      </c>
      <c r="J499" s="4" t="s">
        <v>34</v>
      </c>
    </row>
    <row r="500" customFormat="false" ht="15" hidden="false" customHeight="false" outlineLevel="0" collapsed="false">
      <c r="A500" s="4" t="s">
        <v>1080</v>
      </c>
      <c r="B500" s="4" t="s">
        <v>223</v>
      </c>
      <c r="C500" s="4" t="s">
        <v>224</v>
      </c>
      <c r="D500" s="7" t="s">
        <v>1081</v>
      </c>
      <c r="E500" s="4" t="s">
        <v>226</v>
      </c>
      <c r="F500" s="4" t="s">
        <v>4</v>
      </c>
      <c r="G500" s="8" t="n">
        <v>1609.11709320545</v>
      </c>
      <c r="H500" s="6" t="n">
        <f aca="false">IF(G500="","",G500/SUMIFS($G$2:$G$1122,$F$2:$F$1122,"Served"))</f>
        <v>7.72470574775689E-005</v>
      </c>
      <c r="I500" s="4" t="n">
        <f aca="false">IF(G500="","",RANK(G500,$G$2:$G$1122,0))</f>
        <v>499</v>
      </c>
      <c r="J500" s="4" t="s">
        <v>34</v>
      </c>
    </row>
    <row r="501" customFormat="false" ht="15" hidden="false" customHeight="false" outlineLevel="0" collapsed="false">
      <c r="A501" s="4" t="s">
        <v>1082</v>
      </c>
      <c r="B501" s="4" t="s">
        <v>119</v>
      </c>
      <c r="C501" s="4" t="s">
        <v>653</v>
      </c>
      <c r="D501" s="7" t="s">
        <v>1083</v>
      </c>
      <c r="E501" s="4" t="s">
        <v>33</v>
      </c>
      <c r="F501" s="4" t="s">
        <v>4</v>
      </c>
      <c r="G501" s="8" t="n">
        <v>1582.53751623631</v>
      </c>
      <c r="H501" s="6" t="n">
        <f aca="false">IF(G501="","",G501/SUMIFS($G$2:$G$1122,$F$2:$F$1122,"Served"))</f>
        <v>7.59710819015621E-005</v>
      </c>
      <c r="I501" s="4" t="n">
        <f aca="false">IF(G501="","",RANK(G501,$G$2:$G$1122,0))</f>
        <v>500</v>
      </c>
      <c r="J501" s="4" t="s">
        <v>34</v>
      </c>
    </row>
    <row r="502" customFormat="false" ht="15" hidden="false" customHeight="false" outlineLevel="0" collapsed="false">
      <c r="A502" s="4" t="s">
        <v>1084</v>
      </c>
      <c r="B502" s="4" t="s">
        <v>119</v>
      </c>
      <c r="C502" s="4" t="s">
        <v>196</v>
      </c>
      <c r="D502" s="7" t="s">
        <v>1085</v>
      </c>
      <c r="E502" s="4" t="s">
        <v>33</v>
      </c>
      <c r="F502" s="4" t="s">
        <v>4</v>
      </c>
      <c r="G502" s="8" t="n">
        <v>1579.19049358368</v>
      </c>
      <c r="H502" s="6" t="n">
        <f aca="false">IF(G502="","",G502/SUMIFS($G$2:$G$1122,$F$2:$F$1122,"Served"))</f>
        <v>7.58104051849218E-005</v>
      </c>
      <c r="I502" s="4" t="n">
        <f aca="false">IF(G502="","",RANK(G502,$G$2:$G$1122,0))</f>
        <v>501</v>
      </c>
      <c r="J502" s="4" t="s">
        <v>34</v>
      </c>
    </row>
    <row r="503" customFormat="false" ht="15" hidden="false" customHeight="false" outlineLevel="0" collapsed="false">
      <c r="A503" s="4" t="s">
        <v>1086</v>
      </c>
      <c r="B503" s="4" t="s">
        <v>223</v>
      </c>
      <c r="C503" s="4" t="s">
        <v>224</v>
      </c>
      <c r="D503" s="7" t="s">
        <v>1087</v>
      </c>
      <c r="E503" s="4" t="s">
        <v>226</v>
      </c>
      <c r="F503" s="4" t="s">
        <v>4</v>
      </c>
      <c r="G503" s="8" t="n">
        <v>1575.33544850349</v>
      </c>
      <c r="H503" s="6" t="n">
        <f aca="false">IF(G503="","",G503/SUMIFS($G$2:$G$1122,$F$2:$F$1122,"Served"))</f>
        <v>7.56253404123548E-005</v>
      </c>
      <c r="I503" s="4" t="n">
        <f aca="false">IF(G503="","",RANK(G503,$G$2:$G$1122,0))</f>
        <v>502</v>
      </c>
      <c r="J503" s="4" t="s">
        <v>34</v>
      </c>
    </row>
    <row r="504" customFormat="false" ht="15" hidden="false" customHeight="false" outlineLevel="0" collapsed="false">
      <c r="A504" s="4" t="s">
        <v>1088</v>
      </c>
      <c r="B504" s="4" t="s">
        <v>30</v>
      </c>
      <c r="C504" s="4" t="s">
        <v>65</v>
      </c>
      <c r="D504" s="7" t="s">
        <v>1089</v>
      </c>
      <c r="E504" s="4" t="s">
        <v>33</v>
      </c>
      <c r="F504" s="4" t="s">
        <v>4</v>
      </c>
      <c r="G504" s="8" t="n">
        <v>1561.78853535652</v>
      </c>
      <c r="H504" s="6" t="n">
        <f aca="false">IF(G504="","",G504/SUMIFS($G$2:$G$1122,$F$2:$F$1122,"Served"))</f>
        <v>7.4975009132595E-005</v>
      </c>
      <c r="I504" s="4" t="n">
        <f aca="false">IF(G504="","",RANK(G504,$G$2:$G$1122,0))</f>
        <v>503</v>
      </c>
      <c r="J504" s="4" t="s">
        <v>34</v>
      </c>
    </row>
    <row r="505" customFormat="false" ht="15" hidden="false" customHeight="false" outlineLevel="0" collapsed="false">
      <c r="A505" s="4" t="s">
        <v>1090</v>
      </c>
      <c r="B505" s="4" t="s">
        <v>223</v>
      </c>
      <c r="C505" s="4" t="s">
        <v>224</v>
      </c>
      <c r="D505" s="7" t="s">
        <v>1091</v>
      </c>
      <c r="E505" s="4" t="s">
        <v>226</v>
      </c>
      <c r="F505" s="4" t="s">
        <v>4</v>
      </c>
      <c r="G505" s="8" t="n">
        <v>1507.84227025509</v>
      </c>
      <c r="H505" s="6" t="n">
        <f aca="false">IF(G505="","",G505/SUMIFS($G$2:$G$1122,$F$2:$F$1122,"Served"))</f>
        <v>7.23852720285727E-005</v>
      </c>
      <c r="I505" s="4" t="n">
        <f aca="false">IF(G505="","",RANK(G505,$G$2:$G$1122,0))</f>
        <v>504</v>
      </c>
      <c r="J505" s="4" t="s">
        <v>34</v>
      </c>
    </row>
    <row r="506" customFormat="false" ht="15" hidden="false" customHeight="false" outlineLevel="0" collapsed="false">
      <c r="A506" s="4" t="s">
        <v>1092</v>
      </c>
      <c r="B506" s="4" t="s">
        <v>119</v>
      </c>
      <c r="C506" s="4" t="s">
        <v>196</v>
      </c>
      <c r="D506" s="7" t="s">
        <v>1093</v>
      </c>
      <c r="E506" s="4" t="s">
        <v>33</v>
      </c>
      <c r="F506" s="4" t="s">
        <v>4</v>
      </c>
      <c r="G506" s="8" t="n">
        <v>1489.53400468826</v>
      </c>
      <c r="H506" s="6" t="n">
        <f aca="false">IF(G506="","",G506/SUMIFS($G$2:$G$1122,$F$2:$F$1122,"Served"))</f>
        <v>7.15063679087128E-005</v>
      </c>
      <c r="I506" s="4" t="n">
        <f aca="false">IF(G506="","",RANK(G506,$G$2:$G$1122,0))</f>
        <v>505</v>
      </c>
      <c r="J506" s="4" t="s">
        <v>34</v>
      </c>
    </row>
    <row r="507" customFormat="false" ht="15" hidden="false" customHeight="false" outlineLevel="0" collapsed="false">
      <c r="A507" s="4" t="s">
        <v>1094</v>
      </c>
      <c r="B507" s="4" t="s">
        <v>119</v>
      </c>
      <c r="C507" s="4" t="s">
        <v>653</v>
      </c>
      <c r="D507" s="7" t="s">
        <v>1095</v>
      </c>
      <c r="E507" s="4" t="s">
        <v>33</v>
      </c>
      <c r="F507" s="4" t="s">
        <v>4</v>
      </c>
      <c r="G507" s="8" t="n">
        <v>1487.63033926487</v>
      </c>
      <c r="H507" s="6" t="n">
        <f aca="false">IF(G507="","",G507/SUMIFS($G$2:$G$1122,$F$2:$F$1122,"Served"))</f>
        <v>7.1414980803946E-005</v>
      </c>
      <c r="I507" s="4" t="n">
        <f aca="false">IF(G507="","",RANK(G507,$G$2:$G$1122,0))</f>
        <v>506</v>
      </c>
      <c r="J507" s="4" t="s">
        <v>34</v>
      </c>
    </row>
    <row r="508" customFormat="false" ht="15" hidden="false" customHeight="false" outlineLevel="0" collapsed="false">
      <c r="A508" s="4" t="s">
        <v>1096</v>
      </c>
      <c r="B508" s="4" t="s">
        <v>187</v>
      </c>
      <c r="C508" s="4" t="s">
        <v>188</v>
      </c>
      <c r="D508" s="7" t="s">
        <v>1097</v>
      </c>
      <c r="E508" s="4" t="s">
        <v>190</v>
      </c>
      <c r="F508" s="4" t="s">
        <v>4</v>
      </c>
      <c r="G508" s="8" t="n">
        <v>1478.2169469595</v>
      </c>
      <c r="H508" s="6" t="n">
        <f aca="false">IF(G508="","",G508/SUMIFS($G$2:$G$1122,$F$2:$F$1122,"Served"))</f>
        <v>7.09630827664803E-005</v>
      </c>
      <c r="I508" s="4" t="n">
        <f aca="false">IF(G508="","",RANK(G508,$G$2:$G$1122,0))</f>
        <v>507</v>
      </c>
      <c r="J508" s="4" t="s">
        <v>34</v>
      </c>
    </row>
    <row r="509" customFormat="false" ht="15" hidden="false" customHeight="false" outlineLevel="0" collapsed="false">
      <c r="A509" s="4" t="s">
        <v>1098</v>
      </c>
      <c r="B509" s="4" t="s">
        <v>187</v>
      </c>
      <c r="C509" s="4" t="s">
        <v>188</v>
      </c>
      <c r="D509" s="7" t="s">
        <v>1099</v>
      </c>
      <c r="E509" s="4" t="s">
        <v>190</v>
      </c>
      <c r="F509" s="4" t="s">
        <v>4</v>
      </c>
      <c r="G509" s="8" t="n">
        <v>1451.64053606987</v>
      </c>
      <c r="H509" s="6" t="n">
        <f aca="false">IF(G509="","",G509/SUMIFS($G$2:$G$1122,$F$2:$F$1122,"Served"))</f>
        <v>6.96872591808586E-005</v>
      </c>
      <c r="I509" s="4" t="n">
        <f aca="false">IF(G509="","",RANK(G509,$G$2:$G$1122,0))</f>
        <v>508</v>
      </c>
      <c r="J509" s="4" t="s">
        <v>34</v>
      </c>
    </row>
    <row r="510" customFormat="false" ht="15" hidden="false" customHeight="false" outlineLevel="0" collapsed="false">
      <c r="A510" s="4" t="s">
        <v>1100</v>
      </c>
      <c r="B510" s="4" t="s">
        <v>48</v>
      </c>
      <c r="C510" s="4" t="s">
        <v>49</v>
      </c>
      <c r="D510" s="7" t="s">
        <v>1101</v>
      </c>
      <c r="E510" s="4" t="s">
        <v>51</v>
      </c>
      <c r="F510" s="4" t="s">
        <v>4</v>
      </c>
      <c r="G510" s="8" t="n">
        <v>1401.74410307407</v>
      </c>
      <c r="H510" s="6" t="n">
        <f aca="false">IF(G510="","",G510/SUMIFS($G$2:$G$1122,$F$2:$F$1122,"Served"))</f>
        <v>6.72919377689943E-005</v>
      </c>
      <c r="I510" s="4" t="n">
        <f aca="false">IF(G510="","",RANK(G510,$G$2:$G$1122,0))</f>
        <v>509</v>
      </c>
      <c r="J510" s="4" t="s">
        <v>34</v>
      </c>
    </row>
    <row r="511" customFormat="false" ht="15" hidden="false" customHeight="false" outlineLevel="0" collapsed="false">
      <c r="A511" s="4" t="s">
        <v>1102</v>
      </c>
      <c r="B511" s="4" t="s">
        <v>30</v>
      </c>
      <c r="C511" s="4" t="s">
        <v>31</v>
      </c>
      <c r="D511" s="7" t="s">
        <v>1103</v>
      </c>
      <c r="E511" s="4" t="s">
        <v>33</v>
      </c>
      <c r="F511" s="4" t="s">
        <v>4</v>
      </c>
      <c r="G511" s="8" t="n">
        <v>1399.04104971886</v>
      </c>
      <c r="H511" s="6" t="n">
        <f aca="false">IF(G511="","",G511/SUMIFS($G$2:$G$1122,$F$2:$F$1122,"Served"))</f>
        <v>6.71621753553222E-005</v>
      </c>
      <c r="I511" s="4" t="n">
        <f aca="false">IF(G511="","",RANK(G511,$G$2:$G$1122,0))</f>
        <v>510</v>
      </c>
      <c r="J511" s="4" t="s">
        <v>34</v>
      </c>
    </row>
    <row r="512" customFormat="false" ht="15" hidden="false" customHeight="false" outlineLevel="0" collapsed="false">
      <c r="A512" s="4" t="s">
        <v>1104</v>
      </c>
      <c r="B512" s="4" t="s">
        <v>119</v>
      </c>
      <c r="C512" s="4" t="s">
        <v>646</v>
      </c>
      <c r="D512" s="7" t="s">
        <v>1105</v>
      </c>
      <c r="E512" s="4" t="s">
        <v>33</v>
      </c>
      <c r="F512" s="4" t="s">
        <v>4</v>
      </c>
      <c r="G512" s="8" t="n">
        <v>1337.18606328964</v>
      </c>
      <c r="H512" s="6" t="n">
        <f aca="false">IF(G512="","",G512/SUMIFS($G$2:$G$1122,$F$2:$F$1122,"Served"))</f>
        <v>6.41927732452162E-005</v>
      </c>
      <c r="I512" s="4" t="n">
        <f aca="false">IF(G512="","",RANK(G512,$G$2:$G$1122,0))</f>
        <v>511</v>
      </c>
      <c r="J512" s="4" t="s">
        <v>34</v>
      </c>
    </row>
    <row r="513" customFormat="false" ht="15" hidden="false" customHeight="false" outlineLevel="0" collapsed="false">
      <c r="A513" s="4" t="s">
        <v>1106</v>
      </c>
      <c r="B513" s="4" t="s">
        <v>187</v>
      </c>
      <c r="C513" s="4" t="s">
        <v>188</v>
      </c>
      <c r="D513" s="7" t="s">
        <v>1107</v>
      </c>
      <c r="E513" s="4" t="s">
        <v>190</v>
      </c>
      <c r="F513" s="4" t="s">
        <v>4</v>
      </c>
      <c r="G513" s="8" t="n">
        <v>1309.28660070896</v>
      </c>
      <c r="H513" s="6" t="n">
        <f aca="false">IF(G513="","",G513/SUMIFS($G$2:$G$1122,$F$2:$F$1122,"Served"))</f>
        <v>6.28534354191106E-005</v>
      </c>
      <c r="I513" s="4" t="n">
        <f aca="false">IF(G513="","",RANK(G513,$G$2:$G$1122,0))</f>
        <v>512</v>
      </c>
      <c r="J513" s="4" t="s">
        <v>34</v>
      </c>
    </row>
    <row r="514" customFormat="false" ht="15" hidden="false" customHeight="false" outlineLevel="0" collapsed="false">
      <c r="A514" s="4" t="s">
        <v>1108</v>
      </c>
      <c r="B514" s="4" t="s">
        <v>145</v>
      </c>
      <c r="C514" s="4" t="s">
        <v>257</v>
      </c>
      <c r="D514" s="7" t="s">
        <v>1109</v>
      </c>
      <c r="E514" s="4" t="s">
        <v>148</v>
      </c>
      <c r="F514" s="4" t="s">
        <v>4</v>
      </c>
      <c r="G514" s="8" t="n">
        <v>1300.62133979797</v>
      </c>
      <c r="H514" s="6" t="n">
        <f aca="false">IF(G514="","",G514/SUMIFS($G$2:$G$1122,$F$2:$F$1122,"Served"))</f>
        <v>6.24374520761485E-005</v>
      </c>
      <c r="I514" s="4" t="n">
        <f aca="false">IF(G514="","",RANK(G514,$G$2:$G$1122,0))</f>
        <v>513</v>
      </c>
      <c r="J514" s="4" t="s">
        <v>34</v>
      </c>
    </row>
    <row r="515" customFormat="false" ht="15" hidden="false" customHeight="false" outlineLevel="0" collapsed="false">
      <c r="A515" s="4" t="s">
        <v>1110</v>
      </c>
      <c r="B515" s="4" t="s">
        <v>48</v>
      </c>
      <c r="C515" s="4" t="s">
        <v>49</v>
      </c>
      <c r="D515" s="7" t="s">
        <v>1111</v>
      </c>
      <c r="E515" s="4" t="s">
        <v>51</v>
      </c>
      <c r="F515" s="4" t="s">
        <v>4</v>
      </c>
      <c r="G515" s="8" t="n">
        <v>1263.6876796484</v>
      </c>
      <c r="H515" s="6" t="n">
        <f aca="false">IF(G515="","",G515/SUMIFS($G$2:$G$1122,$F$2:$F$1122,"Served"))</f>
        <v>6.0664419783795E-005</v>
      </c>
      <c r="I515" s="4" t="n">
        <f aca="false">IF(G515="","",RANK(G515,$G$2:$G$1122,0))</f>
        <v>514</v>
      </c>
      <c r="J515" s="4" t="s">
        <v>34</v>
      </c>
    </row>
    <row r="516" customFormat="false" ht="15" hidden="false" customHeight="false" outlineLevel="0" collapsed="false">
      <c r="A516" s="4" t="s">
        <v>1112</v>
      </c>
      <c r="B516" s="4" t="s">
        <v>119</v>
      </c>
      <c r="C516" s="4" t="s">
        <v>443</v>
      </c>
      <c r="D516" s="7" t="s">
        <v>1113</v>
      </c>
      <c r="E516" s="4" t="s">
        <v>33</v>
      </c>
      <c r="F516" s="4" t="s">
        <v>4</v>
      </c>
      <c r="G516" s="8" t="n">
        <v>1263.21528589726</v>
      </c>
      <c r="H516" s="6" t="n">
        <f aca="false">IF(G516="","",G516/SUMIFS($G$2:$G$1122,$F$2:$F$1122,"Served"))</f>
        <v>6.06417421132882E-005</v>
      </c>
      <c r="I516" s="4" t="n">
        <f aca="false">IF(G516="","",RANK(G516,$G$2:$G$1122,0))</f>
        <v>515</v>
      </c>
      <c r="J516" s="4" t="s">
        <v>34</v>
      </c>
    </row>
    <row r="517" customFormat="false" ht="15" hidden="false" customHeight="false" outlineLevel="0" collapsed="false">
      <c r="A517" s="4" t="s">
        <v>1114</v>
      </c>
      <c r="B517" s="4" t="s">
        <v>119</v>
      </c>
      <c r="C517" s="4" t="s">
        <v>371</v>
      </c>
      <c r="D517" s="7" t="s">
        <v>1115</v>
      </c>
      <c r="E517" s="4" t="s">
        <v>33</v>
      </c>
      <c r="F517" s="4" t="s">
        <v>4</v>
      </c>
      <c r="G517" s="8" t="n">
        <v>1209.84444880486</v>
      </c>
      <c r="H517" s="6" t="n">
        <f aca="false">IF(G517="","",G517/SUMIFS($G$2:$G$1122,$F$2:$F$1122,"Served"))</f>
        <v>5.80796289284174E-005</v>
      </c>
      <c r="I517" s="4" t="n">
        <f aca="false">IF(G517="","",RANK(G517,$G$2:$G$1122,0))</f>
        <v>516</v>
      </c>
      <c r="J517" s="4" t="s">
        <v>34</v>
      </c>
    </row>
    <row r="518" customFormat="false" ht="15" hidden="false" customHeight="false" outlineLevel="0" collapsed="false">
      <c r="A518" s="4" t="s">
        <v>1116</v>
      </c>
      <c r="B518" s="4" t="s">
        <v>223</v>
      </c>
      <c r="C518" s="4" t="s">
        <v>224</v>
      </c>
      <c r="D518" s="7" t="s">
        <v>1117</v>
      </c>
      <c r="E518" s="4" t="s">
        <v>226</v>
      </c>
      <c r="F518" s="4" t="s">
        <v>4</v>
      </c>
      <c r="G518" s="8" t="n">
        <v>1181.48182892799</v>
      </c>
      <c r="H518" s="6" t="n">
        <f aca="false">IF(G518="","",G518/SUMIFS($G$2:$G$1122,$F$2:$F$1122,"Served"))</f>
        <v>5.67180568358123E-005</v>
      </c>
      <c r="I518" s="4" t="n">
        <f aca="false">IF(G518="","",RANK(G518,$G$2:$G$1122,0))</f>
        <v>517</v>
      </c>
      <c r="J518" s="4" t="s">
        <v>34</v>
      </c>
    </row>
    <row r="519" customFormat="false" ht="15" hidden="false" customHeight="false" outlineLevel="0" collapsed="false">
      <c r="A519" s="4" t="s">
        <v>1118</v>
      </c>
      <c r="B519" s="4" t="s">
        <v>223</v>
      </c>
      <c r="C519" s="4" t="s">
        <v>224</v>
      </c>
      <c r="D519" s="7" t="s">
        <v>1119</v>
      </c>
      <c r="E519" s="4" t="s">
        <v>226</v>
      </c>
      <c r="F519" s="4" t="s">
        <v>4</v>
      </c>
      <c r="G519" s="8" t="n">
        <v>1137.0408744812</v>
      </c>
      <c r="H519" s="6" t="n">
        <f aca="false">IF(G519="","",G519/SUMIFS($G$2:$G$1122,$F$2:$F$1122,"Served"))</f>
        <v>5.4584630389095E-005</v>
      </c>
      <c r="I519" s="4" t="n">
        <f aca="false">IF(G519="","",RANK(G519,$G$2:$G$1122,0))</f>
        <v>518</v>
      </c>
      <c r="J519" s="4" t="s">
        <v>34</v>
      </c>
    </row>
    <row r="520" customFormat="false" ht="15" hidden="false" customHeight="false" outlineLevel="0" collapsed="false">
      <c r="A520" s="4" t="s">
        <v>1120</v>
      </c>
      <c r="B520" s="4" t="s">
        <v>30</v>
      </c>
      <c r="C520" s="4" t="s">
        <v>629</v>
      </c>
      <c r="D520" s="7" t="s">
        <v>1121</v>
      </c>
      <c r="E520" s="4" t="s">
        <v>33</v>
      </c>
      <c r="F520" s="4" t="s">
        <v>4</v>
      </c>
      <c r="G520" s="8" t="n">
        <v>1136.50801885128</v>
      </c>
      <c r="H520" s="6" t="n">
        <f aca="false">IF(G520="","",G520/SUMIFS($G$2:$G$1122,$F$2:$F$1122,"Served"))</f>
        <v>5.45590501938155E-005</v>
      </c>
      <c r="I520" s="4" t="n">
        <f aca="false">IF(G520="","",RANK(G520,$G$2:$G$1122,0))</f>
        <v>519</v>
      </c>
      <c r="J520" s="4" t="s">
        <v>34</v>
      </c>
    </row>
    <row r="521" customFormat="false" ht="15" hidden="false" customHeight="false" outlineLevel="0" collapsed="false">
      <c r="A521" s="4" t="s">
        <v>1122</v>
      </c>
      <c r="B521" s="4" t="s">
        <v>119</v>
      </c>
      <c r="C521" s="4" t="s">
        <v>646</v>
      </c>
      <c r="D521" s="7" t="s">
        <v>1123</v>
      </c>
      <c r="E521" s="4" t="s">
        <v>33</v>
      </c>
      <c r="F521" s="4" t="s">
        <v>4</v>
      </c>
      <c r="G521" s="8" t="n">
        <v>1120.75544178486</v>
      </c>
      <c r="H521" s="6" t="n">
        <f aca="false">IF(G521="","",G521/SUMIFS($G$2:$G$1122,$F$2:$F$1122,"Served"))</f>
        <v>5.38028341103448E-005</v>
      </c>
      <c r="I521" s="4" t="n">
        <f aca="false">IF(G521="","",RANK(G521,$G$2:$G$1122,0))</f>
        <v>520</v>
      </c>
      <c r="J521" s="4" t="s">
        <v>34</v>
      </c>
    </row>
    <row r="522" customFormat="false" ht="15" hidden="false" customHeight="false" outlineLevel="0" collapsed="false">
      <c r="A522" s="4" t="s">
        <v>1124</v>
      </c>
      <c r="B522" s="4" t="s">
        <v>187</v>
      </c>
      <c r="C522" s="4" t="s">
        <v>188</v>
      </c>
      <c r="D522" s="7" t="s">
        <v>1125</v>
      </c>
      <c r="E522" s="4" t="s">
        <v>190</v>
      </c>
      <c r="F522" s="4" t="s">
        <v>4</v>
      </c>
      <c r="G522" s="8" t="n">
        <v>1100.51869148016</v>
      </c>
      <c r="H522" s="6" t="n">
        <f aca="false">IF(G522="","",G522/SUMIFS($G$2:$G$1122,$F$2:$F$1122,"Served"))</f>
        <v>5.2831351413065E-005</v>
      </c>
      <c r="I522" s="4" t="n">
        <f aca="false">IF(G522="","",RANK(G522,$G$2:$G$1122,0))</f>
        <v>521</v>
      </c>
      <c r="J522" s="4" t="s">
        <v>34</v>
      </c>
    </row>
    <row r="523" customFormat="false" ht="15" hidden="false" customHeight="false" outlineLevel="0" collapsed="false">
      <c r="A523" s="4" t="s">
        <v>1126</v>
      </c>
      <c r="B523" s="4" t="s">
        <v>223</v>
      </c>
      <c r="C523" s="4" t="s">
        <v>224</v>
      </c>
      <c r="D523" s="7" t="s">
        <v>1127</v>
      </c>
      <c r="E523" s="4" t="s">
        <v>226</v>
      </c>
      <c r="F523" s="4" t="s">
        <v>4</v>
      </c>
      <c r="G523" s="8" t="n">
        <v>1089.08328127861</v>
      </c>
      <c r="H523" s="6" t="n">
        <f aca="false">IF(G523="","",G523/SUMIFS($G$2:$G$1122,$F$2:$F$1122,"Served"))</f>
        <v>5.22823846580359E-005</v>
      </c>
      <c r="I523" s="4" t="n">
        <f aca="false">IF(G523="","",RANK(G523,$G$2:$G$1122,0))</f>
        <v>522</v>
      </c>
      <c r="J523" s="4" t="s">
        <v>34</v>
      </c>
    </row>
    <row r="524" customFormat="false" ht="15" hidden="false" customHeight="false" outlineLevel="0" collapsed="false">
      <c r="A524" s="4" t="s">
        <v>1128</v>
      </c>
      <c r="B524" s="4" t="s">
        <v>187</v>
      </c>
      <c r="C524" s="4" t="s">
        <v>188</v>
      </c>
      <c r="D524" s="7" t="s">
        <v>1129</v>
      </c>
      <c r="E524" s="4" t="s">
        <v>190</v>
      </c>
      <c r="F524" s="4" t="s">
        <v>4</v>
      </c>
      <c r="G524" s="8" t="n">
        <v>1083.12562775612</v>
      </c>
      <c r="H524" s="6" t="n">
        <f aca="false">IF(G524="","",G524/SUMIFS($G$2:$G$1122,$F$2:$F$1122,"Served"))</f>
        <v>5.19963823490514E-005</v>
      </c>
      <c r="I524" s="4" t="n">
        <f aca="false">IF(G524="","",RANK(G524,$G$2:$G$1122,0))</f>
        <v>523</v>
      </c>
      <c r="J524" s="4" t="s">
        <v>34</v>
      </c>
    </row>
    <row r="525" customFormat="false" ht="15" hidden="false" customHeight="false" outlineLevel="0" collapsed="false">
      <c r="A525" s="4" t="s">
        <v>1130</v>
      </c>
      <c r="B525" s="4" t="s">
        <v>223</v>
      </c>
      <c r="C525" s="4" t="s">
        <v>224</v>
      </c>
      <c r="D525" s="7" t="s">
        <v>1131</v>
      </c>
      <c r="E525" s="4" t="s">
        <v>226</v>
      </c>
      <c r="F525" s="4" t="s">
        <v>4</v>
      </c>
      <c r="G525" s="8" t="n">
        <v>1064.09300196171</v>
      </c>
      <c r="H525" s="6" t="n">
        <f aca="false">IF(G525="","",G525/SUMIFS($G$2:$G$1122,$F$2:$F$1122,"Served"))</f>
        <v>5.10827046901054E-005</v>
      </c>
      <c r="I525" s="4" t="n">
        <f aca="false">IF(G525="","",RANK(G525,$G$2:$G$1122,0))</f>
        <v>524</v>
      </c>
      <c r="J525" s="4" t="s">
        <v>34</v>
      </c>
    </row>
    <row r="526" customFormat="false" ht="15" hidden="false" customHeight="false" outlineLevel="0" collapsed="false">
      <c r="A526" s="4" t="s">
        <v>1132</v>
      </c>
      <c r="B526" s="4" t="s">
        <v>30</v>
      </c>
      <c r="C526" s="4" t="s">
        <v>1133</v>
      </c>
      <c r="D526" s="7" t="s">
        <v>1134</v>
      </c>
      <c r="E526" s="4" t="s">
        <v>33</v>
      </c>
      <c r="F526" s="4" t="s">
        <v>4</v>
      </c>
      <c r="G526" s="8" t="n">
        <v>1051.12006151676</v>
      </c>
      <c r="H526" s="6" t="n">
        <f aca="false">IF(G526="","",G526/SUMIFS($G$2:$G$1122,$F$2:$F$1122,"Served"))</f>
        <v>5.04599274662257E-005</v>
      </c>
      <c r="I526" s="4" t="n">
        <f aca="false">IF(G526="","",RANK(G526,$G$2:$G$1122,0))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187</v>
      </c>
      <c r="C527" s="4" t="s">
        <v>188</v>
      </c>
      <c r="D527" s="7" t="s">
        <v>1136</v>
      </c>
      <c r="E527" s="4" t="s">
        <v>190</v>
      </c>
      <c r="F527" s="4" t="s">
        <v>4</v>
      </c>
      <c r="G527" s="8" t="n">
        <v>1027.82690739632</v>
      </c>
      <c r="H527" s="6" t="n">
        <f aca="false">IF(G527="","",G527/SUMIFS($G$2:$G$1122,$F$2:$F$1122,"Served"))</f>
        <v>4.93417194608707E-005</v>
      </c>
      <c r="I527" s="4" t="n">
        <f aca="false">IF(G527="","",RANK(G527,$G$2:$G$1122,0))</f>
        <v>526</v>
      </c>
      <c r="J527" s="4" t="s">
        <v>34</v>
      </c>
    </row>
    <row r="528" customFormat="false" ht="15" hidden="false" customHeight="false" outlineLevel="0" collapsed="false">
      <c r="A528" s="4" t="s">
        <v>1137</v>
      </c>
      <c r="B528" s="4" t="s">
        <v>223</v>
      </c>
      <c r="C528" s="4" t="s">
        <v>224</v>
      </c>
      <c r="D528" s="7" t="s">
        <v>1138</v>
      </c>
      <c r="E528" s="4" t="s">
        <v>226</v>
      </c>
      <c r="F528" s="4" t="s">
        <v>4</v>
      </c>
      <c r="G528" s="8" t="n">
        <v>1014.61448764801</v>
      </c>
      <c r="H528" s="6" t="n">
        <f aca="false">IF(G528="","",G528/SUMIFS($G$2:$G$1122,$F$2:$F$1122,"Served"))</f>
        <v>4.87074458259533E-005</v>
      </c>
      <c r="I528" s="4" t="n">
        <f aca="false">IF(G528="","",RANK(G528,$G$2:$G$1122,0))</f>
        <v>527</v>
      </c>
      <c r="J528" s="4" t="s">
        <v>34</v>
      </c>
    </row>
    <row r="529" customFormat="false" ht="15" hidden="false" customHeight="false" outlineLevel="0" collapsed="false">
      <c r="A529" s="4" t="s">
        <v>1139</v>
      </c>
      <c r="B529" s="4" t="s">
        <v>187</v>
      </c>
      <c r="C529" s="4" t="s">
        <v>188</v>
      </c>
      <c r="D529" s="7" t="s">
        <v>1140</v>
      </c>
      <c r="E529" s="4" t="s">
        <v>190</v>
      </c>
      <c r="F529" s="4" t="s">
        <v>4</v>
      </c>
      <c r="G529" s="8" t="n">
        <v>999.910741686821</v>
      </c>
      <c r="H529" s="6" t="n">
        <f aca="false">IF(G529="","",G529/SUMIFS($G$2:$G$1122,$F$2:$F$1122,"Served"))</f>
        <v>4.8001579786623E-005</v>
      </c>
      <c r="I529" s="4" t="n">
        <f aca="false">IF(G529="","",RANK(G529,$G$2:$G$1122,0))</f>
        <v>528</v>
      </c>
      <c r="J529" s="4" t="s">
        <v>34</v>
      </c>
    </row>
    <row r="530" customFormat="false" ht="15" hidden="false" customHeight="false" outlineLevel="0" collapsed="false">
      <c r="A530" s="4" t="s">
        <v>1141</v>
      </c>
      <c r="B530" s="4" t="s">
        <v>187</v>
      </c>
      <c r="C530" s="4" t="s">
        <v>188</v>
      </c>
      <c r="D530" s="7" t="s">
        <v>1142</v>
      </c>
      <c r="E530" s="4" t="s">
        <v>190</v>
      </c>
      <c r="F530" s="4" t="s">
        <v>4</v>
      </c>
      <c r="G530" s="8" t="n">
        <v>997.951885104179</v>
      </c>
      <c r="H530" s="6" t="n">
        <f aca="false">IF(G530="","",G530/SUMIFS($G$2:$G$1122,$F$2:$F$1122,"Served"))</f>
        <v>4.79075431825321E-005</v>
      </c>
      <c r="I530" s="4" t="n">
        <f aca="false">IF(G530="","",RANK(G530,$G$2:$G$1122,0))</f>
        <v>529</v>
      </c>
      <c r="J530" s="4" t="s">
        <v>34</v>
      </c>
    </row>
    <row r="531" customFormat="false" ht="15" hidden="false" customHeight="false" outlineLevel="0" collapsed="false">
      <c r="A531" s="4" t="s">
        <v>1143</v>
      </c>
      <c r="B531" s="4" t="s">
        <v>30</v>
      </c>
      <c r="C531" s="4" t="s">
        <v>31</v>
      </c>
      <c r="D531" s="7" t="s">
        <v>1144</v>
      </c>
      <c r="E531" s="4" t="s">
        <v>33</v>
      </c>
      <c r="F531" s="4" t="s">
        <v>4</v>
      </c>
      <c r="G531" s="8" t="n">
        <v>964.135105311871</v>
      </c>
      <c r="H531" s="6" t="n">
        <f aca="false">IF(G531="","",G531/SUMIFS($G$2:$G$1122,$F$2:$F$1122,"Served"))</f>
        <v>4.62841394269241E-005</v>
      </c>
      <c r="I531" s="4" t="n">
        <f aca="false">IF(G531="","",RANK(G531,$G$2:$G$1122,0))</f>
        <v>530</v>
      </c>
      <c r="J531" s="4" t="s">
        <v>34</v>
      </c>
    </row>
    <row r="532" customFormat="false" ht="15" hidden="false" customHeight="false" outlineLevel="0" collapsed="false">
      <c r="A532" s="4" t="s">
        <v>1145</v>
      </c>
      <c r="B532" s="4" t="s">
        <v>100</v>
      </c>
      <c r="C532" s="4" t="s">
        <v>101</v>
      </c>
      <c r="D532" s="7" t="s">
        <v>1146</v>
      </c>
      <c r="E532" s="4" t="s">
        <v>103</v>
      </c>
      <c r="F532" s="4" t="s">
        <v>4</v>
      </c>
      <c r="G532" s="8" t="n">
        <v>959.733023762703</v>
      </c>
      <c r="H532" s="6" t="n">
        <f aca="false">IF(G532="","",G532/SUMIFS($G$2:$G$1122,$F$2:$F$1122,"Served"))</f>
        <v>4.60728136956362E-005</v>
      </c>
      <c r="I532" s="4" t="n">
        <f aca="false">IF(G532="","",RANK(G532,$G$2:$G$1122,0))</f>
        <v>531</v>
      </c>
      <c r="J532" s="4" t="s">
        <v>34</v>
      </c>
    </row>
    <row r="533" customFormat="false" ht="15" hidden="false" customHeight="false" outlineLevel="0" collapsed="false">
      <c r="A533" s="4" t="s">
        <v>1147</v>
      </c>
      <c r="B533" s="4" t="s">
        <v>48</v>
      </c>
      <c r="C533" s="4" t="s">
        <v>49</v>
      </c>
      <c r="D533" s="7" t="s">
        <v>1148</v>
      </c>
      <c r="E533" s="4" t="s">
        <v>51</v>
      </c>
      <c r="F533" s="4" t="s">
        <v>4</v>
      </c>
      <c r="G533" s="8" t="n">
        <v>959.382142305374</v>
      </c>
      <c r="H533" s="6" t="n">
        <f aca="false">IF(G533="","",G533/SUMIFS($G$2:$G$1122,$F$2:$F$1122,"Served"))</f>
        <v>4.60559693278668E-005</v>
      </c>
      <c r="I533" s="4" t="n">
        <f aca="false">IF(G533="","",RANK(G533,$G$2:$G$1122,0))</f>
        <v>532</v>
      </c>
      <c r="J533" s="4" t="s">
        <v>34</v>
      </c>
    </row>
    <row r="534" customFormat="false" ht="15" hidden="false" customHeight="false" outlineLevel="0" collapsed="false">
      <c r="A534" s="4" t="s">
        <v>1149</v>
      </c>
      <c r="B534" s="4" t="s">
        <v>48</v>
      </c>
      <c r="C534" s="4" t="s">
        <v>49</v>
      </c>
      <c r="D534" s="7" t="s">
        <v>1150</v>
      </c>
      <c r="E534" s="4" t="s">
        <v>51</v>
      </c>
      <c r="F534" s="4" t="s">
        <v>4</v>
      </c>
      <c r="G534" s="8" t="n">
        <v>954.216435551643</v>
      </c>
      <c r="H534" s="6" t="n">
        <f aca="false">IF(G534="","",G534/SUMIFS($G$2:$G$1122,$F$2:$F$1122,"Served"))</f>
        <v>4.58079851083201E-005</v>
      </c>
      <c r="I534" s="4" t="n">
        <f aca="false">IF(G534="","",RANK(G534,$G$2:$G$1122,0))</f>
        <v>533</v>
      </c>
      <c r="J534" s="4" t="s">
        <v>34</v>
      </c>
    </row>
    <row r="535" customFormat="false" ht="15" hidden="false" customHeight="false" outlineLevel="0" collapsed="false">
      <c r="A535" s="4" t="s">
        <v>1151</v>
      </c>
      <c r="B535" s="4" t="s">
        <v>187</v>
      </c>
      <c r="C535" s="4" t="s">
        <v>188</v>
      </c>
      <c r="D535" s="7" t="s">
        <v>1152</v>
      </c>
      <c r="E535" s="4" t="s">
        <v>190</v>
      </c>
      <c r="F535" s="4" t="s">
        <v>4</v>
      </c>
      <c r="G535" s="8" t="n">
        <v>947.842039942741</v>
      </c>
      <c r="H535" s="6" t="n">
        <f aca="false">IF(G535="","",G535/SUMIFS($G$2:$G$1122,$F$2:$F$1122,"Served"))</f>
        <v>4.55019767351167E-005</v>
      </c>
      <c r="I535" s="4" t="n">
        <f aca="false">IF(G535="","",RANK(G535,$G$2:$G$1122,0))</f>
        <v>534</v>
      </c>
      <c r="J535" s="4" t="s">
        <v>34</v>
      </c>
    </row>
    <row r="536" customFormat="false" ht="15" hidden="false" customHeight="false" outlineLevel="0" collapsed="false">
      <c r="A536" s="4" t="s">
        <v>1153</v>
      </c>
      <c r="B536" s="4" t="s">
        <v>30</v>
      </c>
      <c r="C536" s="4" t="s">
        <v>629</v>
      </c>
      <c r="D536" s="7" t="s">
        <v>1154</v>
      </c>
      <c r="E536" s="4" t="s">
        <v>33</v>
      </c>
      <c r="F536" s="4" t="s">
        <v>4</v>
      </c>
      <c r="G536" s="8" t="n">
        <v>945.386282682419</v>
      </c>
      <c r="H536" s="6" t="n">
        <f aca="false">IF(G536="","",G536/SUMIFS($G$2:$G$1122,$F$2:$F$1122,"Served"))</f>
        <v>4.53840859843192E-005</v>
      </c>
      <c r="I536" s="4" t="n">
        <f aca="false">IF(G536="","",RANK(G536,$G$2:$G$1122,0))</f>
        <v>535</v>
      </c>
      <c r="J536" s="4" t="s">
        <v>34</v>
      </c>
    </row>
    <row r="537" customFormat="false" ht="15" hidden="false" customHeight="false" outlineLevel="0" collapsed="false">
      <c r="A537" s="4" t="s">
        <v>1155</v>
      </c>
      <c r="B537" s="4" t="s">
        <v>187</v>
      </c>
      <c r="C537" s="4" t="s">
        <v>188</v>
      </c>
      <c r="D537" s="7" t="s">
        <v>1156</v>
      </c>
      <c r="E537" s="4" t="s">
        <v>190</v>
      </c>
      <c r="F537" s="4" t="s">
        <v>4</v>
      </c>
      <c r="G537" s="8" t="n">
        <v>919.244470596314</v>
      </c>
      <c r="H537" s="6" t="n">
        <f aca="false">IF(G537="","",G537/SUMIFS($G$2:$G$1122,$F$2:$F$1122,"Served"))</f>
        <v>4.41291256900621E-005</v>
      </c>
      <c r="I537" s="4" t="n">
        <f aca="false">IF(G537="","",RANK(G537,$G$2:$G$1122,0))</f>
        <v>536</v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223</v>
      </c>
      <c r="C538" s="4" t="s">
        <v>224</v>
      </c>
      <c r="D538" s="7" t="s">
        <v>1158</v>
      </c>
      <c r="E538" s="4" t="s">
        <v>226</v>
      </c>
      <c r="F538" s="4" t="s">
        <v>4</v>
      </c>
      <c r="G538" s="8" t="n">
        <v>873.2315107584</v>
      </c>
      <c r="H538" s="6" t="n">
        <f aca="false">IF(G538="","",G538/SUMIFS($G$2:$G$1122,$F$2:$F$1122,"Served"))</f>
        <v>4.19202337652166E-005</v>
      </c>
      <c r="I538" s="4" t="n">
        <f aca="false">IF(G538="","",RANK(G538,$G$2:$G$1122,0))</f>
        <v>537</v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48</v>
      </c>
      <c r="C539" s="4" t="s">
        <v>49</v>
      </c>
      <c r="D539" s="7" t="s">
        <v>1160</v>
      </c>
      <c r="E539" s="4" t="s">
        <v>51</v>
      </c>
      <c r="F539" s="4" t="s">
        <v>4</v>
      </c>
      <c r="G539" s="8" t="n">
        <v>873.225188851357</v>
      </c>
      <c r="H539" s="6" t="n">
        <f aca="false">IF(G539="","",G539/SUMIFS($G$2:$G$1122,$F$2:$F$1122,"Served"))</f>
        <v>4.19199302766024E-005</v>
      </c>
      <c r="I539" s="4" t="n">
        <f aca="false">IF(G539="","",RANK(G539,$G$2:$G$1122,0))</f>
        <v>538</v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30</v>
      </c>
      <c r="C540" s="4" t="s">
        <v>629</v>
      </c>
      <c r="D540" s="7" t="s">
        <v>1162</v>
      </c>
      <c r="E540" s="4" t="s">
        <v>33</v>
      </c>
      <c r="F540" s="4" t="s">
        <v>4</v>
      </c>
      <c r="G540" s="8" t="n">
        <v>834.045734167099</v>
      </c>
      <c r="H540" s="6" t="n">
        <f aca="false">IF(G540="","",G540/SUMIFS($G$2:$G$1122,$F$2:$F$1122,"Served"))</f>
        <v>4.00390866756525E-005</v>
      </c>
      <c r="I540" s="4" t="n">
        <f aca="false">IF(G540="","",RANK(G540,$G$2:$G$1122,0))</f>
        <v>539</v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119</v>
      </c>
      <c r="C541" s="4" t="s">
        <v>196</v>
      </c>
      <c r="D541" s="7" t="s">
        <v>1164</v>
      </c>
      <c r="E541" s="4" t="s">
        <v>33</v>
      </c>
      <c r="F541" s="4" t="s">
        <v>4</v>
      </c>
      <c r="G541" s="8" t="n">
        <v>833.320035755634</v>
      </c>
      <c r="H541" s="6" t="n">
        <f aca="false">IF(G541="","",G541/SUMIFS($G$2:$G$1122,$F$2:$F$1122,"Served"))</f>
        <v>4.00042488958921E-005</v>
      </c>
      <c r="I541" s="4" t="n">
        <f aca="false">IF(G541="","",RANK(G541,$G$2:$G$1122,0))</f>
        <v>540</v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48</v>
      </c>
      <c r="C542" s="4" t="s">
        <v>49</v>
      </c>
      <c r="D542" s="7" t="s">
        <v>1166</v>
      </c>
      <c r="E542" s="4" t="s">
        <v>51</v>
      </c>
      <c r="F542" s="4" t="s">
        <v>4</v>
      </c>
      <c r="G542" s="8" t="n">
        <v>815.573861479759</v>
      </c>
      <c r="H542" s="6" t="n">
        <f aca="false">IF(G542="","",G542/SUMIFS($G$2:$G$1122,$F$2:$F$1122,"Served"))</f>
        <v>3.91523284544998E-005</v>
      </c>
      <c r="I542" s="4" t="n">
        <f aca="false">IF(G542="","",RANK(G542,$G$2:$G$1122,0))</f>
        <v>541</v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187</v>
      </c>
      <c r="C543" s="4" t="s">
        <v>188</v>
      </c>
      <c r="D543" s="7" t="s">
        <v>1168</v>
      </c>
      <c r="E543" s="4" t="s">
        <v>190</v>
      </c>
      <c r="F543" s="4" t="s">
        <v>4</v>
      </c>
      <c r="G543" s="8" t="n">
        <v>779.273768663406</v>
      </c>
      <c r="H543" s="6" t="n">
        <f aca="false">IF(G543="","",G543/SUMIFS($G$2:$G$1122,$F$2:$F$1122,"Served"))</f>
        <v>3.74097111098291E-005</v>
      </c>
      <c r="I543" s="4" t="n">
        <f aca="false">IF(G543="","",RANK(G543,$G$2:$G$1122,0))</f>
        <v>542</v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30</v>
      </c>
      <c r="C544" s="4" t="s">
        <v>1133</v>
      </c>
      <c r="D544" s="7" t="s">
        <v>1170</v>
      </c>
      <c r="E544" s="4" t="s">
        <v>33</v>
      </c>
      <c r="F544" s="4" t="s">
        <v>4</v>
      </c>
      <c r="G544" s="8" t="n">
        <v>728.323975026608</v>
      </c>
      <c r="H544" s="6" t="n">
        <f aca="false">IF(G544="","",G544/SUMIFS($G$2:$G$1122,$F$2:$F$1122,"Served"))</f>
        <v>3.49638222095428E-005</v>
      </c>
      <c r="I544" s="4" t="n">
        <f aca="false">IF(G544="","",RANK(G544,$G$2:$G$1122,0))</f>
        <v>543</v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187</v>
      </c>
      <c r="C545" s="4" t="s">
        <v>188</v>
      </c>
      <c r="D545" s="7" t="s">
        <v>1172</v>
      </c>
      <c r="E545" s="4" t="s">
        <v>190</v>
      </c>
      <c r="F545" s="4" t="s">
        <v>4</v>
      </c>
      <c r="G545" s="8" t="n">
        <v>720.300090312958</v>
      </c>
      <c r="H545" s="6" t="n">
        <f aca="false">IF(G545="","",G545/SUMIFS($G$2:$G$1122,$F$2:$F$1122,"Served"))</f>
        <v>3.45786286855377E-005</v>
      </c>
      <c r="I545" s="4" t="n">
        <f aca="false">IF(G545="","",RANK(G545,$G$2:$G$1122,0))</f>
        <v>544</v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187</v>
      </c>
      <c r="C546" s="4" t="s">
        <v>188</v>
      </c>
      <c r="D546" s="7" t="s">
        <v>1174</v>
      </c>
      <c r="E546" s="4" t="s">
        <v>190</v>
      </c>
      <c r="F546" s="4" t="s">
        <v>4</v>
      </c>
      <c r="G546" s="8" t="n">
        <v>720.027691245079</v>
      </c>
      <c r="H546" s="6" t="n">
        <f aca="false">IF(G546="","",G546/SUMIFS($G$2:$G$1122,$F$2:$F$1122,"Served"))</f>
        <v>3.45655519327382E-005</v>
      </c>
      <c r="I546" s="4" t="n">
        <f aca="false">IF(G546="","",RANK(G546,$G$2:$G$1122,0))</f>
        <v>545</v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131</v>
      </c>
      <c r="C547" s="4" t="s">
        <v>132</v>
      </c>
      <c r="D547" s="7" t="s">
        <v>1176</v>
      </c>
      <c r="E547" s="4" t="s">
        <v>134</v>
      </c>
      <c r="F547" s="4" t="s">
        <v>4</v>
      </c>
      <c r="G547" s="8" t="n">
        <v>702.326591134071</v>
      </c>
      <c r="H547" s="6" t="n">
        <f aca="false">IF(G547="","",G547/SUMIFS($G$2:$G$1122,$F$2:$F$1122,"Served"))</f>
        <v>3.37157953156065E-005</v>
      </c>
      <c r="I547" s="4" t="n">
        <f aca="false">IF(G547="","",RANK(G547,$G$2:$G$1122,0))</f>
        <v>546</v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48</v>
      </c>
      <c r="C548" s="4" t="s">
        <v>49</v>
      </c>
      <c r="D548" s="7" t="s">
        <v>1178</v>
      </c>
      <c r="E548" s="4" t="s">
        <v>51</v>
      </c>
      <c r="F548" s="4" t="s">
        <v>4</v>
      </c>
      <c r="G548" s="8" t="n">
        <v>664.074110388756</v>
      </c>
      <c r="H548" s="6" t="n">
        <f aca="false">IF(G548="","",G548/SUMIFS($G$2:$G$1122,$F$2:$F$1122,"Served"))</f>
        <v>3.18794519001582E-005</v>
      </c>
      <c r="I548" s="4" t="n">
        <f aca="false">IF(G548="","",RANK(G548,$G$2:$G$1122,0))</f>
        <v>547</v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223</v>
      </c>
      <c r="C549" s="4" t="s">
        <v>224</v>
      </c>
      <c r="D549" s="7" t="s">
        <v>1180</v>
      </c>
      <c r="E549" s="4" t="s">
        <v>226</v>
      </c>
      <c r="F549" s="4" t="s">
        <v>4</v>
      </c>
      <c r="G549" s="8" t="n">
        <v>640.240541815758</v>
      </c>
      <c r="H549" s="6" t="n">
        <f aca="false">IF(G549="","",G549/SUMIFS($G$2:$G$1122,$F$2:$F$1122,"Served"))</f>
        <v>3.07353008317071E-005</v>
      </c>
      <c r="I549" s="4" t="n">
        <f aca="false">IF(G549="","",RANK(G549,$G$2:$G$1122,0))</f>
        <v>548</v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119</v>
      </c>
      <c r="C550" s="4" t="s">
        <v>653</v>
      </c>
      <c r="D550" s="7" t="s">
        <v>1182</v>
      </c>
      <c r="E550" s="4" t="s">
        <v>33</v>
      </c>
      <c r="F550" s="4" t="s">
        <v>4</v>
      </c>
      <c r="G550" s="8" t="n">
        <v>629.553514897823</v>
      </c>
      <c r="H550" s="6" t="n">
        <f aca="false">IF(G550="","",G550/SUMIFS($G$2:$G$1122,$F$2:$F$1122,"Served"))</f>
        <v>3.02222608633419E-005</v>
      </c>
      <c r="I550" s="4" t="n">
        <f aca="false">IF(G550="","",RANK(G550,$G$2:$G$1122,0))</f>
        <v>549</v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223</v>
      </c>
      <c r="C551" s="4" t="s">
        <v>224</v>
      </c>
      <c r="D551" s="7" t="s">
        <v>1184</v>
      </c>
      <c r="E551" s="4" t="s">
        <v>226</v>
      </c>
      <c r="F551" s="4" t="s">
        <v>4</v>
      </c>
      <c r="G551" s="8" t="n">
        <v>620.470872163773</v>
      </c>
      <c r="H551" s="6" t="n">
        <f aca="false">IF(G551="","",G551/SUMIFS($G$2:$G$1122,$F$2:$F$1122,"Served"))</f>
        <v>2.97862407450497E-005</v>
      </c>
      <c r="I551" s="4" t="n">
        <f aca="false">IF(G551="","",RANK(G551,$G$2:$G$1122,0))</f>
        <v>550</v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48</v>
      </c>
      <c r="C552" s="4" t="s">
        <v>49</v>
      </c>
      <c r="D552" s="7" t="s">
        <v>1186</v>
      </c>
      <c r="E552" s="4" t="s">
        <v>51</v>
      </c>
      <c r="F552" s="4" t="s">
        <v>4</v>
      </c>
      <c r="G552" s="8" t="n">
        <v>611.371501207352</v>
      </c>
      <c r="H552" s="6" t="n">
        <f aca="false">IF(G552="","",G552/SUMIFS($G$2:$G$1122,$F$2:$F$1122,"Served"))</f>
        <v>2.93494175739776E-005</v>
      </c>
      <c r="I552" s="4" t="n">
        <f aca="false">IF(G552="","",RANK(G552,$G$2:$G$1122,0))</f>
        <v>551</v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48</v>
      </c>
      <c r="C553" s="4" t="s">
        <v>49</v>
      </c>
      <c r="D553" s="7" t="s">
        <v>1188</v>
      </c>
      <c r="E553" s="4" t="s">
        <v>51</v>
      </c>
      <c r="F553" s="4" t="s">
        <v>4</v>
      </c>
      <c r="G553" s="8" t="n">
        <v>598.729649305344</v>
      </c>
      <c r="H553" s="6" t="n">
        <f aca="false">IF(G553="","",G553/SUMIFS($G$2:$G$1122,$F$2:$F$1122,"Served"))</f>
        <v>2.8742534541897E-005</v>
      </c>
      <c r="I553" s="4" t="n">
        <f aca="false">IF(G553="","",RANK(G553,$G$2:$G$1122,0))</f>
        <v>552</v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30</v>
      </c>
      <c r="C554" s="4" t="s">
        <v>1133</v>
      </c>
      <c r="D554" s="7" t="s">
        <v>1190</v>
      </c>
      <c r="E554" s="4" t="s">
        <v>33</v>
      </c>
      <c r="F554" s="4" t="s">
        <v>4</v>
      </c>
      <c r="G554" s="8" t="n">
        <v>576.399098992348</v>
      </c>
      <c r="H554" s="6" t="n">
        <f aca="false">IF(G554="","",G554/SUMIFS($G$2:$G$1122,$F$2:$F$1122,"Served"))</f>
        <v>2.76705371646909E-005</v>
      </c>
      <c r="I554" s="4" t="n">
        <f aca="false">IF(G554="","",RANK(G554,$G$2:$G$1122,0))</f>
        <v>553</v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119</v>
      </c>
      <c r="C555" s="4" t="s">
        <v>646</v>
      </c>
      <c r="D555" s="7" t="s">
        <v>1192</v>
      </c>
      <c r="E555" s="4" t="s">
        <v>33</v>
      </c>
      <c r="F555" s="4" t="s">
        <v>4</v>
      </c>
      <c r="G555" s="8" t="n">
        <v>568.425834655762</v>
      </c>
      <c r="H555" s="6" t="n">
        <f aca="false">IF(G555="","",G555/SUMIFS($G$2:$G$1122,$F$2:$F$1122,"Served"))</f>
        <v>2.72877737156586E-005</v>
      </c>
      <c r="I555" s="4" t="n">
        <f aca="false">IF(G555="","",RANK(G555,$G$2:$G$1122,0))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187</v>
      </c>
      <c r="C556" s="4" t="s">
        <v>188</v>
      </c>
      <c r="D556" s="7" t="s">
        <v>1194</v>
      </c>
      <c r="E556" s="4" t="s">
        <v>190</v>
      </c>
      <c r="F556" s="4" t="s">
        <v>4</v>
      </c>
      <c r="G556" s="8" t="n">
        <v>530.176689386368</v>
      </c>
      <c r="H556" s="6" t="n">
        <f aca="false">IF(G556="","",G556/SUMIFS($G$2:$G$1122,$F$2:$F$1122,"Served"))</f>
        <v>2.54515904226162E-005</v>
      </c>
      <c r="I556" s="4" t="n">
        <f aca="false">IF(G556="","",RANK(G556,$G$2:$G$1122,0))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187</v>
      </c>
      <c r="C557" s="4" t="s">
        <v>188</v>
      </c>
      <c r="D557" s="7" t="s">
        <v>1196</v>
      </c>
      <c r="E557" s="4" t="s">
        <v>190</v>
      </c>
      <c r="F557" s="4" t="s">
        <v>4</v>
      </c>
      <c r="G557" s="8" t="n">
        <v>507.718270301819</v>
      </c>
      <c r="H557" s="6" t="n">
        <f aca="false">IF(G557="","",G557/SUMIFS($G$2:$G$1122,$F$2:$F$1122,"Served"))</f>
        <v>2.43734545944624E-005</v>
      </c>
      <c r="I557" s="4" t="n">
        <f aca="false">IF(G557="","",RANK(G557,$G$2:$G$1122,0))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30</v>
      </c>
      <c r="C558" s="4" t="s">
        <v>1133</v>
      </c>
      <c r="D558" s="7" t="s">
        <v>1198</v>
      </c>
      <c r="E558" s="4" t="s">
        <v>33</v>
      </c>
      <c r="F558" s="4" t="s">
        <v>4</v>
      </c>
      <c r="G558" s="8" t="n">
        <v>505.94950067997</v>
      </c>
      <c r="H558" s="6" t="n">
        <f aca="false">IF(G558="","",G558/SUMIFS($G$2:$G$1122,$F$2:$F$1122,"Served"))</f>
        <v>2.42885432792943E-005</v>
      </c>
      <c r="I558" s="4" t="n">
        <f aca="false">IF(G558="","",RANK(G558,$G$2:$G$1122,0))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187</v>
      </c>
      <c r="C559" s="4" t="s">
        <v>188</v>
      </c>
      <c r="D559" s="7" t="s">
        <v>1200</v>
      </c>
      <c r="E559" s="4" t="s">
        <v>190</v>
      </c>
      <c r="F559" s="4" t="s">
        <v>4</v>
      </c>
      <c r="G559" s="8" t="n">
        <v>454.937076926231</v>
      </c>
      <c r="H559" s="6" t="n">
        <f aca="false">IF(G559="","",G559/SUMIFS($G$2:$G$1122,$F$2:$F$1122,"Served"))</f>
        <v>2.18396477660876E-005</v>
      </c>
      <c r="I559" s="4" t="n">
        <f aca="false">IF(G559="","",RANK(G559,$G$2:$G$1122,0))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30</v>
      </c>
      <c r="C560" s="4" t="s">
        <v>374</v>
      </c>
      <c r="D560" s="7" t="s">
        <v>1202</v>
      </c>
      <c r="E560" s="4" t="s">
        <v>33</v>
      </c>
      <c r="F560" s="4" t="s">
        <v>4</v>
      </c>
      <c r="G560" s="8" t="n">
        <v>446.23205268383</v>
      </c>
      <c r="H560" s="6" t="n">
        <f aca="false">IF(G560="","",G560/SUMIFS($G$2:$G$1122,$F$2:$F$1122,"Served"))</f>
        <v>2.14217555500172E-005</v>
      </c>
      <c r="I560" s="4" t="n">
        <f aca="false">IF(G560="","",RANK(G560,$G$2:$G$1122,0))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30</v>
      </c>
      <c r="C561" s="4" t="s">
        <v>31</v>
      </c>
      <c r="D561" s="7" t="s">
        <v>1204</v>
      </c>
      <c r="E561" s="4" t="s">
        <v>33</v>
      </c>
      <c r="F561" s="4" t="s">
        <v>4</v>
      </c>
      <c r="G561" s="8" t="n">
        <v>438.426597833633</v>
      </c>
      <c r="H561" s="6" t="n">
        <f aca="false">IF(G561="","",G561/SUMIFS($G$2:$G$1122,$F$2:$F$1122,"Served"))</f>
        <v>2.10470479404854E-005</v>
      </c>
      <c r="I561" s="4" t="n">
        <f aca="false">IF(G561="","",RANK(G561,$G$2:$G$1122,0))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30</v>
      </c>
      <c r="C562" s="4" t="s">
        <v>629</v>
      </c>
      <c r="D562" s="7" t="s">
        <v>1206</v>
      </c>
      <c r="E562" s="4" t="s">
        <v>33</v>
      </c>
      <c r="F562" s="4" t="s">
        <v>4</v>
      </c>
      <c r="G562" s="8" t="n">
        <v>416.522840738297</v>
      </c>
      <c r="H562" s="6" t="n">
        <f aca="false">IF(G562="","",G562/SUMIFS($G$2:$G$1122,$F$2:$F$1122,"Served"))</f>
        <v>1.9995539140745E-005</v>
      </c>
      <c r="I562" s="4" t="n">
        <f aca="false">IF(G562="","",RANK(G562,$G$2:$G$1122,0))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30</v>
      </c>
      <c r="C563" s="4" t="s">
        <v>735</v>
      </c>
      <c r="D563" s="7" t="s">
        <v>1208</v>
      </c>
      <c r="E563" s="4" t="s">
        <v>33</v>
      </c>
      <c r="F563" s="4" t="s">
        <v>4</v>
      </c>
      <c r="G563" s="8" t="n">
        <v>380.694741725922</v>
      </c>
      <c r="H563" s="6" t="n">
        <f aca="false">IF(G563="","",G563/SUMIFS($G$2:$G$1122,$F$2:$F$1122,"Served"))</f>
        <v>1.82755802667716E-005</v>
      </c>
      <c r="I563" s="4" t="n">
        <f aca="false">IF(G563="","",RANK(G563,$G$2:$G$1122,0))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119</v>
      </c>
      <c r="C564" s="4" t="s">
        <v>1020</v>
      </c>
      <c r="D564" s="7" t="s">
        <v>1210</v>
      </c>
      <c r="E564" s="4" t="s">
        <v>33</v>
      </c>
      <c r="F564" s="4" t="s">
        <v>4</v>
      </c>
      <c r="G564" s="8" t="n">
        <v>356.299368143082</v>
      </c>
      <c r="H564" s="6" t="n">
        <f aca="false">IF(G564="","",G564/SUMIFS($G$2:$G$1122,$F$2:$F$1122,"Served"))</f>
        <v>1.71044592630252E-005</v>
      </c>
      <c r="I564" s="4" t="n">
        <f aca="false">IF(G564="","",RANK(G564,$G$2:$G$1122,0))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213</v>
      </c>
      <c r="D565" s="7" t="s">
        <v>1212</v>
      </c>
      <c r="E565" s="4" t="s">
        <v>33</v>
      </c>
      <c r="F565" s="4" t="s">
        <v>4</v>
      </c>
      <c r="G565" s="8" t="n">
        <v>351.837699890137</v>
      </c>
      <c r="H565" s="6" t="n">
        <f aca="false">IF(G565="","",G565/SUMIFS($G$2:$G$1122,$F$2:$F$1122,"Served"))</f>
        <v>1.68902730204973E-005</v>
      </c>
      <c r="I565" s="4" t="n">
        <f aca="false">IF(G565="","",RANK(G565,$G$2:$G$1122,0))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119</v>
      </c>
      <c r="C566" s="4" t="s">
        <v>1020</v>
      </c>
      <c r="D566" s="7" t="s">
        <v>1214</v>
      </c>
      <c r="E566" s="4" t="s">
        <v>33</v>
      </c>
      <c r="F566" s="4" t="s">
        <v>4</v>
      </c>
      <c r="G566" s="8" t="n">
        <v>350.817651152611</v>
      </c>
      <c r="H566" s="6" t="n">
        <f aca="false">IF(G566="","",G566/SUMIFS($G$2:$G$1122,$F$2:$F$1122,"Served"))</f>
        <v>1.68413046988069E-005</v>
      </c>
      <c r="I566" s="4" t="n">
        <f aca="false">IF(G566="","",RANK(G566,$G$2:$G$1122,0))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119</v>
      </c>
      <c r="C567" s="4" t="s">
        <v>196</v>
      </c>
      <c r="D567" s="7" t="s">
        <v>1216</v>
      </c>
      <c r="E567" s="4" t="s">
        <v>33</v>
      </c>
      <c r="F567" s="4" t="s">
        <v>4</v>
      </c>
      <c r="G567" s="8" t="n">
        <v>346.48471736908</v>
      </c>
      <c r="H567" s="6" t="n">
        <f aca="false">IF(G567="","",G567/SUMIFS($G$2:$G$1122,$F$2:$F$1122,"Served"))</f>
        <v>1.66332984658011E-005</v>
      </c>
      <c r="I567" s="4" t="n">
        <f aca="false">IF(G567="","",RANK(G567,$G$2:$G$1122,0))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187</v>
      </c>
      <c r="C568" s="4" t="s">
        <v>188</v>
      </c>
      <c r="D568" s="7" t="s">
        <v>1218</v>
      </c>
      <c r="E568" s="4" t="s">
        <v>190</v>
      </c>
      <c r="F568" s="4" t="s">
        <v>4</v>
      </c>
      <c r="G568" s="8" t="n">
        <v>346.031559586525</v>
      </c>
      <c r="H568" s="6" t="n">
        <f aca="false">IF(G568="","",G568/SUMIFS($G$2:$G$1122,$F$2:$F$1122,"Served"))</f>
        <v>1.66115442345999E-005</v>
      </c>
      <c r="I568" s="4" t="n">
        <f aca="false">IF(G568="","",RANK(G568,$G$2:$G$1122,0))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213</v>
      </c>
      <c r="D569" s="7" t="s">
        <v>1220</v>
      </c>
      <c r="E569" s="4" t="s">
        <v>33</v>
      </c>
      <c r="F569" s="4" t="s">
        <v>4</v>
      </c>
      <c r="G569" s="8" t="n">
        <v>338.568558812141</v>
      </c>
      <c r="H569" s="6" t="n">
        <f aca="false">IF(G569="","",G569/SUMIFS($G$2:$G$1122,$F$2:$F$1122,"Served"))</f>
        <v>1.62532764291007E-005</v>
      </c>
      <c r="I569" s="4" t="n">
        <f aca="false">IF(G569="","",RANK(G569,$G$2:$G$1122,0))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131</v>
      </c>
      <c r="C570" s="4" t="s">
        <v>132</v>
      </c>
      <c r="D570" s="7" t="s">
        <v>1222</v>
      </c>
      <c r="E570" s="4" t="s">
        <v>134</v>
      </c>
      <c r="F570" s="4" t="s">
        <v>4</v>
      </c>
      <c r="G570" s="8" t="n">
        <v>337.754342913628</v>
      </c>
      <c r="H570" s="6" t="n">
        <f aca="false">IF(G570="","",G570/SUMIFS($G$2:$G$1122,$F$2:$F$1122,"Served"))</f>
        <v>1.62141892908326E-005</v>
      </c>
      <c r="I570" s="4" t="n">
        <f aca="false">IF(G570="","",RANK(G570,$G$2:$G$1122,0))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213</v>
      </c>
      <c r="D571" s="7" t="s">
        <v>1224</v>
      </c>
      <c r="E571" s="4" t="s">
        <v>33</v>
      </c>
      <c r="F571" s="4" t="s">
        <v>4</v>
      </c>
      <c r="G571" s="8" t="n">
        <v>336.368980288506</v>
      </c>
      <c r="H571" s="6" t="n">
        <f aca="false">IF(G571="","",G571/SUMIFS($G$2:$G$1122,$F$2:$F$1122,"Served"))</f>
        <v>1.61476837600779E-005</v>
      </c>
      <c r="I571" s="4" t="n">
        <f aca="false">IF(G571="","",RANK(G571,$G$2:$G$1122,0))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187</v>
      </c>
      <c r="C572" s="4" t="s">
        <v>188</v>
      </c>
      <c r="D572" s="7" t="s">
        <v>1226</v>
      </c>
      <c r="E572" s="4" t="s">
        <v>190</v>
      </c>
      <c r="F572" s="4" t="s">
        <v>4</v>
      </c>
      <c r="G572" s="8" t="n">
        <v>336.002772927284</v>
      </c>
      <c r="H572" s="6" t="n">
        <f aca="false">IF(G572="","",G572/SUMIFS($G$2:$G$1122,$F$2:$F$1122,"Served"))</f>
        <v>1.61301036590396E-005</v>
      </c>
      <c r="I572" s="4" t="n">
        <f aca="false">IF(G572="","",RANK(G572,$G$2:$G$1122,0))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1133</v>
      </c>
      <c r="D573" s="7" t="s">
        <v>1228</v>
      </c>
      <c r="E573" s="4" t="s">
        <v>33</v>
      </c>
      <c r="F573" s="4" t="s">
        <v>4</v>
      </c>
      <c r="G573" s="8" t="n">
        <v>330.529970765114</v>
      </c>
      <c r="H573" s="6" t="n">
        <f aca="false">IF(G573="","",G573/SUMIFS($G$2:$G$1122,$F$2:$F$1122,"Served"))</f>
        <v>1.58673770588626E-005</v>
      </c>
      <c r="I573" s="4" t="n">
        <f aca="false">IF(G573="","",RANK(G573,$G$2:$G$1122,0))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30</v>
      </c>
      <c r="C574" s="4" t="s">
        <v>213</v>
      </c>
      <c r="D574" s="7" t="s">
        <v>1230</v>
      </c>
      <c r="E574" s="4" t="s">
        <v>33</v>
      </c>
      <c r="F574" s="4" t="s">
        <v>4</v>
      </c>
      <c r="G574" s="8" t="n">
        <v>323.222898840904</v>
      </c>
      <c r="H574" s="6" t="n">
        <f aca="false">IF(G574="","",G574/SUMIFS($G$2:$G$1122,$F$2:$F$1122,"Served"))</f>
        <v>1.55165947526491E-005</v>
      </c>
      <c r="I574" s="4" t="n">
        <f aca="false">IF(G574="","",RANK(G574,$G$2:$G$1122,0))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30</v>
      </c>
      <c r="C575" s="4" t="s">
        <v>1133</v>
      </c>
      <c r="D575" s="7" t="s">
        <v>1232</v>
      </c>
      <c r="E575" s="4" t="s">
        <v>33</v>
      </c>
      <c r="F575" s="4" t="s">
        <v>4</v>
      </c>
      <c r="G575" s="8" t="n">
        <v>319.583472371101</v>
      </c>
      <c r="H575" s="6" t="n">
        <f aca="false">IF(G575="","",G575/SUMIFS($G$2:$G$1122,$F$2:$F$1122,"Served"))</f>
        <v>1.5341880937921E-005</v>
      </c>
      <c r="I575" s="4" t="n">
        <f aca="false">IF(G575="","",RANK(G575,$G$2:$G$1122,0))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30</v>
      </c>
      <c r="C576" s="4" t="s">
        <v>213</v>
      </c>
      <c r="D576" s="7" t="s">
        <v>1234</v>
      </c>
      <c r="E576" s="4" t="s">
        <v>33</v>
      </c>
      <c r="F576" s="4" t="s">
        <v>4</v>
      </c>
      <c r="G576" s="8" t="n">
        <v>313.165180444717</v>
      </c>
      <c r="H576" s="6" t="n">
        <f aca="false">IF(G576="","",G576/SUMIFS($G$2:$G$1122,$F$2:$F$1122,"Served"))</f>
        <v>1.50337652840393E-005</v>
      </c>
      <c r="I576" s="4" t="n">
        <f aca="false">IF(G576="","",RANK(G576,$G$2:$G$1122,0))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223</v>
      </c>
      <c r="C577" s="4" t="s">
        <v>224</v>
      </c>
      <c r="D577" s="7" t="s">
        <v>1236</v>
      </c>
      <c r="E577" s="4" t="s">
        <v>226</v>
      </c>
      <c r="F577" s="4" t="s">
        <v>4</v>
      </c>
      <c r="G577" s="8" t="n">
        <v>306.596599698067</v>
      </c>
      <c r="H577" s="6" t="n">
        <f aca="false">IF(G577="","",G577/SUMIFS($G$2:$G$1122,$F$2:$F$1122,"Served"))</f>
        <v>1.47184348853846E-005</v>
      </c>
      <c r="I577" s="4" t="n">
        <f aca="false">IF(G577="","",RANK(G577,$G$2:$G$1122,0))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119</v>
      </c>
      <c r="C578" s="4" t="s">
        <v>163</v>
      </c>
      <c r="D578" s="7" t="s">
        <v>1238</v>
      </c>
      <c r="E578" s="4" t="s">
        <v>33</v>
      </c>
      <c r="F578" s="4" t="s">
        <v>4</v>
      </c>
      <c r="G578" s="8" t="n">
        <v>290.850420475006</v>
      </c>
      <c r="H578" s="6" t="n">
        <f aca="false">IF(G578="","",G578/SUMIFS($G$2:$G$1122,$F$2:$F$1122,"Served"))</f>
        <v>1.39625259359166E-005</v>
      </c>
      <c r="I578" s="4" t="n">
        <f aca="false">IF(G578="","",RANK(G578,$G$2:$G$1122,0))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48</v>
      </c>
      <c r="C579" s="4" t="s">
        <v>49</v>
      </c>
      <c r="D579" s="7" t="s">
        <v>1240</v>
      </c>
      <c r="E579" s="4" t="s">
        <v>51</v>
      </c>
      <c r="F579" s="4" t="s">
        <v>4</v>
      </c>
      <c r="G579" s="8" t="n">
        <v>287.94756090641</v>
      </c>
      <c r="H579" s="6" t="n">
        <f aca="false">IF(G579="","",G579/SUMIFS($G$2:$G$1122,$F$2:$F$1122,"Served"))</f>
        <v>1.3823171652197E-005</v>
      </c>
      <c r="I579" s="4" t="n">
        <f aca="false">IF(G579="","",RANK(G579,$G$2:$G$1122,0))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1133</v>
      </c>
      <c r="D580" s="7" t="s">
        <v>1242</v>
      </c>
      <c r="E580" s="4" t="s">
        <v>33</v>
      </c>
      <c r="F580" s="4" t="s">
        <v>4</v>
      </c>
      <c r="G580" s="8" t="n">
        <v>283.846576929092</v>
      </c>
      <c r="H580" s="6" t="n">
        <f aca="false">IF(G580="","",G580/SUMIFS($G$2:$G$1122,$F$2:$F$1122,"Served"))</f>
        <v>1.36263003702076E-005</v>
      </c>
      <c r="I580" s="4" t="n">
        <f aca="false">IF(G580="","",RANK(G580,$G$2:$G$1122,0))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119</v>
      </c>
      <c r="C581" s="4" t="s">
        <v>1020</v>
      </c>
      <c r="D581" s="7" t="s">
        <v>1244</v>
      </c>
      <c r="E581" s="4" t="s">
        <v>33</v>
      </c>
      <c r="F581" s="4" t="s">
        <v>4</v>
      </c>
      <c r="G581" s="8" t="n">
        <v>283.292920589447</v>
      </c>
      <c r="H581" s="6" t="n">
        <f aca="false">IF(G581="","",G581/SUMIFS($G$2:$G$1122,$F$2:$F$1122,"Served"))</f>
        <v>1.35997216188712E-005</v>
      </c>
      <c r="I581" s="4" t="n">
        <f aca="false">IF(G581="","",RANK(G581,$G$2:$G$1122,0))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131</v>
      </c>
      <c r="C582" s="4" t="s">
        <v>132</v>
      </c>
      <c r="D582" s="7" t="s">
        <v>1246</v>
      </c>
      <c r="E582" s="4" t="s">
        <v>134</v>
      </c>
      <c r="F582" s="4" t="s">
        <v>4</v>
      </c>
      <c r="G582" s="8" t="n">
        <v>258.507391810417</v>
      </c>
      <c r="H582" s="6" t="n">
        <f aca="false">IF(G582="","",G582/SUMIFS($G$2:$G$1122,$F$2:$F$1122,"Served"))</f>
        <v>1.24098708775609E-005</v>
      </c>
      <c r="I582" s="4" t="n">
        <f aca="false">IF(G582="","",RANK(G582,$G$2:$G$1122,0))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187</v>
      </c>
      <c r="C583" s="4" t="s">
        <v>188</v>
      </c>
      <c r="D583" s="7" t="s">
        <v>1248</v>
      </c>
      <c r="E583" s="4" t="s">
        <v>190</v>
      </c>
      <c r="F583" s="4" t="s">
        <v>4</v>
      </c>
      <c r="G583" s="8" t="n">
        <v>242.585539340973</v>
      </c>
      <c r="H583" s="6" t="n">
        <f aca="false">IF(G583="","",G583/SUMIFS($G$2:$G$1122,$F$2:$F$1122,"Served"))</f>
        <v>1.1645528581994E-005</v>
      </c>
      <c r="I583" s="4" t="n">
        <f aca="false">IF(G583="","",RANK(G583,$G$2:$G$1122,0))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187</v>
      </c>
      <c r="C584" s="4" t="s">
        <v>188</v>
      </c>
      <c r="D584" s="7" t="s">
        <v>1250</v>
      </c>
      <c r="E584" s="4" t="s">
        <v>190</v>
      </c>
      <c r="F584" s="4" t="s">
        <v>4</v>
      </c>
      <c r="G584" s="8" t="n">
        <v>212.600514233112</v>
      </c>
      <c r="H584" s="6" t="n">
        <f aca="false">IF(G584="","",G584/SUMIFS($G$2:$G$1122,$F$2:$F$1122,"Served"))</f>
        <v>1.02060715233662E-005</v>
      </c>
      <c r="I584" s="4" t="n">
        <f aca="false">IF(G584="","",RANK(G584,$G$2:$G$1122,0))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223</v>
      </c>
      <c r="C585" s="4" t="s">
        <v>224</v>
      </c>
      <c r="D585" s="7" t="s">
        <v>1252</v>
      </c>
      <c r="E585" s="4" t="s">
        <v>226</v>
      </c>
      <c r="F585" s="4" t="s">
        <v>4</v>
      </c>
      <c r="G585" s="8" t="n">
        <v>209.576970815659</v>
      </c>
      <c r="H585" s="6" t="n">
        <f aca="false">IF(G585="","",G585/SUMIFS($G$2:$G$1122,$F$2:$F$1122,"Served"))</f>
        <v>1.00609237071257E-005</v>
      </c>
      <c r="I585" s="4" t="n">
        <f aca="false">IF(G585="","",RANK(G585,$G$2:$G$1122,0))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223</v>
      </c>
      <c r="C586" s="4" t="s">
        <v>224</v>
      </c>
      <c r="D586" s="7" t="s">
        <v>1254</v>
      </c>
      <c r="E586" s="4" t="s">
        <v>226</v>
      </c>
      <c r="F586" s="4" t="s">
        <v>4</v>
      </c>
      <c r="G586" s="8" t="n">
        <v>190.246839284897</v>
      </c>
      <c r="H586" s="6" t="n">
        <f aca="false">IF(G586="","",G586/SUMIFS($G$2:$G$1122,$F$2:$F$1122,"Served"))</f>
        <v>9.13296402805029E-006</v>
      </c>
      <c r="I586" s="4" t="n">
        <f aca="false">IF(G586="","",RANK(G586,$G$2:$G$1122,0))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119</v>
      </c>
      <c r="C587" s="4" t="s">
        <v>228</v>
      </c>
      <c r="D587" s="7" t="s">
        <v>1256</v>
      </c>
      <c r="E587" s="4" t="s">
        <v>33</v>
      </c>
      <c r="F587" s="4" t="s">
        <v>4</v>
      </c>
      <c r="G587" s="8" t="n">
        <v>175.130310535431</v>
      </c>
      <c r="H587" s="6" t="n">
        <f aca="false">IF(G587="","",G587/SUMIFS($G$2:$G$1122,$F$2:$F$1122,"Served"))</f>
        <v>8.40728199403176E-006</v>
      </c>
      <c r="I587" s="4" t="n">
        <f aca="false">IF(G587="","",RANK(G587,$G$2:$G$1122,0))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48</v>
      </c>
      <c r="C588" s="4" t="s">
        <v>49</v>
      </c>
      <c r="D588" s="7" t="s">
        <v>1258</v>
      </c>
      <c r="E588" s="4" t="s">
        <v>51</v>
      </c>
      <c r="F588" s="4" t="s">
        <v>4</v>
      </c>
      <c r="G588" s="8" t="n">
        <v>145.548732161522</v>
      </c>
      <c r="H588" s="6" t="n">
        <f aca="false">IF(G588="","",G588/SUMIFS($G$2:$G$1122,$F$2:$F$1122,"Served"))</f>
        <v>6.98719274473137E-006</v>
      </c>
      <c r="I588" s="4" t="n">
        <f aca="false">IF(G588="","",RANK(G588,$G$2:$G$1122,0))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187</v>
      </c>
      <c r="C589" s="4" t="s">
        <v>188</v>
      </c>
      <c r="D589" s="7" t="s">
        <v>1260</v>
      </c>
      <c r="E589" s="4" t="s">
        <v>190</v>
      </c>
      <c r="F589" s="4" t="s">
        <v>4</v>
      </c>
      <c r="G589" s="8" t="n">
        <v>136.378829717636</v>
      </c>
      <c r="H589" s="6" t="n">
        <f aca="false">IF(G589="","",G589/SUMIFS($G$2:$G$1122,$F$2:$F$1122,"Served"))</f>
        <v>6.54698364861427E-006</v>
      </c>
      <c r="I589" s="4" t="n">
        <f aca="false">IF(G589="","",RANK(G589,$G$2:$G$1122,0))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119</v>
      </c>
      <c r="C590" s="4" t="s">
        <v>764</v>
      </c>
      <c r="D590" s="7" t="s">
        <v>1262</v>
      </c>
      <c r="E590" s="4" t="s">
        <v>33</v>
      </c>
      <c r="F590" s="4" t="s">
        <v>4</v>
      </c>
      <c r="G590" s="8" t="n">
        <v>132.997403383255</v>
      </c>
      <c r="H590" s="6" t="n">
        <f aca="false">IF(G590="","",G590/SUMIFS($G$2:$G$1122,$F$2:$F$1122,"Served"))</f>
        <v>6.38465535348208E-006</v>
      </c>
      <c r="I590" s="4" t="n">
        <f aca="false">IF(G590="","",RANK(G590,$G$2:$G$1122,0))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30</v>
      </c>
      <c r="C591" s="4" t="s">
        <v>1133</v>
      </c>
      <c r="D591" s="7" t="s">
        <v>1264</v>
      </c>
      <c r="E591" s="4" t="s">
        <v>33</v>
      </c>
      <c r="F591" s="4" t="s">
        <v>4</v>
      </c>
      <c r="G591" s="8" t="n">
        <v>126.220109462738</v>
      </c>
      <c r="H591" s="6" t="n">
        <f aca="false">IF(G591="","",G591/SUMIFS($G$2:$G$1122,$F$2:$F$1122,"Served"))</f>
        <v>6.05930549843974E-006</v>
      </c>
      <c r="I591" s="4" t="n">
        <f aca="false">IF(G591="","",RANK(G591,$G$2:$G$1122,0))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187</v>
      </c>
      <c r="C592" s="4" t="s">
        <v>188</v>
      </c>
      <c r="D592" s="7" t="s">
        <v>1266</v>
      </c>
      <c r="E592" s="4" t="s">
        <v>190</v>
      </c>
      <c r="F592" s="4" t="s">
        <v>4</v>
      </c>
      <c r="G592" s="8" t="n">
        <v>119.822830319405</v>
      </c>
      <c r="H592" s="6" t="n">
        <f aca="false">IF(G592="","",G592/SUMIFS($G$2:$G$1122,$F$2:$F$1122,"Served"))</f>
        <v>5.75219858137834E-006</v>
      </c>
      <c r="I592" s="4" t="n">
        <f aca="false">IF(G592="","",RANK(G592,$G$2:$G$1122,0))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223</v>
      </c>
      <c r="C593" s="4" t="s">
        <v>224</v>
      </c>
      <c r="D593" s="7" t="s">
        <v>1268</v>
      </c>
      <c r="E593" s="4" t="s">
        <v>226</v>
      </c>
      <c r="F593" s="4" t="s">
        <v>4</v>
      </c>
      <c r="G593" s="8" t="n">
        <v>114.61277961731</v>
      </c>
      <c r="H593" s="6" t="n">
        <f aca="false">IF(G593="","",G593/SUMIFS($G$2:$G$1122,$F$2:$F$1122,"Served"))</f>
        <v>5.50208559224586E-006</v>
      </c>
      <c r="I593" s="4" t="n">
        <f aca="false">IF(G593="","",RANK(G593,$G$2:$G$1122,0))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1133</v>
      </c>
      <c r="D594" s="7" t="s">
        <v>1270</v>
      </c>
      <c r="E594" s="4" t="s">
        <v>33</v>
      </c>
      <c r="F594" s="4" t="s">
        <v>4</v>
      </c>
      <c r="G594" s="8" t="n">
        <v>112.877710342407</v>
      </c>
      <c r="H594" s="6" t="n">
        <f aca="false">IF(G594="","",G594/SUMIFS($G$2:$G$1122,$F$2:$F$1122,"Served"))</f>
        <v>5.41879209137393E-006</v>
      </c>
      <c r="I594" s="4" t="n">
        <f aca="false">IF(G594="","",RANK(G594,$G$2:$G$1122,0))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48</v>
      </c>
      <c r="C595" s="4" t="s">
        <v>49</v>
      </c>
      <c r="D595" s="7" t="s">
        <v>1272</v>
      </c>
      <c r="E595" s="4" t="s">
        <v>51</v>
      </c>
      <c r="F595" s="4" t="s">
        <v>4</v>
      </c>
      <c r="G595" s="8" t="n">
        <v>83.1469589471817</v>
      </c>
      <c r="H595" s="6" t="n">
        <f aca="false">IF(G595="","",G595/SUMIFS($G$2:$G$1122,$F$2:$F$1122,"Served"))</f>
        <v>3.99154166219396E-006</v>
      </c>
      <c r="I595" s="4" t="n">
        <f aca="false">IF(G595="","",RANK(G595,$G$2:$G$1122,0))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70.7086596488953</v>
      </c>
      <c r="H596" s="6" t="n">
        <f aca="false">IF(G596="","",G596/SUMIFS($G$2:$G$1122,$F$2:$F$1122,"Served"))</f>
        <v>3.39443034886876E-006</v>
      </c>
      <c r="I596" s="4" t="n">
        <f aca="false">IF(G596="","",RANK(G596,$G$2:$G$1122,0))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223</v>
      </c>
      <c r="C597" s="4" t="s">
        <v>224</v>
      </c>
      <c r="D597" s="7" t="s">
        <v>1276</v>
      </c>
      <c r="E597" s="4" t="s">
        <v>226</v>
      </c>
      <c r="F597" s="4" t="s">
        <v>4</v>
      </c>
      <c r="G597" s="8" t="n">
        <v>66.759149312973</v>
      </c>
      <c r="H597" s="6" t="n">
        <f aca="false">IF(G597="","",G597/SUMIFS($G$2:$G$1122,$F$2:$F$1122,"Served"))</f>
        <v>3.20483069001517E-006</v>
      </c>
      <c r="I597" s="4" t="n">
        <f aca="false">IF(G597="","",RANK(G597,$G$2:$G$1122,0))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223</v>
      </c>
      <c r="C598" s="4" t="s">
        <v>224</v>
      </c>
      <c r="D598" s="7" t="s">
        <v>1278</v>
      </c>
      <c r="E598" s="4" t="s">
        <v>226</v>
      </c>
      <c r="F598" s="4" t="s">
        <v>4</v>
      </c>
      <c r="G598" s="8" t="n">
        <v>56.1735900640488</v>
      </c>
      <c r="H598" s="6" t="n">
        <f aca="false">IF(G598="","",G598/SUMIFS($G$2:$G$1122,$F$2:$F$1122,"Served"))</f>
        <v>2.69666176484084E-006</v>
      </c>
      <c r="I598" s="4" t="n">
        <f aca="false">IF(G598="","",RANK(G598,$G$2:$G$1122,0))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187</v>
      </c>
      <c r="C599" s="4" t="s">
        <v>188</v>
      </c>
      <c r="D599" s="7" t="s">
        <v>1280</v>
      </c>
      <c r="E599" s="4" t="s">
        <v>190</v>
      </c>
      <c r="F599" s="4" t="s">
        <v>4</v>
      </c>
      <c r="G599" s="8" t="n">
        <v>41.4525001049042</v>
      </c>
      <c r="H599" s="6" t="n">
        <f aca="false">IF(G599="","",G599/SUMIFS($G$2:$G$1122,$F$2:$F$1122,"Served"))</f>
        <v>1.98996311189121E-006</v>
      </c>
      <c r="I599" s="4" t="n">
        <f aca="false">IF(G599="","",RANK(G599,$G$2:$G$1122,0))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187</v>
      </c>
      <c r="C600" s="4" t="s">
        <v>188</v>
      </c>
      <c r="D600" s="7" t="s">
        <v>1282</v>
      </c>
      <c r="E600" s="4" t="s">
        <v>190</v>
      </c>
      <c r="F600" s="4" t="s">
        <v>4</v>
      </c>
      <c r="G600" s="8" t="n">
        <v>41.0538898706436</v>
      </c>
      <c r="H600" s="6" t="n">
        <f aca="false">IF(G600="","",G600/SUMIFS($G$2:$G$1122,$F$2:$F$1122,"Served"))</f>
        <v>1.97082748291363E-006</v>
      </c>
      <c r="I600" s="4" t="n">
        <f aca="false">IF(G600="","",RANK(G600,$G$2:$G$1122,0))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100</v>
      </c>
      <c r="C601" s="4" t="s">
        <v>101</v>
      </c>
      <c r="D601" s="7" t="s">
        <v>1284</v>
      </c>
      <c r="E601" s="4" t="s">
        <v>103</v>
      </c>
      <c r="F601" s="4" t="s">
        <v>4</v>
      </c>
      <c r="G601" s="8" t="n">
        <v>35.9208302497864</v>
      </c>
      <c r="H601" s="6" t="n">
        <f aca="false">IF(G601="","",G601/SUMIFS($G$2:$G$1122,$F$2:$F$1122,"Served"))</f>
        <v>1.72441051721086E-006</v>
      </c>
      <c r="I601" s="4" t="n">
        <f aca="false">IF(G601="","",RANK(G601,$G$2:$G$1122,0))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119</v>
      </c>
      <c r="C602" s="4" t="s">
        <v>764</v>
      </c>
      <c r="D602" s="7" t="s">
        <v>1286</v>
      </c>
      <c r="E602" s="4" t="s">
        <v>33</v>
      </c>
      <c r="F602" s="4" t="s">
        <v>4</v>
      </c>
      <c r="G602" s="8" t="n">
        <v>35.70831990242</v>
      </c>
      <c r="H602" s="6" t="n">
        <f aca="false">IF(G602="","",G602/SUMIFS($G$2:$G$1122,$F$2:$F$1122,"Served"))</f>
        <v>1.7142087742259E-006</v>
      </c>
      <c r="I602" s="4" t="n">
        <f aca="false">IF(G602="","",RANK(G602,$G$2:$G$1122,0))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735</v>
      </c>
      <c r="D603" s="7" t="s">
        <v>1288</v>
      </c>
      <c r="E603" s="4" t="s">
        <v>33</v>
      </c>
      <c r="F603" s="4" t="s">
        <v>4</v>
      </c>
      <c r="G603" s="8" t="n">
        <v>31.6493611335754</v>
      </c>
      <c r="H603" s="6" t="n">
        <f aca="false">IF(G603="","",G603/SUMIFS($G$2:$G$1122,$F$2:$F$1122,"Served"))</f>
        <v>1.51935494870881E-006</v>
      </c>
      <c r="I603" s="4" t="n">
        <f aca="false">IF(G603="","",RANK(G603,$G$2:$G$1122,0))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119</v>
      </c>
      <c r="C604" s="4" t="s">
        <v>196</v>
      </c>
      <c r="D604" s="7" t="s">
        <v>1290</v>
      </c>
      <c r="E604" s="4" t="s">
        <v>33</v>
      </c>
      <c r="F604" s="4" t="s">
        <v>4</v>
      </c>
      <c r="G604" s="8" t="n">
        <v>26.4824802875519</v>
      </c>
      <c r="H604" s="6" t="n">
        <f aca="false">IF(G604="","",G604/SUMIFS($G$2:$G$1122,$F$2:$F$1122,"Served"))</f>
        <v>1.27131436584641E-006</v>
      </c>
      <c r="I604" s="4" t="n">
        <f aca="false">IF(G604="","",RANK(G604,$G$2:$G$1122,0))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213</v>
      </c>
      <c r="D605" s="7" t="s">
        <v>1292</v>
      </c>
      <c r="E605" s="4" t="s">
        <v>33</v>
      </c>
      <c r="F605" s="4" t="s">
        <v>4</v>
      </c>
      <c r="G605" s="8" t="n">
        <v>14.5450896024704</v>
      </c>
      <c r="H605" s="6" t="n">
        <f aca="false">IF(G605="","",G605/SUMIFS($G$2:$G$1122,$F$2:$F$1122,"Served"))</f>
        <v>6.98249603638362E-007</v>
      </c>
      <c r="I605" s="4" t="n">
        <f aca="false">IF(G605="","",RANK(G605,$G$2:$G$1122,0))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119</v>
      </c>
      <c r="C606" s="4" t="s">
        <v>196</v>
      </c>
      <c r="D606" s="7" t="s">
        <v>1294</v>
      </c>
      <c r="E606" s="4" t="s">
        <v>33</v>
      </c>
      <c r="F606" s="4" t="s">
        <v>4</v>
      </c>
      <c r="G606" s="8" t="n">
        <v>11.6726101636887</v>
      </c>
      <c r="H606" s="6" t="n">
        <f aca="false">IF(G606="","",G606/SUMIFS($G$2:$G$1122,$F$2:$F$1122,"Served"))</f>
        <v>5.6035374432045E-007</v>
      </c>
      <c r="I606" s="4" t="n">
        <f aca="false">IF(G606="","",RANK(G606,$G$2:$G$1122,0))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119</v>
      </c>
      <c r="C607" s="4" t="s">
        <v>196</v>
      </c>
      <c r="D607" s="7" t="s">
        <v>1296</v>
      </c>
      <c r="E607" s="4" t="s">
        <v>33</v>
      </c>
      <c r="F607" s="4" t="s">
        <v>4</v>
      </c>
      <c r="G607" s="8" t="n">
        <v>8.41883015632629</v>
      </c>
      <c r="H607" s="6" t="n">
        <f aca="false">IF(G607="","",G607/SUMIFS($G$2:$G$1122,$F$2:$F$1122,"Served"))</f>
        <v>4.04153221493741E-007</v>
      </c>
      <c r="I607" s="4" t="n">
        <f aca="false">IF(G607="","",RANK(G607,$G$2:$G$1122,0))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119</v>
      </c>
      <c r="C608" s="4" t="s">
        <v>371</v>
      </c>
      <c r="D608" s="7" t="s">
        <v>1298</v>
      </c>
      <c r="E608" s="4" t="s">
        <v>33</v>
      </c>
      <c r="F608" s="4" t="s">
        <v>4</v>
      </c>
      <c r="G608" s="8" t="n">
        <v>7.50626981258392</v>
      </c>
      <c r="H608" s="6" t="n">
        <f aca="false">IF(G608="","",G608/SUMIFS($G$2:$G$1122,$F$2:$F$1122,"Served"))</f>
        <v>3.60344973093128E-007</v>
      </c>
      <c r="I608" s="4" t="n">
        <f aca="false">IF(G608="","",RANK(G608,$G$2:$G$1122,0))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131</v>
      </c>
      <c r="C609" s="4" t="s">
        <v>132</v>
      </c>
      <c r="D609" s="7" t="s">
        <v>1300</v>
      </c>
      <c r="E609" s="4" t="s">
        <v>134</v>
      </c>
      <c r="F609" s="4" t="s">
        <v>4</v>
      </c>
      <c r="G609" s="8" t="n">
        <v>5.55785989761353</v>
      </c>
      <c r="H609" s="6" t="n">
        <f aca="false">IF(G609="","",G609/SUMIFS($G$2:$G$1122,$F$2:$F$1122,"Served"))</f>
        <v>2.66809870317132E-007</v>
      </c>
      <c r="I609" s="4" t="n">
        <f aca="false">IF(G609="","",RANK(G609,$G$2:$G$1122,0))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735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IF(G610="","",G610/SUMIFS($G$2:$G$1122,$F$2:$F$1122,"Served"))</f>
        <v>0</v>
      </c>
      <c r="I610" s="4" t="n">
        <f aca="false">IF(G610="","",RANK(G610,$G$2:$G$1122,0))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735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IF(G611="","",G611/SUMIFS($G$2:$G$1122,$F$2:$F$1122,"Served"))</f>
        <v>0</v>
      </c>
      <c r="I611" s="4" t="n">
        <f aca="false">IF(G611="","",RANK(G611,$G$2:$G$1122,0))</f>
        <v>609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30</v>
      </c>
      <c r="C612" s="4" t="s">
        <v>735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IF(G612="","",G612/SUMIFS($G$2:$G$1122,$F$2:$F$1122,"Served"))</f>
        <v>0</v>
      </c>
      <c r="I612" s="4" t="n">
        <f aca="false">IF(G612="","",RANK(G612,$G$2:$G$1122,0))</f>
        <v>609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30</v>
      </c>
      <c r="C613" s="4" t="s">
        <v>735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IF(G613="","",G613/SUMIFS($G$2:$G$1122,$F$2:$F$1122,"Served"))</f>
        <v>0</v>
      </c>
      <c r="I613" s="4" t="n">
        <f aca="false">IF(G613="","",RANK(G613,$G$2:$G$1122,0))</f>
        <v>609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119</v>
      </c>
      <c r="C614" s="4" t="s">
        <v>196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IF(G614="","",G614/SUMIFS($G$2:$G$1122,$F$2:$F$1122,"Served"))</f>
        <v>0</v>
      </c>
      <c r="I614" s="4" t="n">
        <f aca="false">IF(G614="","",RANK(G614,$G$2:$G$1122,0))</f>
        <v>609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223</v>
      </c>
      <c r="C615" s="4" t="s">
        <v>224</v>
      </c>
      <c r="D615" s="7" t="s">
        <v>1312</v>
      </c>
      <c r="E615" s="4" t="s">
        <v>226</v>
      </c>
      <c r="F615" s="4" t="s">
        <v>4</v>
      </c>
      <c r="G615" s="8" t="n">
        <v>0</v>
      </c>
      <c r="H615" s="6" t="n">
        <f aca="false">IF(G615="","",G615/SUMIFS($G$2:$G$1122,$F$2:$F$1122,"Served"))</f>
        <v>0</v>
      </c>
      <c r="I615" s="4" t="n">
        <f aca="false">IF(G615="","",RANK(G615,$G$2:$G$1122,0))</f>
        <v>609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IF(G616="","",G616/SUMIFS($G$2:$G$1122,$F$2:$F$1122,"Served"))</f>
        <v>0</v>
      </c>
      <c r="I616" s="4" t="n">
        <f aca="false">IF(G616="","",RANK(G616,$G$2:$G$1122,0))</f>
        <v>609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IF(G617="","",G617/SUMIFS($G$2:$G$1122,$F$2:$F$1122,"Served"))</f>
        <v/>
      </c>
      <c r="I617" s="4" t="str">
        <f aca="false">IF(G617="","",RANK(G617,$G$2:$G$1122,0))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IF(G618="","",G618/SUMIFS($G$2:$G$1122,$F$2:$F$1122,"Served"))</f>
        <v/>
      </c>
      <c r="I618" s="4" t="str">
        <f aca="false">IF(G618="","",RANK(G618,$G$2:$G$1122,0))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IF(G619="","",G619/SUMIFS($G$2:$G$1122,$F$2:$F$1122,"Served"))</f>
        <v/>
      </c>
      <c r="I619" s="4" t="str">
        <f aca="false">IF(G619="","",RANK(G619,$G$2:$G$1122,0))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IF(G620="","",G620/SUMIFS($G$2:$G$1122,$F$2:$F$1122,"Served"))</f>
        <v/>
      </c>
      <c r="I620" s="4" t="str">
        <f aca="false">IF(G620="","",RANK(G620,$G$2:$G$1122,0))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IF(G621="","",G621/SUMIFS($G$2:$G$1122,$F$2:$F$1122,"Served"))</f>
        <v/>
      </c>
      <c r="I621" s="4" t="str">
        <f aca="false">IF(G621="","",RANK(G621,$G$2:$G$1122,0))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IF(G622="","",G622/SUMIFS($G$2:$G$1122,$F$2:$F$1122,"Served"))</f>
        <v/>
      </c>
      <c r="I622" s="4" t="str">
        <f aca="false">IF(G622="","",RANK(G622,$G$2:$G$1122,0))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IF(G623="","",G623/SUMIFS($G$2:$G$1122,$F$2:$F$1122,"Served"))</f>
        <v/>
      </c>
      <c r="I623" s="4" t="str">
        <f aca="false">IF(G623="","",RANK(G623,$G$2:$G$1122,0))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IF(G624="","",G624/SUMIFS($G$2:$G$1122,$F$2:$F$1122,"Served"))</f>
        <v/>
      </c>
      <c r="I624" s="4" t="str">
        <f aca="false">IF(G624="","",RANK(G624,$G$2:$G$1122,0))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IF(G625="","",G625/SUMIFS($G$2:$G$1122,$F$2:$F$1122,"Served"))</f>
        <v/>
      </c>
      <c r="I625" s="4" t="str">
        <f aca="false">IF(G625="","",RANK(G625,$G$2:$G$1122,0))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IF(G626="","",G626/SUMIFS($G$2:$G$1122,$F$2:$F$1122,"Served"))</f>
        <v/>
      </c>
      <c r="I626" s="4" t="str">
        <f aca="false">IF(G626="","",RANK(G626,$G$2:$G$1122,0))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IF(G627="","",G627/SUMIFS($G$2:$G$1122,$F$2:$F$1122,"Served"))</f>
        <v/>
      </c>
      <c r="I627" s="4" t="str">
        <f aca="false">IF(G627="","",RANK(G627,$G$2:$G$1122,0))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IF(G628="","",G628/SUMIFS($G$2:$G$1122,$F$2:$F$1122,"Served"))</f>
        <v/>
      </c>
      <c r="I628" s="4" t="str">
        <f aca="false">IF(G628="","",RANK(G628,$G$2:$G$1122,0))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IF(G629="","",G629/SUMIFS($G$2:$G$1122,$F$2:$F$1122,"Served"))</f>
        <v/>
      </c>
      <c r="I629" s="4" t="str">
        <f aca="false">IF(G629="","",RANK(G629,$G$2:$G$1122,0))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IF(G630="","",G630/SUMIFS($G$2:$G$1122,$F$2:$F$1122,"Served"))</f>
        <v/>
      </c>
      <c r="I630" s="4" t="str">
        <f aca="false">IF(G630="","",RANK(G630,$G$2:$G$1122,0))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IF(G631="","",G631/SUMIFS($G$2:$G$1122,$F$2:$F$1122,"Served"))</f>
        <v/>
      </c>
      <c r="I631" s="4" t="str">
        <f aca="false">IF(G631="","",RANK(G631,$G$2:$G$1122,0))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IF(G632="","",G632/SUMIFS($G$2:$G$1122,$F$2:$F$1122,"Served"))</f>
        <v/>
      </c>
      <c r="I632" s="4" t="str">
        <f aca="false">IF(G632="","",RANK(G632,$G$2:$G$1122,0))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IF(G633="","",G633/SUMIFS($G$2:$G$1122,$F$2:$F$1122,"Served"))</f>
        <v/>
      </c>
      <c r="I633" s="4" t="str">
        <f aca="false">IF(G633="","",RANK(G633,$G$2:$G$1122,0))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IF(G634="","",G634/SUMIFS($G$2:$G$1122,$F$2:$F$1122,"Served"))</f>
        <v/>
      </c>
      <c r="I634" s="4" t="str">
        <f aca="false">IF(G634="","",RANK(G634,$G$2:$G$1122,0))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IF(G635="","",G635/SUMIFS($G$2:$G$1122,$F$2:$F$1122,"Served"))</f>
        <v/>
      </c>
      <c r="I635" s="4" t="str">
        <f aca="false">IF(G635="","",RANK(G635,$G$2:$G$1122,0))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IF(G636="","",G636/SUMIFS($G$2:$G$1122,$F$2:$F$1122,"Served"))</f>
        <v/>
      </c>
      <c r="I636" s="4" t="str">
        <f aca="false">IF(G636="","",RANK(G636,$G$2:$G$1122,0))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IF(G637="","",G637/SUMIFS($G$2:$G$1122,$F$2:$F$1122,"Served"))</f>
        <v/>
      </c>
      <c r="I637" s="4" t="str">
        <f aca="false">IF(G637="","",RANK(G637,$G$2:$G$1122,0))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IF(G638="","",G638/SUMIFS($G$2:$G$1122,$F$2:$F$1122,"Served"))</f>
        <v/>
      </c>
      <c r="I638" s="4" t="str">
        <f aca="false">IF(G638="","",RANK(G638,$G$2:$G$1122,0))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IF(G639="","",G639/SUMIFS($G$2:$G$1122,$F$2:$F$1122,"Served"))</f>
        <v/>
      </c>
      <c r="I639" s="4" t="str">
        <f aca="false">IF(G639="","",RANK(G639,$G$2:$G$1122,0))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IF(G640="","",G640/SUMIFS($G$2:$G$1122,$F$2:$F$1122,"Served"))</f>
        <v/>
      </c>
      <c r="I640" s="4" t="str">
        <f aca="false">IF(G640="","",RANK(G640,$G$2:$G$1122,0))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IF(G641="","",G641/SUMIFS($G$2:$G$1122,$F$2:$F$1122,"Served"))</f>
        <v/>
      </c>
      <c r="I641" s="4" t="str">
        <f aca="false">IF(G641="","",RANK(G641,$G$2:$G$1122,0))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IF(G642="","",G642/SUMIFS($G$2:$G$1122,$F$2:$F$1122,"Served"))</f>
        <v/>
      </c>
      <c r="I642" s="4" t="str">
        <f aca="false">IF(G642="","",RANK(G642,$G$2:$G$1122,0))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IF(G643="","",G643/SUMIFS($G$2:$G$1122,$F$2:$F$1122,"Served"))</f>
        <v/>
      </c>
      <c r="I643" s="4" t="str">
        <f aca="false">IF(G643="","",RANK(G643,$G$2:$G$1122,0))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IF(G644="","",G644/SUMIFS($G$2:$G$1122,$F$2:$F$1122,"Served"))</f>
        <v/>
      </c>
      <c r="I644" s="4" t="str">
        <f aca="false">IF(G644="","",RANK(G644,$G$2:$G$1122,0))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IF(G645="","",G645/SUMIFS($G$2:$G$1122,$F$2:$F$1122,"Served"))</f>
        <v/>
      </c>
      <c r="I645" s="4" t="str">
        <f aca="false">IF(G645="","",RANK(G645,$G$2:$G$1122,0))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IF(G646="","",G646/SUMIFS($G$2:$G$1122,$F$2:$F$1122,"Served"))</f>
        <v/>
      </c>
      <c r="I646" s="4" t="str">
        <f aca="false">IF(G646="","",RANK(G646,$G$2:$G$1122,0))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IF(G647="","",G647/SUMIFS($G$2:$G$1122,$F$2:$F$1122,"Served"))</f>
        <v/>
      </c>
      <c r="I647" s="4" t="str">
        <f aca="false">IF(G647="","",RANK(G647,$G$2:$G$1122,0))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IF(G648="","",G648/SUMIFS($G$2:$G$1122,$F$2:$F$1122,"Served"))</f>
        <v/>
      </c>
      <c r="I648" s="4" t="str">
        <f aca="false">IF(G648="","",RANK(G648,$G$2:$G$1122,0))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IF(G649="","",G649/SUMIFS($G$2:$G$1122,$F$2:$F$1122,"Served"))</f>
        <v/>
      </c>
      <c r="I649" s="4" t="str">
        <f aca="false">IF(G649="","",RANK(G649,$G$2:$G$1122,0))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IF(G650="","",G650/SUMIFS($G$2:$G$1122,$F$2:$F$1122,"Served"))</f>
        <v/>
      </c>
      <c r="I650" s="4" t="str">
        <f aca="false">IF(G650="","",RANK(G650,$G$2:$G$1122,0))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IF(G651="","",G651/SUMIFS($G$2:$G$1122,$F$2:$F$1122,"Served"))</f>
        <v/>
      </c>
      <c r="I651" s="4" t="str">
        <f aca="false">IF(G651="","",RANK(G651,$G$2:$G$1122,0))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IF(G652="","",G652/SUMIFS($G$2:$G$1122,$F$2:$F$1122,"Served"))</f>
        <v/>
      </c>
      <c r="I652" s="4" t="str">
        <f aca="false">IF(G652="","",RANK(G652,$G$2:$G$1122,0))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IF(G653="","",G653/SUMIFS($G$2:$G$1122,$F$2:$F$1122,"Served"))</f>
        <v/>
      </c>
      <c r="I653" s="4" t="str">
        <f aca="false">IF(G653="","",RANK(G653,$G$2:$G$1122,0))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IF(G654="","",G654/SUMIFS($G$2:$G$1122,$F$2:$F$1122,"Served"))</f>
        <v/>
      </c>
      <c r="I654" s="4" t="str">
        <f aca="false">IF(G654="","",RANK(G654,$G$2:$G$1122,0))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IF(G655="","",G655/SUMIFS($G$2:$G$1122,$F$2:$F$1122,"Served"))</f>
        <v/>
      </c>
      <c r="I655" s="4" t="str">
        <f aca="false">IF(G655="","",RANK(G655,$G$2:$G$1122,0))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IF(G656="","",G656/SUMIFS($G$2:$G$1122,$F$2:$F$1122,"Served"))</f>
        <v/>
      </c>
      <c r="I656" s="4" t="str">
        <f aca="false">IF(G656="","",RANK(G656,$G$2:$G$1122,0))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IF(G657="","",G657/SUMIFS($G$2:$G$1122,$F$2:$F$1122,"Served"))</f>
        <v/>
      </c>
      <c r="I657" s="4" t="str">
        <f aca="false">IF(G657="","",RANK(G657,$G$2:$G$1122,0))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IF(G658="","",G658/SUMIFS($G$2:$G$1122,$F$2:$F$1122,"Served"))</f>
        <v/>
      </c>
      <c r="I658" s="4" t="str">
        <f aca="false">IF(G658="","",RANK(G658,$G$2:$G$1122,0))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IF(G659="","",G659/SUMIFS($G$2:$G$1122,$F$2:$F$1122,"Served"))</f>
        <v/>
      </c>
      <c r="I659" s="4" t="str">
        <f aca="false">IF(G659="","",RANK(G659,$G$2:$G$1122,0))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IF(G660="","",G660/SUMIFS($G$2:$G$1122,$F$2:$F$1122,"Served"))</f>
        <v/>
      </c>
      <c r="I660" s="4" t="str">
        <f aca="false">IF(G660="","",RANK(G660,$G$2:$G$1122,0))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IF(G661="","",G661/SUMIFS($G$2:$G$1122,$F$2:$F$1122,"Served"))</f>
        <v/>
      </c>
      <c r="I661" s="4" t="str">
        <f aca="false">IF(G661="","",RANK(G661,$G$2:$G$1122,0))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IF(G662="","",G662/SUMIFS($G$2:$G$1122,$F$2:$F$1122,"Served"))</f>
        <v/>
      </c>
      <c r="I662" s="4" t="str">
        <f aca="false">IF(G662="","",RANK(G662,$G$2:$G$1122,0))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IF(G663="","",G663/SUMIFS($G$2:$G$1122,$F$2:$F$1122,"Served"))</f>
        <v/>
      </c>
      <c r="I663" s="4" t="str">
        <f aca="false">IF(G663="","",RANK(G663,$G$2:$G$1122,0))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IF(G664="","",G664/SUMIFS($G$2:$G$1122,$F$2:$F$1122,"Served"))</f>
        <v/>
      </c>
      <c r="I664" s="4" t="str">
        <f aca="false">IF(G664="","",RANK(G664,$G$2:$G$1122,0))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IF(G665="","",G665/SUMIFS($G$2:$G$1122,$F$2:$F$1122,"Served"))</f>
        <v/>
      </c>
      <c r="I665" s="4" t="str">
        <f aca="false">IF(G665="","",RANK(G665,$G$2:$G$1122,0))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IF(G666="","",G666/SUMIFS($G$2:$G$1122,$F$2:$F$1122,"Served"))</f>
        <v/>
      </c>
      <c r="I666" s="4" t="str">
        <f aca="false">IF(G666="","",RANK(G666,$G$2:$G$1122,0))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IF(G667="","",G667/SUMIFS($G$2:$G$1122,$F$2:$F$1122,"Served"))</f>
        <v/>
      </c>
      <c r="I667" s="4" t="str">
        <f aca="false">IF(G667="","",RANK(G667,$G$2:$G$1122,0))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IF(G668="","",G668/SUMIFS($G$2:$G$1122,$F$2:$F$1122,"Served"))</f>
        <v/>
      </c>
      <c r="I668" s="4" t="str">
        <f aca="false">IF(G668="","",RANK(G668,$G$2:$G$1122,0))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IF(G669="","",G669/SUMIFS($G$2:$G$1122,$F$2:$F$1122,"Served"))</f>
        <v/>
      </c>
      <c r="I669" s="4" t="str">
        <f aca="false">IF(G669="","",RANK(G669,$G$2:$G$1122,0))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IF(G670="","",G670/SUMIFS($G$2:$G$1122,$F$2:$F$1122,"Served"))</f>
        <v/>
      </c>
      <c r="I670" s="4" t="str">
        <f aca="false">IF(G670="","",RANK(G670,$G$2:$G$1122,0))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IF(G671="","",G671/SUMIFS($G$2:$G$1122,$F$2:$F$1122,"Served"))</f>
        <v/>
      </c>
      <c r="I671" s="4" t="str">
        <f aca="false">IF(G671="","",RANK(G671,$G$2:$G$1122,0))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IF(G672="","",G672/SUMIFS($G$2:$G$1122,$F$2:$F$1122,"Served"))</f>
        <v/>
      </c>
      <c r="I672" s="4" t="str">
        <f aca="false">IF(G672="","",RANK(G672,$G$2:$G$1122,0))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IF(G673="","",G673/SUMIFS($G$2:$G$1122,$F$2:$F$1122,"Served"))</f>
        <v/>
      </c>
      <c r="I673" s="4" t="str">
        <f aca="false">IF(G673="","",RANK(G673,$G$2:$G$1122,0))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IF(G674="","",G674/SUMIFS($G$2:$G$1122,$F$2:$F$1122,"Served"))</f>
        <v/>
      </c>
      <c r="I674" s="4" t="str">
        <f aca="false">IF(G674="","",RANK(G674,$G$2:$G$1122,0))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IF(G675="","",G675/SUMIFS($G$2:$G$1122,$F$2:$F$1122,"Served"))</f>
        <v/>
      </c>
      <c r="I675" s="4" t="str">
        <f aca="false">IF(G675="","",RANK(G675,$G$2:$G$1122,0))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IF(G676="","",G676/SUMIFS($G$2:$G$1122,$F$2:$F$1122,"Served"))</f>
        <v/>
      </c>
      <c r="I676" s="4" t="str">
        <f aca="false">IF(G676="","",RANK(G676,$G$2:$G$1122,0))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IF(G677="","",G677/SUMIFS($G$2:$G$1122,$F$2:$F$1122,"Served"))</f>
        <v/>
      </c>
      <c r="I677" s="4" t="str">
        <f aca="false">IF(G677="","",RANK(G677,$G$2:$G$1122,0))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IF(G678="","",G678/SUMIFS($G$2:$G$1122,$F$2:$F$1122,"Served"))</f>
        <v/>
      </c>
      <c r="I678" s="4" t="str">
        <f aca="false">IF(G678="","",RANK(G678,$G$2:$G$1122,0))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IF(G679="","",G679/SUMIFS($G$2:$G$1122,$F$2:$F$1122,"Served"))</f>
        <v/>
      </c>
      <c r="I679" s="4" t="str">
        <f aca="false">IF(G679="","",RANK(G679,$G$2:$G$1122,0))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IF(G680="","",G680/SUMIFS($G$2:$G$1122,$F$2:$F$1122,"Served"))</f>
        <v/>
      </c>
      <c r="I680" s="4" t="str">
        <f aca="false">IF(G680="","",RANK(G680,$G$2:$G$1122,0))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IF(G681="","",G681/SUMIFS($G$2:$G$1122,$F$2:$F$1122,"Served"))</f>
        <v/>
      </c>
      <c r="I681" s="4" t="str">
        <f aca="false">IF(G681="","",RANK(G681,$G$2:$G$1122,0))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IF(G682="","",G682/SUMIFS($G$2:$G$1122,$F$2:$F$1122,"Served"))</f>
        <v/>
      </c>
      <c r="I682" s="4" t="str">
        <f aca="false">IF(G682="","",RANK(G682,$G$2:$G$1122,0))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IF(G683="","",G683/SUMIFS($G$2:$G$1122,$F$2:$F$1122,"Served"))</f>
        <v/>
      </c>
      <c r="I683" s="4" t="str">
        <f aca="false">IF(G683="","",RANK(G683,$G$2:$G$1122,0))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IF(G684="","",G684/SUMIFS($G$2:$G$1122,$F$2:$F$1122,"Served"))</f>
        <v/>
      </c>
      <c r="I684" s="4" t="str">
        <f aca="false">IF(G684="","",RANK(G684,$G$2:$G$1122,0))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IF(G685="","",G685/SUMIFS($G$2:$G$1122,$F$2:$F$1122,"Served"))</f>
        <v/>
      </c>
      <c r="I685" s="4" t="str">
        <f aca="false">IF(G685="","",RANK(G685,$G$2:$G$1122,0))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IF(G686="","",G686/SUMIFS($G$2:$G$1122,$F$2:$F$1122,"Served"))</f>
        <v/>
      </c>
      <c r="I686" s="4" t="str">
        <f aca="false">IF(G686="","",RANK(G686,$G$2:$G$1122,0))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IF(G687="","",G687/SUMIFS($G$2:$G$1122,$F$2:$F$1122,"Served"))</f>
        <v/>
      </c>
      <c r="I687" s="4" t="str">
        <f aca="false">IF(G687="","",RANK(G687,$G$2:$G$1122,0))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IF(G688="","",G688/SUMIFS($G$2:$G$1122,$F$2:$F$1122,"Served"))</f>
        <v/>
      </c>
      <c r="I688" s="4" t="str">
        <f aca="false">IF(G688="","",RANK(G688,$G$2:$G$1122,0))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IF(G689="","",G689/SUMIFS($G$2:$G$1122,$F$2:$F$1122,"Served"))</f>
        <v/>
      </c>
      <c r="I689" s="4" t="str">
        <f aca="false">IF(G689="","",RANK(G689,$G$2:$G$1122,0))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IF(G690="","",G690/SUMIFS($G$2:$G$1122,$F$2:$F$1122,"Served"))</f>
        <v/>
      </c>
      <c r="I690" s="4" t="str">
        <f aca="false">IF(G690="","",RANK(G690,$G$2:$G$1122,0))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IF(G691="","",G691/SUMIFS($G$2:$G$1122,$F$2:$F$1122,"Served"))</f>
        <v/>
      </c>
      <c r="I691" s="4" t="str">
        <f aca="false">IF(G691="","",RANK(G691,$G$2:$G$1122,0))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IF(G692="","",G692/SUMIFS($G$2:$G$1122,$F$2:$F$1122,"Served"))</f>
        <v/>
      </c>
      <c r="I692" s="4" t="str">
        <f aca="false">IF(G692="","",RANK(G692,$G$2:$G$1122,0))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IF(G693="","",G693/SUMIFS($G$2:$G$1122,$F$2:$F$1122,"Served"))</f>
        <v/>
      </c>
      <c r="I693" s="4" t="str">
        <f aca="false">IF(G693="","",RANK(G693,$G$2:$G$1122,0))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IF(G694="","",G694/SUMIFS($G$2:$G$1122,$F$2:$F$1122,"Served"))</f>
        <v/>
      </c>
      <c r="I694" s="4" t="str">
        <f aca="false">IF(G694="","",RANK(G694,$G$2:$G$1122,0))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IF(G695="","",G695/SUMIFS($G$2:$G$1122,$F$2:$F$1122,"Served"))</f>
        <v/>
      </c>
      <c r="I695" s="4" t="str">
        <f aca="false">IF(G695="","",RANK(G695,$G$2:$G$1122,0))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IF(G696="","",G696/SUMIFS($G$2:$G$1122,$F$2:$F$1122,"Served"))</f>
        <v/>
      </c>
      <c r="I696" s="4" t="str">
        <f aca="false">IF(G696="","",RANK(G696,$G$2:$G$1122,0))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IF(G697="","",G697/SUMIFS($G$2:$G$1122,$F$2:$F$1122,"Served"))</f>
        <v/>
      </c>
      <c r="I697" s="4" t="str">
        <f aca="false">IF(G697="","",RANK(G697,$G$2:$G$1122,0))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IF(G698="","",G698/SUMIFS($G$2:$G$1122,$F$2:$F$1122,"Served"))</f>
        <v/>
      </c>
      <c r="I698" s="4" t="str">
        <f aca="false">IF(G698="","",RANK(G698,$G$2:$G$1122,0))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IF(G699="","",G699/SUMIFS($G$2:$G$1122,$F$2:$F$1122,"Served"))</f>
        <v/>
      </c>
      <c r="I699" s="4" t="str">
        <f aca="false">IF(G699="","",RANK(G699,$G$2:$G$1122,0))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IF(G700="","",G700/SUMIFS($G$2:$G$1122,$F$2:$F$1122,"Served"))</f>
        <v/>
      </c>
      <c r="I700" s="4" t="str">
        <f aca="false">IF(G700="","",RANK(G700,$G$2:$G$1122,0))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IF(G701="","",G701/SUMIFS($G$2:$G$1122,$F$2:$F$1122,"Served"))</f>
        <v/>
      </c>
      <c r="I701" s="4" t="str">
        <f aca="false">IF(G701="","",RANK(G701,$G$2:$G$1122,0))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IF(G702="","",G702/SUMIFS($G$2:$G$1122,$F$2:$F$1122,"Served"))</f>
        <v/>
      </c>
      <c r="I702" s="4" t="str">
        <f aca="false">IF(G702="","",RANK(G702,$G$2:$G$1122,0))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IF(G703="","",G703/SUMIFS($G$2:$G$1122,$F$2:$F$1122,"Served"))</f>
        <v/>
      </c>
      <c r="I703" s="4" t="str">
        <f aca="false">IF(G703="","",RANK(G703,$G$2:$G$1122,0))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IF(G704="","",G704/SUMIFS($G$2:$G$1122,$F$2:$F$1122,"Served"))</f>
        <v/>
      </c>
      <c r="I704" s="4" t="str">
        <f aca="false">IF(G704="","",RANK(G704,$G$2:$G$1122,0))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IF(G705="","",G705/SUMIFS($G$2:$G$1122,$F$2:$F$1122,"Served"))</f>
        <v/>
      </c>
      <c r="I705" s="4" t="str">
        <f aca="false">IF(G705="","",RANK(G705,$G$2:$G$1122,0))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IF(G706="","",G706/SUMIFS($G$2:$G$1122,$F$2:$F$1122,"Served"))</f>
        <v/>
      </c>
      <c r="I706" s="4" t="str">
        <f aca="false">IF(G706="","",RANK(G706,$G$2:$G$1122,0))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IF(G707="","",G707/SUMIFS($G$2:$G$1122,$F$2:$F$1122,"Served"))</f>
        <v/>
      </c>
      <c r="I707" s="4" t="str">
        <f aca="false">IF(G707="","",RANK(G707,$G$2:$G$1122,0))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IF(G708="","",G708/SUMIFS($G$2:$G$1122,$F$2:$F$1122,"Served"))</f>
        <v/>
      </c>
      <c r="I708" s="4" t="str">
        <f aca="false">IF(G708="","",RANK(G708,$G$2:$G$1122,0))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IF(G709="","",G709/SUMIFS($G$2:$G$1122,$F$2:$F$1122,"Served"))</f>
        <v/>
      </c>
      <c r="I709" s="4" t="str">
        <f aca="false">IF(G709="","",RANK(G709,$G$2:$G$1122,0))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IF(G710="","",G710/SUMIFS($G$2:$G$1122,$F$2:$F$1122,"Served"))</f>
        <v/>
      </c>
      <c r="I710" s="4" t="str">
        <f aca="false">IF(G710="","",RANK(G710,$G$2:$G$1122,0))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IF(G711="","",G711/SUMIFS($G$2:$G$1122,$F$2:$F$1122,"Served"))</f>
        <v/>
      </c>
      <c r="I711" s="4" t="str">
        <f aca="false">IF(G711="","",RANK(G711,$G$2:$G$1122,0))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IF(G712="","",G712/SUMIFS($G$2:$G$1122,$F$2:$F$1122,"Served"))</f>
        <v/>
      </c>
      <c r="I712" s="4" t="str">
        <f aca="false">IF(G712="","",RANK(G712,$G$2:$G$1122,0))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IF(G713="","",G713/SUMIFS($G$2:$G$1122,$F$2:$F$1122,"Served"))</f>
        <v/>
      </c>
      <c r="I713" s="4" t="str">
        <f aca="false">IF(G713="","",RANK(G713,$G$2:$G$1122,0))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IF(G714="","",G714/SUMIFS($G$2:$G$1122,$F$2:$F$1122,"Served"))</f>
        <v/>
      </c>
      <c r="I714" s="4" t="str">
        <f aca="false">IF(G714="","",RANK(G714,$G$2:$G$1122,0))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IF(G715="","",G715/SUMIFS($G$2:$G$1122,$F$2:$F$1122,"Served"))</f>
        <v/>
      </c>
      <c r="I715" s="4" t="str">
        <f aca="false">IF(G715="","",RANK(G715,$G$2:$G$1122,0))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IF(G716="","",G716/SUMIFS($G$2:$G$1122,$F$2:$F$1122,"Served"))</f>
        <v/>
      </c>
      <c r="I716" s="4" t="str">
        <f aca="false">IF(G716="","",RANK(G716,$G$2:$G$1122,0))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IF(G717="","",G717/SUMIFS($G$2:$G$1122,$F$2:$F$1122,"Served"))</f>
        <v/>
      </c>
      <c r="I717" s="4" t="str">
        <f aca="false">IF(G717="","",RANK(G717,$G$2:$G$1122,0))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IF(G718="","",G718/SUMIFS($G$2:$G$1122,$F$2:$F$1122,"Served"))</f>
        <v/>
      </c>
      <c r="I718" s="4" t="str">
        <f aca="false">IF(G718="","",RANK(G718,$G$2:$G$1122,0))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IF(G719="","",G719/SUMIFS($G$2:$G$1122,$F$2:$F$1122,"Served"))</f>
        <v/>
      </c>
      <c r="I719" s="4" t="str">
        <f aca="false">IF(G719="","",RANK(G719,$G$2:$G$1122,0))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IF(G720="","",G720/SUMIFS($G$2:$G$1122,$F$2:$F$1122,"Served"))</f>
        <v/>
      </c>
      <c r="I720" s="4" t="str">
        <f aca="false">IF(G720="","",RANK(G720,$G$2:$G$1122,0))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IF(G721="","",G721/SUMIFS($G$2:$G$1122,$F$2:$F$1122,"Served"))</f>
        <v/>
      </c>
      <c r="I721" s="4" t="str">
        <f aca="false">IF(G721="","",RANK(G721,$G$2:$G$1122,0))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IF(G722="","",G722/SUMIFS($G$2:$G$1122,$F$2:$F$1122,"Served"))</f>
        <v/>
      </c>
      <c r="I722" s="4" t="str">
        <f aca="false">IF(G722="","",RANK(G722,$G$2:$G$1122,0))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IF(G723="","",G723/SUMIFS($G$2:$G$1122,$F$2:$F$1122,"Served"))</f>
        <v/>
      </c>
      <c r="I723" s="4" t="str">
        <f aca="false">IF(G723="","",RANK(G723,$G$2:$G$1122,0))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IF(G724="","",G724/SUMIFS($G$2:$G$1122,$F$2:$F$1122,"Served"))</f>
        <v/>
      </c>
      <c r="I724" s="4" t="str">
        <f aca="false">IF(G724="","",RANK(G724,$G$2:$G$1122,0))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IF(G725="","",G725/SUMIFS($G$2:$G$1122,$F$2:$F$1122,"Served"))</f>
        <v/>
      </c>
      <c r="I725" s="4" t="str">
        <f aca="false">IF(G725="","",RANK(G725,$G$2:$G$1122,0))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IF(G726="","",G726/SUMIFS($G$2:$G$1122,$F$2:$F$1122,"Served"))</f>
        <v/>
      </c>
      <c r="I726" s="4" t="str">
        <f aca="false">IF(G726="","",RANK(G726,$G$2:$G$1122,0))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IF(G727="","",G727/SUMIFS($G$2:$G$1122,$F$2:$F$1122,"Served"))</f>
        <v/>
      </c>
      <c r="I727" s="4" t="str">
        <f aca="false">IF(G727="","",RANK(G727,$G$2:$G$1122,0))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IF(G728="","",G728/SUMIFS($G$2:$G$1122,$F$2:$F$1122,"Served"))</f>
        <v/>
      </c>
      <c r="I728" s="4" t="str">
        <f aca="false">IF(G728="","",RANK(G728,$G$2:$G$1122,0))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IF(G729="","",G729/SUMIFS($G$2:$G$1122,$F$2:$F$1122,"Served"))</f>
        <v/>
      </c>
      <c r="I729" s="4" t="str">
        <f aca="false">IF(G729="","",RANK(G729,$G$2:$G$1122,0))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IF(G730="","",G730/SUMIFS($G$2:$G$1122,$F$2:$F$1122,"Served"))</f>
        <v/>
      </c>
      <c r="I730" s="4" t="str">
        <f aca="false">IF(G730="","",RANK(G730,$G$2:$G$1122,0))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IF(G731="","",G731/SUMIFS($G$2:$G$1122,$F$2:$F$1122,"Served"))</f>
        <v/>
      </c>
      <c r="I731" s="4" t="str">
        <f aca="false">IF(G731="","",RANK(G731,$G$2:$G$1122,0))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IF(G732="","",G732/SUMIFS($G$2:$G$1122,$F$2:$F$1122,"Served"))</f>
        <v/>
      </c>
      <c r="I732" s="4" t="str">
        <f aca="false">IF(G732="","",RANK(G732,$G$2:$G$1122,0))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IF(G733="","",G733/SUMIFS($G$2:$G$1122,$F$2:$F$1122,"Served"))</f>
        <v/>
      </c>
      <c r="I733" s="4" t="str">
        <f aca="false">IF(G733="","",RANK(G733,$G$2:$G$1122,0))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IF(G734="","",G734/SUMIFS($G$2:$G$1122,$F$2:$F$1122,"Served"))</f>
        <v/>
      </c>
      <c r="I734" s="4" t="str">
        <f aca="false">IF(G734="","",RANK(G734,$G$2:$G$1122,0))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IF(G735="","",G735/SUMIFS($G$2:$G$1122,$F$2:$F$1122,"Served"))</f>
        <v/>
      </c>
      <c r="I735" s="4" t="str">
        <f aca="false">IF(G735="","",RANK(G735,$G$2:$G$1122,0))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IF(G736="","",G736/SUMIFS($G$2:$G$1122,$F$2:$F$1122,"Served"))</f>
        <v/>
      </c>
      <c r="I736" s="4" t="str">
        <f aca="false">IF(G736="","",RANK(G736,$G$2:$G$1122,0))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IF(G737="","",G737/SUMIFS($G$2:$G$1122,$F$2:$F$1122,"Served"))</f>
        <v/>
      </c>
      <c r="I737" s="4" t="str">
        <f aca="false">IF(G737="","",RANK(G737,$G$2:$G$1122,0))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IF(G738="","",G738/SUMIFS($G$2:$G$1122,$F$2:$F$1122,"Served"))</f>
        <v/>
      </c>
      <c r="I738" s="4" t="str">
        <f aca="false">IF(G738="","",RANK(G738,$G$2:$G$1122,0))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IF(G739="","",G739/SUMIFS($G$2:$G$1122,$F$2:$F$1122,"Served"))</f>
        <v/>
      </c>
      <c r="I739" s="4" t="str">
        <f aca="false">IF(G739="","",RANK(G739,$G$2:$G$1122,0))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IF(G740="","",G740/SUMIFS($G$2:$G$1122,$F$2:$F$1122,"Served"))</f>
        <v/>
      </c>
      <c r="I740" s="4" t="str">
        <f aca="false">IF(G740="","",RANK(G740,$G$2:$G$1122,0))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IF(G741="","",G741/SUMIFS($G$2:$G$1122,$F$2:$F$1122,"Served"))</f>
        <v/>
      </c>
      <c r="I741" s="4" t="str">
        <f aca="false">IF(G741="","",RANK(G741,$G$2:$G$1122,0))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IF(G742="","",G742/SUMIFS($G$2:$G$1122,$F$2:$F$1122,"Served"))</f>
        <v/>
      </c>
      <c r="I742" s="4" t="str">
        <f aca="false">IF(G742="","",RANK(G742,$G$2:$G$1122,0))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IF(G743="","",G743/SUMIFS($G$2:$G$1122,$F$2:$F$1122,"Served"))</f>
        <v/>
      </c>
      <c r="I743" s="4" t="str">
        <f aca="false">IF(G743="","",RANK(G743,$G$2:$G$1122,0))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IF(G744="","",G744/SUMIFS($G$2:$G$1122,$F$2:$F$1122,"Served"))</f>
        <v/>
      </c>
      <c r="I744" s="4" t="str">
        <f aca="false">IF(G744="","",RANK(G744,$G$2:$G$1122,0))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IF(G745="","",G745/SUMIFS($G$2:$G$1122,$F$2:$F$1122,"Served"))</f>
        <v/>
      </c>
      <c r="I745" s="4" t="str">
        <f aca="false">IF(G745="","",RANK(G745,$G$2:$G$1122,0))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IF(G746="","",G746/SUMIFS($G$2:$G$1122,$F$2:$F$1122,"Served"))</f>
        <v/>
      </c>
      <c r="I746" s="4" t="str">
        <f aca="false">IF(G746="","",RANK(G746,$G$2:$G$1122,0))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IF(G747="","",G747/SUMIFS($G$2:$G$1122,$F$2:$F$1122,"Served"))</f>
        <v/>
      </c>
      <c r="I747" s="4" t="str">
        <f aca="false">IF(G747="","",RANK(G747,$G$2:$G$1122,0))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IF(G748="","",G748/SUMIFS($G$2:$G$1122,$F$2:$F$1122,"Served"))</f>
        <v/>
      </c>
      <c r="I748" s="4" t="str">
        <f aca="false">IF(G748="","",RANK(G748,$G$2:$G$1122,0))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IF(G749="","",G749/SUMIFS($G$2:$G$1122,$F$2:$F$1122,"Served"))</f>
        <v/>
      </c>
      <c r="I749" s="4" t="str">
        <f aca="false">IF(G749="","",RANK(G749,$G$2:$G$1122,0))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IF(G750="","",G750/SUMIFS($G$2:$G$1122,$F$2:$F$1122,"Served"))</f>
        <v/>
      </c>
      <c r="I750" s="4" t="str">
        <f aca="false">IF(G750="","",RANK(G750,$G$2:$G$1122,0))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IF(G751="","",G751/SUMIFS($G$2:$G$1122,$F$2:$F$1122,"Served"))</f>
        <v/>
      </c>
      <c r="I751" s="4" t="str">
        <f aca="false">IF(G751="","",RANK(G751,$G$2:$G$1122,0))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IF(G752="","",G752/SUMIFS($G$2:$G$1122,$F$2:$F$1122,"Served"))</f>
        <v/>
      </c>
      <c r="I752" s="4" t="str">
        <f aca="false">IF(G752="","",RANK(G752,$G$2:$G$1122,0))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IF(G753="","",G753/SUMIFS($G$2:$G$1122,$F$2:$F$1122,"Served"))</f>
        <v/>
      </c>
      <c r="I753" s="4" t="str">
        <f aca="false">IF(G753="","",RANK(G753,$G$2:$G$1122,0))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IF(G754="","",G754/SUMIFS($G$2:$G$1122,$F$2:$F$1122,"Served"))</f>
        <v/>
      </c>
      <c r="I754" s="4" t="str">
        <f aca="false">IF(G754="","",RANK(G754,$G$2:$G$1122,0))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IF(G755="","",G755/SUMIFS($G$2:$G$1122,$F$2:$F$1122,"Served"))</f>
        <v/>
      </c>
      <c r="I755" s="4" t="str">
        <f aca="false">IF(G755="","",RANK(G755,$G$2:$G$1122,0))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IF(G756="","",G756/SUMIFS($G$2:$G$1122,$F$2:$F$1122,"Served"))</f>
        <v/>
      </c>
      <c r="I756" s="4" t="str">
        <f aca="false">IF(G756="","",RANK(G756,$G$2:$G$1122,0))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IF(G757="","",G757/SUMIFS($G$2:$G$1122,$F$2:$F$1122,"Served"))</f>
        <v/>
      </c>
      <c r="I757" s="4" t="str">
        <f aca="false">IF(G757="","",RANK(G757,$G$2:$G$1122,0))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IF(G758="","",G758/SUMIFS($G$2:$G$1122,$F$2:$F$1122,"Served"))</f>
        <v/>
      </c>
      <c r="I758" s="4" t="str">
        <f aca="false">IF(G758="","",RANK(G758,$G$2:$G$1122,0))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IF(G759="","",G759/SUMIFS($G$2:$G$1122,$F$2:$F$1122,"Served"))</f>
        <v/>
      </c>
      <c r="I759" s="4" t="str">
        <f aca="false">IF(G759="","",RANK(G759,$G$2:$G$1122,0))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IF(G760="","",G760/SUMIFS($G$2:$G$1122,$F$2:$F$1122,"Served"))</f>
        <v/>
      </c>
      <c r="I760" s="4" t="str">
        <f aca="false">IF(G760="","",RANK(G760,$G$2:$G$1122,0))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IF(G761="","",G761/SUMIFS($G$2:$G$1122,$F$2:$F$1122,"Served"))</f>
        <v/>
      </c>
      <c r="I761" s="4" t="str">
        <f aca="false">IF(G761="","",RANK(G761,$G$2:$G$1122,0))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IF(G762="","",G762/SUMIFS($G$2:$G$1122,$F$2:$F$1122,"Served"))</f>
        <v/>
      </c>
      <c r="I762" s="4" t="str">
        <f aca="false">IF(G762="","",RANK(G762,$G$2:$G$1122,0))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IF(G763="","",G763/SUMIFS($G$2:$G$1122,$F$2:$F$1122,"Served"))</f>
        <v/>
      </c>
      <c r="I763" s="4" t="str">
        <f aca="false">IF(G763="","",RANK(G763,$G$2:$G$1122,0))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IF(G764="","",G764/SUMIFS($G$2:$G$1122,$F$2:$F$1122,"Served"))</f>
        <v/>
      </c>
      <c r="I764" s="4" t="str">
        <f aca="false">IF(G764="","",RANK(G764,$G$2:$G$1122,0))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IF(G765="","",G765/SUMIFS($G$2:$G$1122,$F$2:$F$1122,"Served"))</f>
        <v/>
      </c>
      <c r="I765" s="4" t="str">
        <f aca="false">IF(G765="","",RANK(G765,$G$2:$G$1122,0))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IF(G766="","",G766/SUMIFS($G$2:$G$1122,$F$2:$F$1122,"Served"))</f>
        <v/>
      </c>
      <c r="I766" s="4" t="str">
        <f aca="false">IF(G766="","",RANK(G766,$G$2:$G$1122,0))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IF(G767="","",G767/SUMIFS($G$2:$G$1122,$F$2:$F$1122,"Served"))</f>
        <v/>
      </c>
      <c r="I767" s="4" t="str">
        <f aca="false">IF(G767="","",RANK(G767,$G$2:$G$1122,0))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IF(G768="","",G768/SUMIFS($G$2:$G$1122,$F$2:$F$1122,"Served"))</f>
        <v/>
      </c>
      <c r="I768" s="4" t="str">
        <f aca="false">IF(G768="","",RANK(G768,$G$2:$G$1122,0))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IF(G769="","",G769/SUMIFS($G$2:$G$1122,$F$2:$F$1122,"Served"))</f>
        <v/>
      </c>
      <c r="I769" s="4" t="str">
        <f aca="false">IF(G769="","",RANK(G769,$G$2:$G$1122,0))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IF(G770="","",G770/SUMIFS($G$2:$G$1122,$F$2:$F$1122,"Served"))</f>
        <v/>
      </c>
      <c r="I770" s="4" t="str">
        <f aca="false">IF(G770="","",RANK(G770,$G$2:$G$1122,0))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IF(G771="","",G771/SUMIFS($G$2:$G$1122,$F$2:$F$1122,"Served"))</f>
        <v/>
      </c>
      <c r="I771" s="4" t="str">
        <f aca="false">IF(G771="","",RANK(G771,$G$2:$G$1122,0))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IF(G772="","",G772/SUMIFS($G$2:$G$1122,$F$2:$F$1122,"Served"))</f>
        <v/>
      </c>
      <c r="I772" s="4" t="str">
        <f aca="false">IF(G772="","",RANK(G772,$G$2:$G$1122,0))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IF(G773="","",G773/SUMIFS($G$2:$G$1122,$F$2:$F$1122,"Served"))</f>
        <v/>
      </c>
      <c r="I773" s="4" t="str">
        <f aca="false">IF(G773="","",RANK(G773,$G$2:$G$1122,0))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IF(G774="","",G774/SUMIFS($G$2:$G$1122,$F$2:$F$1122,"Served"))</f>
        <v/>
      </c>
      <c r="I774" s="4" t="str">
        <f aca="false">IF(G774="","",RANK(G774,$G$2:$G$1122,0))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IF(G775="","",G775/SUMIFS($G$2:$G$1122,$F$2:$F$1122,"Served"))</f>
        <v/>
      </c>
      <c r="I775" s="4" t="str">
        <f aca="false">IF(G775="","",RANK(G775,$G$2:$G$1122,0))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IF(G776="","",G776/SUMIFS($G$2:$G$1122,$F$2:$F$1122,"Served"))</f>
        <v/>
      </c>
      <c r="I776" s="4" t="str">
        <f aca="false">IF(G776="","",RANK(G776,$G$2:$G$1122,0))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IF(G777="","",G777/SUMIFS($G$2:$G$1122,$F$2:$F$1122,"Served"))</f>
        <v/>
      </c>
      <c r="I777" s="4" t="str">
        <f aca="false">IF(G777="","",RANK(G777,$G$2:$G$1122,0))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IF(G778="","",G778/SUMIFS($G$2:$G$1122,$F$2:$F$1122,"Served"))</f>
        <v/>
      </c>
      <c r="I778" s="4" t="str">
        <f aca="false">IF(G778="","",RANK(G778,$G$2:$G$1122,0))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IF(G779="","",G779/SUMIFS($G$2:$G$1122,$F$2:$F$1122,"Served"))</f>
        <v/>
      </c>
      <c r="I779" s="4" t="str">
        <f aca="false">IF(G779="","",RANK(G779,$G$2:$G$1122,0))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IF(G780="","",G780/SUMIFS($G$2:$G$1122,$F$2:$F$1122,"Served"))</f>
        <v/>
      </c>
      <c r="I780" s="4" t="str">
        <f aca="false">IF(G780="","",RANK(G780,$G$2:$G$1122,0))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IF(G781="","",G781/SUMIFS($G$2:$G$1122,$F$2:$F$1122,"Served"))</f>
        <v/>
      </c>
      <c r="I781" s="4" t="str">
        <f aca="false">IF(G781="","",RANK(G781,$G$2:$G$1122,0))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IF(G782="","",G782/SUMIFS($G$2:$G$1122,$F$2:$F$1122,"Served"))</f>
        <v/>
      </c>
      <c r="I782" s="4" t="str">
        <f aca="false">IF(G782="","",RANK(G782,$G$2:$G$1122,0))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IF(G783="","",G783/SUMIFS($G$2:$G$1122,$F$2:$F$1122,"Served"))</f>
        <v/>
      </c>
      <c r="I783" s="4" t="str">
        <f aca="false">IF(G783="","",RANK(G783,$G$2:$G$1122,0))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IF(G784="","",G784/SUMIFS($G$2:$G$1122,$F$2:$F$1122,"Served"))</f>
        <v/>
      </c>
      <c r="I784" s="4" t="str">
        <f aca="false">IF(G784="","",RANK(G784,$G$2:$G$1122,0))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IF(G785="","",G785/SUMIFS($G$2:$G$1122,$F$2:$F$1122,"Served"))</f>
        <v/>
      </c>
      <c r="I785" s="4" t="str">
        <f aca="false">IF(G785="","",RANK(G785,$G$2:$G$1122,0))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IF(G786="","",G786/SUMIFS($G$2:$G$1122,$F$2:$F$1122,"Served"))</f>
        <v/>
      </c>
      <c r="I786" s="4" t="str">
        <f aca="false">IF(G786="","",RANK(G786,$G$2:$G$1122,0))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IF(G787="","",G787/SUMIFS($G$2:$G$1122,$F$2:$F$1122,"Served"))</f>
        <v/>
      </c>
      <c r="I787" s="4" t="str">
        <f aca="false">IF(G787="","",RANK(G787,$G$2:$G$1122,0))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IF(G788="","",G788/SUMIFS($G$2:$G$1122,$F$2:$F$1122,"Served"))</f>
        <v/>
      </c>
      <c r="I788" s="4" t="str">
        <f aca="false">IF(G788="","",RANK(G788,$G$2:$G$1122,0))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IF(G789="","",G789/SUMIFS($G$2:$G$1122,$F$2:$F$1122,"Served"))</f>
        <v/>
      </c>
      <c r="I789" s="4" t="str">
        <f aca="false">IF(G789="","",RANK(G789,$G$2:$G$1122,0))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IF(G790="","",G790/SUMIFS($G$2:$G$1122,$F$2:$F$1122,"Served"))</f>
        <v/>
      </c>
      <c r="I790" s="4" t="str">
        <f aca="false">IF(G790="","",RANK(G790,$G$2:$G$1122,0))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IF(G791="","",G791/SUMIFS($G$2:$G$1122,$F$2:$F$1122,"Served"))</f>
        <v/>
      </c>
      <c r="I791" s="4" t="str">
        <f aca="false">IF(G791="","",RANK(G791,$G$2:$G$1122,0))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IF(G792="","",G792/SUMIFS($G$2:$G$1122,$F$2:$F$1122,"Served"))</f>
        <v/>
      </c>
      <c r="I792" s="4" t="str">
        <f aca="false">IF(G792="","",RANK(G792,$G$2:$G$1122,0))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IF(G793="","",G793/SUMIFS($G$2:$G$1122,$F$2:$F$1122,"Served"))</f>
        <v/>
      </c>
      <c r="I793" s="4" t="str">
        <f aca="false">IF(G793="","",RANK(G793,$G$2:$G$1122,0))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IF(G794="","",G794/SUMIFS($G$2:$G$1122,$F$2:$F$1122,"Served"))</f>
        <v/>
      </c>
      <c r="I794" s="4" t="str">
        <f aca="false">IF(G794="","",RANK(G794,$G$2:$G$1122,0))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IF(G795="","",G795/SUMIFS($G$2:$G$1122,$F$2:$F$1122,"Served"))</f>
        <v/>
      </c>
      <c r="I795" s="4" t="str">
        <f aca="false">IF(G795="","",RANK(G795,$G$2:$G$1122,0))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IF(G796="","",G796/SUMIFS($G$2:$G$1122,$F$2:$F$1122,"Served"))</f>
        <v/>
      </c>
      <c r="I796" s="4" t="str">
        <f aca="false">IF(G796="","",RANK(G796,$G$2:$G$1122,0))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IF(G797="","",G797/SUMIFS($G$2:$G$1122,$F$2:$F$1122,"Served"))</f>
        <v/>
      </c>
      <c r="I797" s="4" t="str">
        <f aca="false">IF(G797="","",RANK(G797,$G$2:$G$1122,0))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IF(G798="","",G798/SUMIFS($G$2:$G$1122,$F$2:$F$1122,"Served"))</f>
        <v/>
      </c>
      <c r="I798" s="4" t="str">
        <f aca="false">IF(G798="","",RANK(G798,$G$2:$G$1122,0))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IF(G799="","",G799/SUMIFS($G$2:$G$1122,$F$2:$F$1122,"Served"))</f>
        <v/>
      </c>
      <c r="I799" s="4" t="str">
        <f aca="false">IF(G799="","",RANK(G799,$G$2:$G$1122,0))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IF(G800="","",G800/SUMIFS($G$2:$G$1122,$F$2:$F$1122,"Served"))</f>
        <v/>
      </c>
      <c r="I800" s="4" t="str">
        <f aca="false">IF(G800="","",RANK(G800,$G$2:$G$1122,0))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IF(G801="","",G801/SUMIFS($G$2:$G$1122,$F$2:$F$1122,"Served"))</f>
        <v/>
      </c>
      <c r="I801" s="4" t="str">
        <f aca="false">IF(G801="","",RANK(G801,$G$2:$G$1122,0))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IF(G802="","",G802/SUMIFS($G$2:$G$1122,$F$2:$F$1122,"Served"))</f>
        <v/>
      </c>
      <c r="I802" s="4" t="str">
        <f aca="false">IF(G802="","",RANK(G802,$G$2:$G$1122,0))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IF(G803="","",G803/SUMIFS($G$2:$G$1122,$F$2:$F$1122,"Served"))</f>
        <v/>
      </c>
      <c r="I803" s="4" t="str">
        <f aca="false">IF(G803="","",RANK(G803,$G$2:$G$1122,0))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IF(G804="","",G804/SUMIFS($G$2:$G$1122,$F$2:$F$1122,"Served"))</f>
        <v/>
      </c>
      <c r="I804" s="4" t="str">
        <f aca="false">IF(G804="","",RANK(G804,$G$2:$G$1122,0))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IF(G805="","",G805/SUMIFS($G$2:$G$1122,$F$2:$F$1122,"Served"))</f>
        <v/>
      </c>
      <c r="I805" s="4" t="str">
        <f aca="false">IF(G805="","",RANK(G805,$G$2:$G$1122,0))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IF(G806="","",G806/SUMIFS($G$2:$G$1122,$F$2:$F$1122,"Served"))</f>
        <v/>
      </c>
      <c r="I806" s="4" t="str">
        <f aca="false">IF(G806="","",RANK(G806,$G$2:$G$1122,0))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IF(G807="","",G807/SUMIFS($G$2:$G$1122,$F$2:$F$1122,"Served"))</f>
        <v/>
      </c>
      <c r="I807" s="4" t="str">
        <f aca="false">IF(G807="","",RANK(G807,$G$2:$G$1122,0))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IF(G808="","",G808/SUMIFS($G$2:$G$1122,$F$2:$F$1122,"Served"))</f>
        <v/>
      </c>
      <c r="I808" s="4" t="str">
        <f aca="false">IF(G808="","",RANK(G808,$G$2:$G$1122,0))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IF(G809="","",G809/SUMIFS($G$2:$G$1122,$F$2:$F$1122,"Served"))</f>
        <v/>
      </c>
      <c r="I809" s="4" t="str">
        <f aca="false">IF(G809="","",RANK(G809,$G$2:$G$1122,0))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IF(G810="","",G810/SUMIFS($G$2:$G$1122,$F$2:$F$1122,"Served"))</f>
        <v/>
      </c>
      <c r="I810" s="4" t="str">
        <f aca="false">IF(G810="","",RANK(G810,$G$2:$G$1122,0))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IF(G811="","",G811/SUMIFS($G$2:$G$1122,$F$2:$F$1122,"Served"))</f>
        <v/>
      </c>
      <c r="I811" s="4" t="str">
        <f aca="false">IF(G811="","",RANK(G811,$G$2:$G$1122,0))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IF(G812="","",G812/SUMIFS($G$2:$G$1122,$F$2:$F$1122,"Served"))</f>
        <v/>
      </c>
      <c r="I812" s="4" t="str">
        <f aca="false">IF(G812="","",RANK(G812,$G$2:$G$1122,0))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IF(G813="","",G813/SUMIFS($G$2:$G$1122,$F$2:$F$1122,"Served"))</f>
        <v/>
      </c>
      <c r="I813" s="4" t="str">
        <f aca="false">IF(G813="","",RANK(G813,$G$2:$G$1122,0))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IF(G814="","",G814/SUMIFS($G$2:$G$1122,$F$2:$F$1122,"Served"))</f>
        <v/>
      </c>
      <c r="I814" s="4" t="str">
        <f aca="false">IF(G814="","",RANK(G814,$G$2:$G$1122,0))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IF(G815="","",G815/SUMIFS($G$2:$G$1122,$F$2:$F$1122,"Served"))</f>
        <v/>
      </c>
      <c r="I815" s="4" t="str">
        <f aca="false">IF(G815="","",RANK(G815,$G$2:$G$1122,0))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IF(G816="","",G816/SUMIFS($G$2:$G$1122,$F$2:$F$1122,"Served"))</f>
        <v/>
      </c>
      <c r="I816" s="4" t="str">
        <f aca="false">IF(G816="","",RANK(G816,$G$2:$G$1122,0))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IF(G817="","",G817/SUMIFS($G$2:$G$1122,$F$2:$F$1122,"Served"))</f>
        <v/>
      </c>
      <c r="I817" s="4" t="str">
        <f aca="false">IF(G817="","",RANK(G817,$G$2:$G$1122,0))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IF(G818="","",G818/SUMIFS($G$2:$G$1122,$F$2:$F$1122,"Served"))</f>
        <v/>
      </c>
      <c r="I818" s="4" t="str">
        <f aca="false">IF(G818="","",RANK(G818,$G$2:$G$1122,0))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IF(G819="","",G819/SUMIFS($G$2:$G$1122,$F$2:$F$1122,"Served"))</f>
        <v/>
      </c>
      <c r="I819" s="4" t="str">
        <f aca="false">IF(G819="","",RANK(G819,$G$2:$G$1122,0))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IF(G820="","",G820/SUMIFS($G$2:$G$1122,$F$2:$F$1122,"Served"))</f>
        <v/>
      </c>
      <c r="I820" s="4" t="str">
        <f aca="false">IF(G820="","",RANK(G820,$G$2:$G$1122,0))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IF(G821="","",G821/SUMIFS($G$2:$G$1122,$F$2:$F$1122,"Served"))</f>
        <v/>
      </c>
      <c r="I821" s="4" t="str">
        <f aca="false">IF(G821="","",RANK(G821,$G$2:$G$1122,0))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IF(G822="","",G822/SUMIFS($G$2:$G$1122,$F$2:$F$1122,"Served"))</f>
        <v/>
      </c>
      <c r="I822" s="4" t="str">
        <f aca="false">IF(G822="","",RANK(G822,$G$2:$G$1122,0))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IF(G823="","",G823/SUMIFS($G$2:$G$1122,$F$2:$F$1122,"Served"))</f>
        <v/>
      </c>
      <c r="I823" s="4" t="str">
        <f aca="false">IF(G823="","",RANK(G823,$G$2:$G$1122,0))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IF(G824="","",G824/SUMIFS($G$2:$G$1122,$F$2:$F$1122,"Served"))</f>
        <v/>
      </c>
      <c r="I824" s="4" t="str">
        <f aca="false">IF(G824="","",RANK(G824,$G$2:$G$1122,0))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IF(G825="","",G825/SUMIFS($G$2:$G$1122,$F$2:$F$1122,"Served"))</f>
        <v/>
      </c>
      <c r="I825" s="4" t="str">
        <f aca="false">IF(G825="","",RANK(G825,$G$2:$G$1122,0))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IF(G826="","",G826/SUMIFS($G$2:$G$1122,$F$2:$F$1122,"Served"))</f>
        <v/>
      </c>
      <c r="I826" s="4" t="str">
        <f aca="false">IF(G826="","",RANK(G826,$G$2:$G$1122,0))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IF(G827="","",G827/SUMIFS($G$2:$G$1122,$F$2:$F$1122,"Served"))</f>
        <v/>
      </c>
      <c r="I827" s="4" t="str">
        <f aca="false">IF(G827="","",RANK(G827,$G$2:$G$1122,0))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IF(G828="","",G828/SUMIFS($G$2:$G$1122,$F$2:$F$1122,"Served"))</f>
        <v/>
      </c>
      <c r="I828" s="4" t="str">
        <f aca="false">IF(G828="","",RANK(G828,$G$2:$G$1122,0))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IF(G829="","",G829/SUMIFS($G$2:$G$1122,$F$2:$F$1122,"Served"))</f>
        <v/>
      </c>
      <c r="I829" s="4" t="str">
        <f aca="false">IF(G829="","",RANK(G829,$G$2:$G$1122,0))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IF(G830="","",G830/SUMIFS($G$2:$G$1122,$F$2:$F$1122,"Served"))</f>
        <v/>
      </c>
      <c r="I830" s="4" t="str">
        <f aca="false">IF(G830="","",RANK(G830,$G$2:$G$1122,0))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IF(G831="","",G831/SUMIFS($G$2:$G$1122,$F$2:$F$1122,"Served"))</f>
        <v/>
      </c>
      <c r="I831" s="4" t="str">
        <f aca="false">IF(G831="","",RANK(G831,$G$2:$G$1122,0))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IF(G832="","",G832/SUMIFS($G$2:$G$1122,$F$2:$F$1122,"Served"))</f>
        <v/>
      </c>
      <c r="I832" s="4" t="str">
        <f aca="false">IF(G832="","",RANK(G832,$G$2:$G$1122,0))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IF(G833="","",G833/SUMIFS($G$2:$G$1122,$F$2:$F$1122,"Served"))</f>
        <v/>
      </c>
      <c r="I833" s="4" t="str">
        <f aca="false">IF(G833="","",RANK(G833,$G$2:$G$1122,0))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IF(G834="","",G834/SUMIFS($G$2:$G$1122,$F$2:$F$1122,"Served"))</f>
        <v/>
      </c>
      <c r="I834" s="4" t="str">
        <f aca="false">IF(G834="","",RANK(G834,$G$2:$G$1122,0))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IF(G835="","",G835/SUMIFS($G$2:$G$1122,$F$2:$F$1122,"Served"))</f>
        <v/>
      </c>
      <c r="I835" s="4" t="str">
        <f aca="false">IF(G835="","",RANK(G835,$G$2:$G$1122,0))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IF(G836="","",G836/SUMIFS($G$2:$G$1122,$F$2:$F$1122,"Served"))</f>
        <v/>
      </c>
      <c r="I836" s="4" t="str">
        <f aca="false">IF(G836="","",RANK(G836,$G$2:$G$1122,0))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IF(G837="","",G837/SUMIFS($G$2:$G$1122,$F$2:$F$1122,"Served"))</f>
        <v/>
      </c>
      <c r="I837" s="4" t="str">
        <f aca="false">IF(G837="","",RANK(G837,$G$2:$G$1122,0))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IF(G838="","",G838/SUMIFS($G$2:$G$1122,$F$2:$F$1122,"Served"))</f>
        <v/>
      </c>
      <c r="I838" s="4" t="str">
        <f aca="false">IF(G838="","",RANK(G838,$G$2:$G$1122,0))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IF(G839="","",G839/SUMIFS($G$2:$G$1122,$F$2:$F$1122,"Served"))</f>
        <v/>
      </c>
      <c r="I839" s="4" t="str">
        <f aca="false">IF(G839="","",RANK(G839,$G$2:$G$1122,0))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IF(G840="","",G840/SUMIFS($G$2:$G$1122,$F$2:$F$1122,"Served"))</f>
        <v/>
      </c>
      <c r="I840" s="4" t="str">
        <f aca="false">IF(G840="","",RANK(G840,$G$2:$G$1122,0))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IF(G841="","",G841/SUMIFS($G$2:$G$1122,$F$2:$F$1122,"Served"))</f>
        <v/>
      </c>
      <c r="I841" s="4" t="str">
        <f aca="false">IF(G841="","",RANK(G841,$G$2:$G$1122,0))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IF(G842="","",G842/SUMIFS($G$2:$G$1122,$F$2:$F$1122,"Served"))</f>
        <v/>
      </c>
      <c r="I842" s="4" t="str">
        <f aca="false">IF(G842="","",RANK(G842,$G$2:$G$1122,0))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IF(G843="","",G843/SUMIFS($G$2:$G$1122,$F$2:$F$1122,"Served"))</f>
        <v/>
      </c>
      <c r="I843" s="4" t="str">
        <f aca="false">IF(G843="","",RANK(G843,$G$2:$G$1122,0))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IF(G844="","",G844/SUMIFS($G$2:$G$1122,$F$2:$F$1122,"Served"))</f>
        <v/>
      </c>
      <c r="I844" s="4" t="str">
        <f aca="false">IF(G844="","",RANK(G844,$G$2:$G$1122,0))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IF(G845="","",G845/SUMIFS($G$2:$G$1122,$F$2:$F$1122,"Served"))</f>
        <v/>
      </c>
      <c r="I845" s="4" t="str">
        <f aca="false">IF(G845="","",RANK(G845,$G$2:$G$1122,0))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IF(G846="","",G846/SUMIFS($G$2:$G$1122,$F$2:$F$1122,"Served"))</f>
        <v/>
      </c>
      <c r="I846" s="4" t="str">
        <f aca="false">IF(G846="","",RANK(G846,$G$2:$G$1122,0))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IF(G847="","",G847/SUMIFS($G$2:$G$1122,$F$2:$F$1122,"Served"))</f>
        <v/>
      </c>
      <c r="I847" s="4" t="str">
        <f aca="false">IF(G847="","",RANK(G847,$G$2:$G$1122,0))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IF(G848="","",G848/SUMIFS($G$2:$G$1122,$F$2:$F$1122,"Served"))</f>
        <v/>
      </c>
      <c r="I848" s="4" t="str">
        <f aca="false">IF(G848="","",RANK(G848,$G$2:$G$1122,0))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IF(G849="","",G849/SUMIFS($G$2:$G$1122,$F$2:$F$1122,"Served"))</f>
        <v/>
      </c>
      <c r="I849" s="4" t="str">
        <f aca="false">IF(G849="","",RANK(G849,$G$2:$G$1122,0))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IF(G850="","",G850/SUMIFS($G$2:$G$1122,$F$2:$F$1122,"Served"))</f>
        <v/>
      </c>
      <c r="I850" s="4" t="str">
        <f aca="false">IF(G850="","",RANK(G850,$G$2:$G$1122,0))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IF(G851="","",G851/SUMIFS($G$2:$G$1122,$F$2:$F$1122,"Served"))</f>
        <v/>
      </c>
      <c r="I851" s="4" t="str">
        <f aca="false">IF(G851="","",RANK(G851,$G$2:$G$1122,0))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IF(G852="","",G852/SUMIFS($G$2:$G$1122,$F$2:$F$1122,"Served"))</f>
        <v/>
      </c>
      <c r="I852" s="4" t="str">
        <f aca="false">IF(G852="","",RANK(G852,$G$2:$G$1122,0))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IF(G853="","",G853/SUMIFS($G$2:$G$1122,$F$2:$F$1122,"Served"))</f>
        <v/>
      </c>
      <c r="I853" s="4" t="str">
        <f aca="false">IF(G853="","",RANK(G853,$G$2:$G$1122,0))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IF(G854="","",G854/SUMIFS($G$2:$G$1122,$F$2:$F$1122,"Served"))</f>
        <v/>
      </c>
      <c r="I854" s="4" t="str">
        <f aca="false">IF(G854="","",RANK(G854,$G$2:$G$1122,0))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IF(G855="","",G855/SUMIFS($G$2:$G$1122,$F$2:$F$1122,"Served"))</f>
        <v/>
      </c>
      <c r="I855" s="4" t="str">
        <f aca="false">IF(G855="","",RANK(G855,$G$2:$G$1122,0))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IF(G856="","",G856/SUMIFS($G$2:$G$1122,$F$2:$F$1122,"Served"))</f>
        <v/>
      </c>
      <c r="I856" s="4" t="str">
        <f aca="false">IF(G856="","",RANK(G856,$G$2:$G$1122,0))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IF(G857="","",G857/SUMIFS($G$2:$G$1122,$F$2:$F$1122,"Served"))</f>
        <v/>
      </c>
      <c r="I857" s="4" t="str">
        <f aca="false">IF(G857="","",RANK(G857,$G$2:$G$1122,0))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IF(G858="","",G858/SUMIFS($G$2:$G$1122,$F$2:$F$1122,"Served"))</f>
        <v/>
      </c>
      <c r="I858" s="4" t="str">
        <f aca="false">IF(G858="","",RANK(G858,$G$2:$G$1122,0))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IF(G859="","",G859/SUMIFS($G$2:$G$1122,$F$2:$F$1122,"Served"))</f>
        <v/>
      </c>
      <c r="I859" s="4" t="str">
        <f aca="false">IF(G859="","",RANK(G859,$G$2:$G$1122,0))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IF(G860="","",G860/SUMIFS($G$2:$G$1122,$F$2:$F$1122,"Served"))</f>
        <v/>
      </c>
      <c r="I860" s="4" t="str">
        <f aca="false">IF(G860="","",RANK(G860,$G$2:$G$1122,0))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IF(G861="","",G861/SUMIFS($G$2:$G$1122,$F$2:$F$1122,"Served"))</f>
        <v/>
      </c>
      <c r="I861" s="4" t="str">
        <f aca="false">IF(G861="","",RANK(G861,$G$2:$G$1122,0))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IF(G862="","",G862/SUMIFS($G$2:$G$1122,$F$2:$F$1122,"Served"))</f>
        <v/>
      </c>
      <c r="I862" s="4" t="str">
        <f aca="false">IF(G862="","",RANK(G862,$G$2:$G$1122,0))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IF(G863="","",G863/SUMIFS($G$2:$G$1122,$F$2:$F$1122,"Served"))</f>
        <v/>
      </c>
      <c r="I863" s="4" t="str">
        <f aca="false">IF(G863="","",RANK(G863,$G$2:$G$1122,0))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IF(G864="","",G864/SUMIFS($G$2:$G$1122,$F$2:$F$1122,"Served"))</f>
        <v/>
      </c>
      <c r="I864" s="4" t="str">
        <f aca="false">IF(G864="","",RANK(G864,$G$2:$G$1122,0))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IF(G865="","",G865/SUMIFS($G$2:$G$1122,$F$2:$F$1122,"Served"))</f>
        <v/>
      </c>
      <c r="I865" s="4" t="str">
        <f aca="false">IF(G865="","",RANK(G865,$G$2:$G$1122,0))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IF(G866="","",G866/SUMIFS($G$2:$G$1122,$F$2:$F$1122,"Served"))</f>
        <v/>
      </c>
      <c r="I866" s="4" t="str">
        <f aca="false">IF(G866="","",RANK(G866,$G$2:$G$1122,0))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IF(G867="","",G867/SUMIFS($G$2:$G$1122,$F$2:$F$1122,"Served"))</f>
        <v/>
      </c>
      <c r="I867" s="4" t="str">
        <f aca="false">IF(G867="","",RANK(G867,$G$2:$G$1122,0))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IF(G868="","",G868/SUMIFS($G$2:$G$1122,$F$2:$F$1122,"Served"))</f>
        <v/>
      </c>
      <c r="I868" s="4" t="str">
        <f aca="false">IF(G868="","",RANK(G868,$G$2:$G$1122,0))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IF(G869="","",G869/SUMIFS($G$2:$G$1122,$F$2:$F$1122,"Served"))</f>
        <v/>
      </c>
      <c r="I869" s="4" t="str">
        <f aca="false">IF(G869="","",RANK(G869,$G$2:$G$1122,0))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IF(G870="","",G870/SUMIFS($G$2:$G$1122,$F$2:$F$1122,"Served"))</f>
        <v/>
      </c>
      <c r="I870" s="4" t="str">
        <f aca="false">IF(G870="","",RANK(G870,$G$2:$G$1122,0))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IF(G871="","",G871/SUMIFS($G$2:$G$1122,$F$2:$F$1122,"Served"))</f>
        <v/>
      </c>
      <c r="I871" s="4" t="str">
        <f aca="false">IF(G871="","",RANK(G871,$G$2:$G$1122,0))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IF(G872="","",G872/SUMIFS($G$2:$G$1122,$F$2:$F$1122,"Served"))</f>
        <v/>
      </c>
      <c r="I872" s="4" t="str">
        <f aca="false">IF(G872="","",RANK(G872,$G$2:$G$1122,0))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IF(G873="","",G873/SUMIFS($G$2:$G$1122,$F$2:$F$1122,"Served"))</f>
        <v/>
      </c>
      <c r="I873" s="4" t="str">
        <f aca="false">IF(G873="","",RANK(G873,$G$2:$G$1122,0))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IF(G874="","",G874/SUMIFS($G$2:$G$1122,$F$2:$F$1122,"Served"))</f>
        <v/>
      </c>
      <c r="I874" s="4" t="str">
        <f aca="false">IF(G874="","",RANK(G874,$G$2:$G$1122,0))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IF(G875="","",G875/SUMIFS($G$2:$G$1122,$F$2:$F$1122,"Served"))</f>
        <v/>
      </c>
      <c r="I875" s="4" t="str">
        <f aca="false">IF(G875="","",RANK(G875,$G$2:$G$1122,0))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IF(G876="","",G876/SUMIFS($G$2:$G$1122,$F$2:$F$1122,"Served"))</f>
        <v/>
      </c>
      <c r="I876" s="4" t="str">
        <f aca="false">IF(G876="","",RANK(G876,$G$2:$G$1122,0))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IF(G877="","",G877/SUMIFS($G$2:$G$1122,$F$2:$F$1122,"Served"))</f>
        <v/>
      </c>
      <c r="I877" s="4" t="str">
        <f aca="false">IF(G877="","",RANK(G877,$G$2:$G$1122,0))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IF(G878="","",G878/SUMIFS($G$2:$G$1122,$F$2:$F$1122,"Served"))</f>
        <v/>
      </c>
      <c r="I878" s="4" t="str">
        <f aca="false">IF(G878="","",RANK(G878,$G$2:$G$1122,0))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IF(G879="","",G879/SUMIFS($G$2:$G$1122,$F$2:$F$1122,"Served"))</f>
        <v/>
      </c>
      <c r="I879" s="4" t="str">
        <f aca="false">IF(G879="","",RANK(G879,$G$2:$G$1122,0))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IF(G880="","",G880/SUMIFS($G$2:$G$1122,$F$2:$F$1122,"Served"))</f>
        <v/>
      </c>
      <c r="I880" s="4" t="str">
        <f aca="false">IF(G880="","",RANK(G880,$G$2:$G$1122,0))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IF(G881="","",G881/SUMIFS($G$2:$G$1122,$F$2:$F$1122,"Served"))</f>
        <v/>
      </c>
      <c r="I881" s="4" t="str">
        <f aca="false">IF(G881="","",RANK(G881,$G$2:$G$1122,0))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IF(G882="","",G882/SUMIFS($G$2:$G$1122,$F$2:$F$1122,"Served"))</f>
        <v/>
      </c>
      <c r="I882" s="4" t="str">
        <f aca="false">IF(G882="","",RANK(G882,$G$2:$G$1122,0))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IF(G883="","",G883/SUMIFS($G$2:$G$1122,$F$2:$F$1122,"Served"))</f>
        <v/>
      </c>
      <c r="I883" s="4" t="str">
        <f aca="false">IF(G883="","",RANK(G883,$G$2:$G$1122,0))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IF(G884="","",G884/SUMIFS($G$2:$G$1122,$F$2:$F$1122,"Served"))</f>
        <v/>
      </c>
      <c r="I884" s="4" t="str">
        <f aca="false">IF(G884="","",RANK(G884,$G$2:$G$1122,0))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IF(G885="","",G885/SUMIFS($G$2:$G$1122,$F$2:$F$1122,"Served"))</f>
        <v/>
      </c>
      <c r="I885" s="4" t="str">
        <f aca="false">IF(G885="","",RANK(G885,$G$2:$G$1122,0))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IF(G886="","",G886/SUMIFS($G$2:$G$1122,$F$2:$F$1122,"Served"))</f>
        <v/>
      </c>
      <c r="I886" s="4" t="str">
        <f aca="false">IF(G886="","",RANK(G886,$G$2:$G$1122,0))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IF(G887="","",G887/SUMIFS($G$2:$G$1122,$F$2:$F$1122,"Served"))</f>
        <v/>
      </c>
      <c r="I887" s="4" t="str">
        <f aca="false">IF(G887="","",RANK(G887,$G$2:$G$1122,0))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IF(G888="","",G888/SUMIFS($G$2:$G$1122,$F$2:$F$1122,"Served"))</f>
        <v/>
      </c>
      <c r="I888" s="4" t="str">
        <f aca="false">IF(G888="","",RANK(G888,$G$2:$G$1122,0))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IF(G889="","",G889/SUMIFS($G$2:$G$1122,$F$2:$F$1122,"Served"))</f>
        <v/>
      </c>
      <c r="I889" s="4" t="str">
        <f aca="false">IF(G889="","",RANK(G889,$G$2:$G$1122,0))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IF(G890="","",G890/SUMIFS($G$2:$G$1122,$F$2:$F$1122,"Served"))</f>
        <v/>
      </c>
      <c r="I890" s="4" t="str">
        <f aca="false">IF(G890="","",RANK(G890,$G$2:$G$1122,0))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IF(G891="","",G891/SUMIFS($G$2:$G$1122,$F$2:$F$1122,"Served"))</f>
        <v/>
      </c>
      <c r="I891" s="4" t="str">
        <f aca="false">IF(G891="","",RANK(G891,$G$2:$G$1122,0))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IF(G892="","",G892/SUMIFS($G$2:$G$1122,$F$2:$F$1122,"Served"))</f>
        <v/>
      </c>
      <c r="I892" s="4" t="str">
        <f aca="false">IF(G892="","",RANK(G892,$G$2:$G$1122,0))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IF(G893="","",G893/SUMIFS($G$2:$G$1122,$F$2:$F$1122,"Served"))</f>
        <v/>
      </c>
      <c r="I893" s="4" t="str">
        <f aca="false">IF(G893="","",RANK(G893,$G$2:$G$1122,0))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IF(G894="","",G894/SUMIFS($G$2:$G$1122,$F$2:$F$1122,"Served"))</f>
        <v/>
      </c>
      <c r="I894" s="4" t="str">
        <f aca="false">IF(G894="","",RANK(G894,$G$2:$G$1122,0))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IF(G895="","",G895/SUMIFS($G$2:$G$1122,$F$2:$F$1122,"Served"))</f>
        <v/>
      </c>
      <c r="I895" s="4" t="str">
        <f aca="false">IF(G895="","",RANK(G895,$G$2:$G$1122,0))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IF(G896="","",G896/SUMIFS($G$2:$G$1122,$F$2:$F$1122,"Served"))</f>
        <v/>
      </c>
      <c r="I896" s="4" t="str">
        <f aca="false">IF(G896="","",RANK(G896,$G$2:$G$1122,0))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IF(G897="","",G897/SUMIFS($G$2:$G$1122,$F$2:$F$1122,"Served"))</f>
        <v/>
      </c>
      <c r="I897" s="4" t="str">
        <f aca="false">IF(G897="","",RANK(G897,$G$2:$G$1122,0))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IF(G898="","",G898/SUMIFS($G$2:$G$1122,$F$2:$F$1122,"Served"))</f>
        <v/>
      </c>
      <c r="I898" s="4" t="str">
        <f aca="false">IF(G898="","",RANK(G898,$G$2:$G$1122,0))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IF(G899="","",G899/SUMIFS($G$2:$G$1122,$F$2:$F$1122,"Served"))</f>
        <v/>
      </c>
      <c r="I899" s="4" t="str">
        <f aca="false">IF(G899="","",RANK(G899,$G$2:$G$1122,0))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IF(G900="","",G900/SUMIFS($G$2:$G$1122,$F$2:$F$1122,"Served"))</f>
        <v/>
      </c>
      <c r="I900" s="4" t="str">
        <f aca="false">IF(G900="","",RANK(G900,$G$2:$G$1122,0))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IF(G901="","",G901/SUMIFS($G$2:$G$1122,$F$2:$F$1122,"Served"))</f>
        <v/>
      </c>
      <c r="I901" s="4" t="str">
        <f aca="false">IF(G901="","",RANK(G901,$G$2:$G$1122,0))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IF(G902="","",G902/SUMIFS($G$2:$G$1122,$F$2:$F$1122,"Served"))</f>
        <v/>
      </c>
      <c r="I902" s="4" t="str">
        <f aca="false">IF(G902="","",RANK(G902,$G$2:$G$1122,0))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IF(G903="","",G903/SUMIFS($G$2:$G$1122,$F$2:$F$1122,"Served"))</f>
        <v/>
      </c>
      <c r="I903" s="4" t="str">
        <f aca="false">IF(G903="","",RANK(G903,$G$2:$G$1122,0))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IF(G904="","",G904/SUMIFS($G$2:$G$1122,$F$2:$F$1122,"Served"))</f>
        <v/>
      </c>
      <c r="I904" s="4" t="str">
        <f aca="false">IF(G904="","",RANK(G904,$G$2:$G$1122,0))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IF(G905="","",G905/SUMIFS($G$2:$G$1122,$F$2:$F$1122,"Served"))</f>
        <v/>
      </c>
      <c r="I905" s="4" t="str">
        <f aca="false">IF(G905="","",RANK(G905,$G$2:$G$1122,0))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IF(G906="","",G906/SUMIFS($G$2:$G$1122,$F$2:$F$1122,"Served"))</f>
        <v/>
      </c>
      <c r="I906" s="4" t="str">
        <f aca="false">IF(G906="","",RANK(G906,$G$2:$G$1122,0))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IF(G907="","",G907/SUMIFS($G$2:$G$1122,$F$2:$F$1122,"Served"))</f>
        <v/>
      </c>
      <c r="I907" s="4" t="str">
        <f aca="false">IF(G907="","",RANK(G907,$G$2:$G$1122,0))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IF(G908="","",G908/SUMIFS($G$2:$G$1122,$F$2:$F$1122,"Served"))</f>
        <v/>
      </c>
      <c r="I908" s="4" t="str">
        <f aca="false">IF(G908="","",RANK(G908,$G$2:$G$1122,0))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IF(G909="","",G909/SUMIFS($G$2:$G$1122,$F$2:$F$1122,"Served"))</f>
        <v/>
      </c>
      <c r="I909" s="4" t="str">
        <f aca="false">IF(G909="","",RANK(G909,$G$2:$G$1122,0))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IF(G910="","",G910/SUMIFS($G$2:$G$1122,$F$2:$F$1122,"Served"))</f>
        <v/>
      </c>
      <c r="I910" s="4" t="str">
        <f aca="false">IF(G910="","",RANK(G910,$G$2:$G$1122,0))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IF(G911="","",G911/SUMIFS($G$2:$G$1122,$F$2:$F$1122,"Served"))</f>
        <v/>
      </c>
      <c r="I911" s="4" t="str">
        <f aca="false">IF(G911="","",RANK(G911,$G$2:$G$1122,0))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IF(G912="","",G912/SUMIFS($G$2:$G$1122,$F$2:$F$1122,"Served"))</f>
        <v/>
      </c>
      <c r="I912" s="4" t="str">
        <f aca="false">IF(G912="","",RANK(G912,$G$2:$G$1122,0))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IF(G913="","",G913/SUMIFS($G$2:$G$1122,$F$2:$F$1122,"Served"))</f>
        <v/>
      </c>
      <c r="I913" s="4" t="str">
        <f aca="false">IF(G913="","",RANK(G913,$G$2:$G$1122,0))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IF(G914="","",G914/SUMIFS($G$2:$G$1122,$F$2:$F$1122,"Served"))</f>
        <v/>
      </c>
      <c r="I914" s="4" t="str">
        <f aca="false">IF(G914="","",RANK(G914,$G$2:$G$1122,0))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IF(G915="","",G915/SUMIFS($G$2:$G$1122,$F$2:$F$1122,"Served"))</f>
        <v/>
      </c>
      <c r="I915" s="4" t="str">
        <f aca="false">IF(G915="","",RANK(G915,$G$2:$G$1122,0))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IF(G916="","",G916/SUMIFS($G$2:$G$1122,$F$2:$F$1122,"Served"))</f>
        <v/>
      </c>
      <c r="I916" s="4" t="str">
        <f aca="false">IF(G916="","",RANK(G916,$G$2:$G$1122,0))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IF(G917="","",G917/SUMIFS($G$2:$G$1122,$F$2:$F$1122,"Served"))</f>
        <v/>
      </c>
      <c r="I917" s="4" t="str">
        <f aca="false">IF(G917="","",RANK(G917,$G$2:$G$1122,0))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IF(G918="","",G918/SUMIFS($G$2:$G$1122,$F$2:$F$1122,"Served"))</f>
        <v/>
      </c>
      <c r="I918" s="4" t="str">
        <f aca="false">IF(G918="","",RANK(G918,$G$2:$G$1122,0))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IF(G919="","",G919/SUMIFS($G$2:$G$1122,$F$2:$F$1122,"Served"))</f>
        <v/>
      </c>
      <c r="I919" s="4" t="str">
        <f aca="false">IF(G919="","",RANK(G919,$G$2:$G$1122,0))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IF(G920="","",G920/SUMIFS($G$2:$G$1122,$F$2:$F$1122,"Served"))</f>
        <v/>
      </c>
      <c r="I920" s="4" t="str">
        <f aca="false">IF(G920="","",RANK(G920,$G$2:$G$1122,0))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IF(G921="","",G921/SUMIFS($G$2:$G$1122,$F$2:$F$1122,"Served"))</f>
        <v/>
      </c>
      <c r="I921" s="4" t="str">
        <f aca="false">IF(G921="","",RANK(G921,$G$2:$G$1122,0))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IF(G922="","",G922/SUMIFS($G$2:$G$1122,$F$2:$F$1122,"Served"))</f>
        <v/>
      </c>
      <c r="I922" s="4" t="str">
        <f aca="false">IF(G922="","",RANK(G922,$G$2:$G$1122,0))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IF(G923="","",G923/SUMIFS($G$2:$G$1122,$F$2:$F$1122,"Served"))</f>
        <v/>
      </c>
      <c r="I923" s="4" t="str">
        <f aca="false">IF(G923="","",RANK(G923,$G$2:$G$1122,0))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IF(G924="","",G924/SUMIFS($G$2:$G$1122,$F$2:$F$1122,"Served"))</f>
        <v/>
      </c>
      <c r="I924" s="4" t="str">
        <f aca="false">IF(G924="","",RANK(G924,$G$2:$G$1122,0))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IF(G925="","",G925/SUMIFS($G$2:$G$1122,$F$2:$F$1122,"Served"))</f>
        <v/>
      </c>
      <c r="I925" s="4" t="str">
        <f aca="false">IF(G925="","",RANK(G925,$G$2:$G$1122,0))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IF(G926="","",G926/SUMIFS($G$2:$G$1122,$F$2:$F$1122,"Served"))</f>
        <v/>
      </c>
      <c r="I926" s="4" t="str">
        <f aca="false">IF(G926="","",RANK(G926,$G$2:$G$1122,0))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IF(G927="","",G927/SUMIFS($G$2:$G$1122,$F$2:$F$1122,"Served"))</f>
        <v/>
      </c>
      <c r="I927" s="4" t="str">
        <f aca="false">IF(G927="","",RANK(G927,$G$2:$G$1122,0))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IF(G928="","",G928/SUMIFS($G$2:$G$1122,$F$2:$F$1122,"Served"))</f>
        <v/>
      </c>
      <c r="I928" s="4" t="str">
        <f aca="false">IF(G928="","",RANK(G928,$G$2:$G$1122,0))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IF(G929="","",G929/SUMIFS($G$2:$G$1122,$F$2:$F$1122,"Served"))</f>
        <v/>
      </c>
      <c r="I929" s="4" t="str">
        <f aca="false">IF(G929="","",RANK(G929,$G$2:$G$1122,0))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IF(G930="","",G930/SUMIFS($G$2:$G$1122,$F$2:$F$1122,"Served"))</f>
        <v/>
      </c>
      <c r="I930" s="4" t="str">
        <f aca="false">IF(G930="","",RANK(G930,$G$2:$G$1122,0))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IF(G931="","",G931/SUMIFS($G$2:$G$1122,$F$2:$F$1122,"Served"))</f>
        <v/>
      </c>
      <c r="I931" s="4" t="str">
        <f aca="false">IF(G931="","",RANK(G931,$G$2:$G$1122,0))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IF(G932="","",G932/SUMIFS($G$2:$G$1122,$F$2:$F$1122,"Served"))</f>
        <v/>
      </c>
      <c r="I932" s="4" t="str">
        <f aca="false">IF(G932="","",RANK(G932,$G$2:$G$1122,0))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IF(G933="","",G933/SUMIFS($G$2:$G$1122,$F$2:$F$1122,"Served"))</f>
        <v/>
      </c>
      <c r="I933" s="4" t="str">
        <f aca="false">IF(G933="","",RANK(G933,$G$2:$G$1122,0))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IF(G934="","",G934/SUMIFS($G$2:$G$1122,$F$2:$F$1122,"Served"))</f>
        <v/>
      </c>
      <c r="I934" s="4" t="str">
        <f aca="false">IF(G934="","",RANK(G934,$G$2:$G$1122,0))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IF(G935="","",G935/SUMIFS($G$2:$G$1122,$F$2:$F$1122,"Served"))</f>
        <v/>
      </c>
      <c r="I935" s="4" t="str">
        <f aca="false">IF(G935="","",RANK(G935,$G$2:$G$1122,0))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IF(G936="","",G936/SUMIFS($G$2:$G$1122,$F$2:$F$1122,"Served"))</f>
        <v/>
      </c>
      <c r="I936" s="4" t="str">
        <f aca="false">IF(G936="","",RANK(G936,$G$2:$G$1122,0))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IF(G937="","",G937/SUMIFS($G$2:$G$1122,$F$2:$F$1122,"Served"))</f>
        <v/>
      </c>
      <c r="I937" s="4" t="str">
        <f aca="false">IF(G937="","",RANK(G937,$G$2:$G$1122,0))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IF(G938="","",G938/SUMIFS($G$2:$G$1122,$F$2:$F$1122,"Served"))</f>
        <v/>
      </c>
      <c r="I938" s="4" t="str">
        <f aca="false">IF(G938="","",RANK(G938,$G$2:$G$1122,0))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IF(G939="","",G939/SUMIFS($G$2:$G$1122,$F$2:$F$1122,"Served"))</f>
        <v/>
      </c>
      <c r="I939" s="4" t="str">
        <f aca="false">IF(G939="","",RANK(G939,$G$2:$G$1122,0))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IF(G940="","",G940/SUMIFS($G$2:$G$1122,$F$2:$F$1122,"Served"))</f>
        <v/>
      </c>
      <c r="I940" s="4" t="str">
        <f aca="false">IF(G940="","",RANK(G940,$G$2:$G$1122,0))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IF(G941="","",G941/SUMIFS($G$2:$G$1122,$F$2:$F$1122,"Served"))</f>
        <v/>
      </c>
      <c r="I941" s="4" t="str">
        <f aca="false">IF(G941="","",RANK(G941,$G$2:$G$1122,0))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IF(G942="","",G942/SUMIFS($G$2:$G$1122,$F$2:$F$1122,"Served"))</f>
        <v/>
      </c>
      <c r="I942" s="4" t="str">
        <f aca="false">IF(G942="","",RANK(G942,$G$2:$G$1122,0))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IF(G943="","",G943/SUMIFS($G$2:$G$1122,$F$2:$F$1122,"Served"))</f>
        <v/>
      </c>
      <c r="I943" s="4" t="str">
        <f aca="false">IF(G943="","",RANK(G943,$G$2:$G$1122,0))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IF(G944="","",G944/SUMIFS($G$2:$G$1122,$F$2:$F$1122,"Served"))</f>
        <v/>
      </c>
      <c r="I944" s="4" t="str">
        <f aca="false">IF(G944="","",RANK(G944,$G$2:$G$1122,0))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IF(G945="","",G945/SUMIFS($G$2:$G$1122,$F$2:$F$1122,"Served"))</f>
        <v/>
      </c>
      <c r="I945" s="4" t="str">
        <f aca="false">IF(G945="","",RANK(G945,$G$2:$G$1122,0))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IF(G946="","",G946/SUMIFS($G$2:$G$1122,$F$2:$F$1122,"Served"))</f>
        <v/>
      </c>
      <c r="I946" s="4" t="str">
        <f aca="false">IF(G946="","",RANK(G946,$G$2:$G$1122,0))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IF(G947="","",G947/SUMIFS($G$2:$G$1122,$F$2:$F$1122,"Served"))</f>
        <v/>
      </c>
      <c r="I947" s="4" t="str">
        <f aca="false">IF(G947="","",RANK(G947,$G$2:$G$1122,0))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IF(G948="","",G948/SUMIFS($G$2:$G$1122,$F$2:$F$1122,"Served"))</f>
        <v/>
      </c>
      <c r="I948" s="4" t="str">
        <f aca="false">IF(G948="","",RANK(G948,$G$2:$G$1122,0))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IF(G949="","",G949/SUMIFS($G$2:$G$1122,$F$2:$F$1122,"Served"))</f>
        <v/>
      </c>
      <c r="I949" s="4" t="str">
        <f aca="false">IF(G949="","",RANK(G949,$G$2:$G$1122,0))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6</v>
      </c>
      <c r="G950" s="8"/>
      <c r="H950" s="6" t="str">
        <f aca="false">IF(G950="","",G950/SUMIFS($G$2:$G$1122,$F$2:$F$1122,"Served"))</f>
        <v/>
      </c>
      <c r="I950" s="4" t="str">
        <f aca="false">IF(G950="","",RANK(G950,$G$2:$G$1122,0))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6</v>
      </c>
      <c r="G951" s="8"/>
      <c r="H951" s="6" t="str">
        <f aca="false">IF(G951="","",G951/SUMIFS($G$2:$G$1122,$F$2:$F$1122,"Served"))</f>
        <v/>
      </c>
      <c r="I951" s="4" t="str">
        <f aca="false">IF(G951="","",RANK(G951,$G$2:$G$1122,0))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6</v>
      </c>
      <c r="G952" s="8"/>
      <c r="H952" s="6" t="str">
        <f aca="false">IF(G952="","",G952/SUMIFS($G$2:$G$1122,$F$2:$F$1122,"Served"))</f>
        <v/>
      </c>
      <c r="I952" s="4" t="str">
        <f aca="false">IF(G952="","",RANK(G952,$G$2:$G$1122,0))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6</v>
      </c>
      <c r="G953" s="8"/>
      <c r="H953" s="6" t="str">
        <f aca="false">IF(G953="","",G953/SUMIFS($G$2:$G$1122,$F$2:$F$1122,"Served"))</f>
        <v/>
      </c>
      <c r="I953" s="4" t="str">
        <f aca="false">IF(G953="","",RANK(G953,$G$2:$G$1122,0))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6</v>
      </c>
      <c r="G954" s="8"/>
      <c r="H954" s="6" t="str">
        <f aca="false">IF(G954="","",G954/SUMIFS($G$2:$G$1122,$F$2:$F$1122,"Served"))</f>
        <v/>
      </c>
      <c r="I954" s="4" t="str">
        <f aca="false">IF(G954="","",RANK(G954,$G$2:$G$1122,0))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6</v>
      </c>
      <c r="G955" s="8"/>
      <c r="H955" s="6" t="str">
        <f aca="false">IF(G955="","",G955/SUMIFS($G$2:$G$1122,$F$2:$F$1122,"Served"))</f>
        <v/>
      </c>
      <c r="I955" s="4" t="str">
        <f aca="false">IF(G955="","",RANK(G955,$G$2:$G$1122,0))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IF(G956="","",G956/SUMIFS($G$2:$G$1122,$F$2:$F$1122,"Served"))</f>
        <v/>
      </c>
      <c r="I956" s="4" t="str">
        <f aca="false">IF(G956="","",RANK(G956,$G$2:$G$1122,0))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IF(G957="","",G957/SUMIFS($G$2:$G$1122,$F$2:$F$1122,"Served"))</f>
        <v/>
      </c>
      <c r="I957" s="4" t="str">
        <f aca="false">IF(G957="","",RANK(G957,$G$2:$G$1122,0))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IF(G958="","",G958/SUMIFS($G$2:$G$1122,$F$2:$F$1122,"Served"))</f>
        <v/>
      </c>
      <c r="I958" s="4" t="str">
        <f aca="false">IF(G958="","",RANK(G958,$G$2:$G$1122,0))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IF(G959="","",G959/SUMIFS($G$2:$G$1122,$F$2:$F$1122,"Served"))</f>
        <v/>
      </c>
      <c r="I959" s="4" t="str">
        <f aca="false">IF(G959="","",RANK(G959,$G$2:$G$1122,0))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IF(G960="","",G960/SUMIFS($G$2:$G$1122,$F$2:$F$1122,"Served"))</f>
        <v/>
      </c>
      <c r="I960" s="4" t="str">
        <f aca="false">IF(G960="","",RANK(G960,$G$2:$G$1122,0))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IF(G961="","",G961/SUMIFS($G$2:$G$1122,$F$2:$F$1122,"Served"))</f>
        <v/>
      </c>
      <c r="I961" s="4" t="str">
        <f aca="false">IF(G961="","",RANK(G961,$G$2:$G$1122,0))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IF(G962="","",G962/SUMIFS($G$2:$G$1122,$F$2:$F$1122,"Served"))</f>
        <v/>
      </c>
      <c r="I962" s="4" t="str">
        <f aca="false">IF(G962="","",RANK(G962,$G$2:$G$1122,0))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IF(G963="","",G963/SUMIFS($G$2:$G$1122,$F$2:$F$1122,"Served"))</f>
        <v/>
      </c>
      <c r="I963" s="4" t="str">
        <f aca="false">IF(G963="","",RANK(G963,$G$2:$G$1122,0))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IF(G964="","",G964/SUMIFS($G$2:$G$1122,$F$2:$F$1122,"Served"))</f>
        <v/>
      </c>
      <c r="I964" s="4" t="str">
        <f aca="false">IF(G964="","",RANK(G964,$G$2:$G$1122,0))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IF(G965="","",G965/SUMIFS($G$2:$G$1122,$F$2:$F$1122,"Served"))</f>
        <v/>
      </c>
      <c r="I965" s="4" t="str">
        <f aca="false">IF(G965="","",RANK(G965,$G$2:$G$1122,0))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IF(G966="","",G966/SUMIFS($G$2:$G$1122,$F$2:$F$1122,"Served"))</f>
        <v/>
      </c>
      <c r="I966" s="4" t="str">
        <f aca="false">IF(G966="","",RANK(G966,$G$2:$G$1122,0))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IF(G967="","",G967/SUMIFS($G$2:$G$1122,$F$2:$F$1122,"Served"))</f>
        <v/>
      </c>
      <c r="I967" s="4" t="str">
        <f aca="false">IF(G967="","",RANK(G967,$G$2:$G$1122,0))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IF(G968="","",G968/SUMIFS($G$2:$G$1122,$F$2:$F$1122,"Served"))</f>
        <v/>
      </c>
      <c r="I968" s="4" t="str">
        <f aca="false">IF(G968="","",RANK(G968,$G$2:$G$1122,0))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IF(G969="","",G969/SUMIFS($G$2:$G$1122,$F$2:$F$1122,"Served"))</f>
        <v/>
      </c>
      <c r="I969" s="4" t="str">
        <f aca="false">IF(G969="","",RANK(G969,$G$2:$G$1122,0))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IF(G970="","",G970/SUMIFS($G$2:$G$1122,$F$2:$F$1122,"Served"))</f>
        <v/>
      </c>
      <c r="I970" s="4" t="str">
        <f aca="false">IF(G970="","",RANK(G970,$G$2:$G$1122,0))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IF(G971="","",G971/SUMIFS($G$2:$G$1122,$F$2:$F$1122,"Served"))</f>
        <v/>
      </c>
      <c r="I971" s="4" t="str">
        <f aca="false">IF(G971="","",RANK(G971,$G$2:$G$1122,0))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IF(G972="","",G972/SUMIFS($G$2:$G$1122,$F$2:$F$1122,"Served"))</f>
        <v/>
      </c>
      <c r="I972" s="4" t="str">
        <f aca="false">IF(G972="","",RANK(G972,$G$2:$G$1122,0))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IF(G973="","",G973/SUMIFS($G$2:$G$1122,$F$2:$F$1122,"Served"))</f>
        <v/>
      </c>
      <c r="I973" s="4" t="str">
        <f aca="false">IF(G973="","",RANK(G973,$G$2:$G$1122,0))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IF(G974="","",G974/SUMIFS($G$2:$G$1122,$F$2:$F$1122,"Served"))</f>
        <v/>
      </c>
      <c r="I974" s="4" t="str">
        <f aca="false">IF(G974="","",RANK(G974,$G$2:$G$1122,0))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IF(G975="","",G975/SUMIFS($G$2:$G$1122,$F$2:$F$1122,"Served"))</f>
        <v/>
      </c>
      <c r="I975" s="4" t="str">
        <f aca="false">IF(G975="","",RANK(G975,$G$2:$G$1122,0))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IF(G976="","",G976/SUMIFS($G$2:$G$1122,$F$2:$F$1122,"Served"))</f>
        <v/>
      </c>
      <c r="I976" s="4" t="str">
        <f aca="false">IF(G976="","",RANK(G976,$G$2:$G$1122,0))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IF(G977="","",G977/SUMIFS($G$2:$G$1122,$F$2:$F$1122,"Served"))</f>
        <v/>
      </c>
      <c r="I977" s="4" t="str">
        <f aca="false">IF(G977="","",RANK(G977,$G$2:$G$1122,0))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IF(G978="","",G978/SUMIFS($G$2:$G$1122,$F$2:$F$1122,"Served"))</f>
        <v/>
      </c>
      <c r="I978" s="4" t="str">
        <f aca="false">IF(G978="","",RANK(G978,$G$2:$G$1122,0))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IF(G979="","",G979/SUMIFS($G$2:$G$1122,$F$2:$F$1122,"Served"))</f>
        <v/>
      </c>
      <c r="I979" s="4" t="str">
        <f aca="false">IF(G979="","",RANK(G979,$G$2:$G$1122,0))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IF(G980="","",G980/SUMIFS($G$2:$G$1122,$F$2:$F$1122,"Served"))</f>
        <v/>
      </c>
      <c r="I980" s="4" t="str">
        <f aca="false">IF(G980="","",RANK(G980,$G$2:$G$1122,0))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IF(G981="","",G981/SUMIFS($G$2:$G$1122,$F$2:$F$1122,"Served"))</f>
        <v/>
      </c>
      <c r="I981" s="4" t="str">
        <f aca="false">IF(G981="","",RANK(G981,$G$2:$G$1122,0))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IF(G982="","",G982/SUMIFS($G$2:$G$1122,$F$2:$F$1122,"Served"))</f>
        <v/>
      </c>
      <c r="I982" s="4" t="str">
        <f aca="false">IF(G982="","",RANK(G982,$G$2:$G$1122,0))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IF(G983="","",G983/SUMIFS($G$2:$G$1122,$F$2:$F$1122,"Served"))</f>
        <v/>
      </c>
      <c r="I983" s="4" t="str">
        <f aca="false">IF(G983="","",RANK(G983,$G$2:$G$1122,0))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IF(G984="","",G984/SUMIFS($G$2:$G$1122,$F$2:$F$1122,"Served"))</f>
        <v/>
      </c>
      <c r="I984" s="4" t="str">
        <f aca="false">IF(G984="","",RANK(G984,$G$2:$G$1122,0))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IF(G985="","",G985/SUMIFS($G$2:$G$1122,$F$2:$F$1122,"Served"))</f>
        <v/>
      </c>
      <c r="I985" s="4" t="str">
        <f aca="false">IF(G985="","",RANK(G985,$G$2:$G$1122,0))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IF(G986="","",G986/SUMIFS($G$2:$G$1122,$F$2:$F$1122,"Served"))</f>
        <v/>
      </c>
      <c r="I986" s="4" t="str">
        <f aca="false">IF(G986="","",RANK(G986,$G$2:$G$1122,0))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IF(G987="","",G987/SUMIFS($G$2:$G$1122,$F$2:$F$1122,"Served"))</f>
        <v/>
      </c>
      <c r="I987" s="4" t="str">
        <f aca="false">IF(G987="","",RANK(G987,$G$2:$G$1122,0))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IF(G988="","",G988/SUMIFS($G$2:$G$1122,$F$2:$F$1122,"Served"))</f>
        <v/>
      </c>
      <c r="I988" s="4" t="str">
        <f aca="false">IF(G988="","",RANK(G988,$G$2:$G$1122,0))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IF(G989="","",G989/SUMIFS($G$2:$G$1122,$F$2:$F$1122,"Served"))</f>
        <v/>
      </c>
      <c r="I989" s="4" t="str">
        <f aca="false">IF(G989="","",RANK(G989,$G$2:$G$1122,0))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IF(G990="","",G990/SUMIFS($G$2:$G$1122,$F$2:$F$1122,"Served"))</f>
        <v/>
      </c>
      <c r="I990" s="4" t="str">
        <f aca="false">IF(G990="","",RANK(G990,$G$2:$G$1122,0))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IF(G991="","",G991/SUMIFS($G$2:$G$1122,$F$2:$F$1122,"Served"))</f>
        <v/>
      </c>
      <c r="I991" s="4" t="str">
        <f aca="false">IF(G991="","",RANK(G991,$G$2:$G$1122,0))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IF(G992="","",G992/SUMIFS($G$2:$G$1122,$F$2:$F$1122,"Served"))</f>
        <v/>
      </c>
      <c r="I992" s="4" t="str">
        <f aca="false">IF(G992="","",RANK(G992,$G$2:$G$1122,0))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IF(G993="","",G993/SUMIFS($G$2:$G$1122,$F$2:$F$1122,"Served"))</f>
        <v/>
      </c>
      <c r="I993" s="4" t="str">
        <f aca="false">IF(G993="","",RANK(G993,$G$2:$G$1122,0))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IF(G994="","",G994/SUMIFS($G$2:$G$1122,$F$2:$F$1122,"Served"))</f>
        <v/>
      </c>
      <c r="I994" s="4" t="str">
        <f aca="false">IF(G994="","",RANK(G994,$G$2:$G$1122,0))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IF(G995="","",G995/SUMIFS($G$2:$G$1122,$F$2:$F$1122,"Served"))</f>
        <v/>
      </c>
      <c r="I995" s="4" t="str">
        <f aca="false">IF(G995="","",RANK(G995,$G$2:$G$1122,0))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IF(G996="","",G996/SUMIFS($G$2:$G$1122,$F$2:$F$1122,"Served"))</f>
        <v/>
      </c>
      <c r="I996" s="4" t="str">
        <f aca="false">IF(G996="","",RANK(G996,$G$2:$G$1122,0))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IF(G997="","",G997/SUMIFS($G$2:$G$1122,$F$2:$F$1122,"Served"))</f>
        <v/>
      </c>
      <c r="I997" s="4" t="str">
        <f aca="false">IF(G997="","",RANK(G997,$G$2:$G$1122,0))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IF(G998="","",G998/SUMIFS($G$2:$G$1122,$F$2:$F$1122,"Served"))</f>
        <v/>
      </c>
      <c r="I998" s="4" t="str">
        <f aca="false">IF(G998="","",RANK(G998,$G$2:$G$1122,0))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IF(G999="","",G999/SUMIFS($G$2:$G$1122,$F$2:$F$1122,"Served"))</f>
        <v/>
      </c>
      <c r="I999" s="4" t="str">
        <f aca="false">IF(G999="","",RANK(G999,$G$2:$G$1122,0))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IF(G1000="","",G1000/SUMIFS($G$2:$G$1122,$F$2:$F$1122,"Served"))</f>
        <v/>
      </c>
      <c r="I1000" s="4" t="str">
        <f aca="false">IF(G1000="","",RANK(G1000,$G$2:$G$1122,0))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IF(G1001="","",G1001/SUMIFS($G$2:$G$1122,$F$2:$F$1122,"Served"))</f>
        <v/>
      </c>
      <c r="I1001" s="4" t="str">
        <f aca="false">IF(G1001="","",RANK(G1001,$G$2:$G$1122,0))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IF(G1002="","",G1002/SUMIFS($G$2:$G$1122,$F$2:$F$1122,"Served"))</f>
        <v/>
      </c>
      <c r="I1002" s="4" t="str">
        <f aca="false">IF(G1002="","",RANK(G1002,$G$2:$G$1122,0))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IF(G1003="","",G1003/SUMIFS($G$2:$G$1122,$F$2:$F$1122,"Served"))</f>
        <v/>
      </c>
      <c r="I1003" s="4" t="str">
        <f aca="false">IF(G1003="","",RANK(G1003,$G$2:$G$1122,0))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IF(G1004="","",G1004/SUMIFS($G$2:$G$1122,$F$2:$F$1122,"Served"))</f>
        <v/>
      </c>
      <c r="I1004" s="4" t="str">
        <f aca="false">IF(G1004="","",RANK(G1004,$G$2:$G$1122,0))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IF(G1005="","",G1005/SUMIFS($G$2:$G$1122,$F$2:$F$1122,"Served"))</f>
        <v/>
      </c>
      <c r="I1005" s="4" t="str">
        <f aca="false">IF(G1005="","",RANK(G1005,$G$2:$G$1122,0))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IF(G1006="","",G1006/SUMIFS($G$2:$G$1122,$F$2:$F$1122,"Served"))</f>
        <v/>
      </c>
      <c r="I1006" s="4" t="str">
        <f aca="false">IF(G1006="","",RANK(G1006,$G$2:$G$1122,0))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IF(G1007="","",G1007/SUMIFS($G$2:$G$1122,$F$2:$F$1122,"Served"))</f>
        <v/>
      </c>
      <c r="I1007" s="4" t="str">
        <f aca="false">IF(G1007="","",RANK(G1007,$G$2:$G$1122,0))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IF(G1008="","",G1008/SUMIFS($G$2:$G$1122,$F$2:$F$1122,"Served"))</f>
        <v/>
      </c>
      <c r="I1008" s="4" t="str">
        <f aca="false">IF(G1008="","",RANK(G1008,$G$2:$G$1122,0))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IF(G1009="","",G1009/SUMIFS($G$2:$G$1122,$F$2:$F$1122,"Served"))</f>
        <v/>
      </c>
      <c r="I1009" s="4" t="str">
        <f aca="false">IF(G1009="","",RANK(G1009,$G$2:$G$1122,0))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IF(G1010="","",G1010/SUMIFS($G$2:$G$1122,$F$2:$F$1122,"Served"))</f>
        <v/>
      </c>
      <c r="I1010" s="4" t="str">
        <f aca="false">IF(G1010="","",RANK(G1010,$G$2:$G$1122,0))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IF(G1011="","",G1011/SUMIFS($G$2:$G$1122,$F$2:$F$1122,"Served"))</f>
        <v/>
      </c>
      <c r="I1011" s="4" t="str">
        <f aca="false">IF(G1011="","",RANK(G1011,$G$2:$G$1122,0))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IF(G1012="","",G1012/SUMIFS($G$2:$G$1122,$F$2:$F$1122,"Served"))</f>
        <v/>
      </c>
      <c r="I1012" s="4" t="str">
        <f aca="false">IF(G1012="","",RANK(G1012,$G$2:$G$1122,0))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IF(G1013="","",G1013/SUMIFS($G$2:$G$1122,$F$2:$F$1122,"Served"))</f>
        <v/>
      </c>
      <c r="I1013" s="4" t="str">
        <f aca="false">IF(G1013="","",RANK(G1013,$G$2:$G$1122,0))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IF(G1014="","",G1014/SUMIFS($G$2:$G$1122,$F$2:$F$1122,"Served"))</f>
        <v/>
      </c>
      <c r="I1014" s="4" t="str">
        <f aca="false">IF(G1014="","",RANK(G1014,$G$2:$G$1122,0))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IF(G1015="","",G1015/SUMIFS($G$2:$G$1122,$F$2:$F$1122,"Served"))</f>
        <v/>
      </c>
      <c r="I1015" s="4" t="str">
        <f aca="false">IF(G1015="","",RANK(G1015,$G$2:$G$1122,0))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IF(G1016="","",G1016/SUMIFS($G$2:$G$1122,$F$2:$F$1122,"Served"))</f>
        <v/>
      </c>
      <c r="I1016" s="4" t="str">
        <f aca="false">IF(G1016="","",RANK(G1016,$G$2:$G$1122,0))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IF(G1017="","",G1017/SUMIFS($G$2:$G$1122,$F$2:$F$1122,"Served"))</f>
        <v/>
      </c>
      <c r="I1017" s="4" t="str">
        <f aca="false">IF(G1017="","",RANK(G1017,$G$2:$G$1122,0))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IF(G1018="","",G1018/SUMIFS($G$2:$G$1122,$F$2:$F$1122,"Served"))</f>
        <v/>
      </c>
      <c r="I1018" s="4" t="str">
        <f aca="false">IF(G1018="","",RANK(G1018,$G$2:$G$1122,0))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IF(G1019="","",G1019/SUMIFS($G$2:$G$1122,$F$2:$F$1122,"Served"))</f>
        <v/>
      </c>
      <c r="I1019" s="4" t="str">
        <f aca="false">IF(G1019="","",RANK(G1019,$G$2:$G$1122,0))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IF(G1020="","",G1020/SUMIFS($G$2:$G$1122,$F$2:$F$1122,"Served"))</f>
        <v/>
      </c>
      <c r="I1020" s="4" t="str">
        <f aca="false">IF(G1020="","",RANK(G1020,$G$2:$G$1122,0))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IF(G1021="","",G1021/SUMIFS($G$2:$G$1122,$F$2:$F$1122,"Served"))</f>
        <v/>
      </c>
      <c r="I1021" s="4" t="str">
        <f aca="false">IF(G1021="","",RANK(G1021,$G$2:$G$1122,0))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2131</v>
      </c>
      <c r="C1022" s="4" t="s">
        <v>2132</v>
      </c>
      <c r="D1022" s="7" t="s">
        <v>2162</v>
      </c>
      <c r="E1022" s="4" t="s">
        <v>2134</v>
      </c>
      <c r="F1022" s="4" t="s">
        <v>6</v>
      </c>
      <c r="G1022" s="8"/>
      <c r="H1022" s="6" t="str">
        <f aca="false">IF(G1022="","",G1022/SUMIFS($G$2:$G$1122,$F$2:$F$1122,"Served"))</f>
        <v/>
      </c>
      <c r="I1022" s="4" t="str">
        <f aca="false">IF(G1022="","",RANK(G1022,$G$2:$G$1122,0))</f>
        <v/>
      </c>
      <c r="J1022" s="4" t="s">
        <v>34</v>
      </c>
    </row>
    <row r="1023" customFormat="false" ht="15" hidden="false" customHeight="false" outlineLevel="0" collapsed="false">
      <c r="A1023" s="4" t="s">
        <v>2163</v>
      </c>
      <c r="B1023" s="4" t="s">
        <v>2131</v>
      </c>
      <c r="C1023" s="4" t="s">
        <v>2132</v>
      </c>
      <c r="D1023" s="7" t="s">
        <v>2164</v>
      </c>
      <c r="E1023" s="4" t="s">
        <v>2134</v>
      </c>
      <c r="F1023" s="4" t="s">
        <v>6</v>
      </c>
      <c r="G1023" s="8"/>
      <c r="H1023" s="6" t="str">
        <f aca="false">IF(G1023="","",G1023/SUMIFS($G$2:$G$1122,$F$2:$F$1122,"Served"))</f>
        <v/>
      </c>
      <c r="I1023" s="4" t="str">
        <f aca="false">IF(G1023="","",RANK(G1023,$G$2:$G$1122,0))</f>
        <v/>
      </c>
      <c r="J1023" s="4" t="s">
        <v>34</v>
      </c>
    </row>
    <row r="1024" customFormat="false" ht="15" hidden="false" customHeight="false" outlineLevel="0" collapsed="false">
      <c r="A1024" s="4" t="s">
        <v>2165</v>
      </c>
      <c r="B1024" s="4" t="s">
        <v>2131</v>
      </c>
      <c r="C1024" s="4" t="s">
        <v>2132</v>
      </c>
      <c r="D1024" s="7" t="s">
        <v>2166</v>
      </c>
      <c r="E1024" s="4" t="s">
        <v>2134</v>
      </c>
      <c r="F1024" s="4" t="s">
        <v>6</v>
      </c>
      <c r="G1024" s="8"/>
      <c r="H1024" s="6" t="str">
        <f aca="false">IF(G1024="","",G1024/SUMIFS($G$2:$G$1122,$F$2:$F$1122,"Served"))</f>
        <v/>
      </c>
      <c r="I1024" s="4" t="str">
        <f aca="false">IF(G1024="","",RANK(G1024,$G$2:$G$1122,0))</f>
        <v/>
      </c>
      <c r="J1024" s="4" t="s">
        <v>34</v>
      </c>
    </row>
    <row r="1025" customFormat="false" ht="15" hidden="false" customHeight="false" outlineLevel="0" collapsed="false">
      <c r="A1025" s="4" t="s">
        <v>2167</v>
      </c>
      <c r="B1025" s="4" t="s">
        <v>2131</v>
      </c>
      <c r="C1025" s="4" t="s">
        <v>2132</v>
      </c>
      <c r="D1025" s="7" t="s">
        <v>2168</v>
      </c>
      <c r="E1025" s="4" t="s">
        <v>2134</v>
      </c>
      <c r="F1025" s="4" t="s">
        <v>6</v>
      </c>
      <c r="G1025" s="8"/>
      <c r="H1025" s="6" t="str">
        <f aca="false">IF(G1025="","",G1025/SUMIFS($G$2:$G$1122,$F$2:$F$1122,"Served"))</f>
        <v/>
      </c>
      <c r="I1025" s="4" t="str">
        <f aca="false">IF(G1025="","",RANK(G1025,$G$2:$G$1122,0))</f>
        <v/>
      </c>
      <c r="J1025" s="4" t="s">
        <v>34</v>
      </c>
    </row>
    <row r="1026" customFormat="false" ht="15" hidden="false" customHeight="false" outlineLevel="0" collapsed="false">
      <c r="A1026" s="4" t="s">
        <v>2169</v>
      </c>
      <c r="B1026" s="4" t="s">
        <v>2131</v>
      </c>
      <c r="C1026" s="4" t="s">
        <v>2132</v>
      </c>
      <c r="D1026" s="7" t="s">
        <v>2170</v>
      </c>
      <c r="E1026" s="4" t="s">
        <v>2134</v>
      </c>
      <c r="F1026" s="4" t="s">
        <v>6</v>
      </c>
      <c r="G1026" s="8"/>
      <c r="H1026" s="6" t="str">
        <f aca="false">IF(G1026="","",G1026/SUMIFS($G$2:$G$1122,$F$2:$F$1122,"Served"))</f>
        <v/>
      </c>
      <c r="I1026" s="4" t="str">
        <f aca="false">IF(G1026="","",RANK(G1026,$G$2:$G$1122,0))</f>
        <v/>
      </c>
      <c r="J1026" s="4" t="s">
        <v>34</v>
      </c>
    </row>
    <row r="1027" customFormat="false" ht="15" hidden="false" customHeight="false" outlineLevel="0" collapsed="false">
      <c r="A1027" s="4" t="s">
        <v>2171</v>
      </c>
      <c r="B1027" s="4" t="s">
        <v>2131</v>
      </c>
      <c r="C1027" s="4" t="s">
        <v>2132</v>
      </c>
      <c r="D1027" s="7" t="s">
        <v>2172</v>
      </c>
      <c r="E1027" s="4" t="s">
        <v>2134</v>
      </c>
      <c r="F1027" s="4" t="s">
        <v>6</v>
      </c>
      <c r="G1027" s="8"/>
      <c r="H1027" s="6" t="str">
        <f aca="false">IF(G1027="","",G1027/SUMIFS($G$2:$G$1122,$F$2:$F$1122,"Served"))</f>
        <v/>
      </c>
      <c r="I1027" s="4" t="str">
        <f aca="false">IF(G1027="","",RANK(G1027,$G$2:$G$1122,0))</f>
        <v/>
      </c>
      <c r="J1027" s="4" t="s">
        <v>34</v>
      </c>
    </row>
    <row r="1028" customFormat="false" ht="15" hidden="false" customHeight="false" outlineLevel="0" collapsed="false">
      <c r="A1028" s="4" t="s">
        <v>2173</v>
      </c>
      <c r="B1028" s="4" t="s">
        <v>2131</v>
      </c>
      <c r="C1028" s="4" t="s">
        <v>2132</v>
      </c>
      <c r="D1028" s="7" t="s">
        <v>2174</v>
      </c>
      <c r="E1028" s="4" t="s">
        <v>2134</v>
      </c>
      <c r="F1028" s="4" t="s">
        <v>6</v>
      </c>
      <c r="G1028" s="8"/>
      <c r="H1028" s="6" t="str">
        <f aca="false">IF(G1028="","",G1028/SUMIFS($G$2:$G$1122,$F$2:$F$1122,"Served"))</f>
        <v/>
      </c>
      <c r="I1028" s="4" t="str">
        <f aca="false">IF(G1028="","",RANK(G1028,$G$2:$G$1122,0))</f>
        <v/>
      </c>
      <c r="J1028" s="4" t="s">
        <v>34</v>
      </c>
    </row>
    <row r="1029" customFormat="false" ht="15" hidden="false" customHeight="false" outlineLevel="0" collapsed="false">
      <c r="A1029" s="4" t="s">
        <v>2175</v>
      </c>
      <c r="B1029" s="4" t="s">
        <v>2131</v>
      </c>
      <c r="C1029" s="4" t="s">
        <v>2132</v>
      </c>
      <c r="D1029" s="7" t="s">
        <v>2176</v>
      </c>
      <c r="E1029" s="4" t="s">
        <v>2134</v>
      </c>
      <c r="F1029" s="4" t="s">
        <v>6</v>
      </c>
      <c r="G1029" s="8"/>
      <c r="H1029" s="6" t="str">
        <f aca="false">IF(G1029="","",G1029/SUMIFS($G$2:$G$1122,$F$2:$F$1122,"Served"))</f>
        <v/>
      </c>
      <c r="I1029" s="4" t="str">
        <f aca="false">IF(G1029="","",RANK(G1029,$G$2:$G$1122,0))</f>
        <v/>
      </c>
      <c r="J1029" s="4" t="s">
        <v>34</v>
      </c>
    </row>
    <row r="1030" customFormat="false" ht="15" hidden="false" customHeight="false" outlineLevel="0" collapsed="false">
      <c r="A1030" s="4" t="s">
        <v>2177</v>
      </c>
      <c r="B1030" s="4" t="s">
        <v>2178</v>
      </c>
      <c r="C1030" s="4" t="s">
        <v>2179</v>
      </c>
      <c r="D1030" s="7" t="s">
        <v>2180</v>
      </c>
      <c r="E1030" s="4" t="s">
        <v>2181</v>
      </c>
      <c r="F1030" s="4" t="s">
        <v>6</v>
      </c>
      <c r="G1030" s="8"/>
      <c r="H1030" s="6" t="str">
        <f aca="false">IF(G1030="","",G1030/SUMIFS($G$2:$G$1122,$F$2:$F$1122,"Served"))</f>
        <v/>
      </c>
      <c r="I1030" s="4" t="str">
        <f aca="false">IF(G1030="","",RANK(G1030,$G$2:$G$1122,0))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2178</v>
      </c>
      <c r="C1031" s="4" t="s">
        <v>2179</v>
      </c>
      <c r="D1031" s="7" t="s">
        <v>2183</v>
      </c>
      <c r="E1031" s="4" t="s">
        <v>2181</v>
      </c>
      <c r="F1031" s="4" t="s">
        <v>6</v>
      </c>
      <c r="G1031" s="8"/>
      <c r="H1031" s="6" t="str">
        <f aca="false">IF(G1031="","",G1031/SUMIFS($G$2:$G$1122,$F$2:$F$1122,"Served"))</f>
        <v/>
      </c>
      <c r="I1031" s="4" t="str">
        <f aca="false">IF(G1031="","",RANK(G1031,$G$2:$G$1122,0))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2178</v>
      </c>
      <c r="C1032" s="4" t="s">
        <v>2179</v>
      </c>
      <c r="D1032" s="7" t="s">
        <v>2185</v>
      </c>
      <c r="E1032" s="4" t="s">
        <v>2181</v>
      </c>
      <c r="F1032" s="4" t="s">
        <v>6</v>
      </c>
      <c r="G1032" s="8"/>
      <c r="H1032" s="6" t="str">
        <f aca="false">IF(G1032="","",G1032/SUMIFS($G$2:$G$1122,$F$2:$F$1122,"Served"))</f>
        <v/>
      </c>
      <c r="I1032" s="4" t="str">
        <f aca="false">IF(G1032="","",RANK(G1032,$G$2:$G$1122,0))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2178</v>
      </c>
      <c r="C1033" s="4" t="s">
        <v>2179</v>
      </c>
      <c r="D1033" s="7" t="s">
        <v>2187</v>
      </c>
      <c r="E1033" s="4" t="s">
        <v>2181</v>
      </c>
      <c r="F1033" s="4" t="s">
        <v>6</v>
      </c>
      <c r="G1033" s="8"/>
      <c r="H1033" s="6" t="str">
        <f aca="false">IF(G1033="","",G1033/SUMIFS($G$2:$G$1122,$F$2:$F$1122,"Served"))</f>
        <v/>
      </c>
      <c r="I1033" s="4" t="str">
        <f aca="false">IF(G1033="","",RANK(G1033,$G$2:$G$1122,0))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2178</v>
      </c>
      <c r="C1034" s="4" t="s">
        <v>2179</v>
      </c>
      <c r="D1034" s="7" t="s">
        <v>2189</v>
      </c>
      <c r="E1034" s="4" t="s">
        <v>2181</v>
      </c>
      <c r="F1034" s="4" t="s">
        <v>6</v>
      </c>
      <c r="G1034" s="8"/>
      <c r="H1034" s="6" t="str">
        <f aca="false">IF(G1034="","",G1034/SUMIFS($G$2:$G$1122,$F$2:$F$1122,"Served"))</f>
        <v/>
      </c>
      <c r="I1034" s="4" t="str">
        <f aca="false">IF(G1034="","",RANK(G1034,$G$2:$G$1122,0))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2178</v>
      </c>
      <c r="C1035" s="4" t="s">
        <v>2179</v>
      </c>
      <c r="D1035" s="7" t="s">
        <v>2191</v>
      </c>
      <c r="E1035" s="4" t="s">
        <v>2181</v>
      </c>
      <c r="F1035" s="4" t="s">
        <v>6</v>
      </c>
      <c r="G1035" s="8"/>
      <c r="H1035" s="6" t="str">
        <f aca="false">IF(G1035="","",G1035/SUMIFS($G$2:$G$1122,$F$2:$F$1122,"Served"))</f>
        <v/>
      </c>
      <c r="I1035" s="4" t="str">
        <f aca="false">IF(G1035="","",RANK(G1035,$G$2:$G$1122,0))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2178</v>
      </c>
      <c r="C1036" s="4" t="s">
        <v>2179</v>
      </c>
      <c r="D1036" s="7" t="s">
        <v>2193</v>
      </c>
      <c r="E1036" s="4" t="s">
        <v>2181</v>
      </c>
      <c r="F1036" s="4" t="s">
        <v>6</v>
      </c>
      <c r="G1036" s="8"/>
      <c r="H1036" s="6" t="str">
        <f aca="false">IF(G1036="","",G1036/SUMIFS($G$2:$G$1122,$F$2:$F$1122,"Served"))</f>
        <v/>
      </c>
      <c r="I1036" s="4" t="str">
        <f aca="false">IF(G1036="","",RANK(G1036,$G$2:$G$1122,0))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2178</v>
      </c>
      <c r="C1037" s="4" t="s">
        <v>2179</v>
      </c>
      <c r="D1037" s="7" t="s">
        <v>2195</v>
      </c>
      <c r="E1037" s="4" t="s">
        <v>2181</v>
      </c>
      <c r="F1037" s="4" t="s">
        <v>6</v>
      </c>
      <c r="G1037" s="8"/>
      <c r="H1037" s="6" t="str">
        <f aca="false">IF(G1037="","",G1037/SUMIFS($G$2:$G$1122,$F$2:$F$1122,"Served"))</f>
        <v/>
      </c>
      <c r="I1037" s="4" t="str">
        <f aca="false">IF(G1037="","",RANK(G1037,$G$2:$G$1122,0))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2178</v>
      </c>
      <c r="C1038" s="4" t="s">
        <v>2179</v>
      </c>
      <c r="D1038" s="7" t="s">
        <v>2197</v>
      </c>
      <c r="E1038" s="4" t="s">
        <v>2181</v>
      </c>
      <c r="F1038" s="4" t="s">
        <v>6</v>
      </c>
      <c r="G1038" s="8"/>
      <c r="H1038" s="6" t="str">
        <f aca="false">IF(G1038="","",G1038/SUMIFS($G$2:$G$1122,$F$2:$F$1122,"Served"))</f>
        <v/>
      </c>
      <c r="I1038" s="4" t="str">
        <f aca="false">IF(G1038="","",RANK(G1038,$G$2:$G$1122,0))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2178</v>
      </c>
      <c r="C1039" s="4" t="s">
        <v>2179</v>
      </c>
      <c r="D1039" s="7" t="s">
        <v>2199</v>
      </c>
      <c r="E1039" s="4" t="s">
        <v>2181</v>
      </c>
      <c r="F1039" s="4" t="s">
        <v>6</v>
      </c>
      <c r="G1039" s="8"/>
      <c r="H1039" s="6" t="str">
        <f aca="false">IF(G1039="","",G1039/SUMIFS($G$2:$G$1122,$F$2:$F$1122,"Served"))</f>
        <v/>
      </c>
      <c r="I1039" s="4" t="str">
        <f aca="false">IF(G1039="","",RANK(G1039,$G$2:$G$1122,0))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2178</v>
      </c>
      <c r="C1040" s="4" t="s">
        <v>2179</v>
      </c>
      <c r="D1040" s="7" t="s">
        <v>2201</v>
      </c>
      <c r="E1040" s="4" t="s">
        <v>2181</v>
      </c>
      <c r="F1040" s="4" t="s">
        <v>6</v>
      </c>
      <c r="G1040" s="8"/>
      <c r="H1040" s="6" t="str">
        <f aca="false">IF(G1040="","",G1040/SUMIFS($G$2:$G$1122,$F$2:$F$1122,"Served"))</f>
        <v/>
      </c>
      <c r="I1040" s="4" t="str">
        <f aca="false">IF(G1040="","",RANK(G1040,$G$2:$G$1122,0))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2178</v>
      </c>
      <c r="C1041" s="4" t="s">
        <v>2179</v>
      </c>
      <c r="D1041" s="7" t="s">
        <v>2203</v>
      </c>
      <c r="E1041" s="4" t="s">
        <v>2181</v>
      </c>
      <c r="F1041" s="4" t="s">
        <v>6</v>
      </c>
      <c r="G1041" s="8"/>
      <c r="H1041" s="6" t="str">
        <f aca="false">IF(G1041="","",G1041/SUMIFS($G$2:$G$1122,$F$2:$F$1122,"Served"))</f>
        <v/>
      </c>
      <c r="I1041" s="4" t="str">
        <f aca="false">IF(G1041="","",RANK(G1041,$G$2:$G$1122,0))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2178</v>
      </c>
      <c r="C1042" s="4" t="s">
        <v>2179</v>
      </c>
      <c r="D1042" s="7" t="s">
        <v>2205</v>
      </c>
      <c r="E1042" s="4" t="s">
        <v>2181</v>
      </c>
      <c r="F1042" s="4" t="s">
        <v>6</v>
      </c>
      <c r="G1042" s="8"/>
      <c r="H1042" s="6" t="str">
        <f aca="false">IF(G1042="","",G1042/SUMIFS($G$2:$G$1122,$F$2:$F$1122,"Served"))</f>
        <v/>
      </c>
      <c r="I1042" s="4" t="str">
        <f aca="false">IF(G1042="","",RANK(G1042,$G$2:$G$1122,0))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2178</v>
      </c>
      <c r="C1043" s="4" t="s">
        <v>2179</v>
      </c>
      <c r="D1043" s="7" t="s">
        <v>2207</v>
      </c>
      <c r="E1043" s="4" t="s">
        <v>2181</v>
      </c>
      <c r="F1043" s="4" t="s">
        <v>6</v>
      </c>
      <c r="G1043" s="8"/>
      <c r="H1043" s="6" t="str">
        <f aca="false">IF(G1043="","",G1043/SUMIFS($G$2:$G$1122,$F$2:$F$1122,"Served"))</f>
        <v/>
      </c>
      <c r="I1043" s="4" t="str">
        <f aca="false">IF(G1043="","",RANK(G1043,$G$2:$G$1122,0))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2209</v>
      </c>
      <c r="C1044" s="4" t="s">
        <v>2210</v>
      </c>
      <c r="D1044" s="7" t="s">
        <v>2211</v>
      </c>
      <c r="E1044" s="4" t="s">
        <v>2212</v>
      </c>
      <c r="F1044" s="4" t="s">
        <v>6</v>
      </c>
      <c r="G1044" s="8"/>
      <c r="H1044" s="6" t="str">
        <f aca="false">IF(G1044="","",G1044/SUMIFS($G$2:$G$1122,$F$2:$F$1122,"Served"))</f>
        <v/>
      </c>
      <c r="I1044" s="4" t="str">
        <f aca="false">IF(G1044="","",RANK(G1044,$G$2:$G$1122,0))</f>
        <v/>
      </c>
      <c r="J1044" s="4" t="s">
        <v>34</v>
      </c>
    </row>
    <row r="1045" customFormat="false" ht="15" hidden="false" customHeight="false" outlineLevel="0" collapsed="false">
      <c r="A1045" s="4" t="s">
        <v>2213</v>
      </c>
      <c r="B1045" s="4" t="s">
        <v>2209</v>
      </c>
      <c r="C1045" s="4" t="s">
        <v>2210</v>
      </c>
      <c r="D1045" s="7" t="s">
        <v>2214</v>
      </c>
      <c r="E1045" s="4" t="s">
        <v>2212</v>
      </c>
      <c r="F1045" s="4" t="s">
        <v>6</v>
      </c>
      <c r="G1045" s="8"/>
      <c r="H1045" s="6" t="str">
        <f aca="false">IF(G1045="","",G1045/SUMIFS($G$2:$G$1122,$F$2:$F$1122,"Served"))</f>
        <v/>
      </c>
      <c r="I1045" s="4" t="str">
        <f aca="false">IF(G1045="","",RANK(G1045,$G$2:$G$1122,0))</f>
        <v/>
      </c>
      <c r="J1045" s="4" t="s">
        <v>34</v>
      </c>
    </row>
    <row r="1046" customFormat="false" ht="15" hidden="false" customHeight="false" outlineLevel="0" collapsed="false">
      <c r="A1046" s="4" t="s">
        <v>2215</v>
      </c>
      <c r="B1046" s="4" t="s">
        <v>2209</v>
      </c>
      <c r="C1046" s="4" t="s">
        <v>2210</v>
      </c>
      <c r="D1046" s="7" t="s">
        <v>2216</v>
      </c>
      <c r="E1046" s="4" t="s">
        <v>2212</v>
      </c>
      <c r="F1046" s="4" t="s">
        <v>6</v>
      </c>
      <c r="G1046" s="8"/>
      <c r="H1046" s="6" t="str">
        <f aca="false">IF(G1046="","",G1046/SUMIFS($G$2:$G$1122,$F$2:$F$1122,"Served"))</f>
        <v/>
      </c>
      <c r="I1046" s="4" t="str">
        <f aca="false">IF(G1046="","",RANK(G1046,$G$2:$G$1122,0))</f>
        <v/>
      </c>
      <c r="J1046" s="4" t="s">
        <v>34</v>
      </c>
    </row>
    <row r="1047" customFormat="false" ht="15" hidden="false" customHeight="false" outlineLevel="0" collapsed="false">
      <c r="A1047" s="4" t="s">
        <v>2217</v>
      </c>
      <c r="B1047" s="4" t="s">
        <v>2209</v>
      </c>
      <c r="C1047" s="4" t="s">
        <v>2210</v>
      </c>
      <c r="D1047" s="7" t="s">
        <v>2218</v>
      </c>
      <c r="E1047" s="4" t="s">
        <v>2212</v>
      </c>
      <c r="F1047" s="4" t="s">
        <v>6</v>
      </c>
      <c r="G1047" s="8"/>
      <c r="H1047" s="6" t="str">
        <f aca="false">IF(G1047="","",G1047/SUMIFS($G$2:$G$1122,$F$2:$F$1122,"Served"))</f>
        <v/>
      </c>
      <c r="I1047" s="4" t="str">
        <f aca="false">IF(G1047="","",RANK(G1047,$G$2:$G$1122,0))</f>
        <v/>
      </c>
      <c r="J1047" s="4" t="s">
        <v>34</v>
      </c>
    </row>
    <row r="1048" customFormat="false" ht="15" hidden="false" customHeight="false" outlineLevel="0" collapsed="false">
      <c r="A1048" s="4" t="s">
        <v>2219</v>
      </c>
      <c r="B1048" s="4" t="s">
        <v>2209</v>
      </c>
      <c r="C1048" s="4" t="s">
        <v>2210</v>
      </c>
      <c r="D1048" s="7" t="s">
        <v>2220</v>
      </c>
      <c r="E1048" s="4" t="s">
        <v>2212</v>
      </c>
      <c r="F1048" s="4" t="s">
        <v>6</v>
      </c>
      <c r="G1048" s="8"/>
      <c r="H1048" s="6" t="str">
        <f aca="false">IF(G1048="","",G1048/SUMIFS($G$2:$G$1122,$F$2:$F$1122,"Served"))</f>
        <v/>
      </c>
      <c r="I1048" s="4" t="str">
        <f aca="false">IF(G1048="","",RANK(G1048,$G$2:$G$1122,0))</f>
        <v/>
      </c>
      <c r="J1048" s="4" t="s">
        <v>34</v>
      </c>
    </row>
    <row r="1049" customFormat="false" ht="15" hidden="false" customHeight="false" outlineLevel="0" collapsed="false">
      <c r="A1049" s="4" t="s">
        <v>2221</v>
      </c>
      <c r="B1049" s="4" t="s">
        <v>2209</v>
      </c>
      <c r="C1049" s="4" t="s">
        <v>2210</v>
      </c>
      <c r="D1049" s="7" t="s">
        <v>2222</v>
      </c>
      <c r="E1049" s="4" t="s">
        <v>2212</v>
      </c>
      <c r="F1049" s="4" t="s">
        <v>6</v>
      </c>
      <c r="G1049" s="8"/>
      <c r="H1049" s="6" t="str">
        <f aca="false">IF(G1049="","",G1049/SUMIFS($G$2:$G$1122,$F$2:$F$1122,"Served"))</f>
        <v/>
      </c>
      <c r="I1049" s="4" t="str">
        <f aca="false">IF(G1049="","",RANK(G1049,$G$2:$G$1122,0))</f>
        <v/>
      </c>
      <c r="J1049" s="4" t="s">
        <v>34</v>
      </c>
    </row>
    <row r="1050" customFormat="false" ht="15" hidden="false" customHeight="false" outlineLevel="0" collapsed="false">
      <c r="A1050" s="4" t="s">
        <v>2223</v>
      </c>
      <c r="B1050" s="4" t="s">
        <v>2209</v>
      </c>
      <c r="C1050" s="4" t="s">
        <v>2210</v>
      </c>
      <c r="D1050" s="7" t="s">
        <v>2224</v>
      </c>
      <c r="E1050" s="4" t="s">
        <v>2212</v>
      </c>
      <c r="F1050" s="4" t="s">
        <v>6</v>
      </c>
      <c r="G1050" s="8"/>
      <c r="H1050" s="6" t="str">
        <f aca="false">IF(G1050="","",G1050/SUMIFS($G$2:$G$1122,$F$2:$F$1122,"Served"))</f>
        <v/>
      </c>
      <c r="I1050" s="4" t="str">
        <f aca="false">IF(G1050="","",RANK(G1050,$G$2:$G$1122,0))</f>
        <v/>
      </c>
      <c r="J1050" s="4" t="s">
        <v>34</v>
      </c>
    </row>
    <row r="1051" customFormat="false" ht="15" hidden="false" customHeight="false" outlineLevel="0" collapsed="false">
      <c r="A1051" s="4" t="s">
        <v>2225</v>
      </c>
      <c r="B1051" s="4" t="s">
        <v>2209</v>
      </c>
      <c r="C1051" s="4" t="s">
        <v>2210</v>
      </c>
      <c r="D1051" s="7" t="s">
        <v>2226</v>
      </c>
      <c r="E1051" s="4" t="s">
        <v>2212</v>
      </c>
      <c r="F1051" s="4" t="s">
        <v>6</v>
      </c>
      <c r="G1051" s="8"/>
      <c r="H1051" s="6" t="str">
        <f aca="false">IF(G1051="","",G1051/SUMIFS($G$2:$G$1122,$F$2:$F$1122,"Served"))</f>
        <v/>
      </c>
      <c r="I1051" s="4" t="str">
        <f aca="false">IF(G1051="","",RANK(G1051,$G$2:$G$1122,0))</f>
        <v/>
      </c>
      <c r="J1051" s="4" t="s">
        <v>34</v>
      </c>
    </row>
    <row r="1052" customFormat="false" ht="15" hidden="false" customHeight="false" outlineLevel="0" collapsed="false">
      <c r="A1052" s="4" t="s">
        <v>2227</v>
      </c>
      <c r="B1052" s="4" t="s">
        <v>2209</v>
      </c>
      <c r="C1052" s="4" t="s">
        <v>2210</v>
      </c>
      <c r="D1052" s="7" t="s">
        <v>2228</v>
      </c>
      <c r="E1052" s="4" t="s">
        <v>2212</v>
      </c>
      <c r="F1052" s="4" t="s">
        <v>6</v>
      </c>
      <c r="G1052" s="8"/>
      <c r="H1052" s="6" t="str">
        <f aca="false">IF(G1052="","",G1052/SUMIFS($G$2:$G$1122,$F$2:$F$1122,"Served"))</f>
        <v/>
      </c>
      <c r="I1052" s="4" t="str">
        <f aca="false">IF(G1052="","",RANK(G1052,$G$2:$G$1122,0))</f>
        <v/>
      </c>
      <c r="J1052" s="4" t="s">
        <v>34</v>
      </c>
    </row>
    <row r="1053" customFormat="false" ht="15" hidden="false" customHeight="false" outlineLevel="0" collapsed="false">
      <c r="A1053" s="4" t="s">
        <v>2229</v>
      </c>
      <c r="B1053" s="4" t="s">
        <v>2209</v>
      </c>
      <c r="C1053" s="4" t="s">
        <v>2210</v>
      </c>
      <c r="D1053" s="7" t="s">
        <v>2230</v>
      </c>
      <c r="E1053" s="4" t="s">
        <v>2212</v>
      </c>
      <c r="F1053" s="4" t="s">
        <v>6</v>
      </c>
      <c r="G1053" s="8"/>
      <c r="H1053" s="6" t="str">
        <f aca="false">IF(G1053="","",G1053/SUMIFS($G$2:$G$1122,$F$2:$F$1122,"Served"))</f>
        <v/>
      </c>
      <c r="I1053" s="4" t="str">
        <f aca="false">IF(G1053="","",RANK(G1053,$G$2:$G$1122,0))</f>
        <v/>
      </c>
      <c r="J1053" s="4" t="s">
        <v>34</v>
      </c>
    </row>
    <row r="1054" customFormat="false" ht="15" hidden="false" customHeight="false" outlineLevel="0" collapsed="false">
      <c r="A1054" s="4" t="s">
        <v>2231</v>
      </c>
      <c r="B1054" s="4" t="s">
        <v>2209</v>
      </c>
      <c r="C1054" s="4" t="s">
        <v>2210</v>
      </c>
      <c r="D1054" s="7" t="s">
        <v>2232</v>
      </c>
      <c r="E1054" s="4" t="s">
        <v>2212</v>
      </c>
      <c r="F1054" s="4" t="s">
        <v>6</v>
      </c>
      <c r="G1054" s="8"/>
      <c r="H1054" s="6" t="str">
        <f aca="false">IF(G1054="","",G1054/SUMIFS($G$2:$G$1122,$F$2:$F$1122,"Served"))</f>
        <v/>
      </c>
      <c r="I1054" s="4" t="str">
        <f aca="false">IF(G1054="","",RANK(G1054,$G$2:$G$1122,0))</f>
        <v/>
      </c>
      <c r="J1054" s="4" t="s">
        <v>34</v>
      </c>
    </row>
    <row r="1055" customFormat="false" ht="15" hidden="false" customHeight="false" outlineLevel="0" collapsed="false">
      <c r="A1055" s="4" t="s">
        <v>2233</v>
      </c>
      <c r="B1055" s="4" t="s">
        <v>2209</v>
      </c>
      <c r="C1055" s="4" t="s">
        <v>2210</v>
      </c>
      <c r="D1055" s="7" t="s">
        <v>2234</v>
      </c>
      <c r="E1055" s="4" t="s">
        <v>2212</v>
      </c>
      <c r="F1055" s="4" t="s">
        <v>6</v>
      </c>
      <c r="G1055" s="8"/>
      <c r="H1055" s="6" t="str">
        <f aca="false">IF(G1055="","",G1055/SUMIFS($G$2:$G$1122,$F$2:$F$1122,"Served"))</f>
        <v/>
      </c>
      <c r="I1055" s="4" t="str">
        <f aca="false">IF(G1055="","",RANK(G1055,$G$2:$G$1122,0))</f>
        <v/>
      </c>
      <c r="J1055" s="4" t="s">
        <v>34</v>
      </c>
    </row>
    <row r="1056" customFormat="false" ht="15" hidden="false" customHeight="false" outlineLevel="0" collapsed="false">
      <c r="A1056" s="4" t="s">
        <v>2235</v>
      </c>
      <c r="B1056" s="4" t="s">
        <v>2209</v>
      </c>
      <c r="C1056" s="4" t="s">
        <v>2210</v>
      </c>
      <c r="D1056" s="7" t="s">
        <v>2236</v>
      </c>
      <c r="E1056" s="4" t="s">
        <v>2212</v>
      </c>
      <c r="F1056" s="4" t="s">
        <v>6</v>
      </c>
      <c r="G1056" s="8"/>
      <c r="H1056" s="6" t="str">
        <f aca="false">IF(G1056="","",G1056/SUMIFS($G$2:$G$1122,$F$2:$F$1122,"Served"))</f>
        <v/>
      </c>
      <c r="I1056" s="4" t="str">
        <f aca="false">IF(G1056="","",RANK(G1056,$G$2:$G$1122,0))</f>
        <v/>
      </c>
      <c r="J1056" s="4" t="s">
        <v>34</v>
      </c>
    </row>
    <row r="1057" customFormat="false" ht="15" hidden="false" customHeight="false" outlineLevel="0" collapsed="false">
      <c r="A1057" s="4" t="s">
        <v>2237</v>
      </c>
      <c r="B1057" s="4" t="s">
        <v>2209</v>
      </c>
      <c r="C1057" s="4" t="s">
        <v>2210</v>
      </c>
      <c r="D1057" s="7" t="s">
        <v>2238</v>
      </c>
      <c r="E1057" s="4" t="s">
        <v>2212</v>
      </c>
      <c r="F1057" s="4" t="s">
        <v>6</v>
      </c>
      <c r="G1057" s="8"/>
      <c r="H1057" s="6" t="str">
        <f aca="false">IF(G1057="","",G1057/SUMIFS($G$2:$G$1122,$F$2:$F$1122,"Served"))</f>
        <v/>
      </c>
      <c r="I1057" s="4" t="str">
        <f aca="false">IF(G1057="","",RANK(G1057,$G$2:$G$1122,0))</f>
        <v/>
      </c>
      <c r="J1057" s="4" t="s">
        <v>34</v>
      </c>
    </row>
    <row r="1058" customFormat="false" ht="15" hidden="false" customHeight="false" outlineLevel="0" collapsed="false">
      <c r="A1058" s="4" t="s">
        <v>2239</v>
      </c>
      <c r="B1058" s="4" t="s">
        <v>2209</v>
      </c>
      <c r="C1058" s="4" t="s">
        <v>2210</v>
      </c>
      <c r="D1058" s="7" t="s">
        <v>2240</v>
      </c>
      <c r="E1058" s="4" t="s">
        <v>2212</v>
      </c>
      <c r="F1058" s="4" t="s">
        <v>6</v>
      </c>
      <c r="G1058" s="8"/>
      <c r="H1058" s="6" t="str">
        <f aca="false">IF(G1058="","",G1058/SUMIFS($G$2:$G$1122,$F$2:$F$1122,"Served"))</f>
        <v/>
      </c>
      <c r="I1058" s="4" t="str">
        <f aca="false">IF(G1058="","",RANK(G1058,$G$2:$G$1122,0))</f>
        <v/>
      </c>
      <c r="J1058" s="4" t="s">
        <v>34</v>
      </c>
    </row>
    <row r="1059" customFormat="false" ht="15" hidden="false" customHeight="false" outlineLevel="0" collapsed="false">
      <c r="A1059" s="4" t="s">
        <v>2241</v>
      </c>
      <c r="B1059" s="4" t="s">
        <v>2209</v>
      </c>
      <c r="C1059" s="4" t="s">
        <v>2210</v>
      </c>
      <c r="D1059" s="7" t="s">
        <v>2242</v>
      </c>
      <c r="E1059" s="4" t="s">
        <v>2212</v>
      </c>
      <c r="F1059" s="4" t="s">
        <v>6</v>
      </c>
      <c r="G1059" s="8"/>
      <c r="H1059" s="6" t="str">
        <f aca="false">IF(G1059="","",G1059/SUMIFS($G$2:$G$1122,$F$2:$F$1122,"Served"))</f>
        <v/>
      </c>
      <c r="I1059" s="4" t="str">
        <f aca="false">IF(G1059="","",RANK(G1059,$G$2:$G$1122,0))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2209</v>
      </c>
      <c r="C1060" s="4" t="s">
        <v>2210</v>
      </c>
      <c r="D1060" s="7" t="s">
        <v>2244</v>
      </c>
      <c r="E1060" s="4" t="s">
        <v>2212</v>
      </c>
      <c r="F1060" s="4" t="s">
        <v>6</v>
      </c>
      <c r="G1060" s="8"/>
      <c r="H1060" s="6" t="str">
        <f aca="false">IF(G1060="","",G1060/SUMIFS($G$2:$G$1122,$F$2:$F$1122,"Served"))</f>
        <v/>
      </c>
      <c r="I1060" s="4" t="str">
        <f aca="false">IF(G1060="","",RANK(G1060,$G$2:$G$1122,0))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2209</v>
      </c>
      <c r="C1061" s="4" t="s">
        <v>2210</v>
      </c>
      <c r="D1061" s="7" t="s">
        <v>2246</v>
      </c>
      <c r="E1061" s="4" t="s">
        <v>2212</v>
      </c>
      <c r="F1061" s="4" t="s">
        <v>6</v>
      </c>
      <c r="G1061" s="8"/>
      <c r="H1061" s="6" t="str">
        <f aca="false">IF(G1061="","",G1061/SUMIFS($G$2:$G$1122,$F$2:$F$1122,"Served"))</f>
        <v/>
      </c>
      <c r="I1061" s="4" t="str">
        <f aca="false">IF(G1061="","",RANK(G1061,$G$2:$G$1122,0))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2209</v>
      </c>
      <c r="C1062" s="4" t="s">
        <v>2210</v>
      </c>
      <c r="D1062" s="7" t="s">
        <v>2248</v>
      </c>
      <c r="E1062" s="4" t="s">
        <v>2212</v>
      </c>
      <c r="F1062" s="4" t="s">
        <v>6</v>
      </c>
      <c r="G1062" s="8"/>
      <c r="H1062" s="6" t="str">
        <f aca="false">IF(G1062="","",G1062/SUMIFS($G$2:$G$1122,$F$2:$F$1122,"Served"))</f>
        <v/>
      </c>
      <c r="I1062" s="4" t="str">
        <f aca="false">IF(G1062="","",RANK(G1062,$G$2:$G$1122,0))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2209</v>
      </c>
      <c r="C1063" s="4" t="s">
        <v>2210</v>
      </c>
      <c r="D1063" s="7" t="s">
        <v>2250</v>
      </c>
      <c r="E1063" s="4" t="s">
        <v>2212</v>
      </c>
      <c r="F1063" s="4" t="s">
        <v>6</v>
      </c>
      <c r="G1063" s="8"/>
      <c r="H1063" s="6" t="str">
        <f aca="false">IF(G1063="","",G1063/SUMIFS($G$2:$G$1122,$F$2:$F$1122,"Served"))</f>
        <v/>
      </c>
      <c r="I1063" s="4" t="str">
        <f aca="false">IF(G1063="","",RANK(G1063,$G$2:$G$1122,0))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2209</v>
      </c>
      <c r="C1064" s="4" t="s">
        <v>2210</v>
      </c>
      <c r="D1064" s="7" t="s">
        <v>2252</v>
      </c>
      <c r="E1064" s="4" t="s">
        <v>2212</v>
      </c>
      <c r="F1064" s="4" t="s">
        <v>6</v>
      </c>
      <c r="G1064" s="8"/>
      <c r="H1064" s="6" t="str">
        <f aca="false">IF(G1064="","",G1064/SUMIFS($G$2:$G$1122,$F$2:$F$1122,"Served"))</f>
        <v/>
      </c>
      <c r="I1064" s="4" t="str">
        <f aca="false">IF(G1064="","",RANK(G1064,$G$2:$G$1122,0))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2209</v>
      </c>
      <c r="C1065" s="4" t="s">
        <v>2210</v>
      </c>
      <c r="D1065" s="7" t="s">
        <v>2254</v>
      </c>
      <c r="E1065" s="4" t="s">
        <v>2212</v>
      </c>
      <c r="F1065" s="4" t="s">
        <v>6</v>
      </c>
      <c r="G1065" s="8"/>
      <c r="H1065" s="6" t="str">
        <f aca="false">IF(G1065="","",G1065/SUMIFS($G$2:$G$1122,$F$2:$F$1122,"Served"))</f>
        <v/>
      </c>
      <c r="I1065" s="4" t="str">
        <f aca="false">IF(G1065="","",RANK(G1065,$G$2:$G$1122,0))</f>
        <v/>
      </c>
      <c r="J1065" s="4" t="s">
        <v>34</v>
      </c>
    </row>
    <row r="1066" customFormat="false" ht="15" hidden="false" customHeight="false" outlineLevel="0" collapsed="false">
      <c r="A1066" s="4" t="s">
        <v>2255</v>
      </c>
      <c r="B1066" s="4" t="s">
        <v>2209</v>
      </c>
      <c r="C1066" s="4" t="s">
        <v>2210</v>
      </c>
      <c r="D1066" s="7" t="s">
        <v>2256</v>
      </c>
      <c r="E1066" s="4" t="s">
        <v>2212</v>
      </c>
      <c r="F1066" s="4" t="s">
        <v>6</v>
      </c>
      <c r="G1066" s="8"/>
      <c r="H1066" s="6" t="str">
        <f aca="false">IF(G1066="","",G1066/SUMIFS($G$2:$G$1122,$F$2:$F$1122,"Served"))</f>
        <v/>
      </c>
      <c r="I1066" s="4" t="str">
        <f aca="false">IF(G1066="","",RANK(G1066,$G$2:$G$1122,0))</f>
        <v/>
      </c>
      <c r="J1066" s="4" t="s">
        <v>34</v>
      </c>
    </row>
    <row r="1067" customFormat="false" ht="15" hidden="false" customHeight="false" outlineLevel="0" collapsed="false">
      <c r="A1067" s="4" t="s">
        <v>2257</v>
      </c>
      <c r="B1067" s="4" t="s">
        <v>2209</v>
      </c>
      <c r="C1067" s="4" t="s">
        <v>2210</v>
      </c>
      <c r="D1067" s="7" t="s">
        <v>2258</v>
      </c>
      <c r="E1067" s="4" t="s">
        <v>2212</v>
      </c>
      <c r="F1067" s="4" t="s">
        <v>6</v>
      </c>
      <c r="G1067" s="8"/>
      <c r="H1067" s="6" t="str">
        <f aca="false">IF(G1067="","",G1067/SUMIFS($G$2:$G$1122,$F$2:$F$1122,"Served"))</f>
        <v/>
      </c>
      <c r="I1067" s="4" t="str">
        <f aca="false">IF(G1067="","",RANK(G1067,$G$2:$G$1122,0))</f>
        <v/>
      </c>
      <c r="J1067" s="4" t="s">
        <v>34</v>
      </c>
    </row>
    <row r="1068" customFormat="false" ht="15" hidden="false" customHeight="false" outlineLevel="0" collapsed="false">
      <c r="A1068" s="4" t="s">
        <v>2259</v>
      </c>
      <c r="B1068" s="4" t="s">
        <v>2260</v>
      </c>
      <c r="C1068" s="4" t="s">
        <v>2261</v>
      </c>
      <c r="D1068" s="7" t="s">
        <v>2262</v>
      </c>
      <c r="E1068" s="4" t="s">
        <v>2263</v>
      </c>
      <c r="F1068" s="4" t="s">
        <v>5</v>
      </c>
      <c r="G1068" s="8"/>
      <c r="H1068" s="6" t="str">
        <f aca="false">IF(G1068="","",G1068/SUMIFS($G$2:$G$1122,$F$2:$F$1122,"Served"))</f>
        <v/>
      </c>
      <c r="I1068" s="4" t="str">
        <f aca="false">IF(G1068="","",RANK(G1068,$G$2:$G$1122,0))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2260</v>
      </c>
      <c r="C1069" s="4" t="s">
        <v>2261</v>
      </c>
      <c r="D1069" s="7" t="s">
        <v>2265</v>
      </c>
      <c r="E1069" s="4" t="s">
        <v>2263</v>
      </c>
      <c r="F1069" s="4" t="s">
        <v>5</v>
      </c>
      <c r="G1069" s="8"/>
      <c r="H1069" s="6" t="str">
        <f aca="false">IF(G1069="","",G1069/SUMIFS($G$2:$G$1122,$F$2:$F$1122,"Served"))</f>
        <v/>
      </c>
      <c r="I1069" s="4" t="str">
        <f aca="false">IF(G1069="","",RANK(G1069,$G$2:$G$1122,0))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2260</v>
      </c>
      <c r="C1070" s="4" t="s">
        <v>2261</v>
      </c>
      <c r="D1070" s="7" t="s">
        <v>2267</v>
      </c>
      <c r="E1070" s="4" t="s">
        <v>2263</v>
      </c>
      <c r="F1070" s="4" t="s">
        <v>5</v>
      </c>
      <c r="G1070" s="8"/>
      <c r="H1070" s="6" t="str">
        <f aca="false">IF(G1070="","",G1070/SUMIFS($G$2:$G$1122,$F$2:$F$1122,"Served"))</f>
        <v/>
      </c>
      <c r="I1070" s="4" t="str">
        <f aca="false">IF(G1070="","",RANK(G1070,$G$2:$G$1122,0))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2260</v>
      </c>
      <c r="C1071" s="4" t="s">
        <v>2261</v>
      </c>
      <c r="D1071" s="7" t="s">
        <v>2269</v>
      </c>
      <c r="E1071" s="4" t="s">
        <v>2263</v>
      </c>
      <c r="F1071" s="4" t="s">
        <v>5</v>
      </c>
      <c r="G1071" s="8"/>
      <c r="H1071" s="6" t="str">
        <f aca="false">IF(G1071="","",G1071/SUMIFS($G$2:$G$1122,$F$2:$F$1122,"Served"))</f>
        <v/>
      </c>
      <c r="I1071" s="4" t="str">
        <f aca="false">IF(G1071="","",RANK(G1071,$G$2:$G$1122,0))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2260</v>
      </c>
      <c r="C1072" s="4" t="s">
        <v>2261</v>
      </c>
      <c r="D1072" s="7" t="s">
        <v>2271</v>
      </c>
      <c r="E1072" s="4" t="s">
        <v>2263</v>
      </c>
      <c r="F1072" s="4" t="s">
        <v>5</v>
      </c>
      <c r="G1072" s="8"/>
      <c r="H1072" s="6" t="str">
        <f aca="false">IF(G1072="","",G1072/SUMIFS($G$2:$G$1122,$F$2:$F$1122,"Served"))</f>
        <v/>
      </c>
      <c r="I1072" s="4" t="str">
        <f aca="false">IF(G1072="","",RANK(G1072,$G$2:$G$1122,0))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2260</v>
      </c>
      <c r="C1073" s="4" t="s">
        <v>2261</v>
      </c>
      <c r="D1073" s="7" t="s">
        <v>2273</v>
      </c>
      <c r="E1073" s="4" t="s">
        <v>2263</v>
      </c>
      <c r="F1073" s="4" t="s">
        <v>5</v>
      </c>
      <c r="G1073" s="8"/>
      <c r="H1073" s="6" t="str">
        <f aca="false">IF(G1073="","",G1073/SUMIFS($G$2:$G$1122,$F$2:$F$1122,"Served"))</f>
        <v/>
      </c>
      <c r="I1073" s="4" t="str">
        <f aca="false">IF(G1073="","",RANK(G1073,$G$2:$G$1122,0))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2260</v>
      </c>
      <c r="C1074" s="4" t="s">
        <v>2261</v>
      </c>
      <c r="D1074" s="7" t="s">
        <v>2275</v>
      </c>
      <c r="E1074" s="4" t="s">
        <v>2263</v>
      </c>
      <c r="F1074" s="4" t="s">
        <v>5</v>
      </c>
      <c r="G1074" s="8"/>
      <c r="H1074" s="6" t="str">
        <f aca="false">IF(G1074="","",G1074/SUMIFS($G$2:$G$1122,$F$2:$F$1122,"Served"))</f>
        <v/>
      </c>
      <c r="I1074" s="4" t="str">
        <f aca="false">IF(G1074="","",RANK(G1074,$G$2:$G$1122,0))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2260</v>
      </c>
      <c r="C1075" s="4" t="s">
        <v>2261</v>
      </c>
      <c r="D1075" s="7" t="s">
        <v>2277</v>
      </c>
      <c r="E1075" s="4" t="s">
        <v>2263</v>
      </c>
      <c r="F1075" s="4" t="s">
        <v>5</v>
      </c>
      <c r="G1075" s="8"/>
      <c r="H1075" s="6" t="str">
        <f aca="false">IF(G1075="","",G1075/SUMIFS($G$2:$G$1122,$F$2:$F$1122,"Served"))</f>
        <v/>
      </c>
      <c r="I1075" s="4" t="str">
        <f aca="false">IF(G1075="","",RANK(G1075,$G$2:$G$1122,0))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2260</v>
      </c>
      <c r="C1076" s="4" t="s">
        <v>2261</v>
      </c>
      <c r="D1076" s="7" t="s">
        <v>2279</v>
      </c>
      <c r="E1076" s="4" t="s">
        <v>2263</v>
      </c>
      <c r="F1076" s="4" t="s">
        <v>5</v>
      </c>
      <c r="G1076" s="8"/>
      <c r="H1076" s="6" t="str">
        <f aca="false">IF(G1076="","",G1076/SUMIFS($G$2:$G$1122,$F$2:$F$1122,"Served"))</f>
        <v/>
      </c>
      <c r="I1076" s="4" t="str">
        <f aca="false">IF(G1076="","",RANK(G1076,$G$2:$G$1122,0))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2260</v>
      </c>
      <c r="C1077" s="4" t="s">
        <v>2261</v>
      </c>
      <c r="D1077" s="7" t="s">
        <v>2281</v>
      </c>
      <c r="E1077" s="4" t="s">
        <v>2263</v>
      </c>
      <c r="F1077" s="4" t="s">
        <v>5</v>
      </c>
      <c r="G1077" s="8"/>
      <c r="H1077" s="6" t="str">
        <f aca="false">IF(G1077="","",G1077/SUMIFS($G$2:$G$1122,$F$2:$F$1122,"Served"))</f>
        <v/>
      </c>
      <c r="I1077" s="4" t="str">
        <f aca="false">IF(G1077="","",RANK(G1077,$G$2:$G$1122,0))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2260</v>
      </c>
      <c r="C1078" s="4" t="s">
        <v>2261</v>
      </c>
      <c r="D1078" s="7" t="s">
        <v>2283</v>
      </c>
      <c r="E1078" s="4" t="s">
        <v>2263</v>
      </c>
      <c r="F1078" s="4" t="s">
        <v>5</v>
      </c>
      <c r="G1078" s="8"/>
      <c r="H1078" s="6" t="str">
        <f aca="false">IF(G1078="","",G1078/SUMIFS($G$2:$G$1122,$F$2:$F$1122,"Served"))</f>
        <v/>
      </c>
      <c r="I1078" s="4" t="str">
        <f aca="false">IF(G1078="","",RANK(G1078,$G$2:$G$1122,0))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2260</v>
      </c>
      <c r="C1079" s="4" t="s">
        <v>2261</v>
      </c>
      <c r="D1079" s="7" t="s">
        <v>2285</v>
      </c>
      <c r="E1079" s="4" t="s">
        <v>2263</v>
      </c>
      <c r="F1079" s="4" t="s">
        <v>5</v>
      </c>
      <c r="G1079" s="8"/>
      <c r="H1079" s="6" t="str">
        <f aca="false">IF(G1079="","",G1079/SUMIFS($G$2:$G$1122,$F$2:$F$1122,"Served"))</f>
        <v/>
      </c>
      <c r="I1079" s="4" t="str">
        <f aca="false">IF(G1079="","",RANK(G1079,$G$2:$G$1122,0))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2260</v>
      </c>
      <c r="C1080" s="4" t="s">
        <v>2261</v>
      </c>
      <c r="D1080" s="7" t="s">
        <v>2287</v>
      </c>
      <c r="E1080" s="4" t="s">
        <v>2263</v>
      </c>
      <c r="F1080" s="4" t="s">
        <v>5</v>
      </c>
      <c r="G1080" s="8"/>
      <c r="H1080" s="6" t="str">
        <f aca="false">IF(G1080="","",G1080/SUMIFS($G$2:$G$1122,$F$2:$F$1122,"Served"))</f>
        <v/>
      </c>
      <c r="I1080" s="4" t="str">
        <f aca="false">IF(G1080="","",RANK(G1080,$G$2:$G$1122,0))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2260</v>
      </c>
      <c r="C1081" s="4" t="s">
        <v>2261</v>
      </c>
      <c r="D1081" s="7" t="s">
        <v>2289</v>
      </c>
      <c r="E1081" s="4" t="s">
        <v>2263</v>
      </c>
      <c r="F1081" s="4" t="s">
        <v>5</v>
      </c>
      <c r="G1081" s="8"/>
      <c r="H1081" s="6" t="str">
        <f aca="false">IF(G1081="","",G1081/SUMIFS($G$2:$G$1122,$F$2:$F$1122,"Served"))</f>
        <v/>
      </c>
      <c r="I1081" s="4" t="str">
        <f aca="false">IF(G1081="","",RANK(G1081,$G$2:$G$1122,0))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2260</v>
      </c>
      <c r="C1082" s="4" t="s">
        <v>2261</v>
      </c>
      <c r="D1082" s="7" t="s">
        <v>2291</v>
      </c>
      <c r="E1082" s="4" t="s">
        <v>2263</v>
      </c>
      <c r="F1082" s="4" t="s">
        <v>5</v>
      </c>
      <c r="G1082" s="8"/>
      <c r="H1082" s="6" t="str">
        <f aca="false">IF(G1082="","",G1082/SUMIFS($G$2:$G$1122,$F$2:$F$1122,"Served"))</f>
        <v/>
      </c>
      <c r="I1082" s="4" t="str">
        <f aca="false">IF(G1082="","",RANK(G1082,$G$2:$G$1122,0))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2260</v>
      </c>
      <c r="C1083" s="4" t="s">
        <v>2261</v>
      </c>
      <c r="D1083" s="7" t="s">
        <v>2293</v>
      </c>
      <c r="E1083" s="4" t="s">
        <v>2263</v>
      </c>
      <c r="F1083" s="4" t="s">
        <v>5</v>
      </c>
      <c r="G1083" s="8"/>
      <c r="H1083" s="6" t="str">
        <f aca="false">IF(G1083="","",G1083/SUMIFS($G$2:$G$1122,$F$2:$F$1122,"Served"))</f>
        <v/>
      </c>
      <c r="I1083" s="4" t="str">
        <f aca="false">IF(G1083="","",RANK(G1083,$G$2:$G$1122,0))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2260</v>
      </c>
      <c r="C1084" s="4" t="s">
        <v>2261</v>
      </c>
      <c r="D1084" s="7" t="s">
        <v>2295</v>
      </c>
      <c r="E1084" s="4" t="s">
        <v>2263</v>
      </c>
      <c r="F1084" s="4" t="s">
        <v>5</v>
      </c>
      <c r="G1084" s="8"/>
      <c r="H1084" s="6" t="str">
        <f aca="false">IF(G1084="","",G1084/SUMIFS($G$2:$G$1122,$F$2:$F$1122,"Served"))</f>
        <v/>
      </c>
      <c r="I1084" s="4" t="str">
        <f aca="false">IF(G1084="","",RANK(G1084,$G$2:$G$1122,0))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2260</v>
      </c>
      <c r="C1085" s="4" t="s">
        <v>2261</v>
      </c>
      <c r="D1085" s="7" t="s">
        <v>2297</v>
      </c>
      <c r="E1085" s="4" t="s">
        <v>2263</v>
      </c>
      <c r="F1085" s="4" t="s">
        <v>5</v>
      </c>
      <c r="G1085" s="8"/>
      <c r="H1085" s="6" t="str">
        <f aca="false">IF(G1085="","",G1085/SUMIFS($G$2:$G$1122,$F$2:$F$1122,"Served"))</f>
        <v/>
      </c>
      <c r="I1085" s="4" t="str">
        <f aca="false">IF(G1085="","",RANK(G1085,$G$2:$G$1122,0))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2260</v>
      </c>
      <c r="C1086" s="4" t="s">
        <v>2261</v>
      </c>
      <c r="D1086" s="7" t="s">
        <v>2299</v>
      </c>
      <c r="E1086" s="4" t="s">
        <v>2263</v>
      </c>
      <c r="F1086" s="4" t="s">
        <v>5</v>
      </c>
      <c r="G1086" s="8"/>
      <c r="H1086" s="6" t="str">
        <f aca="false">IF(G1086="","",G1086/SUMIFS($G$2:$G$1122,$F$2:$F$1122,"Served"))</f>
        <v/>
      </c>
      <c r="I1086" s="4" t="str">
        <f aca="false">IF(G1086="","",RANK(G1086,$G$2:$G$1122,0))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2301</v>
      </c>
      <c r="C1087" s="4" t="s">
        <v>2302</v>
      </c>
      <c r="D1087" s="7" t="s">
        <v>2303</v>
      </c>
      <c r="E1087" s="4" t="s">
        <v>2304</v>
      </c>
      <c r="F1087" s="4" t="s">
        <v>6</v>
      </c>
      <c r="G1087" s="8"/>
      <c r="H1087" s="6" t="str">
        <f aca="false">IF(G1087="","",G1087/SUMIFS($G$2:$G$1122,$F$2:$F$1122,"Served"))</f>
        <v/>
      </c>
      <c r="I1087" s="4" t="str">
        <f aca="false">IF(G1087="","",RANK(G1087,$G$2:$G$1122,0))</f>
        <v/>
      </c>
      <c r="J1087" s="4" t="s">
        <v>34</v>
      </c>
    </row>
    <row r="1088" customFormat="false" ht="15" hidden="false" customHeight="false" outlineLevel="0" collapsed="false">
      <c r="A1088" s="4" t="s">
        <v>2305</v>
      </c>
      <c r="B1088" s="4" t="s">
        <v>2301</v>
      </c>
      <c r="C1088" s="4" t="s">
        <v>2302</v>
      </c>
      <c r="D1088" s="7" t="s">
        <v>2306</v>
      </c>
      <c r="E1088" s="4" t="s">
        <v>2304</v>
      </c>
      <c r="F1088" s="4" t="s">
        <v>6</v>
      </c>
      <c r="G1088" s="8"/>
      <c r="H1088" s="6" t="str">
        <f aca="false">IF(G1088="","",G1088/SUMIFS($G$2:$G$1122,$F$2:$F$1122,"Served"))</f>
        <v/>
      </c>
      <c r="I1088" s="4" t="str">
        <f aca="false">IF(G1088="","",RANK(G1088,$G$2:$G$1122,0))</f>
        <v/>
      </c>
      <c r="J1088" s="4" t="s">
        <v>34</v>
      </c>
    </row>
    <row r="1089" customFormat="false" ht="15" hidden="false" customHeight="false" outlineLevel="0" collapsed="false">
      <c r="A1089" s="4" t="s">
        <v>2307</v>
      </c>
      <c r="B1089" s="4" t="s">
        <v>2301</v>
      </c>
      <c r="C1089" s="4" t="s">
        <v>2302</v>
      </c>
      <c r="D1089" s="7" t="s">
        <v>2308</v>
      </c>
      <c r="E1089" s="4" t="s">
        <v>2304</v>
      </c>
      <c r="F1089" s="4" t="s">
        <v>6</v>
      </c>
      <c r="G1089" s="8"/>
      <c r="H1089" s="6" t="str">
        <f aca="false">IF(G1089="","",G1089/SUMIFS($G$2:$G$1122,$F$2:$F$1122,"Served"))</f>
        <v/>
      </c>
      <c r="I1089" s="4" t="str">
        <f aca="false">IF(G1089="","",RANK(G1089,$G$2:$G$1122,0))</f>
        <v/>
      </c>
      <c r="J1089" s="4" t="s">
        <v>34</v>
      </c>
    </row>
    <row r="1090" customFormat="false" ht="15" hidden="false" customHeight="false" outlineLevel="0" collapsed="false">
      <c r="A1090" s="4" t="s">
        <v>2309</v>
      </c>
      <c r="B1090" s="4" t="s">
        <v>2301</v>
      </c>
      <c r="C1090" s="4" t="s">
        <v>2302</v>
      </c>
      <c r="D1090" s="7" t="s">
        <v>2310</v>
      </c>
      <c r="E1090" s="4" t="s">
        <v>2304</v>
      </c>
      <c r="F1090" s="4" t="s">
        <v>6</v>
      </c>
      <c r="G1090" s="8"/>
      <c r="H1090" s="6" t="str">
        <f aca="false">IF(G1090="","",G1090/SUMIFS($G$2:$G$1122,$F$2:$F$1122,"Served"))</f>
        <v/>
      </c>
      <c r="I1090" s="4" t="str">
        <f aca="false">IF(G1090="","",RANK(G1090,$G$2:$G$1122,0))</f>
        <v/>
      </c>
      <c r="J1090" s="4" t="s">
        <v>34</v>
      </c>
    </row>
    <row r="1091" customFormat="false" ht="15" hidden="false" customHeight="false" outlineLevel="0" collapsed="false">
      <c r="A1091" s="4" t="s">
        <v>2311</v>
      </c>
      <c r="B1091" s="4" t="s">
        <v>2301</v>
      </c>
      <c r="C1091" s="4" t="s">
        <v>2302</v>
      </c>
      <c r="D1091" s="7" t="s">
        <v>2312</v>
      </c>
      <c r="E1091" s="4" t="s">
        <v>2304</v>
      </c>
      <c r="F1091" s="4" t="s">
        <v>6</v>
      </c>
      <c r="G1091" s="8"/>
      <c r="H1091" s="6" t="str">
        <f aca="false">IF(G1091="","",G1091/SUMIFS($G$2:$G$1122,$F$2:$F$1122,"Served"))</f>
        <v/>
      </c>
      <c r="I1091" s="4" t="str">
        <f aca="false">IF(G1091="","",RANK(G1091,$G$2:$G$1122,0))</f>
        <v/>
      </c>
      <c r="J1091" s="4" t="s">
        <v>34</v>
      </c>
    </row>
    <row r="1092" customFormat="false" ht="15" hidden="false" customHeight="false" outlineLevel="0" collapsed="false">
      <c r="A1092" s="4" t="s">
        <v>2313</v>
      </c>
      <c r="B1092" s="4" t="s">
        <v>2301</v>
      </c>
      <c r="C1092" s="4" t="s">
        <v>2302</v>
      </c>
      <c r="D1092" s="7" t="s">
        <v>2314</v>
      </c>
      <c r="E1092" s="4" t="s">
        <v>2304</v>
      </c>
      <c r="F1092" s="4" t="s">
        <v>6</v>
      </c>
      <c r="G1092" s="8"/>
      <c r="H1092" s="6" t="str">
        <f aca="false">IF(G1092="","",G1092/SUMIFS($G$2:$G$1122,$F$2:$F$1122,"Served"))</f>
        <v/>
      </c>
      <c r="I1092" s="4" t="str">
        <f aca="false">IF(G1092="","",RANK(G1092,$G$2:$G$1122,0))</f>
        <v/>
      </c>
      <c r="J1092" s="4" t="s">
        <v>34</v>
      </c>
    </row>
    <row r="1093" customFormat="false" ht="15" hidden="false" customHeight="false" outlineLevel="0" collapsed="false">
      <c r="A1093" s="4" t="s">
        <v>2315</v>
      </c>
      <c r="B1093" s="4" t="s">
        <v>2301</v>
      </c>
      <c r="C1093" s="4" t="s">
        <v>2302</v>
      </c>
      <c r="D1093" s="7" t="s">
        <v>2316</v>
      </c>
      <c r="E1093" s="4" t="s">
        <v>2304</v>
      </c>
      <c r="F1093" s="4" t="s">
        <v>6</v>
      </c>
      <c r="G1093" s="8"/>
      <c r="H1093" s="6" t="str">
        <f aca="false">IF(G1093="","",G1093/SUMIFS($G$2:$G$1122,$F$2:$F$1122,"Served"))</f>
        <v/>
      </c>
      <c r="I1093" s="4" t="str">
        <f aca="false">IF(G1093="","",RANK(G1093,$G$2:$G$1122,0))</f>
        <v/>
      </c>
      <c r="J1093" s="4" t="s">
        <v>34</v>
      </c>
    </row>
    <row r="1094" customFormat="false" ht="15" hidden="false" customHeight="false" outlineLevel="0" collapsed="false">
      <c r="A1094" s="4" t="s">
        <v>2317</v>
      </c>
      <c r="B1094" s="4" t="s">
        <v>2301</v>
      </c>
      <c r="C1094" s="4" t="s">
        <v>2302</v>
      </c>
      <c r="D1094" s="7" t="s">
        <v>2318</v>
      </c>
      <c r="E1094" s="4" t="s">
        <v>2304</v>
      </c>
      <c r="F1094" s="4" t="s">
        <v>6</v>
      </c>
      <c r="G1094" s="8"/>
      <c r="H1094" s="6" t="str">
        <f aca="false">IF(G1094="","",G1094/SUMIFS($G$2:$G$1122,$F$2:$F$1122,"Served"))</f>
        <v/>
      </c>
      <c r="I1094" s="4" t="str">
        <f aca="false">IF(G1094="","",RANK(G1094,$G$2:$G$1122,0))</f>
        <v/>
      </c>
      <c r="J1094" s="4" t="s">
        <v>34</v>
      </c>
    </row>
    <row r="1095" customFormat="false" ht="15" hidden="false" customHeight="false" outlineLevel="0" collapsed="false">
      <c r="A1095" s="4" t="s">
        <v>2319</v>
      </c>
      <c r="B1095" s="4" t="s">
        <v>2301</v>
      </c>
      <c r="C1095" s="4" t="s">
        <v>2302</v>
      </c>
      <c r="D1095" s="7" t="s">
        <v>2320</v>
      </c>
      <c r="E1095" s="4" t="s">
        <v>2304</v>
      </c>
      <c r="F1095" s="4" t="s">
        <v>6</v>
      </c>
      <c r="G1095" s="8"/>
      <c r="H1095" s="6" t="str">
        <f aca="false">IF(G1095="","",G1095/SUMIFS($G$2:$G$1122,$F$2:$F$1122,"Served"))</f>
        <v/>
      </c>
      <c r="I1095" s="4" t="str">
        <f aca="false">IF(G1095="","",RANK(G1095,$G$2:$G$1122,0))</f>
        <v/>
      </c>
      <c r="J1095" s="4" t="s">
        <v>34</v>
      </c>
    </row>
    <row r="1096" customFormat="false" ht="15" hidden="false" customHeight="false" outlineLevel="0" collapsed="false">
      <c r="A1096" s="4" t="s">
        <v>2321</v>
      </c>
      <c r="B1096" s="4" t="s">
        <v>2301</v>
      </c>
      <c r="C1096" s="4" t="s">
        <v>2302</v>
      </c>
      <c r="D1096" s="7" t="s">
        <v>2322</v>
      </c>
      <c r="E1096" s="4" t="s">
        <v>2304</v>
      </c>
      <c r="F1096" s="4" t="s">
        <v>6</v>
      </c>
      <c r="G1096" s="8"/>
      <c r="H1096" s="6" t="str">
        <f aca="false">IF(G1096="","",G1096/SUMIFS($G$2:$G$1122,$F$2:$F$1122,"Served"))</f>
        <v/>
      </c>
      <c r="I1096" s="4" t="str">
        <f aca="false">IF(G1096="","",RANK(G1096,$G$2:$G$1122,0))</f>
        <v/>
      </c>
      <c r="J1096" s="4" t="s">
        <v>34</v>
      </c>
    </row>
    <row r="1097" customFormat="false" ht="15" hidden="false" customHeight="false" outlineLevel="0" collapsed="false">
      <c r="A1097" s="4" t="s">
        <v>2323</v>
      </c>
      <c r="B1097" s="4" t="s">
        <v>2301</v>
      </c>
      <c r="C1097" s="4" t="s">
        <v>2302</v>
      </c>
      <c r="D1097" s="7" t="s">
        <v>2324</v>
      </c>
      <c r="E1097" s="4" t="s">
        <v>2304</v>
      </c>
      <c r="F1097" s="4" t="s">
        <v>6</v>
      </c>
      <c r="G1097" s="8"/>
      <c r="H1097" s="6" t="str">
        <f aca="false">IF(G1097="","",G1097/SUMIFS($G$2:$G$1122,$F$2:$F$1122,"Served"))</f>
        <v/>
      </c>
      <c r="I1097" s="4" t="str">
        <f aca="false">IF(G1097="","",RANK(G1097,$G$2:$G$1122,0))</f>
        <v/>
      </c>
      <c r="J1097" s="4" t="s">
        <v>34</v>
      </c>
    </row>
    <row r="1098" customFormat="false" ht="15" hidden="false" customHeight="false" outlineLevel="0" collapsed="false">
      <c r="A1098" s="4" t="s">
        <v>2325</v>
      </c>
      <c r="B1098" s="4" t="s">
        <v>2301</v>
      </c>
      <c r="C1098" s="4" t="s">
        <v>2302</v>
      </c>
      <c r="D1098" s="7" t="s">
        <v>2326</v>
      </c>
      <c r="E1098" s="4" t="s">
        <v>2304</v>
      </c>
      <c r="F1098" s="4" t="s">
        <v>6</v>
      </c>
      <c r="G1098" s="8"/>
      <c r="H1098" s="6" t="str">
        <f aca="false">IF(G1098="","",G1098/SUMIFS($G$2:$G$1122,$F$2:$F$1122,"Served"))</f>
        <v/>
      </c>
      <c r="I1098" s="4" t="str">
        <f aca="false">IF(G1098="","",RANK(G1098,$G$2:$G$1122,0))</f>
        <v/>
      </c>
      <c r="J1098" s="4" t="s">
        <v>34</v>
      </c>
    </row>
    <row r="1099" customFormat="false" ht="15" hidden="false" customHeight="false" outlineLevel="0" collapsed="false">
      <c r="A1099" s="4" t="s">
        <v>2327</v>
      </c>
      <c r="B1099" s="4" t="s">
        <v>2301</v>
      </c>
      <c r="C1099" s="4" t="s">
        <v>2302</v>
      </c>
      <c r="D1099" s="7" t="s">
        <v>2328</v>
      </c>
      <c r="E1099" s="4" t="s">
        <v>2304</v>
      </c>
      <c r="F1099" s="4" t="s">
        <v>6</v>
      </c>
      <c r="G1099" s="8"/>
      <c r="H1099" s="6" t="str">
        <f aca="false">IF(G1099="","",G1099/SUMIFS($G$2:$G$1122,$F$2:$F$1122,"Served"))</f>
        <v/>
      </c>
      <c r="I1099" s="4" t="str">
        <f aca="false">IF(G1099="","",RANK(G1099,$G$2:$G$1122,0))</f>
        <v/>
      </c>
      <c r="J1099" s="4" t="s">
        <v>34</v>
      </c>
    </row>
    <row r="1100" customFormat="false" ht="15" hidden="false" customHeight="false" outlineLevel="0" collapsed="false">
      <c r="A1100" s="4" t="s">
        <v>2329</v>
      </c>
      <c r="B1100" s="4" t="s">
        <v>2301</v>
      </c>
      <c r="C1100" s="4" t="s">
        <v>2302</v>
      </c>
      <c r="D1100" s="7" t="s">
        <v>2330</v>
      </c>
      <c r="E1100" s="4" t="s">
        <v>2304</v>
      </c>
      <c r="F1100" s="4" t="s">
        <v>6</v>
      </c>
      <c r="G1100" s="8"/>
      <c r="H1100" s="6" t="str">
        <f aca="false">IF(G1100="","",G1100/SUMIFS($G$2:$G$1122,$F$2:$F$1122,"Served"))</f>
        <v/>
      </c>
      <c r="I1100" s="4" t="str">
        <f aca="false">IF(G1100="","",RANK(G1100,$G$2:$G$1122,0))</f>
        <v/>
      </c>
      <c r="J1100" s="4" t="s">
        <v>34</v>
      </c>
    </row>
    <row r="1101" customFormat="false" ht="15" hidden="false" customHeight="false" outlineLevel="0" collapsed="false">
      <c r="A1101" s="4" t="s">
        <v>2331</v>
      </c>
      <c r="B1101" s="4" t="s">
        <v>2301</v>
      </c>
      <c r="C1101" s="4" t="s">
        <v>2302</v>
      </c>
      <c r="D1101" s="7" t="s">
        <v>2332</v>
      </c>
      <c r="E1101" s="4" t="s">
        <v>2304</v>
      </c>
      <c r="F1101" s="4" t="s">
        <v>6</v>
      </c>
      <c r="G1101" s="8"/>
      <c r="H1101" s="6" t="str">
        <f aca="false">IF(G1101="","",G1101/SUMIFS($G$2:$G$1122,$F$2:$F$1122,"Served"))</f>
        <v/>
      </c>
      <c r="I1101" s="4" t="str">
        <f aca="false">IF(G1101="","",RANK(G1101,$G$2:$G$1122,0))</f>
        <v/>
      </c>
      <c r="J1101" s="4" t="s">
        <v>34</v>
      </c>
    </row>
    <row r="1102" customFormat="false" ht="15" hidden="false" customHeight="false" outlineLevel="0" collapsed="false">
      <c r="A1102" s="4" t="s">
        <v>2333</v>
      </c>
      <c r="B1102" s="4" t="s">
        <v>2301</v>
      </c>
      <c r="C1102" s="4" t="s">
        <v>2302</v>
      </c>
      <c r="D1102" s="7" t="s">
        <v>2334</v>
      </c>
      <c r="E1102" s="4" t="s">
        <v>2304</v>
      </c>
      <c r="F1102" s="4" t="s">
        <v>6</v>
      </c>
      <c r="G1102" s="8"/>
      <c r="H1102" s="6" t="str">
        <f aca="false">IF(G1102="","",G1102/SUMIFS($G$2:$G$1122,$F$2:$F$1122,"Served"))</f>
        <v/>
      </c>
      <c r="I1102" s="4" t="str">
        <f aca="false">IF(G1102="","",RANK(G1102,$G$2:$G$1122,0))</f>
        <v/>
      </c>
      <c r="J1102" s="4" t="s">
        <v>34</v>
      </c>
    </row>
    <row r="1103" customFormat="false" ht="15" hidden="false" customHeight="false" outlineLevel="0" collapsed="false">
      <c r="A1103" s="4" t="s">
        <v>2335</v>
      </c>
      <c r="B1103" s="4" t="s">
        <v>2301</v>
      </c>
      <c r="C1103" s="4" t="s">
        <v>2302</v>
      </c>
      <c r="D1103" s="7" t="s">
        <v>2336</v>
      </c>
      <c r="E1103" s="4" t="s">
        <v>2304</v>
      </c>
      <c r="F1103" s="4" t="s">
        <v>6</v>
      </c>
      <c r="G1103" s="8"/>
      <c r="H1103" s="6" t="str">
        <f aca="false">IF(G1103="","",G1103/SUMIFS($G$2:$G$1122,$F$2:$F$1122,"Served"))</f>
        <v/>
      </c>
      <c r="I1103" s="4" t="str">
        <f aca="false">IF(G1103="","",RANK(G1103,$G$2:$G$1122,0))</f>
        <v/>
      </c>
      <c r="J1103" s="4" t="s">
        <v>34</v>
      </c>
    </row>
    <row r="1104" customFormat="false" ht="15" hidden="false" customHeight="false" outlineLevel="0" collapsed="false">
      <c r="A1104" s="4" t="s">
        <v>2337</v>
      </c>
      <c r="B1104" s="4" t="s">
        <v>2301</v>
      </c>
      <c r="C1104" s="4" t="s">
        <v>2302</v>
      </c>
      <c r="D1104" s="7" t="s">
        <v>2338</v>
      </c>
      <c r="E1104" s="4" t="s">
        <v>2304</v>
      </c>
      <c r="F1104" s="4" t="s">
        <v>6</v>
      </c>
      <c r="G1104" s="8"/>
      <c r="H1104" s="6" t="str">
        <f aca="false">IF(G1104="","",G1104/SUMIFS($G$2:$G$1122,$F$2:$F$1122,"Served"))</f>
        <v/>
      </c>
      <c r="I1104" s="4" t="str">
        <f aca="false">IF(G1104="","",RANK(G1104,$G$2:$G$1122,0))</f>
        <v/>
      </c>
      <c r="J1104" s="4" t="s">
        <v>34</v>
      </c>
    </row>
    <row r="1105" customFormat="false" ht="15" hidden="false" customHeight="false" outlineLevel="0" collapsed="false">
      <c r="A1105" s="4" t="s">
        <v>2339</v>
      </c>
      <c r="B1105" s="4" t="s">
        <v>2301</v>
      </c>
      <c r="C1105" s="4" t="s">
        <v>2302</v>
      </c>
      <c r="D1105" s="7" t="s">
        <v>2340</v>
      </c>
      <c r="E1105" s="4" t="s">
        <v>2304</v>
      </c>
      <c r="F1105" s="4" t="s">
        <v>6</v>
      </c>
      <c r="G1105" s="8"/>
      <c r="H1105" s="6" t="str">
        <f aca="false">IF(G1105="","",G1105/SUMIFS($G$2:$G$1122,$F$2:$F$1122,"Served"))</f>
        <v/>
      </c>
      <c r="I1105" s="4" t="str">
        <f aca="false">IF(G1105="","",RANK(G1105,$G$2:$G$1122,0))</f>
        <v/>
      </c>
      <c r="J1105" s="4" t="s">
        <v>34</v>
      </c>
    </row>
    <row r="1106" customFormat="false" ht="15" hidden="false" customHeight="false" outlineLevel="0" collapsed="false">
      <c r="A1106" s="4" t="s">
        <v>2341</v>
      </c>
      <c r="B1106" s="4" t="s">
        <v>2301</v>
      </c>
      <c r="C1106" s="4" t="s">
        <v>2302</v>
      </c>
      <c r="D1106" s="7" t="s">
        <v>2342</v>
      </c>
      <c r="E1106" s="4" t="s">
        <v>2304</v>
      </c>
      <c r="F1106" s="4" t="s">
        <v>6</v>
      </c>
      <c r="G1106" s="8"/>
      <c r="H1106" s="6" t="str">
        <f aca="false">IF(G1106="","",G1106/SUMIFS($G$2:$G$1122,$F$2:$F$1122,"Served"))</f>
        <v/>
      </c>
      <c r="I1106" s="4" t="str">
        <f aca="false">IF(G1106="","",RANK(G1106,$G$2:$G$1122,0))</f>
        <v/>
      </c>
      <c r="J1106" s="4" t="s">
        <v>34</v>
      </c>
    </row>
    <row r="1107" customFormat="false" ht="15" hidden="false" customHeight="false" outlineLevel="0" collapsed="false">
      <c r="A1107" s="4" t="s">
        <v>2343</v>
      </c>
      <c r="B1107" s="4" t="s">
        <v>2301</v>
      </c>
      <c r="C1107" s="4" t="s">
        <v>2302</v>
      </c>
      <c r="D1107" s="7" t="s">
        <v>2344</v>
      </c>
      <c r="E1107" s="4" t="s">
        <v>2304</v>
      </c>
      <c r="F1107" s="4" t="s">
        <v>6</v>
      </c>
      <c r="G1107" s="8"/>
      <c r="H1107" s="6" t="str">
        <f aca="false">IF(G1107="","",G1107/SUMIFS($G$2:$G$1122,$F$2:$F$1122,"Served"))</f>
        <v/>
      </c>
      <c r="I1107" s="4" t="str">
        <f aca="false">IF(G1107="","",RANK(G1107,$G$2:$G$1122,0))</f>
        <v/>
      </c>
      <c r="J1107" s="4" t="s">
        <v>34</v>
      </c>
    </row>
    <row r="1108" customFormat="false" ht="15" hidden="false" customHeight="false" outlineLevel="0" collapsed="false">
      <c r="A1108" s="4" t="s">
        <v>2345</v>
      </c>
      <c r="B1108" s="4" t="s">
        <v>2301</v>
      </c>
      <c r="C1108" s="4" t="s">
        <v>2302</v>
      </c>
      <c r="D1108" s="7" t="s">
        <v>2346</v>
      </c>
      <c r="E1108" s="4" t="s">
        <v>2304</v>
      </c>
      <c r="F1108" s="4" t="s">
        <v>6</v>
      </c>
      <c r="G1108" s="8"/>
      <c r="H1108" s="6" t="str">
        <f aca="false">IF(G1108="","",G1108/SUMIFS($G$2:$G$1122,$F$2:$F$1122,"Served"))</f>
        <v/>
      </c>
      <c r="I1108" s="4" t="str">
        <f aca="false">IF(G1108="","",RANK(G1108,$G$2:$G$1122,0))</f>
        <v/>
      </c>
      <c r="J1108" s="4" t="s">
        <v>34</v>
      </c>
    </row>
    <row r="1109" customFormat="false" ht="15" hidden="false" customHeight="false" outlineLevel="0" collapsed="false">
      <c r="A1109" s="4" t="s">
        <v>2347</v>
      </c>
      <c r="B1109" s="4" t="s">
        <v>2301</v>
      </c>
      <c r="C1109" s="4" t="s">
        <v>2302</v>
      </c>
      <c r="D1109" s="7" t="s">
        <v>2348</v>
      </c>
      <c r="E1109" s="4" t="s">
        <v>2304</v>
      </c>
      <c r="F1109" s="4" t="s">
        <v>6</v>
      </c>
      <c r="G1109" s="8"/>
      <c r="H1109" s="6" t="str">
        <f aca="false">IF(G1109="","",G1109/SUMIFS($G$2:$G$1122,$F$2:$F$1122,"Served"))</f>
        <v/>
      </c>
      <c r="I1109" s="4" t="str">
        <f aca="false">IF(G1109="","",RANK(G1109,$G$2:$G$1122,0))</f>
        <v/>
      </c>
      <c r="J1109" s="4" t="s">
        <v>34</v>
      </c>
    </row>
    <row r="1110" customFormat="false" ht="15" hidden="false" customHeight="false" outlineLevel="0" collapsed="false">
      <c r="A1110" s="4" t="s">
        <v>2349</v>
      </c>
      <c r="B1110" s="4" t="s">
        <v>2301</v>
      </c>
      <c r="C1110" s="4" t="s">
        <v>2302</v>
      </c>
      <c r="D1110" s="7" t="s">
        <v>2350</v>
      </c>
      <c r="E1110" s="4" t="s">
        <v>2304</v>
      </c>
      <c r="F1110" s="4" t="s">
        <v>6</v>
      </c>
      <c r="G1110" s="8"/>
      <c r="H1110" s="6" t="str">
        <f aca="false">IF(G1110="","",G1110/SUMIFS($G$2:$G$1122,$F$2:$F$1122,"Served"))</f>
        <v/>
      </c>
      <c r="I1110" s="4" t="str">
        <f aca="false">IF(G1110="","",RANK(G1110,$G$2:$G$1122,0))</f>
        <v/>
      </c>
      <c r="J1110" s="4" t="s">
        <v>34</v>
      </c>
    </row>
    <row r="1111" customFormat="false" ht="15" hidden="false" customHeight="false" outlineLevel="0" collapsed="false">
      <c r="A1111" s="4" t="s">
        <v>2351</v>
      </c>
      <c r="B1111" s="4" t="s">
        <v>2301</v>
      </c>
      <c r="C1111" s="4" t="s">
        <v>2302</v>
      </c>
      <c r="D1111" s="7" t="s">
        <v>2352</v>
      </c>
      <c r="E1111" s="4" t="s">
        <v>2304</v>
      </c>
      <c r="F1111" s="4" t="s">
        <v>6</v>
      </c>
      <c r="G1111" s="8"/>
      <c r="H1111" s="6" t="str">
        <f aca="false">IF(G1111="","",G1111/SUMIFS($G$2:$G$1122,$F$2:$F$1122,"Served"))</f>
        <v/>
      </c>
      <c r="I1111" s="4" t="str">
        <f aca="false">IF(G1111="","",RANK(G1111,$G$2:$G$1122,0))</f>
        <v/>
      </c>
      <c r="J1111" s="4" t="s">
        <v>34</v>
      </c>
    </row>
    <row r="1112" customFormat="false" ht="15" hidden="false" customHeight="false" outlineLevel="0" collapsed="false">
      <c r="A1112" s="4" t="s">
        <v>2353</v>
      </c>
      <c r="B1112" s="4" t="s">
        <v>2301</v>
      </c>
      <c r="C1112" s="4" t="s">
        <v>2302</v>
      </c>
      <c r="D1112" s="7" t="s">
        <v>2354</v>
      </c>
      <c r="E1112" s="4" t="s">
        <v>2304</v>
      </c>
      <c r="F1112" s="4" t="s">
        <v>6</v>
      </c>
      <c r="G1112" s="8"/>
      <c r="H1112" s="6" t="str">
        <f aca="false">IF(G1112="","",G1112/SUMIFS($G$2:$G$1122,$F$2:$F$1122,"Served"))</f>
        <v/>
      </c>
      <c r="I1112" s="4" t="str">
        <f aca="false">IF(G1112="","",RANK(G1112,$G$2:$G$1122,0))</f>
        <v/>
      </c>
      <c r="J1112" s="4" t="s">
        <v>34</v>
      </c>
    </row>
    <row r="1113" customFormat="false" ht="15" hidden="false" customHeight="false" outlineLevel="0" collapsed="false">
      <c r="A1113" s="4" t="s">
        <v>2355</v>
      </c>
      <c r="B1113" s="4" t="s">
        <v>2301</v>
      </c>
      <c r="C1113" s="4" t="s">
        <v>2302</v>
      </c>
      <c r="D1113" s="7" t="s">
        <v>2356</v>
      </c>
      <c r="E1113" s="4" t="s">
        <v>2304</v>
      </c>
      <c r="F1113" s="4" t="s">
        <v>6</v>
      </c>
      <c r="G1113" s="8"/>
      <c r="H1113" s="6" t="str">
        <f aca="false">IF(G1113="","",G1113/SUMIFS($G$2:$G$1122,$F$2:$F$1122,"Served"))</f>
        <v/>
      </c>
      <c r="I1113" s="4" t="str">
        <f aca="false">IF(G1113="","",RANK(G1113,$G$2:$G$1122,0))</f>
        <v/>
      </c>
      <c r="J1113" s="4" t="s">
        <v>34</v>
      </c>
    </row>
    <row r="1114" customFormat="false" ht="15" hidden="false" customHeight="false" outlineLevel="0" collapsed="false">
      <c r="A1114" s="4" t="s">
        <v>2357</v>
      </c>
      <c r="B1114" s="4" t="s">
        <v>2301</v>
      </c>
      <c r="C1114" s="4" t="s">
        <v>2302</v>
      </c>
      <c r="D1114" s="7" t="s">
        <v>2358</v>
      </c>
      <c r="E1114" s="4" t="s">
        <v>2304</v>
      </c>
      <c r="F1114" s="4" t="s">
        <v>6</v>
      </c>
      <c r="G1114" s="8"/>
      <c r="H1114" s="6" t="str">
        <f aca="false">IF(G1114="","",G1114/SUMIFS($G$2:$G$1122,$F$2:$F$1122,"Served"))</f>
        <v/>
      </c>
      <c r="I1114" s="4" t="str">
        <f aca="false">IF(G1114="","",RANK(G1114,$G$2:$G$1122,0))</f>
        <v/>
      </c>
      <c r="J1114" s="4" t="s">
        <v>34</v>
      </c>
    </row>
    <row r="1115" customFormat="false" ht="15" hidden="false" customHeight="false" outlineLevel="0" collapsed="false">
      <c r="A1115" s="4" t="s">
        <v>2359</v>
      </c>
      <c r="B1115" s="4" t="s">
        <v>2301</v>
      </c>
      <c r="C1115" s="4" t="s">
        <v>2302</v>
      </c>
      <c r="D1115" s="7" t="s">
        <v>2360</v>
      </c>
      <c r="E1115" s="4" t="s">
        <v>2304</v>
      </c>
      <c r="F1115" s="4" t="s">
        <v>6</v>
      </c>
      <c r="G1115" s="8"/>
      <c r="H1115" s="6" t="str">
        <f aca="false">IF(G1115="","",G1115/SUMIFS($G$2:$G$1122,$F$2:$F$1122,"Served"))</f>
        <v/>
      </c>
      <c r="I1115" s="4" t="str">
        <f aca="false">IF(G1115="","",RANK(G1115,$G$2:$G$1122,0))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2301</v>
      </c>
      <c r="C1116" s="4" t="s">
        <v>2302</v>
      </c>
      <c r="D1116" s="7" t="s">
        <v>2362</v>
      </c>
      <c r="E1116" s="4" t="s">
        <v>2304</v>
      </c>
      <c r="F1116" s="4" t="s">
        <v>6</v>
      </c>
      <c r="G1116" s="8"/>
      <c r="H1116" s="6" t="str">
        <f aca="false">IF(G1116="","",G1116/SUMIFS($G$2:$G$1122,$F$2:$F$1122,"Served"))</f>
        <v/>
      </c>
      <c r="I1116" s="4" t="str">
        <f aca="false">IF(G1116="","",RANK(G1116,$G$2:$G$1122,0))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2301</v>
      </c>
      <c r="C1117" s="4" t="s">
        <v>2302</v>
      </c>
      <c r="D1117" s="7" t="s">
        <v>2364</v>
      </c>
      <c r="E1117" s="4" t="s">
        <v>2304</v>
      </c>
      <c r="F1117" s="4" t="s">
        <v>6</v>
      </c>
      <c r="G1117" s="8"/>
      <c r="H1117" s="6" t="str">
        <f aca="false">IF(G1117="","",G1117/SUMIFS($G$2:$G$1122,$F$2:$F$1122,"Served"))</f>
        <v/>
      </c>
      <c r="I1117" s="4" t="str">
        <f aca="false">IF(G1117="","",RANK(G1117,$G$2:$G$1122,0))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2301</v>
      </c>
      <c r="C1118" s="4" t="s">
        <v>2302</v>
      </c>
      <c r="D1118" s="7" t="s">
        <v>2366</v>
      </c>
      <c r="E1118" s="4" t="s">
        <v>2304</v>
      </c>
      <c r="F1118" s="4" t="s">
        <v>6</v>
      </c>
      <c r="G1118" s="8"/>
      <c r="H1118" s="6" t="str">
        <f aca="false">IF(G1118="","",G1118/SUMIFS($G$2:$G$1122,$F$2:$F$1122,"Served"))</f>
        <v/>
      </c>
      <c r="I1118" s="4" t="str">
        <f aca="false">IF(G1118="","",RANK(G1118,$G$2:$G$1122,0))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2368</v>
      </c>
      <c r="C1119" s="4" t="s">
        <v>2369</v>
      </c>
      <c r="D1119" s="7" t="s">
        <v>2370</v>
      </c>
      <c r="E1119" s="4" t="s">
        <v>134</v>
      </c>
      <c r="F1119" s="4" t="s">
        <v>7</v>
      </c>
      <c r="G1119" s="8"/>
      <c r="H1119" s="6" t="str">
        <f aca="false">IF(G1119="","",G1119/SUMIFS($G$2:$G$1122,$F$2:$F$1122,"Served"))</f>
        <v/>
      </c>
      <c r="I1119" s="4" t="str">
        <f aca="false">IF(G1119="","",RANK(G1119,$G$2:$G$1122,0))</f>
        <v/>
      </c>
      <c r="J1119" s="4" t="s">
        <v>2371</v>
      </c>
    </row>
    <row r="1120" customFormat="false" ht="15" hidden="false" customHeight="false" outlineLevel="0" collapsed="false">
      <c r="A1120" s="4" t="s">
        <v>2372</v>
      </c>
      <c r="B1120" s="4" t="s">
        <v>2368</v>
      </c>
      <c r="C1120" s="4" t="s">
        <v>2369</v>
      </c>
      <c r="D1120" s="7" t="s">
        <v>2373</v>
      </c>
      <c r="E1120" s="4" t="s">
        <v>134</v>
      </c>
      <c r="F1120" s="4" t="s">
        <v>7</v>
      </c>
      <c r="G1120" s="8"/>
      <c r="H1120" s="6" t="str">
        <f aca="false">IF(G1120="","",G1120/SUMIFS($G$2:$G$1122,$F$2:$F$1122,"Served"))</f>
        <v/>
      </c>
      <c r="I1120" s="4" t="str">
        <f aca="false">IF(G1120="","",RANK(G1120,$G$2:$G$1122,0))</f>
        <v/>
      </c>
      <c r="J1120" s="4" t="s">
        <v>2371</v>
      </c>
    </row>
    <row r="1121" customFormat="false" ht="15" hidden="false" customHeight="false" outlineLevel="0" collapsed="false">
      <c r="A1121" s="4" t="s">
        <v>2374</v>
      </c>
      <c r="B1121" s="4" t="s">
        <v>2368</v>
      </c>
      <c r="C1121" s="4" t="s">
        <v>2369</v>
      </c>
      <c r="D1121" s="7" t="s">
        <v>2375</v>
      </c>
      <c r="E1121" s="4" t="s">
        <v>134</v>
      </c>
      <c r="F1121" s="4" t="s">
        <v>7</v>
      </c>
      <c r="G1121" s="8"/>
      <c r="H1121" s="6" t="str">
        <f aca="false">IF(G1121="","",G1121/SUMIFS($G$2:$G$1122,$F$2:$F$1122,"Served"))</f>
        <v/>
      </c>
      <c r="I1121" s="4" t="str">
        <f aca="false">IF(G1121="","",RANK(G1121,$G$2:$G$1122,0))</f>
        <v/>
      </c>
      <c r="J1121" s="4" t="s">
        <v>2371</v>
      </c>
    </row>
    <row r="1122" customFormat="false" ht="15" hidden="false" customHeight="false" outlineLevel="0" collapsed="false">
      <c r="A1122" s="4" t="s">
        <v>2376</v>
      </c>
      <c r="B1122" s="4" t="s">
        <v>2368</v>
      </c>
      <c r="C1122" s="4" t="s">
        <v>2369</v>
      </c>
      <c r="D1122" s="7" t="s">
        <v>2377</v>
      </c>
      <c r="E1122" s="4" t="s">
        <v>134</v>
      </c>
      <c r="F1122" s="4" t="s">
        <v>7</v>
      </c>
      <c r="G1122" s="8"/>
      <c r="H1122" s="6" t="str">
        <f aca="false">IF(G1122="","",G1122/SUMIFS($G$2:$G$1122,$F$2:$F$1122,"Served"))</f>
        <v/>
      </c>
      <c r="I1122" s="4" t="str">
        <f aca="false">IF(G1122="","",RANK(G1122,$G$2:$G$1122,0))</f>
        <v/>
      </c>
      <c r="J1122" s="4" t="s">
        <v>2371</v>
      </c>
    </row>
  </sheetData>
  <autoFilter ref="A1:J11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2378</v>
      </c>
      <c r="D1" s="3" t="s">
        <v>4</v>
      </c>
      <c r="E1" s="3" t="s">
        <v>26</v>
      </c>
      <c r="F1" s="3" t="s">
        <v>23</v>
      </c>
      <c r="G1" s="3" t="s">
        <v>2379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COUNTIFS(Features!$B$2:$B$1122,A2)</f>
        <v>188</v>
      </c>
      <c r="D2" s="4" t="n">
        <f aca="false">COUNTIFS(Features!$B$2:$B$1122,A2,Features!$F$2:$F$1122,"Served")</f>
        <v>188</v>
      </c>
      <c r="E2" s="6" t="n">
        <f aca="false">SUMIFS(Features!$H$2:$H$1122,Features!$B$2:$B$1122,A2)</f>
        <v>0.565722271259781</v>
      </c>
      <c r="F2" s="4" t="s">
        <v>33</v>
      </c>
      <c r="G2" s="4" t="s">
        <v>2380</v>
      </c>
    </row>
    <row r="3" customFormat="false" ht="15" hidden="false" customHeight="false" outlineLevel="0" collapsed="false">
      <c r="A3" s="4" t="s">
        <v>41</v>
      </c>
      <c r="B3" s="4" t="s">
        <v>4</v>
      </c>
      <c r="C3" s="4" t="n">
        <f aca="false">COUNTIFS(Features!$B$2:$B$1122,A3)</f>
        <v>20</v>
      </c>
      <c r="D3" s="4" t="n">
        <f aca="false">COUNTIFS(Features!$B$2:$B$1122,A3,Features!$F$2:$F$1122,"Served")</f>
        <v>20</v>
      </c>
      <c r="E3" s="6" t="n">
        <f aca="false">SUMIFS(Features!$H$2:$H$1122,Features!$B$2:$B$1122,A3)</f>
        <v>0.11435261545349</v>
      </c>
      <c r="F3" s="4" t="s">
        <v>44</v>
      </c>
      <c r="G3" s="4" t="s">
        <v>2381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COUNTIFS(Features!$B$2:$B$1122,A4)</f>
        <v>80</v>
      </c>
      <c r="D4" s="4" t="n">
        <f aca="false">COUNTIFS(Features!$B$2:$B$1122,A4,Features!$F$2:$F$1122,"Served")</f>
        <v>80</v>
      </c>
      <c r="E4" s="6" t="n">
        <f aca="false">SUMIFS(Features!$H$2:$H$1122,Features!$B$2:$B$1122,A4)</f>
        <v>0.151620520876992</v>
      </c>
      <c r="F4" s="4" t="s">
        <v>51</v>
      </c>
      <c r="G4" s="4" t="s">
        <v>2382</v>
      </c>
    </row>
    <row r="5" customFormat="false" ht="15" hidden="false" customHeight="false" outlineLevel="0" collapsed="false">
      <c r="A5" s="4" t="s">
        <v>100</v>
      </c>
      <c r="B5" s="4" t="s">
        <v>4</v>
      </c>
      <c r="C5" s="4" t="n">
        <f aca="false">COUNTIFS(Features!$B$2:$B$1122,A5)</f>
        <v>14</v>
      </c>
      <c r="D5" s="4" t="n">
        <f aca="false">COUNTIFS(Features!$B$2:$B$1122,A5,Features!$F$2:$F$1122,"Served")</f>
        <v>14</v>
      </c>
      <c r="E5" s="6" t="n">
        <f aca="false">SUMIFS(Features!$H$2:$H$1122,Features!$B$2:$B$1122,A5)</f>
        <v>0.020665689224566</v>
      </c>
      <c r="F5" s="4" t="s">
        <v>103</v>
      </c>
      <c r="G5" s="4" t="s">
        <v>2383</v>
      </c>
    </row>
    <row r="6" customFormat="false" ht="15" hidden="false" customHeight="false" outlineLevel="0" collapsed="false">
      <c r="A6" s="4" t="s">
        <v>119</v>
      </c>
      <c r="B6" s="4" t="s">
        <v>4</v>
      </c>
      <c r="C6" s="4" t="n">
        <f aca="false">COUNTIFS(Features!$B$2:$B$1122,A6)</f>
        <v>114</v>
      </c>
      <c r="D6" s="4" t="n">
        <f aca="false">COUNTIFS(Features!$B$2:$B$1122,A6,Features!$F$2:$F$1122,"Served")</f>
        <v>114</v>
      </c>
      <c r="E6" s="6" t="n">
        <f aca="false">SUMIFS(Features!$H$2:$H$1122,Features!$B$2:$B$1122,A6)</f>
        <v>0.0766551932117866</v>
      </c>
      <c r="F6" s="4" t="s">
        <v>33</v>
      </c>
      <c r="G6" s="4" t="s">
        <v>2384</v>
      </c>
    </row>
    <row r="7" customFormat="false" ht="15" hidden="false" customHeight="false" outlineLevel="0" collapsed="false">
      <c r="A7" s="4" t="s">
        <v>131</v>
      </c>
      <c r="B7" s="4" t="s">
        <v>4</v>
      </c>
      <c r="C7" s="4" t="n">
        <f aca="false">COUNTIFS(Features!$B$2:$B$1122,A7)</f>
        <v>20</v>
      </c>
      <c r="D7" s="4" t="n">
        <f aca="false">COUNTIFS(Features!$B$2:$B$1122,A7,Features!$F$2:$F$1122,"Served")</f>
        <v>20</v>
      </c>
      <c r="E7" s="6" t="n">
        <f aca="false">SUMIFS(Features!$H$2:$H$1122,Features!$B$2:$B$1122,A7)</f>
        <v>0.00958599480762845</v>
      </c>
      <c r="F7" s="4" t="s">
        <v>134</v>
      </c>
      <c r="G7" s="4" t="s">
        <v>2385</v>
      </c>
    </row>
    <row r="8" customFormat="false" ht="15" hidden="false" customHeight="false" outlineLevel="0" collapsed="false">
      <c r="A8" s="4" t="s">
        <v>145</v>
      </c>
      <c r="B8" s="4" t="s">
        <v>4</v>
      </c>
      <c r="C8" s="4" t="n">
        <f aca="false">COUNTIFS(Features!$B$2:$B$1122,A8)</f>
        <v>28</v>
      </c>
      <c r="D8" s="4" t="n">
        <f aca="false">COUNTIFS(Features!$B$2:$B$1122,A8,Features!$F$2:$F$1122,"Served")</f>
        <v>28</v>
      </c>
      <c r="E8" s="6" t="n">
        <f aca="false">SUMIFS(Features!$H$2:$H$1122,Features!$B$2:$B$1122,A8)</f>
        <v>0.0124168594236718</v>
      </c>
      <c r="F8" s="4" t="s">
        <v>148</v>
      </c>
      <c r="G8" s="4" t="s">
        <v>2386</v>
      </c>
    </row>
    <row r="9" customFormat="false" ht="15" hidden="false" customHeight="false" outlineLevel="0" collapsed="false">
      <c r="A9" s="4" t="s">
        <v>187</v>
      </c>
      <c r="B9" s="4" t="s">
        <v>4</v>
      </c>
      <c r="C9" s="4" t="n">
        <f aca="false">COUNTIFS(Features!$B$2:$B$1122,A9)</f>
        <v>91</v>
      </c>
      <c r="D9" s="4" t="n">
        <f aca="false">COUNTIFS(Features!$B$2:$B$1122,A9,Features!$F$2:$F$1122,"Served")</f>
        <v>91</v>
      </c>
      <c r="E9" s="6" t="n">
        <f aca="false">SUMIFS(Features!$H$2:$H$1122,Features!$B$2:$B$1122,A9)</f>
        <v>0.0300614357291893</v>
      </c>
      <c r="F9" s="4" t="s">
        <v>190</v>
      </c>
      <c r="G9" s="4" t="s">
        <v>2387</v>
      </c>
    </row>
    <row r="10" customFormat="false" ht="15" hidden="false" customHeight="false" outlineLevel="0" collapsed="false">
      <c r="A10" s="4" t="s">
        <v>223</v>
      </c>
      <c r="B10" s="4" t="s">
        <v>4</v>
      </c>
      <c r="C10" s="4" t="n">
        <f aca="false">COUNTIFS(Features!$B$2:$B$1122,A10)</f>
        <v>60</v>
      </c>
      <c r="D10" s="4" t="n">
        <f aca="false">COUNTIFS(Features!$B$2:$B$1122,A10,Features!$F$2:$F$1122,"Served")</f>
        <v>60</v>
      </c>
      <c r="E10" s="6" t="n">
        <f aca="false">SUMIFS(Features!$H$2:$H$1122,Features!$B$2:$B$1122,A10)</f>
        <v>0.0189194200128944</v>
      </c>
      <c r="F10" s="4" t="s">
        <v>226</v>
      </c>
      <c r="G10" s="4" t="s">
        <v>2388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COUNTIFS(Features!$B$2:$B$1122,A11)</f>
        <v>77</v>
      </c>
      <c r="D11" s="4" t="n">
        <f aca="false">COUNTIFS(Features!$B$2:$B$1122,A11,Features!$F$2:$F$1122,"Served")</f>
        <v>0</v>
      </c>
      <c r="E11" s="6" t="n">
        <f aca="false">SUMIFS(Features!$H$2:$H$1122,Features!$B$2:$B$1122,A11)</f>
        <v>0</v>
      </c>
      <c r="F11" s="4" t="s">
        <v>1319</v>
      </c>
      <c r="G11" s="4" t="s">
        <v>2389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COUNTIFS(Features!$B$2:$B$1122,A12)</f>
        <v>60</v>
      </c>
      <c r="D12" s="4" t="n">
        <f aca="false">COUNTIFS(Features!$B$2:$B$1122,A12,Features!$F$2:$F$1122,"Served")</f>
        <v>0</v>
      </c>
      <c r="E12" s="6" t="n">
        <f aca="false">SUMIFS(Features!$H$2:$H$1122,Features!$B$2:$B$1122,A12)</f>
        <v>0</v>
      </c>
      <c r="F12" s="4" t="s">
        <v>1476</v>
      </c>
      <c r="G12" s="4" t="s">
        <v>2390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COUNTIFS(Features!$B$2:$B$1122,A13)</f>
        <v>146</v>
      </c>
      <c r="D13" s="4" t="n">
        <f aca="false">COUNTIFS(Features!$B$2:$B$1122,A13,Features!$F$2:$F$1122,"Served")</f>
        <v>0</v>
      </c>
      <c r="E13" s="6" t="n">
        <f aca="false">SUMIFS(Features!$H$2:$H$1122,Features!$B$2:$B$1122,A13)</f>
        <v>0</v>
      </c>
      <c r="F13" s="4" t="s">
        <v>1599</v>
      </c>
      <c r="G13" s="4" t="s">
        <v>2391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COUNTIFS(Features!$B$2:$B$1122,A14)</f>
        <v>13</v>
      </c>
      <c r="D14" s="4" t="n">
        <f aca="false">COUNTIFS(Features!$B$2:$B$1122,A14,Features!$F$2:$F$1122,"Served")</f>
        <v>0</v>
      </c>
      <c r="E14" s="6" t="n">
        <f aca="false">SUMIFS(Features!$H$2:$H$1122,Features!$B$2:$B$1122,A14)</f>
        <v>0</v>
      </c>
      <c r="F14" s="4" t="s">
        <v>1894</v>
      </c>
      <c r="G14" s="4" t="s">
        <v>2392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COUNTIFS(Features!$B$2:$B$1122,A15)</f>
        <v>12</v>
      </c>
      <c r="D15" s="4" t="n">
        <f aca="false">COUNTIFS(Features!$B$2:$B$1122,A15,Features!$F$2:$F$1122,"Served")</f>
        <v>0</v>
      </c>
      <c r="E15" s="6" t="n">
        <f aca="false">SUMIFS(Features!$H$2:$H$1122,Features!$B$2:$B$1122,A15)</f>
        <v>0</v>
      </c>
      <c r="F15" s="4" t="s">
        <v>1923</v>
      </c>
      <c r="G15" s="4" t="s">
        <v>2393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COUNTIFS(Features!$B$2:$B$1122,A16)</f>
        <v>7</v>
      </c>
      <c r="D16" s="4" t="n">
        <f aca="false">COUNTIFS(Features!$B$2:$B$1122,A16,Features!$F$2:$F$1122,"Served")</f>
        <v>0</v>
      </c>
      <c r="E16" s="6" t="n">
        <f aca="false">SUMIFS(Features!$H$2:$H$1122,Features!$B$2:$B$1122,A16)</f>
        <v>0</v>
      </c>
      <c r="F16" s="4" t="s">
        <v>1950</v>
      </c>
      <c r="G16" s="4" t="s">
        <v>2394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COUNTIFS(Features!$B$2:$B$1122,A17)</f>
        <v>14</v>
      </c>
      <c r="D17" s="4" t="n">
        <f aca="false">COUNTIFS(Features!$B$2:$B$1122,A17,Features!$F$2:$F$1122,"Served")</f>
        <v>0</v>
      </c>
      <c r="E17" s="6" t="n">
        <f aca="false">SUMIFS(Features!$H$2:$H$1122,Features!$B$2:$B$1122,A17)</f>
        <v>0</v>
      </c>
      <c r="F17" s="4" t="s">
        <v>1967</v>
      </c>
      <c r="G17" s="4" t="s">
        <v>2395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COUNTIFS(Features!$B$2:$B$1122,A18)</f>
        <v>4</v>
      </c>
      <c r="D18" s="4" t="n">
        <f aca="false">COUNTIFS(Features!$B$2:$B$1122,A18,Features!$F$2:$F$1122,"Served")</f>
        <v>0</v>
      </c>
      <c r="E18" s="6" t="n">
        <f aca="false">SUMIFS(Features!$H$2:$H$1122,Features!$B$2:$B$1122,A18)</f>
        <v>0</v>
      </c>
      <c r="F18" s="4" t="s">
        <v>1998</v>
      </c>
      <c r="G18" s="4" t="s">
        <v>2396</v>
      </c>
    </row>
    <row r="19" customFormat="false" ht="15" hidden="false" customHeight="false" outlineLevel="0" collapsed="false">
      <c r="A19" s="4" t="s">
        <v>2006</v>
      </c>
      <c r="B19" s="4" t="s">
        <v>6</v>
      </c>
      <c r="C19" s="4" t="n">
        <f aca="false">COUNTIFS(Features!$B$2:$B$1122,A19)</f>
        <v>6</v>
      </c>
      <c r="D19" s="4" t="n">
        <f aca="false">COUNTIFS(Features!$B$2:$B$1122,A19,Features!$F$2:$F$1122,"Served")</f>
        <v>0</v>
      </c>
      <c r="E19" s="6" t="n">
        <f aca="false">SUMIFS(Features!$H$2:$H$1122,Features!$B$2:$B$1122,A19)</f>
        <v>0</v>
      </c>
      <c r="F19" s="4" t="s">
        <v>2009</v>
      </c>
      <c r="G19" s="4" t="s">
        <v>2397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COUNTIFS(Features!$B$2:$B$1122,A20)</f>
        <v>44</v>
      </c>
      <c r="D20" s="4" t="n">
        <f aca="false">COUNTIFS(Features!$B$2:$B$1122,A20,Features!$F$2:$F$1122,"Served")</f>
        <v>0</v>
      </c>
      <c r="E20" s="6" t="n">
        <f aca="false">SUMIFS(Features!$H$2:$H$1122,Features!$B$2:$B$1122,A20)</f>
        <v>0</v>
      </c>
      <c r="F20" s="4" t="s">
        <v>2024</v>
      </c>
      <c r="G20" s="4" t="s">
        <v>2398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COUNTIFS(Features!$B$2:$B$1122,A21)</f>
        <v>8</v>
      </c>
      <c r="D21" s="4" t="n">
        <f aca="false">COUNTIFS(Features!$B$2:$B$1122,A21,Features!$F$2:$F$1122,"Served")</f>
        <v>0</v>
      </c>
      <c r="E21" s="6" t="n">
        <f aca="false">SUMIFS(Features!$H$2:$H$1122,Features!$B$2:$B$1122,A21)</f>
        <v>0</v>
      </c>
      <c r="F21" s="4" t="s">
        <v>2115</v>
      </c>
      <c r="G21" s="4" t="s">
        <v>2399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COUNTIFS(Features!$B$2:$B$1122,A22)</f>
        <v>22</v>
      </c>
      <c r="D22" s="4" t="n">
        <f aca="false">COUNTIFS(Features!$B$2:$B$1122,A22,Features!$F$2:$F$1122,"Served")</f>
        <v>0</v>
      </c>
      <c r="E22" s="6" t="n">
        <f aca="false">SUMIFS(Features!$H$2:$H$1122,Features!$B$2:$B$1122,A22)</f>
        <v>0</v>
      </c>
      <c r="F22" s="4" t="s">
        <v>2134</v>
      </c>
      <c r="G22" s="4" t="s">
        <v>2400</v>
      </c>
    </row>
    <row r="23" customFormat="false" ht="15" hidden="false" customHeight="false" outlineLevel="0" collapsed="false">
      <c r="A23" s="4" t="s">
        <v>2178</v>
      </c>
      <c r="B23" s="4" t="s">
        <v>6</v>
      </c>
      <c r="C23" s="4" t="n">
        <f aca="false">COUNTIFS(Features!$B$2:$B$1122,A23)</f>
        <v>14</v>
      </c>
      <c r="D23" s="4" t="n">
        <f aca="false">COUNTIFS(Features!$B$2:$B$1122,A23,Features!$F$2:$F$1122,"Served")</f>
        <v>0</v>
      </c>
      <c r="E23" s="6" t="n">
        <f aca="false">SUMIFS(Features!$H$2:$H$1122,Features!$B$2:$B$1122,A23)</f>
        <v>0</v>
      </c>
      <c r="F23" s="4" t="s">
        <v>2181</v>
      </c>
      <c r="G23" s="4" t="s">
        <v>2401</v>
      </c>
    </row>
    <row r="24" customFormat="false" ht="15" hidden="false" customHeight="false" outlineLevel="0" collapsed="false">
      <c r="A24" s="4" t="s">
        <v>2209</v>
      </c>
      <c r="B24" s="4" t="s">
        <v>6</v>
      </c>
      <c r="C24" s="4" t="n">
        <f aca="false">COUNTIFS(Features!$B$2:$B$1122,A24)</f>
        <v>24</v>
      </c>
      <c r="D24" s="4" t="n">
        <f aca="false">COUNTIFS(Features!$B$2:$B$1122,A24,Features!$F$2:$F$1122,"Served")</f>
        <v>0</v>
      </c>
      <c r="E24" s="6" t="n">
        <f aca="false">SUMIFS(Features!$H$2:$H$1122,Features!$B$2:$B$1122,A24)</f>
        <v>0</v>
      </c>
      <c r="F24" s="4" t="s">
        <v>2212</v>
      </c>
      <c r="G24" s="4" t="s">
        <v>2402</v>
      </c>
    </row>
    <row r="25" customFormat="false" ht="15" hidden="false" customHeight="false" outlineLevel="0" collapsed="false">
      <c r="A25" s="4" t="s">
        <v>2260</v>
      </c>
      <c r="B25" s="4" t="s">
        <v>5</v>
      </c>
      <c r="C25" s="4" t="n">
        <f aca="false">COUNTIFS(Features!$B$2:$B$1122,A25)</f>
        <v>19</v>
      </c>
      <c r="D25" s="4" t="n">
        <f aca="false">COUNTIFS(Features!$B$2:$B$1122,A25,Features!$F$2:$F$1122,"Served")</f>
        <v>0</v>
      </c>
      <c r="E25" s="6" t="n">
        <f aca="false">SUMIFS(Features!$H$2:$H$1122,Features!$B$2:$B$1122,A25)</f>
        <v>0</v>
      </c>
      <c r="F25" s="4" t="s">
        <v>2263</v>
      </c>
      <c r="G25" s="4" t="s">
        <v>2403</v>
      </c>
    </row>
    <row r="26" customFormat="false" ht="15" hidden="false" customHeight="false" outlineLevel="0" collapsed="false">
      <c r="A26" s="4" t="s">
        <v>2301</v>
      </c>
      <c r="B26" s="4" t="s">
        <v>6</v>
      </c>
      <c r="C26" s="4" t="n">
        <f aca="false">COUNTIFS(Features!$B$2:$B$1122,A26)</f>
        <v>32</v>
      </c>
      <c r="D26" s="4" t="n">
        <f aca="false">COUNTIFS(Features!$B$2:$B$1122,A26,Features!$F$2:$F$1122,"Served")</f>
        <v>0</v>
      </c>
      <c r="E26" s="6" t="n">
        <f aca="false">SUMIFS(Features!$H$2:$H$1122,Features!$B$2:$B$1122,A26)</f>
        <v>0</v>
      </c>
      <c r="F26" s="4" t="s">
        <v>2304</v>
      </c>
      <c r="G26" s="4" t="s">
        <v>2404</v>
      </c>
    </row>
    <row r="27" customFormat="false" ht="15" hidden="false" customHeight="false" outlineLevel="0" collapsed="false">
      <c r="A27" s="4" t="s">
        <v>2368</v>
      </c>
      <c r="B27" s="4" t="s">
        <v>7</v>
      </c>
      <c r="C27" s="4" t="n">
        <f aca="false">COUNTIFS(Features!$B$2:$B$1122,A27)</f>
        <v>4</v>
      </c>
      <c r="D27" s="4" t="n">
        <f aca="false">COUNTIFS(Features!$B$2:$B$1122,A27,Features!$F$2:$F$1122,"Served")</f>
        <v>0</v>
      </c>
      <c r="E27" s="6" t="n">
        <f aca="false">SUMIFS(Features!$H$2:$H$1122,Features!$B$2:$B$1122,A27)</f>
        <v>0</v>
      </c>
      <c r="F27" s="4" t="s">
        <v>134</v>
      </c>
      <c r="G27" s="4" t="s">
        <v>2405</v>
      </c>
    </row>
    <row r="28" customFormat="false" ht="15" hidden="false" customHeight="false" outlineLevel="0" collapsed="false">
      <c r="A28" s="5" t="s">
        <v>2406</v>
      </c>
      <c r="B28" s="5"/>
      <c r="C28" s="5" t="n">
        <f aca="false">SUM(C2:C27)</f>
        <v>1121</v>
      </c>
      <c r="D28" s="5" t="n">
        <f aca="false">SUM(D2:D27)</f>
        <v>615</v>
      </c>
      <c r="E28" s="9" t="n">
        <f aca="false">SUM(E2:E27)</f>
        <v>1</v>
      </c>
      <c r="F28" s="5"/>
      <c r="G28" s="5"/>
    </row>
    <row r="29" customFormat="false" ht="15" hidden="false" customHeight="false" outlineLevel="0" collapsed="false">
      <c r="A29" s="4"/>
      <c r="B29" s="4"/>
      <c r="C29" s="4"/>
      <c r="D29" s="4"/>
      <c r="E29" s="6"/>
      <c r="F29" s="4"/>
      <c r="G29" s="4"/>
    </row>
    <row r="30" customFormat="false" ht="15" hidden="false" customHeight="false" outlineLevel="0" collapsed="false">
      <c r="A30" s="10" t="s">
        <v>2407</v>
      </c>
      <c r="B30" s="10"/>
      <c r="C30" s="10" t="s">
        <v>2378</v>
      </c>
      <c r="D30" s="10"/>
      <c r="E30" s="11"/>
      <c r="F30" s="10" t="s">
        <v>23</v>
      </c>
      <c r="G30" s="10" t="s">
        <v>2379</v>
      </c>
    </row>
    <row r="31" customFormat="false" ht="15" hidden="false" customHeight="false" outlineLevel="0" collapsed="false">
      <c r="A31" s="4" t="s">
        <v>2408</v>
      </c>
      <c r="B31" s="4" t="s">
        <v>2409</v>
      </c>
      <c r="C31" s="12" t="n">
        <v>7</v>
      </c>
      <c r="D31" s="4" t="n">
        <v>0</v>
      </c>
      <c r="E31" s="6"/>
      <c r="F31" s="4" t="s">
        <v>2410</v>
      </c>
      <c r="G31" s="4" t="s">
        <v>2411</v>
      </c>
    </row>
    <row r="32" customFormat="false" ht="15" hidden="false" customHeight="false" outlineLevel="0" collapsed="false">
      <c r="A32" s="4" t="s">
        <v>2412</v>
      </c>
      <c r="B32" s="4" t="s">
        <v>2409</v>
      </c>
      <c r="C32" s="12" t="n">
        <v>6</v>
      </c>
      <c r="D32" s="4" t="n">
        <v>0</v>
      </c>
      <c r="E32" s="6"/>
      <c r="F32" s="4" t="s">
        <v>2413</v>
      </c>
      <c r="G32" s="4" t="s">
        <v>2414</v>
      </c>
    </row>
    <row r="33" customFormat="false" ht="15" hidden="false" customHeight="false" outlineLevel="0" collapsed="false">
      <c r="A33" s="4" t="s">
        <v>2415</v>
      </c>
      <c r="B33" s="4" t="s">
        <v>2409</v>
      </c>
      <c r="C33" s="12" t="n">
        <v>10</v>
      </c>
      <c r="D33" s="4" t="n">
        <v>0</v>
      </c>
      <c r="E33" s="6"/>
      <c r="F33" s="4" t="s">
        <v>2416</v>
      </c>
      <c r="G33" s="4" t="s">
        <v>2414</v>
      </c>
    </row>
    <row r="34" customFormat="false" ht="15" hidden="false" customHeight="false" outlineLevel="0" collapsed="false">
      <c r="A34" s="4" t="s">
        <v>2417</v>
      </c>
      <c r="B34" s="4" t="s">
        <v>2409</v>
      </c>
      <c r="C34" s="12" t="n">
        <v>16</v>
      </c>
      <c r="D34" s="4" t="n">
        <v>0</v>
      </c>
      <c r="E34" s="6"/>
      <c r="F34" s="4" t="s">
        <v>2418</v>
      </c>
      <c r="G34" s="4" t="s">
        <v>2419</v>
      </c>
    </row>
    <row r="35" customFormat="false" ht="15" hidden="false" customHeight="false" outlineLevel="0" collapsed="false">
      <c r="A35" s="4" t="s">
        <v>2420</v>
      </c>
      <c r="B35" s="4" t="s">
        <v>2409</v>
      </c>
      <c r="C35" s="12" t="n">
        <v>7</v>
      </c>
      <c r="D35" s="4" t="n">
        <v>0</v>
      </c>
      <c r="E35" s="6"/>
      <c r="F35" s="4" t="s">
        <v>2421</v>
      </c>
      <c r="G35" s="4" t="s">
        <v>2422</v>
      </c>
    </row>
    <row r="36" customFormat="false" ht="15" hidden="false" customHeight="false" outlineLevel="0" collapsed="false">
      <c r="A36" s="4" t="s">
        <v>2423</v>
      </c>
      <c r="B36" s="4" t="s">
        <v>2409</v>
      </c>
      <c r="C36" s="12" t="n">
        <v>21</v>
      </c>
      <c r="D36" s="4" t="n">
        <v>0</v>
      </c>
      <c r="E36" s="6"/>
      <c r="F36" s="4" t="s">
        <v>2424</v>
      </c>
      <c r="G36" s="4" t="s">
        <v>2425</v>
      </c>
    </row>
    <row r="37" customFormat="false" ht="15" hidden="false" customHeight="false" outlineLevel="0" collapsed="false">
      <c r="A37" s="4" t="s">
        <v>2426</v>
      </c>
      <c r="B37" s="4" t="s">
        <v>2409</v>
      </c>
      <c r="C37" s="12" t="n">
        <v>30</v>
      </c>
      <c r="D37" s="4" t="n">
        <v>0</v>
      </c>
      <c r="E37" s="6"/>
      <c r="F37" s="4" t="s">
        <v>2427</v>
      </c>
      <c r="G37" s="4" t="s">
        <v>2428</v>
      </c>
    </row>
    <row r="38" customFormat="false" ht="15" hidden="false" customHeight="false" outlineLevel="0" collapsed="false">
      <c r="A38" s="4" t="s">
        <v>2429</v>
      </c>
      <c r="B38" s="4" t="s">
        <v>2409</v>
      </c>
      <c r="C38" s="12" t="n">
        <v>18</v>
      </c>
      <c r="D38" s="4" t="n">
        <v>0</v>
      </c>
      <c r="E38" s="6"/>
      <c r="F38" s="4" t="s">
        <v>2430</v>
      </c>
      <c r="G38" s="4" t="s">
        <v>2431</v>
      </c>
    </row>
    <row r="39" customFormat="false" ht="15" hidden="false" customHeight="false" outlineLevel="0" collapsed="false">
      <c r="A39" s="4" t="s">
        <v>2432</v>
      </c>
      <c r="B39" s="4" t="s">
        <v>2409</v>
      </c>
      <c r="C39" s="12" t="n">
        <v>16</v>
      </c>
      <c r="D39" s="4" t="n">
        <v>0</v>
      </c>
      <c r="E39" s="6"/>
      <c r="F39" s="4" t="s">
        <v>2433</v>
      </c>
      <c r="G39" s="4" t="s">
        <v>2434</v>
      </c>
    </row>
    <row r="40" customFormat="false" ht="15" hidden="false" customHeight="false" outlineLevel="0" collapsed="false">
      <c r="A40" s="4" t="s">
        <v>2435</v>
      </c>
      <c r="B40" s="4" t="s">
        <v>2409</v>
      </c>
      <c r="C40" s="12" t="n">
        <v>16</v>
      </c>
      <c r="D40" s="4" t="n">
        <v>0</v>
      </c>
      <c r="E40" s="6"/>
      <c r="F40" s="4" t="s">
        <v>2436</v>
      </c>
      <c r="G40" s="4" t="s">
        <v>2437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2438</v>
      </c>
      <c r="B1" s="3" t="s">
        <v>2439</v>
      </c>
      <c r="C1" s="3" t="s">
        <v>2440</v>
      </c>
      <c r="D1" s="3" t="s">
        <v>2441</v>
      </c>
      <c r="E1" s="3" t="s">
        <v>2442</v>
      </c>
      <c r="F1" s="3" t="s">
        <v>2443</v>
      </c>
      <c r="G1" s="3" t="s">
        <v>2444</v>
      </c>
    </row>
    <row r="2" customFormat="false" ht="15" hidden="false" customHeight="false" outlineLevel="0" collapsed="false">
      <c r="A2" s="13" t="s">
        <v>2445</v>
      </c>
      <c r="B2" s="13" t="s">
        <v>2446</v>
      </c>
      <c r="C2" s="13" t="s">
        <v>2447</v>
      </c>
      <c r="D2" s="13" t="s">
        <v>2448</v>
      </c>
      <c r="E2" s="13" t="s">
        <v>2449</v>
      </c>
      <c r="F2" s="13" t="s">
        <v>2450</v>
      </c>
      <c r="G2" s="13" t="s">
        <v>14</v>
      </c>
    </row>
    <row r="3" customFormat="false" ht="15" hidden="false" customHeight="false" outlineLevel="0" collapsed="false">
      <c r="A3" s="13" t="s">
        <v>2451</v>
      </c>
      <c r="B3" s="13" t="s">
        <v>2452</v>
      </c>
      <c r="C3" s="13" t="s">
        <v>2447</v>
      </c>
      <c r="D3" s="13" t="s">
        <v>2453</v>
      </c>
      <c r="E3" s="13" t="s">
        <v>2449</v>
      </c>
      <c r="F3" s="13" t="s">
        <v>2454</v>
      </c>
      <c r="G3" s="13" t="s">
        <v>13</v>
      </c>
    </row>
    <row r="4" customFormat="false" ht="15" hidden="false" customHeight="false" outlineLevel="0" collapsed="false">
      <c r="A4" s="13" t="s">
        <v>2455</v>
      </c>
      <c r="B4" s="13" t="s">
        <v>2456</v>
      </c>
      <c r="C4" s="13" t="s">
        <v>2447</v>
      </c>
      <c r="D4" s="13" t="s">
        <v>2457</v>
      </c>
      <c r="E4" s="13" t="s">
        <v>2458</v>
      </c>
      <c r="F4" s="13" t="s">
        <v>2459</v>
      </c>
      <c r="G4" s="13" t="s">
        <v>15</v>
      </c>
    </row>
    <row r="5" customFormat="false" ht="15" hidden="false" customHeight="false" outlineLevel="0" collapsed="false">
      <c r="A5" s="13" t="s">
        <v>2460</v>
      </c>
      <c r="B5" s="13" t="s">
        <v>2461</v>
      </c>
      <c r="C5" s="13" t="s">
        <v>2462</v>
      </c>
      <c r="D5" s="13" t="s">
        <v>2463</v>
      </c>
      <c r="E5" s="13" t="s">
        <v>2449</v>
      </c>
      <c r="F5" s="13" t="s">
        <v>2464</v>
      </c>
      <c r="G5" s="13" t="s">
        <v>14</v>
      </c>
    </row>
    <row r="6" customFormat="false" ht="15" hidden="false" customHeight="false" outlineLevel="0" collapsed="false">
      <c r="A6" s="13" t="s">
        <v>2465</v>
      </c>
      <c r="B6" s="13" t="s">
        <v>2466</v>
      </c>
      <c r="C6" s="13" t="s">
        <v>2462</v>
      </c>
      <c r="D6" s="13" t="s">
        <v>2467</v>
      </c>
      <c r="E6" s="13" t="s">
        <v>2449</v>
      </c>
      <c r="F6" s="13" t="s">
        <v>2454</v>
      </c>
      <c r="G6" s="13" t="s">
        <v>13</v>
      </c>
    </row>
    <row r="7" customFormat="false" ht="15" hidden="false" customHeight="false" outlineLevel="0" collapsed="false">
      <c r="A7" s="13" t="s">
        <v>2468</v>
      </c>
      <c r="B7" s="13" t="s">
        <v>2469</v>
      </c>
      <c r="C7" s="13" t="s">
        <v>2470</v>
      </c>
      <c r="D7" s="13" t="s">
        <v>2471</v>
      </c>
      <c r="E7" s="13" t="s">
        <v>2449</v>
      </c>
      <c r="F7" s="13" t="s">
        <v>2472</v>
      </c>
      <c r="G7" s="13" t="s">
        <v>14</v>
      </c>
    </row>
    <row r="8" customFormat="false" ht="23.85" hidden="false" customHeight="false" outlineLevel="0" collapsed="false">
      <c r="A8" s="13" t="s">
        <v>2473</v>
      </c>
      <c r="B8" s="13" t="s">
        <v>2474</v>
      </c>
      <c r="C8" s="13" t="s">
        <v>2470</v>
      </c>
      <c r="D8" s="13" t="s">
        <v>2475</v>
      </c>
      <c r="E8" s="13" t="s">
        <v>2476</v>
      </c>
      <c r="F8" s="13" t="s">
        <v>2477</v>
      </c>
      <c r="G8" s="13" t="s">
        <v>13</v>
      </c>
    </row>
    <row r="9" customFormat="false" ht="15" hidden="false" customHeight="false" outlineLevel="0" collapsed="false">
      <c r="A9" s="13" t="s">
        <v>2478</v>
      </c>
      <c r="B9" s="13" t="s">
        <v>2479</v>
      </c>
      <c r="C9" s="13" t="s">
        <v>2447</v>
      </c>
      <c r="D9" s="13" t="s">
        <v>2480</v>
      </c>
      <c r="E9" s="13" t="s">
        <v>2449</v>
      </c>
      <c r="F9" s="13" t="s">
        <v>2481</v>
      </c>
      <c r="G9" s="13" t="s">
        <v>13</v>
      </c>
    </row>
    <row r="10" customFormat="false" ht="15" hidden="false" customHeight="false" outlineLevel="0" collapsed="false">
      <c r="A10" s="13" t="s">
        <v>2482</v>
      </c>
      <c r="B10" s="13" t="s">
        <v>2483</v>
      </c>
      <c r="C10" s="13" t="s">
        <v>2484</v>
      </c>
      <c r="D10" s="13" t="s">
        <v>2485</v>
      </c>
      <c r="E10" s="13" t="s">
        <v>2449</v>
      </c>
      <c r="F10" s="13" t="s">
        <v>2486</v>
      </c>
      <c r="G10" s="13" t="s">
        <v>14</v>
      </c>
    </row>
    <row r="11" customFormat="false" ht="15" hidden="false" customHeight="false" outlineLevel="0" collapsed="false">
      <c r="A11" s="13" t="s">
        <v>2487</v>
      </c>
      <c r="B11" s="13" t="s">
        <v>2488</v>
      </c>
      <c r="C11" s="13" t="s">
        <v>2489</v>
      </c>
      <c r="D11" s="13" t="s">
        <v>2490</v>
      </c>
      <c r="E11" s="13" t="s">
        <v>2449</v>
      </c>
      <c r="F11" s="13" t="s">
        <v>2491</v>
      </c>
      <c r="G11" s="13" t="s">
        <v>14</v>
      </c>
    </row>
    <row r="12" customFormat="false" ht="15" hidden="false" customHeight="false" outlineLevel="0" collapsed="false">
      <c r="A12" s="13" t="s">
        <v>2492</v>
      </c>
      <c r="B12" s="13" t="s">
        <v>2493</v>
      </c>
      <c r="C12" s="13" t="s">
        <v>2494</v>
      </c>
      <c r="D12" s="13" t="s">
        <v>2495</v>
      </c>
      <c r="E12" s="13" t="s">
        <v>2449</v>
      </c>
      <c r="F12" s="13" t="s">
        <v>2496</v>
      </c>
      <c r="G12" s="13" t="s">
        <v>14</v>
      </c>
    </row>
    <row r="13" customFormat="false" ht="15" hidden="false" customHeight="false" outlineLevel="0" collapsed="false">
      <c r="A13" s="13" t="s">
        <v>2497</v>
      </c>
      <c r="B13" s="13" t="s">
        <v>2498</v>
      </c>
      <c r="C13" s="13" t="s">
        <v>2494</v>
      </c>
      <c r="D13" s="13" t="s">
        <v>2499</v>
      </c>
      <c r="E13" s="13" t="s">
        <v>2449</v>
      </c>
      <c r="F13" s="13" t="s">
        <v>2500</v>
      </c>
      <c r="G13" s="13" t="s">
        <v>14</v>
      </c>
    </row>
    <row r="14" customFormat="false" ht="15" hidden="false" customHeight="false" outlineLevel="0" collapsed="false">
      <c r="A14" s="13" t="s">
        <v>2501</v>
      </c>
      <c r="B14" s="13" t="s">
        <v>2502</v>
      </c>
      <c r="C14" s="13" t="s">
        <v>2503</v>
      </c>
      <c r="D14" s="13" t="s">
        <v>2504</v>
      </c>
      <c r="E14" s="13" t="s">
        <v>2449</v>
      </c>
      <c r="F14" s="13" t="s">
        <v>2505</v>
      </c>
      <c r="G14" s="13" t="s">
        <v>14</v>
      </c>
    </row>
    <row r="15" customFormat="false" ht="15" hidden="false" customHeight="false" outlineLevel="0" collapsed="false">
      <c r="A15" s="13" t="s">
        <v>2506</v>
      </c>
      <c r="B15" s="13" t="s">
        <v>2507</v>
      </c>
      <c r="C15" s="13" t="s">
        <v>2503</v>
      </c>
      <c r="D15" s="13" t="s">
        <v>2508</v>
      </c>
      <c r="E15" s="13" t="s">
        <v>2449</v>
      </c>
      <c r="F15" s="13" t="s">
        <v>2509</v>
      </c>
      <c r="G15" s="13" t="s">
        <v>14</v>
      </c>
    </row>
    <row r="16" customFormat="false" ht="15" hidden="false" customHeight="false" outlineLevel="0" collapsed="false">
      <c r="A16" s="13" t="s">
        <v>2510</v>
      </c>
      <c r="B16" s="13" t="s">
        <v>2511</v>
      </c>
      <c r="C16" s="13" t="s">
        <v>2447</v>
      </c>
      <c r="D16" s="13" t="s">
        <v>2512</v>
      </c>
      <c r="E16" s="13" t="s">
        <v>2449</v>
      </c>
      <c r="F16" s="13" t="s">
        <v>2509</v>
      </c>
      <c r="G16" s="13" t="s">
        <v>14</v>
      </c>
    </row>
    <row r="17" customFormat="false" ht="15" hidden="false" customHeight="false" outlineLevel="0" collapsed="false">
      <c r="A17" s="13" t="s">
        <v>2513</v>
      </c>
      <c r="B17" s="13" t="s">
        <v>2514</v>
      </c>
      <c r="C17" s="13" t="s">
        <v>2447</v>
      </c>
      <c r="D17" s="13" t="s">
        <v>2515</v>
      </c>
      <c r="E17" s="13" t="s">
        <v>2449</v>
      </c>
      <c r="F17" s="13" t="s">
        <v>2516</v>
      </c>
      <c r="G17" s="13" t="s">
        <v>14</v>
      </c>
    </row>
    <row r="18" customFormat="false" ht="15" hidden="false" customHeight="false" outlineLevel="0" collapsed="false">
      <c r="A18" s="13" t="s">
        <v>2517</v>
      </c>
      <c r="B18" s="13" t="s">
        <v>2518</v>
      </c>
      <c r="C18" s="13" t="s">
        <v>2519</v>
      </c>
      <c r="D18" s="13" t="s">
        <v>2520</v>
      </c>
      <c r="E18" s="13" t="s">
        <v>2449</v>
      </c>
      <c r="F18" s="13" t="s">
        <v>2521</v>
      </c>
      <c r="G18" s="13" t="s">
        <v>13</v>
      </c>
    </row>
    <row r="19" customFormat="false" ht="15" hidden="false" customHeight="false" outlineLevel="0" collapsed="false">
      <c r="A19" s="13" t="s">
        <v>2522</v>
      </c>
      <c r="B19" s="13" t="s">
        <v>2523</v>
      </c>
      <c r="C19" s="13" t="s">
        <v>2519</v>
      </c>
      <c r="D19" s="13" t="s">
        <v>2524</v>
      </c>
      <c r="E19" s="13" t="s">
        <v>2449</v>
      </c>
      <c r="F19" s="13" t="s">
        <v>2525</v>
      </c>
      <c r="G19" s="13" t="s">
        <v>14</v>
      </c>
    </row>
    <row r="20" customFormat="false" ht="15" hidden="false" customHeight="false" outlineLevel="0" collapsed="false">
      <c r="A20" s="13" t="s">
        <v>2526</v>
      </c>
      <c r="B20" s="13" t="s">
        <v>2527</v>
      </c>
      <c r="C20" s="13" t="s">
        <v>2528</v>
      </c>
      <c r="D20" s="13" t="s">
        <v>2529</v>
      </c>
      <c r="E20" s="13" t="s">
        <v>2449</v>
      </c>
      <c r="F20" s="13" t="s">
        <v>2454</v>
      </c>
      <c r="G20" s="13" t="s">
        <v>13</v>
      </c>
    </row>
    <row r="21" customFormat="false" ht="15" hidden="false" customHeight="false" outlineLevel="0" collapsed="false">
      <c r="A21" s="13" t="s">
        <v>2530</v>
      </c>
      <c r="B21" s="13" t="s">
        <v>2531</v>
      </c>
      <c r="C21" s="13" t="s">
        <v>2532</v>
      </c>
      <c r="D21" s="13" t="s">
        <v>2533</v>
      </c>
      <c r="E21" s="13" t="s">
        <v>2449</v>
      </c>
      <c r="F21" s="13" t="s">
        <v>2534</v>
      </c>
      <c r="G21" s="13" t="s">
        <v>13</v>
      </c>
    </row>
    <row r="22" customFormat="false" ht="23.85" hidden="false" customHeight="false" outlineLevel="0" collapsed="false">
      <c r="A22" s="13" t="s">
        <v>2535</v>
      </c>
      <c r="B22" s="13" t="s">
        <v>2536</v>
      </c>
      <c r="C22" s="13" t="s">
        <v>2489</v>
      </c>
      <c r="D22" s="13" t="s">
        <v>2537</v>
      </c>
      <c r="E22" s="13" t="s">
        <v>2449</v>
      </c>
      <c r="F22" s="13" t="s">
        <v>2538</v>
      </c>
      <c r="G22" s="13" t="s">
        <v>13</v>
      </c>
    </row>
    <row r="23" customFormat="false" ht="23.85" hidden="false" customHeight="false" outlineLevel="0" collapsed="false">
      <c r="A23" s="13" t="s">
        <v>2539</v>
      </c>
      <c r="B23" s="13" t="s">
        <v>2540</v>
      </c>
      <c r="C23" s="13" t="s">
        <v>2489</v>
      </c>
      <c r="D23" s="13" t="s">
        <v>2541</v>
      </c>
      <c r="E23" s="13" t="s">
        <v>2449</v>
      </c>
      <c r="F23" s="13" t="s">
        <v>2542</v>
      </c>
      <c r="G23" s="13" t="s">
        <v>12</v>
      </c>
    </row>
    <row r="24" customFormat="false" ht="15" hidden="false" customHeight="false" outlineLevel="0" collapsed="false">
      <c r="A24" s="13" t="s">
        <v>2543</v>
      </c>
      <c r="B24" s="13" t="s">
        <v>2544</v>
      </c>
      <c r="C24" s="13" t="s">
        <v>2447</v>
      </c>
      <c r="D24" s="13" t="s">
        <v>2545</v>
      </c>
      <c r="E24" s="13" t="s">
        <v>2449</v>
      </c>
      <c r="F24" s="13" t="s">
        <v>2546</v>
      </c>
      <c r="G24" s="13" t="s">
        <v>12</v>
      </c>
    </row>
    <row r="25" customFormat="false" ht="23.85" hidden="false" customHeight="false" outlineLevel="0" collapsed="false">
      <c r="A25" s="13" t="s">
        <v>2547</v>
      </c>
      <c r="B25" s="13" t="s">
        <v>2548</v>
      </c>
      <c r="C25" s="13" t="s">
        <v>2549</v>
      </c>
      <c r="D25" s="13" t="s">
        <v>2550</v>
      </c>
      <c r="E25" s="13" t="s">
        <v>2449</v>
      </c>
      <c r="F25" s="13" t="s">
        <v>2551</v>
      </c>
      <c r="G25" s="13" t="s">
        <v>12</v>
      </c>
    </row>
    <row r="26" customFormat="false" ht="15" hidden="false" customHeight="false" outlineLevel="0" collapsed="false">
      <c r="A26" s="13" t="s">
        <v>2552</v>
      </c>
      <c r="B26" s="13" t="s">
        <v>2553</v>
      </c>
      <c r="C26" s="13" t="s">
        <v>2447</v>
      </c>
      <c r="D26" s="13" t="s">
        <v>2554</v>
      </c>
      <c r="E26" s="13" t="s">
        <v>2555</v>
      </c>
      <c r="F26" s="13" t="s">
        <v>2556</v>
      </c>
      <c r="G26" s="13" t="s">
        <v>13</v>
      </c>
    </row>
    <row r="27" customFormat="false" ht="15" hidden="false" customHeight="false" outlineLevel="0" collapsed="false">
      <c r="A27" s="13" t="s">
        <v>2557</v>
      </c>
      <c r="B27" s="13" t="s">
        <v>2558</v>
      </c>
      <c r="C27" s="13" t="s">
        <v>2489</v>
      </c>
      <c r="D27" s="13" t="s">
        <v>2559</v>
      </c>
      <c r="E27" s="13" t="s">
        <v>2449</v>
      </c>
      <c r="F27" s="13" t="s">
        <v>2560</v>
      </c>
      <c r="G27" s="13" t="s">
        <v>13</v>
      </c>
    </row>
    <row r="28" customFormat="false" ht="23.85" hidden="false" customHeight="false" outlineLevel="0" collapsed="false">
      <c r="A28" s="13" t="s">
        <v>2561</v>
      </c>
      <c r="B28" s="13" t="s">
        <v>2562</v>
      </c>
      <c r="C28" s="13" t="s">
        <v>2470</v>
      </c>
      <c r="D28" s="13" t="s">
        <v>2563</v>
      </c>
      <c r="E28" s="13" t="s">
        <v>2476</v>
      </c>
      <c r="F28" s="13" t="s">
        <v>2564</v>
      </c>
      <c r="G28" s="13" t="s">
        <v>14</v>
      </c>
    </row>
    <row r="29" customFormat="false" ht="15" hidden="false" customHeight="false" outlineLevel="0" collapsed="false">
      <c r="A29" s="13" t="s">
        <v>2565</v>
      </c>
      <c r="B29" s="13" t="s">
        <v>2566</v>
      </c>
      <c r="C29" s="13" t="s">
        <v>2567</v>
      </c>
      <c r="D29" s="13" t="s">
        <v>2568</v>
      </c>
      <c r="E29" s="13" t="s">
        <v>2449</v>
      </c>
      <c r="F29" s="13" t="s">
        <v>2569</v>
      </c>
      <c r="G29" s="13" t="s">
        <v>13</v>
      </c>
    </row>
    <row r="30" customFormat="false" ht="15" hidden="false" customHeight="false" outlineLevel="0" collapsed="false">
      <c r="A30" s="13" t="s">
        <v>2570</v>
      </c>
      <c r="B30" s="13" t="s">
        <v>2571</v>
      </c>
      <c r="C30" s="13" t="s">
        <v>2572</v>
      </c>
      <c r="D30" s="13" t="s">
        <v>2573</v>
      </c>
      <c r="E30" s="13" t="s">
        <v>2574</v>
      </c>
      <c r="F30" s="13" t="s">
        <v>2575</v>
      </c>
      <c r="G30" s="13" t="s">
        <v>12</v>
      </c>
    </row>
    <row r="31" customFormat="false" ht="23.85" hidden="false" customHeight="false" outlineLevel="0" collapsed="false">
      <c r="A31" s="13" t="s">
        <v>2576</v>
      </c>
      <c r="B31" s="13" t="s">
        <v>2577</v>
      </c>
      <c r="C31" s="13" t="s">
        <v>2578</v>
      </c>
      <c r="D31" s="13" t="s">
        <v>2579</v>
      </c>
      <c r="E31" s="13" t="s">
        <v>2574</v>
      </c>
      <c r="F31" s="13" t="s">
        <v>2580</v>
      </c>
      <c r="G31" s="13" t="s">
        <v>14</v>
      </c>
    </row>
    <row r="32" customFormat="false" ht="15" hidden="false" customHeight="false" outlineLevel="0" collapsed="false">
      <c r="A32" s="13" t="s">
        <v>2581</v>
      </c>
      <c r="B32" s="13" t="s">
        <v>2582</v>
      </c>
      <c r="C32" s="13" t="s">
        <v>2578</v>
      </c>
      <c r="D32" s="13" t="s">
        <v>2583</v>
      </c>
      <c r="E32" s="13" t="s">
        <v>2574</v>
      </c>
      <c r="F32" s="13" t="s">
        <v>2584</v>
      </c>
      <c r="G32" s="13" t="s">
        <v>14</v>
      </c>
    </row>
    <row r="33" customFormat="false" ht="23.85" hidden="false" customHeight="false" outlineLevel="0" collapsed="false">
      <c r="A33" s="13" t="s">
        <v>2585</v>
      </c>
      <c r="B33" s="13" t="s">
        <v>2586</v>
      </c>
      <c r="C33" s="13" t="s">
        <v>2578</v>
      </c>
      <c r="D33" s="13" t="s">
        <v>2587</v>
      </c>
      <c r="E33" s="13" t="s">
        <v>2574</v>
      </c>
      <c r="F33" s="13" t="s">
        <v>2588</v>
      </c>
      <c r="G33" s="13" t="s">
        <v>14</v>
      </c>
    </row>
    <row r="34" customFormat="false" ht="23.85" hidden="false" customHeight="false" outlineLevel="0" collapsed="false">
      <c r="A34" s="13" t="s">
        <v>2589</v>
      </c>
      <c r="B34" s="13" t="s">
        <v>2590</v>
      </c>
      <c r="C34" s="13" t="s">
        <v>2578</v>
      </c>
      <c r="D34" s="13" t="s">
        <v>2591</v>
      </c>
      <c r="E34" s="13" t="s">
        <v>2574</v>
      </c>
      <c r="F34" s="13" t="s">
        <v>2592</v>
      </c>
      <c r="G34" s="13" t="s">
        <v>13</v>
      </c>
    </row>
    <row r="35" customFormat="false" ht="15" hidden="false" customHeight="false" outlineLevel="0" collapsed="false">
      <c r="A35" s="13" t="s">
        <v>2593</v>
      </c>
      <c r="B35" s="13" t="s">
        <v>2594</v>
      </c>
      <c r="C35" s="13" t="s">
        <v>2578</v>
      </c>
      <c r="D35" s="13" t="s">
        <v>2595</v>
      </c>
      <c r="E35" s="13" t="s">
        <v>2574</v>
      </c>
      <c r="F35" s="13" t="s">
        <v>2596</v>
      </c>
      <c r="G35" s="13" t="s">
        <v>14</v>
      </c>
    </row>
    <row r="36" customFormat="false" ht="23.85" hidden="false" customHeight="false" outlineLevel="0" collapsed="false">
      <c r="A36" s="13" t="s">
        <v>2597</v>
      </c>
      <c r="B36" s="13" t="s">
        <v>2598</v>
      </c>
      <c r="C36" s="13" t="s">
        <v>2549</v>
      </c>
      <c r="D36" s="13" t="s">
        <v>2599</v>
      </c>
      <c r="E36" s="13" t="s">
        <v>2600</v>
      </c>
      <c r="F36" s="13" t="s">
        <v>2601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2026-09-25T13:45:46Z</dcterms:created>
  <dc:creator>openpyxl</dc:creator>
  <dc:description/>
  <dc:language>en-US</dc:language>
  <cp:lastModifiedBy/>
  <dcterms:modified xsi:type="dcterms:W3CDTF">2026-09-25T13:45:46Z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