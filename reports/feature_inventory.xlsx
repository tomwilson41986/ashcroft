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Features!$A$1:$J$1179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4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<sst xmlns="http://schemas.openxmlformats.org/spreadsheetml/2006/main" count="8698" uniqueCount="2728">
  <si>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</si>
  <si>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</si>
  <si>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</si>
  <si>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</si>
  <si>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</si>
  <si>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</si>
  <si>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</si>
  <si>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</si>
  <si>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</si>
  <si>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</si>
  <si>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</si>
  <si>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</si>
  <si>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</si>
  <si>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</si>
  <si>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</si>
  <si>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</si>
  <si>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</si>
  <si>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</si>
  <si>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</si>
  <si>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</si>
  <si>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</si>
  <si>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</si>
  <si>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</si>
  <si>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</si>
  <si>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</si>
  <si>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</si>
  <si>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</si>
  <si>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</si>
  <si>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</si>
  <si>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</si>
  <si>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</si>
  <si>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</si>
  <si>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</si>
  <si>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</si>
  <si>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</si>
  <si>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</si>
  <si>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</si>
  <si>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</si>
  <si>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</si>
  <si>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</si>
  <si>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</si>
  <si>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</si>
  <si>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</si>
  <si>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</si>
  <si>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</si>
  <si>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</si>
  <si>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</si>
  <si>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</si>
  <si>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</si>
  <si>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</si>
  <si>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</si>
  <si>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</si>
  <si>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</si>
  <si>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</si>
  <si>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</si>
  <si>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</si>
  <si>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</si>
  <si>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</si>
  <si>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</si>
  <si>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</si>
  <si>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</si>
  <si>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</si>
  <si>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</si>
  <si>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</si>
  <si>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</si>
  <si>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</si>
  <si>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</si>
  <si>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</si>
  <si>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</si>
  <si>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</si>
  <si>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</si>
  <si>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</si>
  <si>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</si>
  <si>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</si>
  <si>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</si>
  <si>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</si>
  <si>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</si>
  <si>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</si>
  <si>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</si>
  <si>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</si>
  <si>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</si>
  <si>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</si>
  <si>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</si>
  <si>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</si>
  <si>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</si>
  <si>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</si>
  <si>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</si>
  <si>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</si>
  <si>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</si>
  <si>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</si>
  <si>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</si>
  <si>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</si>
  <si>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</si>
  <si>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</si>
  <si>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</si>
  <si>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</si>
  <si>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</si>
  <si>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</si>
  <si>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</si>
  <si>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</si>
  <si>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</si>
  <si>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</si>
  <si>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</si>
  <si>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</si>
  <si>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</si>
  <si>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</si>
  <si>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</si>
  <si>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</si>
  <si>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</si>
  <si>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</si>
  <si>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</si>
  <si>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</si>
  <si>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</si>
  <si>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</si>
  <si>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</si>
  <si>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</si>
  <si>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</si>
  <si>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</si>
  <si>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</si>
  <si>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</si>
  <si>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</si>
  <si>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</si>
  <si>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</si>
  <si>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</si>
  <si>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</si>
  <si>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</si>
  <si>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</si>
  <si>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</si>
  <si>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</si>
  <si>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</si>
  <si>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</si>
  <si>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</si>
  <si>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</si>
  <si>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</si>
  <si>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</si>
  <si>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</si>
  <si>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</si>
  <si>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</si>
  <si>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</si>
  <si>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</si>
  <si>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</si>
  <si>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</si>
  <si>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</si>
  <si>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</si>
  <si>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</si>
  <si>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</si>
  <si>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</si>
  <si>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</si>
  <si>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</si>
  <si>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</si>
  <si>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</si>
  <si>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</si>
  <si>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</si>
  <si>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</si>
  <si>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</si>
  <si>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</si>
  <si>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</si>
  <si>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</si>
  <si>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</si>
  <si>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</si>
  <si>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</si>
  <si>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</si>
  <si>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</si>
  <si>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</si>
  <si>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</si>
  <si>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</si>
  <si>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</si>
  <si>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</si>
  <si>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</si>
  <si>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</si>
  <si>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</si>
  <si>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</si>
  <si>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</si>
  <si>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</si>
  <si>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</si>
  <si>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</si>
  <si>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</si>
  <si>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</si>
  <si>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</si>
  <si>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</si>
  <si>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</si>
  <si>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</si>
  <si>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</si>
  <si>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</si>
  <si>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</si>
  <si>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</si>
  <si>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</si>
  <si>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</si>
  <si>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</si>
  <si>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</si>
  <si>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</si>
  <si>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</si>
  <si>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</si>
  <si>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</si>
  <si>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</si>
  <si>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</si>
  <si>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</si>
  <si>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</si>
  <si>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</si>
  <si>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</si>
  <si>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</si>
  <si>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</si>
  <si>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</si>
  <si>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</si>
  <si>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</si>
  <si>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</si>
  <si>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</si>
  <si>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</si>
  <si>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</si>
  <si>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</si>
  <si>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</si>
  <si>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</si>
  <si>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</si>
  <si>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</si>
  <si>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</si>
  <si>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</si>
  <si>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</si>
  <si>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</si>
  <si>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</si>
  <si>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</si>
  <si>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</si>
  <si>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</si>
  <si>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</si>
  <si>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</si>
  <si>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</si>
  <si>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</si>
  <si>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</si>
  <si>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</si>
  <si>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</si>
  <si>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</si>
  <si>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</si>
  <si>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</si>
  <si>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</si>
  <si>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</si>
  <si>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</si>
  <si>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</si>
  <si>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</si>
  <si>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</si>
  <si>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</si>
  <si>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</si>
  <si>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</si>
  <si>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</si>
  <si>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</si>
  <si>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</si>
  <si>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</si>
  <si>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</si>
  <si>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</si>
  <si>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</si>
  <si>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</si>
  <si>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</si>
  <si>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</si>
  <si>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</si>
  <si>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</si>
  <si>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</si>
  <si>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</si>
  <si>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</si>
  <si>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</si>
  <si>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</si>
  <si>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</si>
  <si>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</si>
  <si>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</si>
  <si>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</si>
  <si>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</si>
  <si>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</si>
  <si>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</si>
  <si>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</si>
  <si>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</si>
  <si>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</si>
  <si>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</si>
  <si>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</si>
  <si>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</si>
  <si>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</si>
  <si>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</si>
  <si>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</si>
  <si>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</si>
  <si>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</si>
  <si>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</si>
  <si>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</si>
  <si>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</si>
  <si>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</si>
  <si>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</si>
  <si>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</si>
  <si>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</si>
  <si>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</si>
  <si>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</si>
  <si>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</si>
  <si>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</si>
  <si>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</si>
  <si>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</si>
  <si>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</si>
  <si>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</si>
  <si>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</si>
  <si>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</si>
  <si>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</si>
  <si>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</si>
  <si>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</si>
  <si>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</si>
  <si>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</si>
  <si>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</si>
  <si>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</si>
  <si>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</si>
  <si>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</si>
  <si>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</si>
  <si>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</si>
  <si>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</si>
  <si>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</si>
  <si>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</si>
  <si>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</si>
  <si>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</si>
  <si>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</si>
  <si>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</si>
  <si>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</si>
  <si>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</si>
  <si>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</si>
  <si>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</si>
  <si>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</si>
  <si>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</si>
  <si>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</si>
  <si>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</si>
  <si>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</si>
  <si>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</si>
  <si>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</si>
  <si>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</si>
  <si>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</si>
  <si>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</si>
  <si>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</si>
  <si>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</si>
  <si>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</si>
  <si>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</si>
  <si>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</si>
  <si>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</si>
  <si>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</si>
  <si>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</si>
  <si>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</si>
  <si>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</si>
  <si>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</si>
  <si>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</si>
  <si>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</si>
  <si>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</si>
  <si>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</si>
  <si>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</si>
  <si>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</si>
  <si>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</si>
  <si>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</si>
  <si>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</si>
  <si>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</si>
  <si>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</si>
  <si>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</si>
  <si>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</si>
  <si>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</si>
  <si>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</si>
  <si>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</si>
  <si>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</si>
  <si>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</si>
  <si>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</si>
  <si>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</si>
  <si>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</si>
  <si>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</si>
  <si>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</si>
  <si>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</si>
  <si>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</si>
  <si>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</si>
  <si>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</si>
  <si>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</si>
  <si>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</si>
  <si>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</si>
  <si>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</si>
  <si>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</si>
  <si>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</si>
  <si>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</si>
  <si>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</si>
  <si>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</si>
  <si>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</si>
  <si>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</si>
  <si>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</si>
  <si>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</si>
  <si>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</si>
  <si>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</si>
  <si>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</si>
  <si>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</si>
  <si>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</si>
  <si>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</si>
  <si>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</si>
  <si>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</si>
  <si>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</si>
  <si>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</si>
  <si>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</si>
  <si>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</si>
  <si>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</si>
  <si>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</si>
  <si>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</si>
  <si>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</si>
  <si>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</si>
  <si>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</si>
  <si>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</si>
  <si>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</si>
  <si>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</si>
  <si>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</si>
  <si>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</si>
  <si>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</si>
  <si>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</si>
  <si>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</si>
  <si>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</si>
  <si>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</si>
  <si>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</si>
  <si>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</si>
  <si>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</si>
  <si>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</si>
  <si>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</si>
  <si>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</si>
  <si>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</si>
  <si>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</si>
  <si>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</si>
  <si>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</si>
  <si>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</si>
  <si>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</si>
  <si>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</si>
  <si>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</si>
  <si>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</si>
  <si>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</si>
  <si>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</si>
  <si>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</si>
  <si>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</si>
  <si>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</si>
  <si>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</si>
  <si>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</si>
  <si>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</si>
  <si>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</si>
  <si>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</si>
  <si>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</si>
  <si>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</si>
  <si>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</si>
  <si>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</si>
  <si>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</si>
  <si>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</si>
  <si>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</si>
  <si>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</si>
  <si>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</si>
  <si>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</si>
  <si>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</si>
  <si>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</si>
  <si>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</si>
  <si>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</si>
  <si>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</si>
  <si>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</si>
  <si>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</si>
  <si>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</si>
  <si>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</si>
  <si>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</si>
  <si>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</si>
  <si>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</si>
  <si>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</si>
  <si>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</si>
  <si>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</si>
  <si>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</si>
  <si>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</si>
  <si>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</si>
  <si>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</si>
  <si>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</si>
  <si>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</si>
  <si>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</si>
  <si>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</si>
  <si>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</si>
  <si>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</si>
  <si>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</si>
  <si>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</si>
  <si>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</si>
  <si>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</si>
  <si>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</si>
  <si>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</si>
  <si>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</si>
  <si>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</si>
  <si>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</si>
  <si>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</si>
  <si>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</si>
  <si>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</si>
  <si>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</si>
  <si>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</si>
  <si>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</si>
  <si>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</si>
  <si>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</si>
  <si>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</si>
  <si>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</si>
  <si>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</si>
  <si>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</si>
  <si>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</si>
  <si>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</si>
  <si>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</si>
  <si>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</si>
  <si>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</si>
  <si>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</si>
  <si>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</si>
  <si>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</si>
  <si>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</si>
  <si>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</si>
  <si>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</si>
  <si>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</si>
  <si>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</si>
  <si>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</si>
  <si>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</si>
  <si>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</si>
  <si>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</si>
  <si>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</si>
  <si>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</si>
  <si>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</si>
  <si>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</si>
  <si>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</si>
  <si>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</si>
  <si>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</si>
  <si>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</si>
  <si>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</si>
  <si>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</si>
  <si>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</si>
  <si>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</si>
  <si>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</si>
  <si>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</si>
  <si>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</si>
  <si>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</si>
  <si>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</si>
  <si>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</si>
  <si>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</si>
  <si>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</si>
  <si>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</si>
  <si>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</si>
  <si>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</si>
  <si>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</si>
  <si>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</si>
  <si>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</si>
  <si>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</si>
  <si>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</si>
  <si>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</si>
  <si>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</si>
  <si>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</si>
  <si>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</si>
  <si>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</si>
  <si>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</si>
  <si>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</si>
  <si>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</si>
  <si>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</si>
  <si>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</si>
  <si>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</si>
  <si>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</si>
  <si>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</si>
  <si>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</si>
  <si>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</si>
  <si>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</si>
  <si>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</si>
  <si>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</si>
  <si>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</si>
  <si>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</si>
  <si>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</si>
  <si>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</si>
  <si>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</si>
  <si>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</si>
  <si>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</si>
  <si>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</si>
  <si>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</si>
  <si>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</si>
  <si>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</si>
  <si>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</si>
  <si>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</si>
  <si>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</si>
  <si>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</si>
  <si>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</si>
  <si>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</si>
  <si>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</si>
  <si>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</si>
  <si>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</si>
  <si>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</si>
  <si>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</si>
  <si>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</si>
  <si>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</si>
  <si>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</si>
  <si>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</si>
  <si>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</si>
  <si>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</si>
  <si>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</si>
  <si>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</si>
  <si>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</si>
  <si>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</si>
  <si>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</si>
  <si>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</si>
  <si>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</si>
  <si>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</si>
  <si>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</si>
  <si>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</si>
  <si>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</si>
  <si>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</si>
  <si>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</si>
  <si>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</si>
  <si>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</si>
  <si>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</si>
  <si>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</si>
  <si>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</si>
  <si>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</si>
  <si>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</si>
  <si>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</si>
  <si>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</si>
  <si>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</si>
  <si>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</si>
  <si>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</si>
  <si>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</si>
  <si>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</si>
  <si>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</si>
  <si>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</si>
  <si>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</si>
  <si>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</si>
  <si>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</si>
  <si>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</si>
  <si>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</si>
  <si>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</si>
  <si>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</si>
  <si>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</si>
  <si>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</si>
  <si>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</si>
  <si>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</si>
  <si>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</si>
  <si>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</si>
  <si>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</si>
  <si>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</si>
  <si>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</si>
  <si>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</si>
  <si>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</si>
  <si>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</si>
  <si>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</si>
  <si>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</si>
  <si>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</si>
  <si>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</si>
  <si>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</si>
  <si>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</si>
  <si>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</si>
  <si>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</si>
  <si>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</si>
  <si>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</si>
  <si>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</si>
  <si>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</si>
  <si>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</si>
  <si>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</si>
  <si>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</si>
  <si>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</si>
  <si>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</si>
  <si>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</si>
  <si>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</si>
  <si>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</si>
  <si>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</si>
  <si>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</si>
  <si>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</si>
  <si>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</si>
  <si>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</si>
  <si>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</si>
  <si>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</si>
  <si>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</si>
  <si>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</si>
  <si>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</si>
  <si>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</si>
  <si>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</si>
  <si>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</si>
  <si>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</si>
  <si>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</si>
  <si>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</si>
  <si>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</si>
  <si>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</si>
  <si>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</si>
  <si>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</si>
  <si>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</si>
  <si>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</si>
  <si>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</si>
  <si>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</si>
  <si>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</si>
  <si>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</si>
  <si>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</si>
  <si>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</si>
  <si>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</si>
  <si>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</si>
  <si>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</si>
  <si>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</si>
  <si>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</si>
  <si>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</si>
  <si>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</si>
  <si>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</si>
  <si>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</si>
  <si>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</si>
  <si>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</si>
  <si>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</si>
  <si>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</si>
  <si>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</si>
  <si>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</si>
  <si>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</si>
  <si>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</si>
  <si>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</si>
  <si>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</si>
  <si>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</si>
  <si>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</si>
  <si>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</si>
  <si>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</si>
  <si>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</si>
  <si>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</si>
  <si>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</si>
  <si>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</si>
  <si>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</si>
  <si>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</si>
  <si>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</si>
  <si>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</si>
  <si>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</si>
  <si>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</si>
  <si>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</si>
  <si>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</si>
  <si>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</si>
  <si>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</si>
  <si>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</si>
  <si>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</si>
  <si>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</si>
  <si>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</si>
  <si>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</si>
  <si>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</si>
  <si>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</si>
  <si>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</si>
  <si>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</si>
  <si>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</si>
  <si>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</si>
  <si>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</si>
  <si>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</si>
  <si>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</si>
  <si>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</si>
  <si>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</si>
  <si>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</si>
  <si>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</si>
  <si>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</si>
  <si>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</si>
  <si>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</si>
  <si>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</si>
  <si>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</si>
  <si>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</si>
  <si>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</si>
  <si>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</si>
  <si>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</si>
  <si>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</si>
  <si>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</si>
  <si>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</si>
  <si>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</si>
  <si>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</si>
  <si>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</si>
  <si>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</si>
  <si>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</si>
  <si>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</si>
  <si>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</si>
  <si>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</si>
  <si>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</si>
  <si>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</si>
  <si>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</si>
  <si>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</si>
  <si>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</si>
  <si>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</si>
  <si>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</si>
  <si>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</si>
  <si>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</si>
  <si>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</si>
  <si>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</si>
  <si>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</si>
  <si>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</si>
  <si>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</si>
  <si>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</si>
  <si>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</si>
  <si>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</si>
  <si>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</si>
  <si>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</si>
  <si>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</si>
  <si>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</si>
  <si>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</si>
  <si>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</si>
  <si>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</si>
  <si>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</si>
  <si>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</si>
  <si>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</si>
  <si>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</si>
  <si>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</si>
  <si>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</si>
  <si>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</si>
  <si>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</si>
  <si>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</si>
  <si>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</si>
  <si>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</si>
  <si>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</si>
  <si>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</si>
  <si>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</si>
  <si>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</si>
  <si>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</si>
  <si>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</si>
  <si>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</si>
  <si>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</si>
  <si>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</si>
  <si>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</si>
  <si>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</si>
  <si>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</si>
  <si>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</si>
  <si>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</si>
  <si>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</si>
  <si>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</si>
  <si>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</si>
  <si>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</si>
  <si>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</si>
  <si>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</si>
  <si>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</si>
  <si>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</si>
  <si>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</si>
  <si>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</si>
  <si>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</si>
  <si>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</si>
  <si>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</si>
  <si>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</si>
  <si>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</si>
  <si>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</si>
  <si>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</si>
  <si>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</si>
  <si>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</si>
  <si>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</si>
  <si>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</si>
  <si>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</si>
  <si>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</si>
  <si>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</si>
  <si>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</si>
  <si>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</si>
  <si>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</si>
  <si>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</si>
  <si>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</si>
  <si>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</si>
  <si>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</si>
  <si>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</si>
  <si>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</si>
  <si>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</si>
  <si>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</si>
  <si>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</si>
  <si>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</si>
  <si>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</si>
  <si>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</si>
  <si>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</si>
  <si>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</si>
  <si>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</si>
  <si>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</si>
  <si>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</si>
  <si>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</si>
  <si>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</si>
  <si>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</si>
  <si>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</si>
  <si>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</si>
  <si>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</si>
  <si>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</si>
  <si>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</si>
  <si>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</si>
  <si>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</si>
  <si>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</si>
  <si>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</si>
  <si>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</si>
  <si>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</si>
  <si>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</si>
  <si>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</si>
  <si>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</si>
  <si>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</si>
  <si>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</si>
  <si>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</si>
  <si>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</si>
  <si>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</si>
  <si>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</si>
  <si>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</si>
  <si>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</si>
  <si>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</si>
  <si>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</si>
  <si>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</si>
  <si>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</si>
  <si>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</si>
  <si>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</si>
  <si>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</si>
  <si>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</si>
  <si>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</si>
  <si>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</si>
  <si>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</si>
  <si>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</si>
  <si>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</si>
  <si>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</si>
  <si>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</si>
  <si>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</si>
  <si>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</si>
  <si>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</si>
  <si>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</si>
  <si>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</si>
  <si>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</si>
  <si>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</si>
  <si>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</si>
  <si>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</si>
  <si>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</si>
  <si>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</si>
  <si>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</si>
  <si>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</si>
  <si>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</si>
  <si>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</si>
  <si>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</si>
  <si>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</si>
  <si>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</si>
  <si>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</si>
  <si>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</si>
  <si>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</si>
  <si>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</si>
  <si>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</si>
  <si>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</si>
  <si>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</si>
  <si>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</si>
  <si>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</si>
  <si>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</si>
  <si>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</si>
  <si>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</si>
  <si>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</si>
  <si>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</si>
  <si>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</si>
  <si>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</si>
  <si>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</si>
  <si>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</si>
  <si>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</si>
  <si>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</si>
  <si>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</si>
  <si>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</si>
  <si>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</si>
  <si>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</si>
  <si>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</si>
  <si>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</si>
  <si>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</si>
  <si>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</si>
  <si>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</si>
  <si>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</si>
  <si>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</si>
  <si>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</si>
  <si>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</si>
  <si>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</si>
  <si>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</si>
  <si>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</si>
  <si>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</si>
  <si>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</si>
  <si>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</si>
  <si>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</si>
  <si>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</si>
  <si>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</si>
  <si>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</si>
  <si>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</si>
  <si>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</si>
  <si>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</si>
  <si>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</si>
  <si>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</si>
  <si>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</si>
  <si>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</si>
  <si>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</si>
  <si>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</si>
  <si>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</si>
  <si>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</si>
  <si>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</si>
  <si>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</si>
  <si>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</si>
  <si>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</si>
  <si>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</si>
  <si>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</si>
  <si>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</si>
  <si>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</si>
  <si>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</si>
  <si>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</si>
  <si>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</si>
  <si>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</si>
  <si>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</si>
  <si>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</si>
  <si>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</si>
  <si>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</si>
  <si>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</si>
  <si>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</si>
  <si>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</si>
  <si>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</si>
  <si>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</si>
  <si>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</si>
  <si>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</si>
  <si>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</si>
  <si>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</si>
  <si>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</si>
  <si>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</si>
  <si>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</si>
  <si>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</si>
  <si>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</si>
  <si>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</si>
  <si>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</si>
  <si>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</si>
  <si>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</si>
  <si>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</si>
  <si>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</si>
  <si>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</si>
  <si>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</si>
  <si>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</si>
  <si>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</si>
  <si>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</si>
  <si>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</si>
  <si>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</si>
  <si>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</si>
  <si>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</si>
  <si>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</si>
  <si>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</si>
  <si>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</si>
  <si>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</si>
  <si>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</si>
  <si>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</si>
  <si>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</si>
  <si>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</si>
  <si>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</si>
  <si>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</si>
  <si>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</si>
  <si>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</si>
  <si>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</si>
  <si>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</si>
  <si>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</si>
  <si>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</si>
  <si>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</si>
  <si>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</si>
  <si>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</si>
  <si>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</si>
  <si>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</si>
  <si>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</si>
  <si>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</si>
  <si>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</si>
  <si>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</si>
  <si>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</si>
  <si>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</si>
  <si>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</si>
  <si>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</si>
  <si>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</si>
  <si>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</si>
  <si>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</si>
  <si>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</si>
  <si>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</si>
  <si>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</si>
  <si>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</si>
  <si>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</si>
  <si>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</si>
  <si>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</si>
  <si>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</si>
  <si>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</si>
  <si>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</si>
  <si>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</si>
  <si>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</si>
  <si>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</si>
  <si>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</si>
  <si>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</si>
  <si>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</si>
  <si>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</si>
  <si>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</si>
  <si>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</si>
  <si>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</si>
  <si>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</si>
  <si>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</si>
  <si>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</si>
  <si>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</si>
  <si>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</si>
  <si>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</si>
  <si>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</si>
  <si>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</si>
  <si>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</si>
  <si>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</si>
  <si>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</si>
  <si>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</si>
  <si>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</si>
  <si>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</si>
  <si>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</si>
  <si>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</si>
  <si>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</si>
  <si>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</si>
  <si>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</si>
  <si>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</si>
  <si>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</si>
  <si>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</si>
  <si>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</si>
  <si>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</si>
  <si>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</si>
  <si>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</si>
  <si>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</si>
  <si>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</si>
  <si>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</si>
  <si>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</si>
  <si>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</si>
  <si>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</si>
  <si>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</si>
  <si>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</si>
  <si>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</si>
  <si>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</si>
  <si>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</si>
  <si>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</si>
  <si>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</si>
  <si>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</si>
  <si>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</si>
  <si>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</si>
  <si>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</si>
  <si>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</si>
  <si>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</si>
  <si>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</si>
  <si>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</si>
  <si>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</si>
  <si>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</si>
  <si>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</si>
  <si>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</si>
  <si>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</si>
  <si>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</si>
  <si>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</si>
  <si>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</si>
  <si>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</si>
  <si>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</si>
  <si>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</si>
  <si>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</si>
  <si>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</si>
  <si>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</si>
  <si>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</si>
  <si>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</si>
  <si>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</si>
  <si>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</si>
  <si>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</si>
  <si>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</si>
  <si>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</si>
  <si>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</si>
  <si>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</si>
  <si>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</si>
  <si>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</si>
  <si>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</si>
  <si>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</si>
  <si>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</si>
  <si>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</si>
  <si>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</si>
  <si>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</si>
  <si>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</si>
  <si>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</si>
  <si>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</si>
  <si>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</si>
  <si>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</si>
  <si>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</si>
  <si>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</si>
  <si>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</si>
  <si>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</si>
  <si>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</si>
  <si>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</si>
  <si>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</si>
  <si>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</si>
  <si>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</si>
  <si>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</si>
  <si>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</si>
  <si>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</si>
  <si>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</si>
  <si>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</si>
  <si>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</si>
  <si>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</si>
  <si>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</si>
  <si>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</si>
  <si>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</si>
  <si>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</si>
  <si>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</si>
  <si>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</si>
  <si>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</si>
  <si>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</si>
  <si>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</si>
  <si>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</si>
  <si>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</si>
  <si>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</si>
  <si>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</si>
  <si>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</si>
  <si>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</si>
  <si>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</si>
  <si>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</si>
  <si>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</si>
  <si>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</si>
  <si>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</si>
  <si>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</si>
  <si>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</si>
  <si>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</si>
  <si>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</si>
  <si>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</si>
  <si>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</si>
  <si>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</si>
  <si>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</si>
  <si>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</si>
  <si>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</si>
  <si>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</si>
  <si>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</si>
  <si>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</si>
  <si>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</si>
  <si>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</si>
  <si>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</si>
  <si>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</si>
  <si>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</si>
  <si>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</si>
  <si>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</si>
  <si>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</si>
  <si>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</si>
  <si>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</si>
  <si>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</si>
  <si>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</si>
  <si>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</si>
  <si>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</si>
  <si>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</si>
  <si>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</si>
  <si>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</si>
  <si>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</si>
  <si>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</si>
  <si>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</si>
  <si>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</si>
  <si>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</si>
  <si>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</si>
  <si>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</si>
  <si>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</si>
  <si>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</si>
  <si>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</si>
  <si>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</si>
  <si>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</si>
  <si>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</si>
  <si>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</si>
  <si>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</si>
  <si>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</si>
  <si>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</si>
  <si>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</si>
  <si>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</si>
  <si>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</si>
  <si>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</si>
  <si>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</si>
  <si>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</si>
  <si>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</si>
  <si>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</si>
  <si>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</si>
  <si>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</si>
  <si>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</si>
  <si>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</si>
  <si>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</si>
  <si>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</si>
  <si>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</si>
  <si>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</si>
  <si>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</si>
  <si>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</si>
  <si>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</si>
  <si>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</si>
  <si>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</si>
  <si>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</si>
  <si>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</si>
  <si>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</si>
  <si>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</si>
  <si>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</si>
  <si>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</si>
  <si>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</si>
  <si>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</si>
  <si>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</si>
  <si>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</si>
  <si>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</si>
  <si>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</si>
  <si>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</si>
  <si>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</si>
  <si>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</si>
  <si>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</si>
  <si>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</si>
  <si>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</si>
  <si>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</si>
  <si>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</si>
  <si>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</si>
  <si>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</si>
  <si>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</si>
  <si>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</si>
  <si>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</si>
  <si>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</si>
  <si>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</si>
  <si>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</si>
  <si>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</si>
  <si>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</si>
  <si>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</si>
  <si>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</si>
  <si>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</si>
  <si>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</si>
  <si>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</si>
  <si>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</si>
  <si>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</si>
  <si>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</si>
  <si>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</si>
  <si>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</si>
  <si>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</si>
  <si>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</si>
  <si>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</si>
  <si>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</si>
  <si>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</si>
  <si>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</si>
  <si>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</si>
  <si>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</si>
  <si>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</si>
  <si>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</si>
  <si>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</si>
  <si>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</si>
  <si>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</si>
  <si>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</si>
  <si>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</si>
  <si>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</si>
  <si>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</si>
  <si>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</si>
  <si>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</si>
  <si>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</si>
  <si>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</si>
  <si>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</si>
  <si>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</si>
  <si>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</si>
  <si>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</si>
  <si>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</si>
  <si>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</si>
  <si>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</si>
  <si>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</si>
  <si>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</si>
  <si>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</si>
  <si>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</si>
  <si>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</si>
  <si>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</si>
  <si>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</si>
  <si>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</si>
  <si>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</si>
  <si>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</si>
  <si>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</si>
  <si>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</si>
  <si>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</si>
  <si>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</si>
  <si>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</si>
  <si>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</si>
  <si>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</si>
  <si>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</si>
  <si>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</si>
  <si>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</si>
  <si>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</si>
  <si>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</si>
  <si>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</si>
  <si>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</si>
  <si>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</si>
  <si>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</si>
  <si>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</si>
  <si>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</si>
  <si>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</si>
  <si>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</si>
  <si>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</si>
  <si>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</si>
  <si>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</si>
  <si>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</si>
  <si>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</si>
  <si>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</si>
  <si>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</si>
  <si>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</si>
  <si>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</si>
  <si>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</si>
  <si>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</si>
  <si>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</si>
  <si>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</si>
  <si>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</si>
  <si>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</si>
  <si>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</si>
  <si>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</si>
  <si>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</si>
  <si>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</si>
  <si>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</si>
  <si>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</si>
  <si>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</si>
  <si>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</si>
  <si>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</si>
  <si>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</si>
  <si>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</si>
  <si>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</si>
  <si>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</si>
  <si>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</si>
  <si>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</si>
  <si>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</si>
  <si>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</si>
  <si>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</si>
  <si>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</si>
  <si>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</si>
  <si>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</si>
  <si>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</si>
  <si>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</si>
  <si>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</si>
  <si>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</si>
  <si>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</si>
  <si>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</si>
  <si>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</si>
  <si>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</si>
  <si>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</si>
  <si>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</si>
  <si>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</si>
  <si>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</si>
  <si>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</si>
  <si>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</si>
  <si>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</si>
  <si>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</si>
  <si>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</si>
  <si>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</si>
  <si>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</si>
  <si>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</si>
  <si>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</si>
  <si>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</si>
  <si>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</si>
  <si>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</si>
  <si>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</si>
  <si>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</si>
  <si>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</si>
  <si>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</si>
  <si>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</si>
  <si>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</si>
  <si>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</si>
  <si>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</si>
  <si>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</si>
  <si>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</si>
  <si>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</si>
  <si>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</si>
  <si>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</si>
  <si>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</si>
  <si>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</si>
  <si>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</si>
  <si>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</si>
  <si>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</si>
  <si>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</si>
  <si>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</si>
  <si>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</si>
  <si>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</si>
  <si>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</si>
  <si>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</si>
  <si>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</si>
  <si>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</si>
  <si>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</si>
  <si>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</si>
  <si>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</si>
  <si>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</si>
  <si>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</si>
  <si>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</si>
  <si>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</si>
  <si>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</si>
  <si>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</si>
  <si>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</si>
  <si>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</si>
  <si>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</si>
  <si>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</si>
  <si>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</si>
  <si>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</si>
  <si>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</si>
  <si>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</si>
  <si>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</si>
  <si>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</si>
  <si>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</si>
  <si>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</si>
  <si>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</si>
  <si>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</si>
  <si>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</si>
  <si>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</si>
  <si>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</si>
  <si>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</si>
  <si>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</si>
  <si>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</si>
  <si>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</si>
  <si>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</si>
  <si>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</si>
  <si>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</si>
  <si>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</si>
  <si>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</si>
  <si>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</si>
  <si>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</si>
  <si>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</si>
  <si>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</si>
  <si>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</si>
  <si>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</si>
  <si>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</si>
  <si>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</si>
  <si>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</si>
  <si>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</si>
  <si>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</si>
  <si>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</si>
  <si>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</si>
  <si>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</si>
  <si>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</si>
  <si>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</si>
  <si>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</si>
  <si>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</si>
  <si>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</si>
  <si>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</si>
  <si>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</si>
  <si>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</si>
  <si>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</si>
  <si>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</si>
  <si>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</si>
  <si>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</si>
  <si>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</si>
  <si>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</si>
  <si>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</si>
  <si>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</si>
  <si>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</si>
  <si>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</si>
  <si>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</si>
  <si>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</si>
  <si>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</si>
  <si>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</si>
  <si>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</si>
  <si>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</si>
  <si>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</si>
  <si>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</si>
  <si>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</si>
  <si>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</si>
  <si>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</si>
  <si>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</si>
  <si>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</si>
  <si>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</si>
  <si>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</si>
  <si>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</si>
  <si>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</si>
  <si>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</si>
  <si>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</si>
  <si>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</si>
  <si>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</si>
  <si>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</si>
  <si>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</si>
  <si>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</si>
  <si>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</si>
  <si>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</si>
  <si>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</si>
  <si>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</si>
  <si>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</si>
  <si>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</si>
  <si>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</si>
  <si>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</si>
  <si>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</si>
  <si>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</si>
  <si>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</si>
  <si>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</si>
  <si>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</si>
  <si>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</si>
  <si>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</si>
  <si>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</si>
  <si>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</si>
  <si>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</si>
  <si>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</si>
  <si>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</si>
  <si>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</si>
  <si>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</si>
  <si>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</si>
  <si>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</si>
  <si>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</si>
  <si>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</si>
  <si>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</si>
  <si>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</si>
  <si>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</si>
  <si>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</si>
  <si>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</si>
  <si>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</si>
  <si>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</si>
  <si>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</si>
  <si>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</si>
  <si>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</si>
  <si>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</si>
  <si>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</si>
  <si>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</si>
  <si>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</si>
  <si>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</si>
  <si>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</si>
  <si>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</si>
  <si>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</si>
  <si>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</si>
  <si>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</si>
  <si>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</si>
  <si>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</si>
  <si>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</si>
  <si>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</si>
  <si>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</si>
  <si>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</si>
  <si>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</si>
  <si>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</si>
  <si>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</si>
  <si>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</si>
  <si>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</si>
  <si>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</si>
  <si>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</si>
  <si>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</si>
  <si>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</si>
  <si>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</si>
  <si>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</si>
  <si>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</si>
  <si>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</si>
  <si>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</si>
  <si>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</si>
  <si>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</si>
  <si>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</si>
  <si>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</si>
  <si>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</si>
  <si>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</si>
  <si>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</si>
  <si>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</si>
  <si>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</si>
  <si>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</si>
  <si>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</si>
  <si>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</si>
  <si>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</si>
  <si>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</si>
  <si>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</si>
  <si>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</si>
  <si>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</si>
  <si>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</si>
  <si>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</si>
  <si>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</si>
  <si>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</si>
  <si>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</si>
  <si>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</si>
  <si>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</si>
  <si>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</si>
  <si>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</si>
  <si>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</si>
  <si>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</si>
  <si>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</si>
  <si>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</si>
  <si>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</si>
  <si>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</si>
  <si>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</si>
  <si>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</si>
  <si>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</si>
  <si>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</si>
  <si>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</si>
  <si>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</si>
  <si>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</si>
  <si>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</si>
  <si>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</si>
  <si>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</si>
  <si>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</si>
  <si>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</si>
  <si>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</si>
  <si>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</si>
  <si>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</si>
  <si>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</si>
  <si>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</si>
  <si>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</si>
  <si>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</si>
  <si>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</si>
  <si>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</si>
  <si>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</si>
  <si>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</si>
  <si>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</si>
  <si>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</si>
  <si>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</si>
  <si>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</si>
  <si>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</si>
  <si>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</si>
  <si>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</si>
  <si>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</si>
  <si>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</si>
  <si>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</si>
  <si>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</si>
  <si>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</si>
  <si>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</si>
  <si>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</si>
  <si>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</si>
  <si>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</si>
  <si>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</si>
  <si>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</si>
  <si>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</si>
  <si>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</si>
  <si>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</si>
  <si>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</si>
  <si>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</si>
  <si>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</si>
  <si>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</si>
  <si>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</si>
  <si>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</si>
  <si>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</si>
  <si>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</si>
  <si>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</si>
  <si>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</si>
  <si>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</si>
  <si>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</si>
  <si>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</si>
  <si>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</si>
  <si>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</si>
  <si>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</si>
  <si>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</si>
  <si>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</si>
  <si>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</si>
  <si>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</si>
  <si>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</si>
  <si>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</si>
  <si>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</si>
  <si>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</si>
  <si>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</si>
  <si>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</si>
  <si>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</si>
  <si>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</si>
  <si>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</si>
  <si>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</si>
  <si>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</si>
  <si>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</si>
  <si>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</si>
  <si>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</si>
  <si>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</si>
  <si>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</si>
  <si>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</si>
  <si>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</si>
  <si>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</si>
  <si>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</si>
  <si>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</si>
  <si>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</si>
  <si>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</si>
  <si>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</si>
  <si>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</si>
  <si>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</si>
  <si>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</si>
  <si>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</si>
  <si>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</si>
  <si>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</si>
  <si>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</si>
  <si>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</si>
  <si>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</si>
  <si>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</si>
  <si>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</si>
  <si>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</si>
  <si>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</si>
  <si>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</si>
  <si>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</si>
  <si>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</si>
  <si>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</si>
  <si>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</si>
  <si>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</si>
  <si>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</si>
  <si>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</si>
  <si>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</si>
  <si>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</si>
  <si>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</si>
  <si>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</si>
  <si>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</si>
  <si>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</si>
  <si>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</si>
  <si>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</si>
  <si>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</si>
  <si>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</si>
  <si>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</si>
  <si>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</si>
  <si>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</si>
  <si>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</si>
  <si>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</si>
  <si>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</si>
  <si>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</si>
  <si>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</si>
  <si>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</si>
  <si>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</si>
  <si>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</si>
  <si>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</si>
  <si>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</si>
  <si>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</si>
  <si>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</si>
  <si>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</si>
  <si>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</si>
  <si>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</si>
  <si>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</si>
  <si>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</si>
  <si>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</si>
  <si>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</si>
  <si>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</si>
  <si>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</si>
  <si>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</si>
  <si>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</si>
  <si>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</si>
  <si>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</si>
  <si>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</si>
  <si>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</si>
  <si>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</si>
  <si>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</si>
  <si>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</si>
  <si>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</si>
  <si>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</si>
  <si>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</si>
  <si>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</si>
  <si>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</si>
  <si>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</si>
  <si>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</si>
  <si>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</si>
  <si>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</si>
  <si>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</si>
  <si>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</si>
  <si>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</si>
  <si>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</si>
  <si>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</si>
  <si>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</si>
  <si>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</si>
  <si>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</si>
  <si>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</si>
  <si>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</si>
  <si>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</si>
  <si>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</si>
  <si>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</si>
  <si>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</si>
  <si>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</si>
  <si>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</si>
  <si>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</si>
  <si>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</si>
  <si>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</si>
  <si>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</si>
  <si>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</si>
  <si>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</si>
  <si>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</si>
  <si>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</si>
  <si>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</si>
  <si>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</si>
  <si>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</si>
  <si>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</si>
  <si>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</si>
  <si>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</si>
  <si>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</si>
  <si>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</si>
  <si>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</si>
  <si>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</si>
  <si>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</si>
  <si>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</si>
  <si>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</si>
  <si>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</si>
  <si>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</si>
  <si>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</si>
  <si>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</si>
  <si>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</si>
  <si>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</si>
  <si>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</si>
  <si>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</si>
  <si>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</si>
  <si>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</si>
  <si>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</si>
  <si>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</si>
  <si>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</si>
  <si>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</si>
  <si>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</si>
  <si>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</si>
  <si>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</si>
  <si>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</si>
  <si>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</si>
  <si>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</si>
  <si>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</si>
  <si>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</si>
  <si>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</si>
  <si>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</si>
  <si>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</si>
  <si>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</si>
  <si>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</si>
  <si>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</si>
  <si>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</si>
  <si>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</si>
  <si>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</si>
  <si>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</si>
  <si>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</si>
  <si>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</si>
  <si>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</si>
  <si>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</si>
  <si>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</si>
  <si>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</si>
  <si>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</si>
  <si>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</si>
  <si>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</si>
  <si>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</si>
  <si>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</si>
  <si>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</si>
  <si>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</si>
  <si>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</si>
  <si>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</si>
  <si>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</si>
  <si>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</si>
  <si>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</si>
  <si>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</si>
  <si>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</si>
  <si>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</si>
  <si>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</si>
  <si>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</si>
  <si>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</si>
  <si>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</si>
  <si>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</si>
  <si>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</si>
  <si>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</si>
  <si>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</si>
  <si>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</si>
  <si>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</si>
  <si>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</si>
  <si>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</si>
  <si>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</si>
  <si>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</si>
  <si>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</si>
  <si>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</si>
  <si>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</si>
  <si>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</si>
  <si>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</si>
  <si>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</si>
  <si>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</si>
  <si>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</si>
  <si>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</si>
  <si>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</si>
  <si>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</si>
  <si>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</si>
  <si>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</si>
  <si>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</si>
  <si>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</si>
  <si>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</si>
  <si>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</si>
  <si>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</si>
  <si>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</si>
  <si>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</si>
  <si>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</si>
  <si>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</si>
  <si>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</si>
  <si>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</si>
  <si>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</si>
  <si>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</si>
  <si>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</si>
  <si>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</si>
  <si>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</si>
  <si>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</si>
  <si>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</si>
  <si>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</si>
  <si>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</si>
  <si>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</si>
  <si>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</si>
  <si>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</si>
  <si>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</si>
  <si>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</si>
  <si>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</si>
  <si>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</si>
  <si>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</si>
  <si>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</si>
  <si>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</si>
  <si>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</si>
  <si>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</si>
  <si>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</si>
  <si>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</si>
  <si>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</si>
  <si>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</si>
  <si>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</si>
  <si>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</si>
  <si>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</si>
  <si>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</si>
  <si>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</si>
  <si>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</si>
  <si>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</si>
  <si>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</si>
  <si>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</si>
  <si>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</si>
  <si>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</si>
  <si>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</si>
  <si>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</si>
  <si>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</si>
  <si>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</si>
  <si>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</si>
  <si>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</si>
  <si>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</si>
  <si>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</si>
  <si>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</si>
  <si>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</si>
  <si>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</si>
  <si>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</si>
  <si>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</si>
  <si>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</si>
  <si>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</si>
  <si>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</si>
  <si>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</si>
  <si>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</si>
  <si>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</si>
  <si>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</si>
  <si>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</si>
  <si>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</si>
  <si>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</si>
  <si>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</si>
  <si>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</si>
  <si>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</si>
  <si>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</si>
  <si>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</si>
  <si>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</si>
  <si>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</si>
  <si>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</si>
  <si>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</si>
  <si>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</si>
  <si>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</si>
  <si>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</si>
  <si>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</si>
  <si>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</si>
  <si>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</si>
  <si>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</si>
  <si>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</si>
  <si>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</si>
  <si>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</si>
  <si>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</si>
  <si>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</si>
  <si>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</si>
  <si>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</si>
  <si>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</si>
  <si>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</si>
  <si>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</si>
  <si>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</si>
  <si>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</si>
  <si>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</si>
  <si>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</si>
  <si>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</si>
  <si>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</si>
  <si>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</si>
  <si>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</si>
  <si>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</si>
  <si>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</si>
  <si>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</si>
  <si>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</si>
  <si>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</si>
  <si>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</si>
  <si>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</si>
  <si>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</si>
  <si>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</si>
  <si>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</si>
  <si>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</si>
  <si>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</si>
  <si>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</si>
  <si>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</si>
  <si>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</si>
  <si>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</si>
  <si>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</si>
  <si>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</si>
  <si>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</si>
  <si>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</si>
  <si>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</si>
  <si>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</si>
  <si>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</si>
  <si>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</si>
  <si>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</si>
  <si>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</si>
  <si>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</si>
  <si>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</si>
  <si>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</si>
  <si>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</si>
  <si>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</si>
  <si>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</si>
  <si>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</si>
  <si>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</si>
  <si>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</si>
  <si>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</si>
  <si>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</si>
  <si>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</si>
  <si>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</si>
  <si>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</si>
  <si>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</si>
  <si>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</si>
  <si>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</si>
  <si>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</si>
  <si>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</si>
  <si>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</si>
  <si>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</si>
  <si>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</si>
  <si>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</si>
  <si>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</si>
  <si>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</si>
  <si>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</si>
  <si>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</si>
  <si>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</si>
  <si>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</si>
  <si>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</si>
  <si>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</si>
  <si>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</si>
  <si>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</si>
  <si>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</si>
  <si>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</si>
  <si>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</si>
  <si>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</si>
  <si>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</si>
  <si>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</si>
  <si>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</si>
  <si>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</si>
  <si>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</si>
  <si>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</si>
  <si>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</si>
  <si>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</si>
  <si>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</si>
  <si>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</si>
  <si>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</si>
  <si>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</si>
  <si>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</si>
  <si>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</si>
  <si>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</si>
  <si>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</si>
  <si>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</si>
  <si>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</si>
  <si>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</si>
  <si>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</si>
  <si>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</si>
  <si>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</si>
  <si>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</si>
  <si>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</si>
  <si>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</si>
  <si>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</si>
  <si>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</si>
  <si>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</si>
  <si>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</si>
  <si>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</si>
  <si>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</si>
  <si>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</si>
  <si>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</si>
  <si>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</si>
  <si>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</si>
  <si>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</si>
  <si>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</si>
  <si>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</si>
  <si>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</si>
  <si>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</si>
  <si>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</si>
  <si>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</si>
  <si>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</si>
  <si>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</si>
  <si>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</si>
  <si>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</si>
  <si>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</si>
  <si>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</si>
  <si>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</si>
  <si>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</si>
  <si>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</si>
  <si>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</si>
  <si>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</si>
  <si>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</si>
  <si>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</si>
  <si>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</si>
  <si>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</si>
  <si>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</si>
  <si>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</si>
  <si>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</si>
  <si>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</si>
  <si>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</si>
  <si>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</si>
  <si>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</si>
  <si>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</si>
  <si>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</si>
  <si>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</si>
  <si>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</si>
  <si>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</si>
  <si>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</si>
  <si>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</si>
  <si>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</si>
  <si>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</si>
  <si>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</si>
  <si>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</si>
  <si>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</si>
  <si>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</si>
  <si>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</si>
  <si>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</si>
  <si>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</si>
  <si>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</si>
  <si>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</si>
  <si>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</si>
  <si>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</si>
  <si>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</si>
  <si>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</si>
  <si>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</si>
  <si>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</si>
  <si>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</si>
  <si>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</si>
  <si>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</si>
  <si>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</si>
  <si>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</si>
  <si>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</si>
  <si>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</si>
  <si>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</si>
  <si>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</si>
  <si>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</si>
  <si>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</si>
  <si>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</si>
  <si>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</si>
  <si>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</si>
  <si>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</si>
  <si>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</si>
  <si>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</si>
  <si>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</si>
  <si>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</si>
  <si>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</si>
  <si>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</si>
  <si>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</si>
  <si>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</si>
  <si>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</si>
  <si>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</si>
  <si>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</si>
  <si>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</si>
  <si>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</si>
  <si>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</si>
  <si>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</si>
  <si>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</si>
  <si>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</si>
  <si>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</si>
  <si>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</si>
  <si>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</si>
  <si>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</si>
  <si>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</si>
  <si>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</si>
  <si>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</si>
  <si>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</si>
  <si>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</si>
  <si>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</si>
  <si>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</si>
  <si>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</si>
  <si>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</si>
  <si>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</si>
  <si>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</si>
  <si>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</si>
  <si>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</si>
  <si>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</si>
  <si>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</si>
  <si>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</si>
  <si>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</si>
  <si>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</si>
  <si>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</si>
  <si>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</si>
  <si>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</si>
  <si>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</si>
  <si>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</si>
  <si>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</si>
  <si>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</si>
  <si>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</si>
  <si>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</si>
  <si>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</si>
  <si>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</si>
  <si>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</si>
  <si>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</si>
  <si>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</si>
  <si>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</si>
  <si>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</si>
  <si>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</si>
  <si>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</si>
  <si>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</si>
  <si>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</si>
  <si>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</si>
  <si>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</si>
  <si>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</si>
  <si>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</si>
  <si>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</si>
  <si>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</si>
  <si>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</si>
  <si>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</si>
  <si>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</si>
  <si>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</si>
  <si>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</si>
  <si>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</si>
  <si>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</si>
  <si>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</si>
  <si>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</si>
  <si>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</si>
  <si>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</si>
  <si>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</si>
  <si>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</si>
  <si>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</si>
  <si>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</si>
  <si>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</si>
  <si>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</si>
  <si>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</si>
  <si>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</si>
  <si>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</si>
  <si>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</si>
  <si>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</si>
  <si>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</si>
  <si>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</si>
  <si>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</si>
  <si>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</si>
  <si>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</si>
  <si>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</si>
  <si>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</si>
  <si>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</si>
  <si>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</si>
  <si>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</si>
  <si>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</si>
  <si>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</si>
  <si>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</si>
  <si>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</si>
  <si>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</si>
  <si>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</si>
  <si>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</si>
  <si>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</si>
  <si>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</si>
  <si>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</si>
  <si>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</si>
  <si>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</si>
  <si>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</si>
  <si>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</si>
  <si>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</si>
  <si>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</si>
  <si>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</si>
  <si>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</si>
  <si>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</si>
  <si>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</si>
  <si>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</si>
  <si>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</si>
  <si>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</si>
  <si>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</si>
  <si>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</si>
  <si>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</si>
  <si>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</si>
  <si>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</si>
  <si>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</si>
  <si>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</si>
  <si>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</si>
  <si>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</si>
  <si>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</si>
  <si>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</si>
  <si>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</si>
  <si>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</si>
  <si>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</si>
  <si>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</si>
  <si>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</si>
  <si>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</si>
  <si>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</si>
  <si>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</si>
  <si>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</si>
  <si>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</si>
  <si>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</si>
  <si>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</si>
  <si>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</si>
  <si>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</si>
  <si>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</si>
  <si>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</si>
  <si>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</si>
  <si>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</si>
  <si>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</si>
  <si>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</si>
  <si>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</si>
  <si>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</si>
  <si>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</si>
  <si>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</si>
  <si>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</si>
  <si>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</si>
  <si>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</si>
  <si>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</si>
  <si>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</si>
  <si>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</si>
  <si>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</si>
  <si>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</si>
  <si>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</si>
  <si>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</si>
  <si>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</si>
  <si>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</si>
  <si>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</si>
  <si>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</si>
  <si>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</si>
  <si>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</si>
  <si>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</si>
  <si>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</si>
  <si>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</si>
  <si>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</si>
  <si>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</si>
  <si>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</si>
  <si>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</si>
  <si>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</si>
  <si>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</si>
  <si>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</si>
  <si>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</si>
  <si>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</si>
  <si>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</si>
  <si>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</si>
  <si>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</si>
  <si>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</si>
  <si>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</si>
  <si>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</si>
  <si>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</si>
  <si>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</si>
  <si>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</si>
  <si>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</si>
  <si>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</si>
  <si>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</si>
  <si>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</si>
  <si>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</si>
  <si>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</si>
  <si>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</si>
  <si>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</si>
  <si>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</si>
  <si>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</si>
  <si>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</si>
  <si>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</si>
  <si>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</si>
  <si>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</si>
  <si>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</si>
  <si>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</si>
  <si>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</si>
  <si>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</si>
  <si>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</si>
  <si>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</si>
  <si>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</si>
  <si>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</si>
  <si>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</si>
  <si>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</si>
  <si>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</si>
  <si>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</si>
  <si>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</si>
  <si>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</si>
  <si>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</si>
  <si>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</si>
  <si>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</si>
  <si>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</si>
  <si>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</si>
  <si>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</si>
  <si>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</si>
  <si>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</si>
  <si>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</si>
  <si>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</si>
  <si>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</si>
  <si>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</si>
  <si>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</si>
  <si>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</si>
  <si>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</si>
  <si>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</si>
  <si>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</si>
  <si>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</si>
  <si>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</si>
  <si>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</si>
  <si>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</si>
  <si>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</si>
  <si>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</si>
  <si>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</si>
  <si>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</si>
  <si>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</si>
  <si>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</si>
  <si>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</si>
  <si>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</si>
  <si>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</si>
  <si>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</si>
  <si>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</si>
  <si>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</si>
  <si>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</si>
  <si>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</si>
  <si>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</si>
  <si>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</si>
  <si>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</si>
  <si>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</si>
  <si>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</si>
  <si>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</si>
  <si>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</si>
  <si>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</si>
  <si>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</si>
  <si>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</si>
  <si>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</si>
  <si>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</si>
  <si>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</si>
  <si>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</si>
  <si>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</si>
  <si>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</si>
  <si>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</si>
  <si>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</si>
  <si>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</si>
  <si>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</si>
  <si>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</si>
  <si>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</si>
  <si>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</si>
  <si>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</si>
  <si>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</si>
  <si>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</si>
  <si>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</si>
  <si>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</si>
  <si>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</si>
  <si>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</si>
  <si>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</si>
  <si>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</si>
  <si>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</si>
  <si>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</si>
  <si>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</si>
  <si>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</si>
  <si>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</si>
  <si>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</si>
  <si>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</si>
  <si>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</si>
  <si>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</si>
  <si>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</si>
  <si>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</si>
  <si>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</si>
  <si>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</si>
  <si>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</si>
  <si>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</si>
  <si>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</si>
  <si>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</si>
  <si>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</si>
  <si>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</si>
  <si>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</si>
  <si>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</si>
  <si>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</si>
  <si>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</si>
  <si>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</si>
  <si>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</si>
  <si>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</si>
  <si>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</si>
  <si>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</si>
  <si>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</si>
  <si>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</si>
  <si>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</si>
  <si>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</si>
  <si>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</si>
  <si>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</si>
  <si>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</si>
  <si>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</si>
  <si>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</si>
  <si>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</si>
  <si>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</si>
  <si>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</si>
  <si>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</si>
  <si>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</si>
  <si>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</si>
  <si>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</si>
  <si>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</si>
  <si>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</si>
  <si>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</si>
  <si>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</si>
  <si>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</si>
  <si>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</si>
  <si>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</si>
  <si>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</si>
  <si>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</si>
  <si>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</si>
  <si>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</si>
  <si>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</si>
  <si>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</si>
  <si>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</si>
  <si>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</si>
  <si>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</si>
  <si>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</si>
  <si>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</si>
  <si>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</si>
  <si>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</si>
  <si>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</si>
  <si>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</si>
  <si>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</si>
  <si>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</si>
  <si>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54 (steadier screen, on the 853): -0.0022 (-0.0036 to -0.0008), five times the placebo. To the served recipe with bookings.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</si>
  <si>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</si>
  <si>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</si>
  <si>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</si>
  <si>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</si>
  <si>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-0.0041); the next served candidate, in training.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</si>
  <si>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</si>
  <si>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</si>
  <si>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tests it on the served recipe.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</si>
  <si>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</si>
  <si>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</si>
  <si>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</si>
  <si>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</si>
  <si>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</si>
  <si>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44: +0.0007 (-0.0009 to +0.0022), the outsiders worse: the trees already read these measures against the field.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</si>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</sst>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COUNTIF(Features!$F$2:$F$1179,A5)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COUNTIF(Features!$F$2:$F$1179,A6)</f>
        <v>340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COUNTIF(Features!$F$2:$F$1179,A7)</f>
        <v>219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COUNTIF(Features!$F$2:$F$1179,A8)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1178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COUNTIFS(Features!$F$2:$F$1179,"Served",Features!$G$2:$G$1179,0)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SUM(Features!$H$2:$H$1179)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INDEX(Features!$A$2:$A$1179,MATCH(1,Features!$I$2:$I$1179,0))</f>
        <v>rPMW3</v>
      </c>
      <c r="B21" s="6" t="n">
        <f aca="false">INDEX(Features!$H$2:$H$1179,MATCH(1,Features!$I$2:$I$1179,0))</f>
        <v>0.112984774669746</v>
      </c>
      <c r="C21" s="4" t="str">
        <f aca="false">INDEX(Features!$B$2:$B$1179,MATCH(1,Features!$I$2:$I$1179,0))</f>
        <v>Custom metrics</v>
      </c>
      <c r="D21" s="4" t="str">
        <f aca="false">INDEX(Features!$D$2:$D$1179,MATCH(1,Features!$I$2:$I$1179,0))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INDEX(Features!$A$2:$A$1179,MATCH(2,Features!$I$2:$I$1179,0))</f>
        <v>rPMW5</v>
      </c>
      <c r="B22" s="6" t="n">
        <f aca="false">INDEX(Features!$H$2:$H$1179,MATCH(2,Features!$I$2:$I$1179,0))</f>
        <v>0.0640067165695983</v>
      </c>
      <c r="C22" s="4" t="str">
        <f aca="false">INDEX(Features!$B$2:$B$1179,MATCH(2,Features!$I$2:$I$1179,0))</f>
        <v>Custom metrics</v>
      </c>
      <c r="D22" s="4" t="str">
        <f aca="false">INDEX(Features!$D$2:$D$1179,MATCH(2,Features!$I$2:$I$1179,0))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INDEX(Features!$A$2:$A$1179,MATCH(3,Features!$I$2:$I$1179,0))</f>
        <v>LR_ORR2</v>
      </c>
      <c r="B23" s="6" t="n">
        <f aca="false">INDEX(Features!$H$2:$H$1179,MATCH(3,Features!$I$2:$I$1179,0))</f>
        <v>0.0486558406734368</v>
      </c>
      <c r="C23" s="4" t="str">
        <f aca="false">INDEX(Features!$B$2:$B$1179,MATCH(3,Features!$I$2:$I$1179,0))</f>
        <v>Custom metrics</v>
      </c>
      <c r="D23" s="4" t="str">
        <f aca="false">INDEX(Features!$D$2:$D$1179,MATCH(3,Features!$I$2:$I$1179,0))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INDEX(Features!$A$2:$A$1179,MATCH(4,Features!$I$2:$I$1179,0))</f>
        <v>or_num</v>
      </c>
      <c r="B24" s="6" t="n">
        <f aca="false">INDEX(Features!$H$2:$H$1179,MATCH(4,Features!$I$2:$I$1179,0))</f>
        <v>0.0485208920112</v>
      </c>
      <c r="C24" s="4" t="str">
        <f aca="false">INDEX(Features!$B$2:$B$1179,MATCH(4,Features!$I$2:$I$1179,0))</f>
        <v>Card fields</v>
      </c>
      <c r="D24" s="4" t="str">
        <f aca="false">INDEX(Features!$D$2:$D$1179,MATCH(4,Features!$I$2:$I$1179,0))</f>
        <v>Official rating</v>
      </c>
    </row>
    <row r="25" customFormat="false" ht="15" hidden="false" customHeight="false" outlineLevel="0" collapsed="false">
      <c r="A25" s="4" t="str">
        <f aca="false">INDEX(Features!$A$2:$A$1179,MATCH(5,Features!$I$2:$I$1179,0))</f>
        <v>rPMW10</v>
      </c>
      <c r="B25" s="6" t="n">
        <f aca="false">INDEX(Features!$H$2:$H$1179,MATCH(5,Features!$I$2:$I$1179,0))</f>
        <v>0.0478849865352579</v>
      </c>
      <c r="C25" s="4" t="str">
        <f aca="false">INDEX(Features!$B$2:$B$1179,MATCH(5,Features!$I$2:$I$1179,0))</f>
        <v>Custom metrics</v>
      </c>
      <c r="D25" s="4" t="str">
        <f aca="false">INDEX(Features!$D$2:$D$1179,MATCH(5,Features!$I$2:$I$1179,0))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INDEX(Features!$A$2:$A$1179,MATCH(6,Features!$I$2:$I$1179,0))</f>
        <v>fw_mkt_w3</v>
      </c>
      <c r="B26" s="6" t="n">
        <f aca="false">INDEX(Features!$H$2:$H$1179,MATCH(6,Features!$I$2:$I$1179,0))</f>
        <v>0.0332975073952866</v>
      </c>
      <c r="C26" s="4" t="str">
        <f aca="false">INDEX(Features!$B$2:$B$1179,MATCH(6,Features!$I$2:$I$1179,0))</f>
        <v>Form windows</v>
      </c>
      <c r="D26" s="4" t="str">
        <f aca="false">INDEX(Features!$D$2:$D$1179,MATCH(6,Features!$I$2:$I$1179,0))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INDEX(Features!$A$2:$A$1179,MATCH(7,Features!$I$2:$I$1179,0))</f>
        <v>fw_lbsc_w3</v>
      </c>
      <c r="B27" s="6" t="n">
        <f aca="false">INDEX(Features!$H$2:$H$1179,MATCH(7,Features!$I$2:$I$1179,0))</f>
        <v>0.0313316712438129</v>
      </c>
      <c r="C27" s="4" t="str">
        <f aca="false">INDEX(Features!$B$2:$B$1179,MATCH(7,Features!$I$2:$I$1179,0))</f>
        <v>Form windows</v>
      </c>
      <c r="D27" s="4" t="str">
        <f aca="false">INDEX(Features!$D$2:$D$1179,MATCH(7,Features!$I$2:$I$1179,0))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INDEX(Features!$A$2:$A$1179,MATCH(8,Features!$I$2:$I$1179,0))</f>
        <v>trainerWAXrank</v>
      </c>
      <c r="B28" s="6" t="n">
        <f aca="false">INDEX(Features!$H$2:$H$1179,MATCH(8,Features!$I$2:$I$1179,0))</f>
        <v>0.025939223784837</v>
      </c>
      <c r="C28" s="4" t="str">
        <f aca="false">INDEX(Features!$B$2:$B$1179,MATCH(8,Features!$I$2:$I$1179,0))</f>
        <v>Custom metrics</v>
      </c>
      <c r="D28" s="4" t="str">
        <f aca="false">INDEX(Features!$D$2:$D$1179,MATCH(8,Features!$I$2:$I$1179,0))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INDEX(Features!$A$2:$A$1179,MATCH(9,Features!$I$2:$I$1179,0))</f>
        <v>rTJNFP</v>
      </c>
      <c r="B29" s="6" t="n">
        <f aca="false">INDEX(Features!$H$2:$H$1179,MATCH(9,Features!$I$2:$I$1179,0))</f>
        <v>0.0222305819491794</v>
      </c>
      <c r="C29" s="4" t="str">
        <f aca="false">INDEX(Features!$B$2:$B$1179,MATCH(9,Features!$I$2:$I$1179,0))</f>
        <v>Custom metrics</v>
      </c>
      <c r="D29" s="4" t="str">
        <f aca="false">INDEX(Features!$D$2:$D$1179,MATCH(9,Features!$I$2:$I$1179,0))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INDEX(Features!$A$2:$A$1179,MATCH(10,Features!$I$2:$I$1179,0))</f>
        <v>fw_lbs_w3</v>
      </c>
      <c r="B30" s="6" t="n">
        <f aca="false">INDEX(Features!$H$2:$H$1179,MATCH(10,Features!$I$2:$I$1179,0))</f>
        <v>0.020753193002201</v>
      </c>
      <c r="C30" s="4" t="str">
        <f aca="false">INDEX(Features!$B$2:$B$1179,MATCH(10,Features!$I$2:$I$1179,0))</f>
        <v>Form windows</v>
      </c>
      <c r="D30" s="4" t="str">
        <f aca="false">INDEX(Features!$D$2:$D$1179,MATCH(10,Features!$I$2:$I$1179,0))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INDEX(Features!$A$2:$A$1179,MATCH(11,Features!$I$2:$I$1179,0))</f>
        <v>or_vs_max</v>
      </c>
      <c r="B31" s="6" t="n">
        <f aca="false">INDEX(Features!$H$2:$H$1179,MATCH(11,Features!$I$2:$I$1179,0))</f>
        <v>0.0143083424786789</v>
      </c>
      <c r="C31" s="4" t="str">
        <f aca="false">INDEX(Features!$B$2:$B$1179,MATCH(11,Features!$I$2:$I$1179,0))</f>
        <v>Card fields</v>
      </c>
      <c r="D31" s="4" t="str">
        <f aca="false">INDEX(Features!$D$2:$D$1179,MATCH(11,Features!$I$2:$I$1179,0))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INDEX(Features!$A$2:$A$1179,MATCH(12,Features!$I$2:$I$1179,0))</f>
        <v>median_or_num</v>
      </c>
      <c r="B32" s="6" t="n">
        <f aca="false">INDEX(Features!$H$2:$H$1179,MATCH(12,Features!$I$2:$I$1179,0))</f>
        <v>0.0139683688613639</v>
      </c>
      <c r="C32" s="4" t="str">
        <f aca="false">INDEX(Features!$B$2:$B$1179,MATCH(12,Features!$I$2:$I$1179,0))</f>
        <v>Card fields</v>
      </c>
      <c r="D32" s="4" t="str">
        <f aca="false">INDEX(Features!$D$2:$D$1179,MATCH(12,Features!$I$2:$I$1179,0))</f>
        <v>Median official rating in the race</v>
      </c>
    </row>
    <row r="33" customFormat="false" ht="15" hidden="false" customHeight="false" outlineLevel="0" collapsed="false">
      <c r="A33" s="4" t="str">
        <f aca="false">INDEX(Features!$A$2:$A$1179,MATCH(13,Features!$I$2:$I$1179,0))</f>
        <v>OFS1</v>
      </c>
      <c r="B33" s="6" t="n">
        <f aca="false">INDEX(Features!$H$2:$H$1179,MATCH(13,Features!$I$2:$I$1179,0))</f>
        <v>0.0132512583680595</v>
      </c>
      <c r="C33" s="4" t="str">
        <f aca="false">INDEX(Features!$B$2:$B$1179,MATCH(13,Features!$I$2:$I$1179,0))</f>
        <v>Custom metrics</v>
      </c>
      <c r="D33" s="4" t="str">
        <f aca="false">INDEX(Features!$D$2:$D$1179,MATCH(13,Features!$I$2:$I$1179,0))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INDEX(Features!$A$2:$A$1179,MATCH(14,Features!$I$2:$I$1179,0))</f>
        <v>fw_lbs_l1</v>
      </c>
      <c r="B34" s="6" t="n">
        <f aca="false">INDEX(Features!$H$2:$H$1179,MATCH(14,Features!$I$2:$I$1179,0))</f>
        <v>0.0132235315123739</v>
      </c>
      <c r="C34" s="4" t="str">
        <f aca="false">INDEX(Features!$B$2:$B$1179,MATCH(14,Features!$I$2:$I$1179,0))</f>
        <v>Form windows</v>
      </c>
      <c r="D34" s="4" t="str">
        <f aca="false">INDEX(Features!$D$2:$D$1179,MATCH(14,Features!$I$2:$I$1179,0))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INDEX(Features!$A$2:$A$1179,MATCH(15,Features!$I$2:$I$1179,0))</f>
        <v>race_type_cat</v>
      </c>
      <c r="B35" s="6" t="n">
        <f aca="false">INDEX(Features!$H$2:$H$1179,MATCH(15,Features!$I$2:$I$1179,0))</f>
        <v>0.0131770769347495</v>
      </c>
      <c r="C35" s="4" t="str">
        <f aca="false">INDEX(Features!$B$2:$B$1179,MATCH(15,Features!$I$2:$I$1179,0))</f>
        <v>Card fields</v>
      </c>
      <c r="D35" s="4" t="str">
        <f aca="false">INDEX(Features!$D$2:$D$1179,MATCH(15,Features!$I$2:$I$1179,0))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IF(G2="","",G2/SUMIFS($G$2:$G$1179,$F$2:$F$1179,"Served"))</f>
        <v>0.112984774669746</v>
      </c>
      <c r="I2" s="4" t="n">
        <f aca="false">IF(G2="","",RANK(G2,$G$2:$G$1179,0))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IF(G3="","",G3/SUMIFS($G$2:$G$1179,$F$2:$F$1179,"Served"))</f>
        <v>0.0640067165695983</v>
      </c>
      <c r="I3" s="4" t="n">
        <f aca="false">IF(G3="","",RANK(G3,$G$2:$G$1179,0))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IF(G4="","",G4/SUMIFS($G$2:$G$1179,$F$2:$F$1179,"Served"))</f>
        <v>0.0486558406734368</v>
      </c>
      <c r="I4" s="4" t="n">
        <f aca="false">IF(G4="","",RANK(G4,$G$2:$G$1179,0))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IF(G5="","",G5/SUMIFS($G$2:$G$1179,$F$2:$F$1179,"Served"))</f>
        <v>0.0485208920112</v>
      </c>
      <c r="I5" s="4" t="n">
        <f aca="false">IF(G5="","",RANK(G5,$G$2:$G$1179,0))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IF(G6="","",G6/SUMIFS($G$2:$G$1179,$F$2:$F$1179,"Served"))</f>
        <v>0.0478849865352579</v>
      </c>
      <c r="I6" s="4" t="n">
        <f aca="false">IF(G6="","",RANK(G6,$G$2:$G$1179,0))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IF(G7="","",G7/SUMIFS($G$2:$G$1179,$F$2:$F$1179,"Served"))</f>
        <v>0.0332975073952866</v>
      </c>
      <c r="I7" s="4" t="n">
        <f aca="false">IF(G7="","",RANK(G7,$G$2:$G$1179,0))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IF(G8="","",G8/SUMIFS($G$2:$G$1179,$F$2:$F$1179,"Served"))</f>
        <v>0.0313316712438129</v>
      </c>
      <c r="I8" s="4" t="n">
        <f aca="false">IF(G8="","",RANK(G8,$G$2:$G$1179,0))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IF(G9="","",G9/SUMIFS($G$2:$G$1179,$F$2:$F$1179,"Served"))</f>
        <v>0.025939223784837</v>
      </c>
      <c r="I9" s="4" t="n">
        <f aca="false">IF(G9="","",RANK(G9,$G$2:$G$1179,0))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IF(G10="","",G10/SUMIFS($G$2:$G$1179,$F$2:$F$1179,"Served"))</f>
        <v>0.0222305819491794</v>
      </c>
      <c r="I10" s="4" t="n">
        <f aca="false">IF(G10="","",RANK(G10,$G$2:$G$1179,0))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IF(G11="","",G11/SUMIFS($G$2:$G$1179,$F$2:$F$1179,"Served"))</f>
        <v>0.020753193002201</v>
      </c>
      <c r="I11" s="4" t="n">
        <f aca="false">IF(G11="","",RANK(G11,$G$2:$G$1179,0))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IF(G12="","",G12/SUMIFS($G$2:$G$1179,$F$2:$F$1179,"Served"))</f>
        <v>0.0143083424786789</v>
      </c>
      <c r="I12" s="4" t="n">
        <f aca="false">IF(G12="","",RANK(G12,$G$2:$G$1179,0))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IF(G13="","",G13/SUMIFS($G$2:$G$1179,$F$2:$F$1179,"Served"))</f>
        <v>0.0139683688613639</v>
      </c>
      <c r="I13" s="4" t="n">
        <f aca="false">IF(G13="","",RANK(G13,$G$2:$G$1179,0))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IF(G14="","",G14/SUMIFS($G$2:$G$1179,$F$2:$F$1179,"Served"))</f>
        <v>0.0132512583680595</v>
      </c>
      <c r="I14" s="4" t="n">
        <f aca="false">IF(G14="","",RANK(G14,$G$2:$G$1179,0))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IF(G15="","",G15/SUMIFS($G$2:$G$1179,$F$2:$F$1179,"Served"))</f>
        <v>0.0132235315123739</v>
      </c>
      <c r="I15" s="4" t="n">
        <f aca="false">IF(G15="","",RANK(G15,$G$2:$G$1179,0))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IF(G16="","",G16/SUMIFS($G$2:$G$1179,$F$2:$F$1179,"Served"))</f>
        <v>0.0131770769347495</v>
      </c>
      <c r="I16" s="4" t="n">
        <f aca="false">IF(G16="","",RANK(G16,$G$2:$G$1179,0))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IF(G17="","",G17/SUMIFS($G$2:$G$1179,$F$2:$F$1179,"Served"))</f>
        <v>0.0127530348711394</v>
      </c>
      <c r="I17" s="4" t="n">
        <f aca="false">IF(G17="","",RANK(G17,$G$2:$G$1179,0))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IF(G18="","",G18/SUMIFS($G$2:$G$1179,$F$2:$F$1179,"Served"))</f>
        <v>0.0117102907815316</v>
      </c>
      <c r="I18" s="4" t="n">
        <f aca="false">IF(G18="","",RANK(G18,$G$2:$G$1179,0))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IF(G19="","",G19/SUMIFS($G$2:$G$1179,$F$2:$F$1179,"Served"))</f>
        <v>0.0108840345100751</v>
      </c>
      <c r="I19" s="4" t="n">
        <f aca="false">IF(G19="","",RANK(G19,$G$2:$G$1179,0))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IF(G20="","",G20/SUMIFS($G$2:$G$1179,$F$2:$F$1179,"Served"))</f>
        <v>0.00965751575755503</v>
      </c>
      <c r="I20" s="4" t="n">
        <f aca="false">IF(G20="","",RANK(G20,$G$2:$G$1179,0))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IF(G21="","",G21/SUMIFS($G$2:$G$1179,$F$2:$F$1179,"Served"))</f>
        <v>0.00958619778440982</v>
      </c>
      <c r="I21" s="4" t="n">
        <f aca="false">IF(G21="","",RANK(G21,$G$2:$G$1179,0))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IF(G22="","",G22/SUMIFS($G$2:$G$1179,$F$2:$F$1179,"Served"))</f>
        <v>0.00890301223200678</v>
      </c>
      <c r="I22" s="4" t="n">
        <f aca="false">IF(G22="","",RANK(G22,$G$2:$G$1179,0))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IF(G23="","",G23/SUMIFS($G$2:$G$1179,$F$2:$F$1179,"Served"))</f>
        <v>0.00879822688755275</v>
      </c>
      <c r="I23" s="4" t="n">
        <f aca="false">IF(G23="","",RANK(G23,$G$2:$G$1179,0))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IF(G24="","",G24/SUMIFS($G$2:$G$1179,$F$2:$F$1179,"Served"))</f>
        <v>0.00768841546822108</v>
      </c>
      <c r="I24" s="4" t="n">
        <f aca="false">IF(G24="","",RANK(G24,$G$2:$G$1179,0))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IF(G25="","",G25/SUMIFS($G$2:$G$1179,$F$2:$F$1179,"Served"))</f>
        <v>0.00760372635572246</v>
      </c>
      <c r="I25" s="4" t="n">
        <f aca="false">IF(G25="","",RANK(G25,$G$2:$G$1179,0))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IF(G26="","",G26/SUMIFS($G$2:$G$1179,$F$2:$F$1179,"Served"))</f>
        <v>0.00656047862885964</v>
      </c>
      <c r="I26" s="4" t="n">
        <f aca="false">IF(G26="","",RANK(G26,$G$2:$G$1179,0))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IF(G27="","",G27/SUMIFS($G$2:$G$1179,$F$2:$F$1179,"Served"))</f>
        <v>0.00606102374520002</v>
      </c>
      <c r="I27" s="4" t="n">
        <f aca="false">IF(G27="","",RANK(G27,$G$2:$G$1179,0))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IF(G28="","",G28/SUMIFS($G$2:$G$1179,$F$2:$F$1179,"Served"))</f>
        <v>0.00567614702204716</v>
      </c>
      <c r="I28" s="4" t="n">
        <f aca="false">IF(G28="","",RANK(G28,$G$2:$G$1179,0))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IF(G29="","",G29/SUMIFS($G$2:$G$1179,$F$2:$F$1179,"Served"))</f>
        <v>0.00546600897768204</v>
      </c>
      <c r="I29" s="4" t="n">
        <f aca="false">IF(G29="","",RANK(G29,$G$2:$G$1179,0))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IF(G30="","",G30/SUMIFS($G$2:$G$1179,$F$2:$F$1179,"Served"))</f>
        <v>0.00503823160756284</v>
      </c>
      <c r="I30" s="4" t="n">
        <f aca="false">IF(G30="","",RANK(G30,$G$2:$G$1179,0))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IF(G31="","",G31/SUMIFS($G$2:$G$1179,$F$2:$F$1179,"Served"))</f>
        <v>0.00500270648555052</v>
      </c>
      <c r="I31" s="4" t="n">
        <f aca="false">IF(G31="","",RANK(G31,$G$2:$G$1179,0))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IF(G32="","",G32/SUMIFS($G$2:$G$1179,$F$2:$F$1179,"Served"))</f>
        <v>0.00482733293434847</v>
      </c>
      <c r="I32" s="4" t="n">
        <f aca="false">IF(G32="","",RANK(G32,$G$2:$G$1179,0))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IF(G33="","",G33/SUMIFS($G$2:$G$1179,$F$2:$F$1179,"Served"))</f>
        <v>0.00468106536946243</v>
      </c>
      <c r="I33" s="4" t="n">
        <f aca="false">IF(G33="","",RANK(G33,$G$2:$G$1179,0))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IF(G34="","",G34/SUMIFS($G$2:$G$1179,$F$2:$F$1179,"Served"))</f>
        <v>0.00459143393817685</v>
      </c>
      <c r="I34" s="4" t="n">
        <f aca="false">IF(G34="","",RANK(G34,$G$2:$G$1179,0))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IF(G35="","",G35/SUMIFS($G$2:$G$1179,$F$2:$F$1179,"Served"))</f>
        <v>0.00457337659201899</v>
      </c>
      <c r="I35" s="4" t="n">
        <f aca="false">IF(G35="","",RANK(G35,$G$2:$G$1179,0))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IF(G36="","",G36/SUMIFS($G$2:$G$1179,$F$2:$F$1179,"Served"))</f>
        <v>0.00451358902372659</v>
      </c>
      <c r="I36" s="4" t="n">
        <f aca="false">IF(G36="","",RANK(G36,$G$2:$G$1179,0))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IF(G37="","",G37/SUMIFS($G$2:$G$1179,$F$2:$F$1179,"Served"))</f>
        <v>0.00396307816166343</v>
      </c>
      <c r="I37" s="4" t="n">
        <f aca="false">IF(G37="","",RANK(G37,$G$2:$G$1179,0))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IF(G38="","",G38/SUMIFS($G$2:$G$1179,$F$2:$F$1179,"Served"))</f>
        <v>0.00392685394800563</v>
      </c>
      <c r="I38" s="4" t="n">
        <f aca="false">IF(G38="","",RANK(G38,$G$2:$G$1179,0))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IF(G39="","",G39/SUMIFS($G$2:$G$1179,$F$2:$F$1179,"Served"))</f>
        <v>0.00380932414721843</v>
      </c>
      <c r="I39" s="4" t="n">
        <f aca="false">IF(G39="","",RANK(G39,$G$2:$G$1179,0))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IF(G40="","",G40/SUMIFS($G$2:$G$1179,$F$2:$F$1179,"Served"))</f>
        <v>0.00378324527862153</v>
      </c>
      <c r="I40" s="4" t="n">
        <f aca="false">IF(G40="","",RANK(G40,$G$2:$G$1179,0))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IF(G41="","",G41/SUMIFS($G$2:$G$1179,$F$2:$F$1179,"Served"))</f>
        <v>0.00358327849760663</v>
      </c>
      <c r="I41" s="4" t="n">
        <f aca="false">IF(G41="","",RANK(G41,$G$2:$G$1179,0))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IF(G42="","",G42/SUMIFS($G$2:$G$1179,$F$2:$F$1179,"Served"))</f>
        <v>0.00354154791546852</v>
      </c>
      <c r="I42" s="4" t="n">
        <f aca="false">IF(G42="","",RANK(G42,$G$2:$G$1179,0))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IF(G43="","",G43/SUMIFS($G$2:$G$1179,$F$2:$F$1179,"Served"))</f>
        <v>0.00352128814090298</v>
      </c>
      <c r="I43" s="4" t="n">
        <f aca="false">IF(G43="","",RANK(G43,$G$2:$G$1179,0))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IF(G44="","",G44/SUMIFS($G$2:$G$1179,$F$2:$F$1179,"Served"))</f>
        <v>0.0034951673942852</v>
      </c>
      <c r="I44" s="4" t="n">
        <f aca="false">IF(G44="","",RANK(G44,$G$2:$G$1179,0))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IF(G45="","",G45/SUMIFS($G$2:$G$1179,$F$2:$F$1179,"Served"))</f>
        <v>0.003472650176501</v>
      </c>
      <c r="I45" s="4" t="n">
        <f aca="false">IF(G45="","",RANK(G45,$G$2:$G$1179,0))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IF(G46="","",G46/SUMIFS($G$2:$G$1179,$F$2:$F$1179,"Served"))</f>
        <v>0.00345491455618691</v>
      </c>
      <c r="I46" s="4" t="n">
        <f aca="false">IF(G46="","",RANK(G46,$G$2:$G$1179,0))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IF(G47="","",G47/SUMIFS($G$2:$G$1179,$F$2:$F$1179,"Served"))</f>
        <v>0.00341310735334588</v>
      </c>
      <c r="I47" s="4" t="n">
        <f aca="false">IF(G47="","",RANK(G47,$G$2:$G$1179,0))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IF(G48="","",G48/SUMIFS($G$2:$G$1179,$F$2:$F$1179,"Served"))</f>
        <v>0.00316949976097436</v>
      </c>
      <c r="I48" s="4" t="n">
        <f aca="false">IF(G48="","",RANK(G48,$G$2:$G$1179,0))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IF(G49="","",G49/SUMIFS($G$2:$G$1179,$F$2:$F$1179,"Served"))</f>
        <v>0.00289033650859809</v>
      </c>
      <c r="I49" s="4" t="n">
        <f aca="false">IF(G49="","",RANK(G49,$G$2:$G$1179,0))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IF(G50="","",G50/SUMIFS($G$2:$G$1179,$F$2:$F$1179,"Served"))</f>
        <v>0.00288190874866517</v>
      </c>
      <c r="I50" s="4" t="n">
        <f aca="false">IF(G50="","",RANK(G50,$G$2:$G$1179,0))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IF(G51="","",G51/SUMIFS($G$2:$G$1179,$F$2:$F$1179,"Served"))</f>
        <v>0.00286324915831804</v>
      </c>
      <c r="I51" s="4" t="n">
        <f aca="false">IF(G51="","",RANK(G51,$G$2:$G$1179,0))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IF(G52="","",G52/SUMIFS($G$2:$G$1179,$F$2:$F$1179,"Served"))</f>
        <v>0.00286147826192867</v>
      </c>
      <c r="I52" s="4" t="n">
        <f aca="false">IF(G52="","",RANK(G52,$G$2:$G$1179,0))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IF(G53="","",G53/SUMIFS($G$2:$G$1179,$F$2:$F$1179,"Served"))</f>
        <v>0.00285569428057485</v>
      </c>
      <c r="I53" s="4" t="n">
        <f aca="false">IF(G53="","",RANK(G53,$G$2:$G$1179,0))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IF(G54="","",G54/SUMIFS($G$2:$G$1179,$F$2:$F$1179,"Served"))</f>
        <v>0.00279594472530153</v>
      </c>
      <c r="I54" s="4" t="n">
        <f aca="false">IF(G54="","",RANK(G54,$G$2:$G$1179,0))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IF(G55="","",G55/SUMIFS($G$2:$G$1179,$F$2:$F$1179,"Served"))</f>
        <v>0.00278983683359481</v>
      </c>
      <c r="I55" s="4" t="n">
        <f aca="false">IF(G55="","",RANK(G55,$G$2:$G$1179,0))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IF(G56="","",G56/SUMIFS($G$2:$G$1179,$F$2:$F$1179,"Served"))</f>
        <v>0.00276434539980751</v>
      </c>
      <c r="I56" s="4" t="n">
        <f aca="false">IF(G56="","",RANK(G56,$G$2:$G$1179,0))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IF(G57="","",G57/SUMIFS($G$2:$G$1179,$F$2:$F$1179,"Served"))</f>
        <v>0.00275651064078338</v>
      </c>
      <c r="I57" s="4" t="n">
        <f aca="false">IF(G57="","",RANK(G57,$G$2:$G$1179,0))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IF(G58="","",G58/SUMIFS($G$2:$G$1179,$F$2:$F$1179,"Served"))</f>
        <v>0.00269808170091228</v>
      </c>
      <c r="I58" s="4" t="n">
        <f aca="false">IF(G58="","",RANK(G58,$G$2:$G$1179,0))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IF(G59="","",G59/SUMIFS($G$2:$G$1179,$F$2:$F$1179,"Served"))</f>
        <v>0.00264798894743088</v>
      </c>
      <c r="I59" s="4" t="n">
        <f aca="false">IF(G59="","",RANK(G59,$G$2:$G$1179,0))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IF(G60="","",G60/SUMIFS($G$2:$G$1179,$F$2:$F$1179,"Served"))</f>
        <v>0.0025758203064616</v>
      </c>
      <c r="I60" s="4" t="n">
        <f aca="false">IF(G60="","",RANK(G60,$G$2:$G$1179,0))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IF(G61="","",G61/SUMIFS($G$2:$G$1179,$F$2:$F$1179,"Served"))</f>
        <v>0.00256452547128583</v>
      </c>
      <c r="I61" s="4" t="n">
        <f aca="false">IF(G61="","",RANK(G61,$G$2:$G$1179,0))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IF(G62="","",G62/SUMIFS($G$2:$G$1179,$F$2:$F$1179,"Served"))</f>
        <v>0.00255926033377962</v>
      </c>
      <c r="I62" s="4" t="n">
        <f aca="false">IF(G62="","",RANK(G62,$G$2:$G$1179,0))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IF(G63="","",G63/SUMIFS($G$2:$G$1179,$F$2:$F$1179,"Served"))</f>
        <v>0.00250906140165157</v>
      </c>
      <c r="I63" s="4" t="n">
        <f aca="false">IF(G63="","",RANK(G63,$G$2:$G$1179,0))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IF(G64="","",G64/SUMIFS($G$2:$G$1179,$F$2:$F$1179,"Served"))</f>
        <v>0.00245390209739313</v>
      </c>
      <c r="I64" s="4" t="n">
        <f aca="false">IF(G64="","",RANK(G64,$G$2:$G$1179,0))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IF(G65="","",G65/SUMIFS($G$2:$G$1179,$F$2:$F$1179,"Served"))</f>
        <v>0.00243753532598817</v>
      </c>
      <c r="I65" s="4" t="n">
        <f aca="false">IF(G65="","",RANK(G65,$G$2:$G$1179,0))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IF(G66="","",G66/SUMIFS($G$2:$G$1179,$F$2:$F$1179,"Served"))</f>
        <v>0.00243080451766581</v>
      </c>
      <c r="I66" s="4" t="n">
        <f aca="false">IF(G66="","",RANK(G66,$G$2:$G$1179,0))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IF(G67="","",G67/SUMIFS($G$2:$G$1179,$F$2:$F$1179,"Served"))</f>
        <v>0.00241715378186679</v>
      </c>
      <c r="I67" s="4" t="n">
        <f aca="false">IF(G67="","",RANK(G67,$G$2:$G$1179,0))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IF(G68="","",G68/SUMIFS($G$2:$G$1179,$F$2:$F$1179,"Served"))</f>
        <v>0.00240075903680284</v>
      </c>
      <c r="I68" s="4" t="n">
        <f aca="false">IF(G68="","",RANK(G68,$G$2:$G$1179,0))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IF(G69="","",G69/SUMIFS($G$2:$G$1179,$F$2:$F$1179,"Served"))</f>
        <v>0.00235728378749288</v>
      </c>
      <c r="I69" s="4" t="n">
        <f aca="false">IF(G69="","",RANK(G69,$G$2:$G$1179,0))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IF(G70="","",G70/SUMIFS($G$2:$G$1179,$F$2:$F$1179,"Served"))</f>
        <v>0.00230527026221472</v>
      </c>
      <c r="I70" s="4" t="n">
        <f aca="false">IF(G70="","",RANK(G70,$G$2:$G$1179,0))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IF(G71="","",G71/SUMIFS($G$2:$G$1179,$F$2:$F$1179,"Served"))</f>
        <v>0.0022310207595967</v>
      </c>
      <c r="I71" s="4" t="n">
        <f aca="false">IF(G71="","",RANK(G71,$G$2:$G$1179,0))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IF(G72="","",G72/SUMIFS($G$2:$G$1179,$F$2:$F$1179,"Served"))</f>
        <v>0.00221042580948043</v>
      </c>
      <c r="I72" s="4" t="n">
        <f aca="false">IF(G72="","",RANK(G72,$G$2:$G$1179,0))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IF(G73="","",G73/SUMIFS($G$2:$G$1179,$F$2:$F$1179,"Served"))</f>
        <v>0.00217994708672306</v>
      </c>
      <c r="I73" s="4" t="n">
        <f aca="false">IF(G73="","",RANK(G73,$G$2:$G$1179,0))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IF(G74="","",G74/SUMIFS($G$2:$G$1179,$F$2:$F$1179,"Served"))</f>
        <v>0.00214226708246825</v>
      </c>
      <c r="I74" s="4" t="n">
        <f aca="false">IF(G74="","",RANK(G74,$G$2:$G$1179,0))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IF(G75="","",G75/SUMIFS($G$2:$G$1179,$F$2:$F$1179,"Served"))</f>
        <v>0.00210816653894118</v>
      </c>
      <c r="I75" s="4" t="n">
        <f aca="false">IF(G75="","",RANK(G75,$G$2:$G$1179,0))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IF(G76="","",G76/SUMIFS($G$2:$G$1179,$F$2:$F$1179,"Served"))</f>
        <v>0.00201940409323682</v>
      </c>
      <c r="I76" s="4" t="n">
        <f aca="false">IF(G76="","",RANK(G76,$G$2:$G$1179,0))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IF(G77="","",G77/SUMIFS($G$2:$G$1179,$F$2:$F$1179,"Served"))</f>
        <v>0.00198364280827334</v>
      </c>
      <c r="I77" s="4" t="n">
        <f aca="false">IF(G77="","",RANK(G77,$G$2:$G$1179,0))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IF(G78="","",G78/SUMIFS($G$2:$G$1179,$F$2:$F$1179,"Served"))</f>
        <v>0.00195437882165694</v>
      </c>
      <c r="I78" s="4" t="n">
        <f aca="false">IF(G78="","",RANK(G78,$G$2:$G$1179,0))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IF(G79="","",G79/SUMIFS($G$2:$G$1179,$F$2:$F$1179,"Served"))</f>
        <v>0.00188538083404275</v>
      </c>
      <c r="I79" s="4" t="n">
        <f aca="false">IF(G79="","",RANK(G79,$G$2:$G$1179,0))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IF(G80="","",G80/SUMIFS($G$2:$G$1179,$F$2:$F$1179,"Served"))</f>
        <v>0.00187004195651874</v>
      </c>
      <c r="I80" s="4" t="n">
        <f aca="false">IF(G80="","",RANK(G80,$G$2:$G$1179,0))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IF(G81="","",G81/SUMIFS($G$2:$G$1179,$F$2:$F$1179,"Served"))</f>
        <v>0.00186098245265601</v>
      </c>
      <c r="I81" s="4" t="n">
        <f aca="false">IF(G81="","",RANK(G81,$G$2:$G$1179,0))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IF(G82="","",G82/SUMIFS($G$2:$G$1179,$F$2:$F$1179,"Served"))</f>
        <v>0.00181297006151957</v>
      </c>
      <c r="I82" s="4" t="n">
        <f aca="false">IF(G82="","",RANK(G82,$G$2:$G$1179,0))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IF(G83="","",G83/SUMIFS($G$2:$G$1179,$F$2:$F$1179,"Served"))</f>
        <v>0.00176014792666463</v>
      </c>
      <c r="I83" s="4" t="n">
        <f aca="false">IF(G83="","",RANK(G83,$G$2:$G$1179,0))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IF(G84="","",G84/SUMIFS($G$2:$G$1179,$F$2:$F$1179,"Served"))</f>
        <v>0.00175930298610369</v>
      </c>
      <c r="I84" s="4" t="n">
        <f aca="false">IF(G84="","",RANK(G84,$G$2:$G$1179,0))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IF(G85="","",G85/SUMIFS($G$2:$G$1179,$F$2:$F$1179,"Served"))</f>
        <v>0.00174095331315948</v>
      </c>
      <c r="I85" s="4" t="n">
        <f aca="false">IF(G85="","",RANK(G85,$G$2:$G$1179,0))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IF(G86="","",G86/SUMIFS($G$2:$G$1179,$F$2:$F$1179,"Served"))</f>
        <v>0.00171194553896549</v>
      </c>
      <c r="I86" s="4" t="n">
        <f aca="false">IF(G86="","",RANK(G86,$G$2:$G$1179,0))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IF(G87="","",G87/SUMIFS($G$2:$G$1179,$F$2:$F$1179,"Served"))</f>
        <v>0.00168277048308002</v>
      </c>
      <c r="I87" s="4" t="n">
        <f aca="false">IF(G87="","",RANK(G87,$G$2:$G$1179,0))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IF(G88="","",G88/SUMIFS($G$2:$G$1179,$F$2:$F$1179,"Served"))</f>
        <v>0.00166082588276255</v>
      </c>
      <c r="I88" s="4" t="n">
        <f aca="false">IF(G88="","",RANK(G88,$G$2:$G$1179,0))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IF(G89="","",G89/SUMIFS($G$2:$G$1179,$F$2:$F$1179,"Served"))</f>
        <v>0.00162181028659596</v>
      </c>
      <c r="I89" s="4" t="n">
        <f aca="false">IF(G89="","",RANK(G89,$G$2:$G$1179,0))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IF(G90="","",G90/SUMIFS($G$2:$G$1179,$F$2:$F$1179,"Served"))</f>
        <v>0.00161565661232242</v>
      </c>
      <c r="I90" s="4" t="n">
        <f aca="false">IF(G90="","",RANK(G90,$G$2:$G$1179,0))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IF(G91="","",G91/SUMIFS($G$2:$G$1179,$F$2:$F$1179,"Served"))</f>
        <v>0.00160713963637402</v>
      </c>
      <c r="I91" s="4" t="n">
        <f aca="false">IF(G91="","",RANK(G91,$G$2:$G$1179,0))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IF(G92="","",G92/SUMIFS($G$2:$G$1179,$F$2:$F$1179,"Served"))</f>
        <v>0.00158335844342415</v>
      </c>
      <c r="I92" s="4" t="n">
        <f aca="false">IF(G92="","",RANK(G92,$G$2:$G$1179,0))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IF(G93="","",G93/SUMIFS($G$2:$G$1179,$F$2:$F$1179,"Served"))</f>
        <v>0.00157963908462315</v>
      </c>
      <c r="I93" s="4" t="n">
        <f aca="false">IF(G93="","",RANK(G93,$G$2:$G$1179,0))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IF(G94="","",G94/SUMIFS($G$2:$G$1179,$F$2:$F$1179,"Served"))</f>
        <v>0.00156793950329514</v>
      </c>
      <c r="I94" s="4" t="n">
        <f aca="false">IF(G94="","",RANK(G94,$G$2:$G$1179,0))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IF(G95="","",G95/SUMIFS($G$2:$G$1179,$F$2:$F$1179,"Served"))</f>
        <v>0.001560806134045</v>
      </c>
      <c r="I95" s="4" t="n">
        <f aca="false">IF(G95="","",RANK(G95,$G$2:$G$1179,0))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IF(G96="","",G96/SUMIFS($G$2:$G$1179,$F$2:$F$1179,"Served"))</f>
        <v>0.00154688311101908</v>
      </c>
      <c r="I96" s="4" t="n">
        <f aca="false">IF(G96="","",RANK(G96,$G$2:$G$1179,0))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IF(G97="","",G97/SUMIFS($G$2:$G$1179,$F$2:$F$1179,"Served"))</f>
        <v>0.00150005591286747</v>
      </c>
      <c r="I97" s="4" t="n">
        <f aca="false">IF(G97="","",RANK(G97,$G$2:$G$1179,0))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IF(G98="","",G98/SUMIFS($G$2:$G$1179,$F$2:$F$1179,"Served"))</f>
        <v>0.00149440268598806</v>
      </c>
      <c r="I98" s="4" t="n">
        <f aca="false">IF(G98="","",RANK(G98,$G$2:$G$1179,0))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IF(G99="","",G99/SUMIFS($G$2:$G$1179,$F$2:$F$1179,"Served"))</f>
        <v>0.0014825050599807</v>
      </c>
      <c r="I99" s="4" t="n">
        <f aca="false">IF(G99="","",RANK(G99,$G$2:$G$1179,0))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IF(G100="","",G100/SUMIFS($G$2:$G$1179,$F$2:$F$1179,"Served"))</f>
        <v>0.00144295611457333</v>
      </c>
      <c r="I100" s="4" t="n">
        <f aca="false">IF(G100="","",RANK(G100,$G$2:$G$1179,0))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IF(G101="","",G101/SUMIFS($G$2:$G$1179,$F$2:$F$1179,"Served"))</f>
        <v>0.00135902994668709</v>
      </c>
      <c r="I101" s="4" t="n">
        <f aca="false">IF(G101="","",RANK(G101,$G$2:$G$1179,0))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IF(G102="","",G102/SUMIFS($G$2:$G$1179,$F$2:$F$1179,"Served"))</f>
        <v>0.00135592337950362</v>
      </c>
      <c r="I102" s="4" t="n">
        <f aca="false">IF(G102="","",RANK(G102,$G$2:$G$1179,0))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IF(G103="","",G103/SUMIFS($G$2:$G$1179,$F$2:$F$1179,"Served"))</f>
        <v>0.00135538314019228</v>
      </c>
      <c r="I103" s="4" t="n">
        <f aca="false">IF(G103="","",RANK(G103,$G$2:$G$1179,0))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IF(G104="","",G104/SUMIFS($G$2:$G$1179,$F$2:$F$1179,"Served"))</f>
        <v>0.0013402324222527</v>
      </c>
      <c r="I104" s="4" t="n">
        <f aca="false">IF(G104="","",RANK(G104,$G$2:$G$1179,0))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IF(G105="","",G105/SUMIFS($G$2:$G$1179,$F$2:$F$1179,"Served"))</f>
        <v>0.0012894844524362</v>
      </c>
      <c r="I105" s="4" t="n">
        <f aca="false">IF(G105="","",RANK(G105,$G$2:$G$1179,0))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IF(G106="","",G106/SUMIFS($G$2:$G$1179,$F$2:$F$1179,"Served"))</f>
        <v>0.00128318936128145</v>
      </c>
      <c r="I106" s="4" t="n">
        <f aca="false">IF(G106="","",RANK(G106,$G$2:$G$1179,0))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IF(G107="","",G107/SUMIFS($G$2:$G$1179,$F$2:$F$1179,"Served"))</f>
        <v>0.00127238461778924</v>
      </c>
      <c r="I107" s="4" t="n">
        <f aca="false">IF(G107="","",RANK(G107,$G$2:$G$1179,0))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IF(G108="","",G108/SUMIFS($G$2:$G$1179,$F$2:$F$1179,"Served"))</f>
        <v>0.00126518780982168</v>
      </c>
      <c r="I108" s="4" t="n">
        <f aca="false">IF(G108="","",RANK(G108,$G$2:$G$1179,0))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IF(G109="","",G109/SUMIFS($G$2:$G$1179,$F$2:$F$1179,"Served"))</f>
        <v>0.0012600430398417</v>
      </c>
      <c r="I109" s="4" t="n">
        <f aca="false">IF(G109="","",RANK(G109,$G$2:$G$1179,0))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IF(G110="","",G110/SUMIFS($G$2:$G$1179,$F$2:$F$1179,"Served"))</f>
        <v>0.00123382095876936</v>
      </c>
      <c r="I110" s="4" t="n">
        <f aca="false">IF(G110="","",RANK(G110,$G$2:$G$1179,0))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IF(G111="","",G111/SUMIFS($G$2:$G$1179,$F$2:$F$1179,"Served"))</f>
        <v>0.00123232848253539</v>
      </c>
      <c r="I111" s="4" t="n">
        <f aca="false">IF(G111="","",RANK(G111,$G$2:$G$1179,0))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IF(G112="","",G112/SUMIFS($G$2:$G$1179,$F$2:$F$1179,"Served"))</f>
        <v>0.0011969648001646</v>
      </c>
      <c r="I112" s="4" t="n">
        <f aca="false">IF(G112="","",RANK(G112,$G$2:$G$1179,0))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IF(G113="","",G113/SUMIFS($G$2:$G$1179,$F$2:$F$1179,"Served"))</f>
        <v>0.00115892645063836</v>
      </c>
      <c r="I113" s="4" t="n">
        <f aca="false">IF(G113="","",RANK(G113,$G$2:$G$1179,0))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IF(G114="","",G114/SUMIFS($G$2:$G$1179,$F$2:$F$1179,"Served"))</f>
        <v>0.00114980276194388</v>
      </c>
      <c r="I114" s="4" t="n">
        <f aca="false">IF(G114="","",RANK(G114,$G$2:$G$1179,0))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IF(G115="","",G115/SUMIFS($G$2:$G$1179,$F$2:$F$1179,"Served"))</f>
        <v>0.00113985208993271</v>
      </c>
      <c r="I115" s="4" t="n">
        <f aca="false">IF(G115="","",RANK(G115,$G$2:$G$1179,0))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IF(G116="","",G116/SUMIFS($G$2:$G$1179,$F$2:$F$1179,"Served"))</f>
        <v>0.00111807877601503</v>
      </c>
      <c r="I116" s="4" t="n">
        <f aca="false">IF(G116="","",RANK(G116,$G$2:$G$1179,0))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IF(G117="","",G117/SUMIFS($G$2:$G$1179,$F$2:$F$1179,"Served"))</f>
        <v>0.00111665695467107</v>
      </c>
      <c r="I117" s="4" t="n">
        <f aca="false">IF(G117="","",RANK(G117,$G$2:$G$1179,0))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IF(G118="","",G118/SUMIFS($G$2:$G$1179,$F$2:$F$1179,"Served"))</f>
        <v>0.00111276157111181</v>
      </c>
      <c r="I118" s="4" t="n">
        <f aca="false">IF(G118="","",RANK(G118,$G$2:$G$1179,0))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IF(G119="","",G119/SUMIFS($G$2:$G$1179,$F$2:$F$1179,"Served"))</f>
        <v>0.00109835032182265</v>
      </c>
      <c r="I119" s="4" t="n">
        <f aca="false">IF(G119="","",RANK(G119,$G$2:$G$1179,0))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IF(G120="","",G120/SUMIFS($G$2:$G$1179,$F$2:$F$1179,"Served"))</f>
        <v>0.00109588499888084</v>
      </c>
      <c r="I120" s="4" t="n">
        <f aca="false">IF(G120="","",RANK(G120,$G$2:$G$1179,0))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IF(G121="","",G121/SUMIFS($G$2:$G$1179,$F$2:$F$1179,"Served"))</f>
        <v>0.00109060920376063</v>
      </c>
      <c r="I121" s="4" t="n">
        <f aca="false">IF(G121="","",RANK(G121,$G$2:$G$1179,0))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IF(G122="","",G122/SUMIFS($G$2:$G$1179,$F$2:$F$1179,"Served"))</f>
        <v>0.0010781130347236</v>
      </c>
      <c r="I122" s="4" t="n">
        <f aca="false">IF(G122="","",RANK(G122,$G$2:$G$1179,0))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IF(G123="","",G123/SUMIFS($G$2:$G$1179,$F$2:$F$1179,"Served"))</f>
        <v>0.0010762988974073</v>
      </c>
      <c r="I123" s="4" t="n">
        <f aca="false">IF(G123="","",RANK(G123,$G$2:$G$1179,0))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IF(G124="","",G124/SUMIFS($G$2:$G$1179,$F$2:$F$1179,"Served"))</f>
        <v>0.00107315970455972</v>
      </c>
      <c r="I124" s="4" t="n">
        <f aca="false">IF(G124="","",RANK(G124,$G$2:$G$1179,0))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IF(G125="","",G125/SUMIFS($G$2:$G$1179,$F$2:$F$1179,"Served"))</f>
        <v>0.00107255163964916</v>
      </c>
      <c r="I125" s="4" t="n">
        <f aca="false">IF(G125="","",RANK(G125,$G$2:$G$1179,0))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IF(G126="","",G126/SUMIFS($G$2:$G$1179,$F$2:$F$1179,"Served"))</f>
        <v>0.00107131678692632</v>
      </c>
      <c r="I126" s="4" t="n">
        <f aca="false">IF(G126="","",RANK(G126,$G$2:$G$1179,0))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IF(G127="","",G127/SUMIFS($G$2:$G$1179,$F$2:$F$1179,"Served"))</f>
        <v>0.00106259628666433</v>
      </c>
      <c r="I127" s="4" t="n">
        <f aca="false">IF(G127="","",RANK(G127,$G$2:$G$1179,0))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IF(G128="","",G128/SUMIFS($G$2:$G$1179,$F$2:$F$1179,"Served"))</f>
        <v>0.0010614146834287</v>
      </c>
      <c r="I128" s="4" t="n">
        <f aca="false">IF(G128="","",RANK(G128,$G$2:$G$1179,0))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IF(G129="","",G129/SUMIFS($G$2:$G$1179,$F$2:$F$1179,"Served"))</f>
        <v>0.00105952471924865</v>
      </c>
      <c r="I129" s="4" t="n">
        <f aca="false">IF(G129="","",RANK(G129,$G$2:$G$1179,0))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IF(G130="","",G130/SUMIFS($G$2:$G$1179,$F$2:$F$1179,"Served"))</f>
        <v>0.00104059265454371</v>
      </c>
      <c r="I130" s="4" t="n">
        <f aca="false">IF(G130="","",RANK(G130,$G$2:$G$1179,0))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IF(G131="","",G131/SUMIFS($G$2:$G$1179,$F$2:$F$1179,"Served"))</f>
        <v>0.00102799936169911</v>
      </c>
      <c r="I131" s="4" t="n">
        <f aca="false">IF(G131="","",RANK(G131,$G$2:$G$1179,0))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IF(G132="","",G132/SUMIFS($G$2:$G$1179,$F$2:$F$1179,"Served"))</f>
        <v>0.00101815163003346</v>
      </c>
      <c r="I132" s="4" t="n">
        <f aca="false">IF(G132="","",RANK(G132,$G$2:$G$1179,0))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IF(G133="","",G133/SUMIFS($G$2:$G$1179,$F$2:$F$1179,"Served"))</f>
        <v>0.00101544708326164</v>
      </c>
      <c r="I133" s="4" t="n">
        <f aca="false">IF(G133="","",RANK(G133,$G$2:$G$1179,0))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IF(G134="","",G134/SUMIFS($G$2:$G$1179,$F$2:$F$1179,"Served"))</f>
        <v>0.00100726978510773</v>
      </c>
      <c r="I134" s="4" t="n">
        <f aca="false">IF(G134="","",RANK(G134,$G$2:$G$1179,0))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IF(G135="","",G135/SUMIFS($G$2:$G$1179,$F$2:$F$1179,"Served"))</f>
        <v>0.00100688260864112</v>
      </c>
      <c r="I135" s="4" t="n">
        <f aca="false">IF(G135="","",RANK(G135,$G$2:$G$1179,0))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IF(G136="","",G136/SUMIFS($G$2:$G$1179,$F$2:$F$1179,"Served"))</f>
        <v>0.000995248541452691</v>
      </c>
      <c r="I136" s="4" t="n">
        <f aca="false">IF(G136="","",RANK(G136,$G$2:$G$1179,0))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IF(G137="","",G137/SUMIFS($G$2:$G$1179,$F$2:$F$1179,"Served"))</f>
        <v>0.000986946313348406</v>
      </c>
      <c r="I137" s="4" t="n">
        <f aca="false">IF(G137="","",RANK(G137,$G$2:$G$1179,0))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IF(G138="","",G138/SUMIFS($G$2:$G$1179,$F$2:$F$1179,"Served"))</f>
        <v>0.000984252729264395</v>
      </c>
      <c r="I138" s="4" t="n">
        <f aca="false">IF(G138="","",RANK(G138,$G$2:$G$1179,0))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IF(G139="","",G139/SUMIFS($G$2:$G$1179,$F$2:$F$1179,"Served"))</f>
        <v>0.000982269030169062</v>
      </c>
      <c r="I139" s="4" t="n">
        <f aca="false">IF(G139="","",RANK(G139,$G$2:$G$1179,0))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IF(G140="","",G140/SUMIFS($G$2:$G$1179,$F$2:$F$1179,"Served"))</f>
        <v>0.000974000562397578</v>
      </c>
      <c r="I140" s="4" t="n">
        <f aca="false">IF(G140="","",RANK(G140,$G$2:$G$1179,0))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IF(G141="","",G141/SUMIFS($G$2:$G$1179,$F$2:$F$1179,"Served"))</f>
        <v>0.00096167577012533</v>
      </c>
      <c r="I141" s="4" t="n">
        <f aca="false">IF(G141="","",RANK(G141,$G$2:$G$1179,0))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IF(G142="","",G142/SUMIFS($G$2:$G$1179,$F$2:$F$1179,"Served"))</f>
        <v>0.000955893155091187</v>
      </c>
      <c r="I142" s="4" t="n">
        <f aca="false">IF(G142="","",RANK(G142,$G$2:$G$1179,0))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IF(G143="","",G143/SUMIFS($G$2:$G$1179,$F$2:$F$1179,"Served"))</f>
        <v>0.000951615441260352</v>
      </c>
      <c r="I143" s="4" t="n">
        <f aca="false">IF(G143="","",RANK(G143,$G$2:$G$1179,0))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IF(G144="","",G144/SUMIFS($G$2:$G$1179,$F$2:$F$1179,"Served"))</f>
        <v>0.00094892946535125</v>
      </c>
      <c r="I144" s="4" t="n">
        <f aca="false">IF(G144="","",RANK(G144,$G$2:$G$1179,0))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IF(G145="","",G145/SUMIFS($G$2:$G$1179,$F$2:$F$1179,"Served"))</f>
        <v>0.000932532940871268</v>
      </c>
      <c r="I145" s="4" t="n">
        <f aca="false">IF(G145="","",RANK(G145,$G$2:$G$1179,0))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IF(G146="","",G146/SUMIFS($G$2:$G$1179,$F$2:$F$1179,"Served"))</f>
        <v>0.000925539685819573</v>
      </c>
      <c r="I146" s="4" t="n">
        <f aca="false">IF(G146="","",RANK(G146,$G$2:$G$1179,0))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IF(G147="","",G147/SUMIFS($G$2:$G$1179,$F$2:$F$1179,"Served"))</f>
        <v>0.000912079809390074</v>
      </c>
      <c r="I147" s="4" t="n">
        <f aca="false">IF(G147="","",RANK(G147,$G$2:$G$1179,0))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IF(G148="","",G148/SUMIFS($G$2:$G$1179,$F$2:$F$1179,"Served"))</f>
        <v>0.000905285360752292</v>
      </c>
      <c r="I148" s="4" t="n">
        <f aca="false">IF(G148="","",RANK(G148,$G$2:$G$1179,0))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IF(G149="","",G149/SUMIFS($G$2:$G$1179,$F$2:$F$1179,"Served"))</f>
        <v>0.000905056019364703</v>
      </c>
      <c r="I149" s="4" t="n">
        <f aca="false">IF(G149="","",RANK(G149,$G$2:$G$1179,0))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IF(G150="","",G150/SUMIFS($G$2:$G$1179,$F$2:$F$1179,"Served"))</f>
        <v>0.000882640069968841</v>
      </c>
      <c r="I150" s="4" t="n">
        <f aca="false">IF(G150="","",RANK(G150,$G$2:$G$1179,0))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IF(G151="","",G151/SUMIFS($G$2:$G$1179,$F$2:$F$1179,"Served"))</f>
        <v>0.00087683742858621</v>
      </c>
      <c r="I151" s="4" t="n">
        <f aca="false">IF(G151="","",RANK(G151,$G$2:$G$1179,0))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IF(G152="","",G152/SUMIFS($G$2:$G$1179,$F$2:$F$1179,"Served"))</f>
        <v>0.000871573557177242</v>
      </c>
      <c r="I152" s="4" t="n">
        <f aca="false">IF(G152="","",RANK(G152,$G$2:$G$1179,0))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IF(G153="","",G153/SUMIFS($G$2:$G$1179,$F$2:$F$1179,"Served"))</f>
        <v>0.000860057314041013</v>
      </c>
      <c r="I153" s="4" t="n">
        <f aca="false">IF(G153="","",RANK(G153,$G$2:$G$1179,0))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IF(G154="","",G154/SUMIFS($G$2:$G$1179,$F$2:$F$1179,"Served"))</f>
        <v>0.000853299560336791</v>
      </c>
      <c r="I154" s="4" t="n">
        <f aca="false">IF(G154="","",RANK(G154,$G$2:$G$1179,0))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IF(G155="","",G155/SUMIFS($G$2:$G$1179,$F$2:$F$1179,"Served"))</f>
        <v>0.00084888249043674</v>
      </c>
      <c r="I155" s="4" t="n">
        <f aca="false">IF(G155="","",RANK(G155,$G$2:$G$1179,0))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IF(G156="","",G156/SUMIFS($G$2:$G$1179,$F$2:$F$1179,"Served"))</f>
        <v>0.000846613664809846</v>
      </c>
      <c r="I156" s="4" t="n">
        <f aca="false">IF(G156="","",RANK(G156,$G$2:$G$1179,0))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IF(G157="","",G157/SUMIFS($G$2:$G$1179,$F$2:$F$1179,"Served"))</f>
        <v>0.00083647548159267</v>
      </c>
      <c r="I157" s="4" t="n">
        <f aca="false">IF(G157="","",RANK(G157,$G$2:$G$1179,0))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IF(G158="","",G158/SUMIFS($G$2:$G$1179,$F$2:$F$1179,"Served"))</f>
        <v>0.000824629104343636</v>
      </c>
      <c r="I158" s="4" t="n">
        <f aca="false">IF(G158="","",RANK(G158,$G$2:$G$1179,0))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IF(G159="","",G159/SUMIFS($G$2:$G$1179,$F$2:$F$1179,"Served"))</f>
        <v>0.000822024651529837</v>
      </c>
      <c r="I159" s="4" t="n">
        <f aca="false">IF(G159="","",RANK(G159,$G$2:$G$1179,0))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IF(G160="","",G160/SUMIFS($G$2:$G$1179,$F$2:$F$1179,"Served"))</f>
        <v>0.000821518844744929</v>
      </c>
      <c r="I160" s="4" t="n">
        <f aca="false">IF(G160="","",RANK(G160,$G$2:$G$1179,0))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IF(G161="","",G161/SUMIFS($G$2:$G$1179,$F$2:$F$1179,"Served"))</f>
        <v>0.000814698543134364</v>
      </c>
      <c r="I161" s="4" t="n">
        <f aca="false">IF(G161="","",RANK(G161,$G$2:$G$1179,0))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IF(G162="","",G162/SUMIFS($G$2:$G$1179,$F$2:$F$1179,"Served"))</f>
        <v>0.00081352178623397</v>
      </c>
      <c r="I162" s="4" t="n">
        <f aca="false">IF(G162="","",RANK(G162,$G$2:$G$1179,0))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IF(G163="","",G163/SUMIFS($G$2:$G$1179,$F$2:$F$1179,"Served"))</f>
        <v>0.000813341858932712</v>
      </c>
      <c r="I163" s="4" t="n">
        <f aca="false">IF(G163="","",RANK(G163,$G$2:$G$1179,0))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IF(G164="","",G164/SUMIFS($G$2:$G$1179,$F$2:$F$1179,"Served"))</f>
        <v>0.000795309556079355</v>
      </c>
      <c r="I164" s="4" t="n">
        <f aca="false">IF(G164="","",RANK(G164,$G$2:$G$1179,0))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IF(G165="","",G165/SUMIFS($G$2:$G$1179,$F$2:$F$1179,"Served"))</f>
        <v>0.000775965063384093</v>
      </c>
      <c r="I165" s="4" t="n">
        <f aca="false">IF(G165="","",RANK(G165,$G$2:$G$1179,0))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IF(G166="","",G166/SUMIFS($G$2:$G$1179,$F$2:$F$1179,"Served"))</f>
        <v>0.00077424473375636</v>
      </c>
      <c r="I166" s="4" t="n">
        <f aca="false">IF(G166="","",RANK(G166,$G$2:$G$1179,0))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IF(G167="","",G167/SUMIFS($G$2:$G$1179,$F$2:$F$1179,"Served"))</f>
        <v>0.000764107165322237</v>
      </c>
      <c r="I167" s="4" t="n">
        <f aca="false">IF(G167="","",RANK(G167,$G$2:$G$1179,0))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IF(G168="","",G168/SUMIFS($G$2:$G$1179,$F$2:$F$1179,"Served"))</f>
        <v>0.000763885798891732</v>
      </c>
      <c r="I168" s="4" t="n">
        <f aca="false">IF(G168="","",RANK(G168,$G$2:$G$1179,0))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IF(G169="","",G169/SUMIFS($G$2:$G$1179,$F$2:$F$1179,"Served"))</f>
        <v>0.000753132877602652</v>
      </c>
      <c r="I169" s="4" t="n">
        <f aca="false">IF(G169="","",RANK(G169,$G$2:$G$1179,0))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IF(G170="","",G170/SUMIFS($G$2:$G$1179,$F$2:$F$1179,"Served"))</f>
        <v>0.000749700220764862</v>
      </c>
      <c r="I170" s="4" t="n">
        <f aca="false">IF(G170="","",RANK(G170,$G$2:$G$1179,0))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IF(G171="","",G171/SUMIFS($G$2:$G$1179,$F$2:$F$1179,"Served"))</f>
        <v>0.000747813974409036</v>
      </c>
      <c r="I171" s="4" t="n">
        <f aca="false">IF(G171="","",RANK(G171,$G$2:$G$1179,0))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IF(G172="","",G172/SUMIFS($G$2:$G$1179,$F$2:$F$1179,"Served"))</f>
        <v>0.000745822753100146</v>
      </c>
      <c r="I172" s="4" t="n">
        <f aca="false">IF(G172="","",RANK(G172,$G$2:$G$1179,0))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IF(G173="","",G173/SUMIFS($G$2:$G$1179,$F$2:$F$1179,"Served"))</f>
        <v>0.000744505472433027</v>
      </c>
      <c r="I173" s="4" t="n">
        <f aca="false">IF(G173="","",RANK(G173,$G$2:$G$1179,0))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IF(G174="","",G174/SUMIFS($G$2:$G$1179,$F$2:$F$1179,"Served"))</f>
        <v>0.000742497479950276</v>
      </c>
      <c r="I174" s="4" t="n">
        <f aca="false">IF(G174="","",RANK(G174,$G$2:$G$1179,0))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IF(G175="","",G175/SUMIFS($G$2:$G$1179,$F$2:$F$1179,"Served"))</f>
        <v>0.000742481862664941</v>
      </c>
      <c r="I175" s="4" t="n">
        <f aca="false">IF(G175="","",RANK(G175,$G$2:$G$1179,0))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IF(G176="","",G176/SUMIFS($G$2:$G$1179,$F$2:$F$1179,"Served"))</f>
        <v>0.000733010942567451</v>
      </c>
      <c r="I176" s="4" t="n">
        <f aca="false">IF(G176="","",RANK(G176,$G$2:$G$1179,0))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IF(G177="","",G177/SUMIFS($G$2:$G$1179,$F$2:$F$1179,"Served"))</f>
        <v>0.000731561461788991</v>
      </c>
      <c r="I177" s="4" t="n">
        <f aca="false">IF(G177="","",RANK(G177,$G$2:$G$1179,0))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IF(G178="","",G178/SUMIFS($G$2:$G$1179,$F$2:$F$1179,"Served"))</f>
        <v>0.000729191753632704</v>
      </c>
      <c r="I178" s="4" t="n">
        <f aca="false">IF(G178="","",RANK(G178,$G$2:$G$1179,0))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IF(G179="","",G179/SUMIFS($G$2:$G$1179,$F$2:$F$1179,"Served"))</f>
        <v>0.000727226181174865</v>
      </c>
      <c r="I179" s="4" t="n">
        <f aca="false">IF(G179="","",RANK(G179,$G$2:$G$1179,0))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IF(G180="","",G180/SUMIFS($G$2:$G$1179,$F$2:$F$1179,"Served"))</f>
        <v>0.000726087110748003</v>
      </c>
      <c r="I180" s="4" t="n">
        <f aca="false">IF(G180="","",RANK(G180,$G$2:$G$1179,0))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IF(G181="","",G181/SUMIFS($G$2:$G$1179,$F$2:$F$1179,"Served"))</f>
        <v>0.000720360743487402</v>
      </c>
      <c r="I181" s="4" t="n">
        <f aca="false">IF(G181="","",RANK(G181,$G$2:$G$1179,0))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IF(G182="","",G182/SUMIFS($G$2:$G$1179,$F$2:$F$1179,"Served"))</f>
        <v>0.000713257449185214</v>
      </c>
      <c r="I182" s="4" t="n">
        <f aca="false">IF(G182="","",RANK(G182,$G$2:$G$1179,0))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IF(G183="","",G183/SUMIFS($G$2:$G$1179,$F$2:$F$1179,"Served"))</f>
        <v>0.000706199196571831</v>
      </c>
      <c r="I183" s="4" t="n">
        <f aca="false">IF(G183="","",RANK(G183,$G$2:$G$1179,0))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IF(G184="","",G184/SUMIFS($G$2:$G$1179,$F$2:$F$1179,"Served"))</f>
        <v>0.000704620374908513</v>
      </c>
      <c r="I184" s="4" t="n">
        <f aca="false">IF(G184="","",RANK(G184,$G$2:$G$1179,0))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IF(G185="","",G185/SUMIFS($G$2:$G$1179,$F$2:$F$1179,"Served"))</f>
        <v>0.000699575414769425</v>
      </c>
      <c r="I185" s="4" t="n">
        <f aca="false">IF(G185="","",RANK(G185,$G$2:$G$1179,0))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IF(G186="","",G186/SUMIFS($G$2:$G$1179,$F$2:$F$1179,"Served"))</f>
        <v>0.000675610982605507</v>
      </c>
      <c r="I186" s="4" t="n">
        <f aca="false">IF(G186="","",RANK(G186,$G$2:$G$1179,0))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IF(G187="","",G187/SUMIFS($G$2:$G$1179,$F$2:$F$1179,"Served"))</f>
        <v>0.000671588716180522</v>
      </c>
      <c r="I187" s="4" t="n">
        <f aca="false">IF(G187="","",RANK(G187,$G$2:$G$1179,0))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IF(G188="","",G188/SUMIFS($G$2:$G$1179,$F$2:$F$1179,"Served"))</f>
        <v>0.000671363110829796</v>
      </c>
      <c r="I188" s="4" t="n">
        <f aca="false">IF(G188="","",RANK(G188,$G$2:$G$1179,0))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IF(G189="","",G189/SUMIFS($G$2:$G$1179,$F$2:$F$1179,"Served"))</f>
        <v>0.000670634209059248</v>
      </c>
      <c r="I189" s="4" t="n">
        <f aca="false">IF(G189="","",RANK(G189,$G$2:$G$1179,0))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IF(G190="","",G190/SUMIFS($G$2:$G$1179,$F$2:$F$1179,"Served"))</f>
        <v>0.0006674732578887</v>
      </c>
      <c r="I190" s="4" t="n">
        <f aca="false">IF(G190="","",RANK(G190,$G$2:$G$1179,0))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IF(G191="","",G191/SUMIFS($G$2:$G$1179,$F$2:$F$1179,"Served"))</f>
        <v>0.00066608350917709</v>
      </c>
      <c r="I191" s="4" t="n">
        <f aca="false">IF(G191="","",RANK(G191,$G$2:$G$1179,0))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IF(G192="","",G192/SUMIFS($G$2:$G$1179,$F$2:$F$1179,"Served"))</f>
        <v>0.000665503264535933</v>
      </c>
      <c r="I192" s="4" t="n">
        <f aca="false">IF(G192="","",RANK(G192,$G$2:$G$1179,0))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IF(G193="","",G193/SUMIFS($G$2:$G$1179,$F$2:$F$1179,"Served"))</f>
        <v>0.000662668861943799</v>
      </c>
      <c r="I193" s="4" t="n">
        <f aca="false">IF(G193="","",RANK(G193,$G$2:$G$1179,0))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IF(G194="","",G194/SUMIFS($G$2:$G$1179,$F$2:$F$1179,"Served"))</f>
        <v>0.000657639782178942</v>
      </c>
      <c r="I194" s="4" t="n">
        <f aca="false">IF(G194="","",RANK(G194,$G$2:$G$1179,0))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IF(G195="","",G195/SUMIFS($G$2:$G$1179,$F$2:$F$1179,"Served"))</f>
        <v>0.000655618275425227</v>
      </c>
      <c r="I195" s="4" t="n">
        <f aca="false">IF(G195="","",RANK(G195,$G$2:$G$1179,0))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IF(G196="","",G196/SUMIFS($G$2:$G$1179,$F$2:$F$1179,"Served"))</f>
        <v>0.000653634712431077</v>
      </c>
      <c r="I196" s="4" t="n">
        <f aca="false">IF(G196="","",RANK(G196,$G$2:$G$1179,0))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IF(G197="","",G197/SUMIFS($G$2:$G$1179,$F$2:$F$1179,"Served"))</f>
        <v>0.000651052161552528</v>
      </c>
      <c r="I197" s="4" t="n">
        <f aca="false">IF(G197="","",RANK(G197,$G$2:$G$1179,0))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IF(G198="","",G198/SUMIFS($G$2:$G$1179,$F$2:$F$1179,"Served"))</f>
        <v>0.000643818839298438</v>
      </c>
      <c r="I198" s="4" t="n">
        <f aca="false">IF(G198="","",RANK(G198,$G$2:$G$1179,0))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IF(G199="","",G199/SUMIFS($G$2:$G$1179,$F$2:$F$1179,"Served"))</f>
        <v>0.000642229456583866</v>
      </c>
      <c r="I199" s="4" t="n">
        <f aca="false">IF(G199="","",RANK(G199,$G$2:$G$1179,0))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IF(G200="","",G200/SUMIFS($G$2:$G$1179,$F$2:$F$1179,"Served"))</f>
        <v>0.000639973101196085</v>
      </c>
      <c r="I200" s="4" t="n">
        <f aca="false">IF(G200="","",RANK(G200,$G$2:$G$1179,0))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IF(G201="","",G201/SUMIFS($G$2:$G$1179,$F$2:$F$1179,"Served"))</f>
        <v>0.000621772331733995</v>
      </c>
      <c r="I201" s="4" t="n">
        <f aca="false">IF(G201="","",RANK(G201,$G$2:$G$1179,0))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IF(G202="","",G202/SUMIFS($G$2:$G$1179,$F$2:$F$1179,"Served"))</f>
        <v>0.000620129960795547</v>
      </c>
      <c r="I202" s="4" t="n">
        <f aca="false">IF(G202="","",RANK(G202,$G$2:$G$1179,0))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IF(G203="","",G203/SUMIFS($G$2:$G$1179,$F$2:$F$1179,"Served"))</f>
        <v>0.000615660975062535</v>
      </c>
      <c r="I203" s="4" t="n">
        <f aca="false">IF(G203="","",RANK(G203,$G$2:$G$1179,0))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IF(G204="","",G204/SUMIFS($G$2:$G$1179,$F$2:$F$1179,"Served"))</f>
        <v>0.000606560874327004</v>
      </c>
      <c r="I204" s="4" t="n">
        <f aca="false">IF(G204="","",RANK(G204,$G$2:$G$1179,0))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IF(G205="","",G205/SUMIFS($G$2:$G$1179,$F$2:$F$1179,"Served"))</f>
        <v>0.000606488063252592</v>
      </c>
      <c r="I205" s="4" t="n">
        <f aca="false">IF(G205="","",RANK(G205,$G$2:$G$1179,0))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IF(G206="","",G206/SUMIFS($G$2:$G$1179,$F$2:$F$1179,"Served"))</f>
        <v>0.000605192108915583</v>
      </c>
      <c r="I206" s="4" t="n">
        <f aca="false">IF(G206="","",RANK(G206,$G$2:$G$1179,0))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IF(G207="","",G207/SUMIFS($G$2:$G$1179,$F$2:$F$1179,"Served"))</f>
        <v>0.000602315061869644</v>
      </c>
      <c r="I207" s="4" t="n">
        <f aca="false">IF(G207="","",RANK(G207,$G$2:$G$1179,0))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IF(G208="","",G208/SUMIFS($G$2:$G$1179,$F$2:$F$1179,"Served"))</f>
        <v>0.000600546307578137</v>
      </c>
      <c r="I208" s="4" t="n">
        <f aca="false">IF(G208="","",RANK(G208,$G$2:$G$1179,0))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IF(G209="","",G209/SUMIFS($G$2:$G$1179,$F$2:$F$1179,"Served"))</f>
        <v>0.000592767777130606</v>
      </c>
      <c r="I209" s="4" t="n">
        <f aca="false">IF(G209="","",RANK(G209,$G$2:$G$1179,0))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IF(G210="","",G210/SUMIFS($G$2:$G$1179,$F$2:$F$1179,"Served"))</f>
        <v>0.00058818374457352</v>
      </c>
      <c r="I210" s="4" t="n">
        <f aca="false">IF(G210="","",RANK(G210,$G$2:$G$1179,0))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IF(G211="","",G211/SUMIFS($G$2:$G$1179,$F$2:$F$1179,"Served"))</f>
        <v>0.000583243670816571</v>
      </c>
      <c r="I211" s="4" t="n">
        <f aca="false">IF(G211="","",RANK(G211,$G$2:$G$1179,0))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IF(G212="","",G212/SUMIFS($G$2:$G$1179,$F$2:$F$1179,"Served"))</f>
        <v>0.000578663462655532</v>
      </c>
      <c r="I212" s="4" t="n">
        <f aca="false">IF(G212="","",RANK(G212,$G$2:$G$1179,0))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IF(G213="","",G213/SUMIFS($G$2:$G$1179,$F$2:$F$1179,"Served"))</f>
        <v>0.00057230188427709</v>
      </c>
      <c r="I213" s="4" t="n">
        <f aca="false">IF(G213="","",RANK(G213,$G$2:$G$1179,0))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IF(G214="","",G214/SUMIFS($G$2:$G$1179,$F$2:$F$1179,"Served"))</f>
        <v>0.00057091590305455</v>
      </c>
      <c r="I214" s="4" t="n">
        <f aca="false">IF(G214="","",RANK(G214,$G$2:$G$1179,0))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IF(G215="","",G215/SUMIFS($G$2:$G$1179,$F$2:$F$1179,"Served"))</f>
        <v>0.000570245104677648</v>
      </c>
      <c r="I215" s="4" t="n">
        <f aca="false">IF(G215="","",RANK(G215,$G$2:$G$1179,0))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IF(G216="","",G216/SUMIFS($G$2:$G$1179,$F$2:$F$1179,"Served"))</f>
        <v>0.000568965298078656</v>
      </c>
      <c r="I216" s="4" t="n">
        <f aca="false">IF(G216="","",RANK(G216,$G$2:$G$1179,0))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IF(G217="","",G217/SUMIFS($G$2:$G$1179,$F$2:$F$1179,"Served"))</f>
        <v>0.000562625605274137</v>
      </c>
      <c r="I217" s="4" t="n">
        <f aca="false">IF(G217="","",RANK(G217,$G$2:$G$1179,0))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IF(G218="","",G218/SUMIFS($G$2:$G$1179,$F$2:$F$1179,"Served"))</f>
        <v>0.000555200318834543</v>
      </c>
      <c r="I218" s="4" t="n">
        <f aca="false">IF(G218="","",RANK(G218,$G$2:$G$1179,0))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IF(G219="","",G219/SUMIFS($G$2:$G$1179,$F$2:$F$1179,"Served"))</f>
        <v>0.000555052916231009</v>
      </c>
      <c r="I219" s="4" t="n">
        <f aca="false">IF(G219="","",RANK(G219,$G$2:$G$1179,0))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IF(G220="","",G220/SUMIFS($G$2:$G$1179,$F$2:$F$1179,"Served"))</f>
        <v>0.000554726885804237</v>
      </c>
      <c r="I220" s="4" t="n">
        <f aca="false">IF(G220="","",RANK(G220,$G$2:$G$1179,0))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IF(G221="","",G221/SUMIFS($G$2:$G$1179,$F$2:$F$1179,"Served"))</f>
        <v>0.000551619736488838</v>
      </c>
      <c r="I221" s="4" t="n">
        <f aca="false">IF(G221="","",RANK(G221,$G$2:$G$1179,0))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IF(G222="","",G222/SUMIFS($G$2:$G$1179,$F$2:$F$1179,"Served"))</f>
        <v>0.000549037280687976</v>
      </c>
      <c r="I222" s="4" t="n">
        <f aca="false">IF(G222="","",RANK(G222,$G$2:$G$1179,0))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IF(G223="","",G223/SUMIFS($G$2:$G$1179,$F$2:$F$1179,"Served"))</f>
        <v>0.000548959827148255</v>
      </c>
      <c r="I223" s="4" t="n">
        <f aca="false">IF(G223="","",RANK(G223,$G$2:$G$1179,0))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IF(G224="","",G224/SUMIFS($G$2:$G$1179,$F$2:$F$1179,"Served"))</f>
        <v>0.000538868198212928</v>
      </c>
      <c r="I224" s="4" t="n">
        <f aca="false">IF(G224="","",RANK(G224,$G$2:$G$1179,0))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IF(G225="","",G225/SUMIFS($G$2:$G$1179,$F$2:$F$1179,"Served"))</f>
        <v>0.000532399697107956</v>
      </c>
      <c r="I225" s="4" t="n">
        <f aca="false">IF(G225="","",RANK(G225,$G$2:$G$1179,0))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IF(G226="","",G226/SUMIFS($G$2:$G$1179,$F$2:$F$1179,"Served"))</f>
        <v>0.000524734004688044</v>
      </c>
      <c r="I226" s="4" t="n">
        <f aca="false">IF(G226="","",RANK(G226,$G$2:$G$1179,0))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IF(G227="","",G227/SUMIFS($G$2:$G$1179,$F$2:$F$1179,"Served"))</f>
        <v>0.000524658286610812</v>
      </c>
      <c r="I227" s="4" t="n">
        <f aca="false">IF(G227="","",RANK(G227,$G$2:$G$1179,0))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IF(G228="","",G228/SUMIFS($G$2:$G$1179,$F$2:$F$1179,"Served"))</f>
        <v>0.000520846724077917</v>
      </c>
      <c r="I228" s="4" t="n">
        <f aca="false">IF(G228="","",RANK(G228,$G$2:$G$1179,0))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IF(G229="","",G229/SUMIFS($G$2:$G$1179,$F$2:$F$1179,"Served"))</f>
        <v>0.000515101627998252</v>
      </c>
      <c r="I229" s="4" t="n">
        <f aca="false">IF(G229="","",RANK(G229,$G$2:$G$1179,0))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IF(G230="","",G230/SUMIFS($G$2:$G$1179,$F$2:$F$1179,"Served"))</f>
        <v>0.000511464766100603</v>
      </c>
      <c r="I230" s="4" t="n">
        <f aca="false">IF(G230="","",RANK(G230,$G$2:$G$1179,0))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IF(G231="","",G231/SUMIFS($G$2:$G$1179,$F$2:$F$1179,"Served"))</f>
        <v>0.000503970711202357</v>
      </c>
      <c r="I231" s="4" t="n">
        <f aca="false">IF(G231="","",RANK(G231,$G$2:$G$1179,0))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IF(G232="","",G232/SUMIFS($G$2:$G$1179,$F$2:$F$1179,"Served"))</f>
        <v>0.000501995875113957</v>
      </c>
      <c r="I232" s="4" t="n">
        <f aca="false">IF(G232="","",RANK(G232,$G$2:$G$1179,0))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IF(G233="","",G233/SUMIFS($G$2:$G$1179,$F$2:$F$1179,"Served"))</f>
        <v>0.000495437030529754</v>
      </c>
      <c r="I233" s="4" t="n">
        <f aca="false">IF(G233="","",RANK(G233,$G$2:$G$1179,0))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IF(G234="","",G234/SUMIFS($G$2:$G$1179,$F$2:$F$1179,"Served"))</f>
        <v>0.00049373597216864</v>
      </c>
      <c r="I234" s="4" t="n">
        <f aca="false">IF(G234="","",RANK(G234,$G$2:$G$1179,0))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IF(G235="","",G235/SUMIFS($G$2:$G$1179,$F$2:$F$1179,"Served"))</f>
        <v>0.000491700994410776</v>
      </c>
      <c r="I235" s="4" t="n">
        <f aca="false">IF(G235="","",RANK(G235,$G$2:$G$1179,0))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IF(G236="","",G236/SUMIFS($G$2:$G$1179,$F$2:$F$1179,"Served"))</f>
        <v>0.000486276132675879</v>
      </c>
      <c r="I236" s="4" t="n">
        <f aca="false">IF(G236="","",RANK(G236,$G$2:$G$1179,0))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IF(G237="","",G237/SUMIFS($G$2:$G$1179,$F$2:$F$1179,"Served"))</f>
        <v>0.000484212506255526</v>
      </c>
      <c r="I237" s="4" t="n">
        <f aca="false">IF(G237="","",RANK(G237,$G$2:$G$1179,0))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IF(G238="","",G238/SUMIFS($G$2:$G$1179,$F$2:$F$1179,"Served"))</f>
        <v>0.000483993919167706</v>
      </c>
      <c r="I238" s="4" t="n">
        <f aca="false">IF(G238="","",RANK(G238,$G$2:$G$1179,0))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IF(G239="","",G239/SUMIFS($G$2:$G$1179,$F$2:$F$1179,"Served"))</f>
        <v>0.000483601777029463</v>
      </c>
      <c r="I239" s="4" t="n">
        <f aca="false">IF(G239="","",RANK(G239,$G$2:$G$1179,0))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IF(G240="","",G240/SUMIFS($G$2:$G$1179,$F$2:$F$1179,"Served"))</f>
        <v>0.000483156455539106</v>
      </c>
      <c r="I240" s="4" t="n">
        <f aca="false">IF(G240="","",RANK(G240,$G$2:$G$1179,0))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IF(G241="","",G241/SUMIFS($G$2:$G$1179,$F$2:$F$1179,"Served"))</f>
        <v>0.000471025869706844</v>
      </c>
      <c r="I241" s="4" t="n">
        <f aca="false">IF(G241="","",RANK(G241,$G$2:$G$1179,0))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IF(G242="","",G242/SUMIFS($G$2:$G$1179,$F$2:$F$1179,"Served"))</f>
        <v>0.000470887389712634</v>
      </c>
      <c r="I242" s="4" t="n">
        <f aca="false">IF(G242="","",RANK(G242,$G$2:$G$1179,0))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IF(G243="","",G243/SUMIFS($G$2:$G$1179,$F$2:$F$1179,"Served"))</f>
        <v>0.000468633304288865</v>
      </c>
      <c r="I243" s="4" t="n">
        <f aca="false">IF(G243="","",RANK(G243,$G$2:$G$1179,0))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IF(G244="","",G244/SUMIFS($G$2:$G$1179,$F$2:$F$1179,"Served"))</f>
        <v>0.000466258795776734</v>
      </c>
      <c r="I244" s="4" t="n">
        <f aca="false">IF(G244="","",RANK(G244,$G$2:$G$1179,0))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IF(G245="","",G245/SUMIFS($G$2:$G$1179,$F$2:$F$1179,"Served"))</f>
        <v>0.000465393339918835</v>
      </c>
      <c r="I245" s="4" t="n">
        <f aca="false">IF(G245="","",RANK(G245,$G$2:$G$1179,0))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IF(G246="","",G246/SUMIFS($G$2:$G$1179,$F$2:$F$1179,"Served"))</f>
        <v>0.000459721071495236</v>
      </c>
      <c r="I246" s="4" t="n">
        <f aca="false">IF(G246="","",RANK(G246,$G$2:$G$1179,0))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IF(G247="","",G247/SUMIFS($G$2:$G$1179,$F$2:$F$1179,"Served"))</f>
        <v>0.000457847123696172</v>
      </c>
      <c r="I247" s="4" t="n">
        <f aca="false">IF(G247="","",RANK(G247,$G$2:$G$1179,0))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IF(G248="","",G248/SUMIFS($G$2:$G$1179,$F$2:$F$1179,"Served"))</f>
        <v>0.000454764439118621</v>
      </c>
      <c r="I248" s="4" t="n">
        <f aca="false">IF(G248="","",RANK(G248,$G$2:$G$1179,0))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IF(G249="","",G249/SUMIFS($G$2:$G$1179,$F$2:$F$1179,"Served"))</f>
        <v>0.000454397624619474</v>
      </c>
      <c r="I249" s="4" t="n">
        <f aca="false">IF(G249="","",RANK(G249,$G$2:$G$1179,0))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IF(G250="","",G250/SUMIFS($G$2:$G$1179,$F$2:$F$1179,"Served"))</f>
        <v>0.000453585407547257</v>
      </c>
      <c r="I250" s="4" t="n">
        <f aca="false">IF(G250="","",RANK(G250,$G$2:$G$1179,0))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IF(G251="","",G251/SUMIFS($G$2:$G$1179,$F$2:$F$1179,"Served"))</f>
        <v>0.000452684367955506</v>
      </c>
      <c r="I251" s="4" t="n">
        <f aca="false">IF(G251="","",RANK(G251,$G$2:$G$1179,0))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IF(G252="","",G252/SUMIFS($G$2:$G$1179,$F$2:$F$1179,"Served"))</f>
        <v>0.000446809814023798</v>
      </c>
      <c r="I252" s="4" t="n">
        <f aca="false">IF(G252="","",RANK(G252,$G$2:$G$1179,0))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IF(G253="","",G253/SUMIFS($G$2:$G$1179,$F$2:$F$1179,"Served"))</f>
        <v>0.000445855136753869</v>
      </c>
      <c r="I253" s="4" t="n">
        <f aca="false">IF(G253="","",RANK(G253,$G$2:$G$1179,0))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IF(G254="","",G254/SUMIFS($G$2:$G$1179,$F$2:$F$1179,"Served"))</f>
        <v>0.000445694951626749</v>
      </c>
      <c r="I254" s="4" t="n">
        <f aca="false">IF(G254="","",RANK(G254,$G$2:$G$1179,0))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IF(G255="","",G255/SUMIFS($G$2:$G$1179,$F$2:$F$1179,"Served"))</f>
        <v>0.000445517455842595</v>
      </c>
      <c r="I255" s="4" t="n">
        <f aca="false">IF(G255="","",RANK(G255,$G$2:$G$1179,0))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IF(G256="","",G256/SUMIFS($G$2:$G$1179,$F$2:$F$1179,"Served"))</f>
        <v>0.000441608469547313</v>
      </c>
      <c r="I256" s="4" t="n">
        <f aca="false">IF(G256="","",RANK(G256,$G$2:$G$1179,0))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IF(G257="","",G257/SUMIFS($G$2:$G$1179,$F$2:$F$1179,"Served"))</f>
        <v>0.000431844858997341</v>
      </c>
      <c r="I257" s="4" t="n">
        <f aca="false">IF(G257="","",RANK(G257,$G$2:$G$1179,0))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IF(G258="","",G258/SUMIFS($G$2:$G$1179,$F$2:$F$1179,"Served"))</f>
        <v>0.000430801265160287</v>
      </c>
      <c r="I258" s="4" t="n">
        <f aca="false">IF(G258="","",RANK(G258,$G$2:$G$1179,0))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IF(G259="","",G259/SUMIFS($G$2:$G$1179,$F$2:$F$1179,"Served"))</f>
        <v>0.000420290206066945</v>
      </c>
      <c r="I259" s="4" t="n">
        <f aca="false">IF(G259="","",RANK(G259,$G$2:$G$1179,0))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IF(G260="","",G260/SUMIFS($G$2:$G$1179,$F$2:$F$1179,"Served"))</f>
        <v>0.000418713647022496</v>
      </c>
      <c r="I260" s="4" t="n">
        <f aca="false">IF(G260="","",RANK(G260,$G$2:$G$1179,0))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IF(G261="","",G261/SUMIFS($G$2:$G$1179,$F$2:$F$1179,"Served"))</f>
        <v>0.000410363159226869</v>
      </c>
      <c r="I261" s="4" t="n">
        <f aca="false">IF(G261="","",RANK(G261,$G$2:$G$1179,0))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IF(G262="","",G262/SUMIFS($G$2:$G$1179,$F$2:$F$1179,"Served"))</f>
        <v>0.00040624081121644</v>
      </c>
      <c r="I262" s="4" t="n">
        <f aca="false">IF(G262="","",RANK(G262,$G$2:$G$1179,0))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IF(G263="","",G263/SUMIFS($G$2:$G$1179,$F$2:$F$1179,"Served"))</f>
        <v>0.000404108692562891</v>
      </c>
      <c r="I263" s="4" t="n">
        <f aca="false">IF(G263="","",RANK(G263,$G$2:$G$1179,0))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IF(G264="","",G264/SUMIFS($G$2:$G$1179,$F$2:$F$1179,"Served"))</f>
        <v>0.000403065389647303</v>
      </c>
      <c r="I264" s="4" t="n">
        <f aca="false">IF(G264="","",RANK(G264,$G$2:$G$1179,0))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IF(G265="","",G265/SUMIFS($G$2:$G$1179,$F$2:$F$1179,"Served"))</f>
        <v>0.000399534638830704</v>
      </c>
      <c r="I265" s="4" t="n">
        <f aca="false">IF(G265="","",RANK(G265,$G$2:$G$1179,0))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IF(G266="","",G266/SUMIFS($G$2:$G$1179,$F$2:$F$1179,"Served"))</f>
        <v>0.000398878440747257</v>
      </c>
      <c r="I266" s="4" t="n">
        <f aca="false">IF(G266="","",RANK(G266,$G$2:$G$1179,0))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IF(G267="","",G267/SUMIFS($G$2:$G$1179,$F$2:$F$1179,"Served"))</f>
        <v>0.000397222468858289</v>
      </c>
      <c r="I267" s="4" t="n">
        <f aca="false">IF(G267="","",RANK(G267,$G$2:$G$1179,0))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IF(G268="","",G268/SUMIFS($G$2:$G$1179,$F$2:$F$1179,"Served"))</f>
        <v>0.000396835738033287</v>
      </c>
      <c r="I268" s="4" t="n">
        <f aca="false">IF(G268="","",RANK(G268,$G$2:$G$1179,0))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IF(G269="","",G269/SUMIFS($G$2:$G$1179,$F$2:$F$1179,"Served"))</f>
        <v>0.000395003720048796</v>
      </c>
      <c r="I269" s="4" t="n">
        <f aca="false">IF(G269="","",RANK(G269,$G$2:$G$1179,0))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IF(G270="","",G270/SUMIFS($G$2:$G$1179,$F$2:$F$1179,"Served"))</f>
        <v>0.000393092378835112</v>
      </c>
      <c r="I270" s="4" t="n">
        <f aca="false">IF(G270="","",RANK(G270,$G$2:$G$1179,0))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IF(G271="","",G271/SUMIFS($G$2:$G$1179,$F$2:$F$1179,"Served"))</f>
        <v>0.000389118511407389</v>
      </c>
      <c r="I271" s="4" t="n">
        <f aca="false">IF(G271="","",RANK(G271,$G$2:$G$1179,0))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IF(G272="","",G272/SUMIFS($G$2:$G$1179,$F$2:$F$1179,"Served"))</f>
        <v>0.000387852327179153</v>
      </c>
      <c r="I272" s="4" t="n">
        <f aca="false">IF(G272="","",RANK(G272,$G$2:$G$1179,0))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IF(G273="","",G273/SUMIFS($G$2:$G$1179,$F$2:$F$1179,"Served"))</f>
        <v>0.000375939384794114</v>
      </c>
      <c r="I273" s="4" t="n">
        <f aca="false">IF(G273="","",RANK(G273,$G$2:$G$1179,0))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IF(G274="","",G274/SUMIFS($G$2:$G$1179,$F$2:$F$1179,"Served"))</f>
        <v>0.000375401083567633</v>
      </c>
      <c r="I274" s="4" t="n">
        <f aca="false">IF(G274="","",RANK(G274,$G$2:$G$1179,0))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IF(G275="","",G275/SUMIFS($G$2:$G$1179,$F$2:$F$1179,"Served"))</f>
        <v>0.000375139653091948</v>
      </c>
      <c r="I275" s="4" t="n">
        <f aca="false">IF(G275="","",RANK(G275,$G$2:$G$1179,0))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IF(G276="","",G276/SUMIFS($G$2:$G$1179,$F$2:$F$1179,"Served"))</f>
        <v>0.000374419969052684</v>
      </c>
      <c r="I276" s="4" t="n">
        <f aca="false">IF(G276="","",RANK(G276,$G$2:$G$1179,0))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IF(G277="","",G277/SUMIFS($G$2:$G$1179,$F$2:$F$1179,"Served"))</f>
        <v>0.000367795124436379</v>
      </c>
      <c r="I277" s="4" t="n">
        <f aca="false">IF(G277="","",RANK(G277,$G$2:$G$1179,0))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IF(G278="","",G278/SUMIFS($G$2:$G$1179,$F$2:$F$1179,"Served"))</f>
        <v>0.000366989890386405</v>
      </c>
      <c r="I278" s="4" t="n">
        <f aca="false">IF(G278="","",RANK(G278,$G$2:$G$1179,0))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IF(G279="","",G279/SUMIFS($G$2:$G$1179,$F$2:$F$1179,"Served"))</f>
        <v>0.000362867212874623</v>
      </c>
      <c r="I279" s="4" t="n">
        <f aca="false">IF(G279="","",RANK(G279,$G$2:$G$1179,0))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IF(G280="","",G280/SUMIFS($G$2:$G$1179,$F$2:$F$1179,"Served"))</f>
        <v>0.000362185054577013</v>
      </c>
      <c r="I280" s="4" t="n">
        <f aca="false">IF(G280="","",RANK(G280,$G$2:$G$1179,0))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IF(G281="","",G281/SUMIFS($G$2:$G$1179,$F$2:$F$1179,"Served"))</f>
        <v>0.00036085720024571</v>
      </c>
      <c r="I281" s="4" t="n">
        <f aca="false">IF(G281="","",RANK(G281,$G$2:$G$1179,0))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IF(G282="","",G282/SUMIFS($G$2:$G$1179,$F$2:$F$1179,"Served"))</f>
        <v>0.000358655645995924</v>
      </c>
      <c r="I282" s="4" t="n">
        <f aca="false">IF(G282="","",RANK(G282,$G$2:$G$1179,0))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IF(G283="","",G283/SUMIFS($G$2:$G$1179,$F$2:$F$1179,"Served"))</f>
        <v>0.000357819065037793</v>
      </c>
      <c r="I283" s="4" t="n">
        <f aca="false">IF(G283="","",RANK(G283,$G$2:$G$1179,0))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IF(G284="","",G284/SUMIFS($G$2:$G$1179,$F$2:$F$1179,"Served"))</f>
        <v>0.000357806772467022</v>
      </c>
      <c r="I284" s="4" t="n">
        <f aca="false">IF(G284="","",RANK(G284,$G$2:$G$1179,0))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IF(G285="","",G285/SUMIFS($G$2:$G$1179,$F$2:$F$1179,"Served"))</f>
        <v>0.000354428508217598</v>
      </c>
      <c r="I285" s="4" t="n">
        <f aca="false">IF(G285="","",RANK(G285,$G$2:$G$1179,0))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IF(G286="","",G286/SUMIFS($G$2:$G$1179,$F$2:$F$1179,"Served"))</f>
        <v>0.000346441723996863</v>
      </c>
      <c r="I286" s="4" t="n">
        <f aca="false">IF(G286="","",RANK(G286,$G$2:$G$1179,0))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IF(G287="","",G287/SUMIFS($G$2:$G$1179,$F$2:$F$1179,"Served"))</f>
        <v>0.000343378127718328</v>
      </c>
      <c r="I287" s="4" t="n">
        <f aca="false">IF(G287="","",RANK(G287,$G$2:$G$1179,0))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IF(G288="","",G288/SUMIFS($G$2:$G$1179,$F$2:$F$1179,"Served"))</f>
        <v>0.000343024259879678</v>
      </c>
      <c r="I288" s="4" t="n">
        <f aca="false">IF(G288="","",RANK(G288,$G$2:$G$1179,0))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IF(G289="","",G289/SUMIFS($G$2:$G$1179,$F$2:$F$1179,"Served"))</f>
        <v>0.000342293262365506</v>
      </c>
      <c r="I289" s="4" t="n">
        <f aca="false">IF(G289="","",RANK(G289,$G$2:$G$1179,0))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IF(G290="","",G290/SUMIFS($G$2:$G$1179,$F$2:$F$1179,"Served"))</f>
        <v>0.000341965861015104</v>
      </c>
      <c r="I290" s="4" t="n">
        <f aca="false">IF(G290="","",RANK(G290,$G$2:$G$1179,0))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IF(G291="","",G291/SUMIFS($G$2:$G$1179,$F$2:$F$1179,"Served"))</f>
        <v>0.00034138533787656</v>
      </c>
      <c r="I291" s="4" t="n">
        <f aca="false">IF(G291="","",RANK(G291,$G$2:$G$1179,0))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IF(G292="","",G292/SUMIFS($G$2:$G$1179,$F$2:$F$1179,"Served"))</f>
        <v>0.000340590897936631</v>
      </c>
      <c r="I292" s="4" t="n">
        <f aca="false">IF(G292="","",RANK(G292,$G$2:$G$1179,0))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IF(G293="","",G293/SUMIFS($G$2:$G$1179,$F$2:$F$1179,"Served"))</f>
        <v>0.000338401819952009</v>
      </c>
      <c r="I293" s="4" t="n">
        <f aca="false">IF(G293="","",RANK(G293,$G$2:$G$1179,0))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IF(G294="","",G294/SUMIFS($G$2:$G$1179,$F$2:$F$1179,"Served"))</f>
        <v>0.000335284572489617</v>
      </c>
      <c r="I294" s="4" t="n">
        <f aca="false">IF(G294="","",RANK(G294,$G$2:$G$1179,0))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IF(G295="","",G295/SUMIFS($G$2:$G$1179,$F$2:$F$1179,"Served"))</f>
        <v>0.000333089178998038</v>
      </c>
      <c r="I295" s="4" t="n">
        <f aca="false">IF(G295="","",RANK(G295,$G$2:$G$1179,0))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IF(G296="","",G296/SUMIFS($G$2:$G$1179,$F$2:$F$1179,"Served"))</f>
        <v>0.000332309292273402</v>
      </c>
      <c r="I296" s="4" t="n">
        <f aca="false">IF(G296="","",RANK(G296,$G$2:$G$1179,0))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IF(G297="","",G297/SUMIFS($G$2:$G$1179,$F$2:$F$1179,"Served"))</f>
        <v>0.000330433478868044</v>
      </c>
      <c r="I297" s="4" t="n">
        <f aca="false">IF(G297="","",RANK(G297,$G$2:$G$1179,0))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IF(G298="","",G298/SUMIFS($G$2:$G$1179,$F$2:$F$1179,"Served"))</f>
        <v>0.000329076621802293</v>
      </c>
      <c r="I298" s="4" t="n">
        <f aca="false">IF(G298="","",RANK(G298,$G$2:$G$1179,0))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IF(G299="","",G299/SUMIFS($G$2:$G$1179,$F$2:$F$1179,"Served"))</f>
        <v>0.00032777298783618</v>
      </c>
      <c r="I299" s="4" t="n">
        <f aca="false">IF(G299="","",RANK(G299,$G$2:$G$1179,0))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IF(G300="","",G300/SUMIFS($G$2:$G$1179,$F$2:$F$1179,"Served"))</f>
        <v>0.000327025620927769</v>
      </c>
      <c r="I300" s="4" t="n">
        <f aca="false">IF(G300="","",RANK(G300,$G$2:$G$1179,0))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IF(G301="","",G301/SUMIFS($G$2:$G$1179,$F$2:$F$1179,"Served"))</f>
        <v>0.000324792495112025</v>
      </c>
      <c r="I301" s="4" t="n">
        <f aca="false">IF(G301="","",RANK(G301,$G$2:$G$1179,0))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IF(G302="","",G302/SUMIFS($G$2:$G$1179,$F$2:$F$1179,"Served"))</f>
        <v>0.000324104581501247</v>
      </c>
      <c r="I302" s="4" t="n">
        <f aca="false">IF(G302="","",RANK(G302,$G$2:$G$1179,0))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IF(G303="","",G303/SUMIFS($G$2:$G$1179,$F$2:$F$1179,"Served"))</f>
        <v>0.000320802555463628</v>
      </c>
      <c r="I303" s="4" t="n">
        <f aca="false">IF(G303="","",RANK(G303,$G$2:$G$1179,0))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IF(G304="","",G304/SUMIFS($G$2:$G$1179,$F$2:$F$1179,"Served"))</f>
        <v>0.000320755655971493</v>
      </c>
      <c r="I304" s="4" t="n">
        <f aca="false">IF(G304="","",RANK(G304,$G$2:$G$1179,0))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IF(G305="","",G305/SUMIFS($G$2:$G$1179,$F$2:$F$1179,"Served"))</f>
        <v>0.00031793574634273</v>
      </c>
      <c r="I305" s="4" t="n">
        <f aca="false">IF(G305="","",RANK(G305,$G$2:$G$1179,0))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IF(G306="","",G306/SUMIFS($G$2:$G$1179,$F$2:$F$1179,"Served"))</f>
        <v>0.000316837328860126</v>
      </c>
      <c r="I306" s="4" t="n">
        <f aca="false">IF(G306="","",RANK(G306,$G$2:$G$1179,0))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IF(G307="","",G307/SUMIFS($G$2:$G$1179,$F$2:$F$1179,"Served"))</f>
        <v>0.00031253820363916</v>
      </c>
      <c r="I307" s="4" t="n">
        <f aca="false">IF(G307="","",RANK(G307,$G$2:$G$1179,0))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IF(G308="","",G308/SUMIFS($G$2:$G$1179,$F$2:$F$1179,"Served"))</f>
        <v>0.000312455844213315</v>
      </c>
      <c r="I308" s="4" t="n">
        <f aca="false">IF(G308="","",RANK(G308,$G$2:$G$1179,0))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IF(G309="","",G309/SUMIFS($G$2:$G$1179,$F$2:$F$1179,"Served"))</f>
        <v>0.000306242164420135</v>
      </c>
      <c r="I309" s="4" t="n">
        <f aca="false">IF(G309="","",RANK(G309,$G$2:$G$1179,0))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IF(G310="","",G310/SUMIFS($G$2:$G$1179,$F$2:$F$1179,"Served"))</f>
        <v>0.000303355659568035</v>
      </c>
      <c r="I310" s="4" t="n">
        <f aca="false">IF(G310="","",RANK(G310,$G$2:$G$1179,0))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IF(G311="","",G311/SUMIFS($G$2:$G$1179,$F$2:$F$1179,"Served"))</f>
        <v>0.000303174190029912</v>
      </c>
      <c r="I311" s="4" t="n">
        <f aca="false">IF(G311="","",RANK(G311,$G$2:$G$1179,0))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IF(G312="","",G312/SUMIFS($G$2:$G$1179,$F$2:$F$1179,"Served"))</f>
        <v>0.000301009858591133</v>
      </c>
      <c r="I312" s="4" t="n">
        <f aca="false">IF(G312="","",RANK(G312,$G$2:$G$1179,0))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IF(G313="","",G313/SUMIFS($G$2:$G$1179,$F$2:$F$1179,"Served"))</f>
        <v>0.000299660395309095</v>
      </c>
      <c r="I313" s="4" t="n">
        <f aca="false">IF(G313="","",RANK(G313,$G$2:$G$1179,0))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IF(G314="","",G314/SUMIFS($G$2:$G$1179,$F$2:$F$1179,"Served"))</f>
        <v>0.000298635653023955</v>
      </c>
      <c r="I314" s="4" t="n">
        <f aca="false">IF(G314="","",RANK(G314,$G$2:$G$1179,0))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IF(G315="","",G315/SUMIFS($G$2:$G$1179,$F$2:$F$1179,"Served"))</f>
        <v>0.000297623162154466</v>
      </c>
      <c r="I315" s="4" t="n">
        <f aca="false">IF(G315="","",RANK(G315,$G$2:$G$1179,0))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IF(G316="","",G316/SUMIFS($G$2:$G$1179,$F$2:$F$1179,"Served"))</f>
        <v>0.00029456445082253</v>
      </c>
      <c r="I316" s="4" t="n">
        <f aca="false">IF(G316="","",RANK(G316,$G$2:$G$1179,0))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IF(G317="","",G317/SUMIFS($G$2:$G$1179,$F$2:$F$1179,"Served"))</f>
        <v>0.000292146768602828</v>
      </c>
      <c r="I317" s="4" t="n">
        <f aca="false">IF(G317="","",RANK(G317,$G$2:$G$1179,0))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IF(G318="","",G318/SUMIFS($G$2:$G$1179,$F$2:$F$1179,"Served"))</f>
        <v>0.000291634304929194</v>
      </c>
      <c r="I318" s="4" t="n">
        <f aca="false">IF(G318="","",RANK(G318,$G$2:$G$1179,0))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IF(G319="","",G319/SUMIFS($G$2:$G$1179,$F$2:$F$1179,"Served"))</f>
        <v>0.000291187482583143</v>
      </c>
      <c r="I319" s="4" t="n">
        <f aca="false">IF(G319="","",RANK(G319,$G$2:$G$1179,0))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IF(G320="","",G320/SUMIFS($G$2:$G$1179,$F$2:$F$1179,"Served"))</f>
        <v>0.000289981865167099</v>
      </c>
      <c r="I320" s="4" t="n">
        <f aca="false">IF(G320="","",RANK(G320,$G$2:$G$1179,0))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IF(G321="","",G321/SUMIFS($G$2:$G$1179,$F$2:$F$1179,"Served"))</f>
        <v>0.000288270416009257</v>
      </c>
      <c r="I321" s="4" t="n">
        <f aca="false">IF(G321="","",RANK(G321,$G$2:$G$1179,0))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IF(G322="","",G322/SUMIFS($G$2:$G$1179,$F$2:$F$1179,"Served"))</f>
        <v>0.000284219995401289</v>
      </c>
      <c r="I322" s="4" t="n">
        <f aca="false">IF(G322="","",RANK(G322,$G$2:$G$1179,0))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IF(G323="","",G323/SUMIFS($G$2:$G$1179,$F$2:$F$1179,"Served"))</f>
        <v>0.00027943494601144</v>
      </c>
      <c r="I323" s="4" t="n">
        <f aca="false">IF(G323="","",RANK(G323,$G$2:$G$1179,0))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IF(G324="","",G324/SUMIFS($G$2:$G$1179,$F$2:$F$1179,"Served"))</f>
        <v>0.000279205576616737</v>
      </c>
      <c r="I324" s="4" t="n">
        <f aca="false">IF(G324="","",RANK(G324,$G$2:$G$1179,0))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IF(G325="","",G325/SUMIFS($G$2:$G$1179,$F$2:$F$1179,"Served"))</f>
        <v>0.000271964892866662</v>
      </c>
      <c r="I325" s="4" t="n">
        <f aca="false">IF(G325="","",RANK(G325,$G$2:$G$1179,0))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IF(G326="","",G326/SUMIFS($G$2:$G$1179,$F$2:$F$1179,"Served"))</f>
        <v>0.000271450780533136</v>
      </c>
      <c r="I326" s="4" t="n">
        <f aca="false">IF(G326="","",RANK(G326,$G$2:$G$1179,0))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IF(G327="","",G327/SUMIFS($G$2:$G$1179,$F$2:$F$1179,"Served"))</f>
        <v>0.000270723391867818</v>
      </c>
      <c r="I327" s="4" t="n">
        <f aca="false">IF(G327="","",RANK(G327,$G$2:$G$1179,0))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IF(G328="","",G328/SUMIFS($G$2:$G$1179,$F$2:$F$1179,"Served"))</f>
        <v>0.000268671744906826</v>
      </c>
      <c r="I328" s="4" t="n">
        <f aca="false">IF(G328="","",RANK(G328,$G$2:$G$1179,0))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IF(G329="","",G329/SUMIFS($G$2:$G$1179,$F$2:$F$1179,"Served"))</f>
        <v>0.00026589900697829</v>
      </c>
      <c r="I329" s="4" t="n">
        <f aca="false">IF(G329="","",RANK(G329,$G$2:$G$1179,0))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IF(G330="","",G330/SUMIFS($G$2:$G$1179,$F$2:$F$1179,"Served"))</f>
        <v>0.000264592345167872</v>
      </c>
      <c r="I330" s="4" t="n">
        <f aca="false">IF(G330="","",RANK(G330,$G$2:$G$1179,0))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IF(G331="","",G331/SUMIFS($G$2:$G$1179,$F$2:$F$1179,"Served"))</f>
        <v>0.000259482490364913</v>
      </c>
      <c r="I331" s="4" t="n">
        <f aca="false">IF(G331="","",RANK(G331,$G$2:$G$1179,0))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IF(G332="","",G332/SUMIFS($G$2:$G$1179,$F$2:$F$1179,"Served"))</f>
        <v>0.000258763476024164</v>
      </c>
      <c r="I332" s="4" t="n">
        <f aca="false">IF(G332="","",RANK(G332,$G$2:$G$1179,0))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IF(G333="","",G333/SUMIFS($G$2:$G$1179,$F$2:$F$1179,"Served"))</f>
        <v>0.000258425822908262</v>
      </c>
      <c r="I333" s="4" t="n">
        <f aca="false">IF(G333="","",RANK(G333,$G$2:$G$1179,0))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IF(G334="","",G334/SUMIFS($G$2:$G$1179,$F$2:$F$1179,"Served"))</f>
        <v>0.00025709288366048</v>
      </c>
      <c r="I334" s="4" t="n">
        <f aca="false">IF(G334="","",RANK(G334,$G$2:$G$1179,0))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IF(G335="","",G335/SUMIFS($G$2:$G$1179,$F$2:$F$1179,"Served"))</f>
        <v>0.0002558839732768</v>
      </c>
      <c r="I335" s="4" t="n">
        <f aca="false">IF(G335="","",RANK(G335,$G$2:$G$1179,0))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IF(G336="","",G336/SUMIFS($G$2:$G$1179,$F$2:$F$1179,"Served"))</f>
        <v>0.000255160701937678</v>
      </c>
      <c r="I336" s="4" t="n">
        <f aca="false">IF(G336="","",RANK(G336,$G$2:$G$1179,0))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IF(G337="","",G337/SUMIFS($G$2:$G$1179,$F$2:$F$1179,"Served"))</f>
        <v>0.000253857484332741</v>
      </c>
      <c r="I337" s="4" t="n">
        <f aca="false">IF(G337="","",RANK(G337,$G$2:$G$1179,0))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IF(G338="","",G338/SUMIFS($G$2:$G$1179,$F$2:$F$1179,"Served"))</f>
        <v>0.000252890470595725</v>
      </c>
      <c r="I338" s="4" t="n">
        <f aca="false">IF(G338="","",RANK(G338,$G$2:$G$1179,0))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IF(G339="","",G339/SUMIFS($G$2:$G$1179,$F$2:$F$1179,"Served"))</f>
        <v>0.00025237464464629</v>
      </c>
      <c r="I339" s="4" t="n">
        <f aca="false">IF(G339="","",RANK(G339,$G$2:$G$1179,0))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IF(G340="","",G340/SUMIFS($G$2:$G$1179,$F$2:$F$1179,"Served"))</f>
        <v>0.000247916436012463</v>
      </c>
      <c r="I340" s="4" t="n">
        <f aca="false">IF(G340="","",RANK(G340,$G$2:$G$1179,0))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IF(G341="","",G341/SUMIFS($G$2:$G$1179,$F$2:$F$1179,"Served"))</f>
        <v>0.000247643988809089</v>
      </c>
      <c r="I341" s="4" t="n">
        <f aca="false">IF(G341="","",RANK(G341,$G$2:$G$1179,0))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IF(G342="","",G342/SUMIFS($G$2:$G$1179,$F$2:$F$1179,"Served"))</f>
        <v>0.000247144155107827</v>
      </c>
      <c r="I342" s="4" t="n">
        <f aca="false">IF(G342="","",RANK(G342,$G$2:$G$1179,0))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IF(G343="","",G343/SUMIFS($G$2:$G$1179,$F$2:$F$1179,"Served"))</f>
        <v>0.000242576371140695</v>
      </c>
      <c r="I343" s="4" t="n">
        <f aca="false">IF(G343="","",RANK(G343,$G$2:$G$1179,0))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IF(G344="","",G344/SUMIFS($G$2:$G$1179,$F$2:$F$1179,"Served"))</f>
        <v>0.000242162862255455</v>
      </c>
      <c r="I344" s="4" t="n">
        <f aca="false">IF(G344="","",RANK(G344,$G$2:$G$1179,0))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IF(G345="","",G345/SUMIFS($G$2:$G$1179,$F$2:$F$1179,"Served"))</f>
        <v>0.000242008094393232</v>
      </c>
      <c r="I345" s="4" t="n">
        <f aca="false">IF(G345="","",RANK(G345,$G$2:$G$1179,0))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IF(G346="","",G346/SUMIFS($G$2:$G$1179,$F$2:$F$1179,"Served"))</f>
        <v>0.000241757572754322</v>
      </c>
      <c r="I346" s="4" t="n">
        <f aca="false">IF(G346="","",RANK(G346,$G$2:$G$1179,0))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IF(G347="","",G347/SUMIFS($G$2:$G$1179,$F$2:$F$1179,"Served"))</f>
        <v>0.000240304157574349</v>
      </c>
      <c r="I347" s="4" t="n">
        <f aca="false">IF(G347="","",RANK(G347,$G$2:$G$1179,0))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IF(G348="","",G348/SUMIFS($G$2:$G$1179,$F$2:$F$1179,"Served"))</f>
        <v>0.000239660903553275</v>
      </c>
      <c r="I348" s="4" t="n">
        <f aca="false">IF(G348="","",RANK(G348,$G$2:$G$1179,0))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IF(G349="","",G349/SUMIFS($G$2:$G$1179,$F$2:$F$1179,"Served"))</f>
        <v>0.000237337289627364</v>
      </c>
      <c r="I349" s="4" t="n">
        <f aca="false">IF(G349="","",RANK(G349,$G$2:$G$1179,0))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IF(G350="","",G350/SUMIFS($G$2:$G$1179,$F$2:$F$1179,"Served"))</f>
        <v>0.000236776742843409</v>
      </c>
      <c r="I350" s="4" t="n">
        <f aca="false">IF(G350="","",RANK(G350,$G$2:$G$1179,0))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IF(G351="","",G351/SUMIFS($G$2:$G$1179,$F$2:$F$1179,"Served"))</f>
        <v>0.000235932929983716</v>
      </c>
      <c r="I351" s="4" t="n">
        <f aca="false">IF(G351="","",RANK(G351,$G$2:$G$1179,0))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IF(G352="","",G352/SUMIFS($G$2:$G$1179,$F$2:$F$1179,"Served"))</f>
        <v>0.000235197895130155</v>
      </c>
      <c r="I352" s="4" t="n">
        <f aca="false">IF(G352="","",RANK(G352,$G$2:$G$1179,0))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IF(G353="","",G353/SUMIFS($G$2:$G$1179,$F$2:$F$1179,"Served"))</f>
        <v>0.000234417335373507</v>
      </c>
      <c r="I353" s="4" t="n">
        <f aca="false">IF(G353="","",RANK(G353,$G$2:$G$1179,0))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IF(G354="","",G354/SUMIFS($G$2:$G$1179,$F$2:$F$1179,"Served"))</f>
        <v>0.000233061865223598</v>
      </c>
      <c r="I354" s="4" t="n">
        <f aca="false">IF(G354="","",RANK(G354,$G$2:$G$1179,0))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IF(G355="","",G355/SUMIFS($G$2:$G$1179,$F$2:$F$1179,"Served"))</f>
        <v>0.000232523314033337</v>
      </c>
      <c r="I355" s="4" t="n">
        <f aca="false">IF(G355="","",RANK(G355,$G$2:$G$1179,0))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IF(G356="","",G356/SUMIFS($G$2:$G$1179,$F$2:$F$1179,"Served"))</f>
        <v>0.000232119123519576</v>
      </c>
      <c r="I356" s="4" t="n">
        <f aca="false">IF(G356="","",RANK(G356,$G$2:$G$1179,0))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IF(G357="","",G357/SUMIFS($G$2:$G$1179,$F$2:$F$1179,"Served"))</f>
        <v>0.000231875673230617</v>
      </c>
      <c r="I357" s="4" t="n">
        <f aca="false">IF(G357="","",RANK(G357,$G$2:$G$1179,0))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IF(G358="","",G358/SUMIFS($G$2:$G$1179,$F$2:$F$1179,"Served"))</f>
        <v>0.000231554340064438</v>
      </c>
      <c r="I358" s="4" t="n">
        <f aca="false">IF(G358="","",RANK(G358,$G$2:$G$1179,0))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IF(G359="","",G359/SUMIFS($G$2:$G$1179,$F$2:$F$1179,"Served"))</f>
        <v>0.000228642144882831</v>
      </c>
      <c r="I359" s="4" t="n">
        <f aca="false">IF(G359="","",RANK(G359,$G$2:$G$1179,0))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IF(G360="","",G360/SUMIFS($G$2:$G$1179,$F$2:$F$1179,"Served"))</f>
        <v>0.000227943199948504</v>
      </c>
      <c r="I360" s="4" t="n">
        <f aca="false">IF(G360="","",RANK(G360,$G$2:$G$1179,0))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IF(G361="","",G361/SUMIFS($G$2:$G$1179,$F$2:$F$1179,"Served"))</f>
        <v>0.000227363907695158</v>
      </c>
      <c r="I361" s="4" t="n">
        <f aca="false">IF(G361="","",RANK(G361,$G$2:$G$1179,0))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IF(G362="","",G362/SUMIFS($G$2:$G$1179,$F$2:$F$1179,"Served"))</f>
        <v>0.000225798760511051</v>
      </c>
      <c r="I362" s="4" t="n">
        <f aca="false">IF(G362="","",RANK(G362,$G$2:$G$1179,0))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IF(G363="","",G363/SUMIFS($G$2:$G$1179,$F$2:$F$1179,"Served"))</f>
        <v>0.000224357553780358</v>
      </c>
      <c r="I363" s="4" t="n">
        <f aca="false">IF(G363="","",RANK(G363,$G$2:$G$1179,0))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IF(G364="","",G364/SUMIFS($G$2:$G$1179,$F$2:$F$1179,"Served"))</f>
        <v>0.000223478866850118</v>
      </c>
      <c r="I364" s="4" t="n">
        <f aca="false">IF(G364="","",RANK(G364,$G$2:$G$1179,0))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IF(G365="","",G365/SUMIFS($G$2:$G$1179,$F$2:$F$1179,"Served"))</f>
        <v>0.000222691240888266</v>
      </c>
      <c r="I365" s="4" t="n">
        <f aca="false">IF(G365="","",RANK(G365,$G$2:$G$1179,0))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IF(G366="","",G366/SUMIFS($G$2:$G$1179,$F$2:$F$1179,"Served"))</f>
        <v>0.000221334850973054</v>
      </c>
      <c r="I366" s="4" t="n">
        <f aca="false">IF(G366="","",RANK(G366,$G$2:$G$1179,0))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IF(G367="","",G367/SUMIFS($G$2:$G$1179,$F$2:$F$1179,"Served"))</f>
        <v>0.000221161788731095</v>
      </c>
      <c r="I367" s="4" t="n">
        <f aca="false">IF(G367="","",RANK(G367,$G$2:$G$1179,0))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IF(G368="","",G368/SUMIFS($G$2:$G$1179,$F$2:$F$1179,"Served"))</f>
        <v>0.000218658507697112</v>
      </c>
      <c r="I368" s="4" t="n">
        <f aca="false">IF(G368="","",RANK(G368,$G$2:$G$1179,0))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IF(G369="","",G369/SUMIFS($G$2:$G$1179,$F$2:$F$1179,"Served"))</f>
        <v>0.000217392904702336</v>
      </c>
      <c r="I369" s="4" t="n">
        <f aca="false">IF(G369="","",RANK(G369,$G$2:$G$1179,0))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IF(G370="","",G370/SUMIFS($G$2:$G$1179,$F$2:$F$1179,"Served"))</f>
        <v>0.000217181304067546</v>
      </c>
      <c r="I370" s="4" t="n">
        <f aca="false">IF(G370="","",RANK(G370,$G$2:$G$1179,0))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IF(G371="","",G371/SUMIFS($G$2:$G$1179,$F$2:$F$1179,"Served"))</f>
        <v>0.000215672224447739</v>
      </c>
      <c r="I371" s="4" t="n">
        <f aca="false">IF(G371="","",RANK(G371,$G$2:$G$1179,0))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IF(G372="","",G372/SUMIFS($G$2:$G$1179,$F$2:$F$1179,"Served"))</f>
        <v>0.000215129262096939</v>
      </c>
      <c r="I372" s="4" t="n">
        <f aca="false">IF(G372="","",RANK(G372,$G$2:$G$1179,0))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IF(G373="","",G373/SUMIFS($G$2:$G$1179,$F$2:$F$1179,"Served"))</f>
        <v>0.000214562516212384</v>
      </c>
      <c r="I373" s="4" t="n">
        <f aca="false">IF(G373="","",RANK(G373,$G$2:$G$1179,0))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IF(G374="","",G374/SUMIFS($G$2:$G$1179,$F$2:$F$1179,"Served"))</f>
        <v>0.000213411699087369</v>
      </c>
      <c r="I374" s="4" t="n">
        <f aca="false">IF(G374="","",RANK(G374,$G$2:$G$1179,0))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IF(G375="","",G375/SUMIFS($G$2:$G$1179,$F$2:$F$1179,"Served"))</f>
        <v>0.000211900752204533</v>
      </c>
      <c r="I375" s="4" t="n">
        <f aca="false">IF(G375="","",RANK(G375,$G$2:$G$1179,0))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IF(G376="","",G376/SUMIFS($G$2:$G$1179,$F$2:$F$1179,"Served"))</f>
        <v>0.000211823972641078</v>
      </c>
      <c r="I376" s="4" t="n">
        <f aca="false">IF(G376="","",RANK(G376,$G$2:$G$1179,0))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IF(G377="","",G377/SUMIFS($G$2:$G$1179,$F$2:$F$1179,"Served"))</f>
        <v>0.000208962931357576</v>
      </c>
      <c r="I377" s="4" t="n">
        <f aca="false">IF(G377="","",RANK(G377,$G$2:$G$1179,0))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IF(G378="","",G378/SUMIFS($G$2:$G$1179,$F$2:$F$1179,"Served"))</f>
        <v>0.000208466268260216</v>
      </c>
      <c r="I378" s="4" t="n">
        <f aca="false">IF(G378="","",RANK(G378,$G$2:$G$1179,0))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IF(G379="","",G379/SUMIFS($G$2:$G$1179,$F$2:$F$1179,"Served"))</f>
        <v>0.000208339097929567</v>
      </c>
      <c r="I379" s="4" t="n">
        <f aca="false">IF(G379="","",RANK(G379,$G$2:$G$1179,0))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IF(G380="","",G380/SUMIFS($G$2:$G$1179,$F$2:$F$1179,"Served"))</f>
        <v>0.000207616202660635</v>
      </c>
      <c r="I380" s="4" t="n">
        <f aca="false">IF(G380="","",RANK(G380,$G$2:$G$1179,0))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IF(G381="","",G381/SUMIFS($G$2:$G$1179,$F$2:$F$1179,"Served"))</f>
        <v>0.000207306208023542</v>
      </c>
      <c r="I381" s="4" t="n">
        <f aca="false">IF(G381="","",RANK(G381,$G$2:$G$1179,0))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IF(G382="","",G382/SUMIFS($G$2:$G$1179,$F$2:$F$1179,"Served"))</f>
        <v>0.000206877845785061</v>
      </c>
      <c r="I382" s="4" t="n">
        <f aca="false">IF(G382="","",RANK(G382,$G$2:$G$1179,0))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IF(G383="","",G383/SUMIFS($G$2:$G$1179,$F$2:$F$1179,"Served"))</f>
        <v>0.000206568866022433</v>
      </c>
      <c r="I383" s="4" t="n">
        <f aca="false">IF(G383="","",RANK(G383,$G$2:$G$1179,0))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IF(G384="","",G384/SUMIFS($G$2:$G$1179,$F$2:$F$1179,"Served"))</f>
        <v>0.000205729434358987</v>
      </c>
      <c r="I384" s="4" t="n">
        <f aca="false">IF(G384="","",RANK(G384,$G$2:$G$1179,0))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IF(G385="","",G385/SUMIFS($G$2:$G$1179,$F$2:$F$1179,"Served"))</f>
        <v>0.000203960020850173</v>
      </c>
      <c r="I385" s="4" t="n">
        <f aca="false">IF(G385="","",RANK(G385,$G$2:$G$1179,0))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IF(G386="","",G386/SUMIFS($G$2:$G$1179,$F$2:$F$1179,"Served"))</f>
        <v>0.000202979841162793</v>
      </c>
      <c r="I386" s="4" t="n">
        <f aca="false">IF(G386="","",RANK(G386,$G$2:$G$1179,0))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IF(G387="","",G387/SUMIFS($G$2:$G$1179,$F$2:$F$1179,"Served"))</f>
        <v>0.000201984735288795</v>
      </c>
      <c r="I387" s="4" t="n">
        <f aca="false">IF(G387="","",RANK(G387,$G$2:$G$1179,0))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IF(G388="","",G388/SUMIFS($G$2:$G$1179,$F$2:$F$1179,"Served"))</f>
        <v>0.000201896902297688</v>
      </c>
      <c r="I388" s="4" t="n">
        <f aca="false">IF(G388="","",RANK(G388,$G$2:$G$1179,0))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IF(G389="","",G389/SUMIFS($G$2:$G$1179,$F$2:$F$1179,"Served"))</f>
        <v>0.000200961636807798</v>
      </c>
      <c r="I389" s="4" t="n">
        <f aca="false">IF(G389="","",RANK(G389,$G$2:$G$1179,0))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IF(G390="","",G390/SUMIFS($G$2:$G$1179,$F$2:$F$1179,"Served"))</f>
        <v>0.000200054394415694</v>
      </c>
      <c r="I390" s="4" t="n">
        <f aca="false">IF(G390="","",RANK(G390,$G$2:$G$1179,0))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IF(G391="","",G391/SUMIFS($G$2:$G$1179,$F$2:$F$1179,"Served"))</f>
        <v>0.000197596187252372</v>
      </c>
      <c r="I391" s="4" t="n">
        <f aca="false">IF(G391="","",RANK(G391,$G$2:$G$1179,0))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IF(G392="","",G392/SUMIFS($G$2:$G$1179,$F$2:$F$1179,"Served"))</f>
        <v>0.000197460372183146</v>
      </c>
      <c r="I392" s="4" t="n">
        <f aca="false">IF(G392="","",RANK(G392,$G$2:$G$1179,0))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IF(G393="","",G393/SUMIFS($G$2:$G$1179,$F$2:$F$1179,"Served"))</f>
        <v>0.000197368950252614</v>
      </c>
      <c r="I393" s="4" t="n">
        <f aca="false">IF(G393="","",RANK(G393,$G$2:$G$1179,0))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IF(G394="","",G394/SUMIFS($G$2:$G$1179,$F$2:$F$1179,"Served"))</f>
        <v>0.000196992439898281</v>
      </c>
      <c r="I394" s="4" t="n">
        <f aca="false">IF(G394="","",RANK(G394,$G$2:$G$1179,0))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IF(G395="","",G395/SUMIFS($G$2:$G$1179,$F$2:$F$1179,"Served"))</f>
        <v>0.000195750268837529</v>
      </c>
      <c r="I395" s="4" t="n">
        <f aca="false">IF(G395="","",RANK(G395,$G$2:$G$1179,0))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IF(G396="","",G396/SUMIFS($G$2:$G$1179,$F$2:$F$1179,"Served"))</f>
        <v>0.000193909541335848</v>
      </c>
      <c r="I396" s="4" t="n">
        <f aca="false">IF(G396="","",RANK(G396,$G$2:$G$1179,0))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IF(G397="","",G397/SUMIFS($G$2:$G$1179,$F$2:$F$1179,"Served"))</f>
        <v>0.000190091135882093</v>
      </c>
      <c r="I397" s="4" t="n">
        <f aca="false">IF(G397="","",RANK(G397,$G$2:$G$1179,0))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IF(G398="","",G398/SUMIFS($G$2:$G$1179,$F$2:$F$1179,"Served"))</f>
        <v>0.000189901729909545</v>
      </c>
      <c r="I398" s="4" t="n">
        <f aca="false">IF(G398="","",RANK(G398,$G$2:$G$1179,0))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IF(G399="","",G399/SUMIFS($G$2:$G$1179,$F$2:$F$1179,"Served"))</f>
        <v>0.000189827766254255</v>
      </c>
      <c r="I399" s="4" t="n">
        <f aca="false">IF(G399="","",RANK(G399,$G$2:$G$1179,0))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IF(G400="","",G400/SUMIFS($G$2:$G$1179,$F$2:$F$1179,"Served"))</f>
        <v>0.000189378865724823</v>
      </c>
      <c r="I400" s="4" t="n">
        <f aca="false">IF(G400="","",RANK(G400,$G$2:$G$1179,0))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IF(G401="","",G401/SUMIFS($G$2:$G$1179,$F$2:$F$1179,"Served"))</f>
        <v>0.000188901100662374</v>
      </c>
      <c r="I401" s="4" t="n">
        <f aca="false">IF(G401="","",RANK(G401,$G$2:$G$1179,0))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IF(G402="","",G402/SUMIFS($G$2:$G$1179,$F$2:$F$1179,"Served"))</f>
        <v>0.000184881297919181</v>
      </c>
      <c r="I402" s="4" t="n">
        <f aca="false">IF(G402="","",RANK(G402,$G$2:$G$1179,0))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IF(G403="","",G403/SUMIFS($G$2:$G$1179,$F$2:$F$1179,"Served"))</f>
        <v>0.000181351142442608</v>
      </c>
      <c r="I403" s="4" t="n">
        <f aca="false">IF(G403="","",RANK(G403,$G$2:$G$1179,0))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IF(G404="","",G404/SUMIFS($G$2:$G$1179,$F$2:$F$1179,"Served"))</f>
        <v>0.000181288031518303</v>
      </c>
      <c r="I404" s="4" t="n">
        <f aca="false">IF(G404="","",RANK(G404,$G$2:$G$1179,0))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IF(G405="","",G405/SUMIFS($G$2:$G$1179,$F$2:$F$1179,"Served"))</f>
        <v>0.000174819981872102</v>
      </c>
      <c r="I405" s="4" t="n">
        <f aca="false">IF(G405="","",RANK(G405,$G$2:$G$1179,0))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IF(G406="","",G406/SUMIFS($G$2:$G$1179,$F$2:$F$1179,"Served"))</f>
        <v>0.00017456357077602</v>
      </c>
      <c r="I406" s="4" t="n">
        <f aca="false">IF(G406="","",RANK(G406,$G$2:$G$1179,0))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IF(G407="","",G407/SUMIFS($G$2:$G$1179,$F$2:$F$1179,"Served"))</f>
        <v>0.000174005115386402</v>
      </c>
      <c r="I407" s="4" t="n">
        <f aca="false">IF(G407="","",RANK(G407,$G$2:$G$1179,0))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IF(G408="","",G408/SUMIFS($G$2:$G$1179,$F$2:$F$1179,"Served"))</f>
        <v>0.000173418747657007</v>
      </c>
      <c r="I408" s="4" t="n">
        <f aca="false">IF(G408="","",RANK(G408,$G$2:$G$1179,0))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IF(G409="","",G409/SUMIFS($G$2:$G$1179,$F$2:$F$1179,"Served"))</f>
        <v>0.000173024313064363</v>
      </c>
      <c r="I409" s="4" t="n">
        <f aca="false">IF(G409="","",RANK(G409,$G$2:$G$1179,0))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IF(G410="","",G410/SUMIFS($G$2:$G$1179,$F$2:$F$1179,"Served"))</f>
        <v>0.000170453553521378</v>
      </c>
      <c r="I410" s="4" t="n">
        <f aca="false">IF(G410="","",RANK(G410,$G$2:$G$1179,0))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IF(G411="","",G411/SUMIFS($G$2:$G$1179,$F$2:$F$1179,"Served"))</f>
        <v>0.000169597265046053</v>
      </c>
      <c r="I411" s="4" t="n">
        <f aca="false">IF(G411="","",RANK(G411,$G$2:$G$1179,0))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IF(G412="","",G412/SUMIFS($G$2:$G$1179,$F$2:$F$1179,"Served"))</f>
        <v>0.000167518657017158</v>
      </c>
      <c r="I412" s="4" t="n">
        <f aca="false">IF(G412="","",RANK(G412,$G$2:$G$1179,0))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IF(G413="","",G413/SUMIFS($G$2:$G$1179,$F$2:$F$1179,"Served"))</f>
        <v>0.000166762683440731</v>
      </c>
      <c r="I413" s="4" t="n">
        <f aca="false">IF(G413="","",RANK(G413,$G$2:$G$1179,0))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IF(G414="","",G414/SUMIFS($G$2:$G$1179,$F$2:$F$1179,"Served"))</f>
        <v>0.000165826877380346</v>
      </c>
      <c r="I414" s="4" t="n">
        <f aca="false">IF(G414="","",RANK(G414,$G$2:$G$1179,0))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IF(G415="","",G415/SUMIFS($G$2:$G$1179,$F$2:$F$1179,"Served"))</f>
        <v>0.000161412160326823</v>
      </c>
      <c r="I415" s="4" t="n">
        <f aca="false">IF(G415="","",RANK(G415,$G$2:$G$1179,0))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IF(G416="","",G416/SUMIFS($G$2:$G$1179,$F$2:$F$1179,"Served"))</f>
        <v>0.000161257757713079</v>
      </c>
      <c r="I416" s="4" t="n">
        <f aca="false">IF(G416="","",RANK(G416,$G$2:$G$1179,0))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IF(G417="","",G417/SUMIFS($G$2:$G$1179,$F$2:$F$1179,"Served"))</f>
        <v>0.000159884369628463</v>
      </c>
      <c r="I417" s="4" t="n">
        <f aca="false">IF(G417="","",RANK(G417,$G$2:$G$1179,0))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IF(G418="","",G418/SUMIFS($G$2:$G$1179,$F$2:$F$1179,"Served"))</f>
        <v>0.000159020900887904</v>
      </c>
      <c r="I418" s="4" t="n">
        <f aca="false">IF(G418="","",RANK(G418,$G$2:$G$1179,0))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IF(G419="","",G419/SUMIFS($G$2:$G$1179,$F$2:$F$1179,"Served"))</f>
        <v>0.000157533298318142</v>
      </c>
      <c r="I419" s="4" t="n">
        <f aca="false">IF(G419="","",RANK(G419,$G$2:$G$1179,0))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IF(G420="","",G420/SUMIFS($G$2:$G$1179,$F$2:$F$1179,"Served"))</f>
        <v>0.000155782772403092</v>
      </c>
      <c r="I420" s="4" t="n">
        <f aca="false">IF(G420="","",RANK(G420,$G$2:$G$1179,0))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IF(G421="","",G421/SUMIFS($G$2:$G$1179,$F$2:$F$1179,"Served"))</f>
        <v>0.000154983788068535</v>
      </c>
      <c r="I421" s="4" t="n">
        <f aca="false">IF(G421="","",RANK(G421,$G$2:$G$1179,0))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IF(G422="","",G422/SUMIFS($G$2:$G$1179,$F$2:$F$1179,"Served"))</f>
        <v>0.000154289906913729</v>
      </c>
      <c r="I422" s="4" t="n">
        <f aca="false">IF(G422="","",RANK(G422,$G$2:$G$1179,0))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IF(G423="","",G423/SUMIFS($G$2:$G$1179,$F$2:$F$1179,"Served"))</f>
        <v>0.000153744733557497</v>
      </c>
      <c r="I423" s="4" t="n">
        <f aca="false">IF(G423="","",RANK(G423,$G$2:$G$1179,0))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IF(G424="","",G424/SUMIFS($G$2:$G$1179,$F$2:$F$1179,"Served"))</f>
        <v>0.000152686740418377</v>
      </c>
      <c r="I424" s="4" t="n">
        <f aca="false">IF(G424="","",RANK(G424,$G$2:$G$1179,0))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IF(G425="","",G425/SUMIFS($G$2:$G$1179,$F$2:$F$1179,"Served"))</f>
        <v>0.00015211403584288</v>
      </c>
      <c r="I425" s="4" t="n">
        <f aca="false">IF(G425="","",RANK(G425,$G$2:$G$1179,0))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IF(G426="","",G426/SUMIFS($G$2:$G$1179,$F$2:$F$1179,"Served"))</f>
        <v>0.000152094027755671</v>
      </c>
      <c r="I426" s="4" t="n">
        <f aca="false">IF(G426="","",RANK(G426,$G$2:$G$1179,0))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IF(G427="","",G427/SUMIFS($G$2:$G$1179,$F$2:$F$1179,"Served"))</f>
        <v>0.000151458287135125</v>
      </c>
      <c r="I427" s="4" t="n">
        <f aca="false">IF(G427="","",RANK(G427,$G$2:$G$1179,0))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IF(G428="","",G428/SUMIFS($G$2:$G$1179,$F$2:$F$1179,"Served"))</f>
        <v>0.0001507700244369</v>
      </c>
      <c r="I428" s="4" t="n">
        <f aca="false">IF(G428="","",RANK(G428,$G$2:$G$1179,0))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IF(G429="","",G429/SUMIFS($G$2:$G$1179,$F$2:$F$1179,"Served"))</f>
        <v>0.000149950005646537</v>
      </c>
      <c r="I429" s="4" t="n">
        <f aca="false">IF(G429="","",RANK(G429,$G$2:$G$1179,0))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IF(G430="","",G430/SUMIFS($G$2:$G$1179,$F$2:$F$1179,"Served"))</f>
        <v>0.000149134105292582</v>
      </c>
      <c r="I430" s="4" t="n">
        <f aca="false">IF(G430="","",RANK(G430,$G$2:$G$1179,0))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IF(G431="","",G431/SUMIFS($G$2:$G$1179,$F$2:$F$1179,"Served"))</f>
        <v>0.000146178771852948</v>
      </c>
      <c r="I431" s="4" t="n">
        <f aca="false">IF(G431="","",RANK(G431,$G$2:$G$1179,0))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IF(G432="","",G432/SUMIFS($G$2:$G$1179,$F$2:$F$1179,"Served"))</f>
        <v>0.000146135606308873</v>
      </c>
      <c r="I432" s="4" t="n">
        <f aca="false">IF(G432="","",RANK(G432,$G$2:$G$1179,0))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IF(G433="","",G433/SUMIFS($G$2:$G$1179,$F$2:$F$1179,"Served"))</f>
        <v>0.000145135946468958</v>
      </c>
      <c r="I433" s="4" t="n">
        <f aca="false">IF(G433="","",RANK(G433,$G$2:$G$1179,0))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IF(G434="","",G434/SUMIFS($G$2:$G$1179,$F$2:$F$1179,"Served"))</f>
        <v>0.00014406197331117</v>
      </c>
      <c r="I434" s="4" t="n">
        <f aca="false">IF(G434="","",RANK(G434,$G$2:$G$1179,0))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IF(G435="","",G435/SUMIFS($G$2:$G$1179,$F$2:$F$1179,"Served"))</f>
        <v>0.000142968073758358</v>
      </c>
      <c r="I435" s="4" t="n">
        <f aca="false">IF(G435="","",RANK(G435,$G$2:$G$1179,0))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IF(G436="","",G436/SUMIFS($G$2:$G$1179,$F$2:$F$1179,"Served"))</f>
        <v>0.00014254055387647</v>
      </c>
      <c r="I436" s="4" t="n">
        <f aca="false">IF(G436="","",RANK(G436,$G$2:$G$1179,0))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IF(G437="","",G437/SUMIFS($G$2:$G$1179,$F$2:$F$1179,"Served"))</f>
        <v>0.000142452665529251</v>
      </c>
      <c r="I437" s="4" t="n">
        <f aca="false">IF(G437="","",RANK(G437,$G$2:$G$1179,0))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IF(G438="","",G438/SUMIFS($G$2:$G$1179,$F$2:$F$1179,"Served"))</f>
        <v>0.000140871783577575</v>
      </c>
      <c r="I438" s="4" t="n">
        <f aca="false">IF(G438="","",RANK(G438,$G$2:$G$1179,0))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IF(G439="","",G439/SUMIFS($G$2:$G$1179,$F$2:$F$1179,"Served"))</f>
        <v>0.000140449464463417</v>
      </c>
      <c r="I439" s="4" t="n">
        <f aca="false">IF(G439="","",RANK(G439,$G$2:$G$1179,0))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IF(G440="","",G440/SUMIFS($G$2:$G$1179,$F$2:$F$1179,"Served"))</f>
        <v>0.00013951535952905</v>
      </c>
      <c r="I440" s="4" t="n">
        <f aca="false">IF(G440="","",RANK(G440,$G$2:$G$1179,0))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IF(G441="","",G441/SUMIFS($G$2:$G$1179,$F$2:$F$1179,"Served"))</f>
        <v>0.000138339985123676</v>
      </c>
      <c r="I441" s="4" t="n">
        <f aca="false">IF(G441="","",RANK(G441,$G$2:$G$1179,0))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IF(G442="","",G442/SUMIFS($G$2:$G$1179,$F$2:$F$1179,"Served"))</f>
        <v>0.000138113609522945</v>
      </c>
      <c r="I442" s="4" t="n">
        <f aca="false">IF(G442="","",RANK(G442,$G$2:$G$1179,0))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IF(G443="","",G443/SUMIFS($G$2:$G$1179,$F$2:$F$1179,"Served"))</f>
        <v>0.000137855431014289</v>
      </c>
      <c r="I443" s="4" t="n">
        <f aca="false">IF(G443="","",RANK(G443,$G$2:$G$1179,0))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IF(G444="","",G444/SUMIFS($G$2:$G$1179,$F$2:$F$1179,"Served"))</f>
        <v>0.000136442900109095</v>
      </c>
      <c r="I444" s="4" t="n">
        <f aca="false">IF(G444="","",RANK(G444,$G$2:$G$1179,0))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IF(G445="","",G445/SUMIFS($G$2:$G$1179,$F$2:$F$1179,"Served"))</f>
        <v>0.000136149410875862</v>
      </c>
      <c r="I445" s="4" t="n">
        <f aca="false">IF(G445="","",RANK(G445,$G$2:$G$1179,0))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IF(G446="","",G446/SUMIFS($G$2:$G$1179,$F$2:$F$1179,"Served"))</f>
        <v>0.000135782996204879</v>
      </c>
      <c r="I446" s="4" t="n">
        <f aca="false">IF(G446="","",RANK(G446,$G$2:$G$1179,0))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IF(G447="","",G447/SUMIFS($G$2:$G$1179,$F$2:$F$1179,"Served"))</f>
        <v>0.000133902745291464</v>
      </c>
      <c r="I447" s="4" t="n">
        <f aca="false">IF(G447="","",RANK(G447,$G$2:$G$1179,0))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IF(G448="","",G448/SUMIFS($G$2:$G$1179,$F$2:$F$1179,"Served"))</f>
        <v>0.000133166573082388</v>
      </c>
      <c r="I448" s="4" t="n">
        <f aca="false">IF(G448="","",RANK(G448,$G$2:$G$1179,0))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IF(G449="","",G449/SUMIFS($G$2:$G$1179,$F$2:$F$1179,"Served"))</f>
        <v>0.000131150111240304</v>
      </c>
      <c r="I449" s="4" t="n">
        <f aca="false">IF(G449="","",RANK(G449,$G$2:$G$1179,0))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IF(G450="","",G450/SUMIFS($G$2:$G$1179,$F$2:$F$1179,"Served"))</f>
        <v>0.000130245384492517</v>
      </c>
      <c r="I450" s="4" t="n">
        <f aca="false">IF(G450="","",RANK(G450,$G$2:$G$1179,0))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IF(G451="","",G451/SUMIFS($G$2:$G$1179,$F$2:$F$1179,"Served"))</f>
        <v>0.000129728276261911</v>
      </c>
      <c r="I451" s="4" t="n">
        <f aca="false">IF(G451="","",RANK(G451,$G$2:$G$1179,0))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IF(G452="","",G452/SUMIFS($G$2:$G$1179,$F$2:$F$1179,"Served"))</f>
        <v>0.00012893314778133</v>
      </c>
      <c r="I452" s="4" t="n">
        <f aca="false">IF(G452="","",RANK(G452,$G$2:$G$1179,0))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IF(G453="","",G453/SUMIFS($G$2:$G$1179,$F$2:$F$1179,"Served"))</f>
        <v>0.000128224988171664</v>
      </c>
      <c r="I453" s="4" t="n">
        <f aca="false">IF(G453="","",RANK(G453,$G$2:$G$1179,0))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IF(G454="","",G454/SUMIFS($G$2:$G$1179,$F$2:$F$1179,"Served"))</f>
        <v>0.000127262144235554</v>
      </c>
      <c r="I454" s="4" t="n">
        <f aca="false">IF(G454="","",RANK(G454,$G$2:$G$1179,0))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IF(G455="","",G455/SUMIFS($G$2:$G$1179,$F$2:$F$1179,"Served"))</f>
        <v>0.00012436908969605</v>
      </c>
      <c r="I455" s="4" t="n">
        <f aca="false">IF(G455="","",RANK(G455,$G$2:$G$1179,0))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IF(G456="","",G456/SUMIFS($G$2:$G$1179,$F$2:$F$1179,"Served"))</f>
        <v>0.000124258424960971</v>
      </c>
      <c r="I456" s="4" t="n">
        <f aca="false">IF(G456="","",RANK(G456,$G$2:$G$1179,0))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IF(G457="","",G457/SUMIFS($G$2:$G$1179,$F$2:$F$1179,"Served"))</f>
        <v>0.000122762258420595</v>
      </c>
      <c r="I457" s="4" t="n">
        <f aca="false">IF(G457="","",RANK(G457,$G$2:$G$1179,0))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IF(G458="","",G458/SUMIFS($G$2:$G$1179,$F$2:$F$1179,"Served"))</f>
        <v>0.000122548998979485</v>
      </c>
      <c r="I458" s="4" t="n">
        <f aca="false">IF(G458="","",RANK(G458,$G$2:$G$1179,0))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IF(G459="","",G459/SUMIFS($G$2:$G$1179,$F$2:$F$1179,"Served"))</f>
        <v>0.000119128581405097</v>
      </c>
      <c r="I459" s="4" t="n">
        <f aca="false">IF(G459="","",RANK(G459,$G$2:$G$1179,0))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IF(G460="","",G460/SUMIFS($G$2:$G$1179,$F$2:$F$1179,"Served"))</f>
        <v>0.000118643552387991</v>
      </c>
      <c r="I460" s="4" t="n">
        <f aca="false">IF(G460="","",RANK(G460,$G$2:$G$1179,0))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IF(G461="","",G461/SUMIFS($G$2:$G$1179,$F$2:$F$1179,"Served"))</f>
        <v>0.000117474514806799</v>
      </c>
      <c r="I461" s="4" t="n">
        <f aca="false">IF(G461="","",RANK(G461,$G$2:$G$1179,0))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IF(G462="","",G462/SUMIFS($G$2:$G$1179,$F$2:$F$1179,"Served"))</f>
        <v>0.00011663332025747</v>
      </c>
      <c r="I462" s="4" t="n">
        <f aca="false">IF(G462="","",RANK(G462,$G$2:$G$1179,0))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IF(G463="","",G463/SUMIFS($G$2:$G$1179,$F$2:$F$1179,"Served"))</f>
        <v>0.000115181534543302</v>
      </c>
      <c r="I463" s="4" t="n">
        <f aca="false">IF(G463="","",RANK(G463,$G$2:$G$1179,0))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IF(G464="","",G464/SUMIFS($G$2:$G$1179,$F$2:$F$1179,"Served"))</f>
        <v>0.000114924890345508</v>
      </c>
      <c r="I464" s="4" t="n">
        <f aca="false">IF(G464="","",RANK(G464,$G$2:$G$1179,0))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IF(G465="","",G465/SUMIFS($G$2:$G$1179,$F$2:$F$1179,"Served"))</f>
        <v>0.00011365862747531</v>
      </c>
      <c r="I465" s="4" t="n">
        <f aca="false">IF(G465="","",RANK(G465,$G$2:$G$1179,0))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IF(G466="","",G466/SUMIFS($G$2:$G$1179,$F$2:$F$1179,"Served"))</f>
        <v>0.000112227779585538</v>
      </c>
      <c r="I466" s="4" t="n">
        <f aca="false">IF(G466="","",RANK(G466,$G$2:$G$1179,0))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IF(G467="","",G467/SUMIFS($G$2:$G$1179,$F$2:$F$1179,"Served"))</f>
        <v>0.00011221942923641</v>
      </c>
      <c r="I467" s="4" t="n">
        <f aca="false">IF(G467="","",RANK(G467,$G$2:$G$1179,0))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IF(G468="","",G468/SUMIFS($G$2:$G$1179,$F$2:$F$1179,"Served"))</f>
        <v>0.000111215194081875</v>
      </c>
      <c r="I468" s="4" t="n">
        <f aca="false">IF(G468="","",RANK(G468,$G$2:$G$1179,0))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IF(G469="","",G469/SUMIFS($G$2:$G$1179,$F$2:$F$1179,"Served"))</f>
        <v>0.000110037620185233</v>
      </c>
      <c r="I469" s="4" t="n">
        <f aca="false">IF(G469="","",RANK(G469,$G$2:$G$1179,0))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IF(G470="","",G470/SUMIFS($G$2:$G$1179,$F$2:$F$1179,"Served"))</f>
        <v>0.000108706766237065</v>
      </c>
      <c r="I470" s="4" t="n">
        <f aca="false">IF(G470="","",RANK(G470,$G$2:$G$1179,0))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IF(G471="","",G471/SUMIFS($G$2:$G$1179,$F$2:$F$1179,"Served"))</f>
        <v>0.000107824768241007</v>
      </c>
      <c r="I471" s="4" t="n">
        <f aca="false">IF(G471="","",RANK(G471,$G$2:$G$1179,0))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IF(G472="","",G472/SUMIFS($G$2:$G$1179,$F$2:$F$1179,"Served"))</f>
        <v>0.000107365839181774</v>
      </c>
      <c r="I472" s="4" t="n">
        <f aca="false">IF(G472="","",RANK(G472,$G$2:$G$1179,0))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IF(G473="","",G473/SUMIFS($G$2:$G$1179,$F$2:$F$1179,"Served"))</f>
        <v>0.000105750185714003</v>
      </c>
      <c r="I473" s="4" t="n">
        <f aca="false">IF(G473="","",RANK(G473,$G$2:$G$1179,0))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IF(G474="","",G474/SUMIFS($G$2:$G$1179,$F$2:$F$1179,"Served"))</f>
        <v>0.000105384755120533</v>
      </c>
      <c r="I474" s="4" t="n">
        <f aca="false">IF(G474="","",RANK(G474,$G$2:$G$1179,0))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IF(G475="","",G475/SUMIFS($G$2:$G$1179,$F$2:$F$1179,"Served"))</f>
        <v>0.000103876167482254</v>
      </c>
      <c r="I475" s="4" t="n">
        <f aca="false">IF(G475="","",RANK(G475,$G$2:$G$1179,0))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IF(G476="","",G476/SUMIFS($G$2:$G$1179,$F$2:$F$1179,"Served"))</f>
        <v>0.000103279735796406</v>
      </c>
      <c r="I476" s="4" t="n">
        <f aca="false">IF(G476="","",RANK(G476,$G$2:$G$1179,0))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IF(G477="","",G477/SUMIFS($G$2:$G$1179,$F$2:$F$1179,"Served"))</f>
        <v>0.000102720451015074</v>
      </c>
      <c r="I477" s="4" t="n">
        <f aca="false">IF(G477="","",RANK(G477,$G$2:$G$1179,0))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IF(G478="","",G478/SUMIFS($G$2:$G$1179,$F$2:$F$1179,"Served"))</f>
        <v>0.000101527434325315</v>
      </c>
      <c r="I478" s="4" t="n">
        <f aca="false">IF(G478="","",RANK(G478,$G$2:$G$1179,0))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IF(G479="","",G479/SUMIFS($G$2:$G$1179,$F$2:$F$1179,"Served"))</f>
        <v>0.000101460405812922</v>
      </c>
      <c r="I479" s="4" t="n">
        <f aca="false">IF(G479="","",RANK(G479,$G$2:$G$1179,0))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IF(G480="","",G480/SUMIFS($G$2:$G$1179,$F$2:$F$1179,"Served"))</f>
        <v>0.000100144438902072</v>
      </c>
      <c r="I480" s="4" t="n">
        <f aca="false">IF(G480="","",RANK(G480,$G$2:$G$1179,0))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IF(G481="","",G481/SUMIFS($G$2:$G$1179,$F$2:$F$1179,"Served"))</f>
        <v>9.88093469807971E-005</v>
      </c>
      <c r="I481" s="4" t="n">
        <f aca="false">IF(G481="","",RANK(G481,$G$2:$G$1179,0))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IF(G482="","",G482/SUMIFS($G$2:$G$1179,$F$2:$F$1179,"Served"))</f>
        <v>9.68752810213051E-005</v>
      </c>
      <c r="I482" s="4" t="n">
        <f aca="false">IF(G482="","",RANK(G482,$G$2:$G$1179,0))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IF(G483="","",G483/SUMIFS($G$2:$G$1179,$F$2:$F$1179,"Served"))</f>
        <v>9.66801530877468E-005</v>
      </c>
      <c r="I483" s="4" t="n">
        <f aca="false">IF(G483="","",RANK(G483,$G$2:$G$1179,0))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IF(G484="","",G484/SUMIFS($G$2:$G$1179,$F$2:$F$1179,"Served"))</f>
        <v>9.66213952552866E-005</v>
      </c>
      <c r="I484" s="4" t="n">
        <f aca="false">IF(G484="","",RANK(G484,$G$2:$G$1179,0))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IF(G485="","",G485/SUMIFS($G$2:$G$1179,$F$2:$F$1179,"Served"))</f>
        <v>9.58476653229967E-005</v>
      </c>
      <c r="I485" s="4" t="n">
        <f aca="false">IF(G485="","",RANK(G485,$G$2:$G$1179,0))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IF(G486="","",G486/SUMIFS($G$2:$G$1179,$F$2:$F$1179,"Served"))</f>
        <v>9.57947396430023E-005</v>
      </c>
      <c r="I486" s="4" t="n">
        <f aca="false">IF(G486="","",RANK(G486,$G$2:$G$1179,0))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IF(G487="","",G487/SUMIFS($G$2:$G$1179,$F$2:$F$1179,"Served"))</f>
        <v>9.5389544023502E-005</v>
      </c>
      <c r="I487" s="4" t="n">
        <f aca="false">IF(G487="","",RANK(G487,$G$2:$G$1179,0))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IF(G488="","",G488/SUMIFS($G$2:$G$1179,$F$2:$F$1179,"Served"))</f>
        <v>9.44207989243445E-005</v>
      </c>
      <c r="I488" s="4" t="n">
        <f aca="false">IF(G488="","",RANK(G488,$G$2:$G$1179,0))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IF(G489="","",G489/SUMIFS($G$2:$G$1179,$F$2:$F$1179,"Served"))</f>
        <v>9.29605222417581E-005</v>
      </c>
      <c r="I489" s="4" t="n">
        <f aca="false">IF(G489="","",RANK(G489,$G$2:$G$1179,0))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IF(G490="","",G490/SUMIFS($G$2:$G$1179,$F$2:$F$1179,"Served"))</f>
        <v>9.28494665201556E-005</v>
      </c>
      <c r="I490" s="4" t="n">
        <f aca="false">IF(G490="","",RANK(G490,$G$2:$G$1179,0))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IF(G491="","",G491/SUMIFS($G$2:$G$1179,$F$2:$F$1179,"Served"))</f>
        <v>9.09771591087554E-005</v>
      </c>
      <c r="I491" s="4" t="n">
        <f aca="false">IF(G491="","",RANK(G491,$G$2:$G$1179,0))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IF(G492="","",G492/SUMIFS($G$2:$G$1179,$F$2:$F$1179,"Served"))</f>
        <v>8.59322040371579E-005</v>
      </c>
      <c r="I492" s="4" t="n">
        <f aca="false">IF(G492="","",RANK(G492,$G$2:$G$1179,0))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IF(G493="","",G493/SUMIFS($G$2:$G$1179,$F$2:$F$1179,"Served"))</f>
        <v>8.51141369145901E-005</v>
      </c>
      <c r="I493" s="4" t="n">
        <f aca="false">IF(G493="","",RANK(G493,$G$2:$G$1179,0))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IF(G494="","",G494/SUMIFS($G$2:$G$1179,$F$2:$F$1179,"Served"))</f>
        <v>8.40690489317598E-005</v>
      </c>
      <c r="I494" s="4" t="n">
        <f aca="false">IF(G494="","",RANK(G494,$G$2:$G$1179,0))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IF(G495="","",G495/SUMIFS($G$2:$G$1179,$F$2:$F$1179,"Served"))</f>
        <v>8.30757830204366E-005</v>
      </c>
      <c r="I495" s="4" t="n">
        <f aca="false">IF(G495="","",RANK(G495,$G$2:$G$1179,0))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IF(G496="","",G496/SUMIFS($G$2:$G$1179,$F$2:$F$1179,"Served"))</f>
        <v>8.23051219759786E-005</v>
      </c>
      <c r="I496" s="4" t="n">
        <f aca="false">IF(G496="","",RANK(G496,$G$2:$G$1179,0))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IF(G497="","",G497/SUMIFS($G$2:$G$1179,$F$2:$F$1179,"Served"))</f>
        <v>8.07969745798909E-005</v>
      </c>
      <c r="I497" s="4" t="n">
        <f aca="false">IF(G497="","",RANK(G497,$G$2:$G$1179,0))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IF(G498="","",G498/SUMIFS($G$2:$G$1179,$F$2:$F$1179,"Served"))</f>
        <v>8.00856479430386E-005</v>
      </c>
      <c r="I498" s="4" t="n">
        <f aca="false">IF(G498="","",RANK(G498,$G$2:$G$1179,0))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IF(G499="","",G499/SUMIFS($G$2:$G$1179,$F$2:$F$1179,"Served"))</f>
        <v>7.8906705120004E-005</v>
      </c>
      <c r="I499" s="4" t="n">
        <f aca="false">IF(G499="","",RANK(G499,$G$2:$G$1179,0))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IF(G500="","",G500/SUMIFS($G$2:$G$1179,$F$2:$F$1179,"Served"))</f>
        <v>7.72470574775689E-005</v>
      </c>
      <c r="I500" s="4" t="n">
        <f aca="false">IF(G500="","",RANK(G500,$G$2:$G$1179,0))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IF(G501="","",G501/SUMIFS($G$2:$G$1179,$F$2:$F$1179,"Served"))</f>
        <v>7.59710819015621E-005</v>
      </c>
      <c r="I501" s="4" t="n">
        <f aca="false">IF(G501="","",RANK(G501,$G$2:$G$1179,0))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IF(G502="","",G502/SUMIFS($G$2:$G$1179,$F$2:$F$1179,"Served"))</f>
        <v>7.58104051849218E-005</v>
      </c>
      <c r="I502" s="4" t="n">
        <f aca="false">IF(G502="","",RANK(G502,$G$2:$G$1179,0))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IF(G503="","",G503/SUMIFS($G$2:$G$1179,$F$2:$F$1179,"Served"))</f>
        <v>7.56253404123548E-005</v>
      </c>
      <c r="I503" s="4" t="n">
        <f aca="false">IF(G503="","",RANK(G503,$G$2:$G$1179,0))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IF(G504="","",G504/SUMIFS($G$2:$G$1179,$F$2:$F$1179,"Served"))</f>
        <v>7.4975009132595E-005</v>
      </c>
      <c r="I504" s="4" t="n">
        <f aca="false">IF(G504="","",RANK(G504,$G$2:$G$1179,0))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IF(G505="","",G505/SUMIFS($G$2:$G$1179,$F$2:$F$1179,"Served"))</f>
        <v>7.23852720285727E-005</v>
      </c>
      <c r="I505" s="4" t="n">
        <f aca="false">IF(G505="","",RANK(G505,$G$2:$G$1179,0))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IF(G506="","",G506/SUMIFS($G$2:$G$1179,$F$2:$F$1179,"Served"))</f>
        <v>7.15063679087128E-005</v>
      </c>
      <c r="I506" s="4" t="n">
        <f aca="false">IF(G506="","",RANK(G506,$G$2:$G$1179,0))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IF(G507="","",G507/SUMIFS($G$2:$G$1179,$F$2:$F$1179,"Served"))</f>
        <v>7.1414980803946E-005</v>
      </c>
      <c r="I507" s="4" t="n">
        <f aca="false">IF(G507="","",RANK(G507,$G$2:$G$1179,0))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IF(G508="","",G508/SUMIFS($G$2:$G$1179,$F$2:$F$1179,"Served"))</f>
        <v>7.09630827664803E-005</v>
      </c>
      <c r="I508" s="4" t="n">
        <f aca="false">IF(G508="","",RANK(G508,$G$2:$G$1179,0))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IF(G509="","",G509/SUMIFS($G$2:$G$1179,$F$2:$F$1179,"Served"))</f>
        <v>6.96872591808586E-005</v>
      </c>
      <c r="I509" s="4" t="n">
        <f aca="false">IF(G509="","",RANK(G509,$G$2:$G$1179,0))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IF(G510="","",G510/SUMIFS($G$2:$G$1179,$F$2:$F$1179,"Served"))</f>
        <v>6.72919377689943E-005</v>
      </c>
      <c r="I510" s="4" t="n">
        <f aca="false">IF(G510="","",RANK(G510,$G$2:$G$1179,0))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IF(G511="","",G511/SUMIFS($G$2:$G$1179,$F$2:$F$1179,"Served"))</f>
        <v>6.71621753553222E-005</v>
      </c>
      <c r="I511" s="4" t="n">
        <f aca="false">IF(G511="","",RANK(G511,$G$2:$G$1179,0))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IF(G512="","",G512/SUMIFS($G$2:$G$1179,$F$2:$F$1179,"Served"))</f>
        <v>6.41927732452162E-005</v>
      </c>
      <c r="I512" s="4" t="n">
        <f aca="false">IF(G512="","",RANK(G512,$G$2:$G$1179,0))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IF(G513="","",G513/SUMIFS($G$2:$G$1179,$F$2:$F$1179,"Served"))</f>
        <v>6.28534354191106E-005</v>
      </c>
      <c r="I513" s="4" t="n">
        <f aca="false">IF(G513="","",RANK(G513,$G$2:$G$1179,0))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IF(G514="","",G514/SUMIFS($G$2:$G$1179,$F$2:$F$1179,"Served"))</f>
        <v>6.24374520761485E-005</v>
      </c>
      <c r="I514" s="4" t="n">
        <f aca="false">IF(G514="","",RANK(G514,$G$2:$G$1179,0))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IF(G515="","",G515/SUMIFS($G$2:$G$1179,$F$2:$F$1179,"Served"))</f>
        <v>6.0664419783795E-005</v>
      </c>
      <c r="I515" s="4" t="n">
        <f aca="false">IF(G515="","",RANK(G515,$G$2:$G$1179,0))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IF(G516="","",G516/SUMIFS($G$2:$G$1179,$F$2:$F$1179,"Served"))</f>
        <v>6.06417421132882E-005</v>
      </c>
      <c r="I516" s="4" t="n">
        <f aca="false">IF(G516="","",RANK(G516,$G$2:$G$1179,0))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IF(G517="","",G517/SUMIFS($G$2:$G$1179,$F$2:$F$1179,"Served"))</f>
        <v>5.80796289284174E-005</v>
      </c>
      <c r="I517" s="4" t="n">
        <f aca="false">IF(G517="","",RANK(G517,$G$2:$G$1179,0))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IF(G518="","",G518/SUMIFS($G$2:$G$1179,$F$2:$F$1179,"Served"))</f>
        <v>5.67180568358123E-005</v>
      </c>
      <c r="I518" s="4" t="n">
        <f aca="false">IF(G518="","",RANK(G518,$G$2:$G$1179,0))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IF(G519="","",G519/SUMIFS($G$2:$G$1179,$F$2:$F$1179,"Served"))</f>
        <v>5.4584630389095E-005</v>
      </c>
      <c r="I519" s="4" t="n">
        <f aca="false">IF(G519="","",RANK(G519,$G$2:$G$1179,0))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IF(G520="","",G520/SUMIFS($G$2:$G$1179,$F$2:$F$1179,"Served"))</f>
        <v>5.45590501938155E-005</v>
      </c>
      <c r="I520" s="4" t="n">
        <f aca="false">IF(G520="","",RANK(G520,$G$2:$G$1179,0))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IF(G521="","",G521/SUMIFS($G$2:$G$1179,$F$2:$F$1179,"Served"))</f>
        <v>5.38028341103448E-005</v>
      </c>
      <c r="I521" s="4" t="n">
        <f aca="false">IF(G521="","",RANK(G521,$G$2:$G$1179,0))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IF(G522="","",G522/SUMIFS($G$2:$G$1179,$F$2:$F$1179,"Served"))</f>
        <v>5.2831351413065E-005</v>
      </c>
      <c r="I522" s="4" t="n">
        <f aca="false">IF(G522="","",RANK(G522,$G$2:$G$1179,0))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IF(G523="","",G523/SUMIFS($G$2:$G$1179,$F$2:$F$1179,"Served"))</f>
        <v>5.22823846580359E-005</v>
      </c>
      <c r="I523" s="4" t="n">
        <f aca="false">IF(G523="","",RANK(G523,$G$2:$G$1179,0))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IF(G524="","",G524/SUMIFS($G$2:$G$1179,$F$2:$F$1179,"Served"))</f>
        <v>5.19963823490514E-005</v>
      </c>
      <c r="I524" s="4" t="n">
        <f aca="false">IF(G524="","",RANK(G524,$G$2:$G$1179,0))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IF(G525="","",G525/SUMIFS($G$2:$G$1179,$F$2:$F$1179,"Served"))</f>
        <v>5.10827046901054E-005</v>
      </c>
      <c r="I525" s="4" t="n">
        <f aca="false">IF(G525="","",RANK(G525,$G$2:$G$1179,0))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IF(G526="","",G526/SUMIFS($G$2:$G$1179,$F$2:$F$1179,"Served"))</f>
        <v>5.04599274662257E-005</v>
      </c>
      <c r="I526" s="4" t="n">
        <f aca="false">IF(G526="","",RANK(G526,$G$2:$G$1179,0))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IF(G527="","",G527/SUMIFS($G$2:$G$1179,$F$2:$F$1179,"Served"))</f>
        <v>4.93417194608707E-005</v>
      </c>
      <c r="I527" s="4" t="n">
        <f aca="false">IF(G527="","",RANK(G527,$G$2:$G$1179,0))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IF(G528="","",G528/SUMIFS($G$2:$G$1179,$F$2:$F$1179,"Served"))</f>
        <v>4.87074458259533E-005</v>
      </c>
      <c r="I528" s="4" t="n">
        <f aca="false">IF(G528="","",RANK(G528,$G$2:$G$1179,0))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IF(G529="","",G529/SUMIFS($G$2:$G$1179,$F$2:$F$1179,"Served"))</f>
        <v>4.8001579786623E-005</v>
      </c>
      <c r="I529" s="4" t="n">
        <f aca="false">IF(G529="","",RANK(G529,$G$2:$G$1179,0))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IF(G530="","",G530/SUMIFS($G$2:$G$1179,$F$2:$F$1179,"Served"))</f>
        <v>4.79075431825321E-005</v>
      </c>
      <c r="I530" s="4" t="n">
        <f aca="false">IF(G530="","",RANK(G530,$G$2:$G$1179,0))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IF(G531="","",G531/SUMIFS($G$2:$G$1179,$F$2:$F$1179,"Served"))</f>
        <v>4.62841394269241E-005</v>
      </c>
      <c r="I531" s="4" t="n">
        <f aca="false">IF(G531="","",RANK(G531,$G$2:$G$1179,0))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IF(G532="","",G532/SUMIFS($G$2:$G$1179,$F$2:$F$1179,"Served"))</f>
        <v>4.60728136956362E-005</v>
      </c>
      <c r="I532" s="4" t="n">
        <f aca="false">IF(G532="","",RANK(G532,$G$2:$G$1179,0))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IF(G533="","",G533/SUMIFS($G$2:$G$1179,$F$2:$F$1179,"Served"))</f>
        <v>4.60559693278668E-005</v>
      </c>
      <c r="I533" s="4" t="n">
        <f aca="false">IF(G533="","",RANK(G533,$G$2:$G$1179,0))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IF(G534="","",G534/SUMIFS($G$2:$G$1179,$F$2:$F$1179,"Served"))</f>
        <v>4.58079851083201E-005</v>
      </c>
      <c r="I534" s="4" t="n">
        <f aca="false">IF(G534="","",RANK(G534,$G$2:$G$1179,0))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IF(G535="","",G535/SUMIFS($G$2:$G$1179,$F$2:$F$1179,"Served"))</f>
        <v>4.55019767351167E-005</v>
      </c>
      <c r="I535" s="4" t="n">
        <f aca="false">IF(G535="","",RANK(G535,$G$2:$G$1179,0))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IF(G536="","",G536/SUMIFS($G$2:$G$1179,$F$2:$F$1179,"Served"))</f>
        <v>4.53840859843192E-005</v>
      </c>
      <c r="I536" s="4" t="n">
        <f aca="false">IF(G536="","",RANK(G536,$G$2:$G$1179,0))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IF(G537="","",G537/SUMIFS($G$2:$G$1179,$F$2:$F$1179,"Served"))</f>
        <v>4.41291256900621E-005</v>
      </c>
      <c r="I537" s="4" t="n">
        <f aca="false">IF(G537="","",RANK(G537,$G$2:$G$1179,0))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IF(G538="","",G538/SUMIFS($G$2:$G$1179,$F$2:$F$1179,"Served"))</f>
        <v>4.19202337652166E-005</v>
      </c>
      <c r="I538" s="4" t="n">
        <f aca="false">IF(G538="","",RANK(G538,$G$2:$G$1179,0))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IF(G539="","",G539/SUMIFS($G$2:$G$1179,$F$2:$F$1179,"Served"))</f>
        <v>4.19199302766024E-005</v>
      </c>
      <c r="I539" s="4" t="n">
        <f aca="false">IF(G539="","",RANK(G539,$G$2:$G$1179,0))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IF(G540="","",G540/SUMIFS($G$2:$G$1179,$F$2:$F$1179,"Served"))</f>
        <v>4.00390866756525E-005</v>
      </c>
      <c r="I540" s="4" t="n">
        <f aca="false">IF(G540="","",RANK(G540,$G$2:$G$1179,0))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IF(G541="","",G541/SUMIFS($G$2:$G$1179,$F$2:$F$1179,"Served"))</f>
        <v>4.00042488958921E-005</v>
      </c>
      <c r="I541" s="4" t="n">
        <f aca="false">IF(G541="","",RANK(G541,$G$2:$G$1179,0))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IF(G542="","",G542/SUMIFS($G$2:$G$1179,$F$2:$F$1179,"Served"))</f>
        <v>3.91523284544998E-005</v>
      </c>
      <c r="I542" s="4" t="n">
        <f aca="false">IF(G542="","",RANK(G542,$G$2:$G$1179,0))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IF(G543="","",G543/SUMIFS($G$2:$G$1179,$F$2:$F$1179,"Served"))</f>
        <v>3.74097111098291E-005</v>
      </c>
      <c r="I543" s="4" t="n">
        <f aca="false">IF(G543="","",RANK(G543,$G$2:$G$1179,0))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IF(G544="","",G544/SUMIFS($G$2:$G$1179,$F$2:$F$1179,"Served"))</f>
        <v>3.49638222095428E-005</v>
      </c>
      <c r="I544" s="4" t="n">
        <f aca="false">IF(G544="","",RANK(G544,$G$2:$G$1179,0))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IF(G545="","",G545/SUMIFS($G$2:$G$1179,$F$2:$F$1179,"Served"))</f>
        <v>3.45786286855377E-005</v>
      </c>
      <c r="I545" s="4" t="n">
        <f aca="false">IF(G545="","",RANK(G545,$G$2:$G$1179,0))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IF(G546="","",G546/SUMIFS($G$2:$G$1179,$F$2:$F$1179,"Served"))</f>
        <v>3.45655519327382E-005</v>
      </c>
      <c r="I546" s="4" t="n">
        <f aca="false">IF(G546="","",RANK(G546,$G$2:$G$1179,0))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IF(G547="","",G547/SUMIFS($G$2:$G$1179,$F$2:$F$1179,"Served"))</f>
        <v>3.37157953156065E-005</v>
      </c>
      <c r="I547" s="4" t="n">
        <f aca="false">IF(G547="","",RANK(G547,$G$2:$G$1179,0))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IF(G548="","",G548/SUMIFS($G$2:$G$1179,$F$2:$F$1179,"Served"))</f>
        <v>3.18794519001582E-005</v>
      </c>
      <c r="I548" s="4" t="n">
        <f aca="false">IF(G548="","",RANK(G548,$G$2:$G$1179,0))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IF(G549="","",G549/SUMIFS($G$2:$G$1179,$F$2:$F$1179,"Served"))</f>
        <v>3.07353008317071E-005</v>
      </c>
      <c r="I549" s="4" t="n">
        <f aca="false">IF(G549="","",RANK(G549,$G$2:$G$1179,0))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IF(G550="","",G550/SUMIFS($G$2:$G$1179,$F$2:$F$1179,"Served"))</f>
        <v>3.02222608633419E-005</v>
      </c>
      <c r="I550" s="4" t="n">
        <f aca="false">IF(G550="","",RANK(G550,$G$2:$G$1179,0))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IF(G551="","",G551/SUMIFS($G$2:$G$1179,$F$2:$F$1179,"Served"))</f>
        <v>2.97862407450497E-005</v>
      </c>
      <c r="I551" s="4" t="n">
        <f aca="false">IF(G551="","",RANK(G551,$G$2:$G$1179,0))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IF(G552="","",G552/SUMIFS($G$2:$G$1179,$F$2:$F$1179,"Served"))</f>
        <v>2.93494175739776E-005</v>
      </c>
      <c r="I552" s="4" t="n">
        <f aca="false">IF(G552="","",RANK(G552,$G$2:$G$1179,0))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IF(G553="","",G553/SUMIFS($G$2:$G$1179,$F$2:$F$1179,"Served"))</f>
        <v>2.8742534541897E-005</v>
      </c>
      <c r="I553" s="4" t="n">
        <f aca="false">IF(G553="","",RANK(G553,$G$2:$G$1179,0))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IF(G554="","",G554/SUMIFS($G$2:$G$1179,$F$2:$F$1179,"Served"))</f>
        <v>2.76705371646909E-005</v>
      </c>
      <c r="I554" s="4" t="n">
        <f aca="false">IF(G554="","",RANK(G554,$G$2:$G$1179,0))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IF(G555="","",G555/SUMIFS($G$2:$G$1179,$F$2:$F$1179,"Served"))</f>
        <v>2.72877737156586E-005</v>
      </c>
      <c r="I555" s="4" t="n">
        <f aca="false">IF(G555="","",RANK(G555,$G$2:$G$1179,0))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IF(G556="","",G556/SUMIFS($G$2:$G$1179,$F$2:$F$1179,"Served"))</f>
        <v>2.54515904226162E-005</v>
      </c>
      <c r="I556" s="4" t="n">
        <f aca="false">IF(G556="","",RANK(G556,$G$2:$G$1179,0))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IF(G557="","",G557/SUMIFS($G$2:$G$1179,$F$2:$F$1179,"Served"))</f>
        <v>2.43734545944624E-005</v>
      </c>
      <c r="I557" s="4" t="n">
        <f aca="false">IF(G557="","",RANK(G557,$G$2:$G$1179,0))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IF(G558="","",G558/SUMIFS($G$2:$G$1179,$F$2:$F$1179,"Served"))</f>
        <v>2.42885432792943E-005</v>
      </c>
      <c r="I558" s="4" t="n">
        <f aca="false">IF(G558="","",RANK(G558,$G$2:$G$1179,0))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IF(G559="","",G559/SUMIFS($G$2:$G$1179,$F$2:$F$1179,"Served"))</f>
        <v>2.18396477660876E-005</v>
      </c>
      <c r="I559" s="4" t="n">
        <f aca="false">IF(G559="","",RANK(G559,$G$2:$G$1179,0))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IF(G560="","",G560/SUMIFS($G$2:$G$1179,$F$2:$F$1179,"Served"))</f>
        <v>2.14217555500172E-005</v>
      </c>
      <c r="I560" s="4" t="n">
        <f aca="false">IF(G560="","",RANK(G560,$G$2:$G$1179,0))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IF(G561="","",G561/SUMIFS($G$2:$G$1179,$F$2:$F$1179,"Served"))</f>
        <v>2.10470479404854E-005</v>
      </c>
      <c r="I561" s="4" t="n">
        <f aca="false">IF(G561="","",RANK(G561,$G$2:$G$1179,0))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IF(G562="","",G562/SUMIFS($G$2:$G$1179,$F$2:$F$1179,"Served"))</f>
        <v>1.9995539140745E-005</v>
      </c>
      <c r="I562" s="4" t="n">
        <f aca="false">IF(G562="","",RANK(G562,$G$2:$G$1179,0))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IF(G563="","",G563/SUMIFS($G$2:$G$1179,$F$2:$F$1179,"Served"))</f>
        <v>1.82755802667716E-005</v>
      </c>
      <c r="I563" s="4" t="n">
        <f aca="false">IF(G563="","",RANK(G563,$G$2:$G$1179,0))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IF(G564="","",G564/SUMIFS($G$2:$G$1179,$F$2:$F$1179,"Served"))</f>
        <v>1.71044592630252E-005</v>
      </c>
      <c r="I564" s="4" t="n">
        <f aca="false">IF(G564="","",RANK(G564,$G$2:$G$1179,0))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IF(G565="","",G565/SUMIFS($G$2:$G$1179,$F$2:$F$1179,"Served"))</f>
        <v>1.68902730204973E-005</v>
      </c>
      <c r="I565" s="4" t="n">
        <f aca="false">IF(G565="","",RANK(G565,$G$2:$G$1179,0))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IF(G566="","",G566/SUMIFS($G$2:$G$1179,$F$2:$F$1179,"Served"))</f>
        <v>1.68413046988069E-005</v>
      </c>
      <c r="I566" s="4" t="n">
        <f aca="false">IF(G566="","",RANK(G566,$G$2:$G$1179,0))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IF(G567="","",G567/SUMIFS($G$2:$G$1179,$F$2:$F$1179,"Served"))</f>
        <v>1.66332984658011E-005</v>
      </c>
      <c r="I567" s="4" t="n">
        <f aca="false">IF(G567="","",RANK(G567,$G$2:$G$1179,0))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IF(G568="","",G568/SUMIFS($G$2:$G$1179,$F$2:$F$1179,"Served"))</f>
        <v>1.66115442345999E-005</v>
      </c>
      <c r="I568" s="4" t="n">
        <f aca="false">IF(G568="","",RANK(G568,$G$2:$G$1179,0))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IF(G569="","",G569/SUMIFS($G$2:$G$1179,$F$2:$F$1179,"Served"))</f>
        <v>1.62532764291007E-005</v>
      </c>
      <c r="I569" s="4" t="n">
        <f aca="false">IF(G569="","",RANK(G569,$G$2:$G$1179,0))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IF(G570="","",G570/SUMIFS($G$2:$G$1179,$F$2:$F$1179,"Served"))</f>
        <v>1.62141892908326E-005</v>
      </c>
      <c r="I570" s="4" t="n">
        <f aca="false">IF(G570="","",RANK(G570,$G$2:$G$1179,0))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IF(G571="","",G571/SUMIFS($G$2:$G$1179,$F$2:$F$1179,"Served"))</f>
        <v>1.61476837600779E-005</v>
      </c>
      <c r="I571" s="4" t="n">
        <f aca="false">IF(G571="","",RANK(G571,$G$2:$G$1179,0))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IF(G572="","",G572/SUMIFS($G$2:$G$1179,$F$2:$F$1179,"Served"))</f>
        <v>1.61301036590396E-005</v>
      </c>
      <c r="I572" s="4" t="n">
        <f aca="false">IF(G572="","",RANK(G572,$G$2:$G$1179,0))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IF(G573="","",G573/SUMIFS($G$2:$G$1179,$F$2:$F$1179,"Served"))</f>
        <v>1.58673770588626E-005</v>
      </c>
      <c r="I573" s="4" t="n">
        <f aca="false">IF(G573="","",RANK(G573,$G$2:$G$1179,0))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IF(G574="","",G574/SUMIFS($G$2:$G$1179,$F$2:$F$1179,"Served"))</f>
        <v>1.55165947526491E-005</v>
      </c>
      <c r="I574" s="4" t="n">
        <f aca="false">IF(G574="","",RANK(G574,$G$2:$G$1179,0))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IF(G575="","",G575/SUMIFS($G$2:$G$1179,$F$2:$F$1179,"Served"))</f>
        <v>1.5341880937921E-005</v>
      </c>
      <c r="I575" s="4" t="n">
        <f aca="false">IF(G575="","",RANK(G575,$G$2:$G$1179,0))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IF(G576="","",G576/SUMIFS($G$2:$G$1179,$F$2:$F$1179,"Served"))</f>
        <v>1.50337652840393E-005</v>
      </c>
      <c r="I576" s="4" t="n">
        <f aca="false">IF(G576="","",RANK(G576,$G$2:$G$1179,0))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IF(G577="","",G577/SUMIFS($G$2:$G$1179,$F$2:$F$1179,"Served"))</f>
        <v>1.47184348853846E-005</v>
      </c>
      <c r="I577" s="4" t="n">
        <f aca="false">IF(G577="","",RANK(G577,$G$2:$G$1179,0))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IF(G578="","",G578/SUMIFS($G$2:$G$1179,$F$2:$F$1179,"Served"))</f>
        <v>1.39625259359166E-005</v>
      </c>
      <c r="I578" s="4" t="n">
        <f aca="false">IF(G578="","",RANK(G578,$G$2:$G$1179,0))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IF(G579="","",G579/SUMIFS($G$2:$G$1179,$F$2:$F$1179,"Served"))</f>
        <v>1.3823171652197E-005</v>
      </c>
      <c r="I579" s="4" t="n">
        <f aca="false">IF(G579="","",RANK(G579,$G$2:$G$1179,0))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IF(G580="","",G580/SUMIFS($G$2:$G$1179,$F$2:$F$1179,"Served"))</f>
        <v>1.36263003702076E-005</v>
      </c>
      <c r="I580" s="4" t="n">
        <f aca="false">IF(G580="","",RANK(G580,$G$2:$G$1179,0))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IF(G581="","",G581/SUMIFS($G$2:$G$1179,$F$2:$F$1179,"Served"))</f>
        <v>1.35997216188712E-005</v>
      </c>
      <c r="I581" s="4" t="n">
        <f aca="false">IF(G581="","",RANK(G581,$G$2:$G$1179,0))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IF(G582="","",G582/SUMIFS($G$2:$G$1179,$F$2:$F$1179,"Served"))</f>
        <v>1.24098708775609E-005</v>
      </c>
      <c r="I582" s="4" t="n">
        <f aca="false">IF(G582="","",RANK(G582,$G$2:$G$1179,0))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IF(G583="","",G583/SUMIFS($G$2:$G$1179,$F$2:$F$1179,"Served"))</f>
        <v>1.1645528581994E-005</v>
      </c>
      <c r="I583" s="4" t="n">
        <f aca="false">IF(G583="","",RANK(G583,$G$2:$G$1179,0))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IF(G584="","",G584/SUMIFS($G$2:$G$1179,$F$2:$F$1179,"Served"))</f>
        <v>1.02060715233662E-005</v>
      </c>
      <c r="I584" s="4" t="n">
        <f aca="false">IF(G584="","",RANK(G584,$G$2:$G$1179,0))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IF(G585="","",G585/SUMIFS($G$2:$G$1179,$F$2:$F$1179,"Served"))</f>
        <v>1.00609237071257E-005</v>
      </c>
      <c r="I585" s="4" t="n">
        <f aca="false">IF(G585="","",RANK(G585,$G$2:$G$1179,0))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IF(G586="","",G586/SUMIFS($G$2:$G$1179,$F$2:$F$1179,"Served"))</f>
        <v>9.13296402805029E-006</v>
      </c>
      <c r="I586" s="4" t="n">
        <f aca="false">IF(G586="","",RANK(G586,$G$2:$G$1179,0))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IF(G587="","",G587/SUMIFS($G$2:$G$1179,$F$2:$F$1179,"Served"))</f>
        <v>8.40728199403176E-006</v>
      </c>
      <c r="I587" s="4" t="n">
        <f aca="false">IF(G587="","",RANK(G587,$G$2:$G$1179,0))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IF(G588="","",G588/SUMIFS($G$2:$G$1179,$F$2:$F$1179,"Served"))</f>
        <v>6.98719274473137E-006</v>
      </c>
      <c r="I588" s="4" t="n">
        <f aca="false">IF(G588="","",RANK(G588,$G$2:$G$1179,0))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IF(G589="","",G589/SUMIFS($G$2:$G$1179,$F$2:$F$1179,"Served"))</f>
        <v>6.54698364861427E-006</v>
      </c>
      <c r="I589" s="4" t="n">
        <f aca="false">IF(G589="","",RANK(G589,$G$2:$G$1179,0))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IF(G590="","",G590/SUMIFS($G$2:$G$1179,$F$2:$F$1179,"Served"))</f>
        <v>6.38465535348208E-006</v>
      </c>
      <c r="I590" s="4" t="n">
        <f aca="false">IF(G590="","",RANK(G590,$G$2:$G$1179,0))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IF(G591="","",G591/SUMIFS($G$2:$G$1179,$F$2:$F$1179,"Served"))</f>
        <v>6.05930549843974E-006</v>
      </c>
      <c r="I591" s="4" t="n">
        <f aca="false">IF(G591="","",RANK(G591,$G$2:$G$1179,0))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IF(G592="","",G592/SUMIFS($G$2:$G$1179,$F$2:$F$1179,"Served"))</f>
        <v>5.75219858137834E-006</v>
      </c>
      <c r="I592" s="4" t="n">
        <f aca="false">IF(G592="","",RANK(G592,$G$2:$G$1179,0))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IF(G593="","",G593/SUMIFS($G$2:$G$1179,$F$2:$F$1179,"Served"))</f>
        <v>5.50208559224586E-006</v>
      </c>
      <c r="I593" s="4" t="n">
        <f aca="false">IF(G593="","",RANK(G593,$G$2:$G$1179,0))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IF(G594="","",G594/SUMIFS($G$2:$G$1179,$F$2:$F$1179,"Served"))</f>
        <v>5.41879209137393E-006</v>
      </c>
      <c r="I594" s="4" t="n">
        <f aca="false">IF(G594="","",RANK(G594,$G$2:$G$1179,0))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IF(G595="","",G595/SUMIFS($G$2:$G$1179,$F$2:$F$1179,"Served"))</f>
        <v>3.99154166219396E-006</v>
      </c>
      <c r="I595" s="4" t="n">
        <f aca="false">IF(G595="","",RANK(G595,$G$2:$G$1179,0))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IF(G596="","",G596/SUMIFS($G$2:$G$1179,$F$2:$F$1179,"Served"))</f>
        <v>3.39443034886876E-006</v>
      </c>
      <c r="I596" s="4" t="n">
        <f aca="false">IF(G596="","",RANK(G596,$G$2:$G$1179,0))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IF(G597="","",G597/SUMIFS($G$2:$G$1179,$F$2:$F$1179,"Served"))</f>
        <v>3.20483069001517E-006</v>
      </c>
      <c r="I597" s="4" t="n">
        <f aca="false">IF(G597="","",RANK(G597,$G$2:$G$1179,0))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IF(G598="","",G598/SUMIFS($G$2:$G$1179,$F$2:$F$1179,"Served"))</f>
        <v>2.69666176484084E-006</v>
      </c>
      <c r="I598" s="4" t="n">
        <f aca="false">IF(G598="","",RANK(G598,$G$2:$G$1179,0))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IF(G599="","",G599/SUMIFS($G$2:$G$1179,$F$2:$F$1179,"Served"))</f>
        <v>1.98996311189121E-006</v>
      </c>
      <c r="I599" s="4" t="n">
        <f aca="false">IF(G599="","",RANK(G599,$G$2:$G$1179,0))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IF(G600="","",G600/SUMIFS($G$2:$G$1179,$F$2:$F$1179,"Served"))</f>
        <v>1.97082748291363E-006</v>
      </c>
      <c r="I600" s="4" t="n">
        <f aca="false">IF(G600="","",RANK(G600,$G$2:$G$1179,0))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IF(G601="","",G601/SUMIFS($G$2:$G$1179,$F$2:$F$1179,"Served"))</f>
        <v>1.72441051721086E-006</v>
      </c>
      <c r="I601" s="4" t="n">
        <f aca="false">IF(G601="","",RANK(G601,$G$2:$G$1179,0))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IF(G602="","",G602/SUMIFS($G$2:$G$1179,$F$2:$F$1179,"Served"))</f>
        <v>1.7142087742259E-006</v>
      </c>
      <c r="I602" s="4" t="n">
        <f aca="false">IF(G602="","",RANK(G602,$G$2:$G$1179,0))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IF(G603="","",G603/SUMIFS($G$2:$G$1179,$F$2:$F$1179,"Served"))</f>
        <v>1.51935494870881E-006</v>
      </c>
      <c r="I603" s="4" t="n">
        <f aca="false">IF(G603="","",RANK(G603,$G$2:$G$1179,0))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IF(G604="","",G604/SUMIFS($G$2:$G$1179,$F$2:$F$1179,"Served"))</f>
        <v>1.27131436584641E-006</v>
      </c>
      <c r="I604" s="4" t="n">
        <f aca="false">IF(G604="","",RANK(G604,$G$2:$G$1179,0))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IF(G605="","",G605/SUMIFS($G$2:$G$1179,$F$2:$F$1179,"Served"))</f>
        <v>6.98249603638362E-007</v>
      </c>
      <c r="I605" s="4" t="n">
        <f aca="false">IF(G605="","",RANK(G605,$G$2:$G$1179,0))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IF(G606="","",G606/SUMIFS($G$2:$G$1179,$F$2:$F$1179,"Served"))</f>
        <v>5.6035374432045E-007</v>
      </c>
      <c r="I606" s="4" t="n">
        <f aca="false">IF(G606="","",RANK(G606,$G$2:$G$1179,0))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IF(G607="","",G607/SUMIFS($G$2:$G$1179,$F$2:$F$1179,"Served"))</f>
        <v>4.04153221493741E-007</v>
      </c>
      <c r="I607" s="4" t="n">
        <f aca="false">IF(G607="","",RANK(G607,$G$2:$G$1179,0))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IF(G608="","",G608/SUMIFS($G$2:$G$1179,$F$2:$F$1179,"Served"))</f>
        <v>3.60344973093128E-007</v>
      </c>
      <c r="I608" s="4" t="n">
        <f aca="false">IF(G608="","",RANK(G608,$G$2:$G$1179,0))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IF(G609="","",G609/SUMIFS($G$2:$G$1179,$F$2:$F$1179,"Served"))</f>
        <v>2.66809870317132E-007</v>
      </c>
      <c r="I609" s="4" t="n">
        <f aca="false">IF(G609="","",RANK(G609,$G$2:$G$1179,0))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IF(G610="","",G610/SUMIFS($G$2:$G$1179,$F$2:$F$1179,"Served"))</f>
        <v>0</v>
      </c>
      <c r="I610" s="4" t="n">
        <f aca="false">IF(G610="","",RANK(G610,$G$2:$G$1179,0))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IF(G611="","",G611/SUMIFS($G$2:$G$1179,$F$2:$F$1179,"Served"))</f>
        <v>0</v>
      </c>
      <c r="I611" s="4" t="n">
        <f aca="false">IF(G611="","",RANK(G611,$G$2:$G$1179,0))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IF(G612="","",G612/SUMIFS($G$2:$G$1179,$F$2:$F$1179,"Served"))</f>
        <v>0</v>
      </c>
      <c r="I612" s="4" t="n">
        <f aca="false">IF(G612="","",RANK(G612,$G$2:$G$1179,0))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IF(G613="","",G613/SUMIFS($G$2:$G$1179,$F$2:$F$1179,"Served"))</f>
        <v>0</v>
      </c>
      <c r="I613" s="4" t="n">
        <f aca="false">IF(G613="","",RANK(G613,$G$2:$G$1179,0))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IF(G614="","",G614/SUMIFS($G$2:$G$1179,$F$2:$F$1179,"Served"))</f>
        <v>0</v>
      </c>
      <c r="I614" s="4" t="n">
        <f aca="false">IF(G614="","",RANK(G614,$G$2:$G$1179,0))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IF(G615="","",G615/SUMIFS($G$2:$G$1179,$F$2:$F$1179,"Served"))</f>
        <v>0</v>
      </c>
      <c r="I615" s="4" t="n">
        <f aca="false">IF(G615="","",RANK(G615,$G$2:$G$1179,0))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IF(G616="","",G616/SUMIFS($G$2:$G$1179,$F$2:$F$1179,"Served"))</f>
        <v>0</v>
      </c>
      <c r="I616" s="4" t="n">
        <f aca="false">IF(G616="","",RANK(G616,$G$2:$G$1179,0))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IF(G617="","",G617/SUMIFS($G$2:$G$1179,$F$2:$F$1179,"Served"))</f>
        <v/>
      </c>
      <c r="I617" s="4" t="str">
        <f aca="false">IF(G617="","",RANK(G617,$G$2:$G$1179,0))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IF(G618="","",G618/SUMIFS($G$2:$G$1179,$F$2:$F$1179,"Served"))</f>
        <v/>
      </c>
      <c r="I618" s="4" t="str">
        <f aca="false">IF(G618="","",RANK(G618,$G$2:$G$1179,0))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IF(G619="","",G619/SUMIFS($G$2:$G$1179,$F$2:$F$1179,"Served"))</f>
        <v/>
      </c>
      <c r="I619" s="4" t="str">
        <f aca="false">IF(G619="","",RANK(G619,$G$2:$G$1179,0))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IF(G620="","",G620/SUMIFS($G$2:$G$1179,$F$2:$F$1179,"Served"))</f>
        <v/>
      </c>
      <c r="I620" s="4" t="str">
        <f aca="false">IF(G620="","",RANK(G620,$G$2:$G$1179,0))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IF(G621="","",G621/SUMIFS($G$2:$G$1179,$F$2:$F$1179,"Served"))</f>
        <v/>
      </c>
      <c r="I621" s="4" t="str">
        <f aca="false">IF(G621="","",RANK(G621,$G$2:$G$1179,0))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IF(G622="","",G622/SUMIFS($G$2:$G$1179,$F$2:$F$1179,"Served"))</f>
        <v/>
      </c>
      <c r="I622" s="4" t="str">
        <f aca="false">IF(G622="","",RANK(G622,$G$2:$G$1179,0))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IF(G623="","",G623/SUMIFS($G$2:$G$1179,$F$2:$F$1179,"Served"))</f>
        <v/>
      </c>
      <c r="I623" s="4" t="str">
        <f aca="false">IF(G623="","",RANK(G623,$G$2:$G$1179,0))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IF(G624="","",G624/SUMIFS($G$2:$G$1179,$F$2:$F$1179,"Served"))</f>
        <v/>
      </c>
      <c r="I624" s="4" t="str">
        <f aca="false">IF(G624="","",RANK(G624,$G$2:$G$1179,0))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IF(G625="","",G625/SUMIFS($G$2:$G$1179,$F$2:$F$1179,"Served"))</f>
        <v/>
      </c>
      <c r="I625" s="4" t="str">
        <f aca="false">IF(G625="","",RANK(G625,$G$2:$G$1179,0))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IF(G626="","",G626/SUMIFS($G$2:$G$1179,$F$2:$F$1179,"Served"))</f>
        <v/>
      </c>
      <c r="I626" s="4" t="str">
        <f aca="false">IF(G626="","",RANK(G626,$G$2:$G$1179,0))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IF(G627="","",G627/SUMIFS($G$2:$G$1179,$F$2:$F$1179,"Served"))</f>
        <v/>
      </c>
      <c r="I627" s="4" t="str">
        <f aca="false">IF(G627="","",RANK(G627,$G$2:$G$1179,0))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IF(G628="","",G628/SUMIFS($G$2:$G$1179,$F$2:$F$1179,"Served"))</f>
        <v/>
      </c>
      <c r="I628" s="4" t="str">
        <f aca="false">IF(G628="","",RANK(G628,$G$2:$G$1179,0))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IF(G629="","",G629/SUMIFS($G$2:$G$1179,$F$2:$F$1179,"Served"))</f>
        <v/>
      </c>
      <c r="I629" s="4" t="str">
        <f aca="false">IF(G629="","",RANK(G629,$G$2:$G$1179,0))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IF(G630="","",G630/SUMIFS($G$2:$G$1179,$F$2:$F$1179,"Served"))</f>
        <v/>
      </c>
      <c r="I630" s="4" t="str">
        <f aca="false">IF(G630="","",RANK(G630,$G$2:$G$1179,0))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IF(G631="","",G631/SUMIFS($G$2:$G$1179,$F$2:$F$1179,"Served"))</f>
        <v/>
      </c>
      <c r="I631" s="4" t="str">
        <f aca="false">IF(G631="","",RANK(G631,$G$2:$G$1179,0))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IF(G632="","",G632/SUMIFS($G$2:$G$1179,$F$2:$F$1179,"Served"))</f>
        <v/>
      </c>
      <c r="I632" s="4" t="str">
        <f aca="false">IF(G632="","",RANK(G632,$G$2:$G$1179,0))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IF(G633="","",G633/SUMIFS($G$2:$G$1179,$F$2:$F$1179,"Served"))</f>
        <v/>
      </c>
      <c r="I633" s="4" t="str">
        <f aca="false">IF(G633="","",RANK(G633,$G$2:$G$1179,0))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IF(G634="","",G634/SUMIFS($G$2:$G$1179,$F$2:$F$1179,"Served"))</f>
        <v/>
      </c>
      <c r="I634" s="4" t="str">
        <f aca="false">IF(G634="","",RANK(G634,$G$2:$G$1179,0))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IF(G635="","",G635/SUMIFS($G$2:$G$1179,$F$2:$F$1179,"Served"))</f>
        <v/>
      </c>
      <c r="I635" s="4" t="str">
        <f aca="false">IF(G635="","",RANK(G635,$G$2:$G$1179,0))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IF(G636="","",G636/SUMIFS($G$2:$G$1179,$F$2:$F$1179,"Served"))</f>
        <v/>
      </c>
      <c r="I636" s="4" t="str">
        <f aca="false">IF(G636="","",RANK(G636,$G$2:$G$1179,0))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IF(G637="","",G637/SUMIFS($G$2:$G$1179,$F$2:$F$1179,"Served"))</f>
        <v/>
      </c>
      <c r="I637" s="4" t="str">
        <f aca="false">IF(G637="","",RANK(G637,$G$2:$G$1179,0))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IF(G638="","",G638/SUMIFS($G$2:$G$1179,$F$2:$F$1179,"Served"))</f>
        <v/>
      </c>
      <c r="I638" s="4" t="str">
        <f aca="false">IF(G638="","",RANK(G638,$G$2:$G$1179,0))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IF(G639="","",G639/SUMIFS($G$2:$G$1179,$F$2:$F$1179,"Served"))</f>
        <v/>
      </c>
      <c r="I639" s="4" t="str">
        <f aca="false">IF(G639="","",RANK(G639,$G$2:$G$1179,0))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IF(G640="","",G640/SUMIFS($G$2:$G$1179,$F$2:$F$1179,"Served"))</f>
        <v/>
      </c>
      <c r="I640" s="4" t="str">
        <f aca="false">IF(G640="","",RANK(G640,$G$2:$G$1179,0))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IF(G641="","",G641/SUMIFS($G$2:$G$1179,$F$2:$F$1179,"Served"))</f>
        <v/>
      </c>
      <c r="I641" s="4" t="str">
        <f aca="false">IF(G641="","",RANK(G641,$G$2:$G$1179,0))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IF(G642="","",G642/SUMIFS($G$2:$G$1179,$F$2:$F$1179,"Served"))</f>
        <v/>
      </c>
      <c r="I642" s="4" t="str">
        <f aca="false">IF(G642="","",RANK(G642,$G$2:$G$1179,0))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IF(G643="","",G643/SUMIFS($G$2:$G$1179,$F$2:$F$1179,"Served"))</f>
        <v/>
      </c>
      <c r="I643" s="4" t="str">
        <f aca="false">IF(G643="","",RANK(G643,$G$2:$G$1179,0))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IF(G644="","",G644/SUMIFS($G$2:$G$1179,$F$2:$F$1179,"Served"))</f>
        <v/>
      </c>
      <c r="I644" s="4" t="str">
        <f aca="false">IF(G644="","",RANK(G644,$G$2:$G$1179,0))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IF(G645="","",G645/SUMIFS($G$2:$G$1179,$F$2:$F$1179,"Served"))</f>
        <v/>
      </c>
      <c r="I645" s="4" t="str">
        <f aca="false">IF(G645="","",RANK(G645,$G$2:$G$1179,0))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IF(G646="","",G646/SUMIFS($G$2:$G$1179,$F$2:$F$1179,"Served"))</f>
        <v/>
      </c>
      <c r="I646" s="4" t="str">
        <f aca="false">IF(G646="","",RANK(G646,$G$2:$G$1179,0))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IF(G647="","",G647/SUMIFS($G$2:$G$1179,$F$2:$F$1179,"Served"))</f>
        <v/>
      </c>
      <c r="I647" s="4" t="str">
        <f aca="false">IF(G647="","",RANK(G647,$G$2:$G$1179,0))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IF(G648="","",G648/SUMIFS($G$2:$G$1179,$F$2:$F$1179,"Served"))</f>
        <v/>
      </c>
      <c r="I648" s="4" t="str">
        <f aca="false">IF(G648="","",RANK(G648,$G$2:$G$1179,0))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IF(G649="","",G649/SUMIFS($G$2:$G$1179,$F$2:$F$1179,"Served"))</f>
        <v/>
      </c>
      <c r="I649" s="4" t="str">
        <f aca="false">IF(G649="","",RANK(G649,$G$2:$G$1179,0))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IF(G650="","",G650/SUMIFS($G$2:$G$1179,$F$2:$F$1179,"Served"))</f>
        <v/>
      </c>
      <c r="I650" s="4" t="str">
        <f aca="false">IF(G650="","",RANK(G650,$G$2:$G$1179,0))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IF(G651="","",G651/SUMIFS($G$2:$G$1179,$F$2:$F$1179,"Served"))</f>
        <v/>
      </c>
      <c r="I651" s="4" t="str">
        <f aca="false">IF(G651="","",RANK(G651,$G$2:$G$1179,0))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IF(G652="","",G652/SUMIFS($G$2:$G$1179,$F$2:$F$1179,"Served"))</f>
        <v/>
      </c>
      <c r="I652" s="4" t="str">
        <f aca="false">IF(G652="","",RANK(G652,$G$2:$G$1179,0))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IF(G653="","",G653/SUMIFS($G$2:$G$1179,$F$2:$F$1179,"Served"))</f>
        <v/>
      </c>
      <c r="I653" s="4" t="str">
        <f aca="false">IF(G653="","",RANK(G653,$G$2:$G$1179,0))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IF(G654="","",G654/SUMIFS($G$2:$G$1179,$F$2:$F$1179,"Served"))</f>
        <v/>
      </c>
      <c r="I654" s="4" t="str">
        <f aca="false">IF(G654="","",RANK(G654,$G$2:$G$1179,0))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IF(G655="","",G655/SUMIFS($G$2:$G$1179,$F$2:$F$1179,"Served"))</f>
        <v/>
      </c>
      <c r="I655" s="4" t="str">
        <f aca="false">IF(G655="","",RANK(G655,$G$2:$G$1179,0))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IF(G656="","",G656/SUMIFS($G$2:$G$1179,$F$2:$F$1179,"Served"))</f>
        <v/>
      </c>
      <c r="I656" s="4" t="str">
        <f aca="false">IF(G656="","",RANK(G656,$G$2:$G$1179,0))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IF(G657="","",G657/SUMIFS($G$2:$G$1179,$F$2:$F$1179,"Served"))</f>
        <v/>
      </c>
      <c r="I657" s="4" t="str">
        <f aca="false">IF(G657="","",RANK(G657,$G$2:$G$1179,0))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IF(G658="","",G658/SUMIFS($G$2:$G$1179,$F$2:$F$1179,"Served"))</f>
        <v/>
      </c>
      <c r="I658" s="4" t="str">
        <f aca="false">IF(G658="","",RANK(G658,$G$2:$G$1179,0))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IF(G659="","",G659/SUMIFS($G$2:$G$1179,$F$2:$F$1179,"Served"))</f>
        <v/>
      </c>
      <c r="I659" s="4" t="str">
        <f aca="false">IF(G659="","",RANK(G659,$G$2:$G$1179,0))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IF(G660="","",G660/SUMIFS($G$2:$G$1179,$F$2:$F$1179,"Served"))</f>
        <v/>
      </c>
      <c r="I660" s="4" t="str">
        <f aca="false">IF(G660="","",RANK(G660,$G$2:$G$1179,0))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IF(G661="","",G661/SUMIFS($G$2:$G$1179,$F$2:$F$1179,"Served"))</f>
        <v/>
      </c>
      <c r="I661" s="4" t="str">
        <f aca="false">IF(G661="","",RANK(G661,$G$2:$G$1179,0))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IF(G662="","",G662/SUMIFS($G$2:$G$1179,$F$2:$F$1179,"Served"))</f>
        <v/>
      </c>
      <c r="I662" s="4" t="str">
        <f aca="false">IF(G662="","",RANK(G662,$G$2:$G$1179,0))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IF(G663="","",G663/SUMIFS($G$2:$G$1179,$F$2:$F$1179,"Served"))</f>
        <v/>
      </c>
      <c r="I663" s="4" t="str">
        <f aca="false">IF(G663="","",RANK(G663,$G$2:$G$1179,0))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IF(G664="","",G664/SUMIFS($G$2:$G$1179,$F$2:$F$1179,"Served"))</f>
        <v/>
      </c>
      <c r="I664" s="4" t="str">
        <f aca="false">IF(G664="","",RANK(G664,$G$2:$G$1179,0))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IF(G665="","",G665/SUMIFS($G$2:$G$1179,$F$2:$F$1179,"Served"))</f>
        <v/>
      </c>
      <c r="I665" s="4" t="str">
        <f aca="false">IF(G665="","",RANK(G665,$G$2:$G$1179,0))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IF(G666="","",G666/SUMIFS($G$2:$G$1179,$F$2:$F$1179,"Served"))</f>
        <v/>
      </c>
      <c r="I666" s="4" t="str">
        <f aca="false">IF(G666="","",RANK(G666,$G$2:$G$1179,0))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IF(G667="","",G667/SUMIFS($G$2:$G$1179,$F$2:$F$1179,"Served"))</f>
        <v/>
      </c>
      <c r="I667" s="4" t="str">
        <f aca="false">IF(G667="","",RANK(G667,$G$2:$G$1179,0))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IF(G668="","",G668/SUMIFS($G$2:$G$1179,$F$2:$F$1179,"Served"))</f>
        <v/>
      </c>
      <c r="I668" s="4" t="str">
        <f aca="false">IF(G668="","",RANK(G668,$G$2:$G$1179,0))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IF(G669="","",G669/SUMIFS($G$2:$G$1179,$F$2:$F$1179,"Served"))</f>
        <v/>
      </c>
      <c r="I669" s="4" t="str">
        <f aca="false">IF(G669="","",RANK(G669,$G$2:$G$1179,0))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IF(G670="","",G670/SUMIFS($G$2:$G$1179,$F$2:$F$1179,"Served"))</f>
        <v/>
      </c>
      <c r="I670" s="4" t="str">
        <f aca="false">IF(G670="","",RANK(G670,$G$2:$G$1179,0))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IF(G671="","",G671/SUMIFS($G$2:$G$1179,$F$2:$F$1179,"Served"))</f>
        <v/>
      </c>
      <c r="I671" s="4" t="str">
        <f aca="false">IF(G671="","",RANK(G671,$G$2:$G$1179,0))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IF(G672="","",G672/SUMIFS($G$2:$G$1179,$F$2:$F$1179,"Served"))</f>
        <v/>
      </c>
      <c r="I672" s="4" t="str">
        <f aca="false">IF(G672="","",RANK(G672,$G$2:$G$1179,0))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IF(G673="","",G673/SUMIFS($G$2:$G$1179,$F$2:$F$1179,"Served"))</f>
        <v/>
      </c>
      <c r="I673" s="4" t="str">
        <f aca="false">IF(G673="","",RANK(G673,$G$2:$G$1179,0))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IF(G674="","",G674/SUMIFS($G$2:$G$1179,$F$2:$F$1179,"Served"))</f>
        <v/>
      </c>
      <c r="I674" s="4" t="str">
        <f aca="false">IF(G674="","",RANK(G674,$G$2:$G$1179,0))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IF(G675="","",G675/SUMIFS($G$2:$G$1179,$F$2:$F$1179,"Served"))</f>
        <v/>
      </c>
      <c r="I675" s="4" t="str">
        <f aca="false">IF(G675="","",RANK(G675,$G$2:$G$1179,0))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IF(G676="","",G676/SUMIFS($G$2:$G$1179,$F$2:$F$1179,"Served"))</f>
        <v/>
      </c>
      <c r="I676" s="4" t="str">
        <f aca="false">IF(G676="","",RANK(G676,$G$2:$G$1179,0))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IF(G677="","",G677/SUMIFS($G$2:$G$1179,$F$2:$F$1179,"Served"))</f>
        <v/>
      </c>
      <c r="I677" s="4" t="str">
        <f aca="false">IF(G677="","",RANK(G677,$G$2:$G$1179,0))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IF(G678="","",G678/SUMIFS($G$2:$G$1179,$F$2:$F$1179,"Served"))</f>
        <v/>
      </c>
      <c r="I678" s="4" t="str">
        <f aca="false">IF(G678="","",RANK(G678,$G$2:$G$1179,0))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IF(G679="","",G679/SUMIFS($G$2:$G$1179,$F$2:$F$1179,"Served"))</f>
        <v/>
      </c>
      <c r="I679" s="4" t="str">
        <f aca="false">IF(G679="","",RANK(G679,$G$2:$G$1179,0))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IF(G680="","",G680/SUMIFS($G$2:$G$1179,$F$2:$F$1179,"Served"))</f>
        <v/>
      </c>
      <c r="I680" s="4" t="str">
        <f aca="false">IF(G680="","",RANK(G680,$G$2:$G$1179,0))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IF(G681="","",G681/SUMIFS($G$2:$G$1179,$F$2:$F$1179,"Served"))</f>
        <v/>
      </c>
      <c r="I681" s="4" t="str">
        <f aca="false">IF(G681="","",RANK(G681,$G$2:$G$1179,0))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IF(G682="","",G682/SUMIFS($G$2:$G$1179,$F$2:$F$1179,"Served"))</f>
        <v/>
      </c>
      <c r="I682" s="4" t="str">
        <f aca="false">IF(G682="","",RANK(G682,$G$2:$G$1179,0))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IF(G683="","",G683/SUMIFS($G$2:$G$1179,$F$2:$F$1179,"Served"))</f>
        <v/>
      </c>
      <c r="I683" s="4" t="str">
        <f aca="false">IF(G683="","",RANK(G683,$G$2:$G$1179,0))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IF(G684="","",G684/SUMIFS($G$2:$G$1179,$F$2:$F$1179,"Served"))</f>
        <v/>
      </c>
      <c r="I684" s="4" t="str">
        <f aca="false">IF(G684="","",RANK(G684,$G$2:$G$1179,0))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IF(G685="","",G685/SUMIFS($G$2:$G$1179,$F$2:$F$1179,"Served"))</f>
        <v/>
      </c>
      <c r="I685" s="4" t="str">
        <f aca="false">IF(G685="","",RANK(G685,$G$2:$G$1179,0))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IF(G686="","",G686/SUMIFS($G$2:$G$1179,$F$2:$F$1179,"Served"))</f>
        <v/>
      </c>
      <c r="I686" s="4" t="str">
        <f aca="false">IF(G686="","",RANK(G686,$G$2:$G$1179,0))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IF(G687="","",G687/SUMIFS($G$2:$G$1179,$F$2:$F$1179,"Served"))</f>
        <v/>
      </c>
      <c r="I687" s="4" t="str">
        <f aca="false">IF(G687="","",RANK(G687,$G$2:$G$1179,0))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IF(G688="","",G688/SUMIFS($G$2:$G$1179,$F$2:$F$1179,"Served"))</f>
        <v/>
      </c>
      <c r="I688" s="4" t="str">
        <f aca="false">IF(G688="","",RANK(G688,$G$2:$G$1179,0))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IF(G689="","",G689/SUMIFS($G$2:$G$1179,$F$2:$F$1179,"Served"))</f>
        <v/>
      </c>
      <c r="I689" s="4" t="str">
        <f aca="false">IF(G689="","",RANK(G689,$G$2:$G$1179,0))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IF(G690="","",G690/SUMIFS($G$2:$G$1179,$F$2:$F$1179,"Served"))</f>
        <v/>
      </c>
      <c r="I690" s="4" t="str">
        <f aca="false">IF(G690="","",RANK(G690,$G$2:$G$1179,0))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IF(G691="","",G691/SUMIFS($G$2:$G$1179,$F$2:$F$1179,"Served"))</f>
        <v/>
      </c>
      <c r="I691" s="4" t="str">
        <f aca="false">IF(G691="","",RANK(G691,$G$2:$G$1179,0))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IF(G692="","",G692/SUMIFS($G$2:$G$1179,$F$2:$F$1179,"Served"))</f>
        <v/>
      </c>
      <c r="I692" s="4" t="str">
        <f aca="false">IF(G692="","",RANK(G692,$G$2:$G$1179,0))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IF(G693="","",G693/SUMIFS($G$2:$G$1179,$F$2:$F$1179,"Served"))</f>
        <v/>
      </c>
      <c r="I693" s="4" t="str">
        <f aca="false">IF(G693="","",RANK(G693,$G$2:$G$1179,0))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IF(G694="","",G694/SUMIFS($G$2:$G$1179,$F$2:$F$1179,"Served"))</f>
        <v/>
      </c>
      <c r="I694" s="4" t="str">
        <f aca="false">IF(G694="","",RANK(G694,$G$2:$G$1179,0))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IF(G695="","",G695/SUMIFS($G$2:$G$1179,$F$2:$F$1179,"Served"))</f>
        <v/>
      </c>
      <c r="I695" s="4" t="str">
        <f aca="false">IF(G695="","",RANK(G695,$G$2:$G$1179,0))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IF(G696="","",G696/SUMIFS($G$2:$G$1179,$F$2:$F$1179,"Served"))</f>
        <v/>
      </c>
      <c r="I696" s="4" t="str">
        <f aca="false">IF(G696="","",RANK(G696,$G$2:$G$1179,0))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IF(G697="","",G697/SUMIFS($G$2:$G$1179,$F$2:$F$1179,"Served"))</f>
        <v/>
      </c>
      <c r="I697" s="4" t="str">
        <f aca="false">IF(G697="","",RANK(G697,$G$2:$G$1179,0))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IF(G698="","",G698/SUMIFS($G$2:$G$1179,$F$2:$F$1179,"Served"))</f>
        <v/>
      </c>
      <c r="I698" s="4" t="str">
        <f aca="false">IF(G698="","",RANK(G698,$G$2:$G$1179,0))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IF(G699="","",G699/SUMIFS($G$2:$G$1179,$F$2:$F$1179,"Served"))</f>
        <v/>
      </c>
      <c r="I699" s="4" t="str">
        <f aca="false">IF(G699="","",RANK(G699,$G$2:$G$1179,0))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IF(G700="","",G700/SUMIFS($G$2:$G$1179,$F$2:$F$1179,"Served"))</f>
        <v/>
      </c>
      <c r="I700" s="4" t="str">
        <f aca="false">IF(G700="","",RANK(G700,$G$2:$G$1179,0))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IF(G701="","",G701/SUMIFS($G$2:$G$1179,$F$2:$F$1179,"Served"))</f>
        <v/>
      </c>
      <c r="I701" s="4" t="str">
        <f aca="false">IF(G701="","",RANK(G701,$G$2:$G$1179,0))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IF(G702="","",G702/SUMIFS($G$2:$G$1179,$F$2:$F$1179,"Served"))</f>
        <v/>
      </c>
      <c r="I702" s="4" t="str">
        <f aca="false">IF(G702="","",RANK(G702,$G$2:$G$1179,0))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IF(G703="","",G703/SUMIFS($G$2:$G$1179,$F$2:$F$1179,"Served"))</f>
        <v/>
      </c>
      <c r="I703" s="4" t="str">
        <f aca="false">IF(G703="","",RANK(G703,$G$2:$G$1179,0))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IF(G704="","",G704/SUMIFS($G$2:$G$1179,$F$2:$F$1179,"Served"))</f>
        <v/>
      </c>
      <c r="I704" s="4" t="str">
        <f aca="false">IF(G704="","",RANK(G704,$G$2:$G$1179,0))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IF(G705="","",G705/SUMIFS($G$2:$G$1179,$F$2:$F$1179,"Served"))</f>
        <v/>
      </c>
      <c r="I705" s="4" t="str">
        <f aca="false">IF(G705="","",RANK(G705,$G$2:$G$1179,0))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IF(G706="","",G706/SUMIFS($G$2:$G$1179,$F$2:$F$1179,"Served"))</f>
        <v/>
      </c>
      <c r="I706" s="4" t="str">
        <f aca="false">IF(G706="","",RANK(G706,$G$2:$G$1179,0))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IF(G707="","",G707/SUMIFS($G$2:$G$1179,$F$2:$F$1179,"Served"))</f>
        <v/>
      </c>
      <c r="I707" s="4" t="str">
        <f aca="false">IF(G707="","",RANK(G707,$G$2:$G$1179,0))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IF(G708="","",G708/SUMIFS($G$2:$G$1179,$F$2:$F$1179,"Served"))</f>
        <v/>
      </c>
      <c r="I708" s="4" t="str">
        <f aca="false">IF(G708="","",RANK(G708,$G$2:$G$1179,0))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IF(G709="","",G709/SUMIFS($G$2:$G$1179,$F$2:$F$1179,"Served"))</f>
        <v/>
      </c>
      <c r="I709" s="4" t="str">
        <f aca="false">IF(G709="","",RANK(G709,$G$2:$G$1179,0))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IF(G710="","",G710/SUMIFS($G$2:$G$1179,$F$2:$F$1179,"Served"))</f>
        <v/>
      </c>
      <c r="I710" s="4" t="str">
        <f aca="false">IF(G710="","",RANK(G710,$G$2:$G$1179,0))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IF(G711="","",G711/SUMIFS($G$2:$G$1179,$F$2:$F$1179,"Served"))</f>
        <v/>
      </c>
      <c r="I711" s="4" t="str">
        <f aca="false">IF(G711="","",RANK(G711,$G$2:$G$1179,0))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IF(G712="","",G712/SUMIFS($G$2:$G$1179,$F$2:$F$1179,"Served"))</f>
        <v/>
      </c>
      <c r="I712" s="4" t="str">
        <f aca="false">IF(G712="","",RANK(G712,$G$2:$G$1179,0))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IF(G713="","",G713/SUMIFS($G$2:$G$1179,$F$2:$F$1179,"Served"))</f>
        <v/>
      </c>
      <c r="I713" s="4" t="str">
        <f aca="false">IF(G713="","",RANK(G713,$G$2:$G$1179,0))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IF(G714="","",G714/SUMIFS($G$2:$G$1179,$F$2:$F$1179,"Served"))</f>
        <v/>
      </c>
      <c r="I714" s="4" t="str">
        <f aca="false">IF(G714="","",RANK(G714,$G$2:$G$1179,0))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IF(G715="","",G715/SUMIFS($G$2:$G$1179,$F$2:$F$1179,"Served"))</f>
        <v/>
      </c>
      <c r="I715" s="4" t="str">
        <f aca="false">IF(G715="","",RANK(G715,$G$2:$G$1179,0))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IF(G716="","",G716/SUMIFS($G$2:$G$1179,$F$2:$F$1179,"Served"))</f>
        <v/>
      </c>
      <c r="I716" s="4" t="str">
        <f aca="false">IF(G716="","",RANK(G716,$G$2:$G$1179,0))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IF(G717="","",G717/SUMIFS($G$2:$G$1179,$F$2:$F$1179,"Served"))</f>
        <v/>
      </c>
      <c r="I717" s="4" t="str">
        <f aca="false">IF(G717="","",RANK(G717,$G$2:$G$1179,0))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IF(G718="","",G718/SUMIFS($G$2:$G$1179,$F$2:$F$1179,"Served"))</f>
        <v/>
      </c>
      <c r="I718" s="4" t="str">
        <f aca="false">IF(G718="","",RANK(G718,$G$2:$G$1179,0))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IF(G719="","",G719/SUMIFS($G$2:$G$1179,$F$2:$F$1179,"Served"))</f>
        <v/>
      </c>
      <c r="I719" s="4" t="str">
        <f aca="false">IF(G719="","",RANK(G719,$G$2:$G$1179,0))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IF(G720="","",G720/SUMIFS($G$2:$G$1179,$F$2:$F$1179,"Served"))</f>
        <v/>
      </c>
      <c r="I720" s="4" t="str">
        <f aca="false">IF(G720="","",RANK(G720,$G$2:$G$1179,0))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IF(G721="","",G721/SUMIFS($G$2:$G$1179,$F$2:$F$1179,"Served"))</f>
        <v/>
      </c>
      <c r="I721" s="4" t="str">
        <f aca="false">IF(G721="","",RANK(G721,$G$2:$G$1179,0))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IF(G722="","",G722/SUMIFS($G$2:$G$1179,$F$2:$F$1179,"Served"))</f>
        <v/>
      </c>
      <c r="I722" s="4" t="str">
        <f aca="false">IF(G722="","",RANK(G722,$G$2:$G$1179,0))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IF(G723="","",G723/SUMIFS($G$2:$G$1179,$F$2:$F$1179,"Served"))</f>
        <v/>
      </c>
      <c r="I723" s="4" t="str">
        <f aca="false">IF(G723="","",RANK(G723,$G$2:$G$1179,0))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IF(G724="","",G724/SUMIFS($G$2:$G$1179,$F$2:$F$1179,"Served"))</f>
        <v/>
      </c>
      <c r="I724" s="4" t="str">
        <f aca="false">IF(G724="","",RANK(G724,$G$2:$G$1179,0))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IF(G725="","",G725/SUMIFS($G$2:$G$1179,$F$2:$F$1179,"Served"))</f>
        <v/>
      </c>
      <c r="I725" s="4" t="str">
        <f aca="false">IF(G725="","",RANK(G725,$G$2:$G$1179,0))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IF(G726="","",G726/SUMIFS($G$2:$G$1179,$F$2:$F$1179,"Served"))</f>
        <v/>
      </c>
      <c r="I726" s="4" t="str">
        <f aca="false">IF(G726="","",RANK(G726,$G$2:$G$1179,0))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IF(G727="","",G727/SUMIFS($G$2:$G$1179,$F$2:$F$1179,"Served"))</f>
        <v/>
      </c>
      <c r="I727" s="4" t="str">
        <f aca="false">IF(G727="","",RANK(G727,$G$2:$G$1179,0))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IF(G728="","",G728/SUMIFS($G$2:$G$1179,$F$2:$F$1179,"Served"))</f>
        <v/>
      </c>
      <c r="I728" s="4" t="str">
        <f aca="false">IF(G728="","",RANK(G728,$G$2:$G$1179,0))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IF(G729="","",G729/SUMIFS($G$2:$G$1179,$F$2:$F$1179,"Served"))</f>
        <v/>
      </c>
      <c r="I729" s="4" t="str">
        <f aca="false">IF(G729="","",RANK(G729,$G$2:$G$1179,0))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IF(G730="","",G730/SUMIFS($G$2:$G$1179,$F$2:$F$1179,"Served"))</f>
        <v/>
      </c>
      <c r="I730" s="4" t="str">
        <f aca="false">IF(G730="","",RANK(G730,$G$2:$G$1179,0))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IF(G731="","",G731/SUMIFS($G$2:$G$1179,$F$2:$F$1179,"Served"))</f>
        <v/>
      </c>
      <c r="I731" s="4" t="str">
        <f aca="false">IF(G731="","",RANK(G731,$G$2:$G$1179,0))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IF(G732="","",G732/SUMIFS($G$2:$G$1179,$F$2:$F$1179,"Served"))</f>
        <v/>
      </c>
      <c r="I732" s="4" t="str">
        <f aca="false">IF(G732="","",RANK(G732,$G$2:$G$1179,0))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IF(G733="","",G733/SUMIFS($G$2:$G$1179,$F$2:$F$1179,"Served"))</f>
        <v/>
      </c>
      <c r="I733" s="4" t="str">
        <f aca="false">IF(G733="","",RANK(G733,$G$2:$G$1179,0))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IF(G734="","",G734/SUMIFS($G$2:$G$1179,$F$2:$F$1179,"Served"))</f>
        <v/>
      </c>
      <c r="I734" s="4" t="str">
        <f aca="false">IF(G734="","",RANK(G734,$G$2:$G$1179,0))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IF(G735="","",G735/SUMIFS($G$2:$G$1179,$F$2:$F$1179,"Served"))</f>
        <v/>
      </c>
      <c r="I735" s="4" t="str">
        <f aca="false">IF(G735="","",RANK(G735,$G$2:$G$1179,0))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IF(G736="","",G736/SUMIFS($G$2:$G$1179,$F$2:$F$1179,"Served"))</f>
        <v/>
      </c>
      <c r="I736" s="4" t="str">
        <f aca="false">IF(G736="","",RANK(G736,$G$2:$G$1179,0))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IF(G737="","",G737/SUMIFS($G$2:$G$1179,$F$2:$F$1179,"Served"))</f>
        <v/>
      </c>
      <c r="I737" s="4" t="str">
        <f aca="false">IF(G737="","",RANK(G737,$G$2:$G$1179,0))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IF(G738="","",G738/SUMIFS($G$2:$G$1179,$F$2:$F$1179,"Served"))</f>
        <v/>
      </c>
      <c r="I738" s="4" t="str">
        <f aca="false">IF(G738="","",RANK(G738,$G$2:$G$1179,0))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IF(G739="","",G739/SUMIFS($G$2:$G$1179,$F$2:$F$1179,"Served"))</f>
        <v/>
      </c>
      <c r="I739" s="4" t="str">
        <f aca="false">IF(G739="","",RANK(G739,$G$2:$G$1179,0))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IF(G740="","",G740/SUMIFS($G$2:$G$1179,$F$2:$F$1179,"Served"))</f>
        <v/>
      </c>
      <c r="I740" s="4" t="str">
        <f aca="false">IF(G740="","",RANK(G740,$G$2:$G$1179,0))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IF(G741="","",G741/SUMIFS($G$2:$G$1179,$F$2:$F$1179,"Served"))</f>
        <v/>
      </c>
      <c r="I741" s="4" t="str">
        <f aca="false">IF(G741="","",RANK(G741,$G$2:$G$1179,0))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IF(G742="","",G742/SUMIFS($G$2:$G$1179,$F$2:$F$1179,"Served"))</f>
        <v/>
      </c>
      <c r="I742" s="4" t="str">
        <f aca="false">IF(G742="","",RANK(G742,$G$2:$G$1179,0))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IF(G743="","",G743/SUMIFS($G$2:$G$1179,$F$2:$F$1179,"Served"))</f>
        <v/>
      </c>
      <c r="I743" s="4" t="str">
        <f aca="false">IF(G743="","",RANK(G743,$G$2:$G$1179,0))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IF(G744="","",G744/SUMIFS($G$2:$G$1179,$F$2:$F$1179,"Served"))</f>
        <v/>
      </c>
      <c r="I744" s="4" t="str">
        <f aca="false">IF(G744="","",RANK(G744,$G$2:$G$1179,0))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IF(G745="","",G745/SUMIFS($G$2:$G$1179,$F$2:$F$1179,"Served"))</f>
        <v/>
      </c>
      <c r="I745" s="4" t="str">
        <f aca="false">IF(G745="","",RANK(G745,$G$2:$G$1179,0))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IF(G746="","",G746/SUMIFS($G$2:$G$1179,$F$2:$F$1179,"Served"))</f>
        <v/>
      </c>
      <c r="I746" s="4" t="str">
        <f aca="false">IF(G746="","",RANK(G746,$G$2:$G$1179,0))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IF(G747="","",G747/SUMIFS($G$2:$G$1179,$F$2:$F$1179,"Served"))</f>
        <v/>
      </c>
      <c r="I747" s="4" t="str">
        <f aca="false">IF(G747="","",RANK(G747,$G$2:$G$1179,0))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IF(G748="","",G748/SUMIFS($G$2:$G$1179,$F$2:$F$1179,"Served"))</f>
        <v/>
      </c>
      <c r="I748" s="4" t="str">
        <f aca="false">IF(G748="","",RANK(G748,$G$2:$G$1179,0))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IF(G749="","",G749/SUMIFS($G$2:$G$1179,$F$2:$F$1179,"Served"))</f>
        <v/>
      </c>
      <c r="I749" s="4" t="str">
        <f aca="false">IF(G749="","",RANK(G749,$G$2:$G$1179,0))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IF(G750="","",G750/SUMIFS($G$2:$G$1179,$F$2:$F$1179,"Served"))</f>
        <v/>
      </c>
      <c r="I750" s="4" t="str">
        <f aca="false">IF(G750="","",RANK(G750,$G$2:$G$1179,0))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IF(G751="","",G751/SUMIFS($G$2:$G$1179,$F$2:$F$1179,"Served"))</f>
        <v/>
      </c>
      <c r="I751" s="4" t="str">
        <f aca="false">IF(G751="","",RANK(G751,$G$2:$G$1179,0))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IF(G752="","",G752/SUMIFS($G$2:$G$1179,$F$2:$F$1179,"Served"))</f>
        <v/>
      </c>
      <c r="I752" s="4" t="str">
        <f aca="false">IF(G752="","",RANK(G752,$G$2:$G$1179,0))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IF(G753="","",G753/SUMIFS($G$2:$G$1179,$F$2:$F$1179,"Served"))</f>
        <v/>
      </c>
      <c r="I753" s="4" t="str">
        <f aca="false">IF(G753="","",RANK(G753,$G$2:$G$1179,0))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IF(G754="","",G754/SUMIFS($G$2:$G$1179,$F$2:$F$1179,"Served"))</f>
        <v/>
      </c>
      <c r="I754" s="4" t="str">
        <f aca="false">IF(G754="","",RANK(G754,$G$2:$G$1179,0))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IF(G755="","",G755/SUMIFS($G$2:$G$1179,$F$2:$F$1179,"Served"))</f>
        <v/>
      </c>
      <c r="I755" s="4" t="str">
        <f aca="false">IF(G755="","",RANK(G755,$G$2:$G$1179,0))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IF(G756="","",G756/SUMIFS($G$2:$G$1179,$F$2:$F$1179,"Served"))</f>
        <v/>
      </c>
      <c r="I756" s="4" t="str">
        <f aca="false">IF(G756="","",RANK(G756,$G$2:$G$1179,0))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IF(G757="","",G757/SUMIFS($G$2:$G$1179,$F$2:$F$1179,"Served"))</f>
        <v/>
      </c>
      <c r="I757" s="4" t="str">
        <f aca="false">IF(G757="","",RANK(G757,$G$2:$G$1179,0))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IF(G758="","",G758/SUMIFS($G$2:$G$1179,$F$2:$F$1179,"Served"))</f>
        <v/>
      </c>
      <c r="I758" s="4" t="str">
        <f aca="false">IF(G758="","",RANK(G758,$G$2:$G$1179,0))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IF(G759="","",G759/SUMIFS($G$2:$G$1179,$F$2:$F$1179,"Served"))</f>
        <v/>
      </c>
      <c r="I759" s="4" t="str">
        <f aca="false">IF(G759="","",RANK(G759,$G$2:$G$1179,0))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IF(G760="","",G760/SUMIFS($G$2:$G$1179,$F$2:$F$1179,"Served"))</f>
        <v/>
      </c>
      <c r="I760" s="4" t="str">
        <f aca="false">IF(G760="","",RANK(G760,$G$2:$G$1179,0))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IF(G761="","",G761/SUMIFS($G$2:$G$1179,$F$2:$F$1179,"Served"))</f>
        <v/>
      </c>
      <c r="I761" s="4" t="str">
        <f aca="false">IF(G761="","",RANK(G761,$G$2:$G$1179,0))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IF(G762="","",G762/SUMIFS($G$2:$G$1179,$F$2:$F$1179,"Served"))</f>
        <v/>
      </c>
      <c r="I762" s="4" t="str">
        <f aca="false">IF(G762="","",RANK(G762,$G$2:$G$1179,0))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IF(G763="","",G763/SUMIFS($G$2:$G$1179,$F$2:$F$1179,"Served"))</f>
        <v/>
      </c>
      <c r="I763" s="4" t="str">
        <f aca="false">IF(G763="","",RANK(G763,$G$2:$G$1179,0))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IF(G764="","",G764/SUMIFS($G$2:$G$1179,$F$2:$F$1179,"Served"))</f>
        <v/>
      </c>
      <c r="I764" s="4" t="str">
        <f aca="false">IF(G764="","",RANK(G764,$G$2:$G$1179,0))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IF(G765="","",G765/SUMIFS($G$2:$G$1179,$F$2:$F$1179,"Served"))</f>
        <v/>
      </c>
      <c r="I765" s="4" t="str">
        <f aca="false">IF(G765="","",RANK(G765,$G$2:$G$1179,0))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IF(G766="","",G766/SUMIFS($G$2:$G$1179,$F$2:$F$1179,"Served"))</f>
        <v/>
      </c>
      <c r="I766" s="4" t="str">
        <f aca="false">IF(G766="","",RANK(G766,$G$2:$G$1179,0))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IF(G767="","",G767/SUMIFS($G$2:$G$1179,$F$2:$F$1179,"Served"))</f>
        <v/>
      </c>
      <c r="I767" s="4" t="str">
        <f aca="false">IF(G767="","",RANK(G767,$G$2:$G$1179,0))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IF(G768="","",G768/SUMIFS($G$2:$G$1179,$F$2:$F$1179,"Served"))</f>
        <v/>
      </c>
      <c r="I768" s="4" t="str">
        <f aca="false">IF(G768="","",RANK(G768,$G$2:$G$1179,0))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IF(G769="","",G769/SUMIFS($G$2:$G$1179,$F$2:$F$1179,"Served"))</f>
        <v/>
      </c>
      <c r="I769" s="4" t="str">
        <f aca="false">IF(G769="","",RANK(G769,$G$2:$G$1179,0))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IF(G770="","",G770/SUMIFS($G$2:$G$1179,$F$2:$F$1179,"Served"))</f>
        <v/>
      </c>
      <c r="I770" s="4" t="str">
        <f aca="false">IF(G770="","",RANK(G770,$G$2:$G$1179,0))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IF(G771="","",G771/SUMIFS($G$2:$G$1179,$F$2:$F$1179,"Served"))</f>
        <v/>
      </c>
      <c r="I771" s="4" t="str">
        <f aca="false">IF(G771="","",RANK(G771,$G$2:$G$1179,0))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IF(G772="","",G772/SUMIFS($G$2:$G$1179,$F$2:$F$1179,"Served"))</f>
        <v/>
      </c>
      <c r="I772" s="4" t="str">
        <f aca="false">IF(G772="","",RANK(G772,$G$2:$G$1179,0))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IF(G773="","",G773/SUMIFS($G$2:$G$1179,$F$2:$F$1179,"Served"))</f>
        <v/>
      </c>
      <c r="I773" s="4" t="str">
        <f aca="false">IF(G773="","",RANK(G773,$G$2:$G$1179,0))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IF(G774="","",G774/SUMIFS($G$2:$G$1179,$F$2:$F$1179,"Served"))</f>
        <v/>
      </c>
      <c r="I774" s="4" t="str">
        <f aca="false">IF(G774="","",RANK(G774,$G$2:$G$1179,0))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IF(G775="","",G775/SUMIFS($G$2:$G$1179,$F$2:$F$1179,"Served"))</f>
        <v/>
      </c>
      <c r="I775" s="4" t="str">
        <f aca="false">IF(G775="","",RANK(G775,$G$2:$G$1179,0))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IF(G776="","",G776/SUMIFS($G$2:$G$1179,$F$2:$F$1179,"Served"))</f>
        <v/>
      </c>
      <c r="I776" s="4" t="str">
        <f aca="false">IF(G776="","",RANK(G776,$G$2:$G$1179,0))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IF(G777="","",G777/SUMIFS($G$2:$G$1179,$F$2:$F$1179,"Served"))</f>
        <v/>
      </c>
      <c r="I777" s="4" t="str">
        <f aca="false">IF(G777="","",RANK(G777,$G$2:$G$1179,0))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IF(G778="","",G778/SUMIFS($G$2:$G$1179,$F$2:$F$1179,"Served"))</f>
        <v/>
      </c>
      <c r="I778" s="4" t="str">
        <f aca="false">IF(G778="","",RANK(G778,$G$2:$G$1179,0))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IF(G779="","",G779/SUMIFS($G$2:$G$1179,$F$2:$F$1179,"Served"))</f>
        <v/>
      </c>
      <c r="I779" s="4" t="str">
        <f aca="false">IF(G779="","",RANK(G779,$G$2:$G$1179,0))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IF(G780="","",G780/SUMIFS($G$2:$G$1179,$F$2:$F$1179,"Served"))</f>
        <v/>
      </c>
      <c r="I780" s="4" t="str">
        <f aca="false">IF(G780="","",RANK(G780,$G$2:$G$1179,0))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IF(G781="","",G781/SUMIFS($G$2:$G$1179,$F$2:$F$1179,"Served"))</f>
        <v/>
      </c>
      <c r="I781" s="4" t="str">
        <f aca="false">IF(G781="","",RANK(G781,$G$2:$G$1179,0))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IF(G782="","",G782/SUMIFS($G$2:$G$1179,$F$2:$F$1179,"Served"))</f>
        <v/>
      </c>
      <c r="I782" s="4" t="str">
        <f aca="false">IF(G782="","",RANK(G782,$G$2:$G$1179,0))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IF(G783="","",G783/SUMIFS($G$2:$G$1179,$F$2:$F$1179,"Served"))</f>
        <v/>
      </c>
      <c r="I783" s="4" t="str">
        <f aca="false">IF(G783="","",RANK(G783,$G$2:$G$1179,0))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IF(G784="","",G784/SUMIFS($G$2:$G$1179,$F$2:$F$1179,"Served"))</f>
        <v/>
      </c>
      <c r="I784" s="4" t="str">
        <f aca="false">IF(G784="","",RANK(G784,$G$2:$G$1179,0))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IF(G785="","",G785/SUMIFS($G$2:$G$1179,$F$2:$F$1179,"Served"))</f>
        <v/>
      </c>
      <c r="I785" s="4" t="str">
        <f aca="false">IF(G785="","",RANK(G785,$G$2:$G$1179,0))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IF(G786="","",G786/SUMIFS($G$2:$G$1179,$F$2:$F$1179,"Served"))</f>
        <v/>
      </c>
      <c r="I786" s="4" t="str">
        <f aca="false">IF(G786="","",RANK(G786,$G$2:$G$1179,0))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IF(G787="","",G787/SUMIFS($G$2:$G$1179,$F$2:$F$1179,"Served"))</f>
        <v/>
      </c>
      <c r="I787" s="4" t="str">
        <f aca="false">IF(G787="","",RANK(G787,$G$2:$G$1179,0))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IF(G788="","",G788/SUMIFS($G$2:$G$1179,$F$2:$F$1179,"Served"))</f>
        <v/>
      </c>
      <c r="I788" s="4" t="str">
        <f aca="false">IF(G788="","",RANK(G788,$G$2:$G$1179,0))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IF(G789="","",G789/SUMIFS($G$2:$G$1179,$F$2:$F$1179,"Served"))</f>
        <v/>
      </c>
      <c r="I789" s="4" t="str">
        <f aca="false">IF(G789="","",RANK(G789,$G$2:$G$1179,0))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IF(G790="","",G790/SUMIFS($G$2:$G$1179,$F$2:$F$1179,"Served"))</f>
        <v/>
      </c>
      <c r="I790" s="4" t="str">
        <f aca="false">IF(G790="","",RANK(G790,$G$2:$G$1179,0))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IF(G791="","",G791/SUMIFS($G$2:$G$1179,$F$2:$F$1179,"Served"))</f>
        <v/>
      </c>
      <c r="I791" s="4" t="str">
        <f aca="false">IF(G791="","",RANK(G791,$G$2:$G$1179,0))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IF(G792="","",G792/SUMIFS($G$2:$G$1179,$F$2:$F$1179,"Served"))</f>
        <v/>
      </c>
      <c r="I792" s="4" t="str">
        <f aca="false">IF(G792="","",RANK(G792,$G$2:$G$1179,0))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IF(G793="","",G793/SUMIFS($G$2:$G$1179,$F$2:$F$1179,"Served"))</f>
        <v/>
      </c>
      <c r="I793" s="4" t="str">
        <f aca="false">IF(G793="","",RANK(G793,$G$2:$G$1179,0))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IF(G794="","",G794/SUMIFS($G$2:$G$1179,$F$2:$F$1179,"Served"))</f>
        <v/>
      </c>
      <c r="I794" s="4" t="str">
        <f aca="false">IF(G794="","",RANK(G794,$G$2:$G$1179,0))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IF(G795="","",G795/SUMIFS($G$2:$G$1179,$F$2:$F$1179,"Served"))</f>
        <v/>
      </c>
      <c r="I795" s="4" t="str">
        <f aca="false">IF(G795="","",RANK(G795,$G$2:$G$1179,0))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IF(G796="","",G796/SUMIFS($G$2:$G$1179,$F$2:$F$1179,"Served"))</f>
        <v/>
      </c>
      <c r="I796" s="4" t="str">
        <f aca="false">IF(G796="","",RANK(G796,$G$2:$G$1179,0))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IF(G797="","",G797/SUMIFS($G$2:$G$1179,$F$2:$F$1179,"Served"))</f>
        <v/>
      </c>
      <c r="I797" s="4" t="str">
        <f aca="false">IF(G797="","",RANK(G797,$G$2:$G$1179,0))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IF(G798="","",G798/SUMIFS($G$2:$G$1179,$F$2:$F$1179,"Served"))</f>
        <v/>
      </c>
      <c r="I798" s="4" t="str">
        <f aca="false">IF(G798="","",RANK(G798,$G$2:$G$1179,0))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IF(G799="","",G799/SUMIFS($G$2:$G$1179,$F$2:$F$1179,"Served"))</f>
        <v/>
      </c>
      <c r="I799" s="4" t="str">
        <f aca="false">IF(G799="","",RANK(G799,$G$2:$G$1179,0))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IF(G800="","",G800/SUMIFS($G$2:$G$1179,$F$2:$F$1179,"Served"))</f>
        <v/>
      </c>
      <c r="I800" s="4" t="str">
        <f aca="false">IF(G800="","",RANK(G800,$G$2:$G$1179,0))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IF(G801="","",G801/SUMIFS($G$2:$G$1179,$F$2:$F$1179,"Served"))</f>
        <v/>
      </c>
      <c r="I801" s="4" t="str">
        <f aca="false">IF(G801="","",RANK(G801,$G$2:$G$1179,0))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IF(G802="","",G802/SUMIFS($G$2:$G$1179,$F$2:$F$1179,"Served"))</f>
        <v/>
      </c>
      <c r="I802" s="4" t="str">
        <f aca="false">IF(G802="","",RANK(G802,$G$2:$G$1179,0))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IF(G803="","",G803/SUMIFS($G$2:$G$1179,$F$2:$F$1179,"Served"))</f>
        <v/>
      </c>
      <c r="I803" s="4" t="str">
        <f aca="false">IF(G803="","",RANK(G803,$G$2:$G$1179,0))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IF(G804="","",G804/SUMIFS($G$2:$G$1179,$F$2:$F$1179,"Served"))</f>
        <v/>
      </c>
      <c r="I804" s="4" t="str">
        <f aca="false">IF(G804="","",RANK(G804,$G$2:$G$1179,0))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IF(G805="","",G805/SUMIFS($G$2:$G$1179,$F$2:$F$1179,"Served"))</f>
        <v/>
      </c>
      <c r="I805" s="4" t="str">
        <f aca="false">IF(G805="","",RANK(G805,$G$2:$G$1179,0))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IF(G806="","",G806/SUMIFS($G$2:$G$1179,$F$2:$F$1179,"Served"))</f>
        <v/>
      </c>
      <c r="I806" s="4" t="str">
        <f aca="false">IF(G806="","",RANK(G806,$G$2:$G$1179,0))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IF(G807="","",G807/SUMIFS($G$2:$G$1179,$F$2:$F$1179,"Served"))</f>
        <v/>
      </c>
      <c r="I807" s="4" t="str">
        <f aca="false">IF(G807="","",RANK(G807,$G$2:$G$1179,0))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IF(G808="","",G808/SUMIFS($G$2:$G$1179,$F$2:$F$1179,"Served"))</f>
        <v/>
      </c>
      <c r="I808" s="4" t="str">
        <f aca="false">IF(G808="","",RANK(G808,$G$2:$G$1179,0))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IF(G809="","",G809/SUMIFS($G$2:$G$1179,$F$2:$F$1179,"Served"))</f>
        <v/>
      </c>
      <c r="I809" s="4" t="str">
        <f aca="false">IF(G809="","",RANK(G809,$G$2:$G$1179,0))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IF(G810="","",G810/SUMIFS($G$2:$G$1179,$F$2:$F$1179,"Served"))</f>
        <v/>
      </c>
      <c r="I810" s="4" t="str">
        <f aca="false">IF(G810="","",RANK(G810,$G$2:$G$1179,0))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IF(G811="","",G811/SUMIFS($G$2:$G$1179,$F$2:$F$1179,"Served"))</f>
        <v/>
      </c>
      <c r="I811" s="4" t="str">
        <f aca="false">IF(G811="","",RANK(G811,$G$2:$G$1179,0))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IF(G812="","",G812/SUMIFS($G$2:$G$1179,$F$2:$F$1179,"Served"))</f>
        <v/>
      </c>
      <c r="I812" s="4" t="str">
        <f aca="false">IF(G812="","",RANK(G812,$G$2:$G$1179,0))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IF(G813="","",G813/SUMIFS($G$2:$G$1179,$F$2:$F$1179,"Served"))</f>
        <v/>
      </c>
      <c r="I813" s="4" t="str">
        <f aca="false">IF(G813="","",RANK(G813,$G$2:$G$1179,0))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IF(G814="","",G814/SUMIFS($G$2:$G$1179,$F$2:$F$1179,"Served"))</f>
        <v/>
      </c>
      <c r="I814" s="4" t="str">
        <f aca="false">IF(G814="","",RANK(G814,$G$2:$G$1179,0))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IF(G815="","",G815/SUMIFS($G$2:$G$1179,$F$2:$F$1179,"Served"))</f>
        <v/>
      </c>
      <c r="I815" s="4" t="str">
        <f aca="false">IF(G815="","",RANK(G815,$G$2:$G$1179,0))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IF(G816="","",G816/SUMIFS($G$2:$G$1179,$F$2:$F$1179,"Served"))</f>
        <v/>
      </c>
      <c r="I816" s="4" t="str">
        <f aca="false">IF(G816="","",RANK(G816,$G$2:$G$1179,0))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IF(G817="","",G817/SUMIFS($G$2:$G$1179,$F$2:$F$1179,"Served"))</f>
        <v/>
      </c>
      <c r="I817" s="4" t="str">
        <f aca="false">IF(G817="","",RANK(G817,$G$2:$G$1179,0))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IF(G818="","",G818/SUMIFS($G$2:$G$1179,$F$2:$F$1179,"Served"))</f>
        <v/>
      </c>
      <c r="I818" s="4" t="str">
        <f aca="false">IF(G818="","",RANK(G818,$G$2:$G$1179,0))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IF(G819="","",G819/SUMIFS($G$2:$G$1179,$F$2:$F$1179,"Served"))</f>
        <v/>
      </c>
      <c r="I819" s="4" t="str">
        <f aca="false">IF(G819="","",RANK(G819,$G$2:$G$1179,0))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IF(G820="","",G820/SUMIFS($G$2:$G$1179,$F$2:$F$1179,"Served"))</f>
        <v/>
      </c>
      <c r="I820" s="4" t="str">
        <f aca="false">IF(G820="","",RANK(G820,$G$2:$G$1179,0))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IF(G821="","",G821/SUMIFS($G$2:$G$1179,$F$2:$F$1179,"Served"))</f>
        <v/>
      </c>
      <c r="I821" s="4" t="str">
        <f aca="false">IF(G821="","",RANK(G821,$G$2:$G$1179,0))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IF(G822="","",G822/SUMIFS($G$2:$G$1179,$F$2:$F$1179,"Served"))</f>
        <v/>
      </c>
      <c r="I822" s="4" t="str">
        <f aca="false">IF(G822="","",RANK(G822,$G$2:$G$1179,0))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IF(G823="","",G823/SUMIFS($G$2:$G$1179,$F$2:$F$1179,"Served"))</f>
        <v/>
      </c>
      <c r="I823" s="4" t="str">
        <f aca="false">IF(G823="","",RANK(G823,$G$2:$G$1179,0))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IF(G824="","",G824/SUMIFS($G$2:$G$1179,$F$2:$F$1179,"Served"))</f>
        <v/>
      </c>
      <c r="I824" s="4" t="str">
        <f aca="false">IF(G824="","",RANK(G824,$G$2:$G$1179,0))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IF(G825="","",G825/SUMIFS($G$2:$G$1179,$F$2:$F$1179,"Served"))</f>
        <v/>
      </c>
      <c r="I825" s="4" t="str">
        <f aca="false">IF(G825="","",RANK(G825,$G$2:$G$1179,0))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IF(G826="","",G826/SUMIFS($G$2:$G$1179,$F$2:$F$1179,"Served"))</f>
        <v/>
      </c>
      <c r="I826" s="4" t="str">
        <f aca="false">IF(G826="","",RANK(G826,$G$2:$G$1179,0))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IF(G827="","",G827/SUMIFS($G$2:$G$1179,$F$2:$F$1179,"Served"))</f>
        <v/>
      </c>
      <c r="I827" s="4" t="str">
        <f aca="false">IF(G827="","",RANK(G827,$G$2:$G$1179,0))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IF(G828="","",G828/SUMIFS($G$2:$G$1179,$F$2:$F$1179,"Served"))</f>
        <v/>
      </c>
      <c r="I828" s="4" t="str">
        <f aca="false">IF(G828="","",RANK(G828,$G$2:$G$1179,0))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IF(G829="","",G829/SUMIFS($G$2:$G$1179,$F$2:$F$1179,"Served"))</f>
        <v/>
      </c>
      <c r="I829" s="4" t="str">
        <f aca="false">IF(G829="","",RANK(G829,$G$2:$G$1179,0))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IF(G830="","",G830/SUMIFS($G$2:$G$1179,$F$2:$F$1179,"Served"))</f>
        <v/>
      </c>
      <c r="I830" s="4" t="str">
        <f aca="false">IF(G830="","",RANK(G830,$G$2:$G$1179,0))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IF(G831="","",G831/SUMIFS($G$2:$G$1179,$F$2:$F$1179,"Served"))</f>
        <v/>
      </c>
      <c r="I831" s="4" t="str">
        <f aca="false">IF(G831="","",RANK(G831,$G$2:$G$1179,0))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IF(G832="","",G832/SUMIFS($G$2:$G$1179,$F$2:$F$1179,"Served"))</f>
        <v/>
      </c>
      <c r="I832" s="4" t="str">
        <f aca="false">IF(G832="","",RANK(G832,$G$2:$G$1179,0))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IF(G833="","",G833/SUMIFS($G$2:$G$1179,$F$2:$F$1179,"Served"))</f>
        <v/>
      </c>
      <c r="I833" s="4" t="str">
        <f aca="false">IF(G833="","",RANK(G833,$G$2:$G$1179,0))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IF(G834="","",G834/SUMIFS($G$2:$G$1179,$F$2:$F$1179,"Served"))</f>
        <v/>
      </c>
      <c r="I834" s="4" t="str">
        <f aca="false">IF(G834="","",RANK(G834,$G$2:$G$1179,0))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IF(G835="","",G835/SUMIFS($G$2:$G$1179,$F$2:$F$1179,"Served"))</f>
        <v/>
      </c>
      <c r="I835" s="4" t="str">
        <f aca="false">IF(G835="","",RANK(G835,$G$2:$G$1179,0))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IF(G836="","",G836/SUMIFS($G$2:$G$1179,$F$2:$F$1179,"Served"))</f>
        <v/>
      </c>
      <c r="I836" s="4" t="str">
        <f aca="false">IF(G836="","",RANK(G836,$G$2:$G$1179,0))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IF(G837="","",G837/SUMIFS($G$2:$G$1179,$F$2:$F$1179,"Served"))</f>
        <v/>
      </c>
      <c r="I837" s="4" t="str">
        <f aca="false">IF(G837="","",RANK(G837,$G$2:$G$1179,0))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IF(G838="","",G838/SUMIFS($G$2:$G$1179,$F$2:$F$1179,"Served"))</f>
        <v/>
      </c>
      <c r="I838" s="4" t="str">
        <f aca="false">IF(G838="","",RANK(G838,$G$2:$G$1179,0))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IF(G839="","",G839/SUMIFS($G$2:$G$1179,$F$2:$F$1179,"Served"))</f>
        <v/>
      </c>
      <c r="I839" s="4" t="str">
        <f aca="false">IF(G839="","",RANK(G839,$G$2:$G$1179,0))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IF(G840="","",G840/SUMIFS($G$2:$G$1179,$F$2:$F$1179,"Served"))</f>
        <v/>
      </c>
      <c r="I840" s="4" t="str">
        <f aca="false">IF(G840="","",RANK(G840,$G$2:$G$1179,0))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IF(G841="","",G841/SUMIFS($G$2:$G$1179,$F$2:$F$1179,"Served"))</f>
        <v/>
      </c>
      <c r="I841" s="4" t="str">
        <f aca="false">IF(G841="","",RANK(G841,$G$2:$G$1179,0))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IF(G842="","",G842/SUMIFS($G$2:$G$1179,$F$2:$F$1179,"Served"))</f>
        <v/>
      </c>
      <c r="I842" s="4" t="str">
        <f aca="false">IF(G842="","",RANK(G842,$G$2:$G$1179,0))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IF(G843="","",G843/SUMIFS($G$2:$G$1179,$F$2:$F$1179,"Served"))</f>
        <v/>
      </c>
      <c r="I843" s="4" t="str">
        <f aca="false">IF(G843="","",RANK(G843,$G$2:$G$1179,0))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IF(G844="","",G844/SUMIFS($G$2:$G$1179,$F$2:$F$1179,"Served"))</f>
        <v/>
      </c>
      <c r="I844" s="4" t="str">
        <f aca="false">IF(G844="","",RANK(G844,$G$2:$G$1179,0))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IF(G845="","",G845/SUMIFS($G$2:$G$1179,$F$2:$F$1179,"Served"))</f>
        <v/>
      </c>
      <c r="I845" s="4" t="str">
        <f aca="false">IF(G845="","",RANK(G845,$G$2:$G$1179,0))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IF(G846="","",G846/SUMIFS($G$2:$G$1179,$F$2:$F$1179,"Served"))</f>
        <v/>
      </c>
      <c r="I846" s="4" t="str">
        <f aca="false">IF(G846="","",RANK(G846,$G$2:$G$1179,0))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IF(G847="","",G847/SUMIFS($G$2:$G$1179,$F$2:$F$1179,"Served"))</f>
        <v/>
      </c>
      <c r="I847" s="4" t="str">
        <f aca="false">IF(G847="","",RANK(G847,$G$2:$G$1179,0))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IF(G848="","",G848/SUMIFS($G$2:$G$1179,$F$2:$F$1179,"Served"))</f>
        <v/>
      </c>
      <c r="I848" s="4" t="str">
        <f aca="false">IF(G848="","",RANK(G848,$G$2:$G$1179,0))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IF(G849="","",G849/SUMIFS($G$2:$G$1179,$F$2:$F$1179,"Served"))</f>
        <v/>
      </c>
      <c r="I849" s="4" t="str">
        <f aca="false">IF(G849="","",RANK(G849,$G$2:$G$1179,0))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IF(G850="","",G850/SUMIFS($G$2:$G$1179,$F$2:$F$1179,"Served"))</f>
        <v/>
      </c>
      <c r="I850" s="4" t="str">
        <f aca="false">IF(G850="","",RANK(G850,$G$2:$G$1179,0))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IF(G851="","",G851/SUMIFS($G$2:$G$1179,$F$2:$F$1179,"Served"))</f>
        <v/>
      </c>
      <c r="I851" s="4" t="str">
        <f aca="false">IF(G851="","",RANK(G851,$G$2:$G$1179,0))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IF(G852="","",G852/SUMIFS($G$2:$G$1179,$F$2:$F$1179,"Served"))</f>
        <v/>
      </c>
      <c r="I852" s="4" t="str">
        <f aca="false">IF(G852="","",RANK(G852,$G$2:$G$1179,0))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IF(G853="","",G853/SUMIFS($G$2:$G$1179,$F$2:$F$1179,"Served"))</f>
        <v/>
      </c>
      <c r="I853" s="4" t="str">
        <f aca="false">IF(G853="","",RANK(G853,$G$2:$G$1179,0))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IF(G854="","",G854/SUMIFS($G$2:$G$1179,$F$2:$F$1179,"Served"))</f>
        <v/>
      </c>
      <c r="I854" s="4" t="str">
        <f aca="false">IF(G854="","",RANK(G854,$G$2:$G$1179,0))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IF(G855="","",G855/SUMIFS($G$2:$G$1179,$F$2:$F$1179,"Served"))</f>
        <v/>
      </c>
      <c r="I855" s="4" t="str">
        <f aca="false">IF(G855="","",RANK(G855,$G$2:$G$1179,0))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IF(G856="","",G856/SUMIFS($G$2:$G$1179,$F$2:$F$1179,"Served"))</f>
        <v/>
      </c>
      <c r="I856" s="4" t="str">
        <f aca="false">IF(G856="","",RANK(G856,$G$2:$G$1179,0))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IF(G857="","",G857/SUMIFS($G$2:$G$1179,$F$2:$F$1179,"Served"))</f>
        <v/>
      </c>
      <c r="I857" s="4" t="str">
        <f aca="false">IF(G857="","",RANK(G857,$G$2:$G$1179,0))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IF(G858="","",G858/SUMIFS($G$2:$G$1179,$F$2:$F$1179,"Served"))</f>
        <v/>
      </c>
      <c r="I858" s="4" t="str">
        <f aca="false">IF(G858="","",RANK(G858,$G$2:$G$1179,0))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IF(G859="","",G859/SUMIFS($G$2:$G$1179,$F$2:$F$1179,"Served"))</f>
        <v/>
      </c>
      <c r="I859" s="4" t="str">
        <f aca="false">IF(G859="","",RANK(G859,$G$2:$G$1179,0))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IF(G860="","",G860/SUMIFS($G$2:$G$1179,$F$2:$F$1179,"Served"))</f>
        <v/>
      </c>
      <c r="I860" s="4" t="str">
        <f aca="false">IF(G860="","",RANK(G860,$G$2:$G$1179,0))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IF(G861="","",G861/SUMIFS($G$2:$G$1179,$F$2:$F$1179,"Served"))</f>
        <v/>
      </c>
      <c r="I861" s="4" t="str">
        <f aca="false">IF(G861="","",RANK(G861,$G$2:$G$1179,0))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IF(G862="","",G862/SUMIFS($G$2:$G$1179,$F$2:$F$1179,"Served"))</f>
        <v/>
      </c>
      <c r="I862" s="4" t="str">
        <f aca="false">IF(G862="","",RANK(G862,$G$2:$G$1179,0))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IF(G863="","",G863/SUMIFS($G$2:$G$1179,$F$2:$F$1179,"Served"))</f>
        <v/>
      </c>
      <c r="I863" s="4" t="str">
        <f aca="false">IF(G863="","",RANK(G863,$G$2:$G$1179,0))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IF(G864="","",G864/SUMIFS($G$2:$G$1179,$F$2:$F$1179,"Served"))</f>
        <v/>
      </c>
      <c r="I864" s="4" t="str">
        <f aca="false">IF(G864="","",RANK(G864,$G$2:$G$1179,0))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IF(G865="","",G865/SUMIFS($G$2:$G$1179,$F$2:$F$1179,"Served"))</f>
        <v/>
      </c>
      <c r="I865" s="4" t="str">
        <f aca="false">IF(G865="","",RANK(G865,$G$2:$G$1179,0))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IF(G866="","",G866/SUMIFS($G$2:$G$1179,$F$2:$F$1179,"Served"))</f>
        <v/>
      </c>
      <c r="I866" s="4" t="str">
        <f aca="false">IF(G866="","",RANK(G866,$G$2:$G$1179,0))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IF(G867="","",G867/SUMIFS($G$2:$G$1179,$F$2:$F$1179,"Served"))</f>
        <v/>
      </c>
      <c r="I867" s="4" t="str">
        <f aca="false">IF(G867="","",RANK(G867,$G$2:$G$1179,0))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IF(G868="","",G868/SUMIFS($G$2:$G$1179,$F$2:$F$1179,"Served"))</f>
        <v/>
      </c>
      <c r="I868" s="4" t="str">
        <f aca="false">IF(G868="","",RANK(G868,$G$2:$G$1179,0))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IF(G869="","",G869/SUMIFS($G$2:$G$1179,$F$2:$F$1179,"Served"))</f>
        <v/>
      </c>
      <c r="I869" s="4" t="str">
        <f aca="false">IF(G869="","",RANK(G869,$G$2:$G$1179,0))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IF(G870="","",G870/SUMIFS($G$2:$G$1179,$F$2:$F$1179,"Served"))</f>
        <v/>
      </c>
      <c r="I870" s="4" t="str">
        <f aca="false">IF(G870="","",RANK(G870,$G$2:$G$1179,0))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IF(G871="","",G871/SUMIFS($G$2:$G$1179,$F$2:$F$1179,"Served"))</f>
        <v/>
      </c>
      <c r="I871" s="4" t="str">
        <f aca="false">IF(G871="","",RANK(G871,$G$2:$G$1179,0))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IF(G872="","",G872/SUMIFS($G$2:$G$1179,$F$2:$F$1179,"Served"))</f>
        <v/>
      </c>
      <c r="I872" s="4" t="str">
        <f aca="false">IF(G872="","",RANK(G872,$G$2:$G$1179,0))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IF(G873="","",G873/SUMIFS($G$2:$G$1179,$F$2:$F$1179,"Served"))</f>
        <v/>
      </c>
      <c r="I873" s="4" t="str">
        <f aca="false">IF(G873="","",RANK(G873,$G$2:$G$1179,0))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IF(G874="","",G874/SUMIFS($G$2:$G$1179,$F$2:$F$1179,"Served"))</f>
        <v/>
      </c>
      <c r="I874" s="4" t="str">
        <f aca="false">IF(G874="","",RANK(G874,$G$2:$G$1179,0))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IF(G875="","",G875/SUMIFS($G$2:$G$1179,$F$2:$F$1179,"Served"))</f>
        <v/>
      </c>
      <c r="I875" s="4" t="str">
        <f aca="false">IF(G875="","",RANK(G875,$G$2:$G$1179,0))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IF(G876="","",G876/SUMIFS($G$2:$G$1179,$F$2:$F$1179,"Served"))</f>
        <v/>
      </c>
      <c r="I876" s="4" t="str">
        <f aca="false">IF(G876="","",RANK(G876,$G$2:$G$1179,0))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IF(G877="","",G877/SUMIFS($G$2:$G$1179,$F$2:$F$1179,"Served"))</f>
        <v/>
      </c>
      <c r="I877" s="4" t="str">
        <f aca="false">IF(G877="","",RANK(G877,$G$2:$G$1179,0))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IF(G878="","",G878/SUMIFS($G$2:$G$1179,$F$2:$F$1179,"Served"))</f>
        <v/>
      </c>
      <c r="I878" s="4" t="str">
        <f aca="false">IF(G878="","",RANK(G878,$G$2:$G$1179,0))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IF(G879="","",G879/SUMIFS($G$2:$G$1179,$F$2:$F$1179,"Served"))</f>
        <v/>
      </c>
      <c r="I879" s="4" t="str">
        <f aca="false">IF(G879="","",RANK(G879,$G$2:$G$1179,0))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IF(G880="","",G880/SUMIFS($G$2:$G$1179,$F$2:$F$1179,"Served"))</f>
        <v/>
      </c>
      <c r="I880" s="4" t="str">
        <f aca="false">IF(G880="","",RANK(G880,$G$2:$G$1179,0))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IF(G881="","",G881/SUMIFS($G$2:$G$1179,$F$2:$F$1179,"Served"))</f>
        <v/>
      </c>
      <c r="I881" s="4" t="str">
        <f aca="false">IF(G881="","",RANK(G881,$G$2:$G$1179,0))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IF(G882="","",G882/SUMIFS($G$2:$G$1179,$F$2:$F$1179,"Served"))</f>
        <v/>
      </c>
      <c r="I882" s="4" t="str">
        <f aca="false">IF(G882="","",RANK(G882,$G$2:$G$1179,0))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IF(G883="","",G883/SUMIFS($G$2:$G$1179,$F$2:$F$1179,"Served"))</f>
        <v/>
      </c>
      <c r="I883" s="4" t="str">
        <f aca="false">IF(G883="","",RANK(G883,$G$2:$G$1179,0))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IF(G884="","",G884/SUMIFS($G$2:$G$1179,$F$2:$F$1179,"Served"))</f>
        <v/>
      </c>
      <c r="I884" s="4" t="str">
        <f aca="false">IF(G884="","",RANK(G884,$G$2:$G$1179,0))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IF(G885="","",G885/SUMIFS($G$2:$G$1179,$F$2:$F$1179,"Served"))</f>
        <v/>
      </c>
      <c r="I885" s="4" t="str">
        <f aca="false">IF(G885="","",RANK(G885,$G$2:$G$1179,0))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IF(G886="","",G886/SUMIFS($G$2:$G$1179,$F$2:$F$1179,"Served"))</f>
        <v/>
      </c>
      <c r="I886" s="4" t="str">
        <f aca="false">IF(G886="","",RANK(G886,$G$2:$G$1179,0))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IF(G887="","",G887/SUMIFS($G$2:$G$1179,$F$2:$F$1179,"Served"))</f>
        <v/>
      </c>
      <c r="I887" s="4" t="str">
        <f aca="false">IF(G887="","",RANK(G887,$G$2:$G$1179,0))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IF(G888="","",G888/SUMIFS($G$2:$G$1179,$F$2:$F$1179,"Served"))</f>
        <v/>
      </c>
      <c r="I888" s="4" t="str">
        <f aca="false">IF(G888="","",RANK(G888,$G$2:$G$1179,0))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IF(G889="","",G889/SUMIFS($G$2:$G$1179,$F$2:$F$1179,"Served"))</f>
        <v/>
      </c>
      <c r="I889" s="4" t="str">
        <f aca="false">IF(G889="","",RANK(G889,$G$2:$G$1179,0))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IF(G890="","",G890/SUMIFS($G$2:$G$1179,$F$2:$F$1179,"Served"))</f>
        <v/>
      </c>
      <c r="I890" s="4" t="str">
        <f aca="false">IF(G890="","",RANK(G890,$G$2:$G$1179,0))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IF(G891="","",G891/SUMIFS($G$2:$G$1179,$F$2:$F$1179,"Served"))</f>
        <v/>
      </c>
      <c r="I891" s="4" t="str">
        <f aca="false">IF(G891="","",RANK(G891,$G$2:$G$1179,0))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IF(G892="","",G892/SUMIFS($G$2:$G$1179,$F$2:$F$1179,"Served"))</f>
        <v/>
      </c>
      <c r="I892" s="4" t="str">
        <f aca="false">IF(G892="","",RANK(G892,$G$2:$G$1179,0))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IF(G893="","",G893/SUMIFS($G$2:$G$1179,$F$2:$F$1179,"Served"))</f>
        <v/>
      </c>
      <c r="I893" s="4" t="str">
        <f aca="false">IF(G893="","",RANK(G893,$G$2:$G$1179,0))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IF(G894="","",G894/SUMIFS($G$2:$G$1179,$F$2:$F$1179,"Served"))</f>
        <v/>
      </c>
      <c r="I894" s="4" t="str">
        <f aca="false">IF(G894="","",RANK(G894,$G$2:$G$1179,0))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IF(G895="","",G895/SUMIFS($G$2:$G$1179,$F$2:$F$1179,"Served"))</f>
        <v/>
      </c>
      <c r="I895" s="4" t="str">
        <f aca="false">IF(G895="","",RANK(G895,$G$2:$G$1179,0))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IF(G896="","",G896/SUMIFS($G$2:$G$1179,$F$2:$F$1179,"Served"))</f>
        <v/>
      </c>
      <c r="I896" s="4" t="str">
        <f aca="false">IF(G896="","",RANK(G896,$G$2:$G$1179,0))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IF(G897="","",G897/SUMIFS($G$2:$G$1179,$F$2:$F$1179,"Served"))</f>
        <v/>
      </c>
      <c r="I897" s="4" t="str">
        <f aca="false">IF(G897="","",RANK(G897,$G$2:$G$1179,0))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IF(G898="","",G898/SUMIFS($G$2:$G$1179,$F$2:$F$1179,"Served"))</f>
        <v/>
      </c>
      <c r="I898" s="4" t="str">
        <f aca="false">IF(G898="","",RANK(G898,$G$2:$G$1179,0))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IF(G899="","",G899/SUMIFS($G$2:$G$1179,$F$2:$F$1179,"Served"))</f>
        <v/>
      </c>
      <c r="I899" s="4" t="str">
        <f aca="false">IF(G899="","",RANK(G899,$G$2:$G$1179,0))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IF(G900="","",G900/SUMIFS($G$2:$G$1179,$F$2:$F$1179,"Served"))</f>
        <v/>
      </c>
      <c r="I900" s="4" t="str">
        <f aca="false">IF(G900="","",RANK(G900,$G$2:$G$1179,0))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IF(G901="","",G901/SUMIFS($G$2:$G$1179,$F$2:$F$1179,"Served"))</f>
        <v/>
      </c>
      <c r="I901" s="4" t="str">
        <f aca="false">IF(G901="","",RANK(G901,$G$2:$G$1179,0))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IF(G902="","",G902/SUMIFS($G$2:$G$1179,$F$2:$F$1179,"Served"))</f>
        <v/>
      </c>
      <c r="I902" s="4" t="str">
        <f aca="false">IF(G902="","",RANK(G902,$G$2:$G$1179,0))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IF(G903="","",G903/SUMIFS($G$2:$G$1179,$F$2:$F$1179,"Served"))</f>
        <v/>
      </c>
      <c r="I903" s="4" t="str">
        <f aca="false">IF(G903="","",RANK(G903,$G$2:$G$1179,0))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IF(G904="","",G904/SUMIFS($G$2:$G$1179,$F$2:$F$1179,"Served"))</f>
        <v/>
      </c>
      <c r="I904" s="4" t="str">
        <f aca="false">IF(G904="","",RANK(G904,$G$2:$G$1179,0))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IF(G905="","",G905/SUMIFS($G$2:$G$1179,$F$2:$F$1179,"Served"))</f>
        <v/>
      </c>
      <c r="I905" s="4" t="str">
        <f aca="false">IF(G905="","",RANK(G905,$G$2:$G$1179,0))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IF(G906="","",G906/SUMIFS($G$2:$G$1179,$F$2:$F$1179,"Served"))</f>
        <v/>
      </c>
      <c r="I906" s="4" t="str">
        <f aca="false">IF(G906="","",RANK(G906,$G$2:$G$1179,0))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IF(G907="","",G907/SUMIFS($G$2:$G$1179,$F$2:$F$1179,"Served"))</f>
        <v/>
      </c>
      <c r="I907" s="4" t="str">
        <f aca="false">IF(G907="","",RANK(G907,$G$2:$G$1179,0))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IF(G908="","",G908/SUMIFS($G$2:$G$1179,$F$2:$F$1179,"Served"))</f>
        <v/>
      </c>
      <c r="I908" s="4" t="str">
        <f aca="false">IF(G908="","",RANK(G908,$G$2:$G$1179,0))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IF(G909="","",G909/SUMIFS($G$2:$G$1179,$F$2:$F$1179,"Served"))</f>
        <v/>
      </c>
      <c r="I909" s="4" t="str">
        <f aca="false">IF(G909="","",RANK(G909,$G$2:$G$1179,0))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IF(G910="","",G910/SUMIFS($G$2:$G$1179,$F$2:$F$1179,"Served"))</f>
        <v/>
      </c>
      <c r="I910" s="4" t="str">
        <f aca="false">IF(G910="","",RANK(G910,$G$2:$G$1179,0))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IF(G911="","",G911/SUMIFS($G$2:$G$1179,$F$2:$F$1179,"Served"))</f>
        <v/>
      </c>
      <c r="I911" s="4" t="str">
        <f aca="false">IF(G911="","",RANK(G911,$G$2:$G$1179,0))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IF(G912="","",G912/SUMIFS($G$2:$G$1179,$F$2:$F$1179,"Served"))</f>
        <v/>
      </c>
      <c r="I912" s="4" t="str">
        <f aca="false">IF(G912="","",RANK(G912,$G$2:$G$1179,0))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IF(G913="","",G913/SUMIFS($G$2:$G$1179,$F$2:$F$1179,"Served"))</f>
        <v/>
      </c>
      <c r="I913" s="4" t="str">
        <f aca="false">IF(G913="","",RANK(G913,$G$2:$G$1179,0))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IF(G914="","",G914/SUMIFS($G$2:$G$1179,$F$2:$F$1179,"Served"))</f>
        <v/>
      </c>
      <c r="I914" s="4" t="str">
        <f aca="false">IF(G914="","",RANK(G914,$G$2:$G$1179,0))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IF(G915="","",G915/SUMIFS($G$2:$G$1179,$F$2:$F$1179,"Served"))</f>
        <v/>
      </c>
      <c r="I915" s="4" t="str">
        <f aca="false">IF(G915="","",RANK(G915,$G$2:$G$1179,0))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IF(G916="","",G916/SUMIFS($G$2:$G$1179,$F$2:$F$1179,"Served"))</f>
        <v/>
      </c>
      <c r="I916" s="4" t="str">
        <f aca="false">IF(G916="","",RANK(G916,$G$2:$G$1179,0))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IF(G917="","",G917/SUMIFS($G$2:$G$1179,$F$2:$F$1179,"Served"))</f>
        <v/>
      </c>
      <c r="I917" s="4" t="str">
        <f aca="false">IF(G917="","",RANK(G917,$G$2:$G$1179,0))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IF(G918="","",G918/SUMIFS($G$2:$G$1179,$F$2:$F$1179,"Served"))</f>
        <v/>
      </c>
      <c r="I918" s="4" t="str">
        <f aca="false">IF(G918="","",RANK(G918,$G$2:$G$1179,0))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IF(G919="","",G919/SUMIFS($G$2:$G$1179,$F$2:$F$1179,"Served"))</f>
        <v/>
      </c>
      <c r="I919" s="4" t="str">
        <f aca="false">IF(G919="","",RANK(G919,$G$2:$G$1179,0))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IF(G920="","",G920/SUMIFS($G$2:$G$1179,$F$2:$F$1179,"Served"))</f>
        <v/>
      </c>
      <c r="I920" s="4" t="str">
        <f aca="false">IF(G920="","",RANK(G920,$G$2:$G$1179,0))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IF(G921="","",G921/SUMIFS($G$2:$G$1179,$F$2:$F$1179,"Served"))</f>
        <v/>
      </c>
      <c r="I921" s="4" t="str">
        <f aca="false">IF(G921="","",RANK(G921,$G$2:$G$1179,0))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IF(G922="","",G922/SUMIFS($G$2:$G$1179,$F$2:$F$1179,"Served"))</f>
        <v/>
      </c>
      <c r="I922" s="4" t="str">
        <f aca="false">IF(G922="","",RANK(G922,$G$2:$G$1179,0))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IF(G923="","",G923/SUMIFS($G$2:$G$1179,$F$2:$F$1179,"Served"))</f>
        <v/>
      </c>
      <c r="I923" s="4" t="str">
        <f aca="false">IF(G923="","",RANK(G923,$G$2:$G$1179,0))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IF(G924="","",G924/SUMIFS($G$2:$G$1179,$F$2:$F$1179,"Served"))</f>
        <v/>
      </c>
      <c r="I924" s="4" t="str">
        <f aca="false">IF(G924="","",RANK(G924,$G$2:$G$1179,0))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IF(G925="","",G925/SUMIFS($G$2:$G$1179,$F$2:$F$1179,"Served"))</f>
        <v/>
      </c>
      <c r="I925" s="4" t="str">
        <f aca="false">IF(G925="","",RANK(G925,$G$2:$G$1179,0))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IF(G926="","",G926/SUMIFS($G$2:$G$1179,$F$2:$F$1179,"Served"))</f>
        <v/>
      </c>
      <c r="I926" s="4" t="str">
        <f aca="false">IF(G926="","",RANK(G926,$G$2:$G$1179,0))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IF(G927="","",G927/SUMIFS($G$2:$G$1179,$F$2:$F$1179,"Served"))</f>
        <v/>
      </c>
      <c r="I927" s="4" t="str">
        <f aca="false">IF(G927="","",RANK(G927,$G$2:$G$1179,0))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IF(G928="","",G928/SUMIFS($G$2:$G$1179,$F$2:$F$1179,"Served"))</f>
        <v/>
      </c>
      <c r="I928" s="4" t="str">
        <f aca="false">IF(G928="","",RANK(G928,$G$2:$G$1179,0))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IF(G929="","",G929/SUMIFS($G$2:$G$1179,$F$2:$F$1179,"Served"))</f>
        <v/>
      </c>
      <c r="I929" s="4" t="str">
        <f aca="false">IF(G929="","",RANK(G929,$G$2:$G$1179,0))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IF(G930="","",G930/SUMIFS($G$2:$G$1179,$F$2:$F$1179,"Served"))</f>
        <v/>
      </c>
      <c r="I930" s="4" t="str">
        <f aca="false">IF(G930="","",RANK(G930,$G$2:$G$1179,0))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IF(G931="","",G931/SUMIFS($G$2:$G$1179,$F$2:$F$1179,"Served"))</f>
        <v/>
      </c>
      <c r="I931" s="4" t="str">
        <f aca="false">IF(G931="","",RANK(G931,$G$2:$G$1179,0))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IF(G932="","",G932/SUMIFS($G$2:$G$1179,$F$2:$F$1179,"Served"))</f>
        <v/>
      </c>
      <c r="I932" s="4" t="str">
        <f aca="false">IF(G932="","",RANK(G932,$G$2:$G$1179,0))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IF(G933="","",G933/SUMIFS($G$2:$G$1179,$F$2:$F$1179,"Served"))</f>
        <v/>
      </c>
      <c r="I933" s="4" t="str">
        <f aca="false">IF(G933="","",RANK(G933,$G$2:$G$1179,0))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IF(G934="","",G934/SUMIFS($G$2:$G$1179,$F$2:$F$1179,"Served"))</f>
        <v/>
      </c>
      <c r="I934" s="4" t="str">
        <f aca="false">IF(G934="","",RANK(G934,$G$2:$G$1179,0))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IF(G935="","",G935/SUMIFS($G$2:$G$1179,$F$2:$F$1179,"Served"))</f>
        <v/>
      </c>
      <c r="I935" s="4" t="str">
        <f aca="false">IF(G935="","",RANK(G935,$G$2:$G$1179,0))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IF(G936="","",G936/SUMIFS($G$2:$G$1179,$F$2:$F$1179,"Served"))</f>
        <v/>
      </c>
      <c r="I936" s="4" t="str">
        <f aca="false">IF(G936="","",RANK(G936,$G$2:$G$1179,0))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IF(G937="","",G937/SUMIFS($G$2:$G$1179,$F$2:$F$1179,"Served"))</f>
        <v/>
      </c>
      <c r="I937" s="4" t="str">
        <f aca="false">IF(G937="","",RANK(G937,$G$2:$G$1179,0))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IF(G938="","",G938/SUMIFS($G$2:$G$1179,$F$2:$F$1179,"Served"))</f>
        <v/>
      </c>
      <c r="I938" s="4" t="str">
        <f aca="false">IF(G938="","",RANK(G938,$G$2:$G$1179,0))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IF(G939="","",G939/SUMIFS($G$2:$G$1179,$F$2:$F$1179,"Served"))</f>
        <v/>
      </c>
      <c r="I939" s="4" t="str">
        <f aca="false">IF(G939="","",RANK(G939,$G$2:$G$1179,0))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IF(G940="","",G940/SUMIFS($G$2:$G$1179,$F$2:$F$1179,"Served"))</f>
        <v/>
      </c>
      <c r="I940" s="4" t="str">
        <f aca="false">IF(G940="","",RANK(G940,$G$2:$G$1179,0))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IF(G941="","",G941/SUMIFS($G$2:$G$1179,$F$2:$F$1179,"Served"))</f>
        <v/>
      </c>
      <c r="I941" s="4" t="str">
        <f aca="false">IF(G941="","",RANK(G941,$G$2:$G$1179,0))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IF(G942="","",G942/SUMIFS($G$2:$G$1179,$F$2:$F$1179,"Served"))</f>
        <v/>
      </c>
      <c r="I942" s="4" t="str">
        <f aca="false">IF(G942="","",RANK(G942,$G$2:$G$1179,0))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IF(G943="","",G943/SUMIFS($G$2:$G$1179,$F$2:$F$1179,"Served"))</f>
        <v/>
      </c>
      <c r="I943" s="4" t="str">
        <f aca="false">IF(G943="","",RANK(G943,$G$2:$G$1179,0))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IF(G944="","",G944/SUMIFS($G$2:$G$1179,$F$2:$F$1179,"Served"))</f>
        <v/>
      </c>
      <c r="I944" s="4" t="str">
        <f aca="false">IF(G944="","",RANK(G944,$G$2:$G$1179,0))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IF(G945="","",G945/SUMIFS($G$2:$G$1179,$F$2:$F$1179,"Served"))</f>
        <v/>
      </c>
      <c r="I945" s="4" t="str">
        <f aca="false">IF(G945="","",RANK(G945,$G$2:$G$1179,0))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IF(G946="","",G946/SUMIFS($G$2:$G$1179,$F$2:$F$1179,"Served"))</f>
        <v/>
      </c>
      <c r="I946" s="4" t="str">
        <f aca="false">IF(G946="","",RANK(G946,$G$2:$G$1179,0))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IF(G947="","",G947/SUMIFS($G$2:$G$1179,$F$2:$F$1179,"Served"))</f>
        <v/>
      </c>
      <c r="I947" s="4" t="str">
        <f aca="false">IF(G947="","",RANK(G947,$G$2:$G$1179,0))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IF(G948="","",G948/SUMIFS($G$2:$G$1179,$F$2:$F$1179,"Served"))</f>
        <v/>
      </c>
      <c r="I948" s="4" t="str">
        <f aca="false">IF(G948="","",RANK(G948,$G$2:$G$1179,0))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IF(G949="","",G949/SUMIFS($G$2:$G$1179,$F$2:$F$1179,"Served"))</f>
        <v/>
      </c>
      <c r="I949" s="4" t="str">
        <f aca="false">IF(G949="","",RANK(G949,$G$2:$G$1179,0))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IF(G950="","",G950/SUMIFS($G$2:$G$1179,$F$2:$F$1179,"Served"))</f>
        <v/>
      </c>
      <c r="I950" s="4" t="str">
        <f aca="false">IF(G950="","",RANK(G950,$G$2:$G$1179,0))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IF(G951="","",G951/SUMIFS($G$2:$G$1179,$F$2:$F$1179,"Served"))</f>
        <v/>
      </c>
      <c r="I951" s="4" t="str">
        <f aca="false">IF(G951="","",RANK(G951,$G$2:$G$1179,0))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IF(G952="","",G952/SUMIFS($G$2:$G$1179,$F$2:$F$1179,"Served"))</f>
        <v/>
      </c>
      <c r="I952" s="4" t="str">
        <f aca="false">IF(G952="","",RANK(G952,$G$2:$G$1179,0))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IF(G953="","",G953/SUMIFS($G$2:$G$1179,$F$2:$F$1179,"Served"))</f>
        <v/>
      </c>
      <c r="I953" s="4" t="str">
        <f aca="false">IF(G953="","",RANK(G953,$G$2:$G$1179,0))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IF(G954="","",G954/SUMIFS($G$2:$G$1179,$F$2:$F$1179,"Served"))</f>
        <v/>
      </c>
      <c r="I954" s="4" t="str">
        <f aca="false">IF(G954="","",RANK(G954,$G$2:$G$1179,0))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IF(G955="","",G955/SUMIFS($G$2:$G$1179,$F$2:$F$1179,"Served"))</f>
        <v/>
      </c>
      <c r="I955" s="4" t="str">
        <f aca="false">IF(G955="","",RANK(G955,$G$2:$G$1179,0))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IF(G956="","",G956/SUMIFS($G$2:$G$1179,$F$2:$F$1179,"Served"))</f>
        <v/>
      </c>
      <c r="I956" s="4" t="str">
        <f aca="false">IF(G956="","",RANK(G956,$G$2:$G$1179,0))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IF(G957="","",G957/SUMIFS($G$2:$G$1179,$F$2:$F$1179,"Served"))</f>
        <v/>
      </c>
      <c r="I957" s="4" t="str">
        <f aca="false">IF(G957="","",RANK(G957,$G$2:$G$1179,0))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IF(G958="","",G958/SUMIFS($G$2:$G$1179,$F$2:$F$1179,"Served"))</f>
        <v/>
      </c>
      <c r="I958" s="4" t="str">
        <f aca="false">IF(G958="","",RANK(G958,$G$2:$G$1179,0))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IF(G959="","",G959/SUMIFS($G$2:$G$1179,$F$2:$F$1179,"Served"))</f>
        <v/>
      </c>
      <c r="I959" s="4" t="str">
        <f aca="false">IF(G959="","",RANK(G959,$G$2:$G$1179,0))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IF(G960="","",G960/SUMIFS($G$2:$G$1179,$F$2:$F$1179,"Served"))</f>
        <v/>
      </c>
      <c r="I960" s="4" t="str">
        <f aca="false">IF(G960="","",RANK(G960,$G$2:$G$1179,0))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IF(G961="","",G961/SUMIFS($G$2:$G$1179,$F$2:$F$1179,"Served"))</f>
        <v/>
      </c>
      <c r="I961" s="4" t="str">
        <f aca="false">IF(G961="","",RANK(G961,$G$2:$G$1179,0))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IF(G962="","",G962/SUMIFS($G$2:$G$1179,$F$2:$F$1179,"Served"))</f>
        <v/>
      </c>
      <c r="I962" s="4" t="str">
        <f aca="false">IF(G962="","",RANK(G962,$G$2:$G$1179,0))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IF(G963="","",G963/SUMIFS($G$2:$G$1179,$F$2:$F$1179,"Served"))</f>
        <v/>
      </c>
      <c r="I963" s="4" t="str">
        <f aca="false">IF(G963="","",RANK(G963,$G$2:$G$1179,0))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IF(G964="","",G964/SUMIFS($G$2:$G$1179,$F$2:$F$1179,"Served"))</f>
        <v/>
      </c>
      <c r="I964" s="4" t="str">
        <f aca="false">IF(G964="","",RANK(G964,$G$2:$G$1179,0))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IF(G965="","",G965/SUMIFS($G$2:$G$1179,$F$2:$F$1179,"Served"))</f>
        <v/>
      </c>
      <c r="I965" s="4" t="str">
        <f aca="false">IF(G965="","",RANK(G965,$G$2:$G$1179,0))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IF(G966="","",G966/SUMIFS($G$2:$G$1179,$F$2:$F$1179,"Served"))</f>
        <v/>
      </c>
      <c r="I966" s="4" t="str">
        <f aca="false">IF(G966="","",RANK(G966,$G$2:$G$1179,0))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IF(G967="","",G967/SUMIFS($G$2:$G$1179,$F$2:$F$1179,"Served"))</f>
        <v/>
      </c>
      <c r="I967" s="4" t="str">
        <f aca="false">IF(G967="","",RANK(G967,$G$2:$G$1179,0))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IF(G968="","",G968/SUMIFS($G$2:$G$1179,$F$2:$F$1179,"Served"))</f>
        <v/>
      </c>
      <c r="I968" s="4" t="str">
        <f aca="false">IF(G968="","",RANK(G968,$G$2:$G$1179,0))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IF(G969="","",G969/SUMIFS($G$2:$G$1179,$F$2:$F$1179,"Served"))</f>
        <v/>
      </c>
      <c r="I969" s="4" t="str">
        <f aca="false">IF(G969="","",RANK(G969,$G$2:$G$1179,0))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IF(G970="","",G970/SUMIFS($G$2:$G$1179,$F$2:$F$1179,"Served"))</f>
        <v/>
      </c>
      <c r="I970" s="4" t="str">
        <f aca="false">IF(G970="","",RANK(G970,$G$2:$G$1179,0))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IF(G971="","",G971/SUMIFS($G$2:$G$1179,$F$2:$F$1179,"Served"))</f>
        <v/>
      </c>
      <c r="I971" s="4" t="str">
        <f aca="false">IF(G971="","",RANK(G971,$G$2:$G$1179,0))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IF(G972="","",G972/SUMIFS($G$2:$G$1179,$F$2:$F$1179,"Served"))</f>
        <v/>
      </c>
      <c r="I972" s="4" t="str">
        <f aca="false">IF(G972="","",RANK(G972,$G$2:$G$1179,0))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IF(G973="","",G973/SUMIFS($G$2:$G$1179,$F$2:$F$1179,"Served"))</f>
        <v/>
      </c>
      <c r="I973" s="4" t="str">
        <f aca="false">IF(G973="","",RANK(G973,$G$2:$G$1179,0))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IF(G974="","",G974/SUMIFS($G$2:$G$1179,$F$2:$F$1179,"Served"))</f>
        <v/>
      </c>
      <c r="I974" s="4" t="str">
        <f aca="false">IF(G974="","",RANK(G974,$G$2:$G$1179,0))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IF(G975="","",G975/SUMIFS($G$2:$G$1179,$F$2:$F$1179,"Served"))</f>
        <v/>
      </c>
      <c r="I975" s="4" t="str">
        <f aca="false">IF(G975="","",RANK(G975,$G$2:$G$1179,0))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IF(G976="","",G976/SUMIFS($G$2:$G$1179,$F$2:$F$1179,"Served"))</f>
        <v/>
      </c>
      <c r="I976" s="4" t="str">
        <f aca="false">IF(G976="","",RANK(G976,$G$2:$G$1179,0))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IF(G977="","",G977/SUMIFS($G$2:$G$1179,$F$2:$F$1179,"Served"))</f>
        <v/>
      </c>
      <c r="I977" s="4" t="str">
        <f aca="false">IF(G977="","",RANK(G977,$G$2:$G$1179,0))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IF(G978="","",G978/SUMIFS($G$2:$G$1179,$F$2:$F$1179,"Served"))</f>
        <v/>
      </c>
      <c r="I978" s="4" t="str">
        <f aca="false">IF(G978="","",RANK(G978,$G$2:$G$1179,0))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IF(G979="","",G979/SUMIFS($G$2:$G$1179,$F$2:$F$1179,"Served"))</f>
        <v/>
      </c>
      <c r="I979" s="4" t="str">
        <f aca="false">IF(G979="","",RANK(G979,$G$2:$G$1179,0))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IF(G980="","",G980/SUMIFS($G$2:$G$1179,$F$2:$F$1179,"Served"))</f>
        <v/>
      </c>
      <c r="I980" s="4" t="str">
        <f aca="false">IF(G980="","",RANK(G980,$G$2:$G$1179,0))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IF(G981="","",G981/SUMIFS($G$2:$G$1179,$F$2:$F$1179,"Served"))</f>
        <v/>
      </c>
      <c r="I981" s="4" t="str">
        <f aca="false">IF(G981="","",RANK(G981,$G$2:$G$1179,0))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IF(G982="","",G982/SUMIFS($G$2:$G$1179,$F$2:$F$1179,"Served"))</f>
        <v/>
      </c>
      <c r="I982" s="4" t="str">
        <f aca="false">IF(G982="","",RANK(G982,$G$2:$G$1179,0))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IF(G983="","",G983/SUMIFS($G$2:$G$1179,$F$2:$F$1179,"Served"))</f>
        <v/>
      </c>
      <c r="I983" s="4" t="str">
        <f aca="false">IF(G983="","",RANK(G983,$G$2:$G$1179,0))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IF(G984="","",G984/SUMIFS($G$2:$G$1179,$F$2:$F$1179,"Served"))</f>
        <v/>
      </c>
      <c r="I984" s="4" t="str">
        <f aca="false">IF(G984="","",RANK(G984,$G$2:$G$1179,0))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IF(G985="","",G985/SUMIFS($G$2:$G$1179,$F$2:$F$1179,"Served"))</f>
        <v/>
      </c>
      <c r="I985" s="4" t="str">
        <f aca="false">IF(G985="","",RANK(G985,$G$2:$G$1179,0))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IF(G986="","",G986/SUMIFS($G$2:$G$1179,$F$2:$F$1179,"Served"))</f>
        <v/>
      </c>
      <c r="I986" s="4" t="str">
        <f aca="false">IF(G986="","",RANK(G986,$G$2:$G$1179,0))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IF(G987="","",G987/SUMIFS($G$2:$G$1179,$F$2:$F$1179,"Served"))</f>
        <v/>
      </c>
      <c r="I987" s="4" t="str">
        <f aca="false">IF(G987="","",RANK(G987,$G$2:$G$1179,0))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IF(G988="","",G988/SUMIFS($G$2:$G$1179,$F$2:$F$1179,"Served"))</f>
        <v/>
      </c>
      <c r="I988" s="4" t="str">
        <f aca="false">IF(G988="","",RANK(G988,$G$2:$G$1179,0))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IF(G989="","",G989/SUMIFS($G$2:$G$1179,$F$2:$F$1179,"Served"))</f>
        <v/>
      </c>
      <c r="I989" s="4" t="str">
        <f aca="false">IF(G989="","",RANK(G989,$G$2:$G$1179,0))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IF(G990="","",G990/SUMIFS($G$2:$G$1179,$F$2:$F$1179,"Served"))</f>
        <v/>
      </c>
      <c r="I990" s="4" t="str">
        <f aca="false">IF(G990="","",RANK(G990,$G$2:$G$1179,0))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IF(G991="","",G991/SUMIFS($G$2:$G$1179,$F$2:$F$1179,"Served"))</f>
        <v/>
      </c>
      <c r="I991" s="4" t="str">
        <f aca="false">IF(G991="","",RANK(G991,$G$2:$G$1179,0))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IF(G992="","",G992/SUMIFS($G$2:$G$1179,$F$2:$F$1179,"Served"))</f>
        <v/>
      </c>
      <c r="I992" s="4" t="str">
        <f aca="false">IF(G992="","",RANK(G992,$G$2:$G$1179,0))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IF(G993="","",G993/SUMIFS($G$2:$G$1179,$F$2:$F$1179,"Served"))</f>
        <v/>
      </c>
      <c r="I993" s="4" t="str">
        <f aca="false">IF(G993="","",RANK(G993,$G$2:$G$1179,0))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IF(G994="","",G994/SUMIFS($G$2:$G$1179,$F$2:$F$1179,"Served"))</f>
        <v/>
      </c>
      <c r="I994" s="4" t="str">
        <f aca="false">IF(G994="","",RANK(G994,$G$2:$G$1179,0))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IF(G995="","",G995/SUMIFS($G$2:$G$1179,$F$2:$F$1179,"Served"))</f>
        <v/>
      </c>
      <c r="I995" s="4" t="str">
        <f aca="false">IF(G995="","",RANK(G995,$G$2:$G$1179,0))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IF(G996="","",G996/SUMIFS($G$2:$G$1179,$F$2:$F$1179,"Served"))</f>
        <v/>
      </c>
      <c r="I996" s="4" t="str">
        <f aca="false">IF(G996="","",RANK(G996,$G$2:$G$1179,0))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IF(G997="","",G997/SUMIFS($G$2:$G$1179,$F$2:$F$1179,"Served"))</f>
        <v/>
      </c>
      <c r="I997" s="4" t="str">
        <f aca="false">IF(G997="","",RANK(G997,$G$2:$G$1179,0))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IF(G998="","",G998/SUMIFS($G$2:$G$1179,$F$2:$F$1179,"Served"))</f>
        <v/>
      </c>
      <c r="I998" s="4" t="str">
        <f aca="false">IF(G998="","",RANK(G998,$G$2:$G$1179,0))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IF(G999="","",G999/SUMIFS($G$2:$G$1179,$F$2:$F$1179,"Served"))</f>
        <v/>
      </c>
      <c r="I999" s="4" t="str">
        <f aca="false">IF(G999="","",RANK(G999,$G$2:$G$1179,0))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IF(G1000="","",G1000/SUMIFS($G$2:$G$1179,$F$2:$F$1179,"Served"))</f>
        <v/>
      </c>
      <c r="I1000" s="4" t="str">
        <f aca="false">IF(G1000="","",RANK(G1000,$G$2:$G$1179,0))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IF(G1001="","",G1001/SUMIFS($G$2:$G$1179,$F$2:$F$1179,"Served"))</f>
        <v/>
      </c>
      <c r="I1001" s="4" t="str">
        <f aca="false">IF(G1001="","",RANK(G1001,$G$2:$G$1179,0))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IF(G1002="","",G1002/SUMIFS($G$2:$G$1179,$F$2:$F$1179,"Served"))</f>
        <v/>
      </c>
      <c r="I1002" s="4" t="str">
        <f aca="false">IF(G1002="","",RANK(G1002,$G$2:$G$1179,0))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IF(G1003="","",G1003/SUMIFS($G$2:$G$1179,$F$2:$F$1179,"Served"))</f>
        <v/>
      </c>
      <c r="I1003" s="4" t="str">
        <f aca="false">IF(G1003="","",RANK(G1003,$G$2:$G$1179,0))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IF(G1004="","",G1004/SUMIFS($G$2:$G$1179,$F$2:$F$1179,"Served"))</f>
        <v/>
      </c>
      <c r="I1004" s="4" t="str">
        <f aca="false">IF(G1004="","",RANK(G1004,$G$2:$G$1179,0))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IF(G1005="","",G1005/SUMIFS($G$2:$G$1179,$F$2:$F$1179,"Served"))</f>
        <v/>
      </c>
      <c r="I1005" s="4" t="str">
        <f aca="false">IF(G1005="","",RANK(G1005,$G$2:$G$1179,0))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IF(G1006="","",G1006/SUMIFS($G$2:$G$1179,$F$2:$F$1179,"Served"))</f>
        <v/>
      </c>
      <c r="I1006" s="4" t="str">
        <f aca="false">IF(G1006="","",RANK(G1006,$G$2:$G$1179,0))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IF(G1007="","",G1007/SUMIFS($G$2:$G$1179,$F$2:$F$1179,"Served"))</f>
        <v/>
      </c>
      <c r="I1007" s="4" t="str">
        <f aca="false">IF(G1007="","",RANK(G1007,$G$2:$G$1179,0))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IF(G1008="","",G1008/SUMIFS($G$2:$G$1179,$F$2:$F$1179,"Served"))</f>
        <v/>
      </c>
      <c r="I1008" s="4" t="str">
        <f aca="false">IF(G1008="","",RANK(G1008,$G$2:$G$1179,0))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IF(G1009="","",G1009/SUMIFS($G$2:$G$1179,$F$2:$F$1179,"Served"))</f>
        <v/>
      </c>
      <c r="I1009" s="4" t="str">
        <f aca="false">IF(G1009="","",RANK(G1009,$G$2:$G$1179,0))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IF(G1010="","",G1010/SUMIFS($G$2:$G$1179,$F$2:$F$1179,"Served"))</f>
        <v/>
      </c>
      <c r="I1010" s="4" t="str">
        <f aca="false">IF(G1010="","",RANK(G1010,$G$2:$G$1179,0))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IF(G1011="","",G1011/SUMIFS($G$2:$G$1179,$F$2:$F$1179,"Served"))</f>
        <v/>
      </c>
      <c r="I1011" s="4" t="str">
        <f aca="false">IF(G1011="","",RANK(G1011,$G$2:$G$1179,0))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IF(G1012="","",G1012/SUMIFS($G$2:$G$1179,$F$2:$F$1179,"Served"))</f>
        <v/>
      </c>
      <c r="I1012" s="4" t="str">
        <f aca="false">IF(G1012="","",RANK(G1012,$G$2:$G$1179,0))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IF(G1013="","",G1013/SUMIFS($G$2:$G$1179,$F$2:$F$1179,"Served"))</f>
        <v/>
      </c>
      <c r="I1013" s="4" t="str">
        <f aca="false">IF(G1013="","",RANK(G1013,$G$2:$G$1179,0))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IF(G1014="","",G1014/SUMIFS($G$2:$G$1179,$F$2:$F$1179,"Served"))</f>
        <v/>
      </c>
      <c r="I1014" s="4" t="str">
        <f aca="false">IF(G1014="","",RANK(G1014,$G$2:$G$1179,0))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IF(G1015="","",G1015/SUMIFS($G$2:$G$1179,$F$2:$F$1179,"Served"))</f>
        <v/>
      </c>
      <c r="I1015" s="4" t="str">
        <f aca="false">IF(G1015="","",RANK(G1015,$G$2:$G$1179,0))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IF(G1016="","",G1016/SUMIFS($G$2:$G$1179,$F$2:$F$1179,"Served"))</f>
        <v/>
      </c>
      <c r="I1016" s="4" t="str">
        <f aca="false">IF(G1016="","",RANK(G1016,$G$2:$G$1179,0))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IF(G1017="","",G1017/SUMIFS($G$2:$G$1179,$F$2:$F$1179,"Served"))</f>
        <v/>
      </c>
      <c r="I1017" s="4" t="str">
        <f aca="false">IF(G1017="","",RANK(G1017,$G$2:$G$1179,0))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IF(G1018="","",G1018/SUMIFS($G$2:$G$1179,$F$2:$F$1179,"Served"))</f>
        <v/>
      </c>
      <c r="I1018" s="4" t="str">
        <f aca="false">IF(G1018="","",RANK(G1018,$G$2:$G$1179,0))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IF(G1019="","",G1019/SUMIFS($G$2:$G$1179,$F$2:$F$1179,"Served"))</f>
        <v/>
      </c>
      <c r="I1019" s="4" t="str">
        <f aca="false">IF(G1019="","",RANK(G1019,$G$2:$G$1179,0))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IF(G1020="","",G1020/SUMIFS($G$2:$G$1179,$F$2:$F$1179,"Served"))</f>
        <v/>
      </c>
      <c r="I1020" s="4" t="str">
        <f aca="false">IF(G1020="","",RANK(G1020,$G$2:$G$1179,0))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IF(G1021="","",G1021/SUMIFS($G$2:$G$1179,$F$2:$F$1179,"Served"))</f>
        <v/>
      </c>
      <c r="I1021" s="4" t="str">
        <f aca="false">IF(G1021="","",RANK(G1021,$G$2:$G$1179,0))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IF(G1022="","",G1022/SUMIFS($G$2:$G$1179,$F$2:$F$1179,"Served"))</f>
        <v/>
      </c>
      <c r="I1022" s="4" t="str">
        <f aca="false">IF(G1022="","",RANK(G1022,$G$2:$G$1179,0))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IF(G1023="","",G1023/SUMIFS($G$2:$G$1179,$F$2:$F$1179,"Served"))</f>
        <v/>
      </c>
      <c r="I1023" s="4" t="str">
        <f aca="false">IF(G1023="","",RANK(G1023,$G$2:$G$1179,0))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IF(G1024="","",G1024/SUMIFS($G$2:$G$1179,$F$2:$F$1179,"Served"))</f>
        <v/>
      </c>
      <c r="I1024" s="4" t="str">
        <f aca="false">IF(G1024="","",RANK(G1024,$G$2:$G$1179,0))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IF(G1025="","",G1025/SUMIFS($G$2:$G$1179,$F$2:$F$1179,"Served"))</f>
        <v/>
      </c>
      <c r="I1025" s="4" t="str">
        <f aca="false">IF(G1025="","",RANK(G1025,$G$2:$G$1179,0))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IF(G1026="","",G1026/SUMIFS($G$2:$G$1179,$F$2:$F$1179,"Served"))</f>
        <v/>
      </c>
      <c r="I1026" s="4" t="str">
        <f aca="false">IF(G1026="","",RANK(G1026,$G$2:$G$1179,0))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IF(G1027="","",G1027/SUMIFS($G$2:$G$1179,$F$2:$F$1179,"Served"))</f>
        <v/>
      </c>
      <c r="I1027" s="4" t="str">
        <f aca="false">IF(G1027="","",RANK(G1027,$G$2:$G$1179,0))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IF(G1028="","",G1028/SUMIFS($G$2:$G$1179,$F$2:$F$1179,"Served"))</f>
        <v/>
      </c>
      <c r="I1028" s="4" t="str">
        <f aca="false">IF(G1028="","",RANK(G1028,$G$2:$G$1179,0))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IF(G1029="","",G1029/SUMIFS($G$2:$G$1179,$F$2:$F$1179,"Served"))</f>
        <v/>
      </c>
      <c r="I1029" s="4" t="str">
        <f aca="false">IF(G1029="","",RANK(G1029,$G$2:$G$1179,0))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IF(G1030="","",G1030/SUMIFS($G$2:$G$1179,$F$2:$F$1179,"Served"))</f>
        <v/>
      </c>
      <c r="I1030" s="4" t="str">
        <f aca="false">IF(G1030="","",RANK(G1030,$G$2:$G$1179,0))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IF(G1031="","",G1031/SUMIFS($G$2:$G$1179,$F$2:$F$1179,"Served"))</f>
        <v/>
      </c>
      <c r="I1031" s="4" t="str">
        <f aca="false">IF(G1031="","",RANK(G1031,$G$2:$G$1179,0))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IF(G1032="","",G1032/SUMIFS($G$2:$G$1179,$F$2:$F$1179,"Served"))</f>
        <v/>
      </c>
      <c r="I1032" s="4" t="str">
        <f aca="false">IF(G1032="","",RANK(G1032,$G$2:$G$1179,0))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IF(G1033="","",G1033/SUMIFS($G$2:$G$1179,$F$2:$F$1179,"Served"))</f>
        <v/>
      </c>
      <c r="I1033" s="4" t="str">
        <f aca="false">IF(G1033="","",RANK(G1033,$G$2:$G$1179,0))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IF(G1034="","",G1034/SUMIFS($G$2:$G$1179,$F$2:$F$1179,"Served"))</f>
        <v/>
      </c>
      <c r="I1034" s="4" t="str">
        <f aca="false">IF(G1034="","",RANK(G1034,$G$2:$G$1179,0))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IF(G1035="","",G1035/SUMIFS($G$2:$G$1179,$F$2:$F$1179,"Served"))</f>
        <v/>
      </c>
      <c r="I1035" s="4" t="str">
        <f aca="false">IF(G1035="","",RANK(G1035,$G$2:$G$1179,0))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IF(G1036="","",G1036/SUMIFS($G$2:$G$1179,$F$2:$F$1179,"Served"))</f>
        <v/>
      </c>
      <c r="I1036" s="4" t="str">
        <f aca="false">IF(G1036="","",RANK(G1036,$G$2:$G$1179,0))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IF(G1037="","",G1037/SUMIFS($G$2:$G$1179,$F$2:$F$1179,"Served"))</f>
        <v/>
      </c>
      <c r="I1037" s="4" t="str">
        <f aca="false">IF(G1037="","",RANK(G1037,$G$2:$G$1179,0))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IF(G1038="","",G1038/SUMIFS($G$2:$G$1179,$F$2:$F$1179,"Served"))</f>
        <v/>
      </c>
      <c r="I1038" s="4" t="str">
        <f aca="false">IF(G1038="","",RANK(G1038,$G$2:$G$1179,0))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IF(G1039="","",G1039/SUMIFS($G$2:$G$1179,$F$2:$F$1179,"Served"))</f>
        <v/>
      </c>
      <c r="I1039" s="4" t="str">
        <f aca="false">IF(G1039="","",RANK(G1039,$G$2:$G$1179,0))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IF(G1040="","",G1040/SUMIFS($G$2:$G$1179,$F$2:$F$1179,"Served"))</f>
        <v/>
      </c>
      <c r="I1040" s="4" t="str">
        <f aca="false">IF(G1040="","",RANK(G1040,$G$2:$G$1179,0))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IF(G1041="","",G1041/SUMIFS($G$2:$G$1179,$F$2:$F$1179,"Served"))</f>
        <v/>
      </c>
      <c r="I1041" s="4" t="str">
        <f aca="false">IF(G1041="","",RANK(G1041,$G$2:$G$1179,0))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IF(G1042="","",G1042/SUMIFS($G$2:$G$1179,$F$2:$F$1179,"Served"))</f>
        <v/>
      </c>
      <c r="I1042" s="4" t="str">
        <f aca="false">IF(G1042="","",RANK(G1042,$G$2:$G$1179,0))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IF(G1043="","",G1043/SUMIFS($G$2:$G$1179,$F$2:$F$1179,"Served"))</f>
        <v/>
      </c>
      <c r="I1043" s="4" t="str">
        <f aca="false">IF(G1043="","",RANK(G1043,$G$2:$G$1179,0))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IF(G1044="","",G1044/SUMIFS($G$2:$G$1179,$F$2:$F$1179,"Served"))</f>
        <v/>
      </c>
      <c r="I1044" s="4" t="str">
        <f aca="false">IF(G1044="","",RANK(G1044,$G$2:$G$1179,0))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IF(G1045="","",G1045/SUMIFS($G$2:$G$1179,$F$2:$F$1179,"Served"))</f>
        <v/>
      </c>
      <c r="I1045" s="4" t="str">
        <f aca="false">IF(G1045="","",RANK(G1045,$G$2:$G$1179,0))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IF(G1046="","",G1046/SUMIFS($G$2:$G$1179,$F$2:$F$1179,"Served"))</f>
        <v/>
      </c>
      <c r="I1046" s="4" t="str">
        <f aca="false">IF(G1046="","",RANK(G1046,$G$2:$G$1179,0))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IF(G1047="","",G1047/SUMIFS($G$2:$G$1179,$F$2:$F$1179,"Served"))</f>
        <v/>
      </c>
      <c r="I1047" s="4" t="str">
        <f aca="false">IF(G1047="","",RANK(G1047,$G$2:$G$1179,0))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IF(G1048="","",G1048/SUMIFS($G$2:$G$1179,$F$2:$F$1179,"Served"))</f>
        <v/>
      </c>
      <c r="I1048" s="4" t="str">
        <f aca="false">IF(G1048="","",RANK(G1048,$G$2:$G$1179,0))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IF(G1049="","",G1049/SUMIFS($G$2:$G$1179,$F$2:$F$1179,"Served"))</f>
        <v/>
      </c>
      <c r="I1049" s="4" t="str">
        <f aca="false">IF(G1049="","",RANK(G1049,$G$2:$G$1179,0))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IF(G1050="","",G1050/SUMIFS($G$2:$G$1179,$F$2:$F$1179,"Served"))</f>
        <v/>
      </c>
      <c r="I1050" s="4" t="str">
        <f aca="false">IF(G1050="","",RANK(G1050,$G$2:$G$1179,0))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IF(G1051="","",G1051/SUMIFS($G$2:$G$1179,$F$2:$F$1179,"Served"))</f>
        <v/>
      </c>
      <c r="I1051" s="4" t="str">
        <f aca="false">IF(G1051="","",RANK(G1051,$G$2:$G$1179,0))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IF(G1052="","",G1052/SUMIFS($G$2:$G$1179,$F$2:$F$1179,"Served"))</f>
        <v/>
      </c>
      <c r="I1052" s="4" t="str">
        <f aca="false">IF(G1052="","",RANK(G1052,$G$2:$G$1179,0))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IF(G1053="","",G1053/SUMIFS($G$2:$G$1179,$F$2:$F$1179,"Served"))</f>
        <v/>
      </c>
      <c r="I1053" s="4" t="str">
        <f aca="false">IF(G1053="","",RANK(G1053,$G$2:$G$1179,0))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IF(G1054="","",G1054/SUMIFS($G$2:$G$1179,$F$2:$F$1179,"Served"))</f>
        <v/>
      </c>
      <c r="I1054" s="4" t="str">
        <f aca="false">IF(G1054="","",RANK(G1054,$G$2:$G$1179,0))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IF(G1055="","",G1055/SUMIFS($G$2:$G$1179,$F$2:$F$1179,"Served"))</f>
        <v/>
      </c>
      <c r="I1055" s="4" t="str">
        <f aca="false">IF(G1055="","",RANK(G1055,$G$2:$G$1179,0))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IF(G1056="","",G1056/SUMIFS($G$2:$G$1179,$F$2:$F$1179,"Served"))</f>
        <v/>
      </c>
      <c r="I1056" s="4" t="str">
        <f aca="false">IF(G1056="","",RANK(G1056,$G$2:$G$1179,0))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IF(G1057="","",G1057/SUMIFS($G$2:$G$1179,$F$2:$F$1179,"Served"))</f>
        <v/>
      </c>
      <c r="I1057" s="4" t="str">
        <f aca="false">IF(G1057="","",RANK(G1057,$G$2:$G$1179,0))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IF(G1058="","",G1058/SUMIFS($G$2:$G$1179,$F$2:$F$1179,"Served"))</f>
        <v/>
      </c>
      <c r="I1058" s="4" t="str">
        <f aca="false">IF(G1058="","",RANK(G1058,$G$2:$G$1179,0))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IF(G1059="","",G1059/SUMIFS($G$2:$G$1179,$F$2:$F$1179,"Served"))</f>
        <v/>
      </c>
      <c r="I1059" s="4" t="str">
        <f aca="false">IF(G1059="","",RANK(G1059,$G$2:$G$1179,0))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IF(G1060="","",G1060/SUMIFS($G$2:$G$1179,$F$2:$F$1179,"Served"))</f>
        <v/>
      </c>
      <c r="I1060" s="4" t="str">
        <f aca="false">IF(G1060="","",RANK(G1060,$G$2:$G$1179,0))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IF(G1061="","",G1061/SUMIFS($G$2:$G$1179,$F$2:$F$1179,"Served"))</f>
        <v/>
      </c>
      <c r="I1061" s="4" t="str">
        <f aca="false">IF(G1061="","",RANK(G1061,$G$2:$G$1179,0))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IF(G1062="","",G1062/SUMIFS($G$2:$G$1179,$F$2:$F$1179,"Served"))</f>
        <v/>
      </c>
      <c r="I1062" s="4" t="str">
        <f aca="false">IF(G1062="","",RANK(G1062,$G$2:$G$1179,0))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IF(G1063="","",G1063/SUMIFS($G$2:$G$1179,$F$2:$F$1179,"Served"))</f>
        <v/>
      </c>
      <c r="I1063" s="4" t="str">
        <f aca="false">IF(G1063="","",RANK(G1063,$G$2:$G$1179,0))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IF(G1064="","",G1064/SUMIFS($G$2:$G$1179,$F$2:$F$1179,"Served"))</f>
        <v/>
      </c>
      <c r="I1064" s="4" t="str">
        <f aca="false">IF(G1064="","",RANK(G1064,$G$2:$G$1179,0))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IF(G1065="","",G1065/SUMIFS($G$2:$G$1179,$F$2:$F$1179,"Served"))</f>
        <v/>
      </c>
      <c r="I1065" s="4" t="str">
        <f aca="false">IF(G1065="","",RANK(G1065,$G$2:$G$1179,0))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IF(G1066="","",G1066/SUMIFS($G$2:$G$1179,$F$2:$F$1179,"Served"))</f>
        <v/>
      </c>
      <c r="I1066" s="4" t="str">
        <f aca="false">IF(G1066="","",RANK(G1066,$G$2:$G$1179,0))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IF(G1067="","",G1067/SUMIFS($G$2:$G$1179,$F$2:$F$1179,"Served"))</f>
        <v/>
      </c>
      <c r="I1067" s="4" t="str">
        <f aca="false">IF(G1067="","",RANK(G1067,$G$2:$G$1179,0))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IF(G1068="","",G1068/SUMIFS($G$2:$G$1179,$F$2:$F$1179,"Served"))</f>
        <v/>
      </c>
      <c r="I1068" s="4" t="str">
        <f aca="false">IF(G1068="","",RANK(G1068,$G$2:$G$1179,0))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IF(G1069="","",G1069/SUMIFS($G$2:$G$1179,$F$2:$F$1179,"Served"))</f>
        <v/>
      </c>
      <c r="I1069" s="4" t="str">
        <f aca="false">IF(G1069="","",RANK(G1069,$G$2:$G$1179,0))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IF(G1070="","",G1070/SUMIFS($G$2:$G$1179,$F$2:$F$1179,"Served"))</f>
        <v/>
      </c>
      <c r="I1070" s="4" t="str">
        <f aca="false">IF(G1070="","",RANK(G1070,$G$2:$G$1179,0))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IF(G1071="","",G1071/SUMIFS($G$2:$G$1179,$F$2:$F$1179,"Served"))</f>
        <v/>
      </c>
      <c r="I1071" s="4" t="str">
        <f aca="false">IF(G1071="","",RANK(G1071,$G$2:$G$1179,0))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IF(G1072="","",G1072/SUMIFS($G$2:$G$1179,$F$2:$F$1179,"Served"))</f>
        <v/>
      </c>
      <c r="I1072" s="4" t="str">
        <f aca="false">IF(G1072="","",RANK(G1072,$G$2:$G$1179,0))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IF(G1073="","",G1073/SUMIFS($G$2:$G$1179,$F$2:$F$1179,"Served"))</f>
        <v/>
      </c>
      <c r="I1073" s="4" t="str">
        <f aca="false">IF(G1073="","",RANK(G1073,$G$2:$G$1179,0))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IF(G1074="","",G1074/SUMIFS($G$2:$G$1179,$F$2:$F$1179,"Served"))</f>
        <v/>
      </c>
      <c r="I1074" s="4" t="str">
        <f aca="false">IF(G1074="","",RANK(G1074,$G$2:$G$1179,0))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IF(G1075="","",G1075/SUMIFS($G$2:$G$1179,$F$2:$F$1179,"Served"))</f>
        <v/>
      </c>
      <c r="I1075" s="4" t="str">
        <f aca="false">IF(G1075="","",RANK(G1075,$G$2:$G$1179,0))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IF(G1076="","",G1076/SUMIFS($G$2:$G$1179,$F$2:$F$1179,"Served"))</f>
        <v/>
      </c>
      <c r="I1076" s="4" t="str">
        <f aca="false">IF(G1076="","",RANK(G1076,$G$2:$G$1179,0))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IF(G1077="","",G1077/SUMIFS($G$2:$G$1179,$F$2:$F$1179,"Served"))</f>
        <v/>
      </c>
      <c r="I1077" s="4" t="str">
        <f aca="false">IF(G1077="","",RANK(G1077,$G$2:$G$1179,0))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IF(G1078="","",G1078/SUMIFS($G$2:$G$1179,$F$2:$F$1179,"Served"))</f>
        <v/>
      </c>
      <c r="I1078" s="4" t="str">
        <f aca="false">IF(G1078="","",RANK(G1078,$G$2:$G$1179,0))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IF(G1079="","",G1079/SUMIFS($G$2:$G$1179,$F$2:$F$1179,"Served"))</f>
        <v/>
      </c>
      <c r="I1079" s="4" t="str">
        <f aca="false">IF(G1079="","",RANK(G1079,$G$2:$G$1179,0))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IF(G1080="","",G1080/SUMIFS($G$2:$G$1179,$F$2:$F$1179,"Served"))</f>
        <v/>
      </c>
      <c r="I1080" s="4" t="str">
        <f aca="false">IF(G1080="","",RANK(G1080,$G$2:$G$1179,0))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IF(G1081="","",G1081/SUMIFS($G$2:$G$1179,$F$2:$F$1179,"Served"))</f>
        <v/>
      </c>
      <c r="I1081" s="4" t="str">
        <f aca="false">IF(G1081="","",RANK(G1081,$G$2:$G$1179,0))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IF(G1082="","",G1082/SUMIFS($G$2:$G$1179,$F$2:$F$1179,"Served"))</f>
        <v/>
      </c>
      <c r="I1082" s="4" t="str">
        <f aca="false">IF(G1082="","",RANK(G1082,$G$2:$G$1179,0))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IF(G1083="","",G1083/SUMIFS($G$2:$G$1179,$F$2:$F$1179,"Served"))</f>
        <v/>
      </c>
      <c r="I1083" s="4" t="str">
        <f aca="false">IF(G1083="","",RANK(G1083,$G$2:$G$1179,0))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IF(G1084="","",G1084/SUMIFS($G$2:$G$1179,$F$2:$F$1179,"Served"))</f>
        <v/>
      </c>
      <c r="I1084" s="4" t="str">
        <f aca="false">IF(G1084="","",RANK(G1084,$G$2:$G$1179,0))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IF(G1085="","",G1085/SUMIFS($G$2:$G$1179,$F$2:$F$1179,"Served"))</f>
        <v/>
      </c>
      <c r="I1085" s="4" t="str">
        <f aca="false">IF(G1085="","",RANK(G1085,$G$2:$G$1179,0))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IF(G1086="","",G1086/SUMIFS($G$2:$G$1179,$F$2:$F$1179,"Served"))</f>
        <v/>
      </c>
      <c r="I1086" s="4" t="str">
        <f aca="false">IF(G1086="","",RANK(G1086,$G$2:$G$1179,0))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2301</v>
      </c>
      <c r="C1087" s="4" t="s">
        <v>2302</v>
      </c>
      <c r="D1087" s="7" t="s">
        <v>2303</v>
      </c>
      <c r="E1087" s="4" t="s">
        <v>2304</v>
      </c>
      <c r="F1087" s="4" t="s">
        <v>6</v>
      </c>
      <c r="G1087" s="8"/>
      <c r="H1087" s="6" t="str">
        <f aca="false">IF(G1087="","",G1087/SUMIFS($G$2:$G$1179,$F$2:$F$1179,"Served"))</f>
        <v/>
      </c>
      <c r="I1087" s="4" t="str">
        <f aca="false">IF(G1087="","",RANK(G1087,$G$2:$G$1179,0))</f>
        <v/>
      </c>
      <c r="J1087" s="4" t="s">
        <v>34</v>
      </c>
    </row>
    <row r="1088" customFormat="false" ht="15" hidden="false" customHeight="false" outlineLevel="0" collapsed="false">
      <c r="A1088" s="4" t="s">
        <v>2305</v>
      </c>
      <c r="B1088" s="4" t="s">
        <v>2301</v>
      </c>
      <c r="C1088" s="4" t="s">
        <v>2302</v>
      </c>
      <c r="D1088" s="7" t="s">
        <v>2306</v>
      </c>
      <c r="E1088" s="4" t="s">
        <v>2304</v>
      </c>
      <c r="F1088" s="4" t="s">
        <v>6</v>
      </c>
      <c r="G1088" s="8"/>
      <c r="H1088" s="6" t="str">
        <f aca="false">IF(G1088="","",G1088/SUMIFS($G$2:$G$1179,$F$2:$F$1179,"Served"))</f>
        <v/>
      </c>
      <c r="I1088" s="4" t="str">
        <f aca="false">IF(G1088="","",RANK(G1088,$G$2:$G$1179,0))</f>
        <v/>
      </c>
      <c r="J1088" s="4" t="s">
        <v>34</v>
      </c>
    </row>
    <row r="1089" customFormat="false" ht="15" hidden="false" customHeight="false" outlineLevel="0" collapsed="false">
      <c r="A1089" s="4" t="s">
        <v>2307</v>
      </c>
      <c r="B1089" s="4" t="s">
        <v>2301</v>
      </c>
      <c r="C1089" s="4" t="s">
        <v>2302</v>
      </c>
      <c r="D1089" s="7" t="s">
        <v>2308</v>
      </c>
      <c r="E1089" s="4" t="s">
        <v>2304</v>
      </c>
      <c r="F1089" s="4" t="s">
        <v>6</v>
      </c>
      <c r="G1089" s="8"/>
      <c r="H1089" s="6" t="str">
        <f aca="false">IF(G1089="","",G1089/SUMIFS($G$2:$G$1179,$F$2:$F$1179,"Served"))</f>
        <v/>
      </c>
      <c r="I1089" s="4" t="str">
        <f aca="false">IF(G1089="","",RANK(G1089,$G$2:$G$1179,0))</f>
        <v/>
      </c>
      <c r="J1089" s="4" t="s">
        <v>34</v>
      </c>
    </row>
    <row r="1090" customFormat="false" ht="15" hidden="false" customHeight="false" outlineLevel="0" collapsed="false">
      <c r="A1090" s="4" t="s">
        <v>2309</v>
      </c>
      <c r="B1090" s="4" t="s">
        <v>2301</v>
      </c>
      <c r="C1090" s="4" t="s">
        <v>2302</v>
      </c>
      <c r="D1090" s="7" t="s">
        <v>2310</v>
      </c>
      <c r="E1090" s="4" t="s">
        <v>2304</v>
      </c>
      <c r="F1090" s="4" t="s">
        <v>6</v>
      </c>
      <c r="G1090" s="8"/>
      <c r="H1090" s="6" t="str">
        <f aca="false">IF(G1090="","",G1090/SUMIFS($G$2:$G$1179,$F$2:$F$1179,"Served"))</f>
        <v/>
      </c>
      <c r="I1090" s="4" t="str">
        <f aca="false">IF(G1090="","",RANK(G1090,$G$2:$G$1179,0))</f>
        <v/>
      </c>
      <c r="J1090" s="4" t="s">
        <v>34</v>
      </c>
    </row>
    <row r="1091" customFormat="false" ht="15" hidden="false" customHeight="false" outlineLevel="0" collapsed="false">
      <c r="A1091" s="4" t="s">
        <v>2311</v>
      </c>
      <c r="B1091" s="4" t="s">
        <v>2301</v>
      </c>
      <c r="C1091" s="4" t="s">
        <v>2302</v>
      </c>
      <c r="D1091" s="7" t="s">
        <v>2312</v>
      </c>
      <c r="E1091" s="4" t="s">
        <v>2304</v>
      </c>
      <c r="F1091" s="4" t="s">
        <v>6</v>
      </c>
      <c r="G1091" s="8"/>
      <c r="H1091" s="6" t="str">
        <f aca="false">IF(G1091="","",G1091/SUMIFS($G$2:$G$1179,$F$2:$F$1179,"Served"))</f>
        <v/>
      </c>
      <c r="I1091" s="4" t="str">
        <f aca="false">IF(G1091="","",RANK(G1091,$G$2:$G$1179,0))</f>
        <v/>
      </c>
      <c r="J1091" s="4" t="s">
        <v>34</v>
      </c>
    </row>
    <row r="1092" customFormat="false" ht="15" hidden="false" customHeight="false" outlineLevel="0" collapsed="false">
      <c r="A1092" s="4" t="s">
        <v>2313</v>
      </c>
      <c r="B1092" s="4" t="s">
        <v>2301</v>
      </c>
      <c r="C1092" s="4" t="s">
        <v>2302</v>
      </c>
      <c r="D1092" s="7" t="s">
        <v>2314</v>
      </c>
      <c r="E1092" s="4" t="s">
        <v>2304</v>
      </c>
      <c r="F1092" s="4" t="s">
        <v>6</v>
      </c>
      <c r="G1092" s="8"/>
      <c r="H1092" s="6" t="str">
        <f aca="false">IF(G1092="","",G1092/SUMIFS($G$2:$G$1179,$F$2:$F$1179,"Served"))</f>
        <v/>
      </c>
      <c r="I1092" s="4" t="str">
        <f aca="false">IF(G1092="","",RANK(G1092,$G$2:$G$1179,0))</f>
        <v/>
      </c>
      <c r="J1092" s="4" t="s">
        <v>34</v>
      </c>
    </row>
    <row r="1093" customFormat="false" ht="15" hidden="false" customHeight="false" outlineLevel="0" collapsed="false">
      <c r="A1093" s="4" t="s">
        <v>2315</v>
      </c>
      <c r="B1093" s="4" t="s">
        <v>2301</v>
      </c>
      <c r="C1093" s="4" t="s">
        <v>2302</v>
      </c>
      <c r="D1093" s="7" t="s">
        <v>2316</v>
      </c>
      <c r="E1093" s="4" t="s">
        <v>2304</v>
      </c>
      <c r="F1093" s="4" t="s">
        <v>6</v>
      </c>
      <c r="G1093" s="8"/>
      <c r="H1093" s="6" t="str">
        <f aca="false">IF(G1093="","",G1093/SUMIFS($G$2:$G$1179,$F$2:$F$1179,"Served"))</f>
        <v/>
      </c>
      <c r="I1093" s="4" t="str">
        <f aca="false">IF(G1093="","",RANK(G1093,$G$2:$G$1179,0))</f>
        <v/>
      </c>
      <c r="J1093" s="4" t="s">
        <v>34</v>
      </c>
    </row>
    <row r="1094" customFormat="false" ht="15" hidden="false" customHeight="false" outlineLevel="0" collapsed="false">
      <c r="A1094" s="4" t="s">
        <v>2317</v>
      </c>
      <c r="B1094" s="4" t="s">
        <v>2301</v>
      </c>
      <c r="C1094" s="4" t="s">
        <v>2302</v>
      </c>
      <c r="D1094" s="7" t="s">
        <v>2318</v>
      </c>
      <c r="E1094" s="4" t="s">
        <v>2304</v>
      </c>
      <c r="F1094" s="4" t="s">
        <v>6</v>
      </c>
      <c r="G1094" s="8"/>
      <c r="H1094" s="6" t="str">
        <f aca="false">IF(G1094="","",G1094/SUMIFS($G$2:$G$1179,$F$2:$F$1179,"Served"))</f>
        <v/>
      </c>
      <c r="I1094" s="4" t="str">
        <f aca="false">IF(G1094="","",RANK(G1094,$G$2:$G$1179,0))</f>
        <v/>
      </c>
      <c r="J1094" s="4" t="s">
        <v>34</v>
      </c>
    </row>
    <row r="1095" customFormat="false" ht="15" hidden="false" customHeight="false" outlineLevel="0" collapsed="false">
      <c r="A1095" s="4" t="s">
        <v>2319</v>
      </c>
      <c r="B1095" s="4" t="s">
        <v>2301</v>
      </c>
      <c r="C1095" s="4" t="s">
        <v>2302</v>
      </c>
      <c r="D1095" s="7" t="s">
        <v>2320</v>
      </c>
      <c r="E1095" s="4" t="s">
        <v>2304</v>
      </c>
      <c r="F1095" s="4" t="s">
        <v>6</v>
      </c>
      <c r="G1095" s="8"/>
      <c r="H1095" s="6" t="str">
        <f aca="false">IF(G1095="","",G1095/SUMIFS($G$2:$G$1179,$F$2:$F$1179,"Served"))</f>
        <v/>
      </c>
      <c r="I1095" s="4" t="str">
        <f aca="false">IF(G1095="","",RANK(G1095,$G$2:$G$1179,0))</f>
        <v/>
      </c>
      <c r="J1095" s="4" t="s">
        <v>34</v>
      </c>
    </row>
    <row r="1096" customFormat="false" ht="15" hidden="false" customHeight="false" outlineLevel="0" collapsed="false">
      <c r="A1096" s="4" t="s">
        <v>2321</v>
      </c>
      <c r="B1096" s="4" t="s">
        <v>2301</v>
      </c>
      <c r="C1096" s="4" t="s">
        <v>2302</v>
      </c>
      <c r="D1096" s="7" t="s">
        <v>2322</v>
      </c>
      <c r="E1096" s="4" t="s">
        <v>2304</v>
      </c>
      <c r="F1096" s="4" t="s">
        <v>6</v>
      </c>
      <c r="G1096" s="8"/>
      <c r="H1096" s="6" t="str">
        <f aca="false">IF(G1096="","",G1096/SUMIFS($G$2:$G$1179,$F$2:$F$1179,"Served"))</f>
        <v/>
      </c>
      <c r="I1096" s="4" t="str">
        <f aca="false">IF(G1096="","",RANK(G1096,$G$2:$G$1179,0))</f>
        <v/>
      </c>
      <c r="J1096" s="4" t="s">
        <v>34</v>
      </c>
    </row>
    <row r="1097" customFormat="false" ht="15" hidden="false" customHeight="false" outlineLevel="0" collapsed="false">
      <c r="A1097" s="4" t="s">
        <v>2323</v>
      </c>
      <c r="B1097" s="4" t="s">
        <v>2301</v>
      </c>
      <c r="C1097" s="4" t="s">
        <v>2302</v>
      </c>
      <c r="D1097" s="7" t="s">
        <v>2324</v>
      </c>
      <c r="E1097" s="4" t="s">
        <v>2304</v>
      </c>
      <c r="F1097" s="4" t="s">
        <v>6</v>
      </c>
      <c r="G1097" s="8"/>
      <c r="H1097" s="6" t="str">
        <f aca="false">IF(G1097="","",G1097/SUMIFS($G$2:$G$1179,$F$2:$F$1179,"Served"))</f>
        <v/>
      </c>
      <c r="I1097" s="4" t="str">
        <f aca="false">IF(G1097="","",RANK(G1097,$G$2:$G$1179,0))</f>
        <v/>
      </c>
      <c r="J1097" s="4" t="s">
        <v>34</v>
      </c>
    </row>
    <row r="1098" customFormat="false" ht="15" hidden="false" customHeight="false" outlineLevel="0" collapsed="false">
      <c r="A1098" s="4" t="s">
        <v>2325</v>
      </c>
      <c r="B1098" s="4" t="s">
        <v>2301</v>
      </c>
      <c r="C1098" s="4" t="s">
        <v>2302</v>
      </c>
      <c r="D1098" s="7" t="s">
        <v>2326</v>
      </c>
      <c r="E1098" s="4" t="s">
        <v>2304</v>
      </c>
      <c r="F1098" s="4" t="s">
        <v>6</v>
      </c>
      <c r="G1098" s="8"/>
      <c r="H1098" s="6" t="str">
        <f aca="false">IF(G1098="","",G1098/SUMIFS($G$2:$G$1179,$F$2:$F$1179,"Served"))</f>
        <v/>
      </c>
      <c r="I1098" s="4" t="str">
        <f aca="false">IF(G1098="","",RANK(G1098,$G$2:$G$1179,0))</f>
        <v/>
      </c>
      <c r="J1098" s="4" t="s">
        <v>34</v>
      </c>
    </row>
    <row r="1099" customFormat="false" ht="15" hidden="false" customHeight="false" outlineLevel="0" collapsed="false">
      <c r="A1099" s="4" t="s">
        <v>2327</v>
      </c>
      <c r="B1099" s="4" t="s">
        <v>2301</v>
      </c>
      <c r="C1099" s="4" t="s">
        <v>2302</v>
      </c>
      <c r="D1099" s="7" t="s">
        <v>2328</v>
      </c>
      <c r="E1099" s="4" t="s">
        <v>2304</v>
      </c>
      <c r="F1099" s="4" t="s">
        <v>6</v>
      </c>
      <c r="G1099" s="8"/>
      <c r="H1099" s="6" t="str">
        <f aca="false">IF(G1099="","",G1099/SUMIFS($G$2:$G$1179,$F$2:$F$1179,"Served"))</f>
        <v/>
      </c>
      <c r="I1099" s="4" t="str">
        <f aca="false">IF(G1099="","",RANK(G1099,$G$2:$G$1179,0))</f>
        <v/>
      </c>
      <c r="J1099" s="4" t="s">
        <v>34</v>
      </c>
    </row>
    <row r="1100" customFormat="false" ht="15" hidden="false" customHeight="false" outlineLevel="0" collapsed="false">
      <c r="A1100" s="4" t="s">
        <v>2329</v>
      </c>
      <c r="B1100" s="4" t="s">
        <v>2301</v>
      </c>
      <c r="C1100" s="4" t="s">
        <v>2302</v>
      </c>
      <c r="D1100" s="7" t="s">
        <v>2330</v>
      </c>
      <c r="E1100" s="4" t="s">
        <v>2304</v>
      </c>
      <c r="F1100" s="4" t="s">
        <v>6</v>
      </c>
      <c r="G1100" s="8"/>
      <c r="H1100" s="6" t="str">
        <f aca="false">IF(G1100="","",G1100/SUMIFS($G$2:$G$1179,$F$2:$F$1179,"Served"))</f>
        <v/>
      </c>
      <c r="I1100" s="4" t="str">
        <f aca="false">IF(G1100="","",RANK(G1100,$G$2:$G$1179,0))</f>
        <v/>
      </c>
      <c r="J1100" s="4" t="s">
        <v>34</v>
      </c>
    </row>
    <row r="1101" customFormat="false" ht="15" hidden="false" customHeight="false" outlineLevel="0" collapsed="false">
      <c r="A1101" s="4" t="s">
        <v>2331</v>
      </c>
      <c r="B1101" s="4" t="s">
        <v>2332</v>
      </c>
      <c r="C1101" s="4" t="s">
        <v>2333</v>
      </c>
      <c r="D1101" s="7" t="s">
        <v>2334</v>
      </c>
      <c r="E1101" s="4" t="s">
        <v>2335</v>
      </c>
      <c r="F1101" s="4" t="s">
        <v>6</v>
      </c>
      <c r="G1101" s="8"/>
      <c r="H1101" s="6" t="str">
        <f aca="false">IF(G1101="","",G1101/SUMIFS($G$2:$G$1179,$F$2:$F$1179,"Served"))</f>
        <v/>
      </c>
      <c r="I1101" s="4" t="str">
        <f aca="false">IF(G1101="","",RANK(G1101,$G$2:$G$1179,0))</f>
        <v/>
      </c>
      <c r="J1101" s="4" t="s">
        <v>34</v>
      </c>
    </row>
    <row r="1102" customFormat="false" ht="15" hidden="false" customHeight="false" outlineLevel="0" collapsed="false">
      <c r="A1102" s="4" t="s">
        <v>2336</v>
      </c>
      <c r="B1102" s="4" t="s">
        <v>2332</v>
      </c>
      <c r="C1102" s="4" t="s">
        <v>2333</v>
      </c>
      <c r="D1102" s="7" t="s">
        <v>2337</v>
      </c>
      <c r="E1102" s="4" t="s">
        <v>2335</v>
      </c>
      <c r="F1102" s="4" t="s">
        <v>6</v>
      </c>
      <c r="G1102" s="8"/>
      <c r="H1102" s="6" t="str">
        <f aca="false">IF(G1102="","",G1102/SUMIFS($G$2:$G$1179,$F$2:$F$1179,"Served"))</f>
        <v/>
      </c>
      <c r="I1102" s="4" t="str">
        <f aca="false">IF(G1102="","",RANK(G1102,$G$2:$G$1179,0))</f>
        <v/>
      </c>
      <c r="J1102" s="4" t="s">
        <v>34</v>
      </c>
    </row>
    <row r="1103" customFormat="false" ht="15" hidden="false" customHeight="false" outlineLevel="0" collapsed="false">
      <c r="A1103" s="4" t="s">
        <v>2338</v>
      </c>
      <c r="B1103" s="4" t="s">
        <v>2332</v>
      </c>
      <c r="C1103" s="4" t="s">
        <v>2333</v>
      </c>
      <c r="D1103" s="7" t="s">
        <v>2339</v>
      </c>
      <c r="E1103" s="4" t="s">
        <v>2335</v>
      </c>
      <c r="F1103" s="4" t="s">
        <v>6</v>
      </c>
      <c r="G1103" s="8"/>
      <c r="H1103" s="6" t="str">
        <f aca="false">IF(G1103="","",G1103/SUMIFS($G$2:$G$1179,$F$2:$F$1179,"Served"))</f>
        <v/>
      </c>
      <c r="I1103" s="4" t="str">
        <f aca="false">IF(G1103="","",RANK(G1103,$G$2:$G$1179,0))</f>
        <v/>
      </c>
      <c r="J1103" s="4" t="s">
        <v>34</v>
      </c>
    </row>
    <row r="1104" customFormat="false" ht="15" hidden="false" customHeight="false" outlineLevel="0" collapsed="false">
      <c r="A1104" s="4" t="s">
        <v>2340</v>
      </c>
      <c r="B1104" s="4" t="s">
        <v>2332</v>
      </c>
      <c r="C1104" s="4" t="s">
        <v>2333</v>
      </c>
      <c r="D1104" s="7" t="s">
        <v>2341</v>
      </c>
      <c r="E1104" s="4" t="s">
        <v>2335</v>
      </c>
      <c r="F1104" s="4" t="s">
        <v>6</v>
      </c>
      <c r="G1104" s="8"/>
      <c r="H1104" s="6" t="str">
        <f aca="false">IF(G1104="","",G1104/SUMIFS($G$2:$G$1179,$F$2:$F$1179,"Served"))</f>
        <v/>
      </c>
      <c r="I1104" s="4" t="str">
        <f aca="false">IF(G1104="","",RANK(G1104,$G$2:$G$1179,0))</f>
        <v/>
      </c>
      <c r="J1104" s="4" t="s">
        <v>34</v>
      </c>
    </row>
    <row r="1105" customFormat="false" ht="15" hidden="false" customHeight="false" outlineLevel="0" collapsed="false">
      <c r="A1105" s="4" t="s">
        <v>2342</v>
      </c>
      <c r="B1105" s="4" t="s">
        <v>2332</v>
      </c>
      <c r="C1105" s="4" t="s">
        <v>2333</v>
      </c>
      <c r="D1105" s="7" t="s">
        <v>2343</v>
      </c>
      <c r="E1105" s="4" t="s">
        <v>2335</v>
      </c>
      <c r="F1105" s="4" t="s">
        <v>6</v>
      </c>
      <c r="G1105" s="8"/>
      <c r="H1105" s="6" t="str">
        <f aca="false">IF(G1105="","",G1105/SUMIFS($G$2:$G$1179,$F$2:$F$1179,"Served"))</f>
        <v/>
      </c>
      <c r="I1105" s="4" t="str">
        <f aca="false">IF(G1105="","",RANK(G1105,$G$2:$G$1179,0))</f>
        <v/>
      </c>
      <c r="J1105" s="4" t="s">
        <v>34</v>
      </c>
    </row>
    <row r="1106" customFormat="false" ht="15" hidden="false" customHeight="false" outlineLevel="0" collapsed="false">
      <c r="A1106" s="4" t="s">
        <v>2344</v>
      </c>
      <c r="B1106" s="4" t="s">
        <v>2332</v>
      </c>
      <c r="C1106" s="4" t="s">
        <v>2333</v>
      </c>
      <c r="D1106" s="7" t="s">
        <v>2345</v>
      </c>
      <c r="E1106" s="4" t="s">
        <v>2335</v>
      </c>
      <c r="F1106" s="4" t="s">
        <v>6</v>
      </c>
      <c r="G1106" s="8"/>
      <c r="H1106" s="6" t="str">
        <f aca="false">IF(G1106="","",G1106/SUMIFS($G$2:$G$1179,$F$2:$F$1179,"Served"))</f>
        <v/>
      </c>
      <c r="I1106" s="4" t="str">
        <f aca="false">IF(G1106="","",RANK(G1106,$G$2:$G$1179,0))</f>
        <v/>
      </c>
      <c r="J1106" s="4" t="s">
        <v>34</v>
      </c>
    </row>
    <row r="1107" customFormat="false" ht="15" hidden="false" customHeight="false" outlineLevel="0" collapsed="false">
      <c r="A1107" s="4" t="s">
        <v>2346</v>
      </c>
      <c r="B1107" s="4" t="s">
        <v>2332</v>
      </c>
      <c r="C1107" s="4" t="s">
        <v>2333</v>
      </c>
      <c r="D1107" s="7" t="s">
        <v>2347</v>
      </c>
      <c r="E1107" s="4" t="s">
        <v>2335</v>
      </c>
      <c r="F1107" s="4" t="s">
        <v>6</v>
      </c>
      <c r="G1107" s="8"/>
      <c r="H1107" s="6" t="str">
        <f aca="false">IF(G1107="","",G1107/SUMIFS($G$2:$G$1179,$F$2:$F$1179,"Served"))</f>
        <v/>
      </c>
      <c r="I1107" s="4" t="str">
        <f aca="false">IF(G1107="","",RANK(G1107,$G$2:$G$1179,0))</f>
        <v/>
      </c>
      <c r="J1107" s="4" t="s">
        <v>34</v>
      </c>
    </row>
    <row r="1108" customFormat="false" ht="15" hidden="false" customHeight="false" outlineLevel="0" collapsed="false">
      <c r="A1108" s="4" t="s">
        <v>2348</v>
      </c>
      <c r="B1108" s="4" t="s">
        <v>2332</v>
      </c>
      <c r="C1108" s="4" t="s">
        <v>2333</v>
      </c>
      <c r="D1108" s="7" t="s">
        <v>2349</v>
      </c>
      <c r="E1108" s="4" t="s">
        <v>2335</v>
      </c>
      <c r="F1108" s="4" t="s">
        <v>6</v>
      </c>
      <c r="G1108" s="8"/>
      <c r="H1108" s="6" t="str">
        <f aca="false">IF(G1108="","",G1108/SUMIFS($G$2:$G$1179,$F$2:$F$1179,"Served"))</f>
        <v/>
      </c>
      <c r="I1108" s="4" t="str">
        <f aca="false">IF(G1108="","",RANK(G1108,$G$2:$G$1179,0))</f>
        <v/>
      </c>
      <c r="J1108" s="4" t="s">
        <v>34</v>
      </c>
    </row>
    <row r="1109" customFormat="false" ht="15" hidden="false" customHeight="false" outlineLevel="0" collapsed="false">
      <c r="A1109" s="4" t="s">
        <v>2350</v>
      </c>
      <c r="B1109" s="4" t="s">
        <v>2332</v>
      </c>
      <c r="C1109" s="4" t="s">
        <v>2333</v>
      </c>
      <c r="D1109" s="7" t="s">
        <v>2351</v>
      </c>
      <c r="E1109" s="4" t="s">
        <v>2335</v>
      </c>
      <c r="F1109" s="4" t="s">
        <v>6</v>
      </c>
      <c r="G1109" s="8"/>
      <c r="H1109" s="6" t="str">
        <f aca="false">IF(G1109="","",G1109/SUMIFS($G$2:$G$1179,$F$2:$F$1179,"Served"))</f>
        <v/>
      </c>
      <c r="I1109" s="4" t="str">
        <f aca="false">IF(G1109="","",RANK(G1109,$G$2:$G$1179,0))</f>
        <v/>
      </c>
      <c r="J1109" s="4" t="s">
        <v>34</v>
      </c>
    </row>
    <row r="1110" customFormat="false" ht="15" hidden="false" customHeight="false" outlineLevel="0" collapsed="false">
      <c r="A1110" s="4" t="s">
        <v>2352</v>
      </c>
      <c r="B1110" s="4" t="s">
        <v>2332</v>
      </c>
      <c r="C1110" s="4" t="s">
        <v>2333</v>
      </c>
      <c r="D1110" s="7" t="s">
        <v>2353</v>
      </c>
      <c r="E1110" s="4" t="s">
        <v>2335</v>
      </c>
      <c r="F1110" s="4" t="s">
        <v>6</v>
      </c>
      <c r="G1110" s="8"/>
      <c r="H1110" s="6" t="str">
        <f aca="false">IF(G1110="","",G1110/SUMIFS($G$2:$G$1179,$F$2:$F$1179,"Served"))</f>
        <v/>
      </c>
      <c r="I1110" s="4" t="str">
        <f aca="false">IF(G1110="","",RANK(G1110,$G$2:$G$1179,0))</f>
        <v/>
      </c>
      <c r="J1110" s="4" t="s">
        <v>34</v>
      </c>
    </row>
    <row r="1111" customFormat="false" ht="15" hidden="false" customHeight="false" outlineLevel="0" collapsed="false">
      <c r="A1111" s="4" t="s">
        <v>2354</v>
      </c>
      <c r="B1111" s="4" t="s">
        <v>2332</v>
      </c>
      <c r="C1111" s="4" t="s">
        <v>2333</v>
      </c>
      <c r="D1111" s="7" t="s">
        <v>2355</v>
      </c>
      <c r="E1111" s="4" t="s">
        <v>2335</v>
      </c>
      <c r="F1111" s="4" t="s">
        <v>6</v>
      </c>
      <c r="G1111" s="8"/>
      <c r="H1111" s="6" t="str">
        <f aca="false">IF(G1111="","",G1111/SUMIFS($G$2:$G$1179,$F$2:$F$1179,"Served"))</f>
        <v/>
      </c>
      <c r="I1111" s="4" t="str">
        <f aca="false">IF(G1111="","",RANK(G1111,$G$2:$G$1179,0))</f>
        <v/>
      </c>
      <c r="J1111" s="4" t="s">
        <v>34</v>
      </c>
    </row>
    <row r="1112" customFormat="false" ht="15" hidden="false" customHeight="false" outlineLevel="0" collapsed="false">
      <c r="A1112" s="4" t="s">
        <v>2356</v>
      </c>
      <c r="B1112" s="4" t="s">
        <v>2332</v>
      </c>
      <c r="C1112" s="4" t="s">
        <v>2333</v>
      </c>
      <c r="D1112" s="7" t="s">
        <v>2357</v>
      </c>
      <c r="E1112" s="4" t="s">
        <v>2335</v>
      </c>
      <c r="F1112" s="4" t="s">
        <v>6</v>
      </c>
      <c r="G1112" s="8"/>
      <c r="H1112" s="6" t="str">
        <f aca="false">IF(G1112="","",G1112/SUMIFS($G$2:$G$1179,$F$2:$F$1179,"Served"))</f>
        <v/>
      </c>
      <c r="I1112" s="4" t="str">
        <f aca="false">IF(G1112="","",RANK(G1112,$G$2:$G$1179,0))</f>
        <v/>
      </c>
      <c r="J1112" s="4" t="s">
        <v>34</v>
      </c>
    </row>
    <row r="1113" customFormat="false" ht="15" hidden="false" customHeight="false" outlineLevel="0" collapsed="false">
      <c r="A1113" s="4" t="s">
        <v>2358</v>
      </c>
      <c r="B1113" s="4" t="s">
        <v>2332</v>
      </c>
      <c r="C1113" s="4" t="s">
        <v>2333</v>
      </c>
      <c r="D1113" s="7" t="s">
        <v>2359</v>
      </c>
      <c r="E1113" s="4" t="s">
        <v>2335</v>
      </c>
      <c r="F1113" s="4" t="s">
        <v>6</v>
      </c>
      <c r="G1113" s="8"/>
      <c r="H1113" s="6" t="str">
        <f aca="false">IF(G1113="","",G1113/SUMIFS($G$2:$G$1179,$F$2:$F$1179,"Served"))</f>
        <v/>
      </c>
      <c r="I1113" s="4" t="str">
        <f aca="false">IF(G1113="","",RANK(G1113,$G$2:$G$1179,0))</f>
        <v/>
      </c>
      <c r="J1113" s="4" t="s">
        <v>34</v>
      </c>
    </row>
    <row r="1114" customFormat="false" ht="15" hidden="false" customHeight="false" outlineLevel="0" collapsed="false">
      <c r="A1114" s="4" t="s">
        <v>2360</v>
      </c>
      <c r="B1114" s="4" t="s">
        <v>2332</v>
      </c>
      <c r="C1114" s="4" t="s">
        <v>2333</v>
      </c>
      <c r="D1114" s="7" t="s">
        <v>2361</v>
      </c>
      <c r="E1114" s="4" t="s">
        <v>2335</v>
      </c>
      <c r="F1114" s="4" t="s">
        <v>6</v>
      </c>
      <c r="G1114" s="8"/>
      <c r="H1114" s="6" t="str">
        <f aca="false">IF(G1114="","",G1114/SUMIFS($G$2:$G$1179,$F$2:$F$1179,"Served"))</f>
        <v/>
      </c>
      <c r="I1114" s="4" t="str">
        <f aca="false">IF(G1114="","",RANK(G1114,$G$2:$G$1179,0))</f>
        <v/>
      </c>
      <c r="J1114" s="4" t="s">
        <v>34</v>
      </c>
    </row>
    <row r="1115" customFormat="false" ht="15" hidden="false" customHeight="false" outlineLevel="0" collapsed="false">
      <c r="A1115" s="4" t="s">
        <v>2362</v>
      </c>
      <c r="B1115" s="4" t="s">
        <v>2332</v>
      </c>
      <c r="C1115" s="4" t="s">
        <v>2333</v>
      </c>
      <c r="D1115" s="7" t="s">
        <v>2363</v>
      </c>
      <c r="E1115" s="4" t="s">
        <v>2335</v>
      </c>
      <c r="F1115" s="4" t="s">
        <v>6</v>
      </c>
      <c r="G1115" s="8"/>
      <c r="H1115" s="6" t="str">
        <f aca="false">IF(G1115="","",G1115/SUMIFS($G$2:$G$1179,$F$2:$F$1179,"Served"))</f>
        <v/>
      </c>
      <c r="I1115" s="4" t="str">
        <f aca="false">IF(G1115="","",RANK(G1115,$G$2:$G$1179,0))</f>
        <v/>
      </c>
      <c r="J1115" s="4" t="s">
        <v>34</v>
      </c>
    </row>
    <row r="1116" customFormat="false" ht="15" hidden="false" customHeight="false" outlineLevel="0" collapsed="false">
      <c r="A1116" s="4" t="s">
        <v>2364</v>
      </c>
      <c r="B1116" s="4" t="s">
        <v>2332</v>
      </c>
      <c r="C1116" s="4" t="s">
        <v>2333</v>
      </c>
      <c r="D1116" s="7" t="s">
        <v>2365</v>
      </c>
      <c r="E1116" s="4" t="s">
        <v>2335</v>
      </c>
      <c r="F1116" s="4" t="s">
        <v>6</v>
      </c>
      <c r="G1116" s="8"/>
      <c r="H1116" s="6" t="str">
        <f aca="false">IF(G1116="","",G1116/SUMIFS($G$2:$G$1179,$F$2:$F$1179,"Served"))</f>
        <v/>
      </c>
      <c r="I1116" s="4" t="str">
        <f aca="false">IF(G1116="","",RANK(G1116,$G$2:$G$1179,0))</f>
        <v/>
      </c>
      <c r="J1116" s="4" t="s">
        <v>34</v>
      </c>
    </row>
    <row r="1117" customFormat="false" ht="15" hidden="false" customHeight="false" outlineLevel="0" collapsed="false">
      <c r="A1117" s="4" t="s">
        <v>2366</v>
      </c>
      <c r="B1117" s="4" t="s">
        <v>2332</v>
      </c>
      <c r="C1117" s="4" t="s">
        <v>2333</v>
      </c>
      <c r="D1117" s="7" t="s">
        <v>2367</v>
      </c>
      <c r="E1117" s="4" t="s">
        <v>2335</v>
      </c>
      <c r="F1117" s="4" t="s">
        <v>6</v>
      </c>
      <c r="G1117" s="8"/>
      <c r="H1117" s="6" t="str">
        <f aca="false">IF(G1117="","",G1117/SUMIFS($G$2:$G$1179,$F$2:$F$1179,"Served"))</f>
        <v/>
      </c>
      <c r="I1117" s="4" t="str">
        <f aca="false">IF(G1117="","",RANK(G1117,$G$2:$G$1179,0))</f>
        <v/>
      </c>
      <c r="J1117" s="4" t="s">
        <v>34</v>
      </c>
    </row>
    <row r="1118" customFormat="false" ht="15" hidden="false" customHeight="false" outlineLevel="0" collapsed="false">
      <c r="A1118" s="4" t="s">
        <v>2368</v>
      </c>
      <c r="B1118" s="4" t="s">
        <v>2332</v>
      </c>
      <c r="C1118" s="4" t="s">
        <v>2333</v>
      </c>
      <c r="D1118" s="7" t="s">
        <v>2369</v>
      </c>
      <c r="E1118" s="4" t="s">
        <v>2335</v>
      </c>
      <c r="F1118" s="4" t="s">
        <v>6</v>
      </c>
      <c r="G1118" s="8"/>
      <c r="H1118" s="6" t="str">
        <f aca="false">IF(G1118="","",G1118/SUMIFS($G$2:$G$1179,$F$2:$F$1179,"Served"))</f>
        <v/>
      </c>
      <c r="I1118" s="4" t="str">
        <f aca="false">IF(G1118="","",RANK(G1118,$G$2:$G$1179,0))</f>
        <v/>
      </c>
      <c r="J1118" s="4" t="s">
        <v>34</v>
      </c>
    </row>
    <row r="1119" customFormat="false" ht="15" hidden="false" customHeight="false" outlineLevel="0" collapsed="false">
      <c r="A1119" s="4" t="s">
        <v>2370</v>
      </c>
      <c r="B1119" s="4" t="s">
        <v>2332</v>
      </c>
      <c r="C1119" s="4" t="s">
        <v>2333</v>
      </c>
      <c r="D1119" s="7" t="s">
        <v>2371</v>
      </c>
      <c r="E1119" s="4" t="s">
        <v>2335</v>
      </c>
      <c r="F1119" s="4" t="s">
        <v>6</v>
      </c>
      <c r="G1119" s="8"/>
      <c r="H1119" s="6" t="str">
        <f aca="false">IF(G1119="","",G1119/SUMIFS($G$2:$G$1179,$F$2:$F$1179,"Served"))</f>
        <v/>
      </c>
      <c r="I1119" s="4" t="str">
        <f aca="false">IF(G1119="","",RANK(G1119,$G$2:$G$1179,0))</f>
        <v/>
      </c>
      <c r="J1119" s="4" t="s">
        <v>34</v>
      </c>
    </row>
    <row r="1120" customFormat="false" ht="15" hidden="false" customHeight="false" outlineLevel="0" collapsed="false">
      <c r="A1120" s="4" t="s">
        <v>2372</v>
      </c>
      <c r="B1120" s="4" t="s">
        <v>2332</v>
      </c>
      <c r="C1120" s="4" t="s">
        <v>2333</v>
      </c>
      <c r="D1120" s="7" t="s">
        <v>2373</v>
      </c>
      <c r="E1120" s="4" t="s">
        <v>2335</v>
      </c>
      <c r="F1120" s="4" t="s">
        <v>6</v>
      </c>
      <c r="G1120" s="8"/>
      <c r="H1120" s="6" t="str">
        <f aca="false">IF(G1120="","",G1120/SUMIFS($G$2:$G$1179,$F$2:$F$1179,"Served"))</f>
        <v/>
      </c>
      <c r="I1120" s="4" t="str">
        <f aca="false">IF(G1120="","",RANK(G1120,$G$2:$G$1179,0))</f>
        <v/>
      </c>
      <c r="J1120" s="4" t="s">
        <v>34</v>
      </c>
    </row>
    <row r="1121" customFormat="false" ht="15" hidden="false" customHeight="false" outlineLevel="0" collapsed="false">
      <c r="A1121" s="4" t="s">
        <v>2374</v>
      </c>
      <c r="B1121" s="4" t="s">
        <v>2332</v>
      </c>
      <c r="C1121" s="4" t="s">
        <v>2333</v>
      </c>
      <c r="D1121" s="7" t="s">
        <v>2375</v>
      </c>
      <c r="E1121" s="4" t="s">
        <v>2335</v>
      </c>
      <c r="F1121" s="4" t="s">
        <v>6</v>
      </c>
      <c r="G1121" s="8"/>
      <c r="H1121" s="6" t="str">
        <f aca="false">IF(G1121="","",G1121/SUMIFS($G$2:$G$1179,$F$2:$F$1179,"Served"))</f>
        <v/>
      </c>
      <c r="I1121" s="4" t="str">
        <f aca="false">IF(G1121="","",RANK(G1121,$G$2:$G$1179,0))</f>
        <v/>
      </c>
      <c r="J1121" s="4" t="s">
        <v>34</v>
      </c>
    </row>
    <row r="1122" customFormat="false" ht="15" hidden="false" customHeight="false" outlineLevel="0" collapsed="false">
      <c r="A1122" s="4" t="s">
        <v>2376</v>
      </c>
      <c r="B1122" s="4" t="s">
        <v>2332</v>
      </c>
      <c r="C1122" s="4" t="s">
        <v>2333</v>
      </c>
      <c r="D1122" s="7" t="s">
        <v>2377</v>
      </c>
      <c r="E1122" s="4" t="s">
        <v>2335</v>
      </c>
      <c r="F1122" s="4" t="s">
        <v>6</v>
      </c>
      <c r="G1122" s="8"/>
      <c r="H1122" s="6" t="str">
        <f aca="false">IF(G1122="","",G1122/SUMIFS($G$2:$G$1179,$F$2:$F$1179,"Served"))</f>
        <v/>
      </c>
      <c r="I1122" s="4" t="str">
        <f aca="false">IF(G1122="","",RANK(G1122,$G$2:$G$1179,0))</f>
        <v/>
      </c>
      <c r="J1122" s="4" t="s">
        <v>34</v>
      </c>
    </row>
    <row r="1123" customFormat="false" ht="15" hidden="false" customHeight="false" outlineLevel="0" collapsed="false">
      <c r="A1123" s="4" t="s">
        <v>2378</v>
      </c>
      <c r="B1123" s="4" t="s">
        <v>2332</v>
      </c>
      <c r="C1123" s="4" t="s">
        <v>2333</v>
      </c>
      <c r="D1123" s="7" t="s">
        <v>2379</v>
      </c>
      <c r="E1123" s="4" t="s">
        <v>2335</v>
      </c>
      <c r="F1123" s="4" t="s">
        <v>6</v>
      </c>
      <c r="G1123" s="8"/>
      <c r="H1123" s="6" t="str">
        <f aca="false">IF(G1123="","",G1123/SUMIFS($G$2:$G$1179,$F$2:$F$1179,"Served"))</f>
        <v/>
      </c>
      <c r="I1123" s="4" t="str">
        <f aca="false">IF(G1123="","",RANK(G1123,$G$2:$G$1179,0))</f>
        <v/>
      </c>
      <c r="J1123" s="4" t="s">
        <v>34</v>
      </c>
    </row>
    <row r="1124" customFormat="false" ht="15" hidden="false" customHeight="false" outlineLevel="0" collapsed="false">
      <c r="A1124" s="4" t="s">
        <v>2380</v>
      </c>
      <c r="B1124" s="4" t="s">
        <v>2332</v>
      </c>
      <c r="C1124" s="4" t="s">
        <v>2333</v>
      </c>
      <c r="D1124" s="7" t="s">
        <v>2381</v>
      </c>
      <c r="E1124" s="4" t="s">
        <v>2335</v>
      </c>
      <c r="F1124" s="4" t="s">
        <v>6</v>
      </c>
      <c r="G1124" s="8"/>
      <c r="H1124" s="6" t="str">
        <f aca="false">IF(G1124="","",G1124/SUMIFS($G$2:$G$1179,$F$2:$F$1179,"Served"))</f>
        <v/>
      </c>
      <c r="I1124" s="4" t="str">
        <f aca="false">IF(G1124="","",RANK(G1124,$G$2:$G$1179,0))</f>
        <v/>
      </c>
      <c r="J1124" s="4" t="s">
        <v>34</v>
      </c>
    </row>
    <row r="1125" customFormat="false" ht="15" hidden="false" customHeight="false" outlineLevel="0" collapsed="false">
      <c r="A1125" s="4" t="s">
        <v>2382</v>
      </c>
      <c r="B1125" s="4" t="s">
        <v>2383</v>
      </c>
      <c r="C1125" s="4" t="s">
        <v>2384</v>
      </c>
      <c r="D1125" s="7" t="s">
        <v>2385</v>
      </c>
      <c r="E1125" s="4" t="s">
        <v>2386</v>
      </c>
      <c r="F1125" s="4" t="s">
        <v>5</v>
      </c>
      <c r="G1125" s="8"/>
      <c r="H1125" s="6" t="str">
        <f aca="false">IF(G1125="","",G1125/SUMIFS($G$2:$G$1179,$F$2:$F$1179,"Served"))</f>
        <v/>
      </c>
      <c r="I1125" s="4" t="str">
        <f aca="false">IF(G1125="","",RANK(G1125,$G$2:$G$1179,0))</f>
        <v/>
      </c>
      <c r="J1125" s="4" t="s">
        <v>34</v>
      </c>
    </row>
    <row r="1126" customFormat="false" ht="15" hidden="false" customHeight="false" outlineLevel="0" collapsed="false">
      <c r="A1126" s="4" t="s">
        <v>2387</v>
      </c>
      <c r="B1126" s="4" t="s">
        <v>2383</v>
      </c>
      <c r="C1126" s="4" t="s">
        <v>2384</v>
      </c>
      <c r="D1126" s="7" t="s">
        <v>2388</v>
      </c>
      <c r="E1126" s="4" t="s">
        <v>2386</v>
      </c>
      <c r="F1126" s="4" t="s">
        <v>5</v>
      </c>
      <c r="G1126" s="8"/>
      <c r="H1126" s="6" t="str">
        <f aca="false">IF(G1126="","",G1126/SUMIFS($G$2:$G$1179,$F$2:$F$1179,"Served"))</f>
        <v/>
      </c>
      <c r="I1126" s="4" t="str">
        <f aca="false">IF(G1126="","",RANK(G1126,$G$2:$G$1179,0))</f>
        <v/>
      </c>
      <c r="J1126" s="4" t="s">
        <v>34</v>
      </c>
    </row>
    <row r="1127" customFormat="false" ht="15" hidden="false" customHeight="false" outlineLevel="0" collapsed="false">
      <c r="A1127" s="4" t="s">
        <v>2389</v>
      </c>
      <c r="B1127" s="4" t="s">
        <v>2383</v>
      </c>
      <c r="C1127" s="4" t="s">
        <v>2384</v>
      </c>
      <c r="D1127" s="7" t="s">
        <v>2390</v>
      </c>
      <c r="E1127" s="4" t="s">
        <v>2386</v>
      </c>
      <c r="F1127" s="4" t="s">
        <v>5</v>
      </c>
      <c r="G1127" s="8"/>
      <c r="H1127" s="6" t="str">
        <f aca="false">IF(G1127="","",G1127/SUMIFS($G$2:$G$1179,$F$2:$F$1179,"Served"))</f>
        <v/>
      </c>
      <c r="I1127" s="4" t="str">
        <f aca="false">IF(G1127="","",RANK(G1127,$G$2:$G$1179,0))</f>
        <v/>
      </c>
      <c r="J1127" s="4" t="s">
        <v>34</v>
      </c>
    </row>
    <row r="1128" customFormat="false" ht="15" hidden="false" customHeight="false" outlineLevel="0" collapsed="false">
      <c r="A1128" s="4" t="s">
        <v>2391</v>
      </c>
      <c r="B1128" s="4" t="s">
        <v>2383</v>
      </c>
      <c r="C1128" s="4" t="s">
        <v>2384</v>
      </c>
      <c r="D1128" s="7" t="s">
        <v>2392</v>
      </c>
      <c r="E1128" s="4" t="s">
        <v>2386</v>
      </c>
      <c r="F1128" s="4" t="s">
        <v>5</v>
      </c>
      <c r="G1128" s="8"/>
      <c r="H1128" s="6" t="str">
        <f aca="false">IF(G1128="","",G1128/SUMIFS($G$2:$G$1179,$F$2:$F$1179,"Served"))</f>
        <v/>
      </c>
      <c r="I1128" s="4" t="str">
        <f aca="false">IF(G1128="","",RANK(G1128,$G$2:$G$1179,0))</f>
        <v/>
      </c>
      <c r="J1128" s="4" t="s">
        <v>34</v>
      </c>
    </row>
    <row r="1129" customFormat="false" ht="15" hidden="false" customHeight="false" outlineLevel="0" collapsed="false">
      <c r="A1129" s="4" t="s">
        <v>2393</v>
      </c>
      <c r="B1129" s="4" t="s">
        <v>2383</v>
      </c>
      <c r="C1129" s="4" t="s">
        <v>2384</v>
      </c>
      <c r="D1129" s="7" t="s">
        <v>2394</v>
      </c>
      <c r="E1129" s="4" t="s">
        <v>2386</v>
      </c>
      <c r="F1129" s="4" t="s">
        <v>5</v>
      </c>
      <c r="G1129" s="8"/>
      <c r="H1129" s="6" t="str">
        <f aca="false">IF(G1129="","",G1129/SUMIFS($G$2:$G$1179,$F$2:$F$1179,"Served"))</f>
        <v/>
      </c>
      <c r="I1129" s="4" t="str">
        <f aca="false">IF(G1129="","",RANK(G1129,$G$2:$G$1179,0))</f>
        <v/>
      </c>
      <c r="J1129" s="4" t="s">
        <v>34</v>
      </c>
    </row>
    <row r="1130" customFormat="false" ht="15" hidden="false" customHeight="false" outlineLevel="0" collapsed="false">
      <c r="A1130" s="4" t="s">
        <v>2395</v>
      </c>
      <c r="B1130" s="4" t="s">
        <v>2383</v>
      </c>
      <c r="C1130" s="4" t="s">
        <v>2384</v>
      </c>
      <c r="D1130" s="7" t="s">
        <v>2396</v>
      </c>
      <c r="E1130" s="4" t="s">
        <v>2386</v>
      </c>
      <c r="F1130" s="4" t="s">
        <v>5</v>
      </c>
      <c r="G1130" s="8"/>
      <c r="H1130" s="6" t="str">
        <f aca="false">IF(G1130="","",G1130/SUMIFS($G$2:$G$1179,$F$2:$F$1179,"Served"))</f>
        <v/>
      </c>
      <c r="I1130" s="4" t="str">
        <f aca="false">IF(G1130="","",RANK(G1130,$G$2:$G$1179,0))</f>
        <v/>
      </c>
      <c r="J1130" s="4" t="s">
        <v>34</v>
      </c>
    </row>
    <row r="1131" customFormat="false" ht="15" hidden="false" customHeight="false" outlineLevel="0" collapsed="false">
      <c r="A1131" s="4" t="s">
        <v>2397</v>
      </c>
      <c r="B1131" s="4" t="s">
        <v>2383</v>
      </c>
      <c r="C1131" s="4" t="s">
        <v>2384</v>
      </c>
      <c r="D1131" s="7" t="s">
        <v>2398</v>
      </c>
      <c r="E1131" s="4" t="s">
        <v>2386</v>
      </c>
      <c r="F1131" s="4" t="s">
        <v>5</v>
      </c>
      <c r="G1131" s="8"/>
      <c r="H1131" s="6" t="str">
        <f aca="false">IF(G1131="","",G1131/SUMIFS($G$2:$G$1179,$F$2:$F$1179,"Served"))</f>
        <v/>
      </c>
      <c r="I1131" s="4" t="str">
        <f aca="false">IF(G1131="","",RANK(G1131,$G$2:$G$1179,0))</f>
        <v/>
      </c>
      <c r="J1131" s="4" t="s">
        <v>34</v>
      </c>
    </row>
    <row r="1132" customFormat="false" ht="15" hidden="false" customHeight="false" outlineLevel="0" collapsed="false">
      <c r="A1132" s="4" t="s">
        <v>2399</v>
      </c>
      <c r="B1132" s="4" t="s">
        <v>2383</v>
      </c>
      <c r="C1132" s="4" t="s">
        <v>2384</v>
      </c>
      <c r="D1132" s="7" t="s">
        <v>2400</v>
      </c>
      <c r="E1132" s="4" t="s">
        <v>2386</v>
      </c>
      <c r="F1132" s="4" t="s">
        <v>5</v>
      </c>
      <c r="G1132" s="8"/>
      <c r="H1132" s="6" t="str">
        <f aca="false">IF(G1132="","",G1132/SUMIFS($G$2:$G$1179,$F$2:$F$1179,"Served"))</f>
        <v/>
      </c>
      <c r="I1132" s="4" t="str">
        <f aca="false">IF(G1132="","",RANK(G1132,$G$2:$G$1179,0))</f>
        <v/>
      </c>
      <c r="J1132" s="4" t="s">
        <v>34</v>
      </c>
    </row>
    <row r="1133" customFormat="false" ht="15" hidden="false" customHeight="false" outlineLevel="0" collapsed="false">
      <c r="A1133" s="4" t="s">
        <v>2401</v>
      </c>
      <c r="B1133" s="4" t="s">
        <v>2383</v>
      </c>
      <c r="C1133" s="4" t="s">
        <v>2384</v>
      </c>
      <c r="D1133" s="7" t="s">
        <v>2402</v>
      </c>
      <c r="E1133" s="4" t="s">
        <v>2386</v>
      </c>
      <c r="F1133" s="4" t="s">
        <v>5</v>
      </c>
      <c r="G1133" s="8"/>
      <c r="H1133" s="6" t="str">
        <f aca="false">IF(G1133="","",G1133/SUMIFS($G$2:$G$1179,$F$2:$F$1179,"Served"))</f>
        <v/>
      </c>
      <c r="I1133" s="4" t="str">
        <f aca="false">IF(G1133="","",RANK(G1133,$G$2:$G$1179,0))</f>
        <v/>
      </c>
      <c r="J1133" s="4" t="s">
        <v>34</v>
      </c>
    </row>
    <row r="1134" customFormat="false" ht="15" hidden="false" customHeight="false" outlineLevel="0" collapsed="false">
      <c r="A1134" s="4" t="s">
        <v>2403</v>
      </c>
      <c r="B1134" s="4" t="s">
        <v>2383</v>
      </c>
      <c r="C1134" s="4" t="s">
        <v>2384</v>
      </c>
      <c r="D1134" s="7" t="s">
        <v>2404</v>
      </c>
      <c r="E1134" s="4" t="s">
        <v>2386</v>
      </c>
      <c r="F1134" s="4" t="s">
        <v>5</v>
      </c>
      <c r="G1134" s="8"/>
      <c r="H1134" s="6" t="str">
        <f aca="false">IF(G1134="","",G1134/SUMIFS($G$2:$G$1179,$F$2:$F$1179,"Served"))</f>
        <v/>
      </c>
      <c r="I1134" s="4" t="str">
        <f aca="false">IF(G1134="","",RANK(G1134,$G$2:$G$1179,0))</f>
        <v/>
      </c>
      <c r="J1134" s="4" t="s">
        <v>34</v>
      </c>
    </row>
    <row r="1135" customFormat="false" ht="15" hidden="false" customHeight="false" outlineLevel="0" collapsed="false">
      <c r="A1135" s="4" t="s">
        <v>2405</v>
      </c>
      <c r="B1135" s="4" t="s">
        <v>2383</v>
      </c>
      <c r="C1135" s="4" t="s">
        <v>2384</v>
      </c>
      <c r="D1135" s="7" t="s">
        <v>2406</v>
      </c>
      <c r="E1135" s="4" t="s">
        <v>2386</v>
      </c>
      <c r="F1135" s="4" t="s">
        <v>5</v>
      </c>
      <c r="G1135" s="8"/>
      <c r="H1135" s="6" t="str">
        <f aca="false">IF(G1135="","",G1135/SUMIFS($G$2:$G$1179,$F$2:$F$1179,"Served"))</f>
        <v/>
      </c>
      <c r="I1135" s="4" t="str">
        <f aca="false">IF(G1135="","",RANK(G1135,$G$2:$G$1179,0))</f>
        <v/>
      </c>
      <c r="J1135" s="4" t="s">
        <v>34</v>
      </c>
    </row>
    <row r="1136" customFormat="false" ht="15" hidden="false" customHeight="false" outlineLevel="0" collapsed="false">
      <c r="A1136" s="4" t="s">
        <v>2407</v>
      </c>
      <c r="B1136" s="4" t="s">
        <v>2383</v>
      </c>
      <c r="C1136" s="4" t="s">
        <v>2384</v>
      </c>
      <c r="D1136" s="7" t="s">
        <v>2408</v>
      </c>
      <c r="E1136" s="4" t="s">
        <v>2386</v>
      </c>
      <c r="F1136" s="4" t="s">
        <v>5</v>
      </c>
      <c r="G1136" s="8"/>
      <c r="H1136" s="6" t="str">
        <f aca="false">IF(G1136="","",G1136/SUMIFS($G$2:$G$1179,$F$2:$F$1179,"Served"))</f>
        <v/>
      </c>
      <c r="I1136" s="4" t="str">
        <f aca="false">IF(G1136="","",RANK(G1136,$G$2:$G$1179,0))</f>
        <v/>
      </c>
      <c r="J1136" s="4" t="s">
        <v>34</v>
      </c>
    </row>
    <row r="1137" customFormat="false" ht="15" hidden="false" customHeight="false" outlineLevel="0" collapsed="false">
      <c r="A1137" s="4" t="s">
        <v>2409</v>
      </c>
      <c r="B1137" s="4" t="s">
        <v>2383</v>
      </c>
      <c r="C1137" s="4" t="s">
        <v>2384</v>
      </c>
      <c r="D1137" s="7" t="s">
        <v>2410</v>
      </c>
      <c r="E1137" s="4" t="s">
        <v>2386</v>
      </c>
      <c r="F1137" s="4" t="s">
        <v>5</v>
      </c>
      <c r="G1137" s="8"/>
      <c r="H1137" s="6" t="str">
        <f aca="false">IF(G1137="","",G1137/SUMIFS($G$2:$G$1179,$F$2:$F$1179,"Served"))</f>
        <v/>
      </c>
      <c r="I1137" s="4" t="str">
        <f aca="false">IF(G1137="","",RANK(G1137,$G$2:$G$1179,0))</f>
        <v/>
      </c>
      <c r="J1137" s="4" t="s">
        <v>34</v>
      </c>
    </row>
    <row r="1138" customFormat="false" ht="15" hidden="false" customHeight="false" outlineLevel="0" collapsed="false">
      <c r="A1138" s="4" t="s">
        <v>2411</v>
      </c>
      <c r="B1138" s="4" t="s">
        <v>2383</v>
      </c>
      <c r="C1138" s="4" t="s">
        <v>2384</v>
      </c>
      <c r="D1138" s="7" t="s">
        <v>2412</v>
      </c>
      <c r="E1138" s="4" t="s">
        <v>2386</v>
      </c>
      <c r="F1138" s="4" t="s">
        <v>5</v>
      </c>
      <c r="G1138" s="8"/>
      <c r="H1138" s="6" t="str">
        <f aca="false">IF(G1138="","",G1138/SUMIFS($G$2:$G$1179,$F$2:$F$1179,"Served"))</f>
        <v/>
      </c>
      <c r="I1138" s="4" t="str">
        <f aca="false">IF(G1138="","",RANK(G1138,$G$2:$G$1179,0))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2383</v>
      </c>
      <c r="C1139" s="4" t="s">
        <v>2384</v>
      </c>
      <c r="D1139" s="7" t="s">
        <v>2414</v>
      </c>
      <c r="E1139" s="4" t="s">
        <v>2386</v>
      </c>
      <c r="F1139" s="4" t="s">
        <v>5</v>
      </c>
      <c r="G1139" s="8"/>
      <c r="H1139" s="6" t="str">
        <f aca="false">IF(G1139="","",G1139/SUMIFS($G$2:$G$1179,$F$2:$F$1179,"Served"))</f>
        <v/>
      </c>
      <c r="I1139" s="4" t="str">
        <f aca="false">IF(G1139="","",RANK(G1139,$G$2:$G$1179,0))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2383</v>
      </c>
      <c r="C1140" s="4" t="s">
        <v>2384</v>
      </c>
      <c r="D1140" s="7" t="s">
        <v>2416</v>
      </c>
      <c r="E1140" s="4" t="s">
        <v>2386</v>
      </c>
      <c r="F1140" s="4" t="s">
        <v>5</v>
      </c>
      <c r="G1140" s="8"/>
      <c r="H1140" s="6" t="str">
        <f aca="false">IF(G1140="","",G1140/SUMIFS($G$2:$G$1179,$F$2:$F$1179,"Served"))</f>
        <v/>
      </c>
      <c r="I1140" s="4" t="str">
        <f aca="false">IF(G1140="","",RANK(G1140,$G$2:$G$1179,0))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2383</v>
      </c>
      <c r="C1141" s="4" t="s">
        <v>2384</v>
      </c>
      <c r="D1141" s="7" t="s">
        <v>2418</v>
      </c>
      <c r="E1141" s="4" t="s">
        <v>2386</v>
      </c>
      <c r="F1141" s="4" t="s">
        <v>5</v>
      </c>
      <c r="G1141" s="8"/>
      <c r="H1141" s="6" t="str">
        <f aca="false">IF(G1141="","",G1141/SUMIFS($G$2:$G$1179,$F$2:$F$1179,"Served"))</f>
        <v/>
      </c>
      <c r="I1141" s="4" t="str">
        <f aca="false">IF(G1141="","",RANK(G1141,$G$2:$G$1179,0))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2383</v>
      </c>
      <c r="C1142" s="4" t="s">
        <v>2384</v>
      </c>
      <c r="D1142" s="7" t="s">
        <v>2420</v>
      </c>
      <c r="E1142" s="4" t="s">
        <v>2386</v>
      </c>
      <c r="F1142" s="4" t="s">
        <v>5</v>
      </c>
      <c r="G1142" s="8"/>
      <c r="H1142" s="6" t="str">
        <f aca="false">IF(G1142="","",G1142/SUMIFS($G$2:$G$1179,$F$2:$F$1179,"Served"))</f>
        <v/>
      </c>
      <c r="I1142" s="4" t="str">
        <f aca="false">IF(G1142="","",RANK(G1142,$G$2:$G$1179,0))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2383</v>
      </c>
      <c r="C1143" s="4" t="s">
        <v>2384</v>
      </c>
      <c r="D1143" s="7" t="s">
        <v>2422</v>
      </c>
      <c r="E1143" s="4" t="s">
        <v>2386</v>
      </c>
      <c r="F1143" s="4" t="s">
        <v>5</v>
      </c>
      <c r="G1143" s="8"/>
      <c r="H1143" s="6" t="str">
        <f aca="false">IF(G1143="","",G1143/SUMIFS($G$2:$G$1179,$F$2:$F$1179,"Served"))</f>
        <v/>
      </c>
      <c r="I1143" s="4" t="str">
        <f aca="false">IF(G1143="","",RANK(G1143,$G$2:$G$1179,0))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2424</v>
      </c>
      <c r="C1144" s="4" t="s">
        <v>2425</v>
      </c>
      <c r="D1144" s="7" t="s">
        <v>2426</v>
      </c>
      <c r="E1144" s="4" t="s">
        <v>2427</v>
      </c>
      <c r="F1144" s="4" t="s">
        <v>6</v>
      </c>
      <c r="G1144" s="8"/>
      <c r="H1144" s="6" t="str">
        <f aca="false">IF(G1144="","",G1144/SUMIFS($G$2:$G$1179,$F$2:$F$1179,"Served"))</f>
        <v/>
      </c>
      <c r="I1144" s="4" t="str">
        <f aca="false">IF(G1144="","",RANK(G1144,$G$2:$G$1179,0))</f>
        <v/>
      </c>
      <c r="J1144" s="4" t="s">
        <v>34</v>
      </c>
    </row>
    <row r="1145" customFormat="false" ht="15" hidden="false" customHeight="false" outlineLevel="0" collapsed="false">
      <c r="A1145" s="4" t="s">
        <v>2428</v>
      </c>
      <c r="B1145" s="4" t="s">
        <v>2424</v>
      </c>
      <c r="C1145" s="4" t="s">
        <v>2425</v>
      </c>
      <c r="D1145" s="7" t="s">
        <v>2429</v>
      </c>
      <c r="E1145" s="4" t="s">
        <v>2427</v>
      </c>
      <c r="F1145" s="4" t="s">
        <v>6</v>
      </c>
      <c r="G1145" s="8"/>
      <c r="H1145" s="6" t="str">
        <f aca="false">IF(G1145="","",G1145/SUMIFS($G$2:$G$1179,$F$2:$F$1179,"Served"))</f>
        <v/>
      </c>
      <c r="I1145" s="4" t="str">
        <f aca="false">IF(G1145="","",RANK(G1145,$G$2:$G$1179,0))</f>
        <v/>
      </c>
      <c r="J1145" s="4" t="s">
        <v>34</v>
      </c>
    </row>
    <row r="1146" customFormat="false" ht="15" hidden="false" customHeight="false" outlineLevel="0" collapsed="false">
      <c r="A1146" s="4" t="s">
        <v>2430</v>
      </c>
      <c r="B1146" s="4" t="s">
        <v>2424</v>
      </c>
      <c r="C1146" s="4" t="s">
        <v>2425</v>
      </c>
      <c r="D1146" s="7" t="s">
        <v>2431</v>
      </c>
      <c r="E1146" s="4" t="s">
        <v>2427</v>
      </c>
      <c r="F1146" s="4" t="s">
        <v>6</v>
      </c>
      <c r="G1146" s="8"/>
      <c r="H1146" s="6" t="str">
        <f aca="false">IF(G1146="","",G1146/SUMIFS($G$2:$G$1179,$F$2:$F$1179,"Served"))</f>
        <v/>
      </c>
      <c r="I1146" s="4" t="str">
        <f aca="false">IF(G1146="","",RANK(G1146,$G$2:$G$1179,0))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2424</v>
      </c>
      <c r="C1147" s="4" t="s">
        <v>2425</v>
      </c>
      <c r="D1147" s="7" t="s">
        <v>2433</v>
      </c>
      <c r="E1147" s="4" t="s">
        <v>2427</v>
      </c>
      <c r="F1147" s="4" t="s">
        <v>6</v>
      </c>
      <c r="G1147" s="8"/>
      <c r="H1147" s="6" t="str">
        <f aca="false">IF(G1147="","",G1147/SUMIFS($G$2:$G$1179,$F$2:$F$1179,"Served"))</f>
        <v/>
      </c>
      <c r="I1147" s="4" t="str">
        <f aca="false">IF(G1147="","",RANK(G1147,$G$2:$G$1179,0))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2424</v>
      </c>
      <c r="C1148" s="4" t="s">
        <v>2425</v>
      </c>
      <c r="D1148" s="7" t="s">
        <v>2435</v>
      </c>
      <c r="E1148" s="4" t="s">
        <v>2427</v>
      </c>
      <c r="F1148" s="4" t="s">
        <v>6</v>
      </c>
      <c r="G1148" s="8"/>
      <c r="H1148" s="6" t="str">
        <f aca="false">IF(G1148="","",G1148/SUMIFS($G$2:$G$1179,$F$2:$F$1179,"Served"))</f>
        <v/>
      </c>
      <c r="I1148" s="4" t="str">
        <f aca="false">IF(G1148="","",RANK(G1148,$G$2:$G$1179,0))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2424</v>
      </c>
      <c r="C1149" s="4" t="s">
        <v>2425</v>
      </c>
      <c r="D1149" s="7" t="s">
        <v>2437</v>
      </c>
      <c r="E1149" s="4" t="s">
        <v>2427</v>
      </c>
      <c r="F1149" s="4" t="s">
        <v>6</v>
      </c>
      <c r="G1149" s="8"/>
      <c r="H1149" s="6" t="str">
        <f aca="false">IF(G1149="","",G1149/SUMIFS($G$2:$G$1179,$F$2:$F$1179,"Served"))</f>
        <v/>
      </c>
      <c r="I1149" s="4" t="str">
        <f aca="false">IF(G1149="","",RANK(G1149,$G$2:$G$1179,0))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2424</v>
      </c>
      <c r="C1150" s="4" t="s">
        <v>2425</v>
      </c>
      <c r="D1150" s="7" t="s">
        <v>2439</v>
      </c>
      <c r="E1150" s="4" t="s">
        <v>2427</v>
      </c>
      <c r="F1150" s="4" t="s">
        <v>6</v>
      </c>
      <c r="G1150" s="8"/>
      <c r="H1150" s="6" t="str">
        <f aca="false">IF(G1150="","",G1150/SUMIFS($G$2:$G$1179,$F$2:$F$1179,"Served"))</f>
        <v/>
      </c>
      <c r="I1150" s="4" t="str">
        <f aca="false">IF(G1150="","",RANK(G1150,$G$2:$G$1179,0))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2424</v>
      </c>
      <c r="C1151" s="4" t="s">
        <v>2425</v>
      </c>
      <c r="D1151" s="7" t="s">
        <v>2441</v>
      </c>
      <c r="E1151" s="4" t="s">
        <v>2427</v>
      </c>
      <c r="F1151" s="4" t="s">
        <v>6</v>
      </c>
      <c r="G1151" s="8"/>
      <c r="H1151" s="6" t="str">
        <f aca="false">IF(G1151="","",G1151/SUMIFS($G$2:$G$1179,$F$2:$F$1179,"Served"))</f>
        <v/>
      </c>
      <c r="I1151" s="4" t="str">
        <f aca="false">IF(G1151="","",RANK(G1151,$G$2:$G$1179,0))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2424</v>
      </c>
      <c r="C1152" s="4" t="s">
        <v>2425</v>
      </c>
      <c r="D1152" s="7" t="s">
        <v>2443</v>
      </c>
      <c r="E1152" s="4" t="s">
        <v>2427</v>
      </c>
      <c r="F1152" s="4" t="s">
        <v>6</v>
      </c>
      <c r="G1152" s="8"/>
      <c r="H1152" s="6" t="str">
        <f aca="false">IF(G1152="","",G1152/SUMIFS($G$2:$G$1179,$F$2:$F$1179,"Served"))</f>
        <v/>
      </c>
      <c r="I1152" s="4" t="str">
        <f aca="false">IF(G1152="","",RANK(G1152,$G$2:$G$1179,0))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2424</v>
      </c>
      <c r="C1153" s="4" t="s">
        <v>2425</v>
      </c>
      <c r="D1153" s="7" t="s">
        <v>2445</v>
      </c>
      <c r="E1153" s="4" t="s">
        <v>2427</v>
      </c>
      <c r="F1153" s="4" t="s">
        <v>6</v>
      </c>
      <c r="G1153" s="8"/>
      <c r="H1153" s="6" t="str">
        <f aca="false">IF(G1153="","",G1153/SUMIFS($G$2:$G$1179,$F$2:$F$1179,"Served"))</f>
        <v/>
      </c>
      <c r="I1153" s="4" t="str">
        <f aca="false">IF(G1153="","",RANK(G1153,$G$2:$G$1179,0))</f>
        <v/>
      </c>
      <c r="J1153" s="4" t="s">
        <v>34</v>
      </c>
    </row>
    <row r="1154" customFormat="false" ht="15" hidden="false" customHeight="false" outlineLevel="0" collapsed="false">
      <c r="A1154" s="4" t="s">
        <v>2446</v>
      </c>
      <c r="B1154" s="4" t="s">
        <v>2424</v>
      </c>
      <c r="C1154" s="4" t="s">
        <v>2425</v>
      </c>
      <c r="D1154" s="7" t="s">
        <v>2447</v>
      </c>
      <c r="E1154" s="4" t="s">
        <v>2427</v>
      </c>
      <c r="F1154" s="4" t="s">
        <v>6</v>
      </c>
      <c r="G1154" s="8"/>
      <c r="H1154" s="6" t="str">
        <f aca="false">IF(G1154="","",G1154/SUMIFS($G$2:$G$1179,$F$2:$F$1179,"Served"))</f>
        <v/>
      </c>
      <c r="I1154" s="4" t="str">
        <f aca="false">IF(G1154="","",RANK(G1154,$G$2:$G$1179,0))</f>
        <v/>
      </c>
      <c r="J1154" s="4" t="s">
        <v>34</v>
      </c>
    </row>
    <row r="1155" customFormat="false" ht="15" hidden="false" customHeight="false" outlineLevel="0" collapsed="false">
      <c r="A1155" s="4" t="s">
        <v>2448</v>
      </c>
      <c r="B1155" s="4" t="s">
        <v>2424</v>
      </c>
      <c r="C1155" s="4" t="s">
        <v>2425</v>
      </c>
      <c r="D1155" s="7" t="s">
        <v>2449</v>
      </c>
      <c r="E1155" s="4" t="s">
        <v>2427</v>
      </c>
      <c r="F1155" s="4" t="s">
        <v>6</v>
      </c>
      <c r="G1155" s="8"/>
      <c r="H1155" s="6" t="str">
        <f aca="false">IF(G1155="","",G1155/SUMIFS($G$2:$G$1179,$F$2:$F$1179,"Served"))</f>
        <v/>
      </c>
      <c r="I1155" s="4" t="str">
        <f aca="false">IF(G1155="","",RANK(G1155,$G$2:$G$1179,0))</f>
        <v/>
      </c>
      <c r="J1155" s="4" t="s">
        <v>34</v>
      </c>
    </row>
    <row r="1156" customFormat="false" ht="15" hidden="false" customHeight="false" outlineLevel="0" collapsed="false">
      <c r="A1156" s="4" t="s">
        <v>2450</v>
      </c>
      <c r="B1156" s="4" t="s">
        <v>2424</v>
      </c>
      <c r="C1156" s="4" t="s">
        <v>2425</v>
      </c>
      <c r="D1156" s="7" t="s">
        <v>2451</v>
      </c>
      <c r="E1156" s="4" t="s">
        <v>2427</v>
      </c>
      <c r="F1156" s="4" t="s">
        <v>6</v>
      </c>
      <c r="G1156" s="8"/>
      <c r="H1156" s="6" t="str">
        <f aca="false">IF(G1156="","",G1156/SUMIFS($G$2:$G$1179,$F$2:$F$1179,"Served"))</f>
        <v/>
      </c>
      <c r="I1156" s="4" t="str">
        <f aca="false">IF(G1156="","",RANK(G1156,$G$2:$G$1179,0))</f>
        <v/>
      </c>
      <c r="J1156" s="4" t="s">
        <v>34</v>
      </c>
    </row>
    <row r="1157" customFormat="false" ht="15" hidden="false" customHeight="false" outlineLevel="0" collapsed="false">
      <c r="A1157" s="4" t="s">
        <v>2452</v>
      </c>
      <c r="B1157" s="4" t="s">
        <v>2424</v>
      </c>
      <c r="C1157" s="4" t="s">
        <v>2425</v>
      </c>
      <c r="D1157" s="7" t="s">
        <v>2453</v>
      </c>
      <c r="E1157" s="4" t="s">
        <v>2427</v>
      </c>
      <c r="F1157" s="4" t="s">
        <v>6</v>
      </c>
      <c r="G1157" s="8"/>
      <c r="H1157" s="6" t="str">
        <f aca="false">IF(G1157="","",G1157/SUMIFS($G$2:$G$1179,$F$2:$F$1179,"Served"))</f>
        <v/>
      </c>
      <c r="I1157" s="4" t="str">
        <f aca="false">IF(G1157="","",RANK(G1157,$G$2:$G$1179,0))</f>
        <v/>
      </c>
      <c r="J1157" s="4" t="s">
        <v>34</v>
      </c>
    </row>
    <row r="1158" customFormat="false" ht="15" hidden="false" customHeight="false" outlineLevel="0" collapsed="false">
      <c r="A1158" s="4" t="s">
        <v>2454</v>
      </c>
      <c r="B1158" s="4" t="s">
        <v>2424</v>
      </c>
      <c r="C1158" s="4" t="s">
        <v>2425</v>
      </c>
      <c r="D1158" s="7" t="s">
        <v>2455</v>
      </c>
      <c r="E1158" s="4" t="s">
        <v>2427</v>
      </c>
      <c r="F1158" s="4" t="s">
        <v>6</v>
      </c>
      <c r="G1158" s="8"/>
      <c r="H1158" s="6" t="str">
        <f aca="false">IF(G1158="","",G1158/SUMIFS($G$2:$G$1179,$F$2:$F$1179,"Served"))</f>
        <v/>
      </c>
      <c r="I1158" s="4" t="str">
        <f aca="false">IF(G1158="","",RANK(G1158,$G$2:$G$1179,0))</f>
        <v/>
      </c>
      <c r="J1158" s="4" t="s">
        <v>34</v>
      </c>
    </row>
    <row r="1159" customFormat="false" ht="15" hidden="false" customHeight="false" outlineLevel="0" collapsed="false">
      <c r="A1159" s="4" t="s">
        <v>2456</v>
      </c>
      <c r="B1159" s="4" t="s">
        <v>2424</v>
      </c>
      <c r="C1159" s="4" t="s">
        <v>2425</v>
      </c>
      <c r="D1159" s="7" t="s">
        <v>2457</v>
      </c>
      <c r="E1159" s="4" t="s">
        <v>2427</v>
      </c>
      <c r="F1159" s="4" t="s">
        <v>6</v>
      </c>
      <c r="G1159" s="8"/>
      <c r="H1159" s="6" t="str">
        <f aca="false">IF(G1159="","",G1159/SUMIFS($G$2:$G$1179,$F$2:$F$1179,"Served"))</f>
        <v/>
      </c>
      <c r="I1159" s="4" t="str">
        <f aca="false">IF(G1159="","",RANK(G1159,$G$2:$G$1179,0))</f>
        <v/>
      </c>
      <c r="J1159" s="4" t="s">
        <v>34</v>
      </c>
    </row>
    <row r="1160" customFormat="false" ht="15" hidden="false" customHeight="false" outlineLevel="0" collapsed="false">
      <c r="A1160" s="4" t="s">
        <v>2458</v>
      </c>
      <c r="B1160" s="4" t="s">
        <v>2424</v>
      </c>
      <c r="C1160" s="4" t="s">
        <v>2425</v>
      </c>
      <c r="D1160" s="7" t="s">
        <v>2459</v>
      </c>
      <c r="E1160" s="4" t="s">
        <v>2427</v>
      </c>
      <c r="F1160" s="4" t="s">
        <v>6</v>
      </c>
      <c r="G1160" s="8"/>
      <c r="H1160" s="6" t="str">
        <f aca="false">IF(G1160="","",G1160/SUMIFS($G$2:$G$1179,$F$2:$F$1179,"Served"))</f>
        <v/>
      </c>
      <c r="I1160" s="4" t="str">
        <f aca="false">IF(G1160="","",RANK(G1160,$G$2:$G$1179,0))</f>
        <v/>
      </c>
      <c r="J1160" s="4" t="s">
        <v>34</v>
      </c>
    </row>
    <row r="1161" customFormat="false" ht="15" hidden="false" customHeight="false" outlineLevel="0" collapsed="false">
      <c r="A1161" s="4" t="s">
        <v>2460</v>
      </c>
      <c r="B1161" s="4" t="s">
        <v>2424</v>
      </c>
      <c r="C1161" s="4" t="s">
        <v>2425</v>
      </c>
      <c r="D1161" s="7" t="s">
        <v>2461</v>
      </c>
      <c r="E1161" s="4" t="s">
        <v>2427</v>
      </c>
      <c r="F1161" s="4" t="s">
        <v>6</v>
      </c>
      <c r="G1161" s="8"/>
      <c r="H1161" s="6" t="str">
        <f aca="false">IF(G1161="","",G1161/SUMIFS($G$2:$G$1179,$F$2:$F$1179,"Served"))</f>
        <v/>
      </c>
      <c r="I1161" s="4" t="str">
        <f aca="false">IF(G1161="","",RANK(G1161,$G$2:$G$1179,0))</f>
        <v/>
      </c>
      <c r="J1161" s="4" t="s">
        <v>34</v>
      </c>
    </row>
    <row r="1162" customFormat="false" ht="15" hidden="false" customHeight="false" outlineLevel="0" collapsed="false">
      <c r="A1162" s="4" t="s">
        <v>2462</v>
      </c>
      <c r="B1162" s="4" t="s">
        <v>2424</v>
      </c>
      <c r="C1162" s="4" t="s">
        <v>2425</v>
      </c>
      <c r="D1162" s="7" t="s">
        <v>2463</v>
      </c>
      <c r="E1162" s="4" t="s">
        <v>2427</v>
      </c>
      <c r="F1162" s="4" t="s">
        <v>6</v>
      </c>
      <c r="G1162" s="8"/>
      <c r="H1162" s="6" t="str">
        <f aca="false">IF(G1162="","",G1162/SUMIFS($G$2:$G$1179,$F$2:$F$1179,"Served"))</f>
        <v/>
      </c>
      <c r="I1162" s="4" t="str">
        <f aca="false">IF(G1162="","",RANK(G1162,$G$2:$G$1179,0))</f>
        <v/>
      </c>
      <c r="J1162" s="4" t="s">
        <v>34</v>
      </c>
    </row>
    <row r="1163" customFormat="false" ht="15" hidden="false" customHeight="false" outlineLevel="0" collapsed="false">
      <c r="A1163" s="4" t="s">
        <v>2464</v>
      </c>
      <c r="B1163" s="4" t="s">
        <v>2424</v>
      </c>
      <c r="C1163" s="4" t="s">
        <v>2425</v>
      </c>
      <c r="D1163" s="7" t="s">
        <v>2465</v>
      </c>
      <c r="E1163" s="4" t="s">
        <v>2427</v>
      </c>
      <c r="F1163" s="4" t="s">
        <v>6</v>
      </c>
      <c r="G1163" s="8"/>
      <c r="H1163" s="6" t="str">
        <f aca="false">IF(G1163="","",G1163/SUMIFS($G$2:$G$1179,$F$2:$F$1179,"Served"))</f>
        <v/>
      </c>
      <c r="I1163" s="4" t="str">
        <f aca="false">IF(G1163="","",RANK(G1163,$G$2:$G$1179,0))</f>
        <v/>
      </c>
      <c r="J1163" s="4" t="s">
        <v>34</v>
      </c>
    </row>
    <row r="1164" customFormat="false" ht="15" hidden="false" customHeight="false" outlineLevel="0" collapsed="false">
      <c r="A1164" s="4" t="s">
        <v>2466</v>
      </c>
      <c r="B1164" s="4" t="s">
        <v>2424</v>
      </c>
      <c r="C1164" s="4" t="s">
        <v>2425</v>
      </c>
      <c r="D1164" s="7" t="s">
        <v>2467</v>
      </c>
      <c r="E1164" s="4" t="s">
        <v>2427</v>
      </c>
      <c r="F1164" s="4" t="s">
        <v>6</v>
      </c>
      <c r="G1164" s="8"/>
      <c r="H1164" s="6" t="str">
        <f aca="false">IF(G1164="","",G1164/SUMIFS($G$2:$G$1179,$F$2:$F$1179,"Served"))</f>
        <v/>
      </c>
      <c r="I1164" s="4" t="str">
        <f aca="false">IF(G1164="","",RANK(G1164,$G$2:$G$1179,0))</f>
        <v/>
      </c>
      <c r="J1164" s="4" t="s">
        <v>34</v>
      </c>
    </row>
    <row r="1165" customFormat="false" ht="15" hidden="false" customHeight="false" outlineLevel="0" collapsed="false">
      <c r="A1165" s="4" t="s">
        <v>2468</v>
      </c>
      <c r="B1165" s="4" t="s">
        <v>2424</v>
      </c>
      <c r="C1165" s="4" t="s">
        <v>2425</v>
      </c>
      <c r="D1165" s="7" t="s">
        <v>2469</v>
      </c>
      <c r="E1165" s="4" t="s">
        <v>2427</v>
      </c>
      <c r="F1165" s="4" t="s">
        <v>6</v>
      </c>
      <c r="G1165" s="8"/>
      <c r="H1165" s="6" t="str">
        <f aca="false">IF(G1165="","",G1165/SUMIFS($G$2:$G$1179,$F$2:$F$1179,"Served"))</f>
        <v/>
      </c>
      <c r="I1165" s="4" t="str">
        <f aca="false">IF(G1165="","",RANK(G1165,$G$2:$G$1179,0))</f>
        <v/>
      </c>
      <c r="J1165" s="4" t="s">
        <v>34</v>
      </c>
    </row>
    <row r="1166" customFormat="false" ht="15" hidden="false" customHeight="false" outlineLevel="0" collapsed="false">
      <c r="A1166" s="4" t="s">
        <v>2470</v>
      </c>
      <c r="B1166" s="4" t="s">
        <v>2424</v>
      </c>
      <c r="C1166" s="4" t="s">
        <v>2425</v>
      </c>
      <c r="D1166" s="7" t="s">
        <v>2471</v>
      </c>
      <c r="E1166" s="4" t="s">
        <v>2427</v>
      </c>
      <c r="F1166" s="4" t="s">
        <v>6</v>
      </c>
      <c r="G1166" s="8"/>
      <c r="H1166" s="6" t="str">
        <f aca="false">IF(G1166="","",G1166/SUMIFS($G$2:$G$1179,$F$2:$F$1179,"Served"))</f>
        <v/>
      </c>
      <c r="I1166" s="4" t="str">
        <f aca="false">IF(G1166="","",RANK(G1166,$G$2:$G$1179,0))</f>
        <v/>
      </c>
      <c r="J1166" s="4" t="s">
        <v>34</v>
      </c>
    </row>
    <row r="1167" customFormat="false" ht="15" hidden="false" customHeight="false" outlineLevel="0" collapsed="false">
      <c r="A1167" s="4" t="s">
        <v>2472</v>
      </c>
      <c r="B1167" s="4" t="s">
        <v>2424</v>
      </c>
      <c r="C1167" s="4" t="s">
        <v>2425</v>
      </c>
      <c r="D1167" s="7" t="s">
        <v>2473</v>
      </c>
      <c r="E1167" s="4" t="s">
        <v>2427</v>
      </c>
      <c r="F1167" s="4" t="s">
        <v>6</v>
      </c>
      <c r="G1167" s="8"/>
      <c r="H1167" s="6" t="str">
        <f aca="false">IF(G1167="","",G1167/SUMIFS($G$2:$G$1179,$F$2:$F$1179,"Served"))</f>
        <v/>
      </c>
      <c r="I1167" s="4" t="str">
        <f aca="false">IF(G1167="","",RANK(G1167,$G$2:$G$1179,0))</f>
        <v/>
      </c>
      <c r="J1167" s="4" t="s">
        <v>34</v>
      </c>
    </row>
    <row r="1168" customFormat="false" ht="15" hidden="false" customHeight="false" outlineLevel="0" collapsed="false">
      <c r="A1168" s="4" t="s">
        <v>2474</v>
      </c>
      <c r="B1168" s="4" t="s">
        <v>2424</v>
      </c>
      <c r="C1168" s="4" t="s">
        <v>2425</v>
      </c>
      <c r="D1168" s="7" t="s">
        <v>2475</v>
      </c>
      <c r="E1168" s="4" t="s">
        <v>2427</v>
      </c>
      <c r="F1168" s="4" t="s">
        <v>6</v>
      </c>
      <c r="G1168" s="8"/>
      <c r="H1168" s="6" t="str">
        <f aca="false">IF(G1168="","",G1168/SUMIFS($G$2:$G$1179,$F$2:$F$1179,"Served"))</f>
        <v/>
      </c>
      <c r="I1168" s="4" t="str">
        <f aca="false">IF(G1168="","",RANK(G1168,$G$2:$G$1179,0))</f>
        <v/>
      </c>
      <c r="J1168" s="4" t="s">
        <v>34</v>
      </c>
    </row>
    <row r="1169" customFormat="false" ht="15" hidden="false" customHeight="false" outlineLevel="0" collapsed="false">
      <c r="A1169" s="4" t="s">
        <v>2476</v>
      </c>
      <c r="B1169" s="4" t="s">
        <v>2424</v>
      </c>
      <c r="C1169" s="4" t="s">
        <v>2425</v>
      </c>
      <c r="D1169" s="7" t="s">
        <v>2477</v>
      </c>
      <c r="E1169" s="4" t="s">
        <v>2427</v>
      </c>
      <c r="F1169" s="4" t="s">
        <v>6</v>
      </c>
      <c r="G1169" s="8"/>
      <c r="H1169" s="6" t="str">
        <f aca="false">IF(G1169="","",G1169/SUMIFS($G$2:$G$1179,$F$2:$F$1179,"Served"))</f>
        <v/>
      </c>
      <c r="I1169" s="4" t="str">
        <f aca="false">IF(G1169="","",RANK(G1169,$G$2:$G$1179,0))</f>
        <v/>
      </c>
      <c r="J1169" s="4" t="s">
        <v>34</v>
      </c>
    </row>
    <row r="1170" customFormat="false" ht="15" hidden="false" customHeight="false" outlineLevel="0" collapsed="false">
      <c r="A1170" s="4" t="s">
        <v>2478</v>
      </c>
      <c r="B1170" s="4" t="s">
        <v>2424</v>
      </c>
      <c r="C1170" s="4" t="s">
        <v>2425</v>
      </c>
      <c r="D1170" s="7" t="s">
        <v>2479</v>
      </c>
      <c r="E1170" s="4" t="s">
        <v>2427</v>
      </c>
      <c r="F1170" s="4" t="s">
        <v>6</v>
      </c>
      <c r="G1170" s="8"/>
      <c r="H1170" s="6" t="str">
        <f aca="false">IF(G1170="","",G1170/SUMIFS($G$2:$G$1179,$F$2:$F$1179,"Served"))</f>
        <v/>
      </c>
      <c r="I1170" s="4" t="str">
        <f aca="false">IF(G1170="","",RANK(G1170,$G$2:$G$1179,0))</f>
        <v/>
      </c>
      <c r="J1170" s="4" t="s">
        <v>34</v>
      </c>
    </row>
    <row r="1171" customFormat="false" ht="15" hidden="false" customHeight="false" outlineLevel="0" collapsed="false">
      <c r="A1171" s="4" t="s">
        <v>2480</v>
      </c>
      <c r="B1171" s="4" t="s">
        <v>2424</v>
      </c>
      <c r="C1171" s="4" t="s">
        <v>2425</v>
      </c>
      <c r="D1171" s="7" t="s">
        <v>2481</v>
      </c>
      <c r="E1171" s="4" t="s">
        <v>2427</v>
      </c>
      <c r="F1171" s="4" t="s">
        <v>6</v>
      </c>
      <c r="G1171" s="8"/>
      <c r="H1171" s="6" t="str">
        <f aca="false">IF(G1171="","",G1171/SUMIFS($G$2:$G$1179,$F$2:$F$1179,"Served"))</f>
        <v/>
      </c>
      <c r="I1171" s="4" t="str">
        <f aca="false">IF(G1171="","",RANK(G1171,$G$2:$G$1179,0))</f>
        <v/>
      </c>
      <c r="J1171" s="4" t="s">
        <v>34</v>
      </c>
    </row>
    <row r="1172" customFormat="false" ht="15" hidden="false" customHeight="false" outlineLevel="0" collapsed="false">
      <c r="A1172" s="4" t="s">
        <v>2482</v>
      </c>
      <c r="B1172" s="4" t="s">
        <v>2424</v>
      </c>
      <c r="C1172" s="4" t="s">
        <v>2425</v>
      </c>
      <c r="D1172" s="7" t="s">
        <v>2483</v>
      </c>
      <c r="E1172" s="4" t="s">
        <v>2427</v>
      </c>
      <c r="F1172" s="4" t="s">
        <v>6</v>
      </c>
      <c r="G1172" s="8"/>
      <c r="H1172" s="6" t="str">
        <f aca="false">IF(G1172="","",G1172/SUMIFS($G$2:$G$1179,$F$2:$F$1179,"Served"))</f>
        <v/>
      </c>
      <c r="I1172" s="4" t="str">
        <f aca="false">IF(G1172="","",RANK(G1172,$G$2:$G$1179,0))</f>
        <v/>
      </c>
      <c r="J1172" s="4" t="s">
        <v>34</v>
      </c>
    </row>
    <row r="1173" customFormat="false" ht="15" hidden="false" customHeight="false" outlineLevel="0" collapsed="false">
      <c r="A1173" s="4" t="s">
        <v>2484</v>
      </c>
      <c r="B1173" s="4" t="s">
        <v>2424</v>
      </c>
      <c r="C1173" s="4" t="s">
        <v>2425</v>
      </c>
      <c r="D1173" s="7" t="s">
        <v>2485</v>
      </c>
      <c r="E1173" s="4" t="s">
        <v>2427</v>
      </c>
      <c r="F1173" s="4" t="s">
        <v>6</v>
      </c>
      <c r="G1173" s="8"/>
      <c r="H1173" s="6" t="str">
        <f aca="false">IF(G1173="","",G1173/SUMIFS($G$2:$G$1179,$F$2:$F$1179,"Served"))</f>
        <v/>
      </c>
      <c r="I1173" s="4" t="str">
        <f aca="false">IF(G1173="","",RANK(G1173,$G$2:$G$1179,0))</f>
        <v/>
      </c>
      <c r="J1173" s="4" t="s">
        <v>34</v>
      </c>
    </row>
    <row r="1174" customFormat="false" ht="15" hidden="false" customHeight="false" outlineLevel="0" collapsed="false">
      <c r="A1174" s="4" t="s">
        <v>2486</v>
      </c>
      <c r="B1174" s="4" t="s">
        <v>2424</v>
      </c>
      <c r="C1174" s="4" t="s">
        <v>2425</v>
      </c>
      <c r="D1174" s="7" t="s">
        <v>2487</v>
      </c>
      <c r="E1174" s="4" t="s">
        <v>2427</v>
      </c>
      <c r="F1174" s="4" t="s">
        <v>6</v>
      </c>
      <c r="G1174" s="8"/>
      <c r="H1174" s="6" t="str">
        <f aca="false">IF(G1174="","",G1174/SUMIFS($G$2:$G$1179,$F$2:$F$1179,"Served"))</f>
        <v/>
      </c>
      <c r="I1174" s="4" t="str">
        <f aca="false">IF(G1174="","",RANK(G1174,$G$2:$G$1179,0))</f>
        <v/>
      </c>
      <c r="J1174" s="4" t="s">
        <v>34</v>
      </c>
    </row>
    <row r="1175" customFormat="false" ht="15" hidden="false" customHeight="false" outlineLevel="0" collapsed="false">
      <c r="A1175" s="4" t="s">
        <v>2488</v>
      </c>
      <c r="B1175" s="4" t="s">
        <v>2424</v>
      </c>
      <c r="C1175" s="4" t="s">
        <v>2425</v>
      </c>
      <c r="D1175" s="7" t="s">
        <v>2489</v>
      </c>
      <c r="E1175" s="4" t="s">
        <v>2427</v>
      </c>
      <c r="F1175" s="4" t="s">
        <v>6</v>
      </c>
      <c r="G1175" s="8"/>
      <c r="H1175" s="6" t="str">
        <f aca="false">IF(G1175="","",G1175/SUMIFS($G$2:$G$1179,$F$2:$F$1179,"Served"))</f>
        <v/>
      </c>
      <c r="I1175" s="4" t="str">
        <f aca="false">IF(G1175="","",RANK(G1175,$G$2:$G$1179,0))</f>
        <v/>
      </c>
      <c r="J1175" s="4" t="s">
        <v>34</v>
      </c>
    </row>
    <row r="1176" customFormat="false" ht="15" hidden="false" customHeight="false" outlineLevel="0" collapsed="false">
      <c r="A1176" s="4" t="s">
        <v>2490</v>
      </c>
      <c r="B1176" s="4" t="s">
        <v>2491</v>
      </c>
      <c r="C1176" s="4" t="s">
        <v>2492</v>
      </c>
      <c r="D1176" s="7" t="s">
        <v>2493</v>
      </c>
      <c r="E1176" s="4" t="s">
        <v>134</v>
      </c>
      <c r="F1176" s="4" t="s">
        <v>7</v>
      </c>
      <c r="G1176" s="8"/>
      <c r="H1176" s="6" t="str">
        <f aca="false">IF(G1176="","",G1176/SUMIFS($G$2:$G$1179,$F$2:$F$1179,"Served"))</f>
        <v/>
      </c>
      <c r="I1176" s="4" t="str">
        <f aca="false">IF(G1176="","",RANK(G1176,$G$2:$G$1179,0))</f>
        <v/>
      </c>
      <c r="J1176" s="4" t="s">
        <v>2494</v>
      </c>
    </row>
    <row r="1177" customFormat="false" ht="15" hidden="false" customHeight="false" outlineLevel="0" collapsed="false">
      <c r="A1177" s="4" t="s">
        <v>2495</v>
      </c>
      <c r="B1177" s="4" t="s">
        <v>2491</v>
      </c>
      <c r="C1177" s="4" t="s">
        <v>2492</v>
      </c>
      <c r="D1177" s="7" t="s">
        <v>2496</v>
      </c>
      <c r="E1177" s="4" t="s">
        <v>134</v>
      </c>
      <c r="F1177" s="4" t="s">
        <v>7</v>
      </c>
      <c r="G1177" s="8"/>
      <c r="H1177" s="6" t="str">
        <f aca="false">IF(G1177="","",G1177/SUMIFS($G$2:$G$1179,$F$2:$F$1179,"Served"))</f>
        <v/>
      </c>
      <c r="I1177" s="4" t="str">
        <f aca="false">IF(G1177="","",RANK(G1177,$G$2:$G$1179,0))</f>
        <v/>
      </c>
      <c r="J1177" s="4" t="s">
        <v>2494</v>
      </c>
    </row>
    <row r="1178" customFormat="false" ht="15" hidden="false" customHeight="false" outlineLevel="0" collapsed="false">
      <c r="A1178" s="4" t="s">
        <v>2497</v>
      </c>
      <c r="B1178" s="4" t="s">
        <v>2491</v>
      </c>
      <c r="C1178" s="4" t="s">
        <v>2492</v>
      </c>
      <c r="D1178" s="7" t="s">
        <v>2498</v>
      </c>
      <c r="E1178" s="4" t="s">
        <v>134</v>
      </c>
      <c r="F1178" s="4" t="s">
        <v>7</v>
      </c>
      <c r="G1178" s="8"/>
      <c r="H1178" s="6" t="str">
        <f aca="false">IF(G1178="","",G1178/SUMIFS($G$2:$G$1179,$F$2:$F$1179,"Served"))</f>
        <v/>
      </c>
      <c r="I1178" s="4" t="str">
        <f aca="false">IF(G1178="","",RANK(G1178,$G$2:$G$1179,0))</f>
        <v/>
      </c>
      <c r="J1178" s="4" t="s">
        <v>2494</v>
      </c>
    </row>
    <row r="1179" customFormat="false" ht="15" hidden="false" customHeight="false" outlineLevel="0" collapsed="false">
      <c r="A1179" s="4" t="s">
        <v>2499</v>
      </c>
      <c r="B1179" s="4" t="s">
        <v>2491</v>
      </c>
      <c r="C1179" s="4" t="s">
        <v>2492</v>
      </c>
      <c r="D1179" s="7" t="s">
        <v>2500</v>
      </c>
      <c r="E1179" s="4" t="s">
        <v>134</v>
      </c>
      <c r="F1179" s="4" t="s">
        <v>7</v>
      </c>
      <c r="G1179" s="8"/>
      <c r="H1179" s="6" t="str">
        <f aca="false">IF(G1179="","",G1179/SUMIFS($G$2:$G$1179,$F$2:$F$1179,"Served"))</f>
        <v/>
      </c>
      <c r="I1179" s="4" t="str">
        <f aca="false">IF(G1179="","",RANK(G1179,$G$2:$G$1179,0))</f>
        <v/>
      </c>
      <c r="J1179" s="4" t="s">
        <v>2494</v>
      </c>
    </row>
  </sheetData>
  <autoFilter ref="A1:J11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2501</v>
      </c>
      <c r="D1" s="3" t="s">
        <v>4</v>
      </c>
      <c r="E1" s="3" t="s">
        <v>26</v>
      </c>
      <c r="F1" s="3" t="s">
        <v>23</v>
      </c>
      <c r="G1" s="3" t="s">
        <v>2502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COUNTIFS(Features!$B$2:$B$1179,A2)</f>
        <v>188</v>
      </c>
      <c r="D2" s="4" t="n">
        <f aca="false">COUNTIFS(Features!$B$2:$B$1179,A2,Features!$F$2:$F$1179,"Served")</f>
        <v>188</v>
      </c>
      <c r="E2" s="6" t="n">
        <f aca="false">SUMIFS(Features!$H$2:$H$1179,Features!$B$2:$B$1179,A2)</f>
        <v>0.565722271259781</v>
      </c>
      <c r="F2" s="4" t="s">
        <v>33</v>
      </c>
      <c r="G2" s="4" t="s">
        <v>2503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COUNTIFS(Features!$B$2:$B$1179,A3)</f>
        <v>20</v>
      </c>
      <c r="D3" s="4" t="n">
        <f aca="false">COUNTIFS(Features!$B$2:$B$1179,A3,Features!$F$2:$F$1179,"Served")</f>
        <v>20</v>
      </c>
      <c r="E3" s="6" t="n">
        <f aca="false">SUMIFS(Features!$H$2:$H$1179,Features!$B$2:$B$1179,A3)</f>
        <v>0.11435261545349</v>
      </c>
      <c r="F3" s="4" t="s">
        <v>44</v>
      </c>
      <c r="G3" s="4" t="s">
        <v>2504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COUNTIFS(Features!$B$2:$B$1179,A4)</f>
        <v>80</v>
      </c>
      <c r="D4" s="4" t="n">
        <f aca="false">COUNTIFS(Features!$B$2:$B$1179,A4,Features!$F$2:$F$1179,"Served")</f>
        <v>80</v>
      </c>
      <c r="E4" s="6" t="n">
        <f aca="false">SUMIFS(Features!$H$2:$H$1179,Features!$B$2:$B$1179,A4)</f>
        <v>0.151620520876992</v>
      </c>
      <c r="F4" s="4" t="s">
        <v>51</v>
      </c>
      <c r="G4" s="4" t="s">
        <v>2505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COUNTIFS(Features!$B$2:$B$1179,A5)</f>
        <v>14</v>
      </c>
      <c r="D5" s="4" t="n">
        <f aca="false">COUNTIFS(Features!$B$2:$B$1179,A5,Features!$F$2:$F$1179,"Served")</f>
        <v>14</v>
      </c>
      <c r="E5" s="6" t="n">
        <f aca="false">SUMIFS(Features!$H$2:$H$1179,Features!$B$2:$B$1179,A5)</f>
        <v>0.020665689224566</v>
      </c>
      <c r="F5" s="4" t="s">
        <v>103</v>
      </c>
      <c r="G5" s="4" t="s">
        <v>2506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COUNTIFS(Features!$B$2:$B$1179,A6)</f>
        <v>114</v>
      </c>
      <c r="D6" s="4" t="n">
        <f aca="false">COUNTIFS(Features!$B$2:$B$1179,A6,Features!$F$2:$F$1179,"Served")</f>
        <v>114</v>
      </c>
      <c r="E6" s="6" t="n">
        <f aca="false">SUMIFS(Features!$H$2:$H$1179,Features!$B$2:$B$1179,A6)</f>
        <v>0.0766551932117866</v>
      </c>
      <c r="F6" s="4" t="s">
        <v>33</v>
      </c>
      <c r="G6" s="4" t="s">
        <v>2507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COUNTIFS(Features!$B$2:$B$1179,A7)</f>
        <v>20</v>
      </c>
      <c r="D7" s="4" t="n">
        <f aca="false">COUNTIFS(Features!$B$2:$B$1179,A7,Features!$F$2:$F$1179,"Served")</f>
        <v>20</v>
      </c>
      <c r="E7" s="6" t="n">
        <f aca="false">SUMIFS(Features!$H$2:$H$1179,Features!$B$2:$B$1179,A7)</f>
        <v>0.00958599480762845</v>
      </c>
      <c r="F7" s="4" t="s">
        <v>134</v>
      </c>
      <c r="G7" s="4" t="s">
        <v>2508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COUNTIFS(Features!$B$2:$B$1179,A8)</f>
        <v>28</v>
      </c>
      <c r="D8" s="4" t="n">
        <f aca="false">COUNTIFS(Features!$B$2:$B$1179,A8,Features!$F$2:$F$1179,"Served")</f>
        <v>28</v>
      </c>
      <c r="E8" s="6" t="n">
        <f aca="false">SUMIFS(Features!$H$2:$H$1179,Features!$B$2:$B$1179,A8)</f>
        <v>0.0124168594236718</v>
      </c>
      <c r="F8" s="4" t="s">
        <v>148</v>
      </c>
      <c r="G8" s="4" t="s">
        <v>2509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COUNTIFS(Features!$B$2:$B$1179,A9)</f>
        <v>91</v>
      </c>
      <c r="D9" s="4" t="n">
        <f aca="false">COUNTIFS(Features!$B$2:$B$1179,A9,Features!$F$2:$F$1179,"Served")</f>
        <v>91</v>
      </c>
      <c r="E9" s="6" t="n">
        <f aca="false">SUMIFS(Features!$H$2:$H$1179,Features!$B$2:$B$1179,A9)</f>
        <v>0.0300614357291893</v>
      </c>
      <c r="F9" s="4" t="s">
        <v>190</v>
      </c>
      <c r="G9" s="4" t="s">
        <v>2510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COUNTIFS(Features!$B$2:$B$1179,A10)</f>
        <v>60</v>
      </c>
      <c r="D10" s="4" t="n">
        <f aca="false">COUNTIFS(Features!$B$2:$B$1179,A10,Features!$F$2:$F$1179,"Served")</f>
        <v>60</v>
      </c>
      <c r="E10" s="6" t="n">
        <f aca="false">SUMIFS(Features!$H$2:$H$1179,Features!$B$2:$B$1179,A10)</f>
        <v>0.0189194200128944</v>
      </c>
      <c r="F10" s="4" t="s">
        <v>226</v>
      </c>
      <c r="G10" s="4" t="s">
        <v>2511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COUNTIFS(Features!$B$2:$B$1179,A11)</f>
        <v>77</v>
      </c>
      <c r="D11" s="4" t="n">
        <f aca="false">COUNTIFS(Features!$B$2:$B$1179,A11,Features!$F$2:$F$1179,"Served")</f>
        <v>0</v>
      </c>
      <c r="E11" s="6" t="n">
        <f aca="false">SUMIFS(Features!$H$2:$H$1179,Features!$B$2:$B$1179,A11)</f>
        <v>0</v>
      </c>
      <c r="F11" s="4" t="s">
        <v>1319</v>
      </c>
      <c r="G11" s="4" t="s">
        <v>2512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COUNTIFS(Features!$B$2:$B$1179,A12)</f>
        <v>60</v>
      </c>
      <c r="D12" s="4" t="n">
        <f aca="false">COUNTIFS(Features!$B$2:$B$1179,A12,Features!$F$2:$F$1179,"Served")</f>
        <v>0</v>
      </c>
      <c r="E12" s="6" t="n">
        <f aca="false">SUMIFS(Features!$H$2:$H$1179,Features!$B$2:$B$1179,A12)</f>
        <v>0</v>
      </c>
      <c r="F12" s="4" t="s">
        <v>1476</v>
      </c>
      <c r="G12" s="4" t="s">
        <v>2513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COUNTIFS(Features!$B$2:$B$1179,A13)</f>
        <v>146</v>
      </c>
      <c r="D13" s="4" t="n">
        <f aca="false">COUNTIFS(Features!$B$2:$B$1179,A13,Features!$F$2:$F$1179,"Served")</f>
        <v>0</v>
      </c>
      <c r="E13" s="6" t="n">
        <f aca="false">SUMIFS(Features!$H$2:$H$1179,Features!$B$2:$B$1179,A13)</f>
        <v>0</v>
      </c>
      <c r="F13" s="4" t="s">
        <v>1599</v>
      </c>
      <c r="G13" s="4" t="s">
        <v>2514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COUNTIFS(Features!$B$2:$B$1179,A14)</f>
        <v>13</v>
      </c>
      <c r="D14" s="4" t="n">
        <f aca="false">COUNTIFS(Features!$B$2:$B$1179,A14,Features!$F$2:$F$1179,"Served")</f>
        <v>0</v>
      </c>
      <c r="E14" s="6" t="n">
        <f aca="false">SUMIFS(Features!$H$2:$H$1179,Features!$B$2:$B$1179,A14)</f>
        <v>0</v>
      </c>
      <c r="F14" s="4" t="s">
        <v>1894</v>
      </c>
      <c r="G14" s="4" t="s">
        <v>2515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COUNTIFS(Features!$B$2:$B$1179,A15)</f>
        <v>12</v>
      </c>
      <c r="D15" s="4" t="n">
        <f aca="false">COUNTIFS(Features!$B$2:$B$1179,A15,Features!$F$2:$F$1179,"Served")</f>
        <v>0</v>
      </c>
      <c r="E15" s="6" t="n">
        <f aca="false">SUMIFS(Features!$H$2:$H$1179,Features!$B$2:$B$1179,A15)</f>
        <v>0</v>
      </c>
      <c r="F15" s="4" t="s">
        <v>1923</v>
      </c>
      <c r="G15" s="4" t="s">
        <v>2516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COUNTIFS(Features!$B$2:$B$1179,A16)</f>
        <v>7</v>
      </c>
      <c r="D16" s="4" t="n">
        <f aca="false">COUNTIFS(Features!$B$2:$B$1179,A16,Features!$F$2:$F$1179,"Served")</f>
        <v>0</v>
      </c>
      <c r="E16" s="6" t="n">
        <f aca="false">SUMIFS(Features!$H$2:$H$1179,Features!$B$2:$B$1179,A16)</f>
        <v>0</v>
      </c>
      <c r="F16" s="4" t="s">
        <v>1950</v>
      </c>
      <c r="G16" s="4" t="s">
        <v>2517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COUNTIFS(Features!$B$2:$B$1179,A17)</f>
        <v>14</v>
      </c>
      <c r="D17" s="4" t="n">
        <f aca="false">COUNTIFS(Features!$B$2:$B$1179,A17,Features!$F$2:$F$1179,"Served")</f>
        <v>0</v>
      </c>
      <c r="E17" s="6" t="n">
        <f aca="false">SUMIFS(Features!$H$2:$H$1179,Features!$B$2:$B$1179,A17)</f>
        <v>0</v>
      </c>
      <c r="F17" s="4" t="s">
        <v>1967</v>
      </c>
      <c r="G17" s="4" t="s">
        <v>2518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COUNTIFS(Features!$B$2:$B$1179,A18)</f>
        <v>4</v>
      </c>
      <c r="D18" s="4" t="n">
        <f aca="false">COUNTIFS(Features!$B$2:$B$1179,A18,Features!$F$2:$F$1179,"Served")</f>
        <v>0</v>
      </c>
      <c r="E18" s="6" t="n">
        <f aca="false">SUMIFS(Features!$H$2:$H$1179,Features!$B$2:$B$1179,A18)</f>
        <v>0</v>
      </c>
      <c r="F18" s="4" t="s">
        <v>1998</v>
      </c>
      <c r="G18" s="4" t="s">
        <v>2519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COUNTIFS(Features!$B$2:$B$1179,A19)</f>
        <v>6</v>
      </c>
      <c r="D19" s="4" t="n">
        <f aca="false">COUNTIFS(Features!$B$2:$B$1179,A19,Features!$F$2:$F$1179,"Served")</f>
        <v>0</v>
      </c>
      <c r="E19" s="6" t="n">
        <f aca="false">SUMIFS(Features!$H$2:$H$1179,Features!$B$2:$B$1179,A19)</f>
        <v>0</v>
      </c>
      <c r="F19" s="4" t="s">
        <v>2009</v>
      </c>
      <c r="G19" s="4" t="s">
        <v>2520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COUNTIFS(Features!$B$2:$B$1179,A20)</f>
        <v>44</v>
      </c>
      <c r="D20" s="4" t="n">
        <f aca="false">COUNTIFS(Features!$B$2:$B$1179,A20,Features!$F$2:$F$1179,"Served")</f>
        <v>0</v>
      </c>
      <c r="E20" s="6" t="n">
        <f aca="false">SUMIFS(Features!$H$2:$H$1179,Features!$B$2:$B$1179,A20)</f>
        <v>0</v>
      </c>
      <c r="F20" s="4" t="s">
        <v>2024</v>
      </c>
      <c r="G20" s="4" t="s">
        <v>2521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COUNTIFS(Features!$B$2:$B$1179,A21)</f>
        <v>8</v>
      </c>
      <c r="D21" s="4" t="n">
        <f aca="false">COUNTIFS(Features!$B$2:$B$1179,A21,Features!$F$2:$F$1179,"Served")</f>
        <v>0</v>
      </c>
      <c r="E21" s="6" t="n">
        <f aca="false">SUMIFS(Features!$H$2:$H$1179,Features!$B$2:$B$1179,A21)</f>
        <v>0</v>
      </c>
      <c r="F21" s="4" t="s">
        <v>2115</v>
      </c>
      <c r="G21" s="4" t="s">
        <v>2522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COUNTIFS(Features!$B$2:$B$1179,A22)</f>
        <v>14</v>
      </c>
      <c r="D22" s="4" t="n">
        <f aca="false">COUNTIFS(Features!$B$2:$B$1179,A22,Features!$F$2:$F$1179,"Served")</f>
        <v>0</v>
      </c>
      <c r="E22" s="6" t="n">
        <f aca="false">SUMIFS(Features!$H$2:$H$1179,Features!$B$2:$B$1179,A22)</f>
        <v>0</v>
      </c>
      <c r="F22" s="4" t="s">
        <v>2134</v>
      </c>
      <c r="G22" s="4" t="s">
        <v>2523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COUNTIFS(Features!$B$2:$B$1179,A23)</f>
        <v>37</v>
      </c>
      <c r="D23" s="4" t="n">
        <f aca="false">COUNTIFS(Features!$B$2:$B$1179,A23,Features!$F$2:$F$1179,"Served")</f>
        <v>0</v>
      </c>
      <c r="E23" s="6" t="n">
        <f aca="false">SUMIFS(Features!$H$2:$H$1179,Features!$B$2:$B$1179,A23)</f>
        <v>0</v>
      </c>
      <c r="F23" s="4" t="s">
        <v>2165</v>
      </c>
      <c r="G23" s="4" t="s">
        <v>2524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COUNTIFS(Features!$B$2:$B$1179,A24)</f>
        <v>6</v>
      </c>
      <c r="D24" s="4" t="n">
        <f aca="false">COUNTIFS(Features!$B$2:$B$1179,A24,Features!$F$2:$F$1179,"Served")</f>
        <v>0</v>
      </c>
      <c r="E24" s="6" t="n">
        <f aca="false">SUMIFS(Features!$H$2:$H$1179,Features!$B$2:$B$1179,A24)</f>
        <v>0</v>
      </c>
      <c r="F24" s="4" t="s">
        <v>2242</v>
      </c>
      <c r="G24" s="4" t="s">
        <v>2525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COUNTIFS(Features!$B$2:$B$1179,A25)</f>
        <v>22</v>
      </c>
      <c r="D25" s="4" t="n">
        <f aca="false">COUNTIFS(Features!$B$2:$B$1179,A25,Features!$F$2:$F$1179,"Served")</f>
        <v>0</v>
      </c>
      <c r="E25" s="6" t="n">
        <f aca="false">SUMIFS(Features!$H$2:$H$1179,Features!$B$2:$B$1179,A25)</f>
        <v>0</v>
      </c>
      <c r="F25" s="4" t="s">
        <v>2257</v>
      </c>
      <c r="G25" s="4" t="s">
        <v>2526</v>
      </c>
    </row>
    <row r="26" customFormat="false" ht="15" hidden="false" customHeight="false" outlineLevel="0" collapsed="false">
      <c r="A26" s="4" t="s">
        <v>2301</v>
      </c>
      <c r="B26" s="4" t="s">
        <v>6</v>
      </c>
      <c r="C26" s="4" t="n">
        <f aca="false">COUNTIFS(Features!$B$2:$B$1179,A26)</f>
        <v>14</v>
      </c>
      <c r="D26" s="4" t="n">
        <f aca="false">COUNTIFS(Features!$B$2:$B$1179,A26,Features!$F$2:$F$1179,"Served")</f>
        <v>0</v>
      </c>
      <c r="E26" s="6" t="n">
        <f aca="false">SUMIFS(Features!$H$2:$H$1179,Features!$B$2:$B$1179,A26)</f>
        <v>0</v>
      </c>
      <c r="F26" s="4" t="s">
        <v>2304</v>
      </c>
      <c r="G26" s="4" t="s">
        <v>2527</v>
      </c>
    </row>
    <row r="27" customFormat="false" ht="15" hidden="false" customHeight="false" outlineLevel="0" collapsed="false">
      <c r="A27" s="4" t="s">
        <v>2332</v>
      </c>
      <c r="B27" s="4" t="s">
        <v>6</v>
      </c>
      <c r="C27" s="4" t="n">
        <f aca="false">COUNTIFS(Features!$B$2:$B$1179,A27)</f>
        <v>24</v>
      </c>
      <c r="D27" s="4" t="n">
        <f aca="false">COUNTIFS(Features!$B$2:$B$1179,A27,Features!$F$2:$F$1179,"Served")</f>
        <v>0</v>
      </c>
      <c r="E27" s="6" t="n">
        <f aca="false">SUMIFS(Features!$H$2:$H$1179,Features!$B$2:$B$1179,A27)</f>
        <v>0</v>
      </c>
      <c r="F27" s="4" t="s">
        <v>2335</v>
      </c>
      <c r="G27" s="4" t="s">
        <v>2528</v>
      </c>
    </row>
    <row r="28" customFormat="false" ht="15" hidden="false" customHeight="false" outlineLevel="0" collapsed="false">
      <c r="A28" s="4" t="s">
        <v>2383</v>
      </c>
      <c r="B28" s="4" t="s">
        <v>5</v>
      </c>
      <c r="C28" s="4" t="n">
        <f aca="false">COUNTIFS(Features!$B$2:$B$1179,A28)</f>
        <v>19</v>
      </c>
      <c r="D28" s="4" t="n">
        <f aca="false">COUNTIFS(Features!$B$2:$B$1179,A28,Features!$F$2:$F$1179,"Served")</f>
        <v>0</v>
      </c>
      <c r="E28" s="6" t="n">
        <f aca="false">SUMIFS(Features!$H$2:$H$1179,Features!$B$2:$B$1179,A28)</f>
        <v>0</v>
      </c>
      <c r="F28" s="4" t="s">
        <v>2386</v>
      </c>
      <c r="G28" s="4" t="s">
        <v>2529</v>
      </c>
    </row>
    <row r="29" customFormat="false" ht="15" hidden="false" customHeight="false" outlineLevel="0" collapsed="false">
      <c r="A29" s="4" t="s">
        <v>2424</v>
      </c>
      <c r="B29" s="4" t="s">
        <v>6</v>
      </c>
      <c r="C29" s="4" t="n">
        <f aca="false">COUNTIFS(Features!$B$2:$B$1179,A29)</f>
        <v>32</v>
      </c>
      <c r="D29" s="4" t="n">
        <f aca="false">COUNTIFS(Features!$B$2:$B$1179,A29,Features!$F$2:$F$1179,"Served")</f>
        <v>0</v>
      </c>
      <c r="E29" s="6" t="n">
        <f aca="false">SUMIFS(Features!$H$2:$H$1179,Features!$B$2:$B$1179,A29)</f>
        <v>0</v>
      </c>
      <c r="F29" s="4" t="s">
        <v>2427</v>
      </c>
      <c r="G29" s="4" t="s">
        <v>2530</v>
      </c>
    </row>
    <row r="30" customFormat="false" ht="15" hidden="false" customHeight="false" outlineLevel="0" collapsed="false">
      <c r="A30" s="4" t="s">
        <v>2491</v>
      </c>
      <c r="B30" s="4" t="s">
        <v>7</v>
      </c>
      <c r="C30" s="4" t="n">
        <f aca="false">COUNTIFS(Features!$B$2:$B$1179,A30)</f>
        <v>4</v>
      </c>
      <c r="D30" s="4" t="n">
        <f aca="false">COUNTIFS(Features!$B$2:$B$1179,A30,Features!$F$2:$F$1179,"Served")</f>
        <v>0</v>
      </c>
      <c r="E30" s="6" t="n">
        <f aca="false">SUMIFS(Features!$H$2:$H$1179,Features!$B$2:$B$1179,A30)</f>
        <v>0</v>
      </c>
      <c r="F30" s="4" t="s">
        <v>134</v>
      </c>
      <c r="G30" s="4" t="s">
        <v>2531</v>
      </c>
    </row>
    <row r="31" customFormat="false" ht="15" hidden="false" customHeight="false" outlineLevel="0" collapsed="false">
      <c r="A31" s="5" t="s">
        <v>2532</v>
      </c>
      <c r="B31" s="5"/>
      <c r="C31" s="5" t="n">
        <f aca="false">SUM(C2:C30)</f>
        <v>1178</v>
      </c>
      <c r="D31" s="5" t="n">
        <f aca="false">SUM(D2:D30)</f>
        <v>615</v>
      </c>
      <c r="E31" s="9" t="n">
        <f aca="false">SUM(E2:E30)</f>
        <v>1</v>
      </c>
      <c r="F31" s="5"/>
      <c r="G31" s="5"/>
    </row>
    <row r="32" customFormat="false" ht="15" hidden="false" customHeight="false" outlineLevel="0" collapsed="false">
      <c r="A32" s="4"/>
      <c r="B32" s="4"/>
      <c r="C32" s="4"/>
      <c r="D32" s="4"/>
      <c r="E32" s="6"/>
      <c r="F32" s="4"/>
      <c r="G32" s="4"/>
    </row>
    <row r="33" customFormat="false" ht="15" hidden="false" customHeight="false" outlineLevel="0" collapsed="false">
      <c r="A33" s="10" t="s">
        <v>2533</v>
      </c>
      <c r="B33" s="10"/>
      <c r="C33" s="10" t="s">
        <v>2501</v>
      </c>
      <c r="D33" s="10"/>
      <c r="E33" s="11"/>
      <c r="F33" s="10" t="s">
        <v>23</v>
      </c>
      <c r="G33" s="10" t="s">
        <v>2502</v>
      </c>
    </row>
    <row r="34" customFormat="false" ht="15" hidden="false" customHeight="false" outlineLevel="0" collapsed="false">
      <c r="A34" s="4" t="s">
        <v>2534</v>
      </c>
      <c r="B34" s="4" t="s">
        <v>2535</v>
      </c>
      <c r="C34" s="12" t="n">
        <v>7</v>
      </c>
      <c r="D34" s="4" t="n">
        <v>0</v>
      </c>
      <c r="E34" s="6"/>
      <c r="F34" s="4" t="s">
        <v>2536</v>
      </c>
      <c r="G34" s="4" t="s">
        <v>2537</v>
      </c>
    </row>
    <row r="35" customFormat="false" ht="15" hidden="false" customHeight="false" outlineLevel="0" collapsed="false">
      <c r="A35" s="4" t="s">
        <v>2538</v>
      </c>
      <c r="B35" s="4" t="s">
        <v>2535</v>
      </c>
      <c r="C35" s="12" t="n">
        <v>6</v>
      </c>
      <c r="D35" s="4" t="n">
        <v>0</v>
      </c>
      <c r="E35" s="6"/>
      <c r="F35" s="4" t="s">
        <v>2539</v>
      </c>
      <c r="G35" s="4" t="s">
        <v>2540</v>
      </c>
    </row>
    <row r="36" customFormat="false" ht="15" hidden="false" customHeight="false" outlineLevel="0" collapsed="false">
      <c r="A36" s="4" t="s">
        <v>2541</v>
      </c>
      <c r="B36" s="4" t="s">
        <v>2535</v>
      </c>
      <c r="C36" s="12" t="n">
        <v>10</v>
      </c>
      <c r="D36" s="4" t="n">
        <v>0</v>
      </c>
      <c r="E36" s="6"/>
      <c r="F36" s="4" t="s">
        <v>2542</v>
      </c>
      <c r="G36" s="4" t="s">
        <v>2540</v>
      </c>
    </row>
    <row r="37" customFormat="false" ht="15" hidden="false" customHeight="false" outlineLevel="0" collapsed="false">
      <c r="A37" s="4" t="s">
        <v>2543</v>
      </c>
      <c r="B37" s="4" t="s">
        <v>2535</v>
      </c>
      <c r="C37" s="12" t="n">
        <v>16</v>
      </c>
      <c r="D37" s="4" t="n">
        <v>0</v>
      </c>
      <c r="E37" s="6"/>
      <c r="F37" s="4" t="s">
        <v>2544</v>
      </c>
      <c r="G37" s="4" t="s">
        <v>2545</v>
      </c>
    </row>
    <row r="38" customFormat="false" ht="15" hidden="false" customHeight="false" outlineLevel="0" collapsed="false">
      <c r="A38" s="4" t="s">
        <v>2546</v>
      </c>
      <c r="B38" s="4" t="s">
        <v>2535</v>
      </c>
      <c r="C38" s="12" t="n">
        <v>7</v>
      </c>
      <c r="D38" s="4" t="n">
        <v>0</v>
      </c>
      <c r="E38" s="6"/>
      <c r="F38" s="4" t="s">
        <v>2547</v>
      </c>
      <c r="G38" s="4" t="s">
        <v>2548</v>
      </c>
    </row>
    <row r="39" customFormat="false" ht="15" hidden="false" customHeight="false" outlineLevel="0" collapsed="false">
      <c r="A39" s="4" t="s">
        <v>2549</v>
      </c>
      <c r="B39" s="4" t="s">
        <v>2535</v>
      </c>
      <c r="C39" s="12" t="n">
        <v>21</v>
      </c>
      <c r="D39" s="4" t="n">
        <v>0</v>
      </c>
      <c r="E39" s="6"/>
      <c r="F39" s="4" t="s">
        <v>2550</v>
      </c>
      <c r="G39" s="4" t="s">
        <v>2551</v>
      </c>
    </row>
    <row r="40" customFormat="false" ht="15" hidden="false" customHeight="false" outlineLevel="0" collapsed="false">
      <c r="A40" s="4" t="s">
        <v>2552</v>
      </c>
      <c r="B40" s="4" t="s">
        <v>2535</v>
      </c>
      <c r="C40" s="12" t="n">
        <v>30</v>
      </c>
      <c r="D40" s="4" t="n">
        <v>0</v>
      </c>
      <c r="E40" s="6"/>
      <c r="F40" s="4" t="s">
        <v>2553</v>
      </c>
      <c r="G40" s="4" t="s">
        <v>2554</v>
      </c>
    </row>
    <row r="41" customFormat="false" ht="15" hidden="false" customHeight="false" outlineLevel="0" collapsed="false">
      <c r="A41" s="4" t="s">
        <v>2555</v>
      </c>
      <c r="B41" s="4" t="s">
        <v>2535</v>
      </c>
      <c r="C41" s="12" t="n">
        <v>18</v>
      </c>
      <c r="D41" s="4" t="n">
        <v>0</v>
      </c>
      <c r="E41" s="6"/>
      <c r="F41" s="4" t="s">
        <v>2556</v>
      </c>
      <c r="G41" s="4" t="s">
        <v>2557</v>
      </c>
    </row>
    <row r="42" customFormat="false" ht="15" hidden="false" customHeight="false" outlineLevel="0" collapsed="false">
      <c r="A42" s="4" t="s">
        <v>2558</v>
      </c>
      <c r="B42" s="4" t="s">
        <v>2535</v>
      </c>
      <c r="C42" s="12" t="n">
        <v>16</v>
      </c>
      <c r="D42" s="4" t="n">
        <v>0</v>
      </c>
      <c r="E42" s="6"/>
      <c r="F42" s="4" t="s">
        <v>2559</v>
      </c>
      <c r="G42" s="4" t="s">
        <v>2560</v>
      </c>
    </row>
    <row r="43" customFormat="false" ht="15" hidden="false" customHeight="false" outlineLevel="0" collapsed="false">
      <c r="A43" s="4" t="s">
        <v>2561</v>
      </c>
      <c r="B43" s="4" t="s">
        <v>2535</v>
      </c>
      <c r="C43" s="12" t="n">
        <v>16</v>
      </c>
      <c r="D43" s="4" t="n">
        <v>0</v>
      </c>
      <c r="E43" s="6"/>
      <c r="F43" s="4" t="s">
        <v>2562</v>
      </c>
      <c r="G43" s="4" t="s">
        <v>2563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2564</v>
      </c>
      <c r="B1" s="3" t="s">
        <v>2565</v>
      </c>
      <c r="C1" s="3" t="s">
        <v>2566</v>
      </c>
      <c r="D1" s="3" t="s">
        <v>2567</v>
      </c>
      <c r="E1" s="3" t="s">
        <v>2568</v>
      </c>
      <c r="F1" s="3" t="s">
        <v>2569</v>
      </c>
      <c r="G1" s="3" t="s">
        <v>2570</v>
      </c>
    </row>
    <row r="2" customFormat="false" ht="15" hidden="false" customHeight="false" outlineLevel="0" collapsed="false">
      <c r="A2" s="13" t="s">
        <v>2571</v>
      </c>
      <c r="B2" s="13" t="s">
        <v>2572</v>
      </c>
      <c r="C2" s="13" t="s">
        <v>2573</v>
      </c>
      <c r="D2" s="13" t="s">
        <v>2574</v>
      </c>
      <c r="E2" s="13" t="s">
        <v>2575</v>
      </c>
      <c r="F2" s="13" t="s">
        <v>2576</v>
      </c>
      <c r="G2" s="13" t="s">
        <v>14</v>
      </c>
    </row>
    <row r="3" customFormat="false" ht="15" hidden="false" customHeight="false" outlineLevel="0" collapsed="false">
      <c r="A3" s="13" t="s">
        <v>2577</v>
      </c>
      <c r="B3" s="13" t="s">
        <v>2578</v>
      </c>
      <c r="C3" s="13" t="s">
        <v>2573</v>
      </c>
      <c r="D3" s="13" t="s">
        <v>2579</v>
      </c>
      <c r="E3" s="13" t="s">
        <v>2575</v>
      </c>
      <c r="F3" s="13" t="s">
        <v>2580</v>
      </c>
      <c r="G3" s="13" t="s">
        <v>13</v>
      </c>
    </row>
    <row r="4" customFormat="false" ht="15" hidden="false" customHeight="false" outlineLevel="0" collapsed="false">
      <c r="A4" s="13" t="s">
        <v>2581</v>
      </c>
      <c r="B4" s="13" t="s">
        <v>2582</v>
      </c>
      <c r="C4" s="13" t="s">
        <v>2573</v>
      </c>
      <c r="D4" s="13" t="s">
        <v>2583</v>
      </c>
      <c r="E4" s="13" t="s">
        <v>2584</v>
      </c>
      <c r="F4" s="13" t="s">
        <v>2585</v>
      </c>
      <c r="G4" s="13" t="s">
        <v>15</v>
      </c>
    </row>
    <row r="5" customFormat="false" ht="15" hidden="false" customHeight="false" outlineLevel="0" collapsed="false">
      <c r="A5" s="13" t="s">
        <v>2586</v>
      </c>
      <c r="B5" s="13" t="s">
        <v>2587</v>
      </c>
      <c r="C5" s="13" t="s">
        <v>2588</v>
      </c>
      <c r="D5" s="13" t="s">
        <v>2589</v>
      </c>
      <c r="E5" s="13" t="s">
        <v>2575</v>
      </c>
      <c r="F5" s="13" t="s">
        <v>2590</v>
      </c>
      <c r="G5" s="13" t="s">
        <v>14</v>
      </c>
    </row>
    <row r="6" customFormat="false" ht="15" hidden="false" customHeight="false" outlineLevel="0" collapsed="false">
      <c r="A6" s="13" t="s">
        <v>2591</v>
      </c>
      <c r="B6" s="13" t="s">
        <v>2592</v>
      </c>
      <c r="C6" s="13" t="s">
        <v>2588</v>
      </c>
      <c r="D6" s="13" t="s">
        <v>2593</v>
      </c>
      <c r="E6" s="13" t="s">
        <v>2575</v>
      </c>
      <c r="F6" s="13" t="s">
        <v>2580</v>
      </c>
      <c r="G6" s="13" t="s">
        <v>13</v>
      </c>
    </row>
    <row r="7" customFormat="false" ht="15" hidden="false" customHeight="false" outlineLevel="0" collapsed="false">
      <c r="A7" s="13" t="s">
        <v>2594</v>
      </c>
      <c r="B7" s="13" t="s">
        <v>2595</v>
      </c>
      <c r="C7" s="13" t="s">
        <v>2596</v>
      </c>
      <c r="D7" s="13" t="s">
        <v>2597</v>
      </c>
      <c r="E7" s="13" t="s">
        <v>2575</v>
      </c>
      <c r="F7" s="13" t="s">
        <v>2598</v>
      </c>
      <c r="G7" s="13" t="s">
        <v>14</v>
      </c>
    </row>
    <row r="8" customFormat="false" ht="23.85" hidden="false" customHeight="false" outlineLevel="0" collapsed="false">
      <c r="A8" s="13" t="s">
        <v>2599</v>
      </c>
      <c r="B8" s="13" t="s">
        <v>2600</v>
      </c>
      <c r="C8" s="13" t="s">
        <v>2596</v>
      </c>
      <c r="D8" s="13" t="s">
        <v>2601</v>
      </c>
      <c r="E8" s="13" t="s">
        <v>2602</v>
      </c>
      <c r="F8" s="13" t="s">
        <v>2603</v>
      </c>
      <c r="G8" s="13" t="s">
        <v>13</v>
      </c>
    </row>
    <row r="9" customFormat="false" ht="15" hidden="false" customHeight="false" outlineLevel="0" collapsed="false">
      <c r="A9" s="13" t="s">
        <v>2604</v>
      </c>
      <c r="B9" s="13" t="s">
        <v>2605</v>
      </c>
      <c r="C9" s="13" t="s">
        <v>2573</v>
      </c>
      <c r="D9" s="13" t="s">
        <v>2606</v>
      </c>
      <c r="E9" s="13" t="s">
        <v>2575</v>
      </c>
      <c r="F9" s="13" t="s">
        <v>2607</v>
      </c>
      <c r="G9" s="13" t="s">
        <v>13</v>
      </c>
    </row>
    <row r="10" customFormat="false" ht="15" hidden="false" customHeight="false" outlineLevel="0" collapsed="false">
      <c r="A10" s="13" t="s">
        <v>2608</v>
      </c>
      <c r="B10" s="13" t="s">
        <v>2609</v>
      </c>
      <c r="C10" s="13" t="s">
        <v>2610</v>
      </c>
      <c r="D10" s="13" t="s">
        <v>2611</v>
      </c>
      <c r="E10" s="13" t="s">
        <v>2575</v>
      </c>
      <c r="F10" s="13" t="s">
        <v>2612</v>
      </c>
      <c r="G10" s="13" t="s">
        <v>14</v>
      </c>
    </row>
    <row r="11" customFormat="false" ht="15" hidden="false" customHeight="false" outlineLevel="0" collapsed="false">
      <c r="A11" s="13" t="s">
        <v>2613</v>
      </c>
      <c r="B11" s="13" t="s">
        <v>2614</v>
      </c>
      <c r="C11" s="13" t="s">
        <v>2615</v>
      </c>
      <c r="D11" s="13" t="s">
        <v>2616</v>
      </c>
      <c r="E11" s="13" t="s">
        <v>2575</v>
      </c>
      <c r="F11" s="13" t="s">
        <v>2617</v>
      </c>
      <c r="G11" s="13" t="s">
        <v>14</v>
      </c>
    </row>
    <row r="12" customFormat="false" ht="15" hidden="false" customHeight="false" outlineLevel="0" collapsed="false">
      <c r="A12" s="13" t="s">
        <v>2618</v>
      </c>
      <c r="B12" s="13" t="s">
        <v>2619</v>
      </c>
      <c r="C12" s="13" t="s">
        <v>2620</v>
      </c>
      <c r="D12" s="13" t="s">
        <v>2621</v>
      </c>
      <c r="E12" s="13" t="s">
        <v>2575</v>
      </c>
      <c r="F12" s="13" t="s">
        <v>2622</v>
      </c>
      <c r="G12" s="13" t="s">
        <v>14</v>
      </c>
    </row>
    <row r="13" customFormat="false" ht="15" hidden="false" customHeight="false" outlineLevel="0" collapsed="false">
      <c r="A13" s="13" t="s">
        <v>2623</v>
      </c>
      <c r="B13" s="13" t="s">
        <v>2624</v>
      </c>
      <c r="C13" s="13" t="s">
        <v>2620</v>
      </c>
      <c r="D13" s="13" t="s">
        <v>2625</v>
      </c>
      <c r="E13" s="13" t="s">
        <v>2575</v>
      </c>
      <c r="F13" s="13" t="s">
        <v>2626</v>
      </c>
      <c r="G13" s="13" t="s">
        <v>14</v>
      </c>
    </row>
    <row r="14" customFormat="false" ht="15" hidden="false" customHeight="false" outlineLevel="0" collapsed="false">
      <c r="A14" s="13" t="s">
        <v>2627</v>
      </c>
      <c r="B14" s="13" t="s">
        <v>2628</v>
      </c>
      <c r="C14" s="13" t="s">
        <v>2629</v>
      </c>
      <c r="D14" s="13" t="s">
        <v>2630</v>
      </c>
      <c r="E14" s="13" t="s">
        <v>2575</v>
      </c>
      <c r="F14" s="13" t="s">
        <v>2631</v>
      </c>
      <c r="G14" s="13" t="s">
        <v>14</v>
      </c>
    </row>
    <row r="15" customFormat="false" ht="15" hidden="false" customHeight="false" outlineLevel="0" collapsed="false">
      <c r="A15" s="13" t="s">
        <v>2632</v>
      </c>
      <c r="B15" s="13" t="s">
        <v>2633</v>
      </c>
      <c r="C15" s="13" t="s">
        <v>2629</v>
      </c>
      <c r="D15" s="13" t="s">
        <v>2634</v>
      </c>
      <c r="E15" s="13" t="s">
        <v>2575</v>
      </c>
      <c r="F15" s="13" t="s">
        <v>2635</v>
      </c>
      <c r="G15" s="13" t="s">
        <v>14</v>
      </c>
    </row>
    <row r="16" customFormat="false" ht="15" hidden="false" customHeight="false" outlineLevel="0" collapsed="false">
      <c r="A16" s="13" t="s">
        <v>2636</v>
      </c>
      <c r="B16" s="13" t="s">
        <v>2637</v>
      </c>
      <c r="C16" s="13" t="s">
        <v>2573</v>
      </c>
      <c r="D16" s="13" t="s">
        <v>2638</v>
      </c>
      <c r="E16" s="13" t="s">
        <v>2575</v>
      </c>
      <c r="F16" s="13" t="s">
        <v>2635</v>
      </c>
      <c r="G16" s="13" t="s">
        <v>14</v>
      </c>
    </row>
    <row r="17" customFormat="false" ht="15" hidden="false" customHeight="false" outlineLevel="0" collapsed="false">
      <c r="A17" s="13" t="s">
        <v>2639</v>
      </c>
      <c r="B17" s="13" t="s">
        <v>2640</v>
      </c>
      <c r="C17" s="13" t="s">
        <v>2573</v>
      </c>
      <c r="D17" s="13" t="s">
        <v>2641</v>
      </c>
      <c r="E17" s="13" t="s">
        <v>2575</v>
      </c>
      <c r="F17" s="13" t="s">
        <v>2642</v>
      </c>
      <c r="G17" s="13" t="s">
        <v>14</v>
      </c>
    </row>
    <row r="18" customFormat="false" ht="15" hidden="false" customHeight="false" outlineLevel="0" collapsed="false">
      <c r="A18" s="13" t="s">
        <v>2643</v>
      </c>
      <c r="B18" s="13" t="s">
        <v>2644</v>
      </c>
      <c r="C18" s="13" t="s">
        <v>2645</v>
      </c>
      <c r="D18" s="13" t="s">
        <v>2646</v>
      </c>
      <c r="E18" s="13" t="s">
        <v>2575</v>
      </c>
      <c r="F18" s="13" t="s">
        <v>2647</v>
      </c>
      <c r="G18" s="13" t="s">
        <v>13</v>
      </c>
    </row>
    <row r="19" customFormat="false" ht="15" hidden="false" customHeight="false" outlineLevel="0" collapsed="false">
      <c r="A19" s="13" t="s">
        <v>2648</v>
      </c>
      <c r="B19" s="13" t="s">
        <v>2649</v>
      </c>
      <c r="C19" s="13" t="s">
        <v>2645</v>
      </c>
      <c r="D19" s="13" t="s">
        <v>2650</v>
      </c>
      <c r="E19" s="13" t="s">
        <v>2575</v>
      </c>
      <c r="F19" s="13" t="s">
        <v>2651</v>
      </c>
      <c r="G19" s="13" t="s">
        <v>14</v>
      </c>
    </row>
    <row r="20" customFormat="false" ht="15" hidden="false" customHeight="false" outlineLevel="0" collapsed="false">
      <c r="A20" s="13" t="s">
        <v>2652</v>
      </c>
      <c r="B20" s="13" t="s">
        <v>2653</v>
      </c>
      <c r="C20" s="13" t="s">
        <v>2654</v>
      </c>
      <c r="D20" s="13" t="s">
        <v>2655</v>
      </c>
      <c r="E20" s="13" t="s">
        <v>2575</v>
      </c>
      <c r="F20" s="13" t="s">
        <v>2580</v>
      </c>
      <c r="G20" s="13" t="s">
        <v>13</v>
      </c>
    </row>
    <row r="21" customFormat="false" ht="15" hidden="false" customHeight="false" outlineLevel="0" collapsed="false">
      <c r="A21" s="13" t="s">
        <v>2656</v>
      </c>
      <c r="B21" s="13" t="s">
        <v>2657</v>
      </c>
      <c r="C21" s="13" t="s">
        <v>2658</v>
      </c>
      <c r="D21" s="13" t="s">
        <v>2659</v>
      </c>
      <c r="E21" s="13" t="s">
        <v>2575</v>
      </c>
      <c r="F21" s="13" t="s">
        <v>2660</v>
      </c>
      <c r="G21" s="13" t="s">
        <v>13</v>
      </c>
    </row>
    <row r="22" customFormat="false" ht="23.85" hidden="false" customHeight="false" outlineLevel="0" collapsed="false">
      <c r="A22" s="13" t="s">
        <v>2661</v>
      </c>
      <c r="B22" s="13" t="s">
        <v>2662</v>
      </c>
      <c r="C22" s="13" t="s">
        <v>2615</v>
      </c>
      <c r="D22" s="13" t="s">
        <v>2663</v>
      </c>
      <c r="E22" s="13" t="s">
        <v>2575</v>
      </c>
      <c r="F22" s="13" t="s">
        <v>2664</v>
      </c>
      <c r="G22" s="13" t="s">
        <v>13</v>
      </c>
    </row>
    <row r="23" customFormat="false" ht="23.85" hidden="false" customHeight="false" outlineLevel="0" collapsed="false">
      <c r="A23" s="13" t="s">
        <v>2665</v>
      </c>
      <c r="B23" s="13" t="s">
        <v>2666</v>
      </c>
      <c r="C23" s="13" t="s">
        <v>2615</v>
      </c>
      <c r="D23" s="13" t="s">
        <v>2667</v>
      </c>
      <c r="E23" s="13" t="s">
        <v>2575</v>
      </c>
      <c r="F23" s="13" t="s">
        <v>2668</v>
      </c>
      <c r="G23" s="13" t="s">
        <v>12</v>
      </c>
    </row>
    <row r="24" customFormat="false" ht="15" hidden="false" customHeight="false" outlineLevel="0" collapsed="false">
      <c r="A24" s="13" t="s">
        <v>2669</v>
      </c>
      <c r="B24" s="13" t="s">
        <v>2670</v>
      </c>
      <c r="C24" s="13" t="s">
        <v>2573</v>
      </c>
      <c r="D24" s="13" t="s">
        <v>2671</v>
      </c>
      <c r="E24" s="13" t="s">
        <v>2575</v>
      </c>
      <c r="F24" s="13" t="s">
        <v>2672</v>
      </c>
      <c r="G24" s="13" t="s">
        <v>12</v>
      </c>
    </row>
    <row r="25" customFormat="false" ht="23.85" hidden="false" customHeight="false" outlineLevel="0" collapsed="false">
      <c r="A25" s="13" t="s">
        <v>2673</v>
      </c>
      <c r="B25" s="13" t="s">
        <v>2674</v>
      </c>
      <c r="C25" s="13" t="s">
        <v>2675</v>
      </c>
      <c r="D25" s="13" t="s">
        <v>2676</v>
      </c>
      <c r="E25" s="13" t="s">
        <v>2575</v>
      </c>
      <c r="F25" s="13" t="s">
        <v>2677</v>
      </c>
      <c r="G25" s="13" t="s">
        <v>12</v>
      </c>
    </row>
    <row r="26" customFormat="false" ht="15" hidden="false" customHeight="false" outlineLevel="0" collapsed="false">
      <c r="A26" s="13" t="s">
        <v>2678</v>
      </c>
      <c r="B26" s="13" t="s">
        <v>2679</v>
      </c>
      <c r="C26" s="13" t="s">
        <v>2573</v>
      </c>
      <c r="D26" s="13" t="s">
        <v>2680</v>
      </c>
      <c r="E26" s="13" t="s">
        <v>2681</v>
      </c>
      <c r="F26" s="13" t="s">
        <v>2682</v>
      </c>
      <c r="G26" s="13" t="s">
        <v>13</v>
      </c>
    </row>
    <row r="27" customFormat="false" ht="15" hidden="false" customHeight="false" outlineLevel="0" collapsed="false">
      <c r="A27" s="13" t="s">
        <v>2683</v>
      </c>
      <c r="B27" s="13" t="s">
        <v>2684</v>
      </c>
      <c r="C27" s="13" t="s">
        <v>2615</v>
      </c>
      <c r="D27" s="13" t="s">
        <v>2685</v>
      </c>
      <c r="E27" s="13" t="s">
        <v>2575</v>
      </c>
      <c r="F27" s="13" t="s">
        <v>2686</v>
      </c>
      <c r="G27" s="13" t="s">
        <v>13</v>
      </c>
    </row>
    <row r="28" customFormat="false" ht="23.85" hidden="false" customHeight="false" outlineLevel="0" collapsed="false">
      <c r="A28" s="13" t="s">
        <v>2687</v>
      </c>
      <c r="B28" s="13" t="s">
        <v>2688</v>
      </c>
      <c r="C28" s="13" t="s">
        <v>2596</v>
      </c>
      <c r="D28" s="13" t="s">
        <v>2689</v>
      </c>
      <c r="E28" s="13" t="s">
        <v>2602</v>
      </c>
      <c r="F28" s="13" t="s">
        <v>2690</v>
      </c>
      <c r="G28" s="13" t="s">
        <v>14</v>
      </c>
    </row>
    <row r="29" customFormat="false" ht="15" hidden="false" customHeight="false" outlineLevel="0" collapsed="false">
      <c r="A29" s="13" t="s">
        <v>2691</v>
      </c>
      <c r="B29" s="13" t="s">
        <v>2692</v>
      </c>
      <c r="C29" s="13" t="s">
        <v>2693</v>
      </c>
      <c r="D29" s="13" t="s">
        <v>2694</v>
      </c>
      <c r="E29" s="13" t="s">
        <v>2575</v>
      </c>
      <c r="F29" s="13" t="s">
        <v>2695</v>
      </c>
      <c r="G29" s="13" t="s">
        <v>13</v>
      </c>
    </row>
    <row r="30" customFormat="false" ht="15" hidden="false" customHeight="false" outlineLevel="0" collapsed="false">
      <c r="A30" s="13" t="s">
        <v>2696</v>
      </c>
      <c r="B30" s="13" t="s">
        <v>2697</v>
      </c>
      <c r="C30" s="13" t="s">
        <v>2698</v>
      </c>
      <c r="D30" s="13" t="s">
        <v>2699</v>
      </c>
      <c r="E30" s="13" t="s">
        <v>2700</v>
      </c>
      <c r="F30" s="13" t="s">
        <v>2701</v>
      </c>
      <c r="G30" s="13" t="s">
        <v>12</v>
      </c>
    </row>
    <row r="31" customFormat="false" ht="23.85" hidden="false" customHeight="false" outlineLevel="0" collapsed="false">
      <c r="A31" s="13" t="s">
        <v>2702</v>
      </c>
      <c r="B31" s="13" t="s">
        <v>2703</v>
      </c>
      <c r="C31" s="13" t="s">
        <v>2704</v>
      </c>
      <c r="D31" s="13" t="s">
        <v>2705</v>
      </c>
      <c r="E31" s="13" t="s">
        <v>2700</v>
      </c>
      <c r="F31" s="13" t="s">
        <v>2706</v>
      </c>
      <c r="G31" s="13" t="s">
        <v>14</v>
      </c>
    </row>
    <row r="32" customFormat="false" ht="15" hidden="false" customHeight="false" outlineLevel="0" collapsed="false">
      <c r="A32" s="13" t="s">
        <v>2707</v>
      </c>
      <c r="B32" s="13" t="s">
        <v>2708</v>
      </c>
      <c r="C32" s="13" t="s">
        <v>2704</v>
      </c>
      <c r="D32" s="13" t="s">
        <v>2709</v>
      </c>
      <c r="E32" s="13" t="s">
        <v>2700</v>
      </c>
      <c r="F32" s="13" t="s">
        <v>2710</v>
      </c>
      <c r="G32" s="13" t="s">
        <v>14</v>
      </c>
    </row>
    <row r="33" customFormat="false" ht="23.85" hidden="false" customHeight="false" outlineLevel="0" collapsed="false">
      <c r="A33" s="13" t="s">
        <v>2711</v>
      </c>
      <c r="B33" s="13" t="s">
        <v>2712</v>
      </c>
      <c r="C33" s="13" t="s">
        <v>2704</v>
      </c>
      <c r="D33" s="13" t="s">
        <v>2713</v>
      </c>
      <c r="E33" s="13" t="s">
        <v>2700</v>
      </c>
      <c r="F33" s="13" t="s">
        <v>2714</v>
      </c>
      <c r="G33" s="13" t="s">
        <v>14</v>
      </c>
    </row>
    <row r="34" customFormat="false" ht="23.85" hidden="false" customHeight="false" outlineLevel="0" collapsed="false">
      <c r="A34" s="13" t="s">
        <v>2715</v>
      </c>
      <c r="B34" s="13" t="s">
        <v>2716</v>
      </c>
      <c r="C34" s="13" t="s">
        <v>2704</v>
      </c>
      <c r="D34" s="13" t="s">
        <v>2717</v>
      </c>
      <c r="E34" s="13" t="s">
        <v>2700</v>
      </c>
      <c r="F34" s="13" t="s">
        <v>2718</v>
      </c>
      <c r="G34" s="13" t="s">
        <v>13</v>
      </c>
    </row>
    <row r="35" customFormat="false" ht="15" hidden="false" customHeight="false" outlineLevel="0" collapsed="false">
      <c r="A35" s="13" t="s">
        <v>2719</v>
      </c>
      <c r="B35" s="13" t="s">
        <v>2720</v>
      </c>
      <c r="C35" s="13" t="s">
        <v>2704</v>
      </c>
      <c r="D35" s="13" t="s">
        <v>2721</v>
      </c>
      <c r="E35" s="13" t="s">
        <v>2700</v>
      </c>
      <c r="F35" s="13" t="s">
        <v>2722</v>
      </c>
      <c r="G35" s="13" t="s">
        <v>14</v>
      </c>
    </row>
    <row r="36" customFormat="false" ht="23.85" hidden="false" customHeight="false" outlineLevel="0" collapsed="false">
      <c r="A36" s="13" t="s">
        <v>2723</v>
      </c>
      <c r="B36" s="13" t="s">
        <v>2724</v>
      </c>
      <c r="C36" s="13" t="s">
        <v>2675</v>
      </c>
      <c r="D36" s="13" t="s">
        <v>2725</v>
      </c>
      <c r="E36" s="13" t="s">
        <v>2726</v>
      </c>
      <c r="F36" s="13" t="s">
        <v>2727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2026-09-25T14:56:51Z</dcterms:created>
  <dc:creator>openpyxl</dc:creator>
  <dc:description/>
  <dc:language>en-US</dc:language>
  <cp:lastModifiedBy/>
  <dcterms:modified xsi:type="dcterms:W3CDTF">2026-09-25T14:56:51Z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